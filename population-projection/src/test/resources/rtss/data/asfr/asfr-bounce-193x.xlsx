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WINAPPS\SLOVO\UKR\github\RTSS\population-projection\src\test\resources\rtss\data\asfr\"/>
    </mc:Choice>
  </mc:AlternateContent>
  <xr:revisionPtr revIDLastSave="0" documentId="13_ncr:1_{3C17A8AF-5C67-4930-B451-DE1DD3DEED86}" xr6:coauthVersionLast="45" xr6:coauthVersionMax="47" xr10:uidLastSave="{00000000-0000-0000-0000-000000000000}"/>
  <bookViews>
    <workbookView xWindow="-60" yWindow="-60" windowWidth="38520" windowHeight="23700" activeTab="3" xr2:uid="{402E3A3D-7E4C-4505-AB84-165B4DC3B336}"/>
  </bookViews>
  <sheets>
    <sheet name="Comment" sheetId="2" r:id="rId1"/>
    <sheet name="Данные" sheetId="1" r:id="rId2"/>
    <sheet name="Оба графика" sheetId="4" r:id="rId3"/>
    <sheet name="АДХ" sheetId="5" r:id="rId4"/>
    <sheet name="1960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6" i="5" l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16" i="6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Q15" i="5"/>
  <c r="Q16" i="5" s="1"/>
  <c r="Q17" i="5" s="1"/>
  <c r="Q18" i="5" s="1"/>
  <c r="Q19" i="5" s="1"/>
  <c r="P15" i="5"/>
  <c r="P16" i="5" s="1"/>
  <c r="P17" i="5" s="1"/>
  <c r="P18" i="5" s="1"/>
  <c r="P19" i="5" s="1"/>
  <c r="Q15" i="6"/>
  <c r="Q16" i="6" s="1"/>
  <c r="Q17" i="6" s="1"/>
  <c r="Q18" i="6" s="1"/>
  <c r="Q19" i="6" s="1"/>
  <c r="P19" i="6"/>
  <c r="P18" i="6"/>
  <c r="P17" i="6"/>
  <c r="P16" i="6"/>
  <c r="P15" i="6"/>
  <c r="Q6" i="6"/>
  <c r="Q20" i="6" s="1"/>
  <c r="Q21" i="6" s="1"/>
  <c r="Q22" i="6" s="1"/>
  <c r="Q23" i="6" s="1"/>
  <c r="Q24" i="6" s="1"/>
  <c r="Q5" i="6"/>
  <c r="P5" i="6"/>
  <c r="N12" i="6"/>
  <c r="Q12" i="6" s="1"/>
  <c r="Q50" i="6" s="1"/>
  <c r="Q51" i="6" s="1"/>
  <c r="Q52" i="6" s="1"/>
  <c r="Q53" i="6" s="1"/>
  <c r="Q54" i="6" s="1"/>
  <c r="N11" i="6"/>
  <c r="Q11" i="6" s="1"/>
  <c r="Q45" i="6" s="1"/>
  <c r="Q46" i="6" s="1"/>
  <c r="Q47" i="6" s="1"/>
  <c r="Q48" i="6" s="1"/>
  <c r="Q49" i="6" s="1"/>
  <c r="N10" i="6"/>
  <c r="Q10" i="6" s="1"/>
  <c r="Q40" i="6" s="1"/>
  <c r="Q41" i="6" s="1"/>
  <c r="Q42" i="6" s="1"/>
  <c r="Q43" i="6" s="1"/>
  <c r="Q44" i="6" s="1"/>
  <c r="N9" i="6"/>
  <c r="Q9" i="6" s="1"/>
  <c r="Q35" i="6" s="1"/>
  <c r="Q36" i="6" s="1"/>
  <c r="Q37" i="6" s="1"/>
  <c r="Q38" i="6" s="1"/>
  <c r="Q39" i="6" s="1"/>
  <c r="N8" i="6"/>
  <c r="Q8" i="6" s="1"/>
  <c r="Q30" i="6" s="1"/>
  <c r="Q31" i="6" s="1"/>
  <c r="Q32" i="6" s="1"/>
  <c r="Q33" i="6" s="1"/>
  <c r="Q34" i="6" s="1"/>
  <c r="N7" i="6"/>
  <c r="Q7" i="6" s="1"/>
  <c r="Q25" i="6" s="1"/>
  <c r="Q26" i="6" s="1"/>
  <c r="Q27" i="6" s="1"/>
  <c r="Q28" i="6" s="1"/>
  <c r="Q29" i="6" s="1"/>
  <c r="N6" i="6"/>
  <c r="N5" i="6"/>
  <c r="M12" i="6"/>
  <c r="M11" i="6"/>
  <c r="M10" i="6"/>
  <c r="P10" i="6" s="1"/>
  <c r="P40" i="6" s="1"/>
  <c r="P41" i="6" s="1"/>
  <c r="P42" i="6" s="1"/>
  <c r="P43" i="6" s="1"/>
  <c r="P44" i="6" s="1"/>
  <c r="M9" i="6"/>
  <c r="P9" i="6" s="1"/>
  <c r="P35" i="6" s="1"/>
  <c r="P36" i="6" s="1"/>
  <c r="P37" i="6" s="1"/>
  <c r="P38" i="6" s="1"/>
  <c r="P39" i="6" s="1"/>
  <c r="M8" i="6"/>
  <c r="P8" i="6" s="1"/>
  <c r="P30" i="6" s="1"/>
  <c r="P31" i="6" s="1"/>
  <c r="P32" i="6" s="1"/>
  <c r="P33" i="6" s="1"/>
  <c r="P34" i="6" s="1"/>
  <c r="M7" i="6"/>
  <c r="P7" i="6" s="1"/>
  <c r="P25" i="6" s="1"/>
  <c r="P26" i="6" s="1"/>
  <c r="P27" i="6" s="1"/>
  <c r="P28" i="6" s="1"/>
  <c r="P29" i="6" s="1"/>
  <c r="M6" i="6"/>
  <c r="P6" i="6" s="1"/>
  <c r="P20" i="6" s="1"/>
  <c r="P21" i="6" s="1"/>
  <c r="P22" i="6" s="1"/>
  <c r="P23" i="6" s="1"/>
  <c r="P24" i="6" s="1"/>
  <c r="M5" i="6"/>
  <c r="F12" i="6"/>
  <c r="P12" i="6" s="1"/>
  <c r="P50" i="6" s="1"/>
  <c r="P51" i="6" s="1"/>
  <c r="P52" i="6" s="1"/>
  <c r="P53" i="6" s="1"/>
  <c r="P54" i="6" s="1"/>
  <c r="F11" i="6"/>
  <c r="P11" i="6" s="1"/>
  <c r="P45" i="6" s="1"/>
  <c r="P46" i="6" s="1"/>
  <c r="P47" i="6" s="1"/>
  <c r="P48" i="6" s="1"/>
  <c r="P49" i="6" s="1"/>
  <c r="F10" i="6"/>
  <c r="F9" i="6"/>
  <c r="F8" i="6"/>
  <c r="F7" i="6"/>
  <c r="F6" i="6"/>
  <c r="F5" i="6"/>
  <c r="Q5" i="5"/>
  <c r="P5" i="5"/>
  <c r="M12" i="5"/>
  <c r="P12" i="5" s="1"/>
  <c r="P50" i="5" s="1"/>
  <c r="P51" i="5" s="1"/>
  <c r="P52" i="5" s="1"/>
  <c r="P53" i="5" s="1"/>
  <c r="P54" i="5" s="1"/>
  <c r="M11" i="5"/>
  <c r="P11" i="5" s="1"/>
  <c r="P45" i="5" s="1"/>
  <c r="P46" i="5" s="1"/>
  <c r="P47" i="5" s="1"/>
  <c r="P48" i="5" s="1"/>
  <c r="P49" i="5" s="1"/>
  <c r="M10" i="5"/>
  <c r="M9" i="5"/>
  <c r="M8" i="5"/>
  <c r="M7" i="5"/>
  <c r="M6" i="5"/>
  <c r="M5" i="5"/>
  <c r="N12" i="5"/>
  <c r="Q12" i="5" s="1"/>
  <c r="Q50" i="5" s="1"/>
  <c r="Q51" i="5" s="1"/>
  <c r="Q52" i="5" s="1"/>
  <c r="Q53" i="5" s="1"/>
  <c r="Q54" i="5" s="1"/>
  <c r="N11" i="5"/>
  <c r="Q11" i="5" s="1"/>
  <c r="Q45" i="5" s="1"/>
  <c r="Q46" i="5" s="1"/>
  <c r="Q47" i="5" s="1"/>
  <c r="Q48" i="5" s="1"/>
  <c r="Q49" i="5" s="1"/>
  <c r="N10" i="5"/>
  <c r="Q10" i="5" s="1"/>
  <c r="Q40" i="5" s="1"/>
  <c r="Q41" i="5" s="1"/>
  <c r="Q42" i="5" s="1"/>
  <c r="Q43" i="5" s="1"/>
  <c r="Q44" i="5" s="1"/>
  <c r="N9" i="5"/>
  <c r="Q9" i="5" s="1"/>
  <c r="Q35" i="5" s="1"/>
  <c r="Q36" i="5" s="1"/>
  <c r="Q37" i="5" s="1"/>
  <c r="Q38" i="5" s="1"/>
  <c r="Q39" i="5" s="1"/>
  <c r="N8" i="5"/>
  <c r="Q8" i="5" s="1"/>
  <c r="Q30" i="5" s="1"/>
  <c r="Q31" i="5" s="1"/>
  <c r="Q32" i="5" s="1"/>
  <c r="Q33" i="5" s="1"/>
  <c r="Q34" i="5" s="1"/>
  <c r="N7" i="5"/>
  <c r="Q7" i="5" s="1"/>
  <c r="Q25" i="5" s="1"/>
  <c r="Q26" i="5" s="1"/>
  <c r="Q27" i="5" s="1"/>
  <c r="Q28" i="5" s="1"/>
  <c r="Q29" i="5" s="1"/>
  <c r="N6" i="5"/>
  <c r="Q6" i="5" s="1"/>
  <c r="Q20" i="5" s="1"/>
  <c r="Q21" i="5" s="1"/>
  <c r="Q22" i="5" s="1"/>
  <c r="Q23" i="5" s="1"/>
  <c r="Q24" i="5" s="1"/>
  <c r="N5" i="5"/>
  <c r="F12" i="5"/>
  <c r="F11" i="5"/>
  <c r="F10" i="5"/>
  <c r="P10" i="5" s="1"/>
  <c r="P40" i="5" s="1"/>
  <c r="P41" i="5" s="1"/>
  <c r="P42" i="5" s="1"/>
  <c r="P43" i="5" s="1"/>
  <c r="P44" i="5" s="1"/>
  <c r="F9" i="5"/>
  <c r="P9" i="5" s="1"/>
  <c r="P35" i="5" s="1"/>
  <c r="P36" i="5" s="1"/>
  <c r="P37" i="5" s="1"/>
  <c r="P38" i="5" s="1"/>
  <c r="P39" i="5" s="1"/>
  <c r="F8" i="5"/>
  <c r="P8" i="5" s="1"/>
  <c r="P30" i="5" s="1"/>
  <c r="P31" i="5" s="1"/>
  <c r="P32" i="5" s="1"/>
  <c r="P33" i="5" s="1"/>
  <c r="P34" i="5" s="1"/>
  <c r="F7" i="5"/>
  <c r="P7" i="5" s="1"/>
  <c r="P25" i="5" s="1"/>
  <c r="P26" i="5" s="1"/>
  <c r="P27" i="5" s="1"/>
  <c r="P28" i="5" s="1"/>
  <c r="P29" i="5" s="1"/>
  <c r="F6" i="5"/>
  <c r="P6" i="5" s="1"/>
  <c r="P20" i="5" s="1"/>
  <c r="P21" i="5" s="1"/>
  <c r="P22" i="5" s="1"/>
  <c r="P23" i="5" s="1"/>
  <c r="P24" i="5" s="1"/>
  <c r="F5" i="5"/>
  <c r="O87" i="1" l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M44" i="1"/>
  <c r="M43" i="1"/>
  <c r="M42" i="1"/>
  <c r="M41" i="1"/>
  <c r="M40" i="1"/>
  <c r="M39" i="1"/>
  <c r="M38" i="1"/>
  <c r="M37" i="1"/>
  <c r="M36" i="1"/>
  <c r="M35" i="1"/>
  <c r="O35" i="1" s="1"/>
  <c r="M34" i="1"/>
  <c r="M33" i="1"/>
  <c r="O33" i="1" s="1"/>
  <c r="M32" i="1"/>
  <c r="O32" i="1" s="1"/>
  <c r="M31" i="1"/>
  <c r="M30" i="1"/>
  <c r="O30" i="1" s="1"/>
  <c r="M29" i="1"/>
  <c r="O29" i="1" s="1"/>
  <c r="M28" i="1"/>
  <c r="O28" i="1" s="1"/>
  <c r="M27" i="1"/>
  <c r="M26" i="1"/>
  <c r="M25" i="1"/>
  <c r="M24" i="1"/>
  <c r="M23" i="1"/>
  <c r="M22" i="1"/>
  <c r="M21" i="1"/>
  <c r="M20" i="1"/>
  <c r="M19" i="1"/>
  <c r="O19" i="1" s="1"/>
  <c r="M18" i="1"/>
  <c r="M17" i="1"/>
  <c r="O17" i="1" s="1"/>
  <c r="M16" i="1"/>
  <c r="O16" i="1" s="1"/>
  <c r="M15" i="1"/>
  <c r="M14" i="1"/>
  <c r="O14" i="1" s="1"/>
  <c r="M13" i="1"/>
  <c r="O13" i="1" s="1"/>
  <c r="M12" i="1"/>
  <c r="O12" i="1" s="1"/>
  <c r="M11" i="1"/>
  <c r="M10" i="1"/>
  <c r="M9" i="1"/>
  <c r="M8" i="1"/>
  <c r="M7" i="1"/>
  <c r="M6" i="1"/>
  <c r="M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O18" i="1" l="1"/>
  <c r="O34" i="1"/>
  <c r="O39" i="1"/>
  <c r="O44" i="1"/>
  <c r="O15" i="1"/>
  <c r="O31" i="1"/>
  <c r="O20" i="1"/>
  <c r="O36" i="1"/>
  <c r="O5" i="1"/>
  <c r="O21" i="1"/>
  <c r="O37" i="1"/>
  <c r="O6" i="1"/>
  <c r="O22" i="1"/>
  <c r="O38" i="1"/>
  <c r="O23" i="1"/>
  <c r="O8" i="1"/>
  <c r="O24" i="1"/>
  <c r="O40" i="1"/>
  <c r="O7" i="1"/>
  <c r="O9" i="1"/>
  <c r="O25" i="1"/>
  <c r="O41" i="1"/>
  <c r="O10" i="1"/>
  <c r="O26" i="1"/>
  <c r="O42" i="1"/>
  <c r="O11" i="1"/>
  <c r="O27" i="1"/>
  <c r="O43" i="1"/>
</calcChain>
</file>

<file path=xl/sharedStrings.xml><?xml version="1.0" encoding="utf-8"?>
<sst xmlns="http://schemas.openxmlformats.org/spreadsheetml/2006/main" count="57" uniqueCount="32">
  <si>
    <t>age</t>
  </si>
  <si>
    <t>1927-1929</t>
  </si>
  <si>
    <t>1936-1939</t>
  </si>
  <si>
    <t>%</t>
  </si>
  <si>
    <t>Основной женский фертильный возраст = 20-25-30</t>
  </si>
  <si>
    <t xml:space="preserve">Если бы пронаталистская политика 1936 года стимулировала отложенные в 1930-1935 гг. рождения </t>
  </si>
  <si>
    <t>Женская плодовитость в РСФСР по реконструкции АДХ</t>
  </si>
  <si>
    <t>Женская плодовитость по анамнестическому опросу 1960 г.</t>
  </si>
  <si>
    <t>%РСФСР</t>
  </si>
  <si>
    <t>%опр1960</t>
  </si>
  <si>
    <t>Женская средняя плодовитость в 1936-1939 гг. как % от средней плодовитости в 1927-1929 гг., по возрасту женщин.</t>
  </si>
  <si>
    <t>Исходные данные:</t>
  </si>
  <si>
    <t xml:space="preserve">Материалы разработки анамнестического обследования территориально охватывают РСФСР без автономных республик, БССР, ГрузССР, ЛитССР и МолдССР. </t>
  </si>
  <si>
    <t xml:space="preserve">Территориальный охват обследования в некоторых отношениях шире, а в других у́же, чем территория РСФСР. </t>
  </si>
  <si>
    <t>Для РСФСР по реконструкции АДХ: АДХ-РСФСР стр. 166</t>
  </si>
  <si>
    <t>По анамнестическому обследованию 1960 года: АДХ-РСФСР стр. 171</t>
  </si>
  <si>
    <t>Вывод:</t>
  </si>
  <si>
    <t>пять лет спустя, чем они должны были начально состояться,</t>
  </si>
  <si>
    <t>мы увидели бы горбовый прирост плодовитости в возрастах 25-35.</t>
  </si>
  <si>
    <t>Значения дезагрегированы из 5-летних возрастных групп в годовые по возрастному шагу значения модулем ShowASFRInterpolatedByAge.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</si>
  <si>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</si>
  <si>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</si>
  <si>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</si>
  <si>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</si>
  <si>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</si>
  <si>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</si>
  <si>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</si>
  <si>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</si>
  <si>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1937-1938</t>
  </si>
  <si>
    <t>% 1937-1938</t>
  </si>
  <si>
    <t>% 1936-1939</t>
  </si>
  <si>
    <t>возраст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</si>
</sst>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0" borderId="0" xfId="0" applyFont="1" applyAlignment="1">
      <alignment horizontal="center"/>
    </xf>
    <xf numFmtId="0" fontId="0" fillId="0" borderId="0" xfId="0" applyFont="1"/>
    <xf numFmtId="9" fontId="0" fillId="0" borderId="0" xfId="0" applyNumberFormat="1" applyFont="1"/>
    <xf numFmtId="0" fontId="0" fillId="0" borderId="0" xfId="0" applyAlignment="1">
      <alignment horizontal="center"/>
    </xf>
    <xf numFmtId="165" fontId="0" fillId="0" borderId="0" xfId="0" applyNumberFormat="1"/>
    <xf numFmtId="49" fontId="0" fillId="0" borderId="0" xfId="0" applyNumberForma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/>
    <xf numFmtId="1" fontId="2" fillId="0" borderId="0" xfId="0" applyNumberFormat="1" applyFont="1" applyAlignment="1"/>
    <xf numFmtId="0" fontId="0" fillId="0" borderId="0" xfId="0" applyAlignment="1"/>
    <xf numFmtId="0" fontId="2" fillId="0" borderId="0" xfId="0" applyFont="1" applyAlignmen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baseline="0">
                <a:solidFill>
                  <a:sysClr val="windowText" lastClr="000000"/>
                </a:solidFill>
              </a:rPr>
              <a:t>женская средняя плодовитость в 1936-1939 гг.</a:t>
            </a:r>
            <a:br>
              <a:rPr lang="ru-RU" b="1" baseline="0">
                <a:solidFill>
                  <a:sysClr val="windowText" lastClr="000000"/>
                </a:solidFill>
              </a:rPr>
            </a:br>
            <a:r>
              <a:rPr lang="ru-RU" b="1" baseline="0">
                <a:solidFill>
                  <a:sysClr val="windowText" lastClr="000000"/>
                </a:solidFill>
              </a:rPr>
              <a:t>как % от средней плодовитости в 1927-1929 гг.</a:t>
            </a:r>
            <a:br>
              <a:rPr lang="ru-RU" b="1" baseline="0">
                <a:solidFill>
                  <a:sysClr val="windowText" lastClr="000000"/>
                </a:solidFill>
              </a:rPr>
            </a:br>
            <a:r>
              <a:rPr lang="ru-RU" b="1" baseline="0">
                <a:solidFill>
                  <a:sysClr val="windowText" lastClr="000000"/>
                </a:solidFill>
              </a:rPr>
              <a:t>по возрасту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Данные!$O$3</c:f>
              <c:strCache>
                <c:ptCount val="1"/>
                <c:pt idx="0">
                  <c:v>%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Данные!$A$4:$A$44</c:f>
              <c:numCache>
                <c:formatCode>General</c:formatCode>
                <c:ptCount val="41"/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52</c:v>
                </c:pt>
                <c:pt idx="39">
                  <c:v>53</c:v>
                </c:pt>
                <c:pt idx="40">
                  <c:v>54</c:v>
                </c:pt>
              </c:numCache>
            </c:numRef>
          </c:xVal>
          <c:yVal>
            <c:numRef>
              <c:f>Данные!$O$4:$O$44</c:f>
              <c:numCache>
                <c:formatCode>0.00</c:formatCode>
                <c:ptCount val="41"/>
                <c:pt idx="1">
                  <c:v>103.68226314244355</c:v>
                </c:pt>
                <c:pt idx="2">
                  <c:v>101.30706729481255</c:v>
                </c:pt>
                <c:pt idx="3">
                  <c:v>97.698094637819409</c:v>
                </c:pt>
                <c:pt idx="4">
                  <c:v>93.746969456281434</c:v>
                </c:pt>
                <c:pt idx="5">
                  <c:v>90.162875305688459</c:v>
                </c:pt>
                <c:pt idx="6">
                  <c:v>85.666025838237971</c:v>
                </c:pt>
                <c:pt idx="7">
                  <c:v>84.260722730412468</c:v>
                </c:pt>
                <c:pt idx="8">
                  <c:v>83.498061510576676</c:v>
                </c:pt>
                <c:pt idx="9">
                  <c:v>83.061028030451098</c:v>
                </c:pt>
                <c:pt idx="10">
                  <c:v>82.789447734064581</c:v>
                </c:pt>
                <c:pt idx="11">
                  <c:v>82.901851804406505</c:v>
                </c:pt>
                <c:pt idx="12">
                  <c:v>81.822704824379514</c:v>
                </c:pt>
                <c:pt idx="13">
                  <c:v>79.850490712401424</c:v>
                </c:pt>
                <c:pt idx="14">
                  <c:v>76.978536215842809</c:v>
                </c:pt>
                <c:pt idx="15">
                  <c:v>73.303501913364556</c:v>
                </c:pt>
                <c:pt idx="16">
                  <c:v>68.188601749629882</c:v>
                </c:pt>
                <c:pt idx="17">
                  <c:v>65.435154358951408</c:v>
                </c:pt>
                <c:pt idx="18">
                  <c:v>64.258420596154323</c:v>
                </c:pt>
                <c:pt idx="19">
                  <c:v>64.757008108427272</c:v>
                </c:pt>
                <c:pt idx="20">
                  <c:v>67.014583708380883</c:v>
                </c:pt>
                <c:pt idx="21">
                  <c:v>72.194048325141694</c:v>
                </c:pt>
                <c:pt idx="22">
                  <c:v>75.791756261044782</c:v>
                </c:pt>
                <c:pt idx="23">
                  <c:v>78.442118197939905</c:v>
                </c:pt>
                <c:pt idx="24">
                  <c:v>79.85685383043122</c:v>
                </c:pt>
                <c:pt idx="25">
                  <c:v>79.863034267664787</c:v>
                </c:pt>
                <c:pt idx="26">
                  <c:v>77.842962643346283</c:v>
                </c:pt>
                <c:pt idx="27">
                  <c:v>75.811942996265998</c:v>
                </c:pt>
                <c:pt idx="28">
                  <c:v>73.232605428978218</c:v>
                </c:pt>
                <c:pt idx="29">
                  <c:v>69.895856351786918</c:v>
                </c:pt>
                <c:pt idx="30">
                  <c:v>65.446480326130896</c:v>
                </c:pt>
                <c:pt idx="31">
                  <c:v>58.089291302096001</c:v>
                </c:pt>
                <c:pt idx="32">
                  <c:v>53.3038036353203</c:v>
                </c:pt>
                <c:pt idx="33">
                  <c:v>50.310929502405635</c:v>
                </c:pt>
                <c:pt idx="34">
                  <c:v>49.938430919413349</c:v>
                </c:pt>
                <c:pt idx="35">
                  <c:v>53.775254228293583</c:v>
                </c:pt>
                <c:pt idx="36">
                  <c:v>73.000654266028079</c:v>
                </c:pt>
                <c:pt idx="37">
                  <c:v>84.514806745059474</c:v>
                </c:pt>
                <c:pt idx="38">
                  <c:v>92.478487871594325</c:v>
                </c:pt>
                <c:pt idx="39">
                  <c:v>96.093873709027548</c:v>
                </c:pt>
                <c:pt idx="40">
                  <c:v>97.23197988363691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2B-43BB-B93E-C6206672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966639"/>
        <c:axId val="543969519"/>
      </c:scatterChart>
      <c:valAx>
        <c:axId val="543966639"/>
        <c:scaling>
          <c:orientation val="minMax"/>
          <c:max val="5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3969519"/>
        <c:crosses val="autoZero"/>
        <c:crossBetween val="midCat"/>
      </c:valAx>
      <c:valAx>
        <c:axId val="543969519"/>
        <c:scaling>
          <c:orientation val="minMax"/>
          <c:max val="11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396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443636471786634E-2"/>
          <c:y val="2.6576122278539494E-2"/>
          <c:w val="0.94446952629504877"/>
          <c:h val="0.872090481208440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'Оба графика'!$B$1</c:f>
              <c:strCache>
                <c:ptCount val="1"/>
                <c:pt idx="0">
                  <c:v>%РСФСР</c:v>
                </c:pt>
              </c:strCache>
            </c:strRef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8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CF3-47B4-8111-34E211556969}"/>
              </c:ext>
            </c:extLst>
          </c:dPt>
          <c:xVal>
            <c:numRef>
              <c:f>'Оба графика'!$A$2:$A$42</c:f>
              <c:numCache>
                <c:formatCode>General</c:formatCode>
                <c:ptCount val="41"/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52</c:v>
                </c:pt>
                <c:pt idx="39">
                  <c:v>53</c:v>
                </c:pt>
                <c:pt idx="40">
                  <c:v>54</c:v>
                </c:pt>
              </c:numCache>
            </c:numRef>
          </c:xVal>
          <c:yVal>
            <c:numRef>
              <c:f>'Оба графика'!$B$2:$B$42</c:f>
              <c:numCache>
                <c:formatCode>0.00</c:formatCode>
                <c:ptCount val="41"/>
                <c:pt idx="1">
                  <c:v>103.68226314244355</c:v>
                </c:pt>
                <c:pt idx="2">
                  <c:v>101.30706729481255</c:v>
                </c:pt>
                <c:pt idx="3">
                  <c:v>97.698094637819409</c:v>
                </c:pt>
                <c:pt idx="4">
                  <c:v>93.746969456281434</c:v>
                </c:pt>
                <c:pt idx="5">
                  <c:v>90.162875305688459</c:v>
                </c:pt>
                <c:pt idx="6">
                  <c:v>85.666025838237971</c:v>
                </c:pt>
                <c:pt idx="7">
                  <c:v>84.260722730412468</c:v>
                </c:pt>
                <c:pt idx="8">
                  <c:v>83.498061510576676</c:v>
                </c:pt>
                <c:pt idx="9">
                  <c:v>83.061028030451098</c:v>
                </c:pt>
                <c:pt idx="10">
                  <c:v>82.789447734064581</c:v>
                </c:pt>
                <c:pt idx="11">
                  <c:v>82.901851804406505</c:v>
                </c:pt>
                <c:pt idx="12">
                  <c:v>81.822704824379514</c:v>
                </c:pt>
                <c:pt idx="13">
                  <c:v>79.850490712401424</c:v>
                </c:pt>
                <c:pt idx="14">
                  <c:v>76.978536215842809</c:v>
                </c:pt>
                <c:pt idx="15">
                  <c:v>73.303501913364556</c:v>
                </c:pt>
                <c:pt idx="16">
                  <c:v>68.188601749629882</c:v>
                </c:pt>
                <c:pt idx="17">
                  <c:v>65.435154358951408</c:v>
                </c:pt>
                <c:pt idx="18">
                  <c:v>64.258420596154323</c:v>
                </c:pt>
                <c:pt idx="19">
                  <c:v>64.757008108427272</c:v>
                </c:pt>
                <c:pt idx="20">
                  <c:v>67.014583708380883</c:v>
                </c:pt>
                <c:pt idx="21">
                  <c:v>72.194048325141694</c:v>
                </c:pt>
                <c:pt idx="22">
                  <c:v>75.791756261044782</c:v>
                </c:pt>
                <c:pt idx="23">
                  <c:v>78.442118197939905</c:v>
                </c:pt>
                <c:pt idx="24">
                  <c:v>79.85685383043122</c:v>
                </c:pt>
                <c:pt idx="25">
                  <c:v>79.863034267664787</c:v>
                </c:pt>
                <c:pt idx="26">
                  <c:v>77.842962643346283</c:v>
                </c:pt>
                <c:pt idx="27">
                  <c:v>75.811942996265998</c:v>
                </c:pt>
                <c:pt idx="28">
                  <c:v>73.232605428978218</c:v>
                </c:pt>
                <c:pt idx="29">
                  <c:v>69.895856351786918</c:v>
                </c:pt>
                <c:pt idx="30">
                  <c:v>65.446480326130896</c:v>
                </c:pt>
                <c:pt idx="31">
                  <c:v>58.089291302096001</c:v>
                </c:pt>
                <c:pt idx="32">
                  <c:v>53.3038036353203</c:v>
                </c:pt>
                <c:pt idx="33">
                  <c:v>50.310929502405635</c:v>
                </c:pt>
                <c:pt idx="34">
                  <c:v>49.938430919413349</c:v>
                </c:pt>
                <c:pt idx="35">
                  <c:v>53.775254228293583</c:v>
                </c:pt>
                <c:pt idx="36">
                  <c:v>73.000654266028079</c:v>
                </c:pt>
                <c:pt idx="37">
                  <c:v>84.514806745059474</c:v>
                </c:pt>
                <c:pt idx="38">
                  <c:v>92.478487871594325</c:v>
                </c:pt>
                <c:pt idx="39">
                  <c:v>96.093873709027548</c:v>
                </c:pt>
                <c:pt idx="40">
                  <c:v>97.23197988363691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F3-47B4-8111-34E211556969}"/>
            </c:ext>
          </c:extLst>
        </c:ser>
        <c:ser>
          <c:idx val="1"/>
          <c:order val="1"/>
          <c:tx>
            <c:strRef>
              <c:f>'Оба графика'!$C$1</c:f>
              <c:strCache>
                <c:ptCount val="1"/>
                <c:pt idx="0">
                  <c:v>%опр1960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'Оба графика'!$A$2:$A$42</c:f>
              <c:numCache>
                <c:formatCode>General</c:formatCode>
                <c:ptCount val="41"/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52</c:v>
                </c:pt>
                <c:pt idx="39">
                  <c:v>53</c:v>
                </c:pt>
                <c:pt idx="40">
                  <c:v>54</c:v>
                </c:pt>
              </c:numCache>
            </c:numRef>
          </c:xVal>
          <c:yVal>
            <c:numRef>
              <c:f>'Оба графика'!$C$2:$C$42</c:f>
              <c:numCache>
                <c:formatCode>0.00</c:formatCode>
                <c:ptCount val="41"/>
                <c:pt idx="1">
                  <c:v>114.08065592305516</c:v>
                </c:pt>
                <c:pt idx="2">
                  <c:v>111.08987185721853</c:v>
                </c:pt>
                <c:pt idx="3">
                  <c:v>106.5837031480913</c:v>
                </c:pt>
                <c:pt idx="4">
                  <c:v>101.70920575031512</c:v>
                </c:pt>
                <c:pt idx="5">
                  <c:v>97.345672427697949</c:v>
                </c:pt>
                <c:pt idx="6">
                  <c:v>91.944605800660014</c:v>
                </c:pt>
                <c:pt idx="7">
                  <c:v>90.315563465396721</c:v>
                </c:pt>
                <c:pt idx="8">
                  <c:v>89.485308876336845</c:v>
                </c:pt>
                <c:pt idx="9">
                  <c:v>89.075779261749787</c:v>
                </c:pt>
                <c:pt idx="10">
                  <c:v>88.900289688592608</c:v>
                </c:pt>
                <c:pt idx="11">
                  <c:v>89.255462371377405</c:v>
                </c:pt>
                <c:pt idx="12">
                  <c:v>88.138288891926294</c:v>
                </c:pt>
                <c:pt idx="13">
                  <c:v>85.927584571830636</c:v>
                </c:pt>
                <c:pt idx="14">
                  <c:v>82.621288707882016</c:v>
                </c:pt>
                <c:pt idx="15">
                  <c:v>78.351726353470298</c:v>
                </c:pt>
                <c:pt idx="16">
                  <c:v>72.375093651635382</c:v>
                </c:pt>
                <c:pt idx="17">
                  <c:v>69.270253444635046</c:v>
                </c:pt>
                <c:pt idx="18">
                  <c:v>68.059642613386316</c:v>
                </c:pt>
                <c:pt idx="19">
                  <c:v>68.869810046047263</c:v>
                </c:pt>
                <c:pt idx="20">
                  <c:v>71.841048343395343</c:v>
                </c:pt>
                <c:pt idx="21">
                  <c:v>78.566481981196944</c:v>
                </c:pt>
                <c:pt idx="22">
                  <c:v>83.225509900905976</c:v>
                </c:pt>
                <c:pt idx="23">
                  <c:v>86.50399841208818</c:v>
                </c:pt>
                <c:pt idx="24">
                  <c:v>87.923830488670021</c:v>
                </c:pt>
                <c:pt idx="25">
                  <c:v>87.222958685772454</c:v>
                </c:pt>
                <c:pt idx="26">
                  <c:v>83.499304591236466</c:v>
                </c:pt>
                <c:pt idx="27">
                  <c:v>80.259550917272961</c:v>
                </c:pt>
                <c:pt idx="28">
                  <c:v>76.671912630694209</c:v>
                </c:pt>
                <c:pt idx="29">
                  <c:v>72.512447753341092</c:v>
                </c:pt>
                <c:pt idx="30">
                  <c:v>67.367819431529028</c:v>
                </c:pt>
                <c:pt idx="31">
                  <c:v>59.264552477787475</c:v>
                </c:pt>
                <c:pt idx="32">
                  <c:v>54.024934389863795</c:v>
                </c:pt>
                <c:pt idx="33">
                  <c:v>50.95839820731922</c:v>
                </c:pt>
                <c:pt idx="34">
                  <c:v>51.214634497136309</c:v>
                </c:pt>
                <c:pt idx="35">
                  <c:v>57.415244422451288</c:v>
                </c:pt>
                <c:pt idx="36">
                  <c:v>95.041886599693527</c:v>
                </c:pt>
                <c:pt idx="37">
                  <c:v>107.39239848110854</c:v>
                </c:pt>
                <c:pt idx="38">
                  <c:v>114.70799322788019</c:v>
                </c:pt>
                <c:pt idx="39">
                  <c:v>117.13559457227581</c:v>
                </c:pt>
                <c:pt idx="40">
                  <c:v>117.506389648769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F3-47B4-8111-34E211556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560560"/>
        <c:axId val="528577360"/>
      </c:scatterChart>
      <c:valAx>
        <c:axId val="528560560"/>
        <c:scaling>
          <c:orientation val="minMax"/>
          <c:max val="5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 baseline="0"/>
                  <a:t>Возраст</a:t>
                </a:r>
                <a:endParaRPr lang="en-US" sz="1400" b="1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577360"/>
        <c:crosses val="autoZero"/>
        <c:crossBetween val="midCat"/>
      </c:valAx>
      <c:valAx>
        <c:axId val="528577360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56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714016650391958"/>
          <c:y val="0.96709515287925329"/>
          <c:w val="0.22805834589041568"/>
          <c:h val="3.2904847120746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АДХ!$P$14</c:f>
              <c:strCache>
                <c:ptCount val="1"/>
                <c:pt idx="0">
                  <c:v>% 1937-1938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АДХ!$O$15:$O$54</c:f>
              <c:numCache>
                <c:formatCode>General</c:formatCode>
                <c:ptCount val="4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</c:numCache>
            </c:numRef>
          </c:xVal>
          <c:yVal>
            <c:numRef>
              <c:f>АДХ!$P$15:$P$54</c:f>
              <c:numCache>
                <c:formatCode>0.0</c:formatCode>
                <c:ptCount val="40"/>
                <c:pt idx="0">
                  <c:v>89.050470487596257</c:v>
                </c:pt>
                <c:pt idx="1">
                  <c:v>89.050470487596257</c:v>
                </c:pt>
                <c:pt idx="2">
                  <c:v>89.050470487596257</c:v>
                </c:pt>
                <c:pt idx="3">
                  <c:v>89.050470487596257</c:v>
                </c:pt>
                <c:pt idx="4">
                  <c:v>89.050470487596257</c:v>
                </c:pt>
                <c:pt idx="5">
                  <c:v>85.907935611409201</c:v>
                </c:pt>
                <c:pt idx="6">
                  <c:v>85.907935611409201</c:v>
                </c:pt>
                <c:pt idx="7">
                  <c:v>85.907935611409201</c:v>
                </c:pt>
                <c:pt idx="8">
                  <c:v>85.907935611409201</c:v>
                </c:pt>
                <c:pt idx="9">
                  <c:v>85.907935611409201</c:v>
                </c:pt>
                <c:pt idx="10">
                  <c:v>82.855731225296452</c:v>
                </c:pt>
                <c:pt idx="11">
                  <c:v>82.855731225296452</c:v>
                </c:pt>
                <c:pt idx="12">
                  <c:v>82.855731225296452</c:v>
                </c:pt>
                <c:pt idx="13">
                  <c:v>82.855731225296452</c:v>
                </c:pt>
                <c:pt idx="14">
                  <c:v>82.855731225296452</c:v>
                </c:pt>
                <c:pt idx="15">
                  <c:v>68.837023510614017</c:v>
                </c:pt>
                <c:pt idx="16">
                  <c:v>68.837023510614017</c:v>
                </c:pt>
                <c:pt idx="17">
                  <c:v>68.837023510614017</c:v>
                </c:pt>
                <c:pt idx="18">
                  <c:v>68.837023510614017</c:v>
                </c:pt>
                <c:pt idx="19">
                  <c:v>68.837023510614017</c:v>
                </c:pt>
                <c:pt idx="20">
                  <c:v>78.754635352286769</c:v>
                </c:pt>
                <c:pt idx="21">
                  <c:v>78.754635352286769</c:v>
                </c:pt>
                <c:pt idx="22">
                  <c:v>78.754635352286769</c:v>
                </c:pt>
                <c:pt idx="23">
                  <c:v>78.754635352286769</c:v>
                </c:pt>
                <c:pt idx="24">
                  <c:v>78.754635352286769</c:v>
                </c:pt>
                <c:pt idx="25">
                  <c:v>74.7654558575896</c:v>
                </c:pt>
                <c:pt idx="26">
                  <c:v>74.7654558575896</c:v>
                </c:pt>
                <c:pt idx="27">
                  <c:v>74.7654558575896</c:v>
                </c:pt>
                <c:pt idx="28">
                  <c:v>74.7654558575896</c:v>
                </c:pt>
                <c:pt idx="29">
                  <c:v>74.7654558575896</c:v>
                </c:pt>
                <c:pt idx="30">
                  <c:v>53.008177570093459</c:v>
                </c:pt>
                <c:pt idx="31">
                  <c:v>53.008177570093459</c:v>
                </c:pt>
                <c:pt idx="32">
                  <c:v>53.008177570093459</c:v>
                </c:pt>
                <c:pt idx="33">
                  <c:v>53.008177570093459</c:v>
                </c:pt>
                <c:pt idx="34">
                  <c:v>53.008177570093459</c:v>
                </c:pt>
                <c:pt idx="35">
                  <c:v>91.428571428571416</c:v>
                </c:pt>
                <c:pt idx="36">
                  <c:v>91.428571428571416</c:v>
                </c:pt>
                <c:pt idx="37">
                  <c:v>91.428571428571416</c:v>
                </c:pt>
                <c:pt idx="38">
                  <c:v>91.428571428571416</c:v>
                </c:pt>
                <c:pt idx="39">
                  <c:v>91.428571428571416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77-494F-98CD-253C902474C5}"/>
            </c:ext>
          </c:extLst>
        </c:ser>
        <c:ser>
          <c:idx val="1"/>
          <c:order val="1"/>
          <c:tx>
            <c:strRef>
              <c:f>АДХ!$Q$14</c:f>
              <c:strCache>
                <c:ptCount val="1"/>
                <c:pt idx="0">
                  <c:v>% 1936-1939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АДХ!$O$15:$O$54</c:f>
              <c:numCache>
                <c:formatCode>General</c:formatCode>
                <c:ptCount val="4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</c:numCache>
            </c:numRef>
          </c:xVal>
          <c:yVal>
            <c:numRef>
              <c:f>АДХ!$Q$15:$Q$54</c:f>
              <c:numCache>
                <c:formatCode>0.0</c:formatCode>
                <c:ptCount val="40"/>
                <c:pt idx="0">
                  <c:v>94.50384944396923</c:v>
                </c:pt>
                <c:pt idx="1">
                  <c:v>94.50384944396923</c:v>
                </c:pt>
                <c:pt idx="2">
                  <c:v>94.50384944396923</c:v>
                </c:pt>
                <c:pt idx="3">
                  <c:v>94.50384944396923</c:v>
                </c:pt>
                <c:pt idx="4">
                  <c:v>94.50384944396923</c:v>
                </c:pt>
                <c:pt idx="5">
                  <c:v>83.620446201637947</c:v>
                </c:pt>
                <c:pt idx="6">
                  <c:v>83.620446201637947</c:v>
                </c:pt>
                <c:pt idx="7">
                  <c:v>83.620446201637947</c:v>
                </c:pt>
                <c:pt idx="8">
                  <c:v>83.620446201637947</c:v>
                </c:pt>
                <c:pt idx="9">
                  <c:v>83.620446201637947</c:v>
                </c:pt>
                <c:pt idx="10">
                  <c:v>78.944334650856405</c:v>
                </c:pt>
                <c:pt idx="11">
                  <c:v>78.944334650856405</c:v>
                </c:pt>
                <c:pt idx="12">
                  <c:v>78.944334650856405</c:v>
                </c:pt>
                <c:pt idx="13">
                  <c:v>78.944334650856405</c:v>
                </c:pt>
                <c:pt idx="14">
                  <c:v>78.944334650856405</c:v>
                </c:pt>
                <c:pt idx="15">
                  <c:v>65.935288746861445</c:v>
                </c:pt>
                <c:pt idx="16">
                  <c:v>65.935288746861445</c:v>
                </c:pt>
                <c:pt idx="17">
                  <c:v>65.935288746861445</c:v>
                </c:pt>
                <c:pt idx="18">
                  <c:v>65.935288746861445</c:v>
                </c:pt>
                <c:pt idx="19">
                  <c:v>65.935288746861445</c:v>
                </c:pt>
                <c:pt idx="20">
                  <c:v>76.935259579728054</c:v>
                </c:pt>
                <c:pt idx="21">
                  <c:v>76.935259579728054</c:v>
                </c:pt>
                <c:pt idx="22">
                  <c:v>76.935259579728054</c:v>
                </c:pt>
                <c:pt idx="23">
                  <c:v>76.935259579728054</c:v>
                </c:pt>
                <c:pt idx="24">
                  <c:v>76.935259579728054</c:v>
                </c:pt>
                <c:pt idx="25">
                  <c:v>73.177772432042332</c:v>
                </c:pt>
                <c:pt idx="26">
                  <c:v>73.177772432042332</c:v>
                </c:pt>
                <c:pt idx="27">
                  <c:v>73.177772432042332</c:v>
                </c:pt>
                <c:pt idx="28">
                  <c:v>73.177772432042332</c:v>
                </c:pt>
                <c:pt idx="29">
                  <c:v>73.177772432042332</c:v>
                </c:pt>
                <c:pt idx="30">
                  <c:v>53.709112149532714</c:v>
                </c:pt>
                <c:pt idx="31">
                  <c:v>53.709112149532714</c:v>
                </c:pt>
                <c:pt idx="32">
                  <c:v>53.709112149532714</c:v>
                </c:pt>
                <c:pt idx="33">
                  <c:v>53.709112149532714</c:v>
                </c:pt>
                <c:pt idx="34">
                  <c:v>53.709112149532714</c:v>
                </c:pt>
                <c:pt idx="35">
                  <c:v>85.476190476190467</c:v>
                </c:pt>
                <c:pt idx="36">
                  <c:v>85.476190476190467</c:v>
                </c:pt>
                <c:pt idx="37">
                  <c:v>85.476190476190467</c:v>
                </c:pt>
                <c:pt idx="38">
                  <c:v>85.476190476190467</c:v>
                </c:pt>
                <c:pt idx="39">
                  <c:v>85.476190476190467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77-494F-98CD-253C90247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136384"/>
        <c:axId val="832749264"/>
      </c:scatterChart>
      <c:valAx>
        <c:axId val="833136384"/>
        <c:scaling>
          <c:orientation val="minMax"/>
          <c:max val="5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 baseline="0"/>
                  <a:t>возраст</a:t>
                </a:r>
                <a:endParaRPr lang="de-DE" sz="1400" b="1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2749264"/>
        <c:crosses val="autoZero"/>
        <c:crossBetween val="midCat"/>
      </c:valAx>
      <c:valAx>
        <c:axId val="832749264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13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'1960'!$P$14</c:f>
              <c:strCache>
                <c:ptCount val="1"/>
                <c:pt idx="0">
                  <c:v>% 1937-1938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'1960'!$O$15:$O$54</c:f>
              <c:numCache>
                <c:formatCode>General</c:formatCode>
                <c:ptCount val="4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</c:numCache>
            </c:numRef>
          </c:xVal>
          <c:yVal>
            <c:numRef>
              <c:f>'1960'!$P$15:$P$54</c:f>
              <c:numCache>
                <c:formatCode>0.0</c:formatCode>
                <c:ptCount val="40"/>
                <c:pt idx="0">
                  <c:v>94.188861985472158</c:v>
                </c:pt>
                <c:pt idx="1">
                  <c:v>94.188861985472158</c:v>
                </c:pt>
                <c:pt idx="2">
                  <c:v>94.188861985472158</c:v>
                </c:pt>
                <c:pt idx="3">
                  <c:v>94.188861985472158</c:v>
                </c:pt>
                <c:pt idx="4">
                  <c:v>94.188861985472158</c:v>
                </c:pt>
                <c:pt idx="5">
                  <c:v>90.250198570293875</c:v>
                </c:pt>
                <c:pt idx="6">
                  <c:v>90.250198570293875</c:v>
                </c:pt>
                <c:pt idx="7">
                  <c:v>90.250198570293875</c:v>
                </c:pt>
                <c:pt idx="8">
                  <c:v>90.250198570293875</c:v>
                </c:pt>
                <c:pt idx="9">
                  <c:v>90.250198570293875</c:v>
                </c:pt>
                <c:pt idx="10">
                  <c:v>87.385250128932427</c:v>
                </c:pt>
                <c:pt idx="11">
                  <c:v>87.385250128932427</c:v>
                </c:pt>
                <c:pt idx="12">
                  <c:v>87.385250128932427</c:v>
                </c:pt>
                <c:pt idx="13">
                  <c:v>87.385250128932427</c:v>
                </c:pt>
                <c:pt idx="14">
                  <c:v>87.385250128932427</c:v>
                </c:pt>
                <c:pt idx="15">
                  <c:v>71.50882825040128</c:v>
                </c:pt>
                <c:pt idx="16">
                  <c:v>71.50882825040128</c:v>
                </c:pt>
                <c:pt idx="17">
                  <c:v>71.50882825040128</c:v>
                </c:pt>
                <c:pt idx="18">
                  <c:v>71.50882825040128</c:v>
                </c:pt>
                <c:pt idx="19">
                  <c:v>71.50882825040128</c:v>
                </c:pt>
                <c:pt idx="20">
                  <c:v>84.415200354872113</c:v>
                </c:pt>
                <c:pt idx="21">
                  <c:v>84.415200354872113</c:v>
                </c:pt>
                <c:pt idx="22">
                  <c:v>84.415200354872113</c:v>
                </c:pt>
                <c:pt idx="23">
                  <c:v>84.415200354872113</c:v>
                </c:pt>
                <c:pt idx="24">
                  <c:v>84.415200354872113</c:v>
                </c:pt>
                <c:pt idx="25">
                  <c:v>78.62046058458813</c:v>
                </c:pt>
                <c:pt idx="26">
                  <c:v>78.62046058458813</c:v>
                </c:pt>
                <c:pt idx="27">
                  <c:v>78.62046058458813</c:v>
                </c:pt>
                <c:pt idx="28">
                  <c:v>78.62046058458813</c:v>
                </c:pt>
                <c:pt idx="29">
                  <c:v>78.62046058458813</c:v>
                </c:pt>
                <c:pt idx="30">
                  <c:v>53.034300791556731</c:v>
                </c:pt>
                <c:pt idx="31">
                  <c:v>53.034300791556731</c:v>
                </c:pt>
                <c:pt idx="32">
                  <c:v>53.034300791556731</c:v>
                </c:pt>
                <c:pt idx="33">
                  <c:v>53.034300791556731</c:v>
                </c:pt>
                <c:pt idx="34">
                  <c:v>53.034300791556731</c:v>
                </c:pt>
                <c:pt idx="35">
                  <c:v>124.46808510638297</c:v>
                </c:pt>
                <c:pt idx="36">
                  <c:v>124.46808510638297</c:v>
                </c:pt>
                <c:pt idx="37">
                  <c:v>124.46808510638297</c:v>
                </c:pt>
                <c:pt idx="38">
                  <c:v>124.46808510638297</c:v>
                </c:pt>
                <c:pt idx="39">
                  <c:v>124.46808510638297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6-4787-AB26-12F7E152107E}"/>
            </c:ext>
          </c:extLst>
        </c:ser>
        <c:ser>
          <c:idx val="1"/>
          <c:order val="1"/>
          <c:tx>
            <c:strRef>
              <c:f>'1960'!$Q$14</c:f>
              <c:strCache>
                <c:ptCount val="1"/>
                <c:pt idx="0">
                  <c:v>% 1936-1939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'1960'!$O$15:$O$54</c:f>
              <c:numCache>
                <c:formatCode>General</c:formatCode>
                <c:ptCount val="4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</c:numCache>
            </c:numRef>
          </c:xVal>
          <c:yVal>
            <c:numRef>
              <c:f>'1960'!$Q$15:$Q$54</c:f>
              <c:numCache>
                <c:formatCode>0.0</c:formatCode>
                <c:ptCount val="40"/>
                <c:pt idx="0">
                  <c:v>102.66343825665858</c:v>
                </c:pt>
                <c:pt idx="1">
                  <c:v>102.66343825665858</c:v>
                </c:pt>
                <c:pt idx="2">
                  <c:v>102.66343825665858</c:v>
                </c:pt>
                <c:pt idx="3">
                  <c:v>102.66343825665858</c:v>
                </c:pt>
                <c:pt idx="4">
                  <c:v>102.66343825665858</c:v>
                </c:pt>
                <c:pt idx="5">
                  <c:v>89.694201747418575</c:v>
                </c:pt>
                <c:pt idx="6">
                  <c:v>89.694201747418575</c:v>
                </c:pt>
                <c:pt idx="7">
                  <c:v>89.694201747418575</c:v>
                </c:pt>
                <c:pt idx="8">
                  <c:v>89.694201747418575</c:v>
                </c:pt>
                <c:pt idx="9">
                  <c:v>89.694201747418575</c:v>
                </c:pt>
                <c:pt idx="10">
                  <c:v>84.824651882413605</c:v>
                </c:pt>
                <c:pt idx="11">
                  <c:v>84.824651882413605</c:v>
                </c:pt>
                <c:pt idx="12">
                  <c:v>84.824651882413605</c:v>
                </c:pt>
                <c:pt idx="13">
                  <c:v>84.824651882413605</c:v>
                </c:pt>
                <c:pt idx="14">
                  <c:v>84.824651882413605</c:v>
                </c:pt>
                <c:pt idx="15">
                  <c:v>70.072231139646874</c:v>
                </c:pt>
                <c:pt idx="16">
                  <c:v>70.072231139646874</c:v>
                </c:pt>
                <c:pt idx="17">
                  <c:v>70.072231139646874</c:v>
                </c:pt>
                <c:pt idx="18">
                  <c:v>70.072231139646874</c:v>
                </c:pt>
                <c:pt idx="19">
                  <c:v>70.072231139646874</c:v>
                </c:pt>
                <c:pt idx="20">
                  <c:v>84.348661836463094</c:v>
                </c:pt>
                <c:pt idx="21">
                  <c:v>84.348661836463094</c:v>
                </c:pt>
                <c:pt idx="22">
                  <c:v>84.348661836463094</c:v>
                </c:pt>
                <c:pt idx="23">
                  <c:v>84.348661836463094</c:v>
                </c:pt>
                <c:pt idx="24">
                  <c:v>84.348661836463094</c:v>
                </c:pt>
                <c:pt idx="25">
                  <c:v>76.94309123117803</c:v>
                </c:pt>
                <c:pt idx="26">
                  <c:v>76.94309123117803</c:v>
                </c:pt>
                <c:pt idx="27">
                  <c:v>76.94309123117803</c:v>
                </c:pt>
                <c:pt idx="28">
                  <c:v>76.94309123117803</c:v>
                </c:pt>
                <c:pt idx="29">
                  <c:v>76.94309123117803</c:v>
                </c:pt>
                <c:pt idx="30">
                  <c:v>54.934036939313991</c:v>
                </c:pt>
                <c:pt idx="31">
                  <c:v>54.934036939313991</c:v>
                </c:pt>
                <c:pt idx="32">
                  <c:v>54.934036939313991</c:v>
                </c:pt>
                <c:pt idx="33">
                  <c:v>54.934036939313991</c:v>
                </c:pt>
                <c:pt idx="34">
                  <c:v>54.934036939313991</c:v>
                </c:pt>
                <c:pt idx="35">
                  <c:v>107.71276595744681</c:v>
                </c:pt>
                <c:pt idx="36">
                  <c:v>107.71276595744681</c:v>
                </c:pt>
                <c:pt idx="37">
                  <c:v>107.71276595744681</c:v>
                </c:pt>
                <c:pt idx="38">
                  <c:v>107.71276595744681</c:v>
                </c:pt>
                <c:pt idx="39">
                  <c:v>107.71276595744681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6-4787-AB26-12F7E1521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225280"/>
        <c:axId val="709224296"/>
      </c:scatterChart>
      <c:valAx>
        <c:axId val="709225280"/>
        <c:scaling>
          <c:orientation val="minMax"/>
          <c:max val="5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 baseline="0"/>
                  <a:t>возраст</a:t>
                </a:r>
                <a:endParaRPr lang="de-DE" sz="1400" b="1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224296"/>
        <c:crosses val="autoZero"/>
        <c:crossBetween val="midCat"/>
      </c:valAx>
      <c:valAx>
        <c:axId val="709224296"/>
        <c:scaling>
          <c:orientation val="minMax"/>
          <c:max val="13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225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618172</xdr:colOff>
      <xdr:row>2</xdr:row>
      <xdr:rowOff>170497</xdr:rowOff>
    </xdr:from>
    <xdr:to>
      <xdr:col>31</xdr:col>
      <xdr:colOff>9525</xdr:colOff>
      <xdr:row>44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FE4D1-55D9-E4C6-41F5-29FB6E55D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141920</xdr:rowOff>
    </xdr:from>
    <xdr:to>
      <xdr:col>20</xdr:col>
      <xdr:colOff>609600</xdr:colOff>
      <xdr:row>49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0A3C84-EC3B-8CBF-BEE7-BAF1FB12F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676274</xdr:colOff>
      <xdr:row>12</xdr:row>
      <xdr:rowOff>180974</xdr:rowOff>
    </xdr:from>
    <xdr:to>
      <xdr:col>33</xdr:col>
      <xdr:colOff>57149</xdr:colOff>
      <xdr:row>54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179B0-D1DC-4E85-A55C-5FABAB340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666749</xdr:colOff>
      <xdr:row>13</xdr:row>
      <xdr:rowOff>0</xdr:rowOff>
    </xdr:from>
    <xdr:to>
      <xdr:col>32</xdr:col>
      <xdr:colOff>676275</xdr:colOff>
      <xdr:row>54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C38105-CF23-43D8-8A32-C956357F5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2A61-3142-4157-8331-BDC7BA4E7FE3}">
  <dimension ref="A1:A17"/>
  <sheetViews>
    <sheetView workbookViewId="0">
      <selection activeCell="A12" sqref="A12"/>
    </sheetView>
  </sheetViews>
  <sheetFormatPr defaultRowHeight="14.25"/>
  <sheetData>
    <row r="1" spans="1:1" ht="15">
      <c r="A1" s="2" t="s">
        <v>10</v>
      </c>
    </row>
    <row r="3" spans="1:1" ht="15">
      <c r="A3" s="2" t="s">
        <v>11</v>
      </c>
    </row>
    <row r="5" spans="1:1">
      <c r="A5" t="s">
        <v>14</v>
      </c>
    </row>
    <row r="7" spans="1:1">
      <c r="A7" t="s">
        <v>15</v>
      </c>
    </row>
    <row r="8" spans="1:1">
      <c r="A8" t="s">
        <v>12</v>
      </c>
    </row>
    <row r="9" spans="1:1">
      <c r="A9" t="s">
        <v>13</v>
      </c>
    </row>
    <row r="11" spans="1:1">
      <c r="A11" t="s">
        <v>19</v>
      </c>
    </row>
    <row r="13" spans="1:1" ht="15">
      <c r="A13" s="2" t="s">
        <v>16</v>
      </c>
    </row>
    <row r="14" spans="1:1">
      <c r="A14" t="s">
        <v>4</v>
      </c>
    </row>
    <row r="15" spans="1:1">
      <c r="A15" t="s">
        <v>5</v>
      </c>
    </row>
    <row r="16" spans="1:1">
      <c r="A16" t="s">
        <v>17</v>
      </c>
    </row>
    <row r="17" spans="1:1">
      <c r="A1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4307-30B1-4482-842C-0255CC0D97D3}">
  <dimension ref="A1:O87"/>
  <sheetViews>
    <sheetView workbookViewId="0">
      <selection activeCell="A46" sqref="A46"/>
    </sheetView>
  </sheetViews>
  <sheetFormatPr defaultRowHeight="14.25"/>
  <sheetData>
    <row r="1" spans="1:15">
      <c r="A1" t="s">
        <v>6</v>
      </c>
    </row>
    <row r="3" spans="1:15" ht="15">
      <c r="A3" s="3" t="s">
        <v>0</v>
      </c>
      <c r="B3" s="3">
        <v>1927</v>
      </c>
      <c r="C3" s="3">
        <v>1928</v>
      </c>
      <c r="D3" s="3">
        <v>1929</v>
      </c>
      <c r="E3" s="3"/>
      <c r="F3" s="3" t="s">
        <v>1</v>
      </c>
      <c r="G3" s="3"/>
      <c r="H3" s="3">
        <v>1936</v>
      </c>
      <c r="I3" s="3">
        <v>1937</v>
      </c>
      <c r="J3" s="3">
        <v>1938</v>
      </c>
      <c r="K3" s="3">
        <v>1939</v>
      </c>
      <c r="M3" s="2" t="s">
        <v>2</v>
      </c>
      <c r="O3" s="3" t="s">
        <v>3</v>
      </c>
    </row>
    <row r="5" spans="1:15">
      <c r="A5">
        <v>15</v>
      </c>
      <c r="B5" s="1">
        <v>15.084300000000001</v>
      </c>
      <c r="C5" s="1">
        <v>11.299899999999999</v>
      </c>
      <c r="D5" s="1">
        <v>23.007300000000001</v>
      </c>
      <c r="E5" s="1"/>
      <c r="F5" s="1">
        <f>AVERAGE(B5:D5)</f>
        <v>16.463833333333334</v>
      </c>
      <c r="G5" s="1"/>
      <c r="H5" s="1">
        <v>22.9819</v>
      </c>
      <c r="I5" s="1">
        <v>13.534000000000001</v>
      </c>
      <c r="J5" s="1">
        <v>16.322500000000002</v>
      </c>
      <c r="K5" s="1">
        <v>15.4419</v>
      </c>
      <c r="M5" s="1">
        <f>AVERAGE(H5:K5)</f>
        <v>17.070075000000003</v>
      </c>
      <c r="O5" s="4">
        <f>100*M5/F5</f>
        <v>103.68226314244355</v>
      </c>
    </row>
    <row r="6" spans="1:15">
      <c r="A6">
        <v>16</v>
      </c>
      <c r="B6" s="1">
        <v>18.971800000000002</v>
      </c>
      <c r="C6" s="1">
        <v>14.935700000000001</v>
      </c>
      <c r="D6" s="1">
        <v>27.309699999999999</v>
      </c>
      <c r="E6" s="1"/>
      <c r="F6" s="1">
        <f t="shared" ref="F6:F44" si="0">AVERAGE(B6:D6)</f>
        <v>20.405733333333334</v>
      </c>
      <c r="G6" s="1"/>
      <c r="H6" s="1">
        <v>26.796199999999999</v>
      </c>
      <c r="I6" s="1">
        <v>17.041899999999998</v>
      </c>
      <c r="J6" s="1">
        <v>19.8582</v>
      </c>
      <c r="K6" s="1">
        <v>18.993500000000001</v>
      </c>
      <c r="M6" s="1">
        <f t="shared" ref="M6:M44" si="1">AVERAGE(H6:K6)</f>
        <v>20.672449999999998</v>
      </c>
      <c r="O6" s="4">
        <f t="shared" ref="O6:O44" si="2">100*M6/F6</f>
        <v>101.30706729481255</v>
      </c>
    </row>
    <row r="7" spans="1:15">
      <c r="A7">
        <v>17</v>
      </c>
      <c r="B7" s="1">
        <v>28.135400000000001</v>
      </c>
      <c r="C7" s="1">
        <v>23.7883</v>
      </c>
      <c r="D7" s="1">
        <v>37.082999999999998</v>
      </c>
      <c r="E7" s="1"/>
      <c r="F7" s="1">
        <f t="shared" si="0"/>
        <v>29.668899999999997</v>
      </c>
      <c r="G7" s="1"/>
      <c r="H7" s="1">
        <v>35.363999999999997</v>
      </c>
      <c r="I7" s="1">
        <v>25.3172</v>
      </c>
      <c r="J7" s="1">
        <v>28.016500000000001</v>
      </c>
      <c r="K7" s="1">
        <v>27.246099999999998</v>
      </c>
      <c r="M7" s="1">
        <f t="shared" si="1"/>
        <v>28.985949999999999</v>
      </c>
      <c r="O7" s="4">
        <f t="shared" si="2"/>
        <v>97.698094637819409</v>
      </c>
    </row>
    <row r="8" spans="1:15">
      <c r="A8">
        <v>18</v>
      </c>
      <c r="B8" s="1">
        <v>46.382599999999996</v>
      </c>
      <c r="C8" s="1">
        <v>42.250500000000002</v>
      </c>
      <c r="D8" s="1">
        <v>55.5242</v>
      </c>
      <c r="E8" s="1"/>
      <c r="F8" s="1">
        <f t="shared" si="0"/>
        <v>48.052433333333333</v>
      </c>
      <c r="G8" s="1"/>
      <c r="H8" s="1">
        <v>51.2654</v>
      </c>
      <c r="I8" s="1">
        <v>41.815100000000001</v>
      </c>
      <c r="J8" s="1">
        <v>43.767200000000003</v>
      </c>
      <c r="K8" s="1">
        <v>43.3431</v>
      </c>
      <c r="M8" s="1">
        <f t="shared" si="1"/>
        <v>45.047699999999999</v>
      </c>
      <c r="O8" s="4">
        <f t="shared" si="2"/>
        <v>93.746969456281434</v>
      </c>
    </row>
    <row r="9" spans="1:15">
      <c r="A9">
        <v>19</v>
      </c>
      <c r="B9" s="1">
        <v>78.425799999999995</v>
      </c>
      <c r="C9" s="1">
        <v>76.225499999999997</v>
      </c>
      <c r="D9" s="1">
        <v>86.075800000000001</v>
      </c>
      <c r="E9" s="1"/>
      <c r="F9" s="1">
        <f t="shared" si="0"/>
        <v>80.242366666666669</v>
      </c>
      <c r="G9" s="1"/>
      <c r="H9" s="1">
        <v>77.092500000000001</v>
      </c>
      <c r="I9" s="1">
        <v>70.791799999999995</v>
      </c>
      <c r="J9" s="1">
        <v>70.535600000000002</v>
      </c>
      <c r="K9" s="1">
        <v>70.975399999999993</v>
      </c>
      <c r="M9" s="1">
        <f t="shared" si="1"/>
        <v>72.348824999999991</v>
      </c>
      <c r="O9" s="4">
        <f t="shared" si="2"/>
        <v>90.162875305688459</v>
      </c>
    </row>
    <row r="10" spans="1:15">
      <c r="A10">
        <v>20</v>
      </c>
      <c r="B10" s="1">
        <v>147.04169999999999</v>
      </c>
      <c r="C10" s="1">
        <v>155.71090000000001</v>
      </c>
      <c r="D10" s="1">
        <v>145.15719999999999</v>
      </c>
      <c r="E10" s="1"/>
      <c r="F10" s="1">
        <f t="shared" si="0"/>
        <v>149.30326666666667</v>
      </c>
      <c r="G10" s="1"/>
      <c r="H10" s="1">
        <v>125.7461</v>
      </c>
      <c r="I10" s="1">
        <v>133.25470000000001</v>
      </c>
      <c r="J10" s="1">
        <v>124.5321</v>
      </c>
      <c r="K10" s="1">
        <v>128.07579999999999</v>
      </c>
      <c r="M10" s="1">
        <f t="shared" si="1"/>
        <v>127.902175</v>
      </c>
      <c r="O10" s="4">
        <f t="shared" si="2"/>
        <v>85.666025838237971</v>
      </c>
    </row>
    <row r="11" spans="1:15">
      <c r="A11">
        <v>21</v>
      </c>
      <c r="B11" s="1">
        <v>201.40969999999999</v>
      </c>
      <c r="C11" s="1">
        <v>216.32409999999999</v>
      </c>
      <c r="D11" s="1">
        <v>192.62379999999999</v>
      </c>
      <c r="E11" s="1"/>
      <c r="F11" s="1">
        <f t="shared" si="0"/>
        <v>203.45253333333332</v>
      </c>
      <c r="G11" s="1"/>
      <c r="H11" s="1">
        <v>163.517</v>
      </c>
      <c r="I11" s="1">
        <v>181.36340000000001</v>
      </c>
      <c r="J11" s="1">
        <v>168.1233</v>
      </c>
      <c r="K11" s="1">
        <v>172.71860000000001</v>
      </c>
      <c r="M11" s="1">
        <f t="shared" si="1"/>
        <v>171.430575</v>
      </c>
      <c r="O11" s="4">
        <f t="shared" si="2"/>
        <v>84.260722730412468</v>
      </c>
    </row>
    <row r="12" spans="1:15">
      <c r="A12">
        <v>22</v>
      </c>
      <c r="B12" s="1">
        <v>247.107</v>
      </c>
      <c r="C12" s="1">
        <v>264.43389999999999</v>
      </c>
      <c r="D12" s="1">
        <v>233.05950000000001</v>
      </c>
      <c r="E12" s="1"/>
      <c r="F12" s="1">
        <f t="shared" si="0"/>
        <v>248.20013333333335</v>
      </c>
      <c r="G12" s="1"/>
      <c r="H12" s="1">
        <v>193.9811</v>
      </c>
      <c r="I12" s="1">
        <v>219.98580000000001</v>
      </c>
      <c r="J12" s="1">
        <v>205.65440000000001</v>
      </c>
      <c r="K12" s="1">
        <v>209.34790000000001</v>
      </c>
      <c r="M12" s="1">
        <f t="shared" si="1"/>
        <v>207.2423</v>
      </c>
      <c r="O12" s="4">
        <f t="shared" si="2"/>
        <v>83.498061510576676</v>
      </c>
    </row>
    <row r="13" spans="1:15">
      <c r="A13">
        <v>23</v>
      </c>
      <c r="B13" s="1">
        <v>281.12909999999999</v>
      </c>
      <c r="C13" s="1">
        <v>295.96269999999998</v>
      </c>
      <c r="D13" s="1">
        <v>264.17899999999997</v>
      </c>
      <c r="E13" s="1"/>
      <c r="F13" s="1">
        <f t="shared" si="0"/>
        <v>280.42359999999996</v>
      </c>
      <c r="G13" s="1"/>
      <c r="H13" s="1">
        <v>215.1121</v>
      </c>
      <c r="I13" s="1">
        <v>246.1446</v>
      </c>
      <c r="J13" s="1">
        <v>235.0103</v>
      </c>
      <c r="K13" s="1">
        <v>235.4239</v>
      </c>
      <c r="M13" s="1">
        <f t="shared" si="1"/>
        <v>232.92272500000001</v>
      </c>
      <c r="O13" s="4">
        <f t="shared" si="2"/>
        <v>83.061028030451098</v>
      </c>
    </row>
    <row r="14" spans="1:15">
      <c r="A14">
        <v>24</v>
      </c>
      <c r="B14" s="1">
        <v>302.3125</v>
      </c>
      <c r="C14" s="1">
        <v>309.5684</v>
      </c>
      <c r="D14" s="1">
        <v>284.98050000000001</v>
      </c>
      <c r="E14" s="1"/>
      <c r="F14" s="1">
        <f t="shared" si="0"/>
        <v>298.9538</v>
      </c>
      <c r="G14" s="1"/>
      <c r="H14" s="1">
        <v>226.1437</v>
      </c>
      <c r="I14" s="1">
        <v>258.75139999999999</v>
      </c>
      <c r="J14" s="1">
        <v>255.1799</v>
      </c>
      <c r="K14" s="1">
        <v>249.93379999999999</v>
      </c>
      <c r="M14" s="1">
        <f t="shared" si="1"/>
        <v>247.50219999999999</v>
      </c>
      <c r="O14" s="4">
        <f t="shared" si="2"/>
        <v>82.789447734064581</v>
      </c>
    </row>
    <row r="15" spans="1:15">
      <c r="A15">
        <v>25</v>
      </c>
      <c r="B15" s="1">
        <v>305.96429999999998</v>
      </c>
      <c r="C15" s="1">
        <v>299.01060000000001</v>
      </c>
      <c r="D15" s="1">
        <v>292.7441</v>
      </c>
      <c r="E15" s="1"/>
      <c r="F15" s="1">
        <f t="shared" si="0"/>
        <v>299.23966666666666</v>
      </c>
      <c r="G15" s="1"/>
      <c r="H15" s="1">
        <v>224.50049999999999</v>
      </c>
      <c r="I15" s="1">
        <v>253.83019999999999</v>
      </c>
      <c r="J15" s="1">
        <v>264.2679</v>
      </c>
      <c r="K15" s="1">
        <v>249.70230000000001</v>
      </c>
      <c r="M15" s="1">
        <f t="shared" si="1"/>
        <v>248.07522500000002</v>
      </c>
      <c r="O15" s="4">
        <f t="shared" si="2"/>
        <v>82.901851804406505</v>
      </c>
    </row>
    <row r="16" spans="1:15">
      <c r="A16">
        <v>26</v>
      </c>
      <c r="B16" s="1">
        <v>313.02179999999998</v>
      </c>
      <c r="C16" s="1">
        <v>295.7242</v>
      </c>
      <c r="D16" s="1">
        <v>297.98200000000003</v>
      </c>
      <c r="E16" s="1"/>
      <c r="F16" s="1">
        <f t="shared" si="0"/>
        <v>302.24266666666671</v>
      </c>
      <c r="G16" s="1"/>
      <c r="H16" s="1">
        <v>221.971</v>
      </c>
      <c r="I16" s="1">
        <v>250.31530000000001</v>
      </c>
      <c r="J16" s="1">
        <v>268.197</v>
      </c>
      <c r="K16" s="1">
        <v>248.72919999999999</v>
      </c>
      <c r="M16" s="1">
        <f t="shared" si="1"/>
        <v>247.30312499999999</v>
      </c>
      <c r="O16" s="4">
        <f t="shared" si="2"/>
        <v>81.822704824379514</v>
      </c>
    </row>
    <row r="17" spans="1:15">
      <c r="A17">
        <v>27</v>
      </c>
      <c r="B17" s="1">
        <v>319.85809999999998</v>
      </c>
      <c r="C17" s="1">
        <v>294.21499999999997</v>
      </c>
      <c r="D17" s="1">
        <v>298.77319999999997</v>
      </c>
      <c r="E17" s="1"/>
      <c r="F17" s="1">
        <f t="shared" si="0"/>
        <v>304.28209999999996</v>
      </c>
      <c r="G17" s="1"/>
      <c r="H17" s="1">
        <v>216.5385</v>
      </c>
      <c r="I17" s="1">
        <v>244.9426</v>
      </c>
      <c r="J17" s="1">
        <v>265.80919999999998</v>
      </c>
      <c r="K17" s="1">
        <v>244.59270000000001</v>
      </c>
      <c r="M17" s="1">
        <f t="shared" si="1"/>
        <v>242.97074999999998</v>
      </c>
      <c r="O17" s="4">
        <f t="shared" si="2"/>
        <v>79.850490712401424</v>
      </c>
    </row>
    <row r="18" spans="1:15">
      <c r="A18">
        <v>28</v>
      </c>
      <c r="B18" s="1">
        <v>326.86380000000003</v>
      </c>
      <c r="C18" s="1">
        <v>295.04790000000003</v>
      </c>
      <c r="D18" s="1">
        <v>295.28910000000002</v>
      </c>
      <c r="E18" s="1"/>
      <c r="F18" s="1">
        <f t="shared" si="0"/>
        <v>305.73360000000002</v>
      </c>
      <c r="G18" s="1"/>
      <c r="H18" s="1">
        <v>208.47239999999999</v>
      </c>
      <c r="I18" s="1">
        <v>238.08109999999999</v>
      </c>
      <c r="J18" s="1">
        <v>257.25619999999998</v>
      </c>
      <c r="K18" s="1">
        <v>237.5873</v>
      </c>
      <c r="M18" s="1">
        <f t="shared" si="1"/>
        <v>235.34925000000001</v>
      </c>
      <c r="O18" s="4">
        <f t="shared" si="2"/>
        <v>76.978536215842809</v>
      </c>
    </row>
    <row r="19" spans="1:15">
      <c r="A19">
        <v>29</v>
      </c>
      <c r="B19" s="1">
        <v>333.79199999999997</v>
      </c>
      <c r="C19" s="1">
        <v>298.00229999999999</v>
      </c>
      <c r="D19" s="1">
        <v>287.71159999999998</v>
      </c>
      <c r="E19" s="1"/>
      <c r="F19" s="1">
        <f t="shared" si="0"/>
        <v>306.50196666666665</v>
      </c>
      <c r="G19" s="1"/>
      <c r="H19" s="1">
        <v>198.01759999999999</v>
      </c>
      <c r="I19" s="1">
        <v>229.83090000000001</v>
      </c>
      <c r="J19" s="1">
        <v>242.96969999999999</v>
      </c>
      <c r="K19" s="1">
        <v>227.88849999999999</v>
      </c>
      <c r="M19" s="1">
        <f t="shared" si="1"/>
        <v>224.67667499999999</v>
      </c>
      <c r="O19" s="4">
        <f t="shared" si="2"/>
        <v>73.303501913364556</v>
      </c>
    </row>
    <row r="20" spans="1:15">
      <c r="A20">
        <v>30</v>
      </c>
      <c r="B20" s="1">
        <v>342.84070000000003</v>
      </c>
      <c r="C20" s="1">
        <v>304.97620000000001</v>
      </c>
      <c r="D20" s="1">
        <v>274.76679999999999</v>
      </c>
      <c r="E20" s="1"/>
      <c r="F20" s="1">
        <f t="shared" si="0"/>
        <v>307.52789999999999</v>
      </c>
      <c r="G20" s="1"/>
      <c r="H20" s="1">
        <v>183.76480000000001</v>
      </c>
      <c r="I20" s="1">
        <v>219.4914</v>
      </c>
      <c r="J20" s="1">
        <v>220.9699</v>
      </c>
      <c r="K20" s="1">
        <v>214.56979999999999</v>
      </c>
      <c r="M20" s="1">
        <f t="shared" si="1"/>
        <v>209.69897500000002</v>
      </c>
      <c r="O20" s="4">
        <f t="shared" si="2"/>
        <v>68.188601749629882</v>
      </c>
    </row>
    <row r="21" spans="1:15">
      <c r="A21">
        <v>31</v>
      </c>
      <c r="B21" s="1">
        <v>341.39109999999999</v>
      </c>
      <c r="C21" s="1">
        <v>305.22969999999998</v>
      </c>
      <c r="D21" s="1">
        <v>264.58</v>
      </c>
      <c r="E21" s="1"/>
      <c r="F21" s="1">
        <f t="shared" si="0"/>
        <v>303.73359999999997</v>
      </c>
      <c r="G21" s="1"/>
      <c r="H21" s="1">
        <v>174.72450000000001</v>
      </c>
      <c r="I21" s="1">
        <v>211.44069999999999</v>
      </c>
      <c r="J21" s="1">
        <v>205.0581</v>
      </c>
      <c r="K21" s="1">
        <v>203.77090000000001</v>
      </c>
      <c r="M21" s="1">
        <f t="shared" si="1"/>
        <v>198.74854999999999</v>
      </c>
      <c r="O21" s="4">
        <f t="shared" si="2"/>
        <v>65.435154358951408</v>
      </c>
    </row>
    <row r="22" spans="1:15">
      <c r="A22">
        <v>32</v>
      </c>
      <c r="B22" s="1">
        <v>331.64049999999997</v>
      </c>
      <c r="C22" s="1">
        <v>300.61059999999998</v>
      </c>
      <c r="D22" s="1">
        <v>255.67</v>
      </c>
      <c r="E22" s="1"/>
      <c r="F22" s="1">
        <f t="shared" si="0"/>
        <v>295.97369999999995</v>
      </c>
      <c r="G22" s="1"/>
      <c r="H22" s="1">
        <v>169.09360000000001</v>
      </c>
      <c r="I22" s="1">
        <v>204.84540000000001</v>
      </c>
      <c r="J22" s="1">
        <v>192.48509999999999</v>
      </c>
      <c r="K22" s="1">
        <v>194.328</v>
      </c>
      <c r="M22" s="1">
        <f t="shared" si="1"/>
        <v>190.18802499999998</v>
      </c>
      <c r="O22" s="4">
        <f t="shared" si="2"/>
        <v>64.258420596154323</v>
      </c>
    </row>
    <row r="23" spans="1:15">
      <c r="A23">
        <v>33</v>
      </c>
      <c r="B23" s="1">
        <v>313.58850000000001</v>
      </c>
      <c r="C23" s="1">
        <v>290.99650000000003</v>
      </c>
      <c r="D23" s="1">
        <v>248.14510000000001</v>
      </c>
      <c r="E23" s="1"/>
      <c r="F23" s="1">
        <f t="shared" si="0"/>
        <v>284.24336666666665</v>
      </c>
      <c r="G23" s="1"/>
      <c r="H23" s="1">
        <v>166.9385</v>
      </c>
      <c r="I23" s="1">
        <v>199.74629999999999</v>
      </c>
      <c r="J23" s="1">
        <v>183.2954</v>
      </c>
      <c r="K23" s="1">
        <v>186.28980000000001</v>
      </c>
      <c r="M23" s="1">
        <f t="shared" si="1"/>
        <v>184.0675</v>
      </c>
      <c r="O23" s="4">
        <f t="shared" si="2"/>
        <v>64.757008108427272</v>
      </c>
    </row>
    <row r="24" spans="1:15">
      <c r="A24">
        <v>34</v>
      </c>
      <c r="B24" s="1">
        <v>288.03919999999999</v>
      </c>
      <c r="C24" s="1">
        <v>276.68700000000001</v>
      </c>
      <c r="D24" s="1">
        <v>241.8382</v>
      </c>
      <c r="E24" s="1"/>
      <c r="F24" s="1">
        <f t="shared" si="0"/>
        <v>268.85480000000001</v>
      </c>
      <c r="G24" s="1"/>
      <c r="H24" s="1">
        <v>167.9785</v>
      </c>
      <c r="I24" s="1">
        <v>195.97620000000001</v>
      </c>
      <c r="J24" s="1">
        <v>177.19149999999999</v>
      </c>
      <c r="K24" s="1">
        <v>179.54150000000001</v>
      </c>
      <c r="M24" s="1">
        <f t="shared" si="1"/>
        <v>180.17192500000002</v>
      </c>
      <c r="O24" s="4">
        <f t="shared" si="2"/>
        <v>67.014583708380883</v>
      </c>
    </row>
    <row r="25" spans="1:15">
      <c r="A25">
        <v>35</v>
      </c>
      <c r="B25" s="1">
        <v>252.3509</v>
      </c>
      <c r="C25" s="1">
        <v>256.68110000000001</v>
      </c>
      <c r="D25" s="1">
        <v>237.86699999999999</v>
      </c>
      <c r="E25" s="1"/>
      <c r="F25" s="1">
        <f t="shared" si="0"/>
        <v>248.96633333333332</v>
      </c>
      <c r="G25" s="1"/>
      <c r="H25" s="1">
        <v>174.43709999999999</v>
      </c>
      <c r="I25" s="1">
        <v>194.7286</v>
      </c>
      <c r="J25" s="1">
        <v>175.25810000000001</v>
      </c>
      <c r="K25" s="1">
        <v>174.5317</v>
      </c>
      <c r="M25" s="1">
        <f t="shared" si="1"/>
        <v>179.73887500000001</v>
      </c>
      <c r="O25" s="4">
        <f t="shared" si="2"/>
        <v>72.194048325141694</v>
      </c>
    </row>
    <row r="26" spans="1:15">
      <c r="A26">
        <v>36</v>
      </c>
      <c r="B26" s="1">
        <v>226.3141</v>
      </c>
      <c r="C26" s="1">
        <v>238.4425</v>
      </c>
      <c r="D26" s="1">
        <v>229.57640000000001</v>
      </c>
      <c r="E26" s="1"/>
      <c r="F26" s="1">
        <f t="shared" si="0"/>
        <v>231.44433333333333</v>
      </c>
      <c r="G26" s="1"/>
      <c r="H26" s="1">
        <v>173.75700000000001</v>
      </c>
      <c r="I26" s="1">
        <v>188.9616</v>
      </c>
      <c r="J26" s="1">
        <v>170.5864</v>
      </c>
      <c r="K26" s="1">
        <v>168.3579</v>
      </c>
      <c r="M26" s="1">
        <f t="shared" si="1"/>
        <v>175.41572500000001</v>
      </c>
      <c r="O26" s="4">
        <f t="shared" si="2"/>
        <v>75.791756261044782</v>
      </c>
    </row>
    <row r="27" spans="1:15">
      <c r="A27">
        <v>37</v>
      </c>
      <c r="B27" s="1">
        <v>205.65969999999999</v>
      </c>
      <c r="C27" s="1">
        <v>220.61859999999999</v>
      </c>
      <c r="D27" s="1">
        <v>218.25069999999999</v>
      </c>
      <c r="E27" s="1"/>
      <c r="F27" s="1">
        <f t="shared" si="0"/>
        <v>214.84299999999999</v>
      </c>
      <c r="G27" s="1"/>
      <c r="H27" s="1">
        <v>168.11660000000001</v>
      </c>
      <c r="I27" s="1">
        <v>180.00880000000001</v>
      </c>
      <c r="J27" s="1">
        <v>164.42930000000001</v>
      </c>
      <c r="K27" s="1">
        <v>161.5549</v>
      </c>
      <c r="M27" s="1">
        <f t="shared" si="1"/>
        <v>168.5274</v>
      </c>
      <c r="O27" s="4">
        <f t="shared" si="2"/>
        <v>78.442118197939905</v>
      </c>
    </row>
    <row r="28" spans="1:15">
      <c r="A28">
        <v>38</v>
      </c>
      <c r="B28" s="1">
        <v>190.25290000000001</v>
      </c>
      <c r="C28" s="1">
        <v>203.30410000000001</v>
      </c>
      <c r="D28" s="1">
        <v>203.9162</v>
      </c>
      <c r="E28" s="1"/>
      <c r="F28" s="1">
        <f t="shared" si="0"/>
        <v>199.15773333333334</v>
      </c>
      <c r="G28" s="1"/>
      <c r="H28" s="1">
        <v>157.44929999999999</v>
      </c>
      <c r="I28" s="1">
        <v>167.8937</v>
      </c>
      <c r="J28" s="1">
        <v>156.72049999999999</v>
      </c>
      <c r="K28" s="1">
        <v>154.1009</v>
      </c>
      <c r="M28" s="1">
        <f t="shared" si="1"/>
        <v>159.0411</v>
      </c>
      <c r="O28" s="4">
        <f t="shared" si="2"/>
        <v>79.85685383043122</v>
      </c>
    </row>
    <row r="29" spans="1:15">
      <c r="A29">
        <v>39</v>
      </c>
      <c r="B29" s="1">
        <v>179.42250000000001</v>
      </c>
      <c r="C29" s="1">
        <v>186.4537</v>
      </c>
      <c r="D29" s="1">
        <v>186.88980000000001</v>
      </c>
      <c r="E29" s="1"/>
      <c r="F29" s="1">
        <f t="shared" si="0"/>
        <v>184.25533333333337</v>
      </c>
      <c r="G29" s="1"/>
      <c r="H29" s="1">
        <v>142.23990000000001</v>
      </c>
      <c r="I29" s="1">
        <v>152.90729999999999</v>
      </c>
      <c r="J29" s="1">
        <v>147.50579999999999</v>
      </c>
      <c r="K29" s="1">
        <v>145.9546</v>
      </c>
      <c r="M29" s="1">
        <f t="shared" si="1"/>
        <v>147.15190000000001</v>
      </c>
      <c r="O29" s="4">
        <f t="shared" si="2"/>
        <v>79.863034267664787</v>
      </c>
    </row>
    <row r="30" spans="1:15">
      <c r="A30">
        <v>40</v>
      </c>
      <c r="B30" s="1">
        <v>175.4109</v>
      </c>
      <c r="C30" s="1">
        <v>170.00710000000001</v>
      </c>
      <c r="D30" s="1">
        <v>166.30609999999999</v>
      </c>
      <c r="E30" s="1"/>
      <c r="F30" s="1">
        <f t="shared" si="0"/>
        <v>170.57470000000001</v>
      </c>
      <c r="G30" s="1"/>
      <c r="H30" s="1">
        <v>121.4487</v>
      </c>
      <c r="I30" s="1">
        <v>134.61529999999999</v>
      </c>
      <c r="J30" s="1">
        <v>137.19499999999999</v>
      </c>
      <c r="K30" s="1">
        <v>137.86259999999999</v>
      </c>
      <c r="M30" s="1">
        <f t="shared" si="1"/>
        <v>132.78039999999999</v>
      </c>
      <c r="O30" s="4">
        <f t="shared" si="2"/>
        <v>77.842962643346283</v>
      </c>
    </row>
    <row r="31" spans="1:15">
      <c r="A31">
        <v>41</v>
      </c>
      <c r="B31" s="1">
        <v>163.5472</v>
      </c>
      <c r="C31" s="1">
        <v>154.05090000000001</v>
      </c>
      <c r="D31" s="1">
        <v>148.79239999999999</v>
      </c>
      <c r="E31" s="1"/>
      <c r="F31" s="1">
        <f t="shared" si="0"/>
        <v>155.46350000000001</v>
      </c>
      <c r="G31" s="1"/>
      <c r="H31" s="1">
        <v>104.3125</v>
      </c>
      <c r="I31" s="1">
        <v>117.3631</v>
      </c>
      <c r="J31" s="1">
        <v>124.0232</v>
      </c>
      <c r="K31" s="1">
        <v>125.74079999999999</v>
      </c>
      <c r="M31" s="1">
        <f t="shared" si="1"/>
        <v>117.8599</v>
      </c>
      <c r="O31" s="4">
        <f t="shared" si="2"/>
        <v>75.811942996265998</v>
      </c>
    </row>
    <row r="32" spans="1:15">
      <c r="A32">
        <v>42</v>
      </c>
      <c r="B32" s="1">
        <v>146.79810000000001</v>
      </c>
      <c r="C32" s="1">
        <v>138.51849999999999</v>
      </c>
      <c r="D32" s="1">
        <v>132.93889999999999</v>
      </c>
      <c r="E32" s="1"/>
      <c r="F32" s="1">
        <f t="shared" si="0"/>
        <v>139.41849999999999</v>
      </c>
      <c r="G32" s="1"/>
      <c r="H32" s="1">
        <v>88.850899999999996</v>
      </c>
      <c r="I32" s="1">
        <v>100.3373</v>
      </c>
      <c r="J32" s="1">
        <v>108.57769999999999</v>
      </c>
      <c r="K32" s="1">
        <v>110.63330000000001</v>
      </c>
      <c r="M32" s="1">
        <f t="shared" si="1"/>
        <v>102.0998</v>
      </c>
      <c r="O32" s="4">
        <f t="shared" si="2"/>
        <v>73.232605428978218</v>
      </c>
    </row>
    <row r="33" spans="1:15">
      <c r="A33">
        <v>43</v>
      </c>
      <c r="B33" s="1">
        <v>125.4024</v>
      </c>
      <c r="C33" s="1">
        <v>123.3704</v>
      </c>
      <c r="D33" s="1">
        <v>118.68600000000001</v>
      </c>
      <c r="E33" s="1"/>
      <c r="F33" s="1">
        <f t="shared" si="0"/>
        <v>122.48626666666667</v>
      </c>
      <c r="G33" s="1"/>
      <c r="H33" s="1">
        <v>74.964699999999993</v>
      </c>
      <c r="I33" s="1">
        <v>83.568899999999999</v>
      </c>
      <c r="J33" s="1">
        <v>91.099800000000002</v>
      </c>
      <c r="K33" s="1">
        <v>92.817899999999995</v>
      </c>
      <c r="M33" s="1">
        <f t="shared" si="1"/>
        <v>85.612825000000001</v>
      </c>
      <c r="O33" s="4">
        <f t="shared" si="2"/>
        <v>69.895856351786918</v>
      </c>
    </row>
    <row r="34" spans="1:15">
      <c r="A34">
        <v>44</v>
      </c>
      <c r="B34" s="1">
        <v>100.34139999999999</v>
      </c>
      <c r="C34" s="1">
        <v>108.5532</v>
      </c>
      <c r="D34" s="1">
        <v>105.7766</v>
      </c>
      <c r="E34" s="1"/>
      <c r="F34" s="1">
        <f t="shared" si="0"/>
        <v>104.8904</v>
      </c>
      <c r="G34" s="1"/>
      <c r="H34" s="1">
        <v>62.423200000000001</v>
      </c>
      <c r="I34" s="1">
        <v>67.115399999999994</v>
      </c>
      <c r="J34" s="1">
        <v>72.104299999999995</v>
      </c>
      <c r="K34" s="1">
        <v>72.945400000000006</v>
      </c>
      <c r="M34" s="1">
        <f t="shared" si="1"/>
        <v>68.647075000000001</v>
      </c>
      <c r="O34" s="4">
        <f t="shared" si="2"/>
        <v>65.446480326130896</v>
      </c>
    </row>
    <row r="35" spans="1:15">
      <c r="A35">
        <v>45</v>
      </c>
      <c r="B35" s="1">
        <v>69.563400000000001</v>
      </c>
      <c r="C35" s="1">
        <v>94.138800000000003</v>
      </c>
      <c r="D35" s="1">
        <v>94.832499999999996</v>
      </c>
      <c r="E35" s="1"/>
      <c r="F35" s="1">
        <f t="shared" si="0"/>
        <v>86.178233333333324</v>
      </c>
      <c r="G35" s="1"/>
      <c r="H35" s="1">
        <v>50.775799999999997</v>
      </c>
      <c r="I35" s="1">
        <v>49.911299999999997</v>
      </c>
      <c r="J35" s="1">
        <v>50.122300000000003</v>
      </c>
      <c r="K35" s="1">
        <v>49.431899999999999</v>
      </c>
      <c r="M35" s="1">
        <f t="shared" si="1"/>
        <v>50.060324999999992</v>
      </c>
      <c r="O35" s="4">
        <f t="shared" si="2"/>
        <v>58.089291302096001</v>
      </c>
    </row>
    <row r="36" spans="1:15">
      <c r="A36">
        <v>46</v>
      </c>
      <c r="B36" s="1">
        <v>50.558399999999999</v>
      </c>
      <c r="C36" s="1">
        <v>79.433700000000002</v>
      </c>
      <c r="D36" s="1">
        <v>81.218999999999994</v>
      </c>
      <c r="E36" s="1"/>
      <c r="F36" s="1">
        <f t="shared" si="0"/>
        <v>70.403700000000001</v>
      </c>
      <c r="G36" s="1"/>
      <c r="H36" s="1">
        <v>41.149299999999997</v>
      </c>
      <c r="I36" s="1">
        <v>37.877200000000002</v>
      </c>
      <c r="J36" s="1">
        <v>36.183300000000003</v>
      </c>
      <c r="K36" s="1">
        <v>34.901600000000002</v>
      </c>
      <c r="M36" s="1">
        <f t="shared" si="1"/>
        <v>37.527850000000001</v>
      </c>
      <c r="O36" s="4">
        <f t="shared" si="2"/>
        <v>53.3038036353203</v>
      </c>
    </row>
    <row r="37" spans="1:15">
      <c r="A37">
        <v>47</v>
      </c>
      <c r="B37" s="1">
        <v>37.328099999999999</v>
      </c>
      <c r="C37" s="1">
        <v>64.591200000000001</v>
      </c>
      <c r="D37" s="1">
        <v>66.060900000000004</v>
      </c>
      <c r="E37" s="1"/>
      <c r="F37" s="1">
        <f t="shared" si="0"/>
        <v>55.993400000000001</v>
      </c>
      <c r="G37" s="1"/>
      <c r="H37" s="1">
        <v>32.9375</v>
      </c>
      <c r="I37" s="1">
        <v>28.767399999999999</v>
      </c>
      <c r="J37" s="1">
        <v>26.273800000000001</v>
      </c>
      <c r="K37" s="1">
        <v>24.704499999999999</v>
      </c>
      <c r="M37" s="1">
        <f t="shared" si="1"/>
        <v>28.1708</v>
      </c>
      <c r="O37" s="4">
        <f t="shared" si="2"/>
        <v>50.310929502405635</v>
      </c>
    </row>
    <row r="38" spans="1:15">
      <c r="A38">
        <v>48</v>
      </c>
      <c r="B38" s="1">
        <v>28.650200000000002</v>
      </c>
      <c r="C38" s="1">
        <v>49.616199999999999</v>
      </c>
      <c r="D38" s="1">
        <v>49.557499999999997</v>
      </c>
      <c r="E38" s="1"/>
      <c r="F38" s="1">
        <f t="shared" si="0"/>
        <v>42.60796666666667</v>
      </c>
      <c r="G38" s="1"/>
      <c r="H38" s="1">
        <v>25.878900000000002</v>
      </c>
      <c r="I38" s="1">
        <v>21.980699999999999</v>
      </c>
      <c r="J38" s="1">
        <v>19.4726</v>
      </c>
      <c r="K38" s="1">
        <v>17.7788</v>
      </c>
      <c r="M38" s="1">
        <f t="shared" si="1"/>
        <v>21.277750000000001</v>
      </c>
      <c r="O38" s="4">
        <f t="shared" si="2"/>
        <v>49.938430919413349</v>
      </c>
    </row>
    <row r="39" spans="1:15">
      <c r="A39">
        <v>49</v>
      </c>
      <c r="B39" s="1">
        <v>23.399899999999999</v>
      </c>
      <c r="C39" s="1">
        <v>34.720199999999998</v>
      </c>
      <c r="D39" s="1">
        <v>32.330100000000002</v>
      </c>
      <c r="E39" s="1"/>
      <c r="F39" s="1">
        <f t="shared" si="0"/>
        <v>30.150066666666664</v>
      </c>
      <c r="G39" s="1"/>
      <c r="H39" s="1">
        <v>19.758600000000001</v>
      </c>
      <c r="I39" s="1">
        <v>16.9634</v>
      </c>
      <c r="J39" s="1">
        <v>14.948</v>
      </c>
      <c r="K39" s="1">
        <v>13.1831</v>
      </c>
      <c r="M39" s="1">
        <f t="shared" si="1"/>
        <v>16.213274999999999</v>
      </c>
      <c r="O39" s="4">
        <f t="shared" si="2"/>
        <v>53.775254228293583</v>
      </c>
    </row>
    <row r="40" spans="1:15">
      <c r="A40">
        <v>50</v>
      </c>
      <c r="B40" s="1">
        <v>21.445599999999999</v>
      </c>
      <c r="C40" s="1">
        <v>18.142099999999999</v>
      </c>
      <c r="D40" s="1">
        <v>11.920400000000001</v>
      </c>
      <c r="E40" s="1"/>
      <c r="F40" s="1">
        <f t="shared" si="0"/>
        <v>17.169366666666665</v>
      </c>
      <c r="G40" s="1"/>
      <c r="H40" s="1">
        <v>14.0311</v>
      </c>
      <c r="I40" s="1">
        <v>13.3134</v>
      </c>
      <c r="J40" s="1">
        <v>12.3414</v>
      </c>
      <c r="K40" s="1">
        <v>10.4491</v>
      </c>
      <c r="M40" s="1">
        <f t="shared" si="1"/>
        <v>12.533750000000001</v>
      </c>
      <c r="O40" s="4">
        <f t="shared" si="2"/>
        <v>73.000654266028079</v>
      </c>
    </row>
    <row r="41" spans="1:15">
      <c r="A41">
        <v>51</v>
      </c>
      <c r="B41" s="1">
        <v>19.578800000000001</v>
      </c>
      <c r="C41" s="1">
        <v>10.4559</v>
      </c>
      <c r="D41" s="1">
        <v>5.3512000000000004</v>
      </c>
      <c r="E41" s="1"/>
      <c r="F41" s="1">
        <f t="shared" si="0"/>
        <v>11.795299999999999</v>
      </c>
      <c r="G41" s="1"/>
      <c r="H41" s="1">
        <v>10.436299999999999</v>
      </c>
      <c r="I41" s="1">
        <v>10.723699999999999</v>
      </c>
      <c r="J41" s="1">
        <v>10.315099999999999</v>
      </c>
      <c r="K41" s="1">
        <v>8.4</v>
      </c>
      <c r="M41" s="1">
        <f t="shared" si="1"/>
        <v>9.9687749999999991</v>
      </c>
      <c r="O41" s="4">
        <f t="shared" si="2"/>
        <v>84.514806745059474</v>
      </c>
    </row>
    <row r="42" spans="1:15">
      <c r="A42">
        <v>52</v>
      </c>
      <c r="B42" s="1">
        <v>18.303999999999998</v>
      </c>
      <c r="C42" s="1">
        <v>6.1741999999999999</v>
      </c>
      <c r="D42" s="1">
        <v>2.3555000000000001</v>
      </c>
      <c r="E42" s="1"/>
      <c r="F42" s="1">
        <f t="shared" si="0"/>
        <v>8.944566666666665</v>
      </c>
      <c r="G42" s="1"/>
      <c r="H42" s="1">
        <v>8.1018000000000008</v>
      </c>
      <c r="I42" s="1">
        <v>8.9924999999999997</v>
      </c>
      <c r="J42" s="1">
        <v>8.9512999999999998</v>
      </c>
      <c r="K42" s="1">
        <v>7.0415999999999999</v>
      </c>
      <c r="M42" s="1">
        <f t="shared" si="1"/>
        <v>8.2718000000000007</v>
      </c>
      <c r="O42" s="4">
        <f t="shared" si="2"/>
        <v>92.478487871594325</v>
      </c>
    </row>
    <row r="43" spans="1:15">
      <c r="A43">
        <v>53</v>
      </c>
      <c r="B43" s="1">
        <v>17.524000000000001</v>
      </c>
      <c r="C43" s="1">
        <v>4.0578000000000003</v>
      </c>
      <c r="D43" s="1">
        <v>1.153</v>
      </c>
      <c r="E43" s="1"/>
      <c r="F43" s="1">
        <f t="shared" si="0"/>
        <v>7.5782666666666669</v>
      </c>
      <c r="G43" s="1"/>
      <c r="H43" s="1">
        <v>6.7723000000000004</v>
      </c>
      <c r="I43" s="1">
        <v>7.9748999999999999</v>
      </c>
      <c r="J43" s="1">
        <v>8.1389999999999993</v>
      </c>
      <c r="K43" s="1">
        <v>6.2427999999999999</v>
      </c>
      <c r="M43" s="1">
        <f t="shared" si="1"/>
        <v>7.2822499999999994</v>
      </c>
      <c r="O43" s="4">
        <f t="shared" si="2"/>
        <v>96.093873709027548</v>
      </c>
    </row>
    <row r="44" spans="1:15">
      <c r="A44">
        <v>54</v>
      </c>
      <c r="B44" s="1">
        <v>17.147600000000001</v>
      </c>
      <c r="C44" s="1">
        <v>3.1701000000000001</v>
      </c>
      <c r="D44" s="1">
        <v>0.71989999999999998</v>
      </c>
      <c r="E44" s="1"/>
      <c r="F44" s="1">
        <f t="shared" si="0"/>
        <v>7.0125333333333337</v>
      </c>
      <c r="G44" s="1"/>
      <c r="H44" s="1">
        <v>6.1585000000000001</v>
      </c>
      <c r="I44" s="1">
        <v>7.4954999999999998</v>
      </c>
      <c r="J44" s="1">
        <v>7.7531999999999996</v>
      </c>
      <c r="K44" s="1">
        <v>5.8665000000000003</v>
      </c>
      <c r="M44" s="1">
        <f t="shared" si="1"/>
        <v>6.8184249999999995</v>
      </c>
      <c r="O44" s="4">
        <f t="shared" si="2"/>
        <v>97.23197988363691</v>
      </c>
    </row>
    <row r="46" spans="1:15">
      <c r="A46" t="s">
        <v>7</v>
      </c>
    </row>
    <row r="48" spans="1:15">
      <c r="A48">
        <v>15</v>
      </c>
      <c r="B48" s="1">
        <v>15.9452</v>
      </c>
      <c r="C48" s="1">
        <v>12.668200000000001</v>
      </c>
      <c r="D48" s="1">
        <v>23.392700000000001</v>
      </c>
      <c r="E48" s="1"/>
      <c r="F48" s="1">
        <f t="shared" ref="F48:F87" si="3">AVERAGE(B48:D48)</f>
        <v>17.335366666666669</v>
      </c>
      <c r="G48" s="1"/>
      <c r="H48" s="1">
        <v>28.788</v>
      </c>
      <c r="I48" s="1">
        <v>14.668699999999999</v>
      </c>
      <c r="J48" s="1">
        <v>18.858000000000001</v>
      </c>
      <c r="K48" s="1">
        <v>16.790500000000002</v>
      </c>
      <c r="L48" s="1"/>
      <c r="M48" s="1">
        <f t="shared" ref="M48:M87" si="4">AVERAGE(H48:K48)</f>
        <v>19.776299999999999</v>
      </c>
      <c r="N48" s="1"/>
      <c r="O48" s="4">
        <f t="shared" ref="O48:O87" si="5">100*M48/F48</f>
        <v>114.08065592305516</v>
      </c>
    </row>
    <row r="49" spans="1:15">
      <c r="A49">
        <v>16</v>
      </c>
      <c r="B49" s="1">
        <v>20.049900000000001</v>
      </c>
      <c r="C49" s="1">
        <v>16.746500000000001</v>
      </c>
      <c r="D49" s="1">
        <v>27.772200000000002</v>
      </c>
      <c r="E49" s="1"/>
      <c r="F49" s="1">
        <f t="shared" si="3"/>
        <v>21.522866666666669</v>
      </c>
      <c r="G49" s="1"/>
      <c r="H49" s="1">
        <v>33.551600000000001</v>
      </c>
      <c r="I49" s="1">
        <v>18.480899999999998</v>
      </c>
      <c r="J49" s="1">
        <v>22.936199999999999</v>
      </c>
      <c r="K49" s="1">
        <v>20.670200000000001</v>
      </c>
      <c r="L49" s="1"/>
      <c r="M49" s="1">
        <f t="shared" si="4"/>
        <v>23.909725000000002</v>
      </c>
      <c r="N49" s="1"/>
      <c r="O49" s="4">
        <f t="shared" si="5"/>
        <v>111.08987185721853</v>
      </c>
    </row>
    <row r="50" spans="1:15">
      <c r="A50">
        <v>17</v>
      </c>
      <c r="B50" s="1">
        <v>29.724</v>
      </c>
      <c r="C50" s="1">
        <v>26.677600000000002</v>
      </c>
      <c r="D50" s="1">
        <v>37.722099999999998</v>
      </c>
      <c r="E50" s="1"/>
      <c r="F50" s="1">
        <f t="shared" si="3"/>
        <v>31.374566666666666</v>
      </c>
      <c r="G50" s="1"/>
      <c r="H50" s="1">
        <v>44.249000000000002</v>
      </c>
      <c r="I50" s="1">
        <v>27.476800000000001</v>
      </c>
      <c r="J50" s="1">
        <v>32.3446</v>
      </c>
      <c r="K50" s="1">
        <v>29.690300000000001</v>
      </c>
      <c r="L50" s="1"/>
      <c r="M50" s="1">
        <f t="shared" si="4"/>
        <v>33.440175000000004</v>
      </c>
      <c r="N50" s="1"/>
      <c r="O50" s="4">
        <f t="shared" si="5"/>
        <v>106.5837031480913</v>
      </c>
    </row>
    <row r="51" spans="1:15">
      <c r="A51">
        <v>18</v>
      </c>
      <c r="B51" s="1">
        <v>48.983699999999999</v>
      </c>
      <c r="C51" s="1">
        <v>47.391599999999997</v>
      </c>
      <c r="D51" s="1">
        <v>56.4998</v>
      </c>
      <c r="E51" s="1"/>
      <c r="F51" s="1">
        <f t="shared" si="3"/>
        <v>50.95836666666667</v>
      </c>
      <c r="G51" s="1"/>
      <c r="H51" s="1">
        <v>64.0946</v>
      </c>
      <c r="I51" s="1">
        <v>45.420400000000001</v>
      </c>
      <c r="J51" s="1">
        <v>50.503500000000003</v>
      </c>
      <c r="K51" s="1">
        <v>47.298900000000003</v>
      </c>
      <c r="L51" s="1"/>
      <c r="M51" s="1">
        <f t="shared" si="4"/>
        <v>51.829350000000005</v>
      </c>
      <c r="N51" s="1"/>
      <c r="O51" s="4">
        <f t="shared" si="5"/>
        <v>101.70920575031512</v>
      </c>
    </row>
    <row r="52" spans="1:15">
      <c r="A52">
        <v>19</v>
      </c>
      <c r="B52" s="1">
        <v>82.797300000000007</v>
      </c>
      <c r="C52" s="1">
        <v>85.516000000000005</v>
      </c>
      <c r="D52" s="1">
        <v>87.613100000000003</v>
      </c>
      <c r="E52" s="1"/>
      <c r="F52" s="1">
        <f t="shared" si="3"/>
        <v>85.308800000000005</v>
      </c>
      <c r="G52" s="1"/>
      <c r="H52" s="1">
        <v>96.316800000000001</v>
      </c>
      <c r="I52" s="1">
        <v>76.953199999999995</v>
      </c>
      <c r="J52" s="1">
        <v>81.357600000000005</v>
      </c>
      <c r="K52" s="1">
        <v>77.5501</v>
      </c>
      <c r="L52" s="1"/>
      <c r="M52" s="1">
        <f t="shared" si="4"/>
        <v>83.04442499999999</v>
      </c>
      <c r="N52" s="1"/>
      <c r="O52" s="4">
        <f t="shared" si="5"/>
        <v>97.345672427697949</v>
      </c>
    </row>
    <row r="53" spans="1:15">
      <c r="A53">
        <v>20</v>
      </c>
      <c r="B53" s="1">
        <v>155.1763</v>
      </c>
      <c r="C53" s="1">
        <v>174.7276</v>
      </c>
      <c r="D53" s="1">
        <v>147.8176</v>
      </c>
      <c r="E53" s="1"/>
      <c r="F53" s="1">
        <f t="shared" si="3"/>
        <v>159.2405</v>
      </c>
      <c r="G53" s="1"/>
      <c r="H53" s="1">
        <v>156.93940000000001</v>
      </c>
      <c r="I53" s="1">
        <v>144.98820000000001</v>
      </c>
      <c r="J53" s="1">
        <v>143.5454</v>
      </c>
      <c r="K53" s="1">
        <v>140.17920000000001</v>
      </c>
      <c r="L53" s="1"/>
      <c r="M53" s="1">
        <f t="shared" si="4"/>
        <v>146.41305</v>
      </c>
      <c r="N53" s="1"/>
      <c r="O53" s="4">
        <f t="shared" si="5"/>
        <v>91.944605800660014</v>
      </c>
    </row>
    <row r="54" spans="1:15">
      <c r="A54">
        <v>21</v>
      </c>
      <c r="B54" s="1">
        <v>212.52600000000001</v>
      </c>
      <c r="C54" s="1">
        <v>242.76689999999999</v>
      </c>
      <c r="D54" s="1">
        <v>196.10380000000001</v>
      </c>
      <c r="E54" s="1"/>
      <c r="F54" s="1">
        <f t="shared" si="3"/>
        <v>217.13223333333335</v>
      </c>
      <c r="G54" s="1"/>
      <c r="H54" s="1">
        <v>204.1566</v>
      </c>
      <c r="I54" s="1">
        <v>197.38939999999999</v>
      </c>
      <c r="J54" s="1">
        <v>193.8374</v>
      </c>
      <c r="K54" s="1">
        <v>189.0334</v>
      </c>
      <c r="L54" s="1"/>
      <c r="M54" s="1">
        <f t="shared" si="4"/>
        <v>196.10419999999999</v>
      </c>
      <c r="N54" s="1"/>
      <c r="O54" s="4">
        <f t="shared" si="5"/>
        <v>90.315563465396721</v>
      </c>
    </row>
    <row r="55" spans="1:15">
      <c r="A55">
        <v>22</v>
      </c>
      <c r="B55" s="1">
        <v>260.72809999999998</v>
      </c>
      <c r="C55" s="1">
        <v>296.78429999999997</v>
      </c>
      <c r="D55" s="1">
        <v>237.13409999999999</v>
      </c>
      <c r="E55" s="1"/>
      <c r="F55" s="1">
        <f t="shared" si="3"/>
        <v>264.88216666666665</v>
      </c>
      <c r="G55" s="1"/>
      <c r="H55" s="1">
        <v>242.43549999999999</v>
      </c>
      <c r="I55" s="1">
        <v>239.46180000000001</v>
      </c>
      <c r="J55" s="1">
        <v>237.24879999999999</v>
      </c>
      <c r="K55" s="1">
        <v>228.97640000000001</v>
      </c>
      <c r="L55" s="1"/>
      <c r="M55" s="1">
        <f t="shared" si="4"/>
        <v>237.03062499999999</v>
      </c>
      <c r="N55" s="1"/>
      <c r="O55" s="4">
        <f t="shared" si="5"/>
        <v>89.485308876336845</v>
      </c>
    </row>
    <row r="56" spans="1:15">
      <c r="A56">
        <v>23</v>
      </c>
      <c r="B56" s="1">
        <v>296.61380000000003</v>
      </c>
      <c r="C56" s="1">
        <v>332.20420000000001</v>
      </c>
      <c r="D56" s="1">
        <v>268.5634</v>
      </c>
      <c r="E56" s="1"/>
      <c r="F56" s="1">
        <f t="shared" si="3"/>
        <v>299.12713333333335</v>
      </c>
      <c r="G56" s="1"/>
      <c r="H56" s="1">
        <v>269.27530000000002</v>
      </c>
      <c r="I56" s="1">
        <v>267.96069999999997</v>
      </c>
      <c r="J56" s="1">
        <v>271.36329999999998</v>
      </c>
      <c r="K56" s="1">
        <v>257.2</v>
      </c>
      <c r="L56" s="1"/>
      <c r="M56" s="1">
        <f t="shared" si="4"/>
        <v>266.44982499999998</v>
      </c>
      <c r="N56" s="1"/>
      <c r="O56" s="4">
        <f t="shared" si="5"/>
        <v>89.075779261749787</v>
      </c>
    </row>
    <row r="57" spans="1:15">
      <c r="A57">
        <v>24</v>
      </c>
      <c r="B57" s="1">
        <v>318.95580000000001</v>
      </c>
      <c r="C57" s="1">
        <v>347.517</v>
      </c>
      <c r="D57" s="1">
        <v>289.38119999999998</v>
      </c>
      <c r="E57" s="1"/>
      <c r="F57" s="1">
        <f t="shared" si="3"/>
        <v>318.61799999999999</v>
      </c>
      <c r="G57" s="1"/>
      <c r="H57" s="1">
        <v>283.69319999999999</v>
      </c>
      <c r="I57" s="1">
        <v>281.70010000000002</v>
      </c>
      <c r="J57" s="1">
        <v>295.005</v>
      </c>
      <c r="K57" s="1">
        <v>272.61099999999999</v>
      </c>
      <c r="L57" s="1"/>
      <c r="M57" s="1">
        <f t="shared" si="4"/>
        <v>283.25232499999998</v>
      </c>
      <c r="N57" s="1"/>
      <c r="O57" s="4">
        <f t="shared" si="5"/>
        <v>88.900289688592608</v>
      </c>
    </row>
    <row r="58" spans="1:15">
      <c r="A58">
        <v>25</v>
      </c>
      <c r="B58" s="1">
        <v>322.80369999999999</v>
      </c>
      <c r="C58" s="1">
        <v>335.738</v>
      </c>
      <c r="D58" s="1">
        <v>296.67529999999999</v>
      </c>
      <c r="E58" s="1"/>
      <c r="F58" s="1">
        <f t="shared" si="3"/>
        <v>318.40566666666666</v>
      </c>
      <c r="G58" s="1"/>
      <c r="H58" s="1">
        <v>282.72879999999998</v>
      </c>
      <c r="I58" s="1">
        <v>276.3417</v>
      </c>
      <c r="J58" s="1">
        <v>306.16070000000002</v>
      </c>
      <c r="K58" s="1">
        <v>271.54660000000001</v>
      </c>
      <c r="L58" s="1"/>
      <c r="M58" s="1">
        <f t="shared" si="4"/>
        <v>284.19445000000002</v>
      </c>
      <c r="N58" s="1"/>
      <c r="O58" s="4">
        <f t="shared" si="5"/>
        <v>89.255462371377405</v>
      </c>
    </row>
    <row r="59" spans="1:15">
      <c r="A59">
        <v>26</v>
      </c>
      <c r="B59" s="1">
        <v>330.24529999999999</v>
      </c>
      <c r="C59" s="1">
        <v>332.02109999999999</v>
      </c>
      <c r="D59" s="1">
        <v>302.00700000000001</v>
      </c>
      <c r="E59" s="1"/>
      <c r="F59" s="1">
        <f t="shared" si="3"/>
        <v>321.42446666666666</v>
      </c>
      <c r="G59" s="1"/>
      <c r="H59" s="1">
        <v>279.48950000000002</v>
      </c>
      <c r="I59" s="1">
        <v>272.5478</v>
      </c>
      <c r="J59" s="1">
        <v>310.64550000000003</v>
      </c>
      <c r="K59" s="1">
        <v>270.5093</v>
      </c>
      <c r="L59" s="1"/>
      <c r="M59" s="1">
        <f t="shared" si="4"/>
        <v>283.298025</v>
      </c>
      <c r="N59" s="1"/>
      <c r="O59" s="4">
        <f t="shared" si="5"/>
        <v>88.138288891926294</v>
      </c>
    </row>
    <row r="60" spans="1:15">
      <c r="A60">
        <v>27</v>
      </c>
      <c r="B60" s="1">
        <v>337.4545</v>
      </c>
      <c r="C60" s="1">
        <v>330.2235</v>
      </c>
      <c r="D60" s="1">
        <v>303.28359999999998</v>
      </c>
      <c r="E60" s="1"/>
      <c r="F60" s="1">
        <f t="shared" si="3"/>
        <v>323.65386666666666</v>
      </c>
      <c r="G60" s="1"/>
      <c r="H60" s="1">
        <v>271.74630000000002</v>
      </c>
      <c r="I60" s="1">
        <v>266.7559</v>
      </c>
      <c r="J60" s="1">
        <v>307.2869</v>
      </c>
      <c r="K60" s="1">
        <v>266.64269999999999</v>
      </c>
      <c r="L60" s="1"/>
      <c r="M60" s="1">
        <f t="shared" si="4"/>
        <v>278.10794999999996</v>
      </c>
      <c r="N60" s="1"/>
      <c r="O60" s="4">
        <f t="shared" si="5"/>
        <v>85.927584571830636</v>
      </c>
    </row>
    <row r="61" spans="1:15">
      <c r="A61">
        <v>28</v>
      </c>
      <c r="B61" s="1">
        <v>344.84370000000001</v>
      </c>
      <c r="C61" s="1">
        <v>330.97570000000002</v>
      </c>
      <c r="D61" s="1">
        <v>300.6936</v>
      </c>
      <c r="E61" s="1"/>
      <c r="F61" s="1">
        <f t="shared" si="3"/>
        <v>325.50433333333336</v>
      </c>
      <c r="G61" s="1"/>
      <c r="H61" s="1">
        <v>259.83929999999998</v>
      </c>
      <c r="I61" s="1">
        <v>259.36779999999999</v>
      </c>
      <c r="J61" s="1">
        <v>296.26060000000001</v>
      </c>
      <c r="K61" s="1">
        <v>260.2758</v>
      </c>
      <c r="L61" s="1"/>
      <c r="M61" s="1">
        <f t="shared" si="4"/>
        <v>268.93587500000001</v>
      </c>
      <c r="N61" s="1"/>
      <c r="O61" s="4">
        <f t="shared" si="5"/>
        <v>82.621288707882016</v>
      </c>
    </row>
    <row r="62" spans="1:15">
      <c r="A62">
        <v>29</v>
      </c>
      <c r="B62" s="1">
        <v>352.15269999999998</v>
      </c>
      <c r="C62" s="1">
        <v>334.04180000000002</v>
      </c>
      <c r="D62" s="1">
        <v>294.34050000000002</v>
      </c>
      <c r="E62" s="1"/>
      <c r="F62" s="1">
        <f t="shared" si="3"/>
        <v>326.84500000000003</v>
      </c>
      <c r="G62" s="1"/>
      <c r="H62" s="1">
        <v>244.1961</v>
      </c>
      <c r="I62" s="1">
        <v>250.48689999999999</v>
      </c>
      <c r="J62" s="1">
        <v>278.14620000000002</v>
      </c>
      <c r="K62" s="1">
        <v>251.5256</v>
      </c>
      <c r="L62" s="1"/>
      <c r="M62" s="1">
        <f t="shared" si="4"/>
        <v>256.08870000000002</v>
      </c>
      <c r="N62" s="1"/>
      <c r="O62" s="4">
        <f t="shared" si="5"/>
        <v>78.351726353470298</v>
      </c>
    </row>
    <row r="63" spans="1:15">
      <c r="A63">
        <v>30</v>
      </c>
      <c r="B63" s="1">
        <v>361.70060000000001</v>
      </c>
      <c r="C63" s="1">
        <v>341.4273</v>
      </c>
      <c r="D63" s="1">
        <v>283.50729999999999</v>
      </c>
      <c r="E63" s="1"/>
      <c r="F63" s="1">
        <f t="shared" si="3"/>
        <v>328.8784</v>
      </c>
      <c r="G63" s="1"/>
      <c r="H63" s="1">
        <v>222.56129999999999</v>
      </c>
      <c r="I63" s="1">
        <v>239.3921</v>
      </c>
      <c r="J63" s="1">
        <v>250.3946</v>
      </c>
      <c r="K63" s="1">
        <v>239.75620000000001</v>
      </c>
      <c r="L63" s="1"/>
      <c r="M63" s="1">
        <f t="shared" si="4"/>
        <v>238.02605</v>
      </c>
      <c r="N63" s="1"/>
      <c r="O63" s="4">
        <f t="shared" si="5"/>
        <v>72.375093651635382</v>
      </c>
    </row>
    <row r="64" spans="1:15">
      <c r="A64">
        <v>31</v>
      </c>
      <c r="B64" s="1">
        <v>360.17309999999998</v>
      </c>
      <c r="C64" s="1">
        <v>341.77530000000002</v>
      </c>
      <c r="D64" s="1">
        <v>272.91539999999998</v>
      </c>
      <c r="E64" s="1"/>
      <c r="F64" s="1">
        <f t="shared" si="3"/>
        <v>324.95459999999997</v>
      </c>
      <c r="G64" s="1"/>
      <c r="H64" s="1">
        <v>209.62049999999999</v>
      </c>
      <c r="I64" s="1">
        <v>230.59970000000001</v>
      </c>
      <c r="J64" s="1">
        <v>230.96090000000001</v>
      </c>
      <c r="K64" s="1">
        <v>229.2064</v>
      </c>
      <c r="L64" s="1"/>
      <c r="M64" s="1">
        <f t="shared" si="4"/>
        <v>225.09687500000001</v>
      </c>
      <c r="N64" s="1"/>
      <c r="O64" s="4">
        <f t="shared" si="5"/>
        <v>69.270253444635046</v>
      </c>
    </row>
    <row r="65" spans="1:15">
      <c r="A65">
        <v>32</v>
      </c>
      <c r="B65" s="1">
        <v>349.88819999999998</v>
      </c>
      <c r="C65" s="1">
        <v>337.04</v>
      </c>
      <c r="D65" s="1">
        <v>261.76429999999999</v>
      </c>
      <c r="E65" s="1"/>
      <c r="F65" s="1">
        <f t="shared" si="3"/>
        <v>316.23083333333335</v>
      </c>
      <c r="G65" s="1"/>
      <c r="H65" s="1">
        <v>202.34639999999999</v>
      </c>
      <c r="I65" s="1">
        <v>223.25290000000001</v>
      </c>
      <c r="J65" s="1">
        <v>216.19390000000001</v>
      </c>
      <c r="K65" s="1">
        <v>219.10910000000001</v>
      </c>
      <c r="L65" s="1"/>
      <c r="M65" s="1">
        <f t="shared" si="4"/>
        <v>215.22557499999999</v>
      </c>
      <c r="N65" s="1"/>
      <c r="O65" s="4">
        <f t="shared" si="5"/>
        <v>68.059642613386316</v>
      </c>
    </row>
    <row r="66" spans="1:15">
      <c r="A66">
        <v>33</v>
      </c>
      <c r="B66" s="1">
        <v>330.84539999999998</v>
      </c>
      <c r="C66" s="1">
        <v>327.08629999999999</v>
      </c>
      <c r="D66" s="1">
        <v>250.1568</v>
      </c>
      <c r="E66" s="1"/>
      <c r="F66" s="1">
        <f t="shared" si="3"/>
        <v>302.69616666666667</v>
      </c>
      <c r="G66" s="1"/>
      <c r="H66" s="1">
        <v>200.83099999999999</v>
      </c>
      <c r="I66" s="1">
        <v>217.3937</v>
      </c>
      <c r="J66" s="1">
        <v>206.12100000000001</v>
      </c>
      <c r="K66" s="1">
        <v>209.51939999999999</v>
      </c>
      <c r="L66" s="1"/>
      <c r="M66" s="1">
        <f t="shared" si="4"/>
        <v>208.466275</v>
      </c>
      <c r="N66" s="1"/>
      <c r="O66" s="4">
        <f t="shared" si="5"/>
        <v>68.869810046047263</v>
      </c>
    </row>
    <row r="67" spans="1:15">
      <c r="A67">
        <v>34</v>
      </c>
      <c r="B67" s="1">
        <v>303.89269999999999</v>
      </c>
      <c r="C67" s="1">
        <v>312.17110000000002</v>
      </c>
      <c r="D67" s="1">
        <v>238.15629999999999</v>
      </c>
      <c r="E67" s="1"/>
      <c r="F67" s="1">
        <f t="shared" si="3"/>
        <v>284.74003333333332</v>
      </c>
      <c r="G67" s="1"/>
      <c r="H67" s="1">
        <v>204.64080000000001</v>
      </c>
      <c r="I67" s="1">
        <v>212.86160000000001</v>
      </c>
      <c r="J67" s="1">
        <v>200.3296</v>
      </c>
      <c r="K67" s="1">
        <v>200.40889999999999</v>
      </c>
      <c r="L67" s="1"/>
      <c r="M67" s="1">
        <f t="shared" si="4"/>
        <v>204.560225</v>
      </c>
      <c r="N67" s="1"/>
      <c r="O67" s="4">
        <f t="shared" si="5"/>
        <v>71.841048343395343</v>
      </c>
    </row>
    <row r="68" spans="1:15">
      <c r="A68">
        <v>35</v>
      </c>
      <c r="B68" s="1">
        <v>266.24369999999999</v>
      </c>
      <c r="C68" s="1">
        <v>291.65019999999998</v>
      </c>
      <c r="D68" s="1">
        <v>225.3296</v>
      </c>
      <c r="E68" s="1"/>
      <c r="F68" s="1">
        <f t="shared" si="3"/>
        <v>261.0745</v>
      </c>
      <c r="G68" s="1"/>
      <c r="H68" s="1">
        <v>217.51730000000001</v>
      </c>
      <c r="I68" s="1">
        <v>210.76329999999999</v>
      </c>
      <c r="J68" s="1">
        <v>200.40649999999999</v>
      </c>
      <c r="K68" s="1">
        <v>191.78110000000001</v>
      </c>
      <c r="L68" s="1"/>
      <c r="M68" s="1">
        <f t="shared" si="4"/>
        <v>205.11705000000001</v>
      </c>
      <c r="N68" s="1"/>
      <c r="O68" s="4">
        <f t="shared" si="5"/>
        <v>78.566481981196944</v>
      </c>
    </row>
    <row r="69" spans="1:15">
      <c r="A69">
        <v>36</v>
      </c>
      <c r="B69" s="1">
        <v>238.77350000000001</v>
      </c>
      <c r="C69" s="1">
        <v>270.88029999999998</v>
      </c>
      <c r="D69" s="1">
        <v>214.31530000000001</v>
      </c>
      <c r="E69" s="1"/>
      <c r="F69" s="1">
        <f t="shared" si="3"/>
        <v>241.32303333333334</v>
      </c>
      <c r="G69" s="1"/>
      <c r="H69" s="1">
        <v>218.8809</v>
      </c>
      <c r="I69" s="1">
        <v>204.53909999999999</v>
      </c>
      <c r="J69" s="1">
        <v>196.47380000000001</v>
      </c>
      <c r="K69" s="1">
        <v>183.47550000000001</v>
      </c>
      <c r="L69" s="1"/>
      <c r="M69" s="1">
        <f t="shared" si="4"/>
        <v>200.84232499999999</v>
      </c>
      <c r="N69" s="1"/>
      <c r="O69" s="4">
        <f t="shared" si="5"/>
        <v>83.225509900905976</v>
      </c>
    </row>
    <row r="70" spans="1:15">
      <c r="A70">
        <v>37</v>
      </c>
      <c r="B70" s="1">
        <v>216.97929999999999</v>
      </c>
      <c r="C70" s="1">
        <v>249.01519999999999</v>
      </c>
      <c r="D70" s="1">
        <v>204.57169999999999</v>
      </c>
      <c r="E70" s="1"/>
      <c r="F70" s="1">
        <f t="shared" si="3"/>
        <v>223.52206666666666</v>
      </c>
      <c r="G70" s="1"/>
      <c r="H70" s="1">
        <v>212.18620000000001</v>
      </c>
      <c r="I70" s="1">
        <v>195.43010000000001</v>
      </c>
      <c r="J70" s="1">
        <v>190.30369999999999</v>
      </c>
      <c r="K70" s="1">
        <v>175.50210000000001</v>
      </c>
      <c r="L70" s="1"/>
      <c r="M70" s="1">
        <f t="shared" si="4"/>
        <v>193.35552500000003</v>
      </c>
      <c r="N70" s="1"/>
      <c r="O70" s="4">
        <f t="shared" si="5"/>
        <v>86.50399841208818</v>
      </c>
    </row>
    <row r="71" spans="1:15">
      <c r="A71">
        <v>38</v>
      </c>
      <c r="B71" s="1">
        <v>200.71889999999999</v>
      </c>
      <c r="C71" s="1">
        <v>226.22319999999999</v>
      </c>
      <c r="D71" s="1">
        <v>196.0959</v>
      </c>
      <c r="E71" s="1"/>
      <c r="F71" s="1">
        <f t="shared" si="3"/>
        <v>207.67933333333335</v>
      </c>
      <c r="G71" s="1"/>
      <c r="H71" s="1">
        <v>197.3082</v>
      </c>
      <c r="I71" s="1">
        <v>183.44649999999999</v>
      </c>
      <c r="J71" s="1">
        <v>181.7937</v>
      </c>
      <c r="K71" s="1">
        <v>167.8501</v>
      </c>
      <c r="L71" s="1"/>
      <c r="M71" s="1">
        <f t="shared" si="4"/>
        <v>182.59962499999997</v>
      </c>
      <c r="N71" s="1"/>
      <c r="O71" s="4">
        <f t="shared" si="5"/>
        <v>87.923830488670021</v>
      </c>
    </row>
    <row r="72" spans="1:15">
      <c r="A72">
        <v>39</v>
      </c>
      <c r="B72" s="1">
        <v>189.28460000000001</v>
      </c>
      <c r="C72" s="1">
        <v>202.7311</v>
      </c>
      <c r="D72" s="1">
        <v>188.6874</v>
      </c>
      <c r="E72" s="1"/>
      <c r="F72" s="1">
        <f t="shared" si="3"/>
        <v>193.56770000000003</v>
      </c>
      <c r="G72" s="1"/>
      <c r="H72" s="1">
        <v>175.10730000000001</v>
      </c>
      <c r="I72" s="1">
        <v>168.8211</v>
      </c>
      <c r="J72" s="1">
        <v>171.0223</v>
      </c>
      <c r="K72" s="1">
        <v>160.3912</v>
      </c>
      <c r="L72" s="1"/>
      <c r="M72" s="1">
        <f t="shared" si="4"/>
        <v>168.835475</v>
      </c>
      <c r="N72" s="1"/>
      <c r="O72" s="4">
        <f t="shared" si="5"/>
        <v>87.222958685772454</v>
      </c>
    </row>
    <row r="73" spans="1:15">
      <c r="A73">
        <v>40</v>
      </c>
      <c r="B73" s="1">
        <v>185.04050000000001</v>
      </c>
      <c r="C73" s="1">
        <v>177.1935</v>
      </c>
      <c r="D73" s="1">
        <v>183.7039</v>
      </c>
      <c r="E73" s="1"/>
      <c r="F73" s="1">
        <f t="shared" si="3"/>
        <v>181.97929999999999</v>
      </c>
      <c r="G73" s="1"/>
      <c r="H73" s="1">
        <v>143.8459</v>
      </c>
      <c r="I73" s="1">
        <v>151.2764</v>
      </c>
      <c r="J73" s="1">
        <v>158.46690000000001</v>
      </c>
      <c r="K73" s="1">
        <v>154.2166</v>
      </c>
      <c r="L73" s="1"/>
      <c r="M73" s="1">
        <f t="shared" si="4"/>
        <v>151.95144999999999</v>
      </c>
      <c r="N73" s="1"/>
      <c r="O73" s="4">
        <f t="shared" si="5"/>
        <v>83.499304591236466</v>
      </c>
    </row>
    <row r="74" spans="1:15">
      <c r="A74">
        <v>41</v>
      </c>
      <c r="B74" s="1">
        <v>172.517</v>
      </c>
      <c r="C74" s="1">
        <v>157.98419999999999</v>
      </c>
      <c r="D74" s="1">
        <v>173.01849999999999</v>
      </c>
      <c r="E74" s="1"/>
      <c r="F74" s="1">
        <f t="shared" si="3"/>
        <v>167.83989999999997</v>
      </c>
      <c r="G74" s="1"/>
      <c r="H74" s="1">
        <v>119.6862</v>
      </c>
      <c r="I74" s="1">
        <v>133.91130000000001</v>
      </c>
      <c r="J74" s="1">
        <v>142.2919</v>
      </c>
      <c r="K74" s="1">
        <v>142.9408</v>
      </c>
      <c r="L74" s="1"/>
      <c r="M74" s="1">
        <f t="shared" si="4"/>
        <v>134.70755</v>
      </c>
      <c r="N74" s="1"/>
      <c r="O74" s="4">
        <f t="shared" si="5"/>
        <v>80.259550917272961</v>
      </c>
    </row>
    <row r="75" spans="1:15">
      <c r="A75">
        <v>42</v>
      </c>
      <c r="B75" s="1">
        <v>154.8424</v>
      </c>
      <c r="C75" s="1">
        <v>142.988</v>
      </c>
      <c r="D75" s="1">
        <v>158.32980000000001</v>
      </c>
      <c r="E75" s="1"/>
      <c r="F75" s="1">
        <f t="shared" si="3"/>
        <v>152.05340000000001</v>
      </c>
      <c r="G75" s="1"/>
      <c r="H75" s="1">
        <v>98.897499999999994</v>
      </c>
      <c r="I75" s="1">
        <v>116.22450000000001</v>
      </c>
      <c r="J75" s="1">
        <v>123.1995</v>
      </c>
      <c r="K75" s="1">
        <v>128.00749999999999</v>
      </c>
      <c r="L75" s="1"/>
      <c r="M75" s="1">
        <f t="shared" si="4"/>
        <v>116.58225</v>
      </c>
      <c r="N75" s="1"/>
      <c r="O75" s="4">
        <f t="shared" si="5"/>
        <v>76.671912630694209</v>
      </c>
    </row>
    <row r="76" spans="1:15">
      <c r="A76">
        <v>43</v>
      </c>
      <c r="B76" s="1">
        <v>132.2688</v>
      </c>
      <c r="C76" s="1">
        <v>131.96879999999999</v>
      </c>
      <c r="D76" s="1">
        <v>139.8313</v>
      </c>
      <c r="E76" s="1"/>
      <c r="F76" s="1">
        <f t="shared" si="3"/>
        <v>134.68963333333332</v>
      </c>
      <c r="G76" s="1"/>
      <c r="H76" s="1">
        <v>81.153099999999995</v>
      </c>
      <c r="I76" s="1">
        <v>98.301500000000004</v>
      </c>
      <c r="J76" s="1">
        <v>101.5331</v>
      </c>
      <c r="K76" s="1">
        <v>109.6793</v>
      </c>
      <c r="L76" s="1"/>
      <c r="M76" s="1">
        <f t="shared" si="4"/>
        <v>97.666750000000008</v>
      </c>
      <c r="N76" s="1"/>
      <c r="O76" s="4">
        <f t="shared" si="5"/>
        <v>72.512447753341092</v>
      </c>
    </row>
    <row r="77" spans="1:15">
      <c r="A77">
        <v>44</v>
      </c>
      <c r="B77" s="1">
        <v>105.8313</v>
      </c>
      <c r="C77" s="1">
        <v>124.3655</v>
      </c>
      <c r="D77" s="1">
        <v>118.1165</v>
      </c>
      <c r="E77" s="1"/>
      <c r="F77" s="1">
        <f t="shared" si="3"/>
        <v>116.10443333333335</v>
      </c>
      <c r="G77" s="1"/>
      <c r="H77" s="1">
        <v>65.917299999999997</v>
      </c>
      <c r="I77" s="1">
        <v>80.286299999999997</v>
      </c>
      <c r="J77" s="1">
        <v>78.008700000000005</v>
      </c>
      <c r="K77" s="1">
        <v>88.655799999999999</v>
      </c>
      <c r="L77" s="1"/>
      <c r="M77" s="1">
        <f t="shared" si="4"/>
        <v>78.217025000000007</v>
      </c>
      <c r="N77" s="1"/>
      <c r="O77" s="4">
        <f t="shared" si="5"/>
        <v>67.367819431529028</v>
      </c>
    </row>
    <row r="78" spans="1:15">
      <c r="A78">
        <v>45</v>
      </c>
      <c r="B78" s="1">
        <v>73.3643</v>
      </c>
      <c r="C78" s="1">
        <v>122.3704</v>
      </c>
      <c r="D78" s="1">
        <v>92.334800000000001</v>
      </c>
      <c r="E78" s="1"/>
      <c r="F78" s="1">
        <f t="shared" si="3"/>
        <v>96.023166666666668</v>
      </c>
      <c r="G78" s="1"/>
      <c r="H78" s="1">
        <v>52.482799999999997</v>
      </c>
      <c r="I78" s="1">
        <v>61.138199999999998</v>
      </c>
      <c r="J78" s="1">
        <v>50.5471</v>
      </c>
      <c r="K78" s="1">
        <v>63.462699999999998</v>
      </c>
      <c r="L78" s="1"/>
      <c r="M78" s="1">
        <f t="shared" si="4"/>
        <v>56.907699999999991</v>
      </c>
      <c r="N78" s="1"/>
      <c r="O78" s="4">
        <f t="shared" si="5"/>
        <v>59.264552477787475</v>
      </c>
    </row>
    <row r="79" spans="1:15">
      <c r="A79">
        <v>46</v>
      </c>
      <c r="B79" s="1">
        <v>53.3217</v>
      </c>
      <c r="C79" s="1">
        <v>112.0097</v>
      </c>
      <c r="D79" s="1">
        <v>71.064999999999998</v>
      </c>
      <c r="E79" s="1"/>
      <c r="F79" s="1">
        <f t="shared" si="3"/>
        <v>78.7988</v>
      </c>
      <c r="G79" s="1"/>
      <c r="H79" s="1">
        <v>41.839100000000002</v>
      </c>
      <c r="I79" s="1">
        <v>47.1646</v>
      </c>
      <c r="J79" s="1">
        <v>34.710599999999999</v>
      </c>
      <c r="K79" s="1">
        <v>46.569699999999997</v>
      </c>
      <c r="L79" s="1"/>
      <c r="M79" s="1">
        <f t="shared" si="4"/>
        <v>42.570999999999998</v>
      </c>
      <c r="N79" s="1"/>
      <c r="O79" s="4">
        <f t="shared" si="5"/>
        <v>54.024934389863795</v>
      </c>
    </row>
    <row r="80" spans="1:15">
      <c r="A80">
        <v>47</v>
      </c>
      <c r="B80" s="1">
        <v>39.374000000000002</v>
      </c>
      <c r="C80" s="1">
        <v>96.275099999999995</v>
      </c>
      <c r="D80" s="1">
        <v>51.958199999999998</v>
      </c>
      <c r="E80" s="1"/>
      <c r="F80" s="1">
        <f t="shared" si="3"/>
        <v>62.535766666666667</v>
      </c>
      <c r="G80" s="1"/>
      <c r="H80" s="1">
        <v>33.185400000000001</v>
      </c>
      <c r="I80" s="1">
        <v>36.133600000000001</v>
      </c>
      <c r="J80" s="1">
        <v>24.3492</v>
      </c>
      <c r="K80" s="1">
        <v>33.800699999999999</v>
      </c>
      <c r="L80" s="1"/>
      <c r="M80" s="1">
        <f t="shared" si="4"/>
        <v>31.867224999999998</v>
      </c>
      <c r="N80" s="1"/>
      <c r="O80" s="4">
        <f t="shared" si="5"/>
        <v>50.95839820731922</v>
      </c>
    </row>
    <row r="81" spans="1:15">
      <c r="A81">
        <v>48</v>
      </c>
      <c r="B81" s="1">
        <v>30.2316</v>
      </c>
      <c r="C81" s="1">
        <v>75.673000000000002</v>
      </c>
      <c r="D81" s="1">
        <v>34.542999999999999</v>
      </c>
      <c r="E81" s="1"/>
      <c r="F81" s="1">
        <f t="shared" si="3"/>
        <v>46.815866666666665</v>
      </c>
      <c r="G81" s="1"/>
      <c r="H81" s="1">
        <v>26.133299999999998</v>
      </c>
      <c r="I81" s="1">
        <v>27.462800000000001</v>
      </c>
      <c r="J81" s="1">
        <v>18.0885</v>
      </c>
      <c r="K81" s="1">
        <v>24.221699999999998</v>
      </c>
      <c r="L81" s="1"/>
      <c r="M81" s="1">
        <f t="shared" si="4"/>
        <v>23.976575</v>
      </c>
      <c r="N81" s="1"/>
      <c r="O81" s="4">
        <f t="shared" si="5"/>
        <v>51.214634497136309</v>
      </c>
    </row>
    <row r="82" spans="1:15">
      <c r="A82">
        <v>49</v>
      </c>
      <c r="B82" s="1">
        <v>24.708400000000001</v>
      </c>
      <c r="C82" s="1">
        <v>51.671700000000001</v>
      </c>
      <c r="D82" s="1">
        <v>18.5989</v>
      </c>
      <c r="E82" s="1"/>
      <c r="F82" s="1">
        <f t="shared" si="3"/>
        <v>31.659666666666666</v>
      </c>
      <c r="G82" s="1"/>
      <c r="H82" s="1">
        <v>20.359400000000001</v>
      </c>
      <c r="I82" s="1">
        <v>20.6007</v>
      </c>
      <c r="J82" s="1">
        <v>14.804600000000001</v>
      </c>
      <c r="K82" s="1">
        <v>16.9452</v>
      </c>
      <c r="L82" s="1"/>
      <c r="M82" s="1">
        <f t="shared" si="4"/>
        <v>18.177475000000001</v>
      </c>
      <c r="N82" s="1"/>
      <c r="O82" s="4">
        <f t="shared" si="5"/>
        <v>57.415244422451288</v>
      </c>
    </row>
    <row r="83" spans="1:15">
      <c r="A83">
        <v>50</v>
      </c>
      <c r="B83" s="1">
        <v>22.670100000000001</v>
      </c>
      <c r="C83" s="1">
        <v>21.377400000000002</v>
      </c>
      <c r="D83" s="1">
        <v>0</v>
      </c>
      <c r="E83" s="1"/>
      <c r="F83" s="1">
        <f t="shared" si="3"/>
        <v>14.682499999999999</v>
      </c>
      <c r="G83" s="1"/>
      <c r="H83" s="1">
        <v>15.4034</v>
      </c>
      <c r="I83" s="1">
        <v>14.893599999999999</v>
      </c>
      <c r="J83" s="1">
        <v>14.5045</v>
      </c>
      <c r="K83" s="1">
        <v>11.0166</v>
      </c>
      <c r="L83" s="1"/>
      <c r="M83" s="1">
        <f t="shared" si="4"/>
        <v>13.954525</v>
      </c>
      <c r="N83" s="1"/>
      <c r="O83" s="4">
        <f t="shared" si="5"/>
        <v>95.041886599693527</v>
      </c>
    </row>
    <row r="84" spans="1:15">
      <c r="A84">
        <v>51</v>
      </c>
      <c r="B84" s="1">
        <v>20.715499999999999</v>
      </c>
      <c r="C84" s="1">
        <v>10.438800000000001</v>
      </c>
      <c r="D84" s="1">
        <v>0</v>
      </c>
      <c r="E84" s="1"/>
      <c r="F84" s="1">
        <f t="shared" si="3"/>
        <v>10.384766666666666</v>
      </c>
      <c r="G84" s="1"/>
      <c r="H84" s="1">
        <v>12.0907</v>
      </c>
      <c r="I84" s="1">
        <v>11.1845</v>
      </c>
      <c r="J84" s="1">
        <v>13.854200000000001</v>
      </c>
      <c r="K84" s="1">
        <v>7.4804000000000004</v>
      </c>
      <c r="L84" s="1"/>
      <c r="M84" s="1">
        <f t="shared" si="4"/>
        <v>11.15245</v>
      </c>
      <c r="N84" s="1"/>
      <c r="O84" s="4">
        <f t="shared" si="5"/>
        <v>107.39239848110854</v>
      </c>
    </row>
    <row r="85" spans="1:15">
      <c r="A85">
        <v>52</v>
      </c>
      <c r="B85" s="1">
        <v>19.380800000000001</v>
      </c>
      <c r="C85" s="1">
        <v>5.0724</v>
      </c>
      <c r="D85" s="1">
        <v>0</v>
      </c>
      <c r="E85" s="1"/>
      <c r="F85" s="1">
        <f t="shared" si="3"/>
        <v>8.1510666666666669</v>
      </c>
      <c r="G85" s="1"/>
      <c r="H85" s="1">
        <v>9.8892000000000007</v>
      </c>
      <c r="I85" s="1">
        <v>8.7734000000000005</v>
      </c>
      <c r="J85" s="1">
        <v>13.4316</v>
      </c>
      <c r="K85" s="1">
        <v>5.3055000000000003</v>
      </c>
      <c r="L85" s="1"/>
      <c r="M85" s="1">
        <f t="shared" si="4"/>
        <v>9.3499250000000007</v>
      </c>
      <c r="N85" s="1"/>
      <c r="O85" s="4">
        <f t="shared" si="5"/>
        <v>114.70799322788019</v>
      </c>
    </row>
    <row r="86" spans="1:15">
      <c r="A86">
        <v>53</v>
      </c>
      <c r="B86" s="1">
        <v>18.564</v>
      </c>
      <c r="C86" s="1">
        <v>2.7488000000000001</v>
      </c>
      <c r="D86" s="1">
        <v>0</v>
      </c>
      <c r="E86" s="1"/>
      <c r="F86" s="1">
        <f t="shared" si="3"/>
        <v>7.1042666666666667</v>
      </c>
      <c r="G86" s="1"/>
      <c r="H86" s="1">
        <v>8.6082000000000001</v>
      </c>
      <c r="I86" s="1">
        <v>7.3936000000000002</v>
      </c>
      <c r="J86" s="1">
        <v>13.168699999999999</v>
      </c>
      <c r="K86" s="1">
        <v>4.1159999999999997</v>
      </c>
      <c r="L86" s="1"/>
      <c r="M86" s="1">
        <f t="shared" si="4"/>
        <v>8.3216249999999992</v>
      </c>
      <c r="N86" s="1"/>
      <c r="O86" s="4">
        <f t="shared" si="5"/>
        <v>117.13559457227581</v>
      </c>
    </row>
    <row r="87" spans="1:15">
      <c r="A87">
        <v>54</v>
      </c>
      <c r="B87" s="1">
        <v>18.169699999999999</v>
      </c>
      <c r="C87" s="1">
        <v>1.8627</v>
      </c>
      <c r="D87" s="1">
        <v>0</v>
      </c>
      <c r="E87" s="1"/>
      <c r="F87" s="1">
        <f t="shared" si="3"/>
        <v>6.6774666666666667</v>
      </c>
      <c r="G87" s="1"/>
      <c r="H87" s="1">
        <v>8.0084999999999997</v>
      </c>
      <c r="I87" s="1">
        <v>6.7549000000000001</v>
      </c>
      <c r="J87" s="1">
        <v>13.040900000000001</v>
      </c>
      <c r="K87" s="1">
        <v>3.5815000000000001</v>
      </c>
      <c r="L87" s="1"/>
      <c r="M87" s="1">
        <f t="shared" si="4"/>
        <v>7.8464500000000008</v>
      </c>
      <c r="N87" s="1"/>
      <c r="O87" s="4">
        <f t="shared" si="5"/>
        <v>117.506389648769</v>
      </c>
    </row>
  </sheetData>
  <pageMargins left="0.7" right="0.7" top="0.75" bottom="0.75" header="0.3" footer="0.3"/>
  <ignoredErrors>
    <ignoredError sqref="F5 F6:F44 F48:F87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4D2C-4CB0-4D6F-87BA-C25BF3E54AA8}">
  <dimension ref="A1:C42"/>
  <sheetViews>
    <sheetView workbookViewId="0">
      <selection activeCell="Z39" sqref="Z39"/>
    </sheetView>
  </sheetViews>
  <sheetFormatPr defaultRowHeight="14.25"/>
  <sheetData>
    <row r="1" spans="1:3">
      <c r="A1" s="5" t="s">
        <v>0</v>
      </c>
      <c r="B1" s="6" t="s">
        <v>8</v>
      </c>
      <c r="C1" s="7" t="s">
        <v>9</v>
      </c>
    </row>
    <row r="2" spans="1:3">
      <c r="A2" s="8"/>
    </row>
    <row r="3" spans="1:3">
      <c r="A3" s="8">
        <v>15</v>
      </c>
      <c r="B3" s="4">
        <v>103.68226314244355</v>
      </c>
      <c r="C3" s="4">
        <v>114.08065592305516</v>
      </c>
    </row>
    <row r="4" spans="1:3">
      <c r="A4" s="8">
        <v>16</v>
      </c>
      <c r="B4" s="4">
        <v>101.30706729481255</v>
      </c>
      <c r="C4" s="4">
        <v>111.08987185721853</v>
      </c>
    </row>
    <row r="5" spans="1:3">
      <c r="A5" s="8">
        <v>17</v>
      </c>
      <c r="B5" s="4">
        <v>97.698094637819409</v>
      </c>
      <c r="C5" s="4">
        <v>106.5837031480913</v>
      </c>
    </row>
    <row r="6" spans="1:3">
      <c r="A6" s="8">
        <v>18</v>
      </c>
      <c r="B6" s="4">
        <v>93.746969456281434</v>
      </c>
      <c r="C6" s="4">
        <v>101.70920575031512</v>
      </c>
    </row>
    <row r="7" spans="1:3">
      <c r="A7" s="8">
        <v>19</v>
      </c>
      <c r="B7" s="4">
        <v>90.162875305688459</v>
      </c>
      <c r="C7" s="4">
        <v>97.345672427697949</v>
      </c>
    </row>
    <row r="8" spans="1:3">
      <c r="A8" s="8">
        <v>20</v>
      </c>
      <c r="B8" s="4">
        <v>85.666025838237971</v>
      </c>
      <c r="C8" s="4">
        <v>91.944605800660014</v>
      </c>
    </row>
    <row r="9" spans="1:3">
      <c r="A9" s="8">
        <v>21</v>
      </c>
      <c r="B9" s="4">
        <v>84.260722730412468</v>
      </c>
      <c r="C9" s="4">
        <v>90.315563465396721</v>
      </c>
    </row>
    <row r="10" spans="1:3">
      <c r="A10" s="8">
        <v>22</v>
      </c>
      <c r="B10" s="4">
        <v>83.498061510576676</v>
      </c>
      <c r="C10" s="4">
        <v>89.485308876336845</v>
      </c>
    </row>
    <row r="11" spans="1:3">
      <c r="A11" s="8">
        <v>23</v>
      </c>
      <c r="B11" s="4">
        <v>83.061028030451098</v>
      </c>
      <c r="C11" s="4">
        <v>89.075779261749787</v>
      </c>
    </row>
    <row r="12" spans="1:3">
      <c r="A12" s="8">
        <v>24</v>
      </c>
      <c r="B12" s="4">
        <v>82.789447734064581</v>
      </c>
      <c r="C12" s="4">
        <v>88.900289688592608</v>
      </c>
    </row>
    <row r="13" spans="1:3">
      <c r="A13" s="8">
        <v>25</v>
      </c>
      <c r="B13" s="4">
        <v>82.901851804406505</v>
      </c>
      <c r="C13" s="4">
        <v>89.255462371377405</v>
      </c>
    </row>
    <row r="14" spans="1:3">
      <c r="A14" s="8">
        <v>26</v>
      </c>
      <c r="B14" s="4">
        <v>81.822704824379514</v>
      </c>
      <c r="C14" s="4">
        <v>88.138288891926294</v>
      </c>
    </row>
    <row r="15" spans="1:3">
      <c r="A15" s="8">
        <v>27</v>
      </c>
      <c r="B15" s="4">
        <v>79.850490712401424</v>
      </c>
      <c r="C15" s="4">
        <v>85.927584571830636</v>
      </c>
    </row>
    <row r="16" spans="1:3">
      <c r="A16" s="8">
        <v>28</v>
      </c>
      <c r="B16" s="4">
        <v>76.978536215842809</v>
      </c>
      <c r="C16" s="4">
        <v>82.621288707882016</v>
      </c>
    </row>
    <row r="17" spans="1:3">
      <c r="A17" s="8">
        <v>29</v>
      </c>
      <c r="B17" s="4">
        <v>73.303501913364556</v>
      </c>
      <c r="C17" s="4">
        <v>78.351726353470298</v>
      </c>
    </row>
    <row r="18" spans="1:3">
      <c r="A18" s="8">
        <v>30</v>
      </c>
      <c r="B18" s="4">
        <v>68.188601749629882</v>
      </c>
      <c r="C18" s="4">
        <v>72.375093651635382</v>
      </c>
    </row>
    <row r="19" spans="1:3">
      <c r="A19" s="8">
        <v>31</v>
      </c>
      <c r="B19" s="4">
        <v>65.435154358951408</v>
      </c>
      <c r="C19" s="4">
        <v>69.270253444635046</v>
      </c>
    </row>
    <row r="20" spans="1:3">
      <c r="A20" s="8">
        <v>32</v>
      </c>
      <c r="B20" s="4">
        <v>64.258420596154323</v>
      </c>
      <c r="C20" s="4">
        <v>68.059642613386316</v>
      </c>
    </row>
    <row r="21" spans="1:3">
      <c r="A21" s="8">
        <v>33</v>
      </c>
      <c r="B21" s="4">
        <v>64.757008108427272</v>
      </c>
      <c r="C21" s="4">
        <v>68.869810046047263</v>
      </c>
    </row>
    <row r="22" spans="1:3">
      <c r="A22" s="8">
        <v>34</v>
      </c>
      <c r="B22" s="4">
        <v>67.014583708380883</v>
      </c>
      <c r="C22" s="4">
        <v>71.841048343395343</v>
      </c>
    </row>
    <row r="23" spans="1:3">
      <c r="A23" s="8">
        <v>35</v>
      </c>
      <c r="B23" s="4">
        <v>72.194048325141694</v>
      </c>
      <c r="C23" s="4">
        <v>78.566481981196944</v>
      </c>
    </row>
    <row r="24" spans="1:3">
      <c r="A24" s="8">
        <v>36</v>
      </c>
      <c r="B24" s="4">
        <v>75.791756261044782</v>
      </c>
      <c r="C24" s="4">
        <v>83.225509900905976</v>
      </c>
    </row>
    <row r="25" spans="1:3">
      <c r="A25" s="8">
        <v>37</v>
      </c>
      <c r="B25" s="4">
        <v>78.442118197939905</v>
      </c>
      <c r="C25" s="4">
        <v>86.50399841208818</v>
      </c>
    </row>
    <row r="26" spans="1:3">
      <c r="A26" s="8">
        <v>38</v>
      </c>
      <c r="B26" s="4">
        <v>79.85685383043122</v>
      </c>
      <c r="C26" s="4">
        <v>87.923830488670021</v>
      </c>
    </row>
    <row r="27" spans="1:3">
      <c r="A27" s="8">
        <v>39</v>
      </c>
      <c r="B27" s="4">
        <v>79.863034267664787</v>
      </c>
      <c r="C27" s="4">
        <v>87.222958685772454</v>
      </c>
    </row>
    <row r="28" spans="1:3">
      <c r="A28" s="8">
        <v>40</v>
      </c>
      <c r="B28" s="4">
        <v>77.842962643346283</v>
      </c>
      <c r="C28" s="4">
        <v>83.499304591236466</v>
      </c>
    </row>
    <row r="29" spans="1:3">
      <c r="A29" s="8">
        <v>41</v>
      </c>
      <c r="B29" s="4">
        <v>75.811942996265998</v>
      </c>
      <c r="C29" s="4">
        <v>80.259550917272961</v>
      </c>
    </row>
    <row r="30" spans="1:3">
      <c r="A30" s="8">
        <v>42</v>
      </c>
      <c r="B30" s="4">
        <v>73.232605428978218</v>
      </c>
      <c r="C30" s="4">
        <v>76.671912630694209</v>
      </c>
    </row>
    <row r="31" spans="1:3">
      <c r="A31" s="8">
        <v>43</v>
      </c>
      <c r="B31" s="4">
        <v>69.895856351786918</v>
      </c>
      <c r="C31" s="4">
        <v>72.512447753341092</v>
      </c>
    </row>
    <row r="32" spans="1:3">
      <c r="A32" s="8">
        <v>44</v>
      </c>
      <c r="B32" s="4">
        <v>65.446480326130896</v>
      </c>
      <c r="C32" s="4">
        <v>67.367819431529028</v>
      </c>
    </row>
    <row r="33" spans="1:3">
      <c r="A33" s="8">
        <v>45</v>
      </c>
      <c r="B33" s="4">
        <v>58.089291302096001</v>
      </c>
      <c r="C33" s="4">
        <v>59.264552477787475</v>
      </c>
    </row>
    <row r="34" spans="1:3">
      <c r="A34" s="8">
        <v>46</v>
      </c>
      <c r="B34" s="4">
        <v>53.3038036353203</v>
      </c>
      <c r="C34" s="4">
        <v>54.024934389863795</v>
      </c>
    </row>
    <row r="35" spans="1:3">
      <c r="A35" s="8">
        <v>47</v>
      </c>
      <c r="B35" s="4">
        <v>50.310929502405635</v>
      </c>
      <c r="C35" s="4">
        <v>50.95839820731922</v>
      </c>
    </row>
    <row r="36" spans="1:3">
      <c r="A36" s="8">
        <v>48</v>
      </c>
      <c r="B36" s="4">
        <v>49.938430919413349</v>
      </c>
      <c r="C36" s="4">
        <v>51.214634497136309</v>
      </c>
    </row>
    <row r="37" spans="1:3">
      <c r="A37" s="8">
        <v>49</v>
      </c>
      <c r="B37" s="4">
        <v>53.775254228293583</v>
      </c>
      <c r="C37" s="4">
        <v>57.415244422451288</v>
      </c>
    </row>
    <row r="38" spans="1:3">
      <c r="A38" s="8">
        <v>50</v>
      </c>
      <c r="B38" s="4">
        <v>73.000654266028079</v>
      </c>
      <c r="C38" s="4">
        <v>95.041886599693527</v>
      </c>
    </row>
    <row r="39" spans="1:3">
      <c r="A39" s="8">
        <v>51</v>
      </c>
      <c r="B39" s="4">
        <v>84.514806745059474</v>
      </c>
      <c r="C39" s="4">
        <v>107.39239848110854</v>
      </c>
    </row>
    <row r="40" spans="1:3">
      <c r="A40" s="8">
        <v>52</v>
      </c>
      <c r="B40" s="4">
        <v>92.478487871594325</v>
      </c>
      <c r="C40" s="4">
        <v>114.70799322788019</v>
      </c>
    </row>
    <row r="41" spans="1:3">
      <c r="A41" s="8">
        <v>53</v>
      </c>
      <c r="B41" s="4">
        <v>96.093873709027548</v>
      </c>
      <c r="C41" s="4">
        <v>117.13559457227581</v>
      </c>
    </row>
    <row r="42" spans="1:3">
      <c r="A42" s="8">
        <v>54</v>
      </c>
      <c r="B42" s="4">
        <v>97.23197988363691</v>
      </c>
      <c r="C42" s="4">
        <v>117.506389648769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AAE1-AC32-436F-9053-337B08483A39}">
  <dimension ref="A1:Q54"/>
  <sheetViews>
    <sheetView tabSelected="1" workbookViewId="0">
      <selection activeCell="AJ31" sqref="AJ31"/>
    </sheetView>
  </sheetViews>
  <sheetFormatPr defaultRowHeight="14.25"/>
  <cols>
    <col min="1" max="1" width="7.875" bestFit="1" customWidth="1"/>
    <col min="2" max="4" width="5.375" bestFit="1" customWidth="1"/>
    <col min="6" max="6" width="9.5" bestFit="1" customWidth="1"/>
    <col min="8" max="11" width="5.375" bestFit="1" customWidth="1"/>
    <col min="13" max="14" width="9.5" bestFit="1" customWidth="1"/>
    <col min="16" max="17" width="11.625" bestFit="1" customWidth="1"/>
  </cols>
  <sheetData>
    <row r="1" spans="1:17">
      <c r="A1" t="s">
        <v>6</v>
      </c>
    </row>
    <row r="4" spans="1:17" ht="15">
      <c r="A4" s="13" t="s">
        <v>31</v>
      </c>
      <c r="B4" s="14">
        <v>1927</v>
      </c>
      <c r="C4" s="14">
        <v>1928</v>
      </c>
      <c r="D4" s="14">
        <v>1929</v>
      </c>
      <c r="E4" s="14"/>
      <c r="F4" s="14" t="s">
        <v>1</v>
      </c>
      <c r="G4" s="14"/>
      <c r="H4" s="14">
        <v>1936</v>
      </c>
      <c r="I4" s="14">
        <v>1937</v>
      </c>
      <c r="J4" s="14">
        <v>1938</v>
      </c>
      <c r="K4" s="14">
        <v>1939</v>
      </c>
      <c r="L4" s="15"/>
      <c r="M4" s="16" t="s">
        <v>28</v>
      </c>
      <c r="N4" s="16" t="s">
        <v>2</v>
      </c>
      <c r="O4" s="15"/>
      <c r="P4" s="16" t="s">
        <v>29</v>
      </c>
      <c r="Q4" s="16" t="s">
        <v>30</v>
      </c>
    </row>
    <row r="5" spans="1:17">
      <c r="A5" s="17" t="s">
        <v>20</v>
      </c>
      <c r="B5" s="9">
        <v>37.4</v>
      </c>
      <c r="C5" s="9">
        <v>33.700000000000003</v>
      </c>
      <c r="D5" s="9">
        <v>45.8</v>
      </c>
      <c r="E5" s="9"/>
      <c r="F5" s="9">
        <f>AVERAGE(B5:D5)</f>
        <v>38.966666666666661</v>
      </c>
      <c r="G5" s="9"/>
      <c r="H5" s="9">
        <v>42.7</v>
      </c>
      <c r="I5" s="9">
        <v>33.700000000000003</v>
      </c>
      <c r="J5" s="9">
        <v>35.700000000000003</v>
      </c>
      <c r="K5" s="9">
        <v>35.200000000000003</v>
      </c>
      <c r="M5" s="9">
        <f>AVERAGE(I5:J5)</f>
        <v>34.700000000000003</v>
      </c>
      <c r="N5" s="9">
        <f>AVERAGE(H5:K5)</f>
        <v>36.825000000000003</v>
      </c>
      <c r="P5" s="9">
        <f>100*M5/F5</f>
        <v>89.050470487596257</v>
      </c>
      <c r="Q5" s="9">
        <f>100*N5/F5</f>
        <v>94.50384944396923</v>
      </c>
    </row>
    <row r="6" spans="1:17">
      <c r="A6" s="17" t="s">
        <v>21</v>
      </c>
      <c r="B6" s="9">
        <v>235.8</v>
      </c>
      <c r="C6" s="9">
        <v>248.4</v>
      </c>
      <c r="D6" s="9">
        <v>224</v>
      </c>
      <c r="E6" s="9"/>
      <c r="F6" s="9">
        <f t="shared" ref="F6:F12" si="0">AVERAGE(B6:D6)</f>
        <v>236.06666666666669</v>
      </c>
      <c r="G6" s="9"/>
      <c r="H6" s="9">
        <v>184.9</v>
      </c>
      <c r="I6" s="9">
        <v>207.9</v>
      </c>
      <c r="J6" s="9">
        <v>197.7</v>
      </c>
      <c r="K6" s="9">
        <v>199.1</v>
      </c>
      <c r="M6" s="9">
        <f t="shared" ref="M6:M12" si="1">AVERAGE(I6:J6)</f>
        <v>202.8</v>
      </c>
      <c r="N6" s="9">
        <f t="shared" ref="N6:N12" si="2">AVERAGE(H6:K6)</f>
        <v>197.4</v>
      </c>
      <c r="P6" s="9">
        <f t="shared" ref="P6:P12" si="3">100*M6/F6</f>
        <v>85.907935611409201</v>
      </c>
      <c r="Q6" s="9">
        <f t="shared" ref="Q6:Q12" si="4">100*N6/F6</f>
        <v>83.620446201637947</v>
      </c>
    </row>
    <row r="7" spans="1:17">
      <c r="A7" s="17" t="s">
        <v>22</v>
      </c>
      <c r="B7" s="9">
        <v>319.89999999999998</v>
      </c>
      <c r="C7" s="9">
        <v>296.39999999999998</v>
      </c>
      <c r="D7" s="9">
        <v>294.5</v>
      </c>
      <c r="E7" s="9"/>
      <c r="F7" s="9">
        <f t="shared" si="0"/>
        <v>303.59999999999997</v>
      </c>
      <c r="G7" s="9"/>
      <c r="H7" s="9">
        <v>213.9</v>
      </c>
      <c r="I7" s="9">
        <v>243.4</v>
      </c>
      <c r="J7" s="9">
        <v>259.7</v>
      </c>
      <c r="K7" s="9">
        <v>241.7</v>
      </c>
      <c r="M7" s="9">
        <f t="shared" si="1"/>
        <v>251.55</v>
      </c>
      <c r="N7" s="9">
        <f t="shared" si="2"/>
        <v>239.67500000000001</v>
      </c>
      <c r="P7" s="9">
        <f t="shared" si="3"/>
        <v>82.855731225296452</v>
      </c>
      <c r="Q7" s="9">
        <f t="shared" si="4"/>
        <v>78.944334650856405</v>
      </c>
    </row>
    <row r="8" spans="1:17">
      <c r="A8" s="17" t="s">
        <v>23</v>
      </c>
      <c r="B8" s="9">
        <v>323.5</v>
      </c>
      <c r="C8" s="9">
        <v>295.7</v>
      </c>
      <c r="D8" s="9">
        <v>257</v>
      </c>
      <c r="E8" s="9"/>
      <c r="F8" s="9">
        <f t="shared" si="0"/>
        <v>292.06666666666666</v>
      </c>
      <c r="G8" s="9"/>
      <c r="H8" s="9">
        <v>172.5</v>
      </c>
      <c r="I8" s="9">
        <v>206.3</v>
      </c>
      <c r="J8" s="9">
        <v>195.8</v>
      </c>
      <c r="K8" s="9">
        <v>195.7</v>
      </c>
      <c r="M8" s="9">
        <f t="shared" si="1"/>
        <v>201.05</v>
      </c>
      <c r="N8" s="9">
        <f t="shared" si="2"/>
        <v>192.57499999999999</v>
      </c>
      <c r="P8" s="9">
        <f t="shared" si="3"/>
        <v>68.837023510614017</v>
      </c>
      <c r="Q8" s="9">
        <f t="shared" si="4"/>
        <v>65.935288746861445</v>
      </c>
    </row>
    <row r="9" spans="1:17">
      <c r="A9" s="17" t="s">
        <v>24</v>
      </c>
      <c r="B9" s="9">
        <v>210.8</v>
      </c>
      <c r="C9" s="9">
        <v>221.1</v>
      </c>
      <c r="D9" s="9">
        <v>215.3</v>
      </c>
      <c r="E9" s="9"/>
      <c r="F9" s="9">
        <f t="shared" si="0"/>
        <v>215.73333333333335</v>
      </c>
      <c r="G9" s="9"/>
      <c r="H9" s="9">
        <v>163.19999999999999</v>
      </c>
      <c r="I9" s="9">
        <v>176.9</v>
      </c>
      <c r="J9" s="9">
        <v>162.9</v>
      </c>
      <c r="K9" s="9">
        <v>160.9</v>
      </c>
      <c r="M9" s="9">
        <f t="shared" si="1"/>
        <v>169.9</v>
      </c>
      <c r="N9" s="9">
        <f t="shared" si="2"/>
        <v>165.97499999999999</v>
      </c>
      <c r="P9" s="9">
        <f t="shared" si="3"/>
        <v>78.754635352286769</v>
      </c>
      <c r="Q9" s="9">
        <f t="shared" si="4"/>
        <v>76.935259579728054</v>
      </c>
    </row>
    <row r="10" spans="1:17">
      <c r="A10" s="17" t="s">
        <v>25</v>
      </c>
      <c r="B10" s="9">
        <v>142.30000000000001</v>
      </c>
      <c r="C10" s="9">
        <v>138.9</v>
      </c>
      <c r="D10" s="9">
        <v>134.5</v>
      </c>
      <c r="E10" s="9"/>
      <c r="F10" s="9">
        <f t="shared" si="0"/>
        <v>138.56666666666669</v>
      </c>
      <c r="G10" s="9"/>
      <c r="H10" s="9">
        <v>90.4</v>
      </c>
      <c r="I10" s="9">
        <v>100.6</v>
      </c>
      <c r="J10" s="9">
        <v>106.6</v>
      </c>
      <c r="K10" s="9">
        <v>108</v>
      </c>
      <c r="M10" s="9">
        <f t="shared" si="1"/>
        <v>103.6</v>
      </c>
      <c r="N10" s="9">
        <f t="shared" si="2"/>
        <v>101.4</v>
      </c>
      <c r="P10" s="9">
        <f t="shared" si="3"/>
        <v>74.7654558575896</v>
      </c>
      <c r="Q10" s="9">
        <f t="shared" si="4"/>
        <v>73.177772432042332</v>
      </c>
    </row>
    <row r="11" spans="1:17">
      <c r="A11" s="17" t="s">
        <v>26</v>
      </c>
      <c r="B11" s="9">
        <v>41.9</v>
      </c>
      <c r="C11" s="9">
        <v>64.5</v>
      </c>
      <c r="D11" s="9">
        <v>64.8</v>
      </c>
      <c r="E11" s="9"/>
      <c r="F11" s="9">
        <f t="shared" si="0"/>
        <v>57.066666666666663</v>
      </c>
      <c r="G11" s="9"/>
      <c r="H11" s="9">
        <v>34.1</v>
      </c>
      <c r="I11" s="9">
        <v>31.1</v>
      </c>
      <c r="J11" s="9">
        <v>29.4</v>
      </c>
      <c r="K11" s="9">
        <v>28</v>
      </c>
      <c r="M11" s="9">
        <f t="shared" si="1"/>
        <v>30.25</v>
      </c>
      <c r="N11" s="9">
        <f t="shared" si="2"/>
        <v>30.65</v>
      </c>
      <c r="P11" s="9">
        <f t="shared" si="3"/>
        <v>53.008177570093459</v>
      </c>
      <c r="Q11" s="9">
        <f t="shared" si="4"/>
        <v>53.709112149532714</v>
      </c>
    </row>
    <row r="12" spans="1:17">
      <c r="A12" s="17" t="s">
        <v>27</v>
      </c>
      <c r="B12" s="9">
        <v>18.8</v>
      </c>
      <c r="C12" s="9">
        <v>8.4</v>
      </c>
      <c r="D12" s="9">
        <v>4.3</v>
      </c>
      <c r="E12" s="9"/>
      <c r="F12" s="9">
        <f t="shared" si="0"/>
        <v>10.500000000000002</v>
      </c>
      <c r="G12" s="9"/>
      <c r="H12" s="9">
        <v>9.1</v>
      </c>
      <c r="I12" s="9">
        <v>9.6999999999999993</v>
      </c>
      <c r="J12" s="9">
        <v>9.5</v>
      </c>
      <c r="K12" s="9">
        <v>7.6</v>
      </c>
      <c r="M12" s="9">
        <f t="shared" si="1"/>
        <v>9.6</v>
      </c>
      <c r="N12" s="9">
        <f t="shared" si="2"/>
        <v>8.9749999999999996</v>
      </c>
      <c r="P12" s="9">
        <f t="shared" si="3"/>
        <v>91.428571428571416</v>
      </c>
      <c r="Q12" s="9">
        <f t="shared" si="4"/>
        <v>85.476190476190467</v>
      </c>
    </row>
    <row r="14" spans="1:17" ht="15">
      <c r="A14" s="13"/>
      <c r="O14" s="13" t="s">
        <v>31</v>
      </c>
      <c r="P14" s="16" t="s">
        <v>29</v>
      </c>
      <c r="Q14" s="16" t="s">
        <v>30</v>
      </c>
    </row>
    <row r="15" spans="1:17">
      <c r="O15">
        <v>15</v>
      </c>
      <c r="P15" s="9">
        <f>P5</f>
        <v>89.050470487596257</v>
      </c>
      <c r="Q15" s="9">
        <f>Q5</f>
        <v>94.50384944396923</v>
      </c>
    </row>
    <row r="16" spans="1:17">
      <c r="O16">
        <f>O15+1</f>
        <v>16</v>
      </c>
      <c r="P16" s="9">
        <f t="shared" ref="P16:Q19" si="5">P15</f>
        <v>89.050470487596257</v>
      </c>
      <c r="Q16" s="9">
        <f t="shared" si="5"/>
        <v>94.50384944396923</v>
      </c>
    </row>
    <row r="17" spans="15:17">
      <c r="O17">
        <f t="shared" ref="O17:O54" si="6">O16+1</f>
        <v>17</v>
      </c>
      <c r="P17" s="9">
        <f t="shared" si="5"/>
        <v>89.050470487596257</v>
      </c>
      <c r="Q17" s="9">
        <f t="shared" si="5"/>
        <v>94.50384944396923</v>
      </c>
    </row>
    <row r="18" spans="15:17">
      <c r="O18">
        <f t="shared" si="6"/>
        <v>18</v>
      </c>
      <c r="P18" s="9">
        <f t="shared" si="5"/>
        <v>89.050470487596257</v>
      </c>
      <c r="Q18" s="9">
        <f t="shared" si="5"/>
        <v>94.50384944396923</v>
      </c>
    </row>
    <row r="19" spans="15:17">
      <c r="O19">
        <f t="shared" si="6"/>
        <v>19</v>
      </c>
      <c r="P19" s="9">
        <f t="shared" si="5"/>
        <v>89.050470487596257</v>
      </c>
      <c r="Q19" s="9">
        <f t="shared" si="5"/>
        <v>94.50384944396923</v>
      </c>
    </row>
    <row r="20" spans="15:17">
      <c r="O20">
        <f t="shared" si="6"/>
        <v>20</v>
      </c>
      <c r="P20" s="9">
        <f>P6</f>
        <v>85.907935611409201</v>
      </c>
      <c r="Q20" s="9">
        <f>Q6</f>
        <v>83.620446201637947</v>
      </c>
    </row>
    <row r="21" spans="15:17">
      <c r="O21">
        <f t="shared" si="6"/>
        <v>21</v>
      </c>
      <c r="P21" s="9">
        <f t="shared" ref="P21:Q24" si="7">P20</f>
        <v>85.907935611409201</v>
      </c>
      <c r="Q21" s="9">
        <f t="shared" si="7"/>
        <v>83.620446201637947</v>
      </c>
    </row>
    <row r="22" spans="15:17">
      <c r="O22">
        <f t="shared" si="6"/>
        <v>22</v>
      </c>
      <c r="P22" s="9">
        <f t="shared" si="7"/>
        <v>85.907935611409201</v>
      </c>
      <c r="Q22" s="9">
        <f t="shared" si="7"/>
        <v>83.620446201637947</v>
      </c>
    </row>
    <row r="23" spans="15:17">
      <c r="O23">
        <f t="shared" si="6"/>
        <v>23</v>
      </c>
      <c r="P23" s="9">
        <f t="shared" si="7"/>
        <v>85.907935611409201</v>
      </c>
      <c r="Q23" s="9">
        <f t="shared" si="7"/>
        <v>83.620446201637947</v>
      </c>
    </row>
    <row r="24" spans="15:17">
      <c r="O24">
        <f t="shared" si="6"/>
        <v>24</v>
      </c>
      <c r="P24" s="9">
        <f t="shared" si="7"/>
        <v>85.907935611409201</v>
      </c>
      <c r="Q24" s="9">
        <f t="shared" si="7"/>
        <v>83.620446201637947</v>
      </c>
    </row>
    <row r="25" spans="15:17">
      <c r="O25">
        <f t="shared" si="6"/>
        <v>25</v>
      </c>
      <c r="P25" s="9">
        <f>P7</f>
        <v>82.855731225296452</v>
      </c>
      <c r="Q25" s="9">
        <f>Q7</f>
        <v>78.944334650856405</v>
      </c>
    </row>
    <row r="26" spans="15:17">
      <c r="O26">
        <f t="shared" si="6"/>
        <v>26</v>
      </c>
      <c r="P26" s="9">
        <f t="shared" ref="P26:Q29" si="8">P25</f>
        <v>82.855731225296452</v>
      </c>
      <c r="Q26" s="9">
        <f t="shared" si="8"/>
        <v>78.944334650856405</v>
      </c>
    </row>
    <row r="27" spans="15:17">
      <c r="O27">
        <f t="shared" si="6"/>
        <v>27</v>
      </c>
      <c r="P27" s="9">
        <f t="shared" si="8"/>
        <v>82.855731225296452</v>
      </c>
      <c r="Q27" s="9">
        <f t="shared" si="8"/>
        <v>78.944334650856405</v>
      </c>
    </row>
    <row r="28" spans="15:17">
      <c r="O28">
        <f t="shared" si="6"/>
        <v>28</v>
      </c>
      <c r="P28" s="9">
        <f t="shared" si="8"/>
        <v>82.855731225296452</v>
      </c>
      <c r="Q28" s="9">
        <f t="shared" si="8"/>
        <v>78.944334650856405</v>
      </c>
    </row>
    <row r="29" spans="15:17">
      <c r="O29">
        <f t="shared" si="6"/>
        <v>29</v>
      </c>
      <c r="P29" s="9">
        <f t="shared" si="8"/>
        <v>82.855731225296452</v>
      </c>
      <c r="Q29" s="9">
        <f t="shared" si="8"/>
        <v>78.944334650856405</v>
      </c>
    </row>
    <row r="30" spans="15:17">
      <c r="O30">
        <f t="shared" si="6"/>
        <v>30</v>
      </c>
      <c r="P30" s="9">
        <f>P8</f>
        <v>68.837023510614017</v>
      </c>
      <c r="Q30" s="9">
        <f>Q8</f>
        <v>65.935288746861445</v>
      </c>
    </row>
    <row r="31" spans="15:17">
      <c r="O31">
        <f t="shared" si="6"/>
        <v>31</v>
      </c>
      <c r="P31" s="9">
        <f t="shared" ref="P31:Q34" si="9">P30</f>
        <v>68.837023510614017</v>
      </c>
      <c r="Q31" s="9">
        <f t="shared" si="9"/>
        <v>65.935288746861445</v>
      </c>
    </row>
    <row r="32" spans="15:17">
      <c r="O32">
        <f t="shared" si="6"/>
        <v>32</v>
      </c>
      <c r="P32" s="9">
        <f t="shared" si="9"/>
        <v>68.837023510614017</v>
      </c>
      <c r="Q32" s="9">
        <f t="shared" si="9"/>
        <v>65.935288746861445</v>
      </c>
    </row>
    <row r="33" spans="15:17">
      <c r="O33">
        <f t="shared" si="6"/>
        <v>33</v>
      </c>
      <c r="P33" s="9">
        <f t="shared" si="9"/>
        <v>68.837023510614017</v>
      </c>
      <c r="Q33" s="9">
        <f t="shared" si="9"/>
        <v>65.935288746861445</v>
      </c>
    </row>
    <row r="34" spans="15:17">
      <c r="O34">
        <f t="shared" si="6"/>
        <v>34</v>
      </c>
      <c r="P34" s="9">
        <f t="shared" si="9"/>
        <v>68.837023510614017</v>
      </c>
      <c r="Q34" s="9">
        <f t="shared" si="9"/>
        <v>65.935288746861445</v>
      </c>
    </row>
    <row r="35" spans="15:17">
      <c r="O35">
        <f t="shared" si="6"/>
        <v>35</v>
      </c>
      <c r="P35" s="9">
        <f>P9</f>
        <v>78.754635352286769</v>
      </c>
      <c r="Q35" s="9">
        <f>Q9</f>
        <v>76.935259579728054</v>
      </c>
    </row>
    <row r="36" spans="15:17">
      <c r="O36">
        <f t="shared" si="6"/>
        <v>36</v>
      </c>
      <c r="P36" s="9">
        <f t="shared" ref="P36:Q39" si="10">P35</f>
        <v>78.754635352286769</v>
      </c>
      <c r="Q36" s="9">
        <f t="shared" si="10"/>
        <v>76.935259579728054</v>
      </c>
    </row>
    <row r="37" spans="15:17">
      <c r="O37">
        <f t="shared" si="6"/>
        <v>37</v>
      </c>
      <c r="P37" s="9">
        <f t="shared" si="10"/>
        <v>78.754635352286769</v>
      </c>
      <c r="Q37" s="9">
        <f t="shared" si="10"/>
        <v>76.935259579728054</v>
      </c>
    </row>
    <row r="38" spans="15:17">
      <c r="O38">
        <f t="shared" si="6"/>
        <v>38</v>
      </c>
      <c r="P38" s="9">
        <f t="shared" si="10"/>
        <v>78.754635352286769</v>
      </c>
      <c r="Q38" s="9">
        <f t="shared" si="10"/>
        <v>76.935259579728054</v>
      </c>
    </row>
    <row r="39" spans="15:17">
      <c r="O39">
        <f t="shared" si="6"/>
        <v>39</v>
      </c>
      <c r="P39" s="9">
        <f t="shared" si="10"/>
        <v>78.754635352286769</v>
      </c>
      <c r="Q39" s="9">
        <f t="shared" si="10"/>
        <v>76.935259579728054</v>
      </c>
    </row>
    <row r="40" spans="15:17">
      <c r="O40">
        <f t="shared" si="6"/>
        <v>40</v>
      </c>
      <c r="P40" s="9">
        <f>P10</f>
        <v>74.7654558575896</v>
      </c>
      <c r="Q40" s="9">
        <f>Q10</f>
        <v>73.177772432042332</v>
      </c>
    </row>
    <row r="41" spans="15:17">
      <c r="O41">
        <f t="shared" si="6"/>
        <v>41</v>
      </c>
      <c r="P41" s="9">
        <f t="shared" ref="P41:Q44" si="11">P40</f>
        <v>74.7654558575896</v>
      </c>
      <c r="Q41" s="9">
        <f t="shared" si="11"/>
        <v>73.177772432042332</v>
      </c>
    </row>
    <row r="42" spans="15:17">
      <c r="O42">
        <f t="shared" si="6"/>
        <v>42</v>
      </c>
      <c r="P42" s="9">
        <f t="shared" si="11"/>
        <v>74.7654558575896</v>
      </c>
      <c r="Q42" s="9">
        <f t="shared" si="11"/>
        <v>73.177772432042332</v>
      </c>
    </row>
    <row r="43" spans="15:17">
      <c r="O43">
        <f t="shared" si="6"/>
        <v>43</v>
      </c>
      <c r="P43" s="9">
        <f t="shared" si="11"/>
        <v>74.7654558575896</v>
      </c>
      <c r="Q43" s="9">
        <f t="shared" si="11"/>
        <v>73.177772432042332</v>
      </c>
    </row>
    <row r="44" spans="15:17">
      <c r="O44">
        <f t="shared" si="6"/>
        <v>44</v>
      </c>
      <c r="P44" s="9">
        <f t="shared" si="11"/>
        <v>74.7654558575896</v>
      </c>
      <c r="Q44" s="9">
        <f t="shared" si="11"/>
        <v>73.177772432042332</v>
      </c>
    </row>
    <row r="45" spans="15:17">
      <c r="O45">
        <f t="shared" si="6"/>
        <v>45</v>
      </c>
      <c r="P45" s="9">
        <f>P11</f>
        <v>53.008177570093459</v>
      </c>
      <c r="Q45" s="9">
        <f>Q11</f>
        <v>53.709112149532714</v>
      </c>
    </row>
    <row r="46" spans="15:17">
      <c r="O46">
        <f t="shared" si="6"/>
        <v>46</v>
      </c>
      <c r="P46" s="9">
        <f t="shared" ref="P46:Q49" si="12">P45</f>
        <v>53.008177570093459</v>
      </c>
      <c r="Q46" s="9">
        <f t="shared" si="12"/>
        <v>53.709112149532714</v>
      </c>
    </row>
    <row r="47" spans="15:17">
      <c r="O47">
        <f t="shared" si="6"/>
        <v>47</v>
      </c>
      <c r="P47" s="9">
        <f t="shared" si="12"/>
        <v>53.008177570093459</v>
      </c>
      <c r="Q47" s="9">
        <f t="shared" si="12"/>
        <v>53.709112149532714</v>
      </c>
    </row>
    <row r="48" spans="15:17">
      <c r="O48">
        <f t="shared" si="6"/>
        <v>48</v>
      </c>
      <c r="P48" s="9">
        <f t="shared" si="12"/>
        <v>53.008177570093459</v>
      </c>
      <c r="Q48" s="9">
        <f t="shared" si="12"/>
        <v>53.709112149532714</v>
      </c>
    </row>
    <row r="49" spans="15:17">
      <c r="O49">
        <f t="shared" si="6"/>
        <v>49</v>
      </c>
      <c r="P49" s="9">
        <f t="shared" si="12"/>
        <v>53.008177570093459</v>
      </c>
      <c r="Q49" s="9">
        <f t="shared" si="12"/>
        <v>53.709112149532714</v>
      </c>
    </row>
    <row r="50" spans="15:17">
      <c r="O50">
        <f t="shared" si="6"/>
        <v>50</v>
      </c>
      <c r="P50" s="9">
        <f>P12</f>
        <v>91.428571428571416</v>
      </c>
      <c r="Q50" s="9">
        <f>Q12</f>
        <v>85.476190476190467</v>
      </c>
    </row>
    <row r="51" spans="15:17">
      <c r="O51">
        <f t="shared" si="6"/>
        <v>51</v>
      </c>
      <c r="P51" s="9">
        <f t="shared" ref="P51:Q54" si="13">P50</f>
        <v>91.428571428571416</v>
      </c>
      <c r="Q51" s="9">
        <f t="shared" si="13"/>
        <v>85.476190476190467</v>
      </c>
    </row>
    <row r="52" spans="15:17">
      <c r="O52">
        <f t="shared" si="6"/>
        <v>52</v>
      </c>
      <c r="P52" s="9">
        <f t="shared" si="13"/>
        <v>91.428571428571416</v>
      </c>
      <c r="Q52" s="9">
        <f t="shared" si="13"/>
        <v>85.476190476190467</v>
      </c>
    </row>
    <row r="53" spans="15:17">
      <c r="O53">
        <f t="shared" si="6"/>
        <v>53</v>
      </c>
      <c r="P53" s="9">
        <f t="shared" si="13"/>
        <v>91.428571428571416</v>
      </c>
      <c r="Q53" s="9">
        <f t="shared" si="13"/>
        <v>85.476190476190467</v>
      </c>
    </row>
    <row r="54" spans="15:17">
      <c r="O54">
        <f t="shared" si="6"/>
        <v>54</v>
      </c>
      <c r="P54" s="9">
        <f t="shared" si="13"/>
        <v>91.428571428571416</v>
      </c>
      <c r="Q54" s="9">
        <f t="shared" si="13"/>
        <v>85.476190476190467</v>
      </c>
    </row>
  </sheetData>
  <pageMargins left="0.7" right="0.7" top="0.75" bottom="0.75" header="0.3" footer="0.3"/>
  <pageSetup orientation="portrait" r:id="rId1"/>
  <ignoredErrors>
    <ignoredError sqref="M5:M13" formulaRange="1"/>
    <ignoredError sqref="P20:P50 Q20:Q50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1247-5F0D-44BB-8323-04EA2E4FC803}">
  <dimension ref="A1:Q96"/>
  <sheetViews>
    <sheetView workbookViewId="0">
      <selection activeCell="X59" sqref="X59"/>
    </sheetView>
  </sheetViews>
  <sheetFormatPr defaultRowHeight="14.25"/>
  <cols>
    <col min="1" max="1" width="7.875" bestFit="1" customWidth="1"/>
    <col min="2" max="4" width="5.375" bestFit="1" customWidth="1"/>
    <col min="6" max="6" width="9.5" bestFit="1" customWidth="1"/>
    <col min="8" max="11" width="5.375" bestFit="1" customWidth="1"/>
    <col min="13" max="14" width="9.5" bestFit="1" customWidth="1"/>
    <col min="16" max="17" width="11.625" bestFit="1" customWidth="1"/>
  </cols>
  <sheetData>
    <row r="1" spans="1:17">
      <c r="A1" t="s">
        <v>7</v>
      </c>
    </row>
    <row r="4" spans="1:17" ht="15">
      <c r="A4" s="11" t="s">
        <v>31</v>
      </c>
      <c r="B4" s="12">
        <v>1927</v>
      </c>
      <c r="C4" s="12">
        <v>1928</v>
      </c>
      <c r="D4" s="12">
        <v>1929</v>
      </c>
      <c r="E4" s="12"/>
      <c r="F4" s="12" t="s">
        <v>1</v>
      </c>
      <c r="G4" s="12"/>
      <c r="H4" s="12">
        <v>1936</v>
      </c>
      <c r="I4" s="12">
        <v>1937</v>
      </c>
      <c r="J4" s="12">
        <v>1938</v>
      </c>
      <c r="K4" s="12">
        <v>1939</v>
      </c>
      <c r="L4" s="8"/>
      <c r="M4" s="12" t="s">
        <v>28</v>
      </c>
      <c r="N4" s="12" t="s">
        <v>2</v>
      </c>
      <c r="O4" s="8"/>
      <c r="P4" s="12" t="s">
        <v>29</v>
      </c>
      <c r="Q4" s="12" t="s">
        <v>30</v>
      </c>
    </row>
    <row r="5" spans="1:17">
      <c r="A5" s="17" t="s">
        <v>20</v>
      </c>
      <c r="B5" s="9">
        <v>39.5</v>
      </c>
      <c r="C5" s="9">
        <v>37.799999999999997</v>
      </c>
      <c r="D5" s="9">
        <v>46.6</v>
      </c>
      <c r="E5" s="9"/>
      <c r="F5" s="9">
        <f>AVERAGE(B5:D5)</f>
        <v>41.300000000000004</v>
      </c>
      <c r="G5" s="9"/>
      <c r="H5" s="9">
        <v>53.4</v>
      </c>
      <c r="I5" s="9">
        <v>36.6</v>
      </c>
      <c r="J5" s="9">
        <v>41.2</v>
      </c>
      <c r="K5" s="9">
        <v>38.4</v>
      </c>
      <c r="M5" s="9">
        <f>AVERAGE(I5:J5)</f>
        <v>38.900000000000006</v>
      </c>
      <c r="N5" s="9">
        <f>AVERAGE(H5:K5)</f>
        <v>42.4</v>
      </c>
      <c r="P5" s="9">
        <f>100*M5/F5</f>
        <v>94.188861985472158</v>
      </c>
      <c r="Q5" s="9">
        <f>100*N5/F5</f>
        <v>102.66343825665858</v>
      </c>
    </row>
    <row r="6" spans="1:17">
      <c r="A6" s="17" t="s">
        <v>21</v>
      </c>
      <c r="B6" s="9">
        <v>248.8</v>
      </c>
      <c r="C6" s="9">
        <v>278.8</v>
      </c>
      <c r="D6" s="9">
        <v>227.8</v>
      </c>
      <c r="E6" s="9"/>
      <c r="F6" s="9">
        <f t="shared" ref="F6:F12" si="0">AVERAGE(B6:D6)</f>
        <v>251.80000000000004</v>
      </c>
      <c r="G6" s="9"/>
      <c r="H6" s="9">
        <v>231.3</v>
      </c>
      <c r="I6" s="9">
        <v>226.3</v>
      </c>
      <c r="J6" s="9">
        <v>228.2</v>
      </c>
      <c r="K6" s="9">
        <v>217.6</v>
      </c>
      <c r="M6" s="9">
        <f t="shared" ref="M6:M12" si="1">AVERAGE(I6:J6)</f>
        <v>227.25</v>
      </c>
      <c r="N6" s="9">
        <f t="shared" ref="N6:N12" si="2">AVERAGE(H6:K6)</f>
        <v>225.85</v>
      </c>
      <c r="P6" s="9">
        <f t="shared" ref="P6:P12" si="3">100*M6/F6</f>
        <v>90.250198570293875</v>
      </c>
      <c r="Q6" s="9">
        <f t="shared" ref="Q6:Q12" si="4">100*N6/F6</f>
        <v>89.694201747418575</v>
      </c>
    </row>
    <row r="7" spans="1:17">
      <c r="A7" s="17" t="s">
        <v>22</v>
      </c>
      <c r="B7" s="9">
        <v>337.5</v>
      </c>
      <c r="C7" s="9">
        <v>332.6</v>
      </c>
      <c r="D7" s="9">
        <v>299.39999999999998</v>
      </c>
      <c r="E7" s="9"/>
      <c r="F7" s="9">
        <f t="shared" si="0"/>
        <v>323.16666666666669</v>
      </c>
      <c r="G7" s="9"/>
      <c r="H7" s="9">
        <v>267.60000000000002</v>
      </c>
      <c r="I7" s="9">
        <v>265.10000000000002</v>
      </c>
      <c r="J7" s="9">
        <v>299.7</v>
      </c>
      <c r="K7" s="9">
        <v>264.10000000000002</v>
      </c>
      <c r="M7" s="9">
        <f t="shared" si="1"/>
        <v>282.39999999999998</v>
      </c>
      <c r="N7" s="9">
        <f t="shared" si="2"/>
        <v>274.125</v>
      </c>
      <c r="P7" s="9">
        <f t="shared" si="3"/>
        <v>87.385250128932427</v>
      </c>
      <c r="Q7" s="9">
        <f t="shared" si="4"/>
        <v>84.824651882413605</v>
      </c>
    </row>
    <row r="8" spans="1:17">
      <c r="A8" s="17" t="s">
        <v>23</v>
      </c>
      <c r="B8" s="9">
        <v>341.3</v>
      </c>
      <c r="C8" s="9">
        <v>331.9</v>
      </c>
      <c r="D8" s="9">
        <v>261.3</v>
      </c>
      <c r="E8" s="9"/>
      <c r="F8" s="9">
        <f t="shared" si="0"/>
        <v>311.5</v>
      </c>
      <c r="G8" s="9"/>
      <c r="H8" s="9">
        <v>208</v>
      </c>
      <c r="I8" s="9">
        <v>224.7</v>
      </c>
      <c r="J8" s="9">
        <v>220.8</v>
      </c>
      <c r="K8" s="9">
        <v>219.6</v>
      </c>
      <c r="M8" s="9">
        <f t="shared" si="1"/>
        <v>222.75</v>
      </c>
      <c r="N8" s="9">
        <f t="shared" si="2"/>
        <v>218.27500000000001</v>
      </c>
      <c r="P8" s="9">
        <f t="shared" si="3"/>
        <v>71.50882825040128</v>
      </c>
      <c r="Q8" s="9">
        <f t="shared" si="4"/>
        <v>70.072231139646874</v>
      </c>
    </row>
    <row r="9" spans="1:17">
      <c r="A9" s="17" t="s">
        <v>24</v>
      </c>
      <c r="B9" s="9">
        <v>222.4</v>
      </c>
      <c r="C9" s="9">
        <v>248.1</v>
      </c>
      <c r="D9" s="9">
        <v>205.8</v>
      </c>
      <c r="E9" s="9"/>
      <c r="F9" s="9">
        <f t="shared" si="0"/>
        <v>225.43333333333331</v>
      </c>
      <c r="G9" s="9"/>
      <c r="H9" s="9">
        <v>204.2</v>
      </c>
      <c r="I9" s="9">
        <v>192.6</v>
      </c>
      <c r="J9" s="9">
        <v>188</v>
      </c>
      <c r="K9" s="9">
        <v>175.8</v>
      </c>
      <c r="M9" s="9">
        <f t="shared" si="1"/>
        <v>190.3</v>
      </c>
      <c r="N9" s="9">
        <f t="shared" si="2"/>
        <v>190.14999999999998</v>
      </c>
      <c r="P9" s="9">
        <f t="shared" si="3"/>
        <v>84.415200354872113</v>
      </c>
      <c r="Q9" s="9">
        <f t="shared" si="4"/>
        <v>84.348661836463094</v>
      </c>
    </row>
    <row r="10" spans="1:17">
      <c r="A10" s="17" t="s">
        <v>25</v>
      </c>
      <c r="B10" s="9">
        <v>150.1</v>
      </c>
      <c r="C10" s="9">
        <v>146.9</v>
      </c>
      <c r="D10" s="9">
        <v>154.6</v>
      </c>
      <c r="E10" s="9"/>
      <c r="F10" s="9">
        <f t="shared" si="0"/>
        <v>150.53333333333333</v>
      </c>
      <c r="G10" s="9"/>
      <c r="H10" s="9">
        <v>101.9</v>
      </c>
      <c r="I10" s="9">
        <v>116</v>
      </c>
      <c r="J10" s="9">
        <v>120.7</v>
      </c>
      <c r="K10" s="9">
        <v>124.7</v>
      </c>
      <c r="M10" s="9">
        <f t="shared" si="1"/>
        <v>118.35</v>
      </c>
      <c r="N10" s="9">
        <f t="shared" si="2"/>
        <v>115.825</v>
      </c>
      <c r="P10" s="9">
        <f t="shared" si="3"/>
        <v>78.62046058458813</v>
      </c>
      <c r="Q10" s="9">
        <f t="shared" si="4"/>
        <v>76.94309123117803</v>
      </c>
    </row>
    <row r="11" spans="1:17">
      <c r="A11" s="17" t="s">
        <v>26</v>
      </c>
      <c r="B11" s="9">
        <v>44.2</v>
      </c>
      <c r="C11" s="9">
        <v>91.6</v>
      </c>
      <c r="D11" s="9">
        <v>53.7</v>
      </c>
      <c r="E11" s="9"/>
      <c r="F11" s="9">
        <f t="shared" si="0"/>
        <v>63.166666666666664</v>
      </c>
      <c r="G11" s="9"/>
      <c r="H11" s="9">
        <v>34.799999999999997</v>
      </c>
      <c r="I11" s="9">
        <v>38.5</v>
      </c>
      <c r="J11" s="9">
        <v>28.5</v>
      </c>
      <c r="K11" s="9">
        <v>37</v>
      </c>
      <c r="M11" s="9">
        <f t="shared" si="1"/>
        <v>33.5</v>
      </c>
      <c r="N11" s="9">
        <f t="shared" si="2"/>
        <v>34.700000000000003</v>
      </c>
      <c r="P11" s="9">
        <f t="shared" si="3"/>
        <v>53.034300791556731</v>
      </c>
      <c r="Q11" s="9">
        <f t="shared" si="4"/>
        <v>54.934036939313991</v>
      </c>
    </row>
    <row r="12" spans="1:17">
      <c r="A12" s="17" t="s">
        <v>27</v>
      </c>
      <c r="B12" s="9">
        <v>19.899999999999999</v>
      </c>
      <c r="C12" s="9">
        <v>8.3000000000000007</v>
      </c>
      <c r="D12" s="9">
        <v>0</v>
      </c>
      <c r="E12" s="9"/>
      <c r="F12" s="9">
        <f t="shared" si="0"/>
        <v>9.4</v>
      </c>
      <c r="G12" s="9"/>
      <c r="H12" s="9">
        <v>10.8</v>
      </c>
      <c r="I12" s="9">
        <v>9.8000000000000007</v>
      </c>
      <c r="J12" s="9">
        <v>13.6</v>
      </c>
      <c r="K12" s="9">
        <v>6.3</v>
      </c>
      <c r="M12" s="9">
        <f t="shared" si="1"/>
        <v>11.7</v>
      </c>
      <c r="N12" s="9">
        <f t="shared" si="2"/>
        <v>10.125</v>
      </c>
      <c r="P12" s="9">
        <f t="shared" si="3"/>
        <v>124.46808510638297</v>
      </c>
      <c r="Q12" s="9">
        <f t="shared" si="4"/>
        <v>107.71276595744681</v>
      </c>
    </row>
    <row r="14" spans="1:17" ht="15">
      <c r="A14" s="11"/>
      <c r="O14" s="11" t="s">
        <v>31</v>
      </c>
      <c r="P14" s="12" t="s">
        <v>29</v>
      </c>
      <c r="Q14" s="12" t="s">
        <v>30</v>
      </c>
    </row>
    <row r="15" spans="1:17">
      <c r="O15">
        <v>15</v>
      </c>
      <c r="P15" s="9">
        <f>P5</f>
        <v>94.188861985472158</v>
      </c>
      <c r="Q15" s="9">
        <f>Q5</f>
        <v>102.66343825665858</v>
      </c>
    </row>
    <row r="16" spans="1:17">
      <c r="O16">
        <f>O15+1</f>
        <v>16</v>
      </c>
      <c r="P16" s="9">
        <f t="shared" ref="P16:Q19" si="5">P15</f>
        <v>94.188861985472158</v>
      </c>
      <c r="Q16" s="9">
        <f t="shared" si="5"/>
        <v>102.66343825665858</v>
      </c>
    </row>
    <row r="17" spans="15:17">
      <c r="O17">
        <f t="shared" ref="O17:O54" si="6">O16+1</f>
        <v>17</v>
      </c>
      <c r="P17" s="9">
        <f t="shared" si="5"/>
        <v>94.188861985472158</v>
      </c>
      <c r="Q17" s="9">
        <f t="shared" si="5"/>
        <v>102.66343825665858</v>
      </c>
    </row>
    <row r="18" spans="15:17">
      <c r="O18">
        <f t="shared" si="6"/>
        <v>18</v>
      </c>
      <c r="P18" s="9">
        <f t="shared" si="5"/>
        <v>94.188861985472158</v>
      </c>
      <c r="Q18" s="9">
        <f t="shared" si="5"/>
        <v>102.66343825665858</v>
      </c>
    </row>
    <row r="19" spans="15:17">
      <c r="O19">
        <f t="shared" si="6"/>
        <v>19</v>
      </c>
      <c r="P19" s="9">
        <f t="shared" si="5"/>
        <v>94.188861985472158</v>
      </c>
      <c r="Q19" s="9">
        <f t="shared" si="5"/>
        <v>102.66343825665858</v>
      </c>
    </row>
    <row r="20" spans="15:17">
      <c r="O20">
        <f t="shared" si="6"/>
        <v>20</v>
      </c>
      <c r="P20" s="9">
        <f>P6</f>
        <v>90.250198570293875</v>
      </c>
      <c r="Q20" s="9">
        <f>Q6</f>
        <v>89.694201747418575</v>
      </c>
    </row>
    <row r="21" spans="15:17">
      <c r="O21">
        <f t="shared" si="6"/>
        <v>21</v>
      </c>
      <c r="P21" s="9">
        <f t="shared" ref="P21:Q24" si="7">P20</f>
        <v>90.250198570293875</v>
      </c>
      <c r="Q21" s="9">
        <f t="shared" si="7"/>
        <v>89.694201747418575</v>
      </c>
    </row>
    <row r="22" spans="15:17">
      <c r="O22">
        <f t="shared" si="6"/>
        <v>22</v>
      </c>
      <c r="P22" s="9">
        <f t="shared" si="7"/>
        <v>90.250198570293875</v>
      </c>
      <c r="Q22" s="9">
        <f t="shared" si="7"/>
        <v>89.694201747418575</v>
      </c>
    </row>
    <row r="23" spans="15:17">
      <c r="O23">
        <f t="shared" si="6"/>
        <v>23</v>
      </c>
      <c r="P23" s="9">
        <f t="shared" si="7"/>
        <v>90.250198570293875</v>
      </c>
      <c r="Q23" s="9">
        <f t="shared" si="7"/>
        <v>89.694201747418575</v>
      </c>
    </row>
    <row r="24" spans="15:17">
      <c r="O24">
        <f t="shared" si="6"/>
        <v>24</v>
      </c>
      <c r="P24" s="9">
        <f t="shared" si="7"/>
        <v>90.250198570293875</v>
      </c>
      <c r="Q24" s="9">
        <f t="shared" si="7"/>
        <v>89.694201747418575</v>
      </c>
    </row>
    <row r="25" spans="15:17">
      <c r="O25">
        <f t="shared" si="6"/>
        <v>25</v>
      </c>
      <c r="P25" s="9">
        <f>P7</f>
        <v>87.385250128932427</v>
      </c>
      <c r="Q25" s="9">
        <f>Q7</f>
        <v>84.824651882413605</v>
      </c>
    </row>
    <row r="26" spans="15:17">
      <c r="O26">
        <f t="shared" si="6"/>
        <v>26</v>
      </c>
      <c r="P26" s="9">
        <f t="shared" ref="P26:Q29" si="8">P25</f>
        <v>87.385250128932427</v>
      </c>
      <c r="Q26" s="9">
        <f t="shared" si="8"/>
        <v>84.824651882413605</v>
      </c>
    </row>
    <row r="27" spans="15:17">
      <c r="O27">
        <f t="shared" si="6"/>
        <v>27</v>
      </c>
      <c r="P27" s="9">
        <f t="shared" si="8"/>
        <v>87.385250128932427</v>
      </c>
      <c r="Q27" s="9">
        <f t="shared" si="8"/>
        <v>84.824651882413605</v>
      </c>
    </row>
    <row r="28" spans="15:17">
      <c r="O28">
        <f t="shared" si="6"/>
        <v>28</v>
      </c>
      <c r="P28" s="9">
        <f t="shared" si="8"/>
        <v>87.385250128932427</v>
      </c>
      <c r="Q28" s="9">
        <f t="shared" si="8"/>
        <v>84.824651882413605</v>
      </c>
    </row>
    <row r="29" spans="15:17">
      <c r="O29">
        <f t="shared" si="6"/>
        <v>29</v>
      </c>
      <c r="P29" s="9">
        <f t="shared" si="8"/>
        <v>87.385250128932427</v>
      </c>
      <c r="Q29" s="9">
        <f t="shared" si="8"/>
        <v>84.824651882413605</v>
      </c>
    </row>
    <row r="30" spans="15:17">
      <c r="O30">
        <f t="shared" si="6"/>
        <v>30</v>
      </c>
      <c r="P30" s="9">
        <f>P8</f>
        <v>71.50882825040128</v>
      </c>
      <c r="Q30" s="9">
        <f>Q8</f>
        <v>70.072231139646874</v>
      </c>
    </row>
    <row r="31" spans="15:17">
      <c r="O31">
        <f t="shared" si="6"/>
        <v>31</v>
      </c>
      <c r="P31" s="9">
        <f t="shared" ref="P31:Q34" si="9">P30</f>
        <v>71.50882825040128</v>
      </c>
      <c r="Q31" s="9">
        <f t="shared" si="9"/>
        <v>70.072231139646874</v>
      </c>
    </row>
    <row r="32" spans="15:17">
      <c r="O32">
        <f t="shared" si="6"/>
        <v>32</v>
      </c>
      <c r="P32" s="9">
        <f t="shared" si="9"/>
        <v>71.50882825040128</v>
      </c>
      <c r="Q32" s="9">
        <f t="shared" si="9"/>
        <v>70.072231139646874</v>
      </c>
    </row>
    <row r="33" spans="15:17">
      <c r="O33">
        <f t="shared" si="6"/>
        <v>33</v>
      </c>
      <c r="P33" s="9">
        <f t="shared" si="9"/>
        <v>71.50882825040128</v>
      </c>
      <c r="Q33" s="9">
        <f t="shared" si="9"/>
        <v>70.072231139646874</v>
      </c>
    </row>
    <row r="34" spans="15:17">
      <c r="O34">
        <f t="shared" si="6"/>
        <v>34</v>
      </c>
      <c r="P34" s="9">
        <f t="shared" si="9"/>
        <v>71.50882825040128</v>
      </c>
      <c r="Q34" s="9">
        <f t="shared" si="9"/>
        <v>70.072231139646874</v>
      </c>
    </row>
    <row r="35" spans="15:17">
      <c r="O35">
        <f t="shared" si="6"/>
        <v>35</v>
      </c>
      <c r="P35" s="9">
        <f>P9</f>
        <v>84.415200354872113</v>
      </c>
      <c r="Q35" s="9">
        <f>Q9</f>
        <v>84.348661836463094</v>
      </c>
    </row>
    <row r="36" spans="15:17">
      <c r="O36">
        <f t="shared" si="6"/>
        <v>36</v>
      </c>
      <c r="P36" s="9">
        <f t="shared" ref="P36:Q39" si="10">P35</f>
        <v>84.415200354872113</v>
      </c>
      <c r="Q36" s="9">
        <f t="shared" si="10"/>
        <v>84.348661836463094</v>
      </c>
    </row>
    <row r="37" spans="15:17">
      <c r="O37">
        <f t="shared" si="6"/>
        <v>37</v>
      </c>
      <c r="P37" s="9">
        <f t="shared" si="10"/>
        <v>84.415200354872113</v>
      </c>
      <c r="Q37" s="9">
        <f t="shared" si="10"/>
        <v>84.348661836463094</v>
      </c>
    </row>
    <row r="38" spans="15:17">
      <c r="O38">
        <f t="shared" si="6"/>
        <v>38</v>
      </c>
      <c r="P38" s="9">
        <f t="shared" si="10"/>
        <v>84.415200354872113</v>
      </c>
      <c r="Q38" s="9">
        <f t="shared" si="10"/>
        <v>84.348661836463094</v>
      </c>
    </row>
    <row r="39" spans="15:17">
      <c r="O39">
        <f t="shared" si="6"/>
        <v>39</v>
      </c>
      <c r="P39" s="9">
        <f t="shared" si="10"/>
        <v>84.415200354872113</v>
      </c>
      <c r="Q39" s="9">
        <f t="shared" si="10"/>
        <v>84.348661836463094</v>
      </c>
    </row>
    <row r="40" spans="15:17">
      <c r="O40">
        <f t="shared" si="6"/>
        <v>40</v>
      </c>
      <c r="P40" s="9">
        <f>P10</f>
        <v>78.62046058458813</v>
      </c>
      <c r="Q40" s="9">
        <f>Q10</f>
        <v>76.94309123117803</v>
      </c>
    </row>
    <row r="41" spans="15:17">
      <c r="O41">
        <f t="shared" si="6"/>
        <v>41</v>
      </c>
      <c r="P41" s="9">
        <f t="shared" ref="P41:Q44" si="11">P40</f>
        <v>78.62046058458813</v>
      </c>
      <c r="Q41" s="9">
        <f t="shared" si="11"/>
        <v>76.94309123117803</v>
      </c>
    </row>
    <row r="42" spans="15:17">
      <c r="O42">
        <f t="shared" si="6"/>
        <v>42</v>
      </c>
      <c r="P42" s="9">
        <f t="shared" si="11"/>
        <v>78.62046058458813</v>
      </c>
      <c r="Q42" s="9">
        <f t="shared" si="11"/>
        <v>76.94309123117803</v>
      </c>
    </row>
    <row r="43" spans="15:17">
      <c r="O43">
        <f t="shared" si="6"/>
        <v>43</v>
      </c>
      <c r="P43" s="9">
        <f t="shared" si="11"/>
        <v>78.62046058458813</v>
      </c>
      <c r="Q43" s="9">
        <f t="shared" si="11"/>
        <v>76.94309123117803</v>
      </c>
    </row>
    <row r="44" spans="15:17">
      <c r="O44">
        <f t="shared" si="6"/>
        <v>44</v>
      </c>
      <c r="P44" s="9">
        <f t="shared" si="11"/>
        <v>78.62046058458813</v>
      </c>
      <c r="Q44" s="9">
        <f t="shared" si="11"/>
        <v>76.94309123117803</v>
      </c>
    </row>
    <row r="45" spans="15:17">
      <c r="O45">
        <f t="shared" si="6"/>
        <v>45</v>
      </c>
      <c r="P45" s="9">
        <f>P11</f>
        <v>53.034300791556731</v>
      </c>
      <c r="Q45" s="9">
        <f>Q11</f>
        <v>54.934036939313991</v>
      </c>
    </row>
    <row r="46" spans="15:17">
      <c r="O46">
        <f t="shared" si="6"/>
        <v>46</v>
      </c>
      <c r="P46" s="9">
        <f t="shared" ref="P46:Q49" si="12">P45</f>
        <v>53.034300791556731</v>
      </c>
      <c r="Q46" s="9">
        <f t="shared" si="12"/>
        <v>54.934036939313991</v>
      </c>
    </row>
    <row r="47" spans="15:17">
      <c r="O47">
        <f t="shared" si="6"/>
        <v>47</v>
      </c>
      <c r="P47" s="9">
        <f t="shared" si="12"/>
        <v>53.034300791556731</v>
      </c>
      <c r="Q47" s="9">
        <f t="shared" si="12"/>
        <v>54.934036939313991</v>
      </c>
    </row>
    <row r="48" spans="15:17">
      <c r="O48">
        <f t="shared" si="6"/>
        <v>48</v>
      </c>
      <c r="P48" s="9">
        <f t="shared" si="12"/>
        <v>53.034300791556731</v>
      </c>
      <c r="Q48" s="9">
        <f t="shared" si="12"/>
        <v>54.934036939313991</v>
      </c>
    </row>
    <row r="49" spans="1:17">
      <c r="O49">
        <f t="shared" si="6"/>
        <v>49</v>
      </c>
      <c r="P49" s="9">
        <f t="shared" si="12"/>
        <v>53.034300791556731</v>
      </c>
      <c r="Q49" s="9">
        <f t="shared" si="12"/>
        <v>54.934036939313991</v>
      </c>
    </row>
    <row r="50" spans="1:17">
      <c r="O50">
        <f t="shared" si="6"/>
        <v>50</v>
      </c>
      <c r="P50" s="9">
        <f>P12</f>
        <v>124.46808510638297</v>
      </c>
      <c r="Q50" s="9">
        <f>Q12</f>
        <v>107.71276595744681</v>
      </c>
    </row>
    <row r="51" spans="1:17">
      <c r="O51">
        <f t="shared" si="6"/>
        <v>51</v>
      </c>
      <c r="P51" s="9">
        <f t="shared" ref="P51:Q54" si="13">P50</f>
        <v>124.46808510638297</v>
      </c>
      <c r="Q51" s="9">
        <f t="shared" si="13"/>
        <v>107.71276595744681</v>
      </c>
    </row>
    <row r="52" spans="1:17">
      <c r="O52">
        <f t="shared" si="6"/>
        <v>52</v>
      </c>
      <c r="P52" s="9">
        <f t="shared" si="13"/>
        <v>124.46808510638297</v>
      </c>
      <c r="Q52" s="9">
        <f t="shared" si="13"/>
        <v>107.71276595744681</v>
      </c>
    </row>
    <row r="53" spans="1:17">
      <c r="O53">
        <f t="shared" si="6"/>
        <v>53</v>
      </c>
      <c r="P53" s="9">
        <f t="shared" si="13"/>
        <v>124.46808510638297</v>
      </c>
      <c r="Q53" s="9">
        <f t="shared" si="13"/>
        <v>107.71276595744681</v>
      </c>
    </row>
    <row r="54" spans="1:17">
      <c r="O54">
        <f t="shared" si="6"/>
        <v>54</v>
      </c>
      <c r="P54" s="9">
        <f t="shared" si="13"/>
        <v>124.46808510638297</v>
      </c>
      <c r="Q54" s="9">
        <f t="shared" si="13"/>
        <v>107.71276595744681</v>
      </c>
    </row>
    <row r="56" spans="1:17">
      <c r="A56" s="10"/>
    </row>
    <row r="57" spans="1:17">
      <c r="B57" s="9"/>
      <c r="C57" s="9"/>
    </row>
    <row r="58" spans="1:17">
      <c r="B58" s="9"/>
      <c r="C58" s="9"/>
    </row>
    <row r="59" spans="1:17">
      <c r="B59" s="9"/>
      <c r="C59" s="9"/>
    </row>
    <row r="60" spans="1:17">
      <c r="B60" s="9"/>
      <c r="C60" s="9"/>
    </row>
    <row r="61" spans="1:17">
      <c r="B61" s="9"/>
      <c r="C61" s="9"/>
    </row>
    <row r="62" spans="1:17">
      <c r="B62" s="9"/>
      <c r="C62" s="9"/>
    </row>
    <row r="63" spans="1:17">
      <c r="B63" s="9"/>
      <c r="C63" s="9"/>
    </row>
    <row r="64" spans="1:17">
      <c r="B64" s="9"/>
      <c r="C64" s="9"/>
    </row>
    <row r="65" spans="2:3">
      <c r="B65" s="9"/>
      <c r="C65" s="9"/>
    </row>
    <row r="66" spans="2:3">
      <c r="B66" s="9"/>
      <c r="C66" s="9"/>
    </row>
    <row r="67" spans="2:3">
      <c r="B67" s="9"/>
      <c r="C67" s="9"/>
    </row>
    <row r="68" spans="2:3">
      <c r="B68" s="9"/>
      <c r="C68" s="9"/>
    </row>
    <row r="69" spans="2:3">
      <c r="B69" s="9"/>
      <c r="C69" s="9"/>
    </row>
    <row r="70" spans="2:3">
      <c r="B70" s="9"/>
      <c r="C70" s="9"/>
    </row>
    <row r="71" spans="2:3">
      <c r="B71" s="9"/>
      <c r="C71" s="9"/>
    </row>
    <row r="72" spans="2:3">
      <c r="B72" s="9"/>
      <c r="C72" s="9"/>
    </row>
    <row r="73" spans="2:3">
      <c r="B73" s="9"/>
      <c r="C73" s="9"/>
    </row>
    <row r="74" spans="2:3">
      <c r="B74" s="9"/>
      <c r="C74" s="9"/>
    </row>
    <row r="75" spans="2:3">
      <c r="B75" s="9"/>
      <c r="C75" s="9"/>
    </row>
    <row r="76" spans="2:3">
      <c r="B76" s="9"/>
      <c r="C76" s="9"/>
    </row>
    <row r="77" spans="2:3">
      <c r="B77" s="9"/>
      <c r="C77" s="9"/>
    </row>
    <row r="78" spans="2:3">
      <c r="B78" s="9"/>
      <c r="C78" s="9"/>
    </row>
    <row r="79" spans="2:3">
      <c r="B79" s="9"/>
      <c r="C79" s="9"/>
    </row>
    <row r="80" spans="2:3">
      <c r="B80" s="9"/>
      <c r="C80" s="9"/>
    </row>
    <row r="81" spans="2:3">
      <c r="B81" s="9"/>
      <c r="C81" s="9"/>
    </row>
    <row r="82" spans="2:3">
      <c r="B82" s="9"/>
      <c r="C82" s="9"/>
    </row>
    <row r="83" spans="2:3">
      <c r="B83" s="9"/>
      <c r="C83" s="9"/>
    </row>
    <row r="84" spans="2:3">
      <c r="B84" s="9"/>
      <c r="C84" s="9"/>
    </row>
    <row r="85" spans="2:3">
      <c r="B85" s="9"/>
      <c r="C85" s="9"/>
    </row>
    <row r="86" spans="2:3">
      <c r="B86" s="9"/>
      <c r="C86" s="9"/>
    </row>
    <row r="87" spans="2:3">
      <c r="B87" s="9"/>
      <c r="C87" s="9"/>
    </row>
    <row r="88" spans="2:3">
      <c r="B88" s="9"/>
      <c r="C88" s="9"/>
    </row>
    <row r="89" spans="2:3">
      <c r="B89" s="9"/>
      <c r="C89" s="9"/>
    </row>
    <row r="90" spans="2:3">
      <c r="B90" s="9"/>
      <c r="C90" s="9"/>
    </row>
    <row r="91" spans="2:3">
      <c r="B91" s="9"/>
      <c r="C91" s="9"/>
    </row>
    <row r="92" spans="2:3">
      <c r="B92" s="9"/>
      <c r="C92" s="9"/>
    </row>
    <row r="93" spans="2:3">
      <c r="B93" s="9"/>
      <c r="C93" s="9"/>
    </row>
    <row r="94" spans="2:3">
      <c r="B94" s="9"/>
      <c r="C94" s="9"/>
    </row>
    <row r="95" spans="2:3">
      <c r="B95" s="9"/>
      <c r="C95" s="9"/>
    </row>
    <row r="96" spans="2:3">
      <c r="B96" s="9"/>
      <c r="C96" s="9"/>
    </row>
  </sheetData>
  <pageMargins left="0.7" right="0.7" top="0.75" bottom="0.75" header="0.3" footer="0.3"/>
  <ignoredErrors>
    <ignoredError sqref="M5:M12" formulaRange="1"/>
    <ignoredError sqref="P20:P50 Q20:Q50" formula="1"/>
  </ignoredErrors>
  <drawing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Comment</vt:lpstr>
      <vt:lpstr>Данные</vt:lpstr>
      <vt:lpstr>Оба графика</vt:lpstr>
      <vt:lpstr>АДХ</vt:lpstr>
      <vt:lpstr>1960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sergey</cp:lastModifiedBy>
  <dcterms:created xsi:type="dcterms:W3CDTF">2026-01-12T21:46:13Z</dcterms:created>
  <dcterms:modified xsi:type="dcterms:W3CDTF">2026-01-13T18:32:28Z</dcterms:modified>
</cp:coreProperties>
</file>