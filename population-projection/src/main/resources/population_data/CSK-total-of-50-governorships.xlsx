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main\resources\population_data\"/>
    </mc:Choice>
  </mc:AlternateContent>
  <xr:revisionPtr revIDLastSave="0" documentId="13_ncr:1_{EFD52EC2-9240-4C04-B976-8D9B28444D20}" xr6:coauthVersionLast="45" xr6:coauthVersionMax="45" xr10:uidLastSave="{00000000-0000-0000-0000-000000000000}"/>
  <bookViews>
    <workbookView xWindow="-60" yWindow="-60" windowWidth="38520" windowHeight="23700" activeTab="2" xr2:uid="{CA9327AE-032E-4159-9FEB-060911109237}"/>
  </bookViews>
  <sheets>
    <sheet name="Note" sheetId="1" r:id="rId1"/>
    <sheet name="Data" sheetId="2" r:id="rId2"/>
    <sheet name="рождаемость 1867-1912" sheetId="3" r:id="rId3"/>
    <sheet name="смертность 1867-1912" sheetId="4" r:id="rId4"/>
    <sheet name="естественный прирост 1867-1912" sheetId="5" r:id="rId5"/>
    <sheet name="младенческая смертность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" i="6" l="1"/>
  <c r="F34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A41" i="6"/>
  <c r="A42" i="6" s="1"/>
  <c r="A43" i="6" s="1"/>
  <c r="A44" i="6" s="1"/>
  <c r="A45" i="6" s="1"/>
  <c r="A46" i="6" s="1"/>
  <c r="A47" i="6" s="1"/>
  <c r="A48" i="6" s="1"/>
  <c r="A49" i="6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6" i="6"/>
  <c r="F4" i="5" l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D7" i="4" l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6" i="4"/>
  <c r="D5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" i="4"/>
  <c r="D4" i="4"/>
  <c r="C4" i="4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C4" i="3" l="1"/>
  <c r="D4" i="3"/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</calcChain>
</file>

<file path=xl/sharedStrings.xml><?xml version="1.0" encoding="utf-8"?>
<sst xmlns="http://schemas.openxmlformats.org/spreadsheetml/2006/main" count="45" uniqueCount="36">
  <si>
    <t>год</t>
  </si>
  <si>
    <t>чн</t>
  </si>
  <si>
    <t>р</t>
  </si>
  <si>
    <t>с</t>
  </si>
  <si>
    <t>Движение населения в 50 губерниях Европейской России за 1867-1912 гг.</t>
  </si>
  <si>
    <t>по данным ЦСК</t>
  </si>
  <si>
    <t>С. А. Новосельский, "Демография и статистика", М. : Статистика, 1978, стр. 122</t>
  </si>
  <si>
    <t>С. А. Новосельский, "Вопросы демографической и санитарной статистики", М. : Медгиз, 1958, стр. 67-68</t>
  </si>
  <si>
    <t>среднее</t>
  </si>
  <si>
    <t>минимум обычных колебаний</t>
  </si>
  <si>
    <t>рождаемость</t>
  </si>
  <si>
    <t>смертность</t>
  </si>
  <si>
    <t>Движение населения в 50 губерниях Европейской России за 1867-1912 гг. по ЦСК</t>
  </si>
  <si>
    <t>естественный прирост</t>
  </si>
  <si>
    <t>максимум обычных колебаний</t>
  </si>
  <si>
    <t>число
рождений</t>
  </si>
  <si>
    <t>младенческая смертность:</t>
  </si>
  <si>
    <t>мл. см.</t>
  </si>
  <si>
    <t>число 
умерших
в возрасте
до года</t>
  </si>
  <si>
    <t>участок
1867-1897</t>
  </si>
  <si>
    <t>участок
1895-1911</t>
  </si>
  <si>
    <t>C.А. Новосельский, "Обзор главнейших данных по демографии и санитарной статистике России", Пг., 1916, стр. 64-66</t>
  </si>
  <si>
    <t>евреи</t>
  </si>
  <si>
    <t>магометане</t>
  </si>
  <si>
    <t>католики</t>
  </si>
  <si>
    <t>лютеране</t>
  </si>
  <si>
    <t>православные</t>
  </si>
  <si>
    <t>В 1900-1904 гг. младенческая смертность на 1000 родившихся составляла:</t>
  </si>
  <si>
    <t>Младенческая смертность населения 50 губерний Европейской части России по ЦСК</t>
  </si>
  <si>
    <t>Естественный прирост населения 50 губерний Европейской части России по ЦСК</t>
  </si>
  <si>
    <t>Смертность населения 50 губерний Европейской части России по ЦСК</t>
  </si>
  <si>
    <t>Рождаемость населения 50 губерний Европейской части России по ЦСК</t>
  </si>
  <si>
    <t xml:space="preserve">Высокая детская смертность у православнаго, т.е. преимущественно русского населения, стоит, помимо общеизвестных общих причин, </t>
  </si>
  <si>
    <t xml:space="preserve">Сравнительно низкая смертность у магометан, живущих в общем в весьма антисанитарных условиях, зависит от обязательнаго грудного вскармливания детей, </t>
  </si>
  <si>
    <t>в связи с религиозными предпиcаниями по этому поводу Корана.</t>
  </si>
  <si>
    <t xml:space="preserve">в связи с деревенскими обычаями крайне рано, едва ли не с первых дней жизни ребенка, давать ему кроме материнскаго молока жеваный хлеб, кашу и т.п.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</si>
</sst>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Fill="1"/>
    <xf numFmtId="0" fontId="1" fillId="0" borderId="0" xfId="0" applyFont="1" applyFill="1" applyAlignment="1">
      <alignment horizontal="center"/>
    </xf>
    <xf numFmtId="164" fontId="0" fillId="0" borderId="0" xfId="0" applyNumberForma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Рождаемость населения 50 европейских губерний России</a:t>
            </a:r>
            <a:br>
              <a:rPr lang="ru-RU"/>
            </a:br>
            <a:r>
              <a:rPr lang="ru-RU"/>
              <a:t>в 186</a:t>
            </a:r>
            <a:r>
              <a:rPr lang="en-US"/>
              <a:t>7</a:t>
            </a:r>
            <a:r>
              <a:rPr lang="ru-RU"/>
              <a:t>-191</a:t>
            </a:r>
            <a:r>
              <a:rPr lang="en-US"/>
              <a:t>2</a:t>
            </a:r>
            <a:r>
              <a:rPr lang="ru-RU"/>
              <a:t> годах (ЦСК)</a:t>
            </a:r>
          </a:p>
        </c:rich>
      </c:tx>
      <c:layout>
        <c:manualLayout>
          <c:xMode val="edge"/>
          <c:yMode val="edge"/>
          <c:x val="0.11563644202804275"/>
          <c:y val="1.0315924511259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'рождаемость 1867-1912'!$C$3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'рождаемость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'рождаемость 1867-1912'!$C$4:$C$49</c:f>
              <c:numCache>
                <c:formatCode>0.0</c:formatCode>
                <c:ptCount val="46"/>
                <c:pt idx="0">
                  <c:v>50.162499999999987</c:v>
                </c:pt>
                <c:pt idx="1">
                  <c:v>50.162499999999987</c:v>
                </c:pt>
                <c:pt idx="2">
                  <c:v>50.162499999999987</c:v>
                </c:pt>
                <c:pt idx="3">
                  <c:v>50.162499999999987</c:v>
                </c:pt>
                <c:pt idx="4">
                  <c:v>50.162499999999987</c:v>
                </c:pt>
                <c:pt idx="5">
                  <c:v>50.162499999999987</c:v>
                </c:pt>
                <c:pt idx="6">
                  <c:v>50.162499999999987</c:v>
                </c:pt>
                <c:pt idx="7">
                  <c:v>50.162499999999987</c:v>
                </c:pt>
                <c:pt idx="8">
                  <c:v>50.162499999999987</c:v>
                </c:pt>
                <c:pt idx="9">
                  <c:v>50.162499999999987</c:v>
                </c:pt>
                <c:pt idx="10">
                  <c:v>50.162499999999987</c:v>
                </c:pt>
                <c:pt idx="11">
                  <c:v>50.162499999999987</c:v>
                </c:pt>
                <c:pt idx="12">
                  <c:v>50.162499999999987</c:v>
                </c:pt>
                <c:pt idx="13">
                  <c:v>50.162499999999987</c:v>
                </c:pt>
                <c:pt idx="14">
                  <c:v>50.162499999999987</c:v>
                </c:pt>
                <c:pt idx="15">
                  <c:v>50.162499999999987</c:v>
                </c:pt>
                <c:pt idx="16">
                  <c:v>50.162499999999987</c:v>
                </c:pt>
                <c:pt idx="17">
                  <c:v>50.162499999999987</c:v>
                </c:pt>
                <c:pt idx="18">
                  <c:v>50.162499999999987</c:v>
                </c:pt>
                <c:pt idx="19">
                  <c:v>50.162499999999987</c:v>
                </c:pt>
                <c:pt idx="20">
                  <c:v>50.162499999999987</c:v>
                </c:pt>
                <c:pt idx="21">
                  <c:v>50.162499999999987</c:v>
                </c:pt>
                <c:pt idx="22">
                  <c:v>50.162499999999987</c:v>
                </c:pt>
                <c:pt idx="23">
                  <c:v>50.162499999999987</c:v>
                </c:pt>
                <c:pt idx="24">
                  <c:v>50.162499999999987</c:v>
                </c:pt>
                <c:pt idx="25">
                  <c:v>50.162499999999987</c:v>
                </c:pt>
                <c:pt idx="26">
                  <c:v>50.162499999999987</c:v>
                </c:pt>
                <c:pt idx="27">
                  <c:v>50.162499999999987</c:v>
                </c:pt>
                <c:pt idx="28">
                  <c:v>50.162499999999987</c:v>
                </c:pt>
                <c:pt idx="29">
                  <c:v>50.162499999999987</c:v>
                </c:pt>
                <c:pt idx="30">
                  <c:v>50.162499999999987</c:v>
                </c:pt>
                <c:pt idx="31">
                  <c:v>50.162499999999987</c:v>
                </c:pt>
                <c:pt idx="32">
                  <c:v>50.162499999999987</c:v>
                </c:pt>
                <c:pt idx="33">
                  <c:v>50.162499999999987</c:v>
                </c:pt>
                <c:pt idx="34">
                  <c:v>50.162499999999987</c:v>
                </c:pt>
                <c:pt idx="35">
                  <c:v>50.162499999999987</c:v>
                </c:pt>
                <c:pt idx="36">
                  <c:v>50.162499999999987</c:v>
                </c:pt>
                <c:pt idx="37">
                  <c:v>50.162499999999987</c:v>
                </c:pt>
                <c:pt idx="38">
                  <c:v>50.162499999999987</c:v>
                </c:pt>
                <c:pt idx="39">
                  <c:v>50.162499999999987</c:v>
                </c:pt>
                <c:pt idx="40">
                  <c:v>50.162499999999987</c:v>
                </c:pt>
                <c:pt idx="41">
                  <c:v>50.162499999999987</c:v>
                </c:pt>
                <c:pt idx="42">
                  <c:v>50.162499999999987</c:v>
                </c:pt>
                <c:pt idx="43">
                  <c:v>50.162499999999987</c:v>
                </c:pt>
                <c:pt idx="44">
                  <c:v>50.162499999999987</c:v>
                </c:pt>
                <c:pt idx="45">
                  <c:v>50.162499999999987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08-4F1A-98BE-27A694543C28}"/>
            </c:ext>
          </c:extLst>
        </c:ser>
        <c:ser>
          <c:idx val="2"/>
          <c:order val="1"/>
          <c:tx>
            <c:strRef>
              <c:f>'рождаемость 1867-1912'!$D$3</c:f>
              <c:strCache>
                <c:ptCount val="1"/>
                <c:pt idx="0">
                  <c:v>минимум обычных колебаний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'рождаемость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'рождаемость 1867-1912'!$D$4:$D$49</c:f>
              <c:numCache>
                <c:formatCode>0.0</c:formatCode>
                <c:ptCount val="46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</c:v>
                </c:pt>
                <c:pt idx="12">
                  <c:v>48.6</c:v>
                </c:pt>
                <c:pt idx="13">
                  <c:v>48.6</c:v>
                </c:pt>
                <c:pt idx="14">
                  <c:v>48.6</c:v>
                </c:pt>
                <c:pt idx="15">
                  <c:v>48.6</c:v>
                </c:pt>
                <c:pt idx="16">
                  <c:v>48.6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48.6</c:v>
                </c:pt>
                <c:pt idx="21">
                  <c:v>48.6</c:v>
                </c:pt>
                <c:pt idx="22">
                  <c:v>48.6</c:v>
                </c:pt>
                <c:pt idx="23">
                  <c:v>48.6</c:v>
                </c:pt>
                <c:pt idx="24">
                  <c:v>48.6</c:v>
                </c:pt>
                <c:pt idx="25">
                  <c:v>48.6</c:v>
                </c:pt>
                <c:pt idx="26">
                  <c:v>48.6</c:v>
                </c:pt>
                <c:pt idx="27">
                  <c:v>48.6</c:v>
                </c:pt>
                <c:pt idx="28">
                  <c:v>48.6</c:v>
                </c:pt>
                <c:pt idx="29">
                  <c:v>48.6</c:v>
                </c:pt>
                <c:pt idx="30">
                  <c:v>48.6</c:v>
                </c:pt>
                <c:pt idx="31">
                  <c:v>48.6</c:v>
                </c:pt>
                <c:pt idx="32">
                  <c:v>48.6</c:v>
                </c:pt>
                <c:pt idx="33">
                  <c:v>48.6</c:v>
                </c:pt>
                <c:pt idx="34">
                  <c:v>48.6</c:v>
                </c:pt>
                <c:pt idx="35">
                  <c:v>48.6</c:v>
                </c:pt>
                <c:pt idx="36">
                  <c:v>48.6</c:v>
                </c:pt>
                <c:pt idx="37">
                  <c:v>48.6</c:v>
                </c:pt>
                <c:pt idx="38">
                  <c:v>48.6</c:v>
                </c:pt>
                <c:pt idx="39">
                  <c:v>48.6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</c:v>
                </c:pt>
                <c:pt idx="45">
                  <c:v>48.6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08-4F1A-98BE-27A694543C28}"/>
            </c:ext>
          </c:extLst>
        </c:ser>
        <c:ser>
          <c:idx val="0"/>
          <c:order val="2"/>
          <c:tx>
            <c:strRef>
              <c:f>'рождаемость 1867-1912'!$B$3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'рождаемость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'рождаемость 1867-1912'!$B$4:$B$49</c:f>
              <c:numCache>
                <c:formatCode>0.0</c:formatCode>
                <c:ptCount val="46"/>
                <c:pt idx="0">
                  <c:v>51.2</c:v>
                </c:pt>
                <c:pt idx="1">
                  <c:v>48.8</c:v>
                </c:pt>
                <c:pt idx="2">
                  <c:v>49.7</c:v>
                </c:pt>
                <c:pt idx="3">
                  <c:v>49.2</c:v>
                </c:pt>
                <c:pt idx="4">
                  <c:v>51</c:v>
                </c:pt>
                <c:pt idx="5">
                  <c:v>50</c:v>
                </c:pt>
                <c:pt idx="6">
                  <c:v>52.3</c:v>
                </c:pt>
                <c:pt idx="7">
                  <c:v>51.4</c:v>
                </c:pt>
                <c:pt idx="8">
                  <c:v>51.5</c:v>
                </c:pt>
                <c:pt idx="9">
                  <c:v>50.6</c:v>
                </c:pt>
                <c:pt idx="10">
                  <c:v>49.6</c:v>
                </c:pt>
                <c:pt idx="11">
                  <c:v>47.3</c:v>
                </c:pt>
                <c:pt idx="12">
                  <c:v>50.2</c:v>
                </c:pt>
                <c:pt idx="13">
                  <c:v>49.7</c:v>
                </c:pt>
                <c:pt idx="14">
                  <c:v>49.1</c:v>
                </c:pt>
                <c:pt idx="15">
                  <c:v>51.6</c:v>
                </c:pt>
                <c:pt idx="16">
                  <c:v>50.6</c:v>
                </c:pt>
                <c:pt idx="17">
                  <c:v>51.5</c:v>
                </c:pt>
                <c:pt idx="18">
                  <c:v>50</c:v>
                </c:pt>
                <c:pt idx="19">
                  <c:v>49.5</c:v>
                </c:pt>
                <c:pt idx="20">
                  <c:v>49.9</c:v>
                </c:pt>
                <c:pt idx="21">
                  <c:v>51.6</c:v>
                </c:pt>
                <c:pt idx="22">
                  <c:v>50.3</c:v>
                </c:pt>
                <c:pt idx="23">
                  <c:v>49.6</c:v>
                </c:pt>
                <c:pt idx="24">
                  <c:v>50.6</c:v>
                </c:pt>
                <c:pt idx="25">
                  <c:v>46</c:v>
                </c:pt>
                <c:pt idx="26">
                  <c:v>48.8</c:v>
                </c:pt>
                <c:pt idx="27">
                  <c:v>49.2</c:v>
                </c:pt>
                <c:pt idx="28">
                  <c:v>50.1</c:v>
                </c:pt>
                <c:pt idx="29">
                  <c:v>50.4</c:v>
                </c:pt>
                <c:pt idx="30">
                  <c:v>50</c:v>
                </c:pt>
                <c:pt idx="31">
                  <c:v>48.6</c:v>
                </c:pt>
                <c:pt idx="32">
                  <c:v>49.3</c:v>
                </c:pt>
                <c:pt idx="33">
                  <c:v>49.3</c:v>
                </c:pt>
                <c:pt idx="34">
                  <c:v>47.9</c:v>
                </c:pt>
                <c:pt idx="35">
                  <c:v>49.1</c:v>
                </c:pt>
                <c:pt idx="36">
                  <c:v>48.1</c:v>
                </c:pt>
                <c:pt idx="37">
                  <c:v>48.6</c:v>
                </c:pt>
                <c:pt idx="38">
                  <c:v>44.9</c:v>
                </c:pt>
                <c:pt idx="39">
                  <c:v>47</c:v>
                </c:pt>
                <c:pt idx="40">
                  <c:v>47.2</c:v>
                </c:pt>
                <c:pt idx="41">
                  <c:v>44.7</c:v>
                </c:pt>
                <c:pt idx="42">
                  <c:v>44.7</c:v>
                </c:pt>
                <c:pt idx="43">
                  <c:v>45.1</c:v>
                </c:pt>
                <c:pt idx="44">
                  <c:v>45</c:v>
                </c:pt>
                <c:pt idx="45">
                  <c:v>43.7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08-4F1A-98BE-27A694543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50592"/>
        <c:axId val="734551576"/>
      </c:scatterChart>
      <c:valAx>
        <c:axId val="734550592"/>
        <c:scaling>
          <c:orientation val="minMax"/>
          <c:min val="18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551576"/>
        <c:crosses val="autoZero"/>
        <c:crossBetween val="midCat"/>
      </c:valAx>
      <c:valAx>
        <c:axId val="73455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55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Смертность населения 50 европейских губерний России</a:t>
            </a:r>
            <a:br>
              <a:rPr lang="ru-RU"/>
            </a:br>
            <a:r>
              <a:rPr lang="ru-RU"/>
              <a:t>в 186</a:t>
            </a:r>
            <a:r>
              <a:rPr lang="en-US"/>
              <a:t>7</a:t>
            </a:r>
            <a:r>
              <a:rPr lang="ru-RU"/>
              <a:t>-191</a:t>
            </a:r>
            <a:r>
              <a:rPr lang="en-US"/>
              <a:t>2</a:t>
            </a:r>
            <a:r>
              <a:rPr lang="ru-RU"/>
              <a:t> годах (ЦСК)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'смертность 1867-1912'!$C$3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'смертность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'смертность 1867-1912'!$C$4:$C$49</c:f>
              <c:numCache>
                <c:formatCode>0.0</c:formatCode>
                <c:ptCount val="46"/>
                <c:pt idx="0">
                  <c:v>36.093333333333334</c:v>
                </c:pt>
                <c:pt idx="1">
                  <c:v>36.093333333333334</c:v>
                </c:pt>
                <c:pt idx="2">
                  <c:v>36.093333333333334</c:v>
                </c:pt>
                <c:pt idx="3">
                  <c:v>36.093333333333334</c:v>
                </c:pt>
                <c:pt idx="4">
                  <c:v>36.093333333333334</c:v>
                </c:pt>
                <c:pt idx="5">
                  <c:v>36.093333333333334</c:v>
                </c:pt>
                <c:pt idx="6">
                  <c:v>36.093333333333334</c:v>
                </c:pt>
                <c:pt idx="7">
                  <c:v>36.093333333333334</c:v>
                </c:pt>
                <c:pt idx="8">
                  <c:v>36.093333333333334</c:v>
                </c:pt>
                <c:pt idx="9">
                  <c:v>36.093333333333334</c:v>
                </c:pt>
                <c:pt idx="10">
                  <c:v>36.093333333333334</c:v>
                </c:pt>
                <c:pt idx="11">
                  <c:v>36.093333333333334</c:v>
                </c:pt>
                <c:pt idx="12">
                  <c:v>36.093333333333334</c:v>
                </c:pt>
                <c:pt idx="13">
                  <c:v>36.093333333333334</c:v>
                </c:pt>
                <c:pt idx="14">
                  <c:v>36.093333333333334</c:v>
                </c:pt>
                <c:pt idx="15">
                  <c:v>36.093333333333334</c:v>
                </c:pt>
                <c:pt idx="16">
                  <c:v>36.093333333333334</c:v>
                </c:pt>
                <c:pt idx="17">
                  <c:v>36.093333333333334</c:v>
                </c:pt>
                <c:pt idx="18">
                  <c:v>36.093333333333334</c:v>
                </c:pt>
                <c:pt idx="19">
                  <c:v>36.093333333333334</c:v>
                </c:pt>
                <c:pt idx="20">
                  <c:v>36.093333333333334</c:v>
                </c:pt>
                <c:pt idx="21">
                  <c:v>36.093333333333334</c:v>
                </c:pt>
                <c:pt idx="22">
                  <c:v>36.093333333333334</c:v>
                </c:pt>
                <c:pt idx="23">
                  <c:v>36.093333333333334</c:v>
                </c:pt>
                <c:pt idx="24">
                  <c:v>36.093333333333334</c:v>
                </c:pt>
                <c:pt idx="25">
                  <c:v>36.093333333333334</c:v>
                </c:pt>
                <c:pt idx="26">
                  <c:v>36.093333333333334</c:v>
                </c:pt>
                <c:pt idx="27">
                  <c:v>36.093333333333334</c:v>
                </c:pt>
                <c:pt idx="28">
                  <c:v>36.093333333333334</c:v>
                </c:pt>
                <c:pt idx="29">
                  <c:v>36.093333333333334</c:v>
                </c:pt>
                <c:pt idx="30">
                  <c:v>36.093333333333334</c:v>
                </c:pt>
                <c:pt idx="31">
                  <c:v>36.093333333333334</c:v>
                </c:pt>
                <c:pt idx="32">
                  <c:v>36.093333333333334</c:v>
                </c:pt>
                <c:pt idx="33">
                  <c:v>36.093333333333334</c:v>
                </c:pt>
                <c:pt idx="34">
                  <c:v>36.093333333333334</c:v>
                </c:pt>
                <c:pt idx="35">
                  <c:v>36.093333333333334</c:v>
                </c:pt>
                <c:pt idx="36">
                  <c:v>36.093333333333334</c:v>
                </c:pt>
                <c:pt idx="37">
                  <c:v>36.093333333333334</c:v>
                </c:pt>
                <c:pt idx="38">
                  <c:v>36.093333333333334</c:v>
                </c:pt>
                <c:pt idx="39">
                  <c:v>36.093333333333334</c:v>
                </c:pt>
                <c:pt idx="40">
                  <c:v>36.093333333333334</c:v>
                </c:pt>
                <c:pt idx="41">
                  <c:v>36.093333333333334</c:v>
                </c:pt>
                <c:pt idx="42">
                  <c:v>36.093333333333334</c:v>
                </c:pt>
                <c:pt idx="43">
                  <c:v>36.093333333333334</c:v>
                </c:pt>
                <c:pt idx="44">
                  <c:v>36.093333333333334</c:v>
                </c:pt>
                <c:pt idx="45">
                  <c:v>36.093333333333334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B0-47B4-9C4F-F54C3F3DB6C2}"/>
            </c:ext>
          </c:extLst>
        </c:ser>
        <c:ser>
          <c:idx val="2"/>
          <c:order val="1"/>
          <c:tx>
            <c:strRef>
              <c:f>'смертность 1867-1912'!$D$3</c:f>
              <c:strCache>
                <c:ptCount val="1"/>
                <c:pt idx="0">
                  <c:v>минимум обычных колебаний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'смертность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'смертность 1867-1912'!$D$4:$D$49</c:f>
              <c:numCache>
                <c:formatCode>0.0</c:formatCode>
                <c:ptCount val="46"/>
                <c:pt idx="0">
                  <c:v>33.200000000000003</c:v>
                </c:pt>
                <c:pt idx="1">
                  <c:v>33.200000000000003</c:v>
                </c:pt>
                <c:pt idx="2">
                  <c:v>33.200000000000003</c:v>
                </c:pt>
                <c:pt idx="3">
                  <c:v>33.200000000000003</c:v>
                </c:pt>
                <c:pt idx="4">
                  <c:v>33.200000000000003</c:v>
                </c:pt>
                <c:pt idx="5">
                  <c:v>33.200000000000003</c:v>
                </c:pt>
                <c:pt idx="6">
                  <c:v>33.200000000000003</c:v>
                </c:pt>
                <c:pt idx="7">
                  <c:v>33.200000000000003</c:v>
                </c:pt>
                <c:pt idx="8">
                  <c:v>33.200000000000003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33.200000000000003</c:v>
                </c:pt>
                <c:pt idx="13">
                  <c:v>33.200000000000003</c:v>
                </c:pt>
                <c:pt idx="14">
                  <c:v>33.200000000000003</c:v>
                </c:pt>
                <c:pt idx="15">
                  <c:v>33.200000000000003</c:v>
                </c:pt>
                <c:pt idx="16">
                  <c:v>33.200000000000003</c:v>
                </c:pt>
                <c:pt idx="17">
                  <c:v>33.200000000000003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33.200000000000003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33.200000000000003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33.200000000000003</c:v>
                </c:pt>
                <c:pt idx="35">
                  <c:v>33.200000000000003</c:v>
                </c:pt>
                <c:pt idx="36">
                  <c:v>33.200000000000003</c:v>
                </c:pt>
                <c:pt idx="37">
                  <c:v>33.200000000000003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33.200000000000003</c:v>
                </c:pt>
                <c:pt idx="41">
                  <c:v>33.200000000000003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B0-47B4-9C4F-F54C3F3DB6C2}"/>
            </c:ext>
          </c:extLst>
        </c:ser>
        <c:ser>
          <c:idx val="0"/>
          <c:order val="2"/>
          <c:tx>
            <c:strRef>
              <c:f>'смертность 1867-1912'!$B$3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'смертность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'смертность 1867-1912'!$B$4:$B$49</c:f>
              <c:numCache>
                <c:formatCode>0.0</c:formatCode>
                <c:ptCount val="46"/>
                <c:pt idx="0">
                  <c:v>36.799999999999997</c:v>
                </c:pt>
                <c:pt idx="1">
                  <c:v>39.700000000000003</c:v>
                </c:pt>
                <c:pt idx="2">
                  <c:v>38.299999999999997</c:v>
                </c:pt>
                <c:pt idx="3">
                  <c:v>35</c:v>
                </c:pt>
                <c:pt idx="4">
                  <c:v>37.9</c:v>
                </c:pt>
                <c:pt idx="5">
                  <c:v>41.2</c:v>
                </c:pt>
                <c:pt idx="6">
                  <c:v>36.5</c:v>
                </c:pt>
                <c:pt idx="7">
                  <c:v>35.200000000000003</c:v>
                </c:pt>
                <c:pt idx="8">
                  <c:v>34.6</c:v>
                </c:pt>
                <c:pt idx="9">
                  <c:v>34.9</c:v>
                </c:pt>
                <c:pt idx="10">
                  <c:v>34.4</c:v>
                </c:pt>
                <c:pt idx="11">
                  <c:v>38.200000000000003</c:v>
                </c:pt>
                <c:pt idx="12">
                  <c:v>34.799999999999997</c:v>
                </c:pt>
                <c:pt idx="13">
                  <c:v>36.1</c:v>
                </c:pt>
                <c:pt idx="14">
                  <c:v>34.1</c:v>
                </c:pt>
                <c:pt idx="15">
                  <c:v>40.4</c:v>
                </c:pt>
                <c:pt idx="16">
                  <c:v>37.5</c:v>
                </c:pt>
                <c:pt idx="17">
                  <c:v>34.5</c:v>
                </c:pt>
                <c:pt idx="18">
                  <c:v>35.799999999999997</c:v>
                </c:pt>
                <c:pt idx="19">
                  <c:v>33.200000000000003</c:v>
                </c:pt>
                <c:pt idx="20">
                  <c:v>33.799999999999997</c:v>
                </c:pt>
                <c:pt idx="21">
                  <c:v>33.4</c:v>
                </c:pt>
                <c:pt idx="22">
                  <c:v>35.5</c:v>
                </c:pt>
                <c:pt idx="23">
                  <c:v>36.700000000000003</c:v>
                </c:pt>
                <c:pt idx="24">
                  <c:v>35.799999999999997</c:v>
                </c:pt>
                <c:pt idx="25">
                  <c:v>41</c:v>
                </c:pt>
                <c:pt idx="26">
                  <c:v>34.4</c:v>
                </c:pt>
                <c:pt idx="27">
                  <c:v>34.299999999999997</c:v>
                </c:pt>
                <c:pt idx="28">
                  <c:v>35.5</c:v>
                </c:pt>
                <c:pt idx="29">
                  <c:v>33.299999999999997</c:v>
                </c:pt>
                <c:pt idx="30">
                  <c:v>31.7</c:v>
                </c:pt>
                <c:pt idx="31">
                  <c:v>33.200000000000003</c:v>
                </c:pt>
                <c:pt idx="32">
                  <c:v>31.2</c:v>
                </c:pt>
                <c:pt idx="33">
                  <c:v>31.1</c:v>
                </c:pt>
                <c:pt idx="34">
                  <c:v>32.1</c:v>
                </c:pt>
                <c:pt idx="35">
                  <c:v>31.5</c:v>
                </c:pt>
                <c:pt idx="36">
                  <c:v>30</c:v>
                </c:pt>
                <c:pt idx="37">
                  <c:v>29.9</c:v>
                </c:pt>
                <c:pt idx="38">
                  <c:v>31.8</c:v>
                </c:pt>
                <c:pt idx="39">
                  <c:v>29.9</c:v>
                </c:pt>
                <c:pt idx="40">
                  <c:v>28.5</c:v>
                </c:pt>
                <c:pt idx="41">
                  <c:v>28.3</c:v>
                </c:pt>
                <c:pt idx="42">
                  <c:v>29.5</c:v>
                </c:pt>
                <c:pt idx="43">
                  <c:v>31.5</c:v>
                </c:pt>
                <c:pt idx="44">
                  <c:v>27.4</c:v>
                </c:pt>
                <c:pt idx="45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0-47B4-9C4F-F54C3F3D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032304"/>
        <c:axId val="920033288"/>
      </c:scatterChart>
      <c:valAx>
        <c:axId val="920032304"/>
        <c:scaling>
          <c:orientation val="minMax"/>
          <c:min val="18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0033288"/>
        <c:crosses val="autoZero"/>
        <c:crossBetween val="midCat"/>
      </c:valAx>
      <c:valAx>
        <c:axId val="92003328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003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Естественный прирост населения 50 европейских губерний России</a:t>
            </a:r>
            <a:br>
              <a:rPr lang="ru-RU"/>
            </a:br>
            <a:r>
              <a:rPr lang="ru-RU"/>
              <a:t>в 186</a:t>
            </a:r>
            <a:r>
              <a:rPr lang="en-US"/>
              <a:t>7</a:t>
            </a:r>
            <a:r>
              <a:rPr lang="ru-RU"/>
              <a:t>-191</a:t>
            </a:r>
            <a:r>
              <a:rPr lang="en-US"/>
              <a:t>2</a:t>
            </a:r>
            <a:r>
              <a:rPr lang="ru-RU"/>
              <a:t> годах (ЦСК)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'естественный прирост 1867-1912'!$E$3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317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'естественный прирост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'естественный прирост 1867-1912'!$E$4:$E$49</c:f>
              <c:numCache>
                <c:formatCode>0.0</c:formatCode>
                <c:ptCount val="46"/>
                <c:pt idx="0">
                  <c:v>14.732000000000003</c:v>
                </c:pt>
                <c:pt idx="1">
                  <c:v>14.732000000000003</c:v>
                </c:pt>
                <c:pt idx="2">
                  <c:v>14.732000000000003</c:v>
                </c:pt>
                <c:pt idx="3">
                  <c:v>14.732000000000003</c:v>
                </c:pt>
                <c:pt idx="4">
                  <c:v>14.732000000000003</c:v>
                </c:pt>
                <c:pt idx="5">
                  <c:v>14.732000000000003</c:v>
                </c:pt>
                <c:pt idx="6">
                  <c:v>14.732000000000003</c:v>
                </c:pt>
                <c:pt idx="7">
                  <c:v>14.732000000000003</c:v>
                </c:pt>
                <c:pt idx="8">
                  <c:v>14.732000000000003</c:v>
                </c:pt>
                <c:pt idx="9">
                  <c:v>14.732000000000003</c:v>
                </c:pt>
                <c:pt idx="10">
                  <c:v>14.732000000000003</c:v>
                </c:pt>
                <c:pt idx="11">
                  <c:v>14.732000000000003</c:v>
                </c:pt>
                <c:pt idx="12">
                  <c:v>14.732000000000003</c:v>
                </c:pt>
                <c:pt idx="13">
                  <c:v>14.732000000000003</c:v>
                </c:pt>
                <c:pt idx="14">
                  <c:v>14.732000000000003</c:v>
                </c:pt>
                <c:pt idx="15">
                  <c:v>14.732000000000003</c:v>
                </c:pt>
                <c:pt idx="16">
                  <c:v>14.732000000000003</c:v>
                </c:pt>
                <c:pt idx="17">
                  <c:v>14.732000000000003</c:v>
                </c:pt>
                <c:pt idx="18">
                  <c:v>14.732000000000003</c:v>
                </c:pt>
                <c:pt idx="19">
                  <c:v>14.732000000000003</c:v>
                </c:pt>
                <c:pt idx="20">
                  <c:v>14.732000000000003</c:v>
                </c:pt>
                <c:pt idx="21">
                  <c:v>14.732000000000003</c:v>
                </c:pt>
                <c:pt idx="22">
                  <c:v>14.732000000000003</c:v>
                </c:pt>
                <c:pt idx="23">
                  <c:v>14.732000000000003</c:v>
                </c:pt>
                <c:pt idx="24">
                  <c:v>14.732000000000003</c:v>
                </c:pt>
                <c:pt idx="25">
                  <c:v>14.732000000000003</c:v>
                </c:pt>
                <c:pt idx="26">
                  <c:v>14.732000000000003</c:v>
                </c:pt>
                <c:pt idx="27">
                  <c:v>14.732000000000003</c:v>
                </c:pt>
                <c:pt idx="28">
                  <c:v>14.732000000000003</c:v>
                </c:pt>
                <c:pt idx="29">
                  <c:v>14.732000000000003</c:v>
                </c:pt>
                <c:pt idx="30">
                  <c:v>14.732000000000003</c:v>
                </c:pt>
                <c:pt idx="31">
                  <c:v>14.732000000000003</c:v>
                </c:pt>
                <c:pt idx="32">
                  <c:v>14.732000000000003</c:v>
                </c:pt>
                <c:pt idx="33">
                  <c:v>14.732000000000003</c:v>
                </c:pt>
                <c:pt idx="34">
                  <c:v>14.732000000000003</c:v>
                </c:pt>
                <c:pt idx="35">
                  <c:v>14.732000000000003</c:v>
                </c:pt>
                <c:pt idx="36">
                  <c:v>14.732000000000003</c:v>
                </c:pt>
                <c:pt idx="37">
                  <c:v>14.732000000000003</c:v>
                </c:pt>
                <c:pt idx="38">
                  <c:v>14.732000000000003</c:v>
                </c:pt>
                <c:pt idx="39">
                  <c:v>14.732000000000003</c:v>
                </c:pt>
                <c:pt idx="40">
                  <c:v>14.732000000000003</c:v>
                </c:pt>
                <c:pt idx="41">
                  <c:v>14.732000000000003</c:v>
                </c:pt>
                <c:pt idx="42">
                  <c:v>14.732000000000003</c:v>
                </c:pt>
                <c:pt idx="43">
                  <c:v>14.732000000000003</c:v>
                </c:pt>
                <c:pt idx="44">
                  <c:v>14.732000000000003</c:v>
                </c:pt>
                <c:pt idx="45">
                  <c:v>14.732000000000003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58-4B64-9B03-29672459F231}"/>
            </c:ext>
          </c:extLst>
        </c:ser>
        <c:ser>
          <c:idx val="2"/>
          <c:order val="1"/>
          <c:tx>
            <c:strRef>
              <c:f>'естественный прирост 1867-1912'!$F$3</c:f>
              <c:strCache>
                <c:ptCount val="1"/>
                <c:pt idx="0">
                  <c:v>максимум обычных колебаний</c:v>
                </c:pt>
              </c:strCache>
            </c:strRef>
          </c:tx>
          <c:spPr>
            <a:ln w="317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'естественный прирост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'естественный прирост 1867-1912'!$F$4:$F$49</c:f>
              <c:numCache>
                <c:formatCode>0.0</c:formatCode>
                <c:ptCount val="46"/>
                <c:pt idx="0">
                  <c:v>17.100000000000001</c:v>
                </c:pt>
                <c:pt idx="1">
                  <c:v>17.100000000000001</c:v>
                </c:pt>
                <c:pt idx="2">
                  <c:v>17.100000000000001</c:v>
                </c:pt>
                <c:pt idx="3">
                  <c:v>17.100000000000001</c:v>
                </c:pt>
                <c:pt idx="4">
                  <c:v>17.100000000000001</c:v>
                </c:pt>
                <c:pt idx="5">
                  <c:v>17.100000000000001</c:v>
                </c:pt>
                <c:pt idx="6">
                  <c:v>17.100000000000001</c:v>
                </c:pt>
                <c:pt idx="7">
                  <c:v>17.100000000000001</c:v>
                </c:pt>
                <c:pt idx="8">
                  <c:v>17.100000000000001</c:v>
                </c:pt>
                <c:pt idx="9">
                  <c:v>17.100000000000001</c:v>
                </c:pt>
                <c:pt idx="10">
                  <c:v>17.100000000000001</c:v>
                </c:pt>
                <c:pt idx="11">
                  <c:v>17.100000000000001</c:v>
                </c:pt>
                <c:pt idx="12">
                  <c:v>17.100000000000001</c:v>
                </c:pt>
                <c:pt idx="13">
                  <c:v>17.100000000000001</c:v>
                </c:pt>
                <c:pt idx="14">
                  <c:v>17.100000000000001</c:v>
                </c:pt>
                <c:pt idx="15">
                  <c:v>17.100000000000001</c:v>
                </c:pt>
                <c:pt idx="16">
                  <c:v>17.100000000000001</c:v>
                </c:pt>
                <c:pt idx="17">
                  <c:v>17.100000000000001</c:v>
                </c:pt>
                <c:pt idx="18">
                  <c:v>17.100000000000001</c:v>
                </c:pt>
                <c:pt idx="19">
                  <c:v>17.100000000000001</c:v>
                </c:pt>
                <c:pt idx="20">
                  <c:v>17.100000000000001</c:v>
                </c:pt>
                <c:pt idx="21">
                  <c:v>17.100000000000001</c:v>
                </c:pt>
                <c:pt idx="22">
                  <c:v>17.100000000000001</c:v>
                </c:pt>
                <c:pt idx="23">
                  <c:v>17.100000000000001</c:v>
                </c:pt>
                <c:pt idx="24">
                  <c:v>17.100000000000001</c:v>
                </c:pt>
                <c:pt idx="25">
                  <c:v>17.100000000000001</c:v>
                </c:pt>
                <c:pt idx="26">
                  <c:v>17.100000000000001</c:v>
                </c:pt>
                <c:pt idx="27">
                  <c:v>17.100000000000001</c:v>
                </c:pt>
                <c:pt idx="28">
                  <c:v>17.100000000000001</c:v>
                </c:pt>
                <c:pt idx="29">
                  <c:v>17.100000000000001</c:v>
                </c:pt>
                <c:pt idx="30">
                  <c:v>17.100000000000001</c:v>
                </c:pt>
                <c:pt idx="31">
                  <c:v>17.100000000000001</c:v>
                </c:pt>
                <c:pt idx="32">
                  <c:v>17.100000000000001</c:v>
                </c:pt>
                <c:pt idx="33">
                  <c:v>17.100000000000001</c:v>
                </c:pt>
                <c:pt idx="34">
                  <c:v>17.100000000000001</c:v>
                </c:pt>
                <c:pt idx="35">
                  <c:v>17.100000000000001</c:v>
                </c:pt>
                <c:pt idx="36">
                  <c:v>17.100000000000001</c:v>
                </c:pt>
                <c:pt idx="37">
                  <c:v>17.100000000000001</c:v>
                </c:pt>
                <c:pt idx="38">
                  <c:v>17.100000000000001</c:v>
                </c:pt>
                <c:pt idx="39">
                  <c:v>17.100000000000001</c:v>
                </c:pt>
                <c:pt idx="40">
                  <c:v>17.100000000000001</c:v>
                </c:pt>
                <c:pt idx="41">
                  <c:v>17.100000000000001</c:v>
                </c:pt>
                <c:pt idx="42">
                  <c:v>17.100000000000001</c:v>
                </c:pt>
                <c:pt idx="43">
                  <c:v>17.100000000000001</c:v>
                </c:pt>
                <c:pt idx="44">
                  <c:v>17.100000000000001</c:v>
                </c:pt>
                <c:pt idx="45">
                  <c:v>17.100000000000001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58-4B64-9B03-29672459F231}"/>
            </c:ext>
          </c:extLst>
        </c:ser>
        <c:ser>
          <c:idx val="0"/>
          <c:order val="2"/>
          <c:tx>
            <c:strRef>
              <c:f>'естественный прирост 1867-1912'!$D$3</c:f>
              <c:strCache>
                <c:ptCount val="1"/>
                <c:pt idx="0">
                  <c:v>естественный прирост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'естественный прирост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'естественный прирост 1867-1912'!$D$4:$D$49</c:f>
              <c:numCache>
                <c:formatCode>0.0</c:formatCode>
                <c:ptCount val="46"/>
                <c:pt idx="0">
                  <c:v>14.400000000000006</c:v>
                </c:pt>
                <c:pt idx="1">
                  <c:v>9.0999999999999943</c:v>
                </c:pt>
                <c:pt idx="2">
                  <c:v>11.400000000000006</c:v>
                </c:pt>
                <c:pt idx="3">
                  <c:v>14.200000000000003</c:v>
                </c:pt>
                <c:pt idx="4">
                  <c:v>13.100000000000001</c:v>
                </c:pt>
                <c:pt idx="5">
                  <c:v>8.7999999999999972</c:v>
                </c:pt>
                <c:pt idx="6">
                  <c:v>15.799999999999997</c:v>
                </c:pt>
                <c:pt idx="7">
                  <c:v>16.199999999999996</c:v>
                </c:pt>
                <c:pt idx="8">
                  <c:v>16.899999999999999</c:v>
                </c:pt>
                <c:pt idx="9">
                  <c:v>15.700000000000003</c:v>
                </c:pt>
                <c:pt idx="10">
                  <c:v>15.200000000000003</c:v>
                </c:pt>
                <c:pt idx="11">
                  <c:v>9.0999999999999943</c:v>
                </c:pt>
                <c:pt idx="12">
                  <c:v>15.400000000000006</c:v>
                </c:pt>
                <c:pt idx="13">
                  <c:v>13.600000000000001</c:v>
                </c:pt>
                <c:pt idx="14">
                  <c:v>15</c:v>
                </c:pt>
                <c:pt idx="15">
                  <c:v>11.200000000000003</c:v>
                </c:pt>
                <c:pt idx="16">
                  <c:v>13.100000000000001</c:v>
                </c:pt>
                <c:pt idx="17">
                  <c:v>17</c:v>
                </c:pt>
                <c:pt idx="18">
                  <c:v>14.200000000000003</c:v>
                </c:pt>
                <c:pt idx="19">
                  <c:v>16.299999999999997</c:v>
                </c:pt>
                <c:pt idx="20">
                  <c:v>16.100000000000001</c:v>
                </c:pt>
                <c:pt idx="21">
                  <c:v>18.200000000000003</c:v>
                </c:pt>
                <c:pt idx="22">
                  <c:v>14.799999999999997</c:v>
                </c:pt>
                <c:pt idx="23">
                  <c:v>12.899999999999999</c:v>
                </c:pt>
                <c:pt idx="24">
                  <c:v>14.800000000000004</c:v>
                </c:pt>
                <c:pt idx="25">
                  <c:v>5</c:v>
                </c:pt>
                <c:pt idx="26">
                  <c:v>14.399999999999999</c:v>
                </c:pt>
                <c:pt idx="27">
                  <c:v>14.900000000000006</c:v>
                </c:pt>
                <c:pt idx="28">
                  <c:v>14.600000000000001</c:v>
                </c:pt>
                <c:pt idx="29">
                  <c:v>17.100000000000001</c:v>
                </c:pt>
                <c:pt idx="30">
                  <c:v>18.3</c:v>
                </c:pt>
                <c:pt idx="31">
                  <c:v>15.399999999999999</c:v>
                </c:pt>
                <c:pt idx="32">
                  <c:v>18.099999999999998</c:v>
                </c:pt>
                <c:pt idx="33">
                  <c:v>18.199999999999996</c:v>
                </c:pt>
                <c:pt idx="34">
                  <c:v>15.799999999999997</c:v>
                </c:pt>
                <c:pt idx="35">
                  <c:v>17.600000000000001</c:v>
                </c:pt>
                <c:pt idx="36">
                  <c:v>18.100000000000001</c:v>
                </c:pt>
                <c:pt idx="37">
                  <c:v>18.700000000000003</c:v>
                </c:pt>
                <c:pt idx="38">
                  <c:v>13.099999999999998</c:v>
                </c:pt>
                <c:pt idx="39">
                  <c:v>17.100000000000001</c:v>
                </c:pt>
                <c:pt idx="40">
                  <c:v>18.700000000000003</c:v>
                </c:pt>
                <c:pt idx="41">
                  <c:v>16.400000000000002</c:v>
                </c:pt>
                <c:pt idx="42">
                  <c:v>15.200000000000003</c:v>
                </c:pt>
                <c:pt idx="43">
                  <c:v>13.600000000000001</c:v>
                </c:pt>
                <c:pt idx="44">
                  <c:v>17.600000000000001</c:v>
                </c:pt>
                <c:pt idx="45">
                  <c:v>17.200000000000003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58-4B64-9B03-29672459F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785344"/>
        <c:axId val="901786328"/>
      </c:scatterChart>
      <c:valAx>
        <c:axId val="90178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786328"/>
        <c:crosses val="autoZero"/>
        <c:crossBetween val="midCat"/>
      </c:valAx>
      <c:valAx>
        <c:axId val="901786328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78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младенческая смертность</a:t>
            </a:r>
            <a:br>
              <a:rPr lang="ru-RU"/>
            </a:br>
            <a:r>
              <a:rPr lang="ru-RU"/>
              <a:t>в 50 губерниях европейской</a:t>
            </a:r>
            <a:r>
              <a:rPr lang="ru-RU" baseline="0"/>
              <a:t> части России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'младенческая смертность'!$F$4</c:f>
              <c:strCache>
                <c:ptCount val="1"/>
                <c:pt idx="0">
                  <c:v>участок
1867-1897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'младенческая смертность'!$A$5:$A$49</c:f>
              <c:numCache>
                <c:formatCode>General</c:formatCode>
                <c:ptCount val="45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</c:numCache>
            </c:numRef>
          </c:xVal>
          <c:yVal>
            <c:numRef>
              <c:f>'младенческая смертность'!$F$5:$F$49</c:f>
              <c:numCache>
                <c:formatCode>0.0</c:formatCode>
                <c:ptCount val="45"/>
                <c:pt idx="0">
                  <c:v>243.15931665704863</c:v>
                </c:pt>
                <c:pt idx="1">
                  <c:v>298.64807450057498</c:v>
                </c:pt>
                <c:pt idx="2">
                  <c:v>278.92929518879208</c:v>
                </c:pt>
                <c:pt idx="3">
                  <c:v>248.09796451660341</c:v>
                </c:pt>
                <c:pt idx="4">
                  <c:v>274.0349869118304</c:v>
                </c:pt>
                <c:pt idx="5">
                  <c:v>294.78490943758413</c:v>
                </c:pt>
                <c:pt idx="6">
                  <c:v>262.45580528313525</c:v>
                </c:pt>
                <c:pt idx="7">
                  <c:v>266.18863566058798</c:v>
                </c:pt>
                <c:pt idx="8">
                  <c:v>266.42250064163647</c:v>
                </c:pt>
                <c:pt idx="9">
                  <c:v>277.72548379235775</c:v>
                </c:pt>
                <c:pt idx="10">
                  <c:v>259.96138086027685</c:v>
                </c:pt>
                <c:pt idx="11">
                  <c:v>300.23409222537418</c:v>
                </c:pt>
                <c:pt idx="12">
                  <c:v>252.05788783911055</c:v>
                </c:pt>
                <c:pt idx="13">
                  <c:v>285.92897026542261</c:v>
                </c:pt>
                <c:pt idx="14">
                  <c:v>252.46926606280613</c:v>
                </c:pt>
                <c:pt idx="15">
                  <c:v>300.94668389786131</c:v>
                </c:pt>
                <c:pt idx="16">
                  <c:v>284.26423300191033</c:v>
                </c:pt>
                <c:pt idx="17">
                  <c:v>253.70210222018846</c:v>
                </c:pt>
                <c:pt idx="18">
                  <c:v>270.185075127706</c:v>
                </c:pt>
                <c:pt idx="19">
                  <c:v>248.0962405076323</c:v>
                </c:pt>
                <c:pt idx="20">
                  <c:v>255.80551005930673</c:v>
                </c:pt>
                <c:pt idx="21">
                  <c:v>250.06483388819893</c:v>
                </c:pt>
                <c:pt idx="22">
                  <c:v>274.83374785621146</c:v>
                </c:pt>
                <c:pt idx="23">
                  <c:v>291.80553535253188</c:v>
                </c:pt>
                <c:pt idx="24">
                  <c:v>272.08462866893592</c:v>
                </c:pt>
                <c:pt idx="25">
                  <c:v>306.69196871524332</c:v>
                </c:pt>
                <c:pt idx="26">
                  <c:v>252.0020017108998</c:v>
                </c:pt>
                <c:pt idx="27">
                  <c:v>264.90906168012174</c:v>
                </c:pt>
                <c:pt idx="28">
                  <c:v>279.82633852487766</c:v>
                </c:pt>
                <c:pt idx="29">
                  <c:v>274.00050358062225</c:v>
                </c:pt>
                <c:pt idx="30">
                  <c:v>259.51318037403831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99-46C8-B057-AEBFF533C6C3}"/>
            </c:ext>
          </c:extLst>
        </c:ser>
        <c:ser>
          <c:idx val="3"/>
          <c:order val="3"/>
          <c:tx>
            <c:strRef>
              <c:f>'младенческая смертность'!$G$4</c:f>
              <c:strCache>
                <c:ptCount val="1"/>
                <c:pt idx="0">
                  <c:v>участок
1895-1911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'младенческая смертность'!$A$5:$A$49</c:f>
              <c:numCache>
                <c:formatCode>General</c:formatCode>
                <c:ptCount val="45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</c:numCache>
            </c:numRef>
          </c:xVal>
          <c:yVal>
            <c:numRef>
              <c:f>'младенческая смертность'!$G$5:$G$49</c:f>
              <c:numCache>
                <c:formatCode>General</c:formatCode>
                <c:ptCount val="45"/>
                <c:pt idx="28" formatCode="0.0">
                  <c:v>279.82633852487766</c:v>
                </c:pt>
                <c:pt idx="29" formatCode="0.0">
                  <c:v>274.00050358062225</c:v>
                </c:pt>
                <c:pt idx="30" formatCode="0.0">
                  <c:v>259.51318037403831</c:v>
                </c:pt>
                <c:pt idx="31" formatCode="0.0">
                  <c:v>278.82430617019611</c:v>
                </c:pt>
                <c:pt idx="32" formatCode="0.0">
                  <c:v>239.6818840643586</c:v>
                </c:pt>
                <c:pt idx="33" formatCode="0.0">
                  <c:v>252.42737448813341</c:v>
                </c:pt>
                <c:pt idx="34" formatCode="0.0">
                  <c:v>271.61432894761504</c:v>
                </c:pt>
                <c:pt idx="35" formatCode="0.0">
                  <c:v>258.19686905196778</c:v>
                </c:pt>
                <c:pt idx="36" formatCode="0.0">
                  <c:v>256.25569345389647</c:v>
                </c:pt>
                <c:pt idx="37" formatCode="0.0">
                  <c:v>231.62743846086599</c:v>
                </c:pt>
                <c:pt idx="38" formatCode="0.0">
                  <c:v>271.50964380326326</c:v>
                </c:pt>
                <c:pt idx="39" formatCode="0.0">
                  <c:v>247.95790811519026</c:v>
                </c:pt>
                <c:pt idx="40" formatCode="0.0">
                  <c:v>225.44897409270067</c:v>
                </c:pt>
                <c:pt idx="41" formatCode="0.0">
                  <c:v>244.11617976544531</c:v>
                </c:pt>
                <c:pt idx="42" formatCode="0.0">
                  <c:v>248.01735995640885</c:v>
                </c:pt>
                <c:pt idx="43" formatCode="0.0">
                  <c:v>273.88834095696774</c:v>
                </c:pt>
                <c:pt idx="44" formatCode="0.0">
                  <c:v>237.32069579314185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99-46C8-B057-AEBFF533C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498944"/>
        <c:axId val="7804996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'младенческая смертность'!$D$4</c15:sqref>
                        </c15:formulaRef>
                      </c:ext>
                    </c:extLst>
                    <c:strCache>
                      <c:ptCount val="1"/>
                      <c:pt idx="0">
                        <c:v>мл. см.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'младенческая смертность'!$A$5:$A$49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1867</c:v>
                      </c:pt>
                      <c:pt idx="1">
                        <c:v>1868</c:v>
                      </c:pt>
                      <c:pt idx="2">
                        <c:v>1869</c:v>
                      </c:pt>
                      <c:pt idx="3">
                        <c:v>1870</c:v>
                      </c:pt>
                      <c:pt idx="4">
                        <c:v>1871</c:v>
                      </c:pt>
                      <c:pt idx="5">
                        <c:v>1872</c:v>
                      </c:pt>
                      <c:pt idx="6">
                        <c:v>1873</c:v>
                      </c:pt>
                      <c:pt idx="7">
                        <c:v>1874</c:v>
                      </c:pt>
                      <c:pt idx="8">
                        <c:v>1875</c:v>
                      </c:pt>
                      <c:pt idx="9">
                        <c:v>1876</c:v>
                      </c:pt>
                      <c:pt idx="10">
                        <c:v>1877</c:v>
                      </c:pt>
                      <c:pt idx="11">
                        <c:v>1878</c:v>
                      </c:pt>
                      <c:pt idx="12">
                        <c:v>1879</c:v>
                      </c:pt>
                      <c:pt idx="13">
                        <c:v>1880</c:v>
                      </c:pt>
                      <c:pt idx="14">
                        <c:v>1881</c:v>
                      </c:pt>
                      <c:pt idx="15">
                        <c:v>1882</c:v>
                      </c:pt>
                      <c:pt idx="16">
                        <c:v>1883</c:v>
                      </c:pt>
                      <c:pt idx="17">
                        <c:v>1884</c:v>
                      </c:pt>
                      <c:pt idx="18">
                        <c:v>1885</c:v>
                      </c:pt>
                      <c:pt idx="19">
                        <c:v>1886</c:v>
                      </c:pt>
                      <c:pt idx="20">
                        <c:v>1887</c:v>
                      </c:pt>
                      <c:pt idx="21">
                        <c:v>1888</c:v>
                      </c:pt>
                      <c:pt idx="22">
                        <c:v>1889</c:v>
                      </c:pt>
                      <c:pt idx="23">
                        <c:v>1890</c:v>
                      </c:pt>
                      <c:pt idx="24">
                        <c:v>1891</c:v>
                      </c:pt>
                      <c:pt idx="25">
                        <c:v>1892</c:v>
                      </c:pt>
                      <c:pt idx="26">
                        <c:v>1893</c:v>
                      </c:pt>
                      <c:pt idx="27">
                        <c:v>1894</c:v>
                      </c:pt>
                      <c:pt idx="28">
                        <c:v>1895</c:v>
                      </c:pt>
                      <c:pt idx="29">
                        <c:v>1896</c:v>
                      </c:pt>
                      <c:pt idx="30">
                        <c:v>1897</c:v>
                      </c:pt>
                      <c:pt idx="31">
                        <c:v>1898</c:v>
                      </c:pt>
                      <c:pt idx="32">
                        <c:v>1899</c:v>
                      </c:pt>
                      <c:pt idx="33">
                        <c:v>1900</c:v>
                      </c:pt>
                      <c:pt idx="34">
                        <c:v>1901</c:v>
                      </c:pt>
                      <c:pt idx="35">
                        <c:v>1902</c:v>
                      </c:pt>
                      <c:pt idx="36">
                        <c:v>1903</c:v>
                      </c:pt>
                      <c:pt idx="37">
                        <c:v>1904</c:v>
                      </c:pt>
                      <c:pt idx="38">
                        <c:v>1905</c:v>
                      </c:pt>
                      <c:pt idx="39">
                        <c:v>1906</c:v>
                      </c:pt>
                      <c:pt idx="40">
                        <c:v>1907</c:v>
                      </c:pt>
                      <c:pt idx="41">
                        <c:v>1908</c:v>
                      </c:pt>
                      <c:pt idx="42">
                        <c:v>1909</c:v>
                      </c:pt>
                      <c:pt idx="43">
                        <c:v>1910</c:v>
                      </c:pt>
                      <c:pt idx="44">
                        <c:v>1911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'младенческая смертность'!$D$5:$D$49</c15:sqref>
                        </c15:formulaRef>
                      </c:ext>
                    </c:extLst>
                    <c:numCache>
                      <c:formatCode>0.0</c:formatCode>
                      <c:ptCount val="45"/>
                      <c:pt idx="0">
                        <c:v>243.15931665704863</c:v>
                      </c:pt>
                      <c:pt idx="1">
                        <c:v>298.64807450057498</c:v>
                      </c:pt>
                      <c:pt idx="2">
                        <c:v>278.92929518879208</c:v>
                      </c:pt>
                      <c:pt idx="3">
                        <c:v>248.09796451660341</c:v>
                      </c:pt>
                      <c:pt idx="4">
                        <c:v>274.0349869118304</c:v>
                      </c:pt>
                      <c:pt idx="5">
                        <c:v>294.78490943758413</c:v>
                      </c:pt>
                      <c:pt idx="6">
                        <c:v>262.45580528313525</c:v>
                      </c:pt>
                      <c:pt idx="7">
                        <c:v>266.18863566058798</c:v>
                      </c:pt>
                      <c:pt idx="8">
                        <c:v>266.42250064163647</c:v>
                      </c:pt>
                      <c:pt idx="9">
                        <c:v>277.72548379235775</c:v>
                      </c:pt>
                      <c:pt idx="10">
                        <c:v>259.96138086027685</c:v>
                      </c:pt>
                      <c:pt idx="11">
                        <c:v>300.23409222537418</c:v>
                      </c:pt>
                      <c:pt idx="12">
                        <c:v>252.05788783911055</c:v>
                      </c:pt>
                      <c:pt idx="13">
                        <c:v>285.92897026542261</c:v>
                      </c:pt>
                      <c:pt idx="14">
                        <c:v>252.46926606280613</c:v>
                      </c:pt>
                      <c:pt idx="15">
                        <c:v>300.94668389786131</c:v>
                      </c:pt>
                      <c:pt idx="16">
                        <c:v>284.26423300191033</c:v>
                      </c:pt>
                      <c:pt idx="17">
                        <c:v>253.70210222018846</c:v>
                      </c:pt>
                      <c:pt idx="18">
                        <c:v>270.185075127706</c:v>
                      </c:pt>
                      <c:pt idx="19">
                        <c:v>248.0962405076323</c:v>
                      </c:pt>
                      <c:pt idx="20">
                        <c:v>255.80551005930673</c:v>
                      </c:pt>
                      <c:pt idx="21">
                        <c:v>250.06483388819893</c:v>
                      </c:pt>
                      <c:pt idx="22">
                        <c:v>274.83374785621146</c:v>
                      </c:pt>
                      <c:pt idx="23">
                        <c:v>291.80553535253188</c:v>
                      </c:pt>
                      <c:pt idx="24">
                        <c:v>272.08462866893592</c:v>
                      </c:pt>
                      <c:pt idx="25">
                        <c:v>306.69196871524332</c:v>
                      </c:pt>
                      <c:pt idx="26">
                        <c:v>252.0020017108998</c:v>
                      </c:pt>
                      <c:pt idx="27">
                        <c:v>264.90906168012174</c:v>
                      </c:pt>
                      <c:pt idx="28">
                        <c:v>279.82633852487766</c:v>
                      </c:pt>
                      <c:pt idx="29">
                        <c:v>274.00050358062225</c:v>
                      </c:pt>
                      <c:pt idx="30">
                        <c:v>259.51318037403831</c:v>
                      </c:pt>
                      <c:pt idx="31">
                        <c:v>278.82430617019611</c:v>
                      </c:pt>
                      <c:pt idx="32">
                        <c:v>239.6818840643586</c:v>
                      </c:pt>
                      <c:pt idx="33">
                        <c:v>252.42737448813341</c:v>
                      </c:pt>
                      <c:pt idx="34">
                        <c:v>271.61432894761504</c:v>
                      </c:pt>
                      <c:pt idx="35">
                        <c:v>258.19686905196778</c:v>
                      </c:pt>
                      <c:pt idx="36">
                        <c:v>256.25569345389647</c:v>
                      </c:pt>
                      <c:pt idx="37">
                        <c:v>231.62743846086599</c:v>
                      </c:pt>
                      <c:pt idx="38">
                        <c:v>271.50964380326326</c:v>
                      </c:pt>
                      <c:pt idx="39">
                        <c:v>247.95790811519026</c:v>
                      </c:pt>
                      <c:pt idx="40">
                        <c:v>225.44897409270067</c:v>
                      </c:pt>
                      <c:pt idx="41">
                        <c:v>244.11617976544531</c:v>
                      </c:pt>
                      <c:pt idx="42">
                        <c:v>248.01735995640885</c:v>
                      </c:pt>
                      <c:pt idx="43">
                        <c:v>273.88834095696774</c:v>
                      </c:pt>
                      <c:pt idx="44">
                        <c:v>237.32069579314185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199-46C8-B057-AEBFF533C6C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'младенческая смертность'!$E$4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'младенческая смертность'!$A$5:$A$49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1867</c:v>
                      </c:pt>
                      <c:pt idx="1">
                        <c:v>1868</c:v>
                      </c:pt>
                      <c:pt idx="2">
                        <c:v>1869</c:v>
                      </c:pt>
                      <c:pt idx="3">
                        <c:v>1870</c:v>
                      </c:pt>
                      <c:pt idx="4">
                        <c:v>1871</c:v>
                      </c:pt>
                      <c:pt idx="5">
                        <c:v>1872</c:v>
                      </c:pt>
                      <c:pt idx="6">
                        <c:v>1873</c:v>
                      </c:pt>
                      <c:pt idx="7">
                        <c:v>1874</c:v>
                      </c:pt>
                      <c:pt idx="8">
                        <c:v>1875</c:v>
                      </c:pt>
                      <c:pt idx="9">
                        <c:v>1876</c:v>
                      </c:pt>
                      <c:pt idx="10">
                        <c:v>1877</c:v>
                      </c:pt>
                      <c:pt idx="11">
                        <c:v>1878</c:v>
                      </c:pt>
                      <c:pt idx="12">
                        <c:v>1879</c:v>
                      </c:pt>
                      <c:pt idx="13">
                        <c:v>1880</c:v>
                      </c:pt>
                      <c:pt idx="14">
                        <c:v>1881</c:v>
                      </c:pt>
                      <c:pt idx="15">
                        <c:v>1882</c:v>
                      </c:pt>
                      <c:pt idx="16">
                        <c:v>1883</c:v>
                      </c:pt>
                      <c:pt idx="17">
                        <c:v>1884</c:v>
                      </c:pt>
                      <c:pt idx="18">
                        <c:v>1885</c:v>
                      </c:pt>
                      <c:pt idx="19">
                        <c:v>1886</c:v>
                      </c:pt>
                      <c:pt idx="20">
                        <c:v>1887</c:v>
                      </c:pt>
                      <c:pt idx="21">
                        <c:v>1888</c:v>
                      </c:pt>
                      <c:pt idx="22">
                        <c:v>1889</c:v>
                      </c:pt>
                      <c:pt idx="23">
                        <c:v>1890</c:v>
                      </c:pt>
                      <c:pt idx="24">
                        <c:v>1891</c:v>
                      </c:pt>
                      <c:pt idx="25">
                        <c:v>1892</c:v>
                      </c:pt>
                      <c:pt idx="26">
                        <c:v>1893</c:v>
                      </c:pt>
                      <c:pt idx="27">
                        <c:v>1894</c:v>
                      </c:pt>
                      <c:pt idx="28">
                        <c:v>1895</c:v>
                      </c:pt>
                      <c:pt idx="29">
                        <c:v>1896</c:v>
                      </c:pt>
                      <c:pt idx="30">
                        <c:v>1897</c:v>
                      </c:pt>
                      <c:pt idx="31">
                        <c:v>1898</c:v>
                      </c:pt>
                      <c:pt idx="32">
                        <c:v>1899</c:v>
                      </c:pt>
                      <c:pt idx="33">
                        <c:v>1900</c:v>
                      </c:pt>
                      <c:pt idx="34">
                        <c:v>1901</c:v>
                      </c:pt>
                      <c:pt idx="35">
                        <c:v>1902</c:v>
                      </c:pt>
                      <c:pt idx="36">
                        <c:v>1903</c:v>
                      </c:pt>
                      <c:pt idx="37">
                        <c:v>1904</c:v>
                      </c:pt>
                      <c:pt idx="38">
                        <c:v>1905</c:v>
                      </c:pt>
                      <c:pt idx="39">
                        <c:v>1906</c:v>
                      </c:pt>
                      <c:pt idx="40">
                        <c:v>1907</c:v>
                      </c:pt>
                      <c:pt idx="41">
                        <c:v>1908</c:v>
                      </c:pt>
                      <c:pt idx="42">
                        <c:v>1909</c:v>
                      </c:pt>
                      <c:pt idx="43">
                        <c:v>1910</c:v>
                      </c:pt>
                      <c:pt idx="44">
                        <c:v>1911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'младенческая смертность'!$E$5:$E$49</c15:sqref>
                        </c15:formulaRef>
                      </c:ext>
                    </c:extLst>
                    <c:numCache>
                      <c:formatCode>General</c:formatCode>
                      <c:ptCount val="4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199-46C8-B057-AEBFF533C6C3}"/>
                  </c:ext>
                </c:extLst>
              </c15:ser>
            </c15:filteredScatterSeries>
          </c:ext>
        </c:extLst>
      </c:scatterChart>
      <c:valAx>
        <c:axId val="780498944"/>
        <c:scaling>
          <c:orientation val="minMax"/>
          <c:min val="18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0499600"/>
        <c:crosses val="autoZero"/>
        <c:crossBetween val="midCat"/>
        <c:majorUnit val="5"/>
      </c:valAx>
      <c:valAx>
        <c:axId val="780499600"/>
        <c:scaling>
          <c:orientation val="minMax"/>
          <c:max val="31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049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585786</xdr:colOff>
      <xdr:row>2</xdr:row>
      <xdr:rowOff>80962</xdr:rowOff>
    </xdr:from>
    <xdr:to>
      <xdr:col>22</xdr:col>
      <xdr:colOff>38099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8ABF5-0C1B-48E8-A9C6-5E4F4BF54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19050</xdr:rowOff>
    </xdr:from>
    <xdr:to>
      <xdr:col>20</xdr:col>
      <xdr:colOff>590550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32F34-09CE-4D0B-BA57-B2E35FF6D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</xdr:row>
      <xdr:rowOff>171450</xdr:rowOff>
    </xdr:from>
    <xdr:to>
      <xdr:col>23</xdr:col>
      <xdr:colOff>9525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C1997-F1D0-4793-AE56-F45B04267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9526</xdr:colOff>
      <xdr:row>4</xdr:row>
      <xdr:rowOff>166686</xdr:rowOff>
    </xdr:from>
    <xdr:to>
      <xdr:col>29</xdr:col>
      <xdr:colOff>76200</xdr:colOff>
      <xdr:row>53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27217A-607C-4B7C-8C7C-8189FB1C5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771A-5E00-4BB5-A7A0-4E9C4D6107D4}">
  <dimension ref="A1:L50"/>
  <sheetViews>
    <sheetView workbookViewId="0">
      <selection activeCell="A10" sqref="A10"/>
    </sheetView>
  </sheetViews>
  <sheetFormatPr defaultRowHeight="15" x14ac:dyDescent="0.25"/>
  <sheetData>
    <row r="1" spans="1:12" ht="18.75" x14ac:dyDescent="0.3">
      <c r="A1" s="4" t="s">
        <v>4</v>
      </c>
    </row>
    <row r="2" spans="1:12" x14ac:dyDescent="0.25">
      <c r="A2" t="s">
        <v>5</v>
      </c>
    </row>
    <row r="4" spans="1:12" x14ac:dyDescent="0.25">
      <c r="A4" t="s">
        <v>6</v>
      </c>
    </row>
    <row r="5" spans="1:12" x14ac:dyDescent="0.25">
      <c r="A5" t="s">
        <v>7</v>
      </c>
      <c r="J5" s="2"/>
      <c r="K5" s="2"/>
      <c r="L5" s="2"/>
    </row>
    <row r="6" spans="1:12" x14ac:dyDescent="0.25">
      <c r="J6" s="2"/>
      <c r="K6" s="2"/>
      <c r="L6" s="2"/>
    </row>
    <row r="7" spans="1:12" x14ac:dyDescent="0.25">
      <c r="J7" s="2"/>
      <c r="K7" s="2"/>
      <c r="L7" s="2"/>
    </row>
    <row r="8" spans="1:12" x14ac:dyDescent="0.25">
      <c r="A8" t="s">
        <v>16</v>
      </c>
      <c r="J8" s="2"/>
      <c r="K8" s="2"/>
      <c r="L8" s="2"/>
    </row>
    <row r="9" spans="1:12" x14ac:dyDescent="0.25">
      <c r="A9" t="s">
        <v>21</v>
      </c>
      <c r="J9" s="2"/>
      <c r="K9" s="2"/>
      <c r="L9" s="2"/>
    </row>
    <row r="10" spans="1:12" x14ac:dyDescent="0.25">
      <c r="J10" s="2"/>
      <c r="K10" s="2"/>
      <c r="L10" s="2"/>
    </row>
    <row r="11" spans="1:12" x14ac:dyDescent="0.25">
      <c r="J11" s="2"/>
      <c r="K11" s="2"/>
      <c r="L11" s="2"/>
    </row>
    <row r="12" spans="1:12" x14ac:dyDescent="0.25">
      <c r="J12" s="2"/>
      <c r="K12" s="2"/>
      <c r="L12" s="2"/>
    </row>
    <row r="13" spans="1:12" x14ac:dyDescent="0.25">
      <c r="J13" s="2"/>
      <c r="K13" s="2"/>
      <c r="L13" s="2"/>
    </row>
    <row r="14" spans="1:12" x14ac:dyDescent="0.25">
      <c r="J14" s="2"/>
      <c r="K14" s="2"/>
      <c r="L14" s="2"/>
    </row>
    <row r="15" spans="1:12" x14ac:dyDescent="0.25">
      <c r="J15" s="2"/>
      <c r="K15" s="2"/>
      <c r="L15" s="2"/>
    </row>
    <row r="16" spans="1:12" x14ac:dyDescent="0.25">
      <c r="J16" s="2"/>
      <c r="K16" s="2"/>
      <c r="L16" s="2"/>
    </row>
    <row r="17" spans="10:12" x14ac:dyDescent="0.25">
      <c r="J17" s="2"/>
      <c r="K17" s="2"/>
      <c r="L17" s="2"/>
    </row>
    <row r="18" spans="10:12" x14ac:dyDescent="0.25">
      <c r="J18" s="2"/>
      <c r="K18" s="2"/>
      <c r="L18" s="2"/>
    </row>
    <row r="19" spans="10:12" x14ac:dyDescent="0.25">
      <c r="J19" s="2"/>
      <c r="K19" s="2"/>
      <c r="L19" s="2"/>
    </row>
    <row r="20" spans="10:12" x14ac:dyDescent="0.25">
      <c r="J20" s="2"/>
      <c r="K20" s="2"/>
      <c r="L20" s="2"/>
    </row>
    <row r="21" spans="10:12" x14ac:dyDescent="0.25">
      <c r="J21" s="2"/>
      <c r="K21" s="2"/>
      <c r="L21" s="2"/>
    </row>
    <row r="22" spans="10:12" x14ac:dyDescent="0.25">
      <c r="J22" s="2"/>
      <c r="K22" s="2"/>
      <c r="L22" s="2"/>
    </row>
    <row r="23" spans="10:12" x14ac:dyDescent="0.25">
      <c r="J23" s="2"/>
      <c r="K23" s="2"/>
      <c r="L23" s="2"/>
    </row>
    <row r="24" spans="10:12" x14ac:dyDescent="0.25">
      <c r="J24" s="2"/>
      <c r="K24" s="2"/>
      <c r="L24" s="2"/>
    </row>
    <row r="25" spans="10:12" x14ac:dyDescent="0.25">
      <c r="J25" s="2"/>
      <c r="K25" s="2"/>
      <c r="L25" s="2"/>
    </row>
    <row r="26" spans="10:12" x14ac:dyDescent="0.25">
      <c r="J26" s="2"/>
      <c r="K26" s="2"/>
      <c r="L26" s="2"/>
    </row>
    <row r="27" spans="10:12" x14ac:dyDescent="0.25">
      <c r="J27" s="2"/>
      <c r="K27" s="2"/>
      <c r="L27" s="2"/>
    </row>
    <row r="28" spans="10:12" x14ac:dyDescent="0.25">
      <c r="J28" s="2"/>
      <c r="K28" s="2"/>
      <c r="L28" s="2"/>
    </row>
    <row r="29" spans="10:12" x14ac:dyDescent="0.25">
      <c r="J29" s="2"/>
      <c r="K29" s="2"/>
      <c r="L29" s="2"/>
    </row>
    <row r="30" spans="10:12" x14ac:dyDescent="0.25">
      <c r="J30" s="2"/>
      <c r="K30" s="2"/>
      <c r="L30" s="2"/>
    </row>
    <row r="31" spans="10:12" x14ac:dyDescent="0.25">
      <c r="J31" s="2"/>
      <c r="K31" s="2"/>
      <c r="L31" s="2"/>
    </row>
    <row r="32" spans="10:12" x14ac:dyDescent="0.25">
      <c r="J32" s="2"/>
      <c r="K32" s="2"/>
      <c r="L32" s="2"/>
    </row>
    <row r="33" spans="10:12" x14ac:dyDescent="0.25">
      <c r="J33" s="2"/>
      <c r="K33" s="2"/>
      <c r="L33" s="2"/>
    </row>
    <row r="34" spans="10:12" x14ac:dyDescent="0.25">
      <c r="J34" s="2"/>
      <c r="K34" s="2"/>
      <c r="L34" s="2"/>
    </row>
    <row r="35" spans="10:12" x14ac:dyDescent="0.25">
      <c r="J35" s="2"/>
      <c r="K35" s="2"/>
      <c r="L35" s="2"/>
    </row>
    <row r="36" spans="10:12" x14ac:dyDescent="0.25">
      <c r="J36" s="2"/>
      <c r="K36" s="2"/>
      <c r="L36" s="2"/>
    </row>
    <row r="37" spans="10:12" x14ac:dyDescent="0.25">
      <c r="J37" s="2"/>
      <c r="K37" s="2"/>
      <c r="L37" s="2"/>
    </row>
    <row r="38" spans="10:12" x14ac:dyDescent="0.25">
      <c r="J38" s="2"/>
      <c r="K38" s="2"/>
      <c r="L38" s="2"/>
    </row>
    <row r="39" spans="10:12" x14ac:dyDescent="0.25">
      <c r="J39" s="2"/>
      <c r="K39" s="2"/>
      <c r="L39" s="2"/>
    </row>
    <row r="40" spans="10:12" x14ac:dyDescent="0.25">
      <c r="J40" s="2"/>
      <c r="K40" s="2"/>
      <c r="L40" s="2"/>
    </row>
    <row r="41" spans="10:12" x14ac:dyDescent="0.25">
      <c r="J41" s="2"/>
      <c r="K41" s="2"/>
      <c r="L41" s="2"/>
    </row>
    <row r="42" spans="10:12" x14ac:dyDescent="0.25">
      <c r="J42" s="2"/>
      <c r="K42" s="2"/>
      <c r="L42" s="2"/>
    </row>
    <row r="43" spans="10:12" x14ac:dyDescent="0.25">
      <c r="J43" s="2"/>
      <c r="K43" s="2"/>
      <c r="L43" s="2"/>
    </row>
    <row r="44" spans="10:12" x14ac:dyDescent="0.25">
      <c r="J44" s="2"/>
      <c r="K44" s="2"/>
      <c r="L44" s="2"/>
    </row>
    <row r="45" spans="10:12" x14ac:dyDescent="0.25">
      <c r="J45" s="2"/>
      <c r="K45" s="2"/>
      <c r="L45" s="2"/>
    </row>
    <row r="46" spans="10:12" x14ac:dyDescent="0.25">
      <c r="J46" s="2"/>
      <c r="K46" s="2"/>
      <c r="L46" s="2"/>
    </row>
    <row r="47" spans="10:12" x14ac:dyDescent="0.25">
      <c r="J47" s="2"/>
      <c r="K47" s="2"/>
      <c r="L47" s="2"/>
    </row>
    <row r="48" spans="10:12" x14ac:dyDescent="0.25">
      <c r="J48" s="2"/>
      <c r="K48" s="2"/>
      <c r="L48" s="2"/>
    </row>
    <row r="49" spans="10:12" x14ac:dyDescent="0.25">
      <c r="J49" s="2"/>
      <c r="K49" s="2"/>
      <c r="L49" s="2"/>
    </row>
    <row r="50" spans="10:12" x14ac:dyDescent="0.25">
      <c r="J50" s="2"/>
      <c r="K50" s="2"/>
      <c r="L5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3FA0-34BA-432F-9BEC-D86C310BB3B8}">
  <dimension ref="A1:G49"/>
  <sheetViews>
    <sheetView workbookViewId="0">
      <pane ySplit="3" topLeftCell="A4" activePane="bottomLeft" state="frozen"/>
      <selection pane="bottomLeft" activeCell="H53" sqref="H53"/>
    </sheetView>
  </sheetViews>
  <sheetFormatPr defaultRowHeight="15" x14ac:dyDescent="0.25"/>
  <sheetData>
    <row r="1" spans="1:7" ht="18.75" x14ac:dyDescent="0.3">
      <c r="A1" s="4" t="s">
        <v>12</v>
      </c>
    </row>
    <row r="2" spans="1:7" x14ac:dyDescent="0.25">
      <c r="F2" s="5"/>
      <c r="G2" s="5"/>
    </row>
    <row r="3" spans="1:7" x14ac:dyDescent="0.25">
      <c r="A3" s="3" t="s">
        <v>0</v>
      </c>
      <c r="B3" s="3" t="s">
        <v>1</v>
      </c>
      <c r="C3" s="3" t="s">
        <v>2</v>
      </c>
      <c r="D3" s="3" t="s">
        <v>3</v>
      </c>
      <c r="F3" s="6"/>
      <c r="G3" s="6"/>
    </row>
    <row r="4" spans="1:7" x14ac:dyDescent="0.25">
      <c r="A4">
        <v>1867</v>
      </c>
      <c r="B4" s="2">
        <v>62550</v>
      </c>
      <c r="C4" s="1">
        <v>51.2</v>
      </c>
      <c r="D4" s="1">
        <v>36.799999999999997</v>
      </c>
      <c r="F4" s="7"/>
      <c r="G4" s="7"/>
    </row>
    <row r="5" spans="1:7" x14ac:dyDescent="0.25">
      <c r="A5">
        <f t="shared" ref="A5:A49" si="0">A4+1</f>
        <v>1868</v>
      </c>
      <c r="B5" s="2">
        <v>63400</v>
      </c>
      <c r="C5" s="1">
        <v>48.8</v>
      </c>
      <c r="D5" s="1">
        <v>39.700000000000003</v>
      </c>
      <c r="F5" s="1"/>
      <c r="G5" s="1"/>
    </row>
    <row r="6" spans="1:7" x14ac:dyDescent="0.25">
      <c r="A6">
        <f t="shared" si="0"/>
        <v>1869</v>
      </c>
      <c r="B6" s="2">
        <v>63950</v>
      </c>
      <c r="C6" s="1">
        <v>49.7</v>
      </c>
      <c r="D6" s="1">
        <v>38.299999999999997</v>
      </c>
      <c r="F6" s="1"/>
      <c r="G6" s="1"/>
    </row>
    <row r="7" spans="1:7" x14ac:dyDescent="0.25">
      <c r="A7">
        <f t="shared" si="0"/>
        <v>1870</v>
      </c>
      <c r="B7" s="2">
        <v>64660</v>
      </c>
      <c r="C7" s="1">
        <v>49.2</v>
      </c>
      <c r="D7" s="1">
        <v>35</v>
      </c>
      <c r="F7" s="1"/>
      <c r="G7" s="1"/>
    </row>
    <row r="8" spans="1:7" x14ac:dyDescent="0.25">
      <c r="A8">
        <f t="shared" si="0"/>
        <v>1871</v>
      </c>
      <c r="B8" s="2">
        <v>65540</v>
      </c>
      <c r="C8" s="1">
        <v>51</v>
      </c>
      <c r="D8" s="1">
        <v>37.9</v>
      </c>
      <c r="F8" s="1"/>
      <c r="G8" s="1"/>
    </row>
    <row r="9" spans="1:7" x14ac:dyDescent="0.25">
      <c r="A9">
        <f t="shared" si="0"/>
        <v>1872</v>
      </c>
      <c r="B9" s="2">
        <v>66310</v>
      </c>
      <c r="C9" s="1">
        <v>50</v>
      </c>
      <c r="D9" s="1">
        <v>41.2</v>
      </c>
      <c r="F9" s="1"/>
      <c r="G9" s="1"/>
    </row>
    <row r="10" spans="1:7" x14ac:dyDescent="0.25">
      <c r="A10">
        <f t="shared" si="0"/>
        <v>1873</v>
      </c>
      <c r="B10" s="2">
        <v>66860</v>
      </c>
      <c r="C10" s="1">
        <v>52.3</v>
      </c>
      <c r="D10" s="1">
        <v>36.5</v>
      </c>
      <c r="F10" s="1"/>
      <c r="G10" s="1"/>
    </row>
    <row r="11" spans="1:7" x14ac:dyDescent="0.25">
      <c r="A11">
        <f t="shared" si="0"/>
        <v>1874</v>
      </c>
      <c r="B11" s="2">
        <v>67860</v>
      </c>
      <c r="C11" s="1">
        <v>51.4</v>
      </c>
      <c r="D11" s="1">
        <v>35.200000000000003</v>
      </c>
      <c r="F11" s="1"/>
      <c r="G11" s="1"/>
    </row>
    <row r="12" spans="1:7" x14ac:dyDescent="0.25">
      <c r="A12">
        <f t="shared" si="0"/>
        <v>1875</v>
      </c>
      <c r="B12" s="2">
        <v>68960</v>
      </c>
      <c r="C12" s="1">
        <v>51.5</v>
      </c>
      <c r="D12" s="1">
        <v>34.6</v>
      </c>
      <c r="F12" s="1"/>
      <c r="G12" s="1"/>
    </row>
    <row r="13" spans="1:7" x14ac:dyDescent="0.25">
      <c r="A13">
        <f t="shared" si="0"/>
        <v>1876</v>
      </c>
      <c r="B13" s="2">
        <v>70100</v>
      </c>
      <c r="C13" s="1">
        <v>50.6</v>
      </c>
      <c r="D13" s="1">
        <v>34.9</v>
      </c>
      <c r="F13" s="1"/>
      <c r="G13" s="1"/>
    </row>
    <row r="14" spans="1:7" x14ac:dyDescent="0.25">
      <c r="A14">
        <f t="shared" si="0"/>
        <v>1877</v>
      </c>
      <c r="B14" s="2">
        <v>71200</v>
      </c>
      <c r="C14" s="1">
        <v>49.6</v>
      </c>
      <c r="D14" s="1">
        <v>34.4</v>
      </c>
      <c r="F14" s="1"/>
      <c r="G14" s="1"/>
    </row>
    <row r="15" spans="1:7" x14ac:dyDescent="0.25">
      <c r="A15">
        <f t="shared" si="0"/>
        <v>1878</v>
      </c>
      <c r="B15" s="2">
        <v>72270</v>
      </c>
      <c r="C15" s="1">
        <v>47.3</v>
      </c>
      <c r="D15" s="1">
        <v>38.200000000000003</v>
      </c>
      <c r="F15" s="1"/>
      <c r="G15" s="1"/>
    </row>
    <row r="16" spans="1:7" x14ac:dyDescent="0.25">
      <c r="A16">
        <f t="shared" si="0"/>
        <v>1879</v>
      </c>
      <c r="B16" s="2">
        <v>72920</v>
      </c>
      <c r="C16" s="1">
        <v>50.2</v>
      </c>
      <c r="D16" s="1">
        <v>34.799999999999997</v>
      </c>
      <c r="F16" s="1"/>
      <c r="G16" s="1"/>
    </row>
    <row r="17" spans="1:7" x14ac:dyDescent="0.25">
      <c r="A17">
        <f t="shared" si="0"/>
        <v>1880</v>
      </c>
      <c r="B17" s="2">
        <v>74020</v>
      </c>
      <c r="C17" s="1">
        <v>49.7</v>
      </c>
      <c r="D17" s="1">
        <v>36.1</v>
      </c>
      <c r="F17" s="1"/>
      <c r="G17" s="1"/>
    </row>
    <row r="18" spans="1:7" x14ac:dyDescent="0.25">
      <c r="A18">
        <f t="shared" si="0"/>
        <v>1881</v>
      </c>
      <c r="B18" s="2">
        <v>75010</v>
      </c>
      <c r="C18" s="1">
        <v>49.1</v>
      </c>
      <c r="D18" s="1">
        <v>34.1</v>
      </c>
      <c r="F18" s="1"/>
      <c r="G18" s="1"/>
    </row>
    <row r="19" spans="1:7" x14ac:dyDescent="0.25">
      <c r="A19">
        <f t="shared" si="0"/>
        <v>1882</v>
      </c>
      <c r="B19" s="2">
        <v>76060</v>
      </c>
      <c r="C19" s="1">
        <v>51.6</v>
      </c>
      <c r="D19" s="1">
        <v>40.4</v>
      </c>
      <c r="F19" s="1"/>
      <c r="G19" s="1"/>
    </row>
    <row r="20" spans="1:7" x14ac:dyDescent="0.25">
      <c r="A20">
        <f t="shared" si="0"/>
        <v>1883</v>
      </c>
      <c r="B20" s="2">
        <v>76852</v>
      </c>
      <c r="C20" s="1">
        <v>50.6</v>
      </c>
      <c r="D20" s="1">
        <v>37.5</v>
      </c>
      <c r="F20" s="1"/>
      <c r="G20" s="1"/>
    </row>
    <row r="21" spans="1:7" x14ac:dyDescent="0.25">
      <c r="A21">
        <f t="shared" si="0"/>
        <v>1884</v>
      </c>
      <c r="B21" s="2">
        <v>77812</v>
      </c>
      <c r="C21" s="1">
        <v>51.5</v>
      </c>
      <c r="D21" s="1">
        <v>34.5</v>
      </c>
      <c r="F21" s="1"/>
      <c r="G21" s="1"/>
    </row>
    <row r="22" spans="1:7" x14ac:dyDescent="0.25">
      <c r="A22">
        <f t="shared" si="0"/>
        <v>1885</v>
      </c>
      <c r="B22" s="2">
        <v>79112</v>
      </c>
      <c r="C22" s="1">
        <v>50</v>
      </c>
      <c r="D22" s="1">
        <v>35.799999999999997</v>
      </c>
      <c r="F22" s="1"/>
      <c r="G22" s="1"/>
    </row>
    <row r="23" spans="1:7" x14ac:dyDescent="0.25">
      <c r="A23">
        <f t="shared" si="0"/>
        <v>1886</v>
      </c>
      <c r="B23" s="2">
        <v>80212</v>
      </c>
      <c r="C23" s="1">
        <v>49.5</v>
      </c>
      <c r="D23" s="1">
        <v>33.200000000000003</v>
      </c>
      <c r="F23" s="1"/>
      <c r="G23" s="1"/>
    </row>
    <row r="24" spans="1:7" x14ac:dyDescent="0.25">
      <c r="A24">
        <f t="shared" si="0"/>
        <v>1887</v>
      </c>
      <c r="B24" s="2">
        <v>81472</v>
      </c>
      <c r="C24" s="1">
        <v>49.9</v>
      </c>
      <c r="D24" s="1">
        <v>33.799999999999997</v>
      </c>
      <c r="F24" s="1"/>
      <c r="G24" s="1"/>
    </row>
    <row r="25" spans="1:7" x14ac:dyDescent="0.25">
      <c r="A25">
        <f t="shared" si="0"/>
        <v>1888</v>
      </c>
      <c r="B25" s="2">
        <v>82722</v>
      </c>
      <c r="C25" s="1">
        <v>51.6</v>
      </c>
      <c r="D25" s="1">
        <v>33.4</v>
      </c>
      <c r="F25" s="1"/>
      <c r="G25" s="1"/>
    </row>
    <row r="26" spans="1:7" x14ac:dyDescent="0.25">
      <c r="A26">
        <f t="shared" si="0"/>
        <v>1889</v>
      </c>
      <c r="B26" s="2">
        <v>84182</v>
      </c>
      <c r="C26" s="1">
        <v>50.3</v>
      </c>
      <c r="D26" s="1">
        <v>35.5</v>
      </c>
      <c r="F26" s="1"/>
      <c r="G26" s="1"/>
    </row>
    <row r="27" spans="1:7" x14ac:dyDescent="0.25">
      <c r="A27">
        <f t="shared" si="0"/>
        <v>1890</v>
      </c>
      <c r="B27" s="2">
        <v>85282</v>
      </c>
      <c r="C27" s="1">
        <v>49.6</v>
      </c>
      <c r="D27" s="1">
        <v>36.700000000000003</v>
      </c>
      <c r="F27" s="1"/>
      <c r="G27" s="1"/>
    </row>
    <row r="28" spans="1:7" x14ac:dyDescent="0.25">
      <c r="A28">
        <f t="shared" si="0"/>
        <v>1891</v>
      </c>
      <c r="B28" s="2">
        <v>86480</v>
      </c>
      <c r="C28" s="1">
        <v>50.6</v>
      </c>
      <c r="D28" s="1">
        <v>35.799999999999997</v>
      </c>
      <c r="F28" s="1"/>
      <c r="G28" s="1"/>
    </row>
    <row r="29" spans="1:7" x14ac:dyDescent="0.25">
      <c r="A29">
        <f t="shared" si="0"/>
        <v>1892</v>
      </c>
      <c r="B29" s="2">
        <v>87679</v>
      </c>
      <c r="C29" s="1">
        <v>46</v>
      </c>
      <c r="D29" s="1">
        <v>41</v>
      </c>
      <c r="F29" s="1"/>
      <c r="G29" s="1"/>
    </row>
    <row r="30" spans="1:7" x14ac:dyDescent="0.25">
      <c r="A30">
        <f t="shared" si="0"/>
        <v>1893</v>
      </c>
      <c r="B30" s="2">
        <v>88100</v>
      </c>
      <c r="C30" s="1">
        <v>48.8</v>
      </c>
      <c r="D30" s="1">
        <v>34.4</v>
      </c>
      <c r="F30" s="1"/>
      <c r="G30" s="1"/>
    </row>
    <row r="31" spans="1:7" x14ac:dyDescent="0.25">
      <c r="A31">
        <f t="shared" si="0"/>
        <v>1894</v>
      </c>
      <c r="B31" s="2">
        <v>89341</v>
      </c>
      <c r="C31" s="1">
        <v>49.2</v>
      </c>
      <c r="D31" s="1">
        <v>34.299999999999997</v>
      </c>
      <c r="F31" s="1"/>
      <c r="G31" s="1"/>
    </row>
    <row r="32" spans="1:7" x14ac:dyDescent="0.25">
      <c r="A32">
        <f t="shared" si="0"/>
        <v>1895</v>
      </c>
      <c r="B32" s="2">
        <v>90652</v>
      </c>
      <c r="C32" s="1">
        <v>50.1</v>
      </c>
      <c r="D32" s="1">
        <v>35.5</v>
      </c>
      <c r="F32" s="1"/>
      <c r="G32" s="1"/>
    </row>
    <row r="33" spans="1:7" x14ac:dyDescent="0.25">
      <c r="A33">
        <f t="shared" si="0"/>
        <v>1896</v>
      </c>
      <c r="B33" s="2">
        <v>91943</v>
      </c>
      <c r="C33" s="1">
        <v>50.4</v>
      </c>
      <c r="D33" s="1">
        <v>33.299999999999997</v>
      </c>
      <c r="F33" s="1"/>
      <c r="G33" s="1"/>
    </row>
    <row r="34" spans="1:7" x14ac:dyDescent="0.25">
      <c r="A34">
        <f t="shared" si="0"/>
        <v>1897</v>
      </c>
      <c r="B34" s="2">
        <v>93779</v>
      </c>
      <c r="C34" s="1">
        <v>50</v>
      </c>
      <c r="D34" s="1">
        <v>31.7</v>
      </c>
      <c r="F34" s="1"/>
      <c r="G34" s="1"/>
    </row>
    <row r="35" spans="1:7" x14ac:dyDescent="0.25">
      <c r="A35">
        <f t="shared" si="0"/>
        <v>1898</v>
      </c>
      <c r="B35" s="2">
        <v>95159</v>
      </c>
      <c r="C35" s="1">
        <v>48.6</v>
      </c>
      <c r="D35" s="1">
        <v>33.200000000000003</v>
      </c>
      <c r="F35" s="1"/>
      <c r="G35" s="1"/>
    </row>
    <row r="36" spans="1:7" x14ac:dyDescent="0.25">
      <c r="A36">
        <f t="shared" si="0"/>
        <v>1899</v>
      </c>
      <c r="B36" s="2">
        <v>96628</v>
      </c>
      <c r="C36" s="1">
        <v>49.3</v>
      </c>
      <c r="D36" s="1">
        <v>31.2</v>
      </c>
      <c r="F36" s="1"/>
      <c r="G36" s="1"/>
    </row>
    <row r="37" spans="1:7" x14ac:dyDescent="0.25">
      <c r="A37">
        <f t="shared" si="0"/>
        <v>1900</v>
      </c>
      <c r="B37" s="2">
        <v>98379</v>
      </c>
      <c r="C37" s="1">
        <v>49.3</v>
      </c>
      <c r="D37" s="1">
        <v>31.1</v>
      </c>
      <c r="F37" s="1"/>
      <c r="G37" s="1"/>
    </row>
    <row r="38" spans="1:7" x14ac:dyDescent="0.25">
      <c r="A38">
        <f t="shared" si="0"/>
        <v>1901</v>
      </c>
      <c r="B38" s="2">
        <v>100172</v>
      </c>
      <c r="C38" s="1">
        <v>47.9</v>
      </c>
      <c r="D38" s="1">
        <v>32.1</v>
      </c>
      <c r="F38" s="1"/>
      <c r="G38" s="1"/>
    </row>
    <row r="39" spans="1:7" x14ac:dyDescent="0.25">
      <c r="A39">
        <f t="shared" si="0"/>
        <v>1902</v>
      </c>
      <c r="B39" s="2">
        <v>101634</v>
      </c>
      <c r="C39" s="1">
        <v>49.1</v>
      </c>
      <c r="D39" s="1">
        <v>31.5</v>
      </c>
      <c r="F39" s="1"/>
      <c r="G39" s="1"/>
    </row>
    <row r="40" spans="1:7" x14ac:dyDescent="0.25">
      <c r="A40">
        <f t="shared" si="0"/>
        <v>1903</v>
      </c>
      <c r="B40" s="2">
        <v>103423</v>
      </c>
      <c r="C40" s="1">
        <v>48.1</v>
      </c>
      <c r="D40" s="1">
        <v>30</v>
      </c>
      <c r="F40" s="1"/>
      <c r="G40" s="1"/>
    </row>
    <row r="41" spans="1:7" x14ac:dyDescent="0.25">
      <c r="A41">
        <f t="shared" si="0"/>
        <v>1904</v>
      </c>
      <c r="B41" s="2">
        <v>105430</v>
      </c>
      <c r="C41" s="1">
        <v>48.6</v>
      </c>
      <c r="D41" s="1">
        <v>29.9</v>
      </c>
      <c r="F41" s="1"/>
      <c r="G41" s="1"/>
    </row>
    <row r="42" spans="1:7" x14ac:dyDescent="0.25">
      <c r="A42">
        <f t="shared" si="0"/>
        <v>1905</v>
      </c>
      <c r="B42" s="2">
        <v>107393</v>
      </c>
      <c r="C42" s="1">
        <v>44.9</v>
      </c>
      <c r="D42" s="1">
        <v>31.8</v>
      </c>
      <c r="F42" s="1"/>
      <c r="G42" s="1"/>
    </row>
    <row r="43" spans="1:7" x14ac:dyDescent="0.25">
      <c r="A43">
        <f t="shared" si="0"/>
        <v>1906</v>
      </c>
      <c r="B43" s="2">
        <v>108803</v>
      </c>
      <c r="C43" s="1">
        <v>47</v>
      </c>
      <c r="D43" s="1">
        <v>29.9</v>
      </c>
      <c r="F43" s="1"/>
      <c r="G43" s="1"/>
    </row>
    <row r="44" spans="1:7" x14ac:dyDescent="0.25">
      <c r="A44">
        <f t="shared" si="0"/>
        <v>1907</v>
      </c>
      <c r="B44" s="2">
        <v>110650</v>
      </c>
      <c r="C44" s="1">
        <v>47.2</v>
      </c>
      <c r="D44" s="1">
        <v>28.5</v>
      </c>
      <c r="F44" s="1"/>
      <c r="G44" s="1"/>
    </row>
    <row r="45" spans="1:7" x14ac:dyDescent="0.25">
      <c r="A45">
        <f t="shared" si="0"/>
        <v>1908</v>
      </c>
      <c r="B45" s="2">
        <v>112731</v>
      </c>
      <c r="C45" s="1">
        <v>44.7</v>
      </c>
      <c r="D45" s="1">
        <v>28.3</v>
      </c>
      <c r="F45" s="1"/>
      <c r="G45" s="1"/>
    </row>
    <row r="46" spans="1:7" x14ac:dyDescent="0.25">
      <c r="A46">
        <f t="shared" si="0"/>
        <v>1909</v>
      </c>
      <c r="B46" s="2">
        <v>114590</v>
      </c>
      <c r="C46" s="1">
        <v>44.7</v>
      </c>
      <c r="D46" s="1">
        <v>29.5</v>
      </c>
      <c r="F46" s="1"/>
      <c r="G46" s="1"/>
    </row>
    <row r="47" spans="1:7" x14ac:dyDescent="0.25">
      <c r="A47">
        <f t="shared" si="0"/>
        <v>1910</v>
      </c>
      <c r="B47" s="2">
        <v>116290</v>
      </c>
      <c r="C47" s="1">
        <v>45.1</v>
      </c>
      <c r="D47" s="1">
        <v>31.5</v>
      </c>
      <c r="F47" s="1"/>
      <c r="G47" s="1"/>
    </row>
    <row r="48" spans="1:7" x14ac:dyDescent="0.25">
      <c r="A48">
        <f t="shared" si="0"/>
        <v>1911</v>
      </c>
      <c r="B48" s="2">
        <v>117860</v>
      </c>
      <c r="C48" s="1">
        <v>45</v>
      </c>
      <c r="D48" s="1">
        <v>27.4</v>
      </c>
      <c r="F48" s="1"/>
      <c r="G48" s="1"/>
    </row>
    <row r="49" spans="1:7" x14ac:dyDescent="0.25">
      <c r="A49">
        <f t="shared" si="0"/>
        <v>1912</v>
      </c>
      <c r="B49" s="2">
        <v>119800</v>
      </c>
      <c r="C49" s="1">
        <v>43.7</v>
      </c>
      <c r="D49" s="1">
        <v>26.5</v>
      </c>
      <c r="F49" s="1"/>
      <c r="G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429E-599C-4F1F-B0B8-2B2145980C83}">
  <dimension ref="A1:D49"/>
  <sheetViews>
    <sheetView tabSelected="1" workbookViewId="0">
      <selection activeCell="Y32" sqref="Y32"/>
    </sheetView>
  </sheetViews>
  <sheetFormatPr defaultRowHeight="15" x14ac:dyDescent="0.25"/>
  <sheetData>
    <row r="1" spans="1:4" ht="18.75" x14ac:dyDescent="0.3">
      <c r="A1" s="4" t="s">
        <v>31</v>
      </c>
    </row>
    <row r="3" spans="1:4" x14ac:dyDescent="0.25">
      <c r="A3" s="3" t="s">
        <v>0</v>
      </c>
      <c r="B3" s="3" t="s">
        <v>10</v>
      </c>
      <c r="C3" s="3" t="s">
        <v>8</v>
      </c>
      <c r="D3" s="3" t="s">
        <v>9</v>
      </c>
    </row>
    <row r="4" spans="1:4" x14ac:dyDescent="0.25">
      <c r="A4">
        <v>1867</v>
      </c>
      <c r="B4" s="1">
        <v>51.2</v>
      </c>
      <c r="C4" s="1">
        <f>AVERAGE(B4:B14,B16:B28,B30:B37)</f>
        <v>50.162499999999987</v>
      </c>
      <c r="D4" s="1">
        <f>MIN(B4:B14,B16:B28,B30:B37)</f>
        <v>48.6</v>
      </c>
    </row>
    <row r="5" spans="1:4" x14ac:dyDescent="0.25">
      <c r="A5">
        <f t="shared" ref="A5:A49" si="0">A4+1</f>
        <v>1868</v>
      </c>
      <c r="B5" s="1">
        <v>48.8</v>
      </c>
      <c r="C5" s="1">
        <f>C4</f>
        <v>50.162499999999987</v>
      </c>
      <c r="D5" s="1">
        <f>D4</f>
        <v>48.6</v>
      </c>
    </row>
    <row r="6" spans="1:4" x14ac:dyDescent="0.25">
      <c r="A6">
        <f t="shared" si="0"/>
        <v>1869</v>
      </c>
      <c r="B6" s="1">
        <v>49.7</v>
      </c>
      <c r="C6" s="1">
        <f t="shared" ref="C6:D49" si="1">C5</f>
        <v>50.162499999999987</v>
      </c>
      <c r="D6" s="1">
        <f t="shared" si="1"/>
        <v>48.6</v>
      </c>
    </row>
    <row r="7" spans="1:4" x14ac:dyDescent="0.25">
      <c r="A7">
        <f t="shared" si="0"/>
        <v>1870</v>
      </c>
      <c r="B7" s="1">
        <v>49.2</v>
      </c>
      <c r="C7" s="1">
        <f t="shared" si="1"/>
        <v>50.162499999999987</v>
      </c>
      <c r="D7" s="1">
        <f t="shared" si="1"/>
        <v>48.6</v>
      </c>
    </row>
    <row r="8" spans="1:4" x14ac:dyDescent="0.25">
      <c r="A8">
        <f t="shared" si="0"/>
        <v>1871</v>
      </c>
      <c r="B8" s="1">
        <v>51</v>
      </c>
      <c r="C8" s="1">
        <f t="shared" si="1"/>
        <v>50.162499999999987</v>
      </c>
      <c r="D8" s="1">
        <f t="shared" si="1"/>
        <v>48.6</v>
      </c>
    </row>
    <row r="9" spans="1:4" x14ac:dyDescent="0.25">
      <c r="A9">
        <f t="shared" si="0"/>
        <v>1872</v>
      </c>
      <c r="B9" s="1">
        <v>50</v>
      </c>
      <c r="C9" s="1">
        <f t="shared" si="1"/>
        <v>50.162499999999987</v>
      </c>
      <c r="D9" s="1">
        <f t="shared" si="1"/>
        <v>48.6</v>
      </c>
    </row>
    <row r="10" spans="1:4" x14ac:dyDescent="0.25">
      <c r="A10">
        <f t="shared" si="0"/>
        <v>1873</v>
      </c>
      <c r="B10" s="1">
        <v>52.3</v>
      </c>
      <c r="C10" s="1">
        <f t="shared" si="1"/>
        <v>50.162499999999987</v>
      </c>
      <c r="D10" s="1">
        <f t="shared" si="1"/>
        <v>48.6</v>
      </c>
    </row>
    <row r="11" spans="1:4" x14ac:dyDescent="0.25">
      <c r="A11">
        <f t="shared" si="0"/>
        <v>1874</v>
      </c>
      <c r="B11" s="1">
        <v>51.4</v>
      </c>
      <c r="C11" s="1">
        <f t="shared" si="1"/>
        <v>50.162499999999987</v>
      </c>
      <c r="D11" s="1">
        <f t="shared" si="1"/>
        <v>48.6</v>
      </c>
    </row>
    <row r="12" spans="1:4" x14ac:dyDescent="0.25">
      <c r="A12">
        <f t="shared" si="0"/>
        <v>1875</v>
      </c>
      <c r="B12" s="1">
        <v>51.5</v>
      </c>
      <c r="C12" s="1">
        <f t="shared" si="1"/>
        <v>50.162499999999987</v>
      </c>
      <c r="D12" s="1">
        <f t="shared" si="1"/>
        <v>48.6</v>
      </c>
    </row>
    <row r="13" spans="1:4" x14ac:dyDescent="0.25">
      <c r="A13">
        <f t="shared" si="0"/>
        <v>1876</v>
      </c>
      <c r="B13" s="1">
        <v>50.6</v>
      </c>
      <c r="C13" s="1">
        <f t="shared" si="1"/>
        <v>50.162499999999987</v>
      </c>
      <c r="D13" s="1">
        <f t="shared" si="1"/>
        <v>48.6</v>
      </c>
    </row>
    <row r="14" spans="1:4" x14ac:dyDescent="0.25">
      <c r="A14">
        <f t="shared" si="0"/>
        <v>1877</v>
      </c>
      <c r="B14" s="1">
        <v>49.6</v>
      </c>
      <c r="C14" s="1">
        <f t="shared" si="1"/>
        <v>50.162499999999987</v>
      </c>
      <c r="D14" s="1">
        <f t="shared" si="1"/>
        <v>48.6</v>
      </c>
    </row>
    <row r="15" spans="1:4" x14ac:dyDescent="0.25">
      <c r="A15">
        <f t="shared" si="0"/>
        <v>1878</v>
      </c>
      <c r="B15" s="1">
        <v>47.3</v>
      </c>
      <c r="C15" s="1">
        <f t="shared" si="1"/>
        <v>50.162499999999987</v>
      </c>
      <c r="D15" s="1">
        <f t="shared" si="1"/>
        <v>48.6</v>
      </c>
    </row>
    <row r="16" spans="1:4" x14ac:dyDescent="0.25">
      <c r="A16">
        <f t="shared" si="0"/>
        <v>1879</v>
      </c>
      <c r="B16" s="1">
        <v>50.2</v>
      </c>
      <c r="C16" s="1">
        <f t="shared" si="1"/>
        <v>50.162499999999987</v>
      </c>
      <c r="D16" s="1">
        <f t="shared" si="1"/>
        <v>48.6</v>
      </c>
    </row>
    <row r="17" spans="1:4" x14ac:dyDescent="0.25">
      <c r="A17">
        <f t="shared" si="0"/>
        <v>1880</v>
      </c>
      <c r="B17" s="1">
        <v>49.7</v>
      </c>
      <c r="C17" s="1">
        <f t="shared" si="1"/>
        <v>50.162499999999987</v>
      </c>
      <c r="D17" s="1">
        <f t="shared" si="1"/>
        <v>48.6</v>
      </c>
    </row>
    <row r="18" spans="1:4" x14ac:dyDescent="0.25">
      <c r="A18">
        <f t="shared" si="0"/>
        <v>1881</v>
      </c>
      <c r="B18" s="1">
        <v>49.1</v>
      </c>
      <c r="C18" s="1">
        <f t="shared" si="1"/>
        <v>50.162499999999987</v>
      </c>
      <c r="D18" s="1">
        <f t="shared" si="1"/>
        <v>48.6</v>
      </c>
    </row>
    <row r="19" spans="1:4" x14ac:dyDescent="0.25">
      <c r="A19">
        <f t="shared" si="0"/>
        <v>1882</v>
      </c>
      <c r="B19" s="1">
        <v>51.6</v>
      </c>
      <c r="C19" s="1">
        <f t="shared" si="1"/>
        <v>50.162499999999987</v>
      </c>
      <c r="D19" s="1">
        <f t="shared" si="1"/>
        <v>48.6</v>
      </c>
    </row>
    <row r="20" spans="1:4" x14ac:dyDescent="0.25">
      <c r="A20">
        <f t="shared" si="0"/>
        <v>1883</v>
      </c>
      <c r="B20" s="1">
        <v>50.6</v>
      </c>
      <c r="C20" s="1">
        <f t="shared" si="1"/>
        <v>50.162499999999987</v>
      </c>
      <c r="D20" s="1">
        <f t="shared" si="1"/>
        <v>48.6</v>
      </c>
    </row>
    <row r="21" spans="1:4" x14ac:dyDescent="0.25">
      <c r="A21">
        <f t="shared" si="0"/>
        <v>1884</v>
      </c>
      <c r="B21" s="1">
        <v>51.5</v>
      </c>
      <c r="C21" s="1">
        <f t="shared" si="1"/>
        <v>50.162499999999987</v>
      </c>
      <c r="D21" s="1">
        <f t="shared" si="1"/>
        <v>48.6</v>
      </c>
    </row>
    <row r="22" spans="1:4" x14ac:dyDescent="0.25">
      <c r="A22">
        <f t="shared" si="0"/>
        <v>1885</v>
      </c>
      <c r="B22" s="1">
        <v>50</v>
      </c>
      <c r="C22" s="1">
        <f t="shared" si="1"/>
        <v>50.162499999999987</v>
      </c>
      <c r="D22" s="1">
        <f t="shared" si="1"/>
        <v>48.6</v>
      </c>
    </row>
    <row r="23" spans="1:4" x14ac:dyDescent="0.25">
      <c r="A23">
        <f t="shared" si="0"/>
        <v>1886</v>
      </c>
      <c r="B23" s="1">
        <v>49.5</v>
      </c>
      <c r="C23" s="1">
        <f t="shared" si="1"/>
        <v>50.162499999999987</v>
      </c>
      <c r="D23" s="1">
        <f t="shared" si="1"/>
        <v>48.6</v>
      </c>
    </row>
    <row r="24" spans="1:4" x14ac:dyDescent="0.25">
      <c r="A24">
        <f t="shared" si="0"/>
        <v>1887</v>
      </c>
      <c r="B24" s="1">
        <v>49.9</v>
      </c>
      <c r="C24" s="1">
        <f t="shared" si="1"/>
        <v>50.162499999999987</v>
      </c>
      <c r="D24" s="1">
        <f t="shared" si="1"/>
        <v>48.6</v>
      </c>
    </row>
    <row r="25" spans="1:4" x14ac:dyDescent="0.25">
      <c r="A25">
        <f t="shared" si="0"/>
        <v>1888</v>
      </c>
      <c r="B25" s="1">
        <v>51.6</v>
      </c>
      <c r="C25" s="1">
        <f t="shared" si="1"/>
        <v>50.162499999999987</v>
      </c>
      <c r="D25" s="1">
        <f t="shared" si="1"/>
        <v>48.6</v>
      </c>
    </row>
    <row r="26" spans="1:4" x14ac:dyDescent="0.25">
      <c r="A26">
        <f t="shared" si="0"/>
        <v>1889</v>
      </c>
      <c r="B26" s="1">
        <v>50.3</v>
      </c>
      <c r="C26" s="1">
        <f t="shared" si="1"/>
        <v>50.162499999999987</v>
      </c>
      <c r="D26" s="1">
        <f t="shared" si="1"/>
        <v>48.6</v>
      </c>
    </row>
    <row r="27" spans="1:4" x14ac:dyDescent="0.25">
      <c r="A27">
        <f t="shared" si="0"/>
        <v>1890</v>
      </c>
      <c r="B27" s="1">
        <v>49.6</v>
      </c>
      <c r="C27" s="1">
        <f t="shared" si="1"/>
        <v>50.162499999999987</v>
      </c>
      <c r="D27" s="1">
        <f t="shared" si="1"/>
        <v>48.6</v>
      </c>
    </row>
    <row r="28" spans="1:4" x14ac:dyDescent="0.25">
      <c r="A28">
        <f t="shared" si="0"/>
        <v>1891</v>
      </c>
      <c r="B28" s="1">
        <v>50.6</v>
      </c>
      <c r="C28" s="1">
        <f t="shared" si="1"/>
        <v>50.162499999999987</v>
      </c>
      <c r="D28" s="1">
        <f t="shared" si="1"/>
        <v>48.6</v>
      </c>
    </row>
    <row r="29" spans="1:4" x14ac:dyDescent="0.25">
      <c r="A29">
        <f t="shared" si="0"/>
        <v>1892</v>
      </c>
      <c r="B29" s="1">
        <v>46</v>
      </c>
      <c r="C29" s="1">
        <f t="shared" si="1"/>
        <v>50.162499999999987</v>
      </c>
      <c r="D29" s="1">
        <f t="shared" si="1"/>
        <v>48.6</v>
      </c>
    </row>
    <row r="30" spans="1:4" x14ac:dyDescent="0.25">
      <c r="A30">
        <f t="shared" si="0"/>
        <v>1893</v>
      </c>
      <c r="B30" s="1">
        <v>48.8</v>
      </c>
      <c r="C30" s="1">
        <f t="shared" si="1"/>
        <v>50.162499999999987</v>
      </c>
      <c r="D30" s="1">
        <f t="shared" si="1"/>
        <v>48.6</v>
      </c>
    </row>
    <row r="31" spans="1:4" x14ac:dyDescent="0.25">
      <c r="A31">
        <f t="shared" si="0"/>
        <v>1894</v>
      </c>
      <c r="B31" s="1">
        <v>49.2</v>
      </c>
      <c r="C31" s="1">
        <f t="shared" si="1"/>
        <v>50.162499999999987</v>
      </c>
      <c r="D31" s="1">
        <f t="shared" si="1"/>
        <v>48.6</v>
      </c>
    </row>
    <row r="32" spans="1:4" x14ac:dyDescent="0.25">
      <c r="A32">
        <f t="shared" si="0"/>
        <v>1895</v>
      </c>
      <c r="B32" s="1">
        <v>50.1</v>
      </c>
      <c r="C32" s="1">
        <f t="shared" si="1"/>
        <v>50.162499999999987</v>
      </c>
      <c r="D32" s="1">
        <f t="shared" si="1"/>
        <v>48.6</v>
      </c>
    </row>
    <row r="33" spans="1:4" x14ac:dyDescent="0.25">
      <c r="A33">
        <f t="shared" si="0"/>
        <v>1896</v>
      </c>
      <c r="B33" s="1">
        <v>50.4</v>
      </c>
      <c r="C33" s="1">
        <f t="shared" si="1"/>
        <v>50.162499999999987</v>
      </c>
      <c r="D33" s="1">
        <f t="shared" si="1"/>
        <v>48.6</v>
      </c>
    </row>
    <row r="34" spans="1:4" x14ac:dyDescent="0.25">
      <c r="A34">
        <f t="shared" si="0"/>
        <v>1897</v>
      </c>
      <c r="B34" s="1">
        <v>50</v>
      </c>
      <c r="C34" s="1">
        <f t="shared" si="1"/>
        <v>50.162499999999987</v>
      </c>
      <c r="D34" s="1">
        <f t="shared" si="1"/>
        <v>48.6</v>
      </c>
    </row>
    <row r="35" spans="1:4" x14ac:dyDescent="0.25">
      <c r="A35">
        <f t="shared" si="0"/>
        <v>1898</v>
      </c>
      <c r="B35" s="1">
        <v>48.6</v>
      </c>
      <c r="C35" s="1">
        <f t="shared" si="1"/>
        <v>50.162499999999987</v>
      </c>
      <c r="D35" s="1">
        <f t="shared" si="1"/>
        <v>48.6</v>
      </c>
    </row>
    <row r="36" spans="1:4" x14ac:dyDescent="0.25">
      <c r="A36">
        <f t="shared" si="0"/>
        <v>1899</v>
      </c>
      <c r="B36" s="1">
        <v>49.3</v>
      </c>
      <c r="C36" s="1">
        <f t="shared" si="1"/>
        <v>50.162499999999987</v>
      </c>
      <c r="D36" s="1">
        <f t="shared" si="1"/>
        <v>48.6</v>
      </c>
    </row>
    <row r="37" spans="1:4" x14ac:dyDescent="0.25">
      <c r="A37">
        <f t="shared" si="0"/>
        <v>1900</v>
      </c>
      <c r="B37" s="1">
        <v>49.3</v>
      </c>
      <c r="C37" s="1">
        <f t="shared" si="1"/>
        <v>50.162499999999987</v>
      </c>
      <c r="D37" s="1">
        <f t="shared" si="1"/>
        <v>48.6</v>
      </c>
    </row>
    <row r="38" spans="1:4" x14ac:dyDescent="0.25">
      <c r="A38">
        <f t="shared" si="0"/>
        <v>1901</v>
      </c>
      <c r="B38" s="1">
        <v>47.9</v>
      </c>
      <c r="C38" s="1">
        <f t="shared" si="1"/>
        <v>50.162499999999987</v>
      </c>
      <c r="D38" s="1">
        <f t="shared" si="1"/>
        <v>48.6</v>
      </c>
    </row>
    <row r="39" spans="1:4" x14ac:dyDescent="0.25">
      <c r="A39">
        <f t="shared" si="0"/>
        <v>1902</v>
      </c>
      <c r="B39" s="1">
        <v>49.1</v>
      </c>
      <c r="C39" s="1">
        <f t="shared" si="1"/>
        <v>50.162499999999987</v>
      </c>
      <c r="D39" s="1">
        <f t="shared" si="1"/>
        <v>48.6</v>
      </c>
    </row>
    <row r="40" spans="1:4" x14ac:dyDescent="0.25">
      <c r="A40">
        <f t="shared" si="0"/>
        <v>1903</v>
      </c>
      <c r="B40" s="1">
        <v>48.1</v>
      </c>
      <c r="C40" s="1">
        <f t="shared" si="1"/>
        <v>50.162499999999987</v>
      </c>
      <c r="D40" s="1">
        <f t="shared" si="1"/>
        <v>48.6</v>
      </c>
    </row>
    <row r="41" spans="1:4" x14ac:dyDescent="0.25">
      <c r="A41">
        <f t="shared" si="0"/>
        <v>1904</v>
      </c>
      <c r="B41" s="1">
        <v>48.6</v>
      </c>
      <c r="C41" s="1">
        <f t="shared" si="1"/>
        <v>50.162499999999987</v>
      </c>
      <c r="D41" s="1">
        <f t="shared" si="1"/>
        <v>48.6</v>
      </c>
    </row>
    <row r="42" spans="1:4" x14ac:dyDescent="0.25">
      <c r="A42">
        <f t="shared" si="0"/>
        <v>1905</v>
      </c>
      <c r="B42" s="1">
        <v>44.9</v>
      </c>
      <c r="C42" s="1">
        <f t="shared" si="1"/>
        <v>50.162499999999987</v>
      </c>
      <c r="D42" s="1">
        <f t="shared" si="1"/>
        <v>48.6</v>
      </c>
    </row>
    <row r="43" spans="1:4" x14ac:dyDescent="0.25">
      <c r="A43">
        <f t="shared" si="0"/>
        <v>1906</v>
      </c>
      <c r="B43" s="1">
        <v>47</v>
      </c>
      <c r="C43" s="1">
        <f t="shared" si="1"/>
        <v>50.162499999999987</v>
      </c>
      <c r="D43" s="1">
        <f t="shared" si="1"/>
        <v>48.6</v>
      </c>
    </row>
    <row r="44" spans="1:4" x14ac:dyDescent="0.25">
      <c r="A44">
        <f t="shared" si="0"/>
        <v>1907</v>
      </c>
      <c r="B44" s="1">
        <v>47.2</v>
      </c>
      <c r="C44" s="1">
        <f t="shared" si="1"/>
        <v>50.162499999999987</v>
      </c>
      <c r="D44" s="1">
        <f t="shared" si="1"/>
        <v>48.6</v>
      </c>
    </row>
    <row r="45" spans="1:4" x14ac:dyDescent="0.25">
      <c r="A45">
        <f t="shared" si="0"/>
        <v>1908</v>
      </c>
      <c r="B45" s="1">
        <v>44.7</v>
      </c>
      <c r="C45" s="1">
        <f t="shared" si="1"/>
        <v>50.162499999999987</v>
      </c>
      <c r="D45" s="1">
        <f t="shared" si="1"/>
        <v>48.6</v>
      </c>
    </row>
    <row r="46" spans="1:4" x14ac:dyDescent="0.25">
      <c r="A46">
        <f t="shared" si="0"/>
        <v>1909</v>
      </c>
      <c r="B46" s="1">
        <v>44.7</v>
      </c>
      <c r="C46" s="1">
        <f t="shared" si="1"/>
        <v>50.162499999999987</v>
      </c>
      <c r="D46" s="1">
        <f t="shared" si="1"/>
        <v>48.6</v>
      </c>
    </row>
    <row r="47" spans="1:4" x14ac:dyDescent="0.25">
      <c r="A47">
        <f t="shared" si="0"/>
        <v>1910</v>
      </c>
      <c r="B47" s="1">
        <v>45.1</v>
      </c>
      <c r="C47" s="1">
        <f t="shared" si="1"/>
        <v>50.162499999999987</v>
      </c>
      <c r="D47" s="1">
        <f t="shared" si="1"/>
        <v>48.6</v>
      </c>
    </row>
    <row r="48" spans="1:4" x14ac:dyDescent="0.25">
      <c r="A48">
        <f t="shared" si="0"/>
        <v>1911</v>
      </c>
      <c r="B48" s="1">
        <v>45</v>
      </c>
      <c r="C48" s="1">
        <f t="shared" si="1"/>
        <v>50.162499999999987</v>
      </c>
      <c r="D48" s="1">
        <f t="shared" si="1"/>
        <v>48.6</v>
      </c>
    </row>
    <row r="49" spans="1:4" x14ac:dyDescent="0.25">
      <c r="A49">
        <f t="shared" si="0"/>
        <v>1912</v>
      </c>
      <c r="B49" s="1">
        <v>43.7</v>
      </c>
      <c r="C49" s="1">
        <f t="shared" si="1"/>
        <v>50.162499999999987</v>
      </c>
      <c r="D49" s="1">
        <f t="shared" si="1"/>
        <v>48.6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D27B-3BC1-48C7-B361-9677CB9E8AEE}">
  <dimension ref="A1:D49"/>
  <sheetViews>
    <sheetView workbookViewId="0">
      <selection activeCell="A2" sqref="A2"/>
    </sheetView>
  </sheetViews>
  <sheetFormatPr defaultRowHeight="15" x14ac:dyDescent="0.25"/>
  <sheetData>
    <row r="1" spans="1:4" ht="18.75" x14ac:dyDescent="0.3">
      <c r="A1" s="4" t="s">
        <v>30</v>
      </c>
    </row>
    <row r="3" spans="1:4" x14ac:dyDescent="0.25">
      <c r="A3" s="3" t="s">
        <v>0</v>
      </c>
      <c r="B3" s="3" t="s">
        <v>11</v>
      </c>
      <c r="C3" s="3" t="s">
        <v>8</v>
      </c>
      <c r="D3" s="3" t="s">
        <v>9</v>
      </c>
    </row>
    <row r="4" spans="1:4" x14ac:dyDescent="0.25">
      <c r="A4">
        <v>1867</v>
      </c>
      <c r="B4" s="1">
        <v>36.799999999999997</v>
      </c>
      <c r="C4" s="1">
        <f>AVERAGE(B4:B33)</f>
        <v>36.093333333333334</v>
      </c>
      <c r="D4" s="1">
        <f>MIN(B4:B33)</f>
        <v>33.200000000000003</v>
      </c>
    </row>
    <row r="5" spans="1:4" x14ac:dyDescent="0.25">
      <c r="A5">
        <f t="shared" ref="A5:A49" si="0">A4+1</f>
        <v>1868</v>
      </c>
      <c r="B5" s="1">
        <v>39.700000000000003</v>
      </c>
      <c r="C5" s="1">
        <f>C4</f>
        <v>36.093333333333334</v>
      </c>
      <c r="D5" s="1">
        <f>D4</f>
        <v>33.200000000000003</v>
      </c>
    </row>
    <row r="6" spans="1:4" x14ac:dyDescent="0.25">
      <c r="A6">
        <f t="shared" si="0"/>
        <v>1869</v>
      </c>
      <c r="B6" s="1">
        <v>38.299999999999997</v>
      </c>
      <c r="C6" s="1">
        <f t="shared" ref="C6:C49" si="1">C5</f>
        <v>36.093333333333334</v>
      </c>
      <c r="D6" s="1">
        <f t="shared" ref="D6:D49" si="2">D5</f>
        <v>33.200000000000003</v>
      </c>
    </row>
    <row r="7" spans="1:4" x14ac:dyDescent="0.25">
      <c r="A7">
        <f t="shared" si="0"/>
        <v>1870</v>
      </c>
      <c r="B7" s="1">
        <v>35</v>
      </c>
      <c r="C7" s="1">
        <f t="shared" si="1"/>
        <v>36.093333333333334</v>
      </c>
      <c r="D7" s="1">
        <f t="shared" si="2"/>
        <v>33.200000000000003</v>
      </c>
    </row>
    <row r="8" spans="1:4" x14ac:dyDescent="0.25">
      <c r="A8">
        <f t="shared" si="0"/>
        <v>1871</v>
      </c>
      <c r="B8" s="1">
        <v>37.9</v>
      </c>
      <c r="C8" s="1">
        <f t="shared" si="1"/>
        <v>36.093333333333334</v>
      </c>
      <c r="D8" s="1">
        <f t="shared" si="2"/>
        <v>33.200000000000003</v>
      </c>
    </row>
    <row r="9" spans="1:4" x14ac:dyDescent="0.25">
      <c r="A9">
        <f t="shared" si="0"/>
        <v>1872</v>
      </c>
      <c r="B9" s="1">
        <v>41.2</v>
      </c>
      <c r="C9" s="1">
        <f t="shared" si="1"/>
        <v>36.093333333333334</v>
      </c>
      <c r="D9" s="1">
        <f t="shared" si="2"/>
        <v>33.200000000000003</v>
      </c>
    </row>
    <row r="10" spans="1:4" x14ac:dyDescent="0.25">
      <c r="A10">
        <f t="shared" si="0"/>
        <v>1873</v>
      </c>
      <c r="B10" s="1">
        <v>36.5</v>
      </c>
      <c r="C10" s="1">
        <f t="shared" si="1"/>
        <v>36.093333333333334</v>
      </c>
      <c r="D10" s="1">
        <f t="shared" si="2"/>
        <v>33.200000000000003</v>
      </c>
    </row>
    <row r="11" spans="1:4" x14ac:dyDescent="0.25">
      <c r="A11">
        <f t="shared" si="0"/>
        <v>1874</v>
      </c>
      <c r="B11" s="1">
        <v>35.200000000000003</v>
      </c>
      <c r="C11" s="1">
        <f t="shared" si="1"/>
        <v>36.093333333333334</v>
      </c>
      <c r="D11" s="1">
        <f t="shared" si="2"/>
        <v>33.200000000000003</v>
      </c>
    </row>
    <row r="12" spans="1:4" x14ac:dyDescent="0.25">
      <c r="A12">
        <f t="shared" si="0"/>
        <v>1875</v>
      </c>
      <c r="B12" s="1">
        <v>34.6</v>
      </c>
      <c r="C12" s="1">
        <f t="shared" si="1"/>
        <v>36.093333333333334</v>
      </c>
      <c r="D12" s="1">
        <f t="shared" si="2"/>
        <v>33.200000000000003</v>
      </c>
    </row>
    <row r="13" spans="1:4" x14ac:dyDescent="0.25">
      <c r="A13">
        <f t="shared" si="0"/>
        <v>1876</v>
      </c>
      <c r="B13" s="1">
        <v>34.9</v>
      </c>
      <c r="C13" s="1">
        <f t="shared" si="1"/>
        <v>36.093333333333334</v>
      </c>
      <c r="D13" s="1">
        <f t="shared" si="2"/>
        <v>33.200000000000003</v>
      </c>
    </row>
    <row r="14" spans="1:4" x14ac:dyDescent="0.25">
      <c r="A14">
        <f t="shared" si="0"/>
        <v>1877</v>
      </c>
      <c r="B14" s="1">
        <v>34.4</v>
      </c>
      <c r="C14" s="1">
        <f t="shared" si="1"/>
        <v>36.093333333333334</v>
      </c>
      <c r="D14" s="1">
        <f t="shared" si="2"/>
        <v>33.200000000000003</v>
      </c>
    </row>
    <row r="15" spans="1:4" x14ac:dyDescent="0.25">
      <c r="A15">
        <f t="shared" si="0"/>
        <v>1878</v>
      </c>
      <c r="B15" s="1">
        <v>38.200000000000003</v>
      </c>
      <c r="C15" s="1">
        <f t="shared" si="1"/>
        <v>36.093333333333334</v>
      </c>
      <c r="D15" s="1">
        <f t="shared" si="2"/>
        <v>33.200000000000003</v>
      </c>
    </row>
    <row r="16" spans="1:4" x14ac:dyDescent="0.25">
      <c r="A16">
        <f t="shared" si="0"/>
        <v>1879</v>
      </c>
      <c r="B16" s="1">
        <v>34.799999999999997</v>
      </c>
      <c r="C16" s="1">
        <f t="shared" si="1"/>
        <v>36.093333333333334</v>
      </c>
      <c r="D16" s="1">
        <f t="shared" si="2"/>
        <v>33.200000000000003</v>
      </c>
    </row>
    <row r="17" spans="1:4" x14ac:dyDescent="0.25">
      <c r="A17">
        <f t="shared" si="0"/>
        <v>1880</v>
      </c>
      <c r="B17" s="1">
        <v>36.1</v>
      </c>
      <c r="C17" s="1">
        <f t="shared" si="1"/>
        <v>36.093333333333334</v>
      </c>
      <c r="D17" s="1">
        <f t="shared" si="2"/>
        <v>33.200000000000003</v>
      </c>
    </row>
    <row r="18" spans="1:4" x14ac:dyDescent="0.25">
      <c r="A18">
        <f t="shared" si="0"/>
        <v>1881</v>
      </c>
      <c r="B18" s="1">
        <v>34.1</v>
      </c>
      <c r="C18" s="1">
        <f t="shared" si="1"/>
        <v>36.093333333333334</v>
      </c>
      <c r="D18" s="1">
        <f t="shared" si="2"/>
        <v>33.200000000000003</v>
      </c>
    </row>
    <row r="19" spans="1:4" x14ac:dyDescent="0.25">
      <c r="A19">
        <f t="shared" si="0"/>
        <v>1882</v>
      </c>
      <c r="B19" s="1">
        <v>40.4</v>
      </c>
      <c r="C19" s="1">
        <f t="shared" si="1"/>
        <v>36.093333333333334</v>
      </c>
      <c r="D19" s="1">
        <f t="shared" si="2"/>
        <v>33.200000000000003</v>
      </c>
    </row>
    <row r="20" spans="1:4" x14ac:dyDescent="0.25">
      <c r="A20">
        <f t="shared" si="0"/>
        <v>1883</v>
      </c>
      <c r="B20" s="1">
        <v>37.5</v>
      </c>
      <c r="C20" s="1">
        <f t="shared" si="1"/>
        <v>36.093333333333334</v>
      </c>
      <c r="D20" s="1">
        <f t="shared" si="2"/>
        <v>33.200000000000003</v>
      </c>
    </row>
    <row r="21" spans="1:4" x14ac:dyDescent="0.25">
      <c r="A21">
        <f t="shared" si="0"/>
        <v>1884</v>
      </c>
      <c r="B21" s="1">
        <v>34.5</v>
      </c>
      <c r="C21" s="1">
        <f t="shared" si="1"/>
        <v>36.093333333333334</v>
      </c>
      <c r="D21" s="1">
        <f t="shared" si="2"/>
        <v>33.200000000000003</v>
      </c>
    </row>
    <row r="22" spans="1:4" x14ac:dyDescent="0.25">
      <c r="A22">
        <f t="shared" si="0"/>
        <v>1885</v>
      </c>
      <c r="B22" s="1">
        <v>35.799999999999997</v>
      </c>
      <c r="C22" s="1">
        <f t="shared" si="1"/>
        <v>36.093333333333334</v>
      </c>
      <c r="D22" s="1">
        <f t="shared" si="2"/>
        <v>33.200000000000003</v>
      </c>
    </row>
    <row r="23" spans="1:4" x14ac:dyDescent="0.25">
      <c r="A23">
        <f t="shared" si="0"/>
        <v>1886</v>
      </c>
      <c r="B23" s="1">
        <v>33.200000000000003</v>
      </c>
      <c r="C23" s="1">
        <f t="shared" si="1"/>
        <v>36.093333333333334</v>
      </c>
      <c r="D23" s="1">
        <f t="shared" si="2"/>
        <v>33.200000000000003</v>
      </c>
    </row>
    <row r="24" spans="1:4" x14ac:dyDescent="0.25">
      <c r="A24">
        <f t="shared" si="0"/>
        <v>1887</v>
      </c>
      <c r="B24" s="1">
        <v>33.799999999999997</v>
      </c>
      <c r="C24" s="1">
        <f t="shared" si="1"/>
        <v>36.093333333333334</v>
      </c>
      <c r="D24" s="1">
        <f t="shared" si="2"/>
        <v>33.200000000000003</v>
      </c>
    </row>
    <row r="25" spans="1:4" x14ac:dyDescent="0.25">
      <c r="A25">
        <f t="shared" si="0"/>
        <v>1888</v>
      </c>
      <c r="B25" s="1">
        <v>33.4</v>
      </c>
      <c r="C25" s="1">
        <f t="shared" si="1"/>
        <v>36.093333333333334</v>
      </c>
      <c r="D25" s="1">
        <f t="shared" si="2"/>
        <v>33.200000000000003</v>
      </c>
    </row>
    <row r="26" spans="1:4" x14ac:dyDescent="0.25">
      <c r="A26">
        <f t="shared" si="0"/>
        <v>1889</v>
      </c>
      <c r="B26" s="1">
        <v>35.5</v>
      </c>
      <c r="C26" s="1">
        <f t="shared" si="1"/>
        <v>36.093333333333334</v>
      </c>
      <c r="D26" s="1">
        <f t="shared" si="2"/>
        <v>33.200000000000003</v>
      </c>
    </row>
    <row r="27" spans="1:4" x14ac:dyDescent="0.25">
      <c r="A27">
        <f t="shared" si="0"/>
        <v>1890</v>
      </c>
      <c r="B27" s="1">
        <v>36.700000000000003</v>
      </c>
      <c r="C27" s="1">
        <f t="shared" si="1"/>
        <v>36.093333333333334</v>
      </c>
      <c r="D27" s="1">
        <f t="shared" si="2"/>
        <v>33.200000000000003</v>
      </c>
    </row>
    <row r="28" spans="1:4" x14ac:dyDescent="0.25">
      <c r="A28">
        <f t="shared" si="0"/>
        <v>1891</v>
      </c>
      <c r="B28" s="1">
        <v>35.799999999999997</v>
      </c>
      <c r="C28" s="1">
        <f t="shared" si="1"/>
        <v>36.093333333333334</v>
      </c>
      <c r="D28" s="1">
        <f t="shared" si="2"/>
        <v>33.200000000000003</v>
      </c>
    </row>
    <row r="29" spans="1:4" x14ac:dyDescent="0.25">
      <c r="A29">
        <f t="shared" si="0"/>
        <v>1892</v>
      </c>
      <c r="B29" s="1">
        <v>41</v>
      </c>
      <c r="C29" s="1">
        <f t="shared" si="1"/>
        <v>36.093333333333334</v>
      </c>
      <c r="D29" s="1">
        <f t="shared" si="2"/>
        <v>33.200000000000003</v>
      </c>
    </row>
    <row r="30" spans="1:4" x14ac:dyDescent="0.25">
      <c r="A30">
        <f t="shared" si="0"/>
        <v>1893</v>
      </c>
      <c r="B30" s="1">
        <v>34.4</v>
      </c>
      <c r="C30" s="1">
        <f t="shared" si="1"/>
        <v>36.093333333333334</v>
      </c>
      <c r="D30" s="1">
        <f t="shared" si="2"/>
        <v>33.200000000000003</v>
      </c>
    </row>
    <row r="31" spans="1:4" x14ac:dyDescent="0.25">
      <c r="A31">
        <f t="shared" si="0"/>
        <v>1894</v>
      </c>
      <c r="B31" s="1">
        <v>34.299999999999997</v>
      </c>
      <c r="C31" s="1">
        <f t="shared" si="1"/>
        <v>36.093333333333334</v>
      </c>
      <c r="D31" s="1">
        <f t="shared" si="2"/>
        <v>33.200000000000003</v>
      </c>
    </row>
    <row r="32" spans="1:4" x14ac:dyDescent="0.25">
      <c r="A32">
        <f t="shared" si="0"/>
        <v>1895</v>
      </c>
      <c r="B32" s="1">
        <v>35.5</v>
      </c>
      <c r="C32" s="1">
        <f t="shared" si="1"/>
        <v>36.093333333333334</v>
      </c>
      <c r="D32" s="1">
        <f t="shared" si="2"/>
        <v>33.200000000000003</v>
      </c>
    </row>
    <row r="33" spans="1:4" x14ac:dyDescent="0.25">
      <c r="A33">
        <f t="shared" si="0"/>
        <v>1896</v>
      </c>
      <c r="B33" s="1">
        <v>33.299999999999997</v>
      </c>
      <c r="C33" s="1">
        <f t="shared" si="1"/>
        <v>36.093333333333334</v>
      </c>
      <c r="D33" s="1">
        <f t="shared" si="2"/>
        <v>33.200000000000003</v>
      </c>
    </row>
    <row r="34" spans="1:4" x14ac:dyDescent="0.25">
      <c r="A34">
        <f t="shared" si="0"/>
        <v>1897</v>
      </c>
      <c r="B34" s="1">
        <v>31.7</v>
      </c>
      <c r="C34" s="1">
        <f t="shared" si="1"/>
        <v>36.093333333333334</v>
      </c>
      <c r="D34" s="1">
        <f t="shared" si="2"/>
        <v>33.200000000000003</v>
      </c>
    </row>
    <row r="35" spans="1:4" x14ac:dyDescent="0.25">
      <c r="A35">
        <f t="shared" si="0"/>
        <v>1898</v>
      </c>
      <c r="B35" s="1">
        <v>33.200000000000003</v>
      </c>
      <c r="C35" s="1">
        <f t="shared" si="1"/>
        <v>36.093333333333334</v>
      </c>
      <c r="D35" s="1">
        <f t="shared" si="2"/>
        <v>33.200000000000003</v>
      </c>
    </row>
    <row r="36" spans="1:4" x14ac:dyDescent="0.25">
      <c r="A36">
        <f t="shared" si="0"/>
        <v>1899</v>
      </c>
      <c r="B36" s="1">
        <v>31.2</v>
      </c>
      <c r="C36" s="1">
        <f t="shared" si="1"/>
        <v>36.093333333333334</v>
      </c>
      <c r="D36" s="1">
        <f t="shared" si="2"/>
        <v>33.200000000000003</v>
      </c>
    </row>
    <row r="37" spans="1:4" x14ac:dyDescent="0.25">
      <c r="A37">
        <f t="shared" si="0"/>
        <v>1900</v>
      </c>
      <c r="B37" s="1">
        <v>31.1</v>
      </c>
      <c r="C37" s="1">
        <f t="shared" si="1"/>
        <v>36.093333333333334</v>
      </c>
      <c r="D37" s="1">
        <f t="shared" si="2"/>
        <v>33.200000000000003</v>
      </c>
    </row>
    <row r="38" spans="1:4" x14ac:dyDescent="0.25">
      <c r="A38">
        <f t="shared" si="0"/>
        <v>1901</v>
      </c>
      <c r="B38" s="1">
        <v>32.1</v>
      </c>
      <c r="C38" s="1">
        <f t="shared" si="1"/>
        <v>36.093333333333334</v>
      </c>
      <c r="D38" s="1">
        <f t="shared" si="2"/>
        <v>33.200000000000003</v>
      </c>
    </row>
    <row r="39" spans="1:4" x14ac:dyDescent="0.25">
      <c r="A39">
        <f t="shared" si="0"/>
        <v>1902</v>
      </c>
      <c r="B39" s="1">
        <v>31.5</v>
      </c>
      <c r="C39" s="1">
        <f t="shared" si="1"/>
        <v>36.093333333333334</v>
      </c>
      <c r="D39" s="1">
        <f t="shared" si="2"/>
        <v>33.200000000000003</v>
      </c>
    </row>
    <row r="40" spans="1:4" x14ac:dyDescent="0.25">
      <c r="A40">
        <f t="shared" si="0"/>
        <v>1903</v>
      </c>
      <c r="B40" s="1">
        <v>30</v>
      </c>
      <c r="C40" s="1">
        <f t="shared" si="1"/>
        <v>36.093333333333334</v>
      </c>
      <c r="D40" s="1">
        <f t="shared" si="2"/>
        <v>33.200000000000003</v>
      </c>
    </row>
    <row r="41" spans="1:4" x14ac:dyDescent="0.25">
      <c r="A41">
        <f t="shared" si="0"/>
        <v>1904</v>
      </c>
      <c r="B41" s="1">
        <v>29.9</v>
      </c>
      <c r="C41" s="1">
        <f t="shared" si="1"/>
        <v>36.093333333333334</v>
      </c>
      <c r="D41" s="1">
        <f t="shared" si="2"/>
        <v>33.200000000000003</v>
      </c>
    </row>
    <row r="42" spans="1:4" x14ac:dyDescent="0.25">
      <c r="A42">
        <f t="shared" si="0"/>
        <v>1905</v>
      </c>
      <c r="B42" s="1">
        <v>31.8</v>
      </c>
      <c r="C42" s="1">
        <f t="shared" si="1"/>
        <v>36.093333333333334</v>
      </c>
      <c r="D42" s="1">
        <f t="shared" si="2"/>
        <v>33.200000000000003</v>
      </c>
    </row>
    <row r="43" spans="1:4" x14ac:dyDescent="0.25">
      <c r="A43">
        <f t="shared" si="0"/>
        <v>1906</v>
      </c>
      <c r="B43" s="1">
        <v>29.9</v>
      </c>
      <c r="C43" s="1">
        <f t="shared" si="1"/>
        <v>36.093333333333334</v>
      </c>
      <c r="D43" s="1">
        <f t="shared" si="2"/>
        <v>33.200000000000003</v>
      </c>
    </row>
    <row r="44" spans="1:4" x14ac:dyDescent="0.25">
      <c r="A44">
        <f t="shared" si="0"/>
        <v>1907</v>
      </c>
      <c r="B44" s="1">
        <v>28.5</v>
      </c>
      <c r="C44" s="1">
        <f t="shared" si="1"/>
        <v>36.093333333333334</v>
      </c>
      <c r="D44" s="1">
        <f t="shared" si="2"/>
        <v>33.200000000000003</v>
      </c>
    </row>
    <row r="45" spans="1:4" x14ac:dyDescent="0.25">
      <c r="A45">
        <f t="shared" si="0"/>
        <v>1908</v>
      </c>
      <c r="B45" s="1">
        <v>28.3</v>
      </c>
      <c r="C45" s="1">
        <f t="shared" si="1"/>
        <v>36.093333333333334</v>
      </c>
      <c r="D45" s="1">
        <f t="shared" si="2"/>
        <v>33.200000000000003</v>
      </c>
    </row>
    <row r="46" spans="1:4" x14ac:dyDescent="0.25">
      <c r="A46">
        <f t="shared" si="0"/>
        <v>1909</v>
      </c>
      <c r="B46" s="1">
        <v>29.5</v>
      </c>
      <c r="C46" s="1">
        <f t="shared" si="1"/>
        <v>36.093333333333334</v>
      </c>
      <c r="D46" s="1">
        <f t="shared" si="2"/>
        <v>33.200000000000003</v>
      </c>
    </row>
    <row r="47" spans="1:4" x14ac:dyDescent="0.25">
      <c r="A47">
        <f t="shared" si="0"/>
        <v>1910</v>
      </c>
      <c r="B47" s="1">
        <v>31.5</v>
      </c>
      <c r="C47" s="1">
        <f t="shared" si="1"/>
        <v>36.093333333333334</v>
      </c>
      <c r="D47" s="1">
        <f t="shared" si="2"/>
        <v>33.200000000000003</v>
      </c>
    </row>
    <row r="48" spans="1:4" x14ac:dyDescent="0.25">
      <c r="A48">
        <f t="shared" si="0"/>
        <v>1911</v>
      </c>
      <c r="B48" s="1">
        <v>27.4</v>
      </c>
      <c r="C48" s="1">
        <f t="shared" si="1"/>
        <v>36.093333333333334</v>
      </c>
      <c r="D48" s="1">
        <f t="shared" si="2"/>
        <v>33.200000000000003</v>
      </c>
    </row>
    <row r="49" spans="1:4" x14ac:dyDescent="0.25">
      <c r="A49">
        <f t="shared" si="0"/>
        <v>1912</v>
      </c>
      <c r="B49" s="1">
        <v>26.5</v>
      </c>
      <c r="C49" s="1">
        <f t="shared" si="1"/>
        <v>36.093333333333334</v>
      </c>
      <c r="D49" s="1">
        <f t="shared" si="2"/>
        <v>33.200000000000003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ADA8-FB70-482D-B319-E181B0E49C3F}">
  <dimension ref="A1:F49"/>
  <sheetViews>
    <sheetView workbookViewId="0">
      <selection activeCell="A2" sqref="A2"/>
    </sheetView>
  </sheetViews>
  <sheetFormatPr defaultRowHeight="15" x14ac:dyDescent="0.25"/>
  <cols>
    <col min="4" max="4" width="15.5703125" customWidth="1"/>
    <col min="6" max="6" width="11.140625" customWidth="1"/>
  </cols>
  <sheetData>
    <row r="1" spans="1:6" ht="18.75" x14ac:dyDescent="0.3">
      <c r="A1" s="4" t="s">
        <v>29</v>
      </c>
    </row>
    <row r="3" spans="1:6" ht="45" x14ac:dyDescent="0.25">
      <c r="A3" s="8" t="s">
        <v>0</v>
      </c>
      <c r="B3" s="8" t="s">
        <v>2</v>
      </c>
      <c r="C3" s="8" t="s">
        <v>3</v>
      </c>
      <c r="D3" s="9" t="s">
        <v>13</v>
      </c>
      <c r="E3" s="8" t="s">
        <v>8</v>
      </c>
      <c r="F3" s="9" t="s">
        <v>14</v>
      </c>
    </row>
    <row r="4" spans="1:6" x14ac:dyDescent="0.25">
      <c r="A4">
        <v>1867</v>
      </c>
      <c r="B4" s="1">
        <v>51.2</v>
      </c>
      <c r="C4" s="1">
        <v>36.799999999999997</v>
      </c>
      <c r="D4" s="1">
        <f>B4-C4</f>
        <v>14.400000000000006</v>
      </c>
      <c r="E4" s="10">
        <f>AVERAGE(D4,D6:D8,D10:D14,D16:D24,D26:D28,D30:D33)</f>
        <v>14.732000000000003</v>
      </c>
      <c r="F4" s="10">
        <f>MAX(D4,D6:D8,D10:D14,D16:D24,D26:D28,D30:D33)</f>
        <v>17.100000000000001</v>
      </c>
    </row>
    <row r="5" spans="1:6" x14ac:dyDescent="0.25">
      <c r="A5">
        <f t="shared" ref="A5:A49" si="0">A4+1</f>
        <v>1868</v>
      </c>
      <c r="B5" s="1">
        <v>48.8</v>
      </c>
      <c r="C5" s="1">
        <v>39.700000000000003</v>
      </c>
      <c r="D5" s="1">
        <f t="shared" ref="D5:D49" si="1">B5-C5</f>
        <v>9.0999999999999943</v>
      </c>
      <c r="E5" s="10">
        <f>E4</f>
        <v>14.732000000000003</v>
      </c>
      <c r="F5" s="10">
        <f>F4</f>
        <v>17.100000000000001</v>
      </c>
    </row>
    <row r="6" spans="1:6" x14ac:dyDescent="0.25">
      <c r="A6">
        <f t="shared" si="0"/>
        <v>1869</v>
      </c>
      <c r="B6" s="1">
        <v>49.7</v>
      </c>
      <c r="C6" s="1">
        <v>38.299999999999997</v>
      </c>
      <c r="D6" s="1">
        <f t="shared" si="1"/>
        <v>11.400000000000006</v>
      </c>
      <c r="E6" s="10">
        <f t="shared" ref="E6:E49" si="2">E5</f>
        <v>14.732000000000003</v>
      </c>
      <c r="F6" s="10">
        <f t="shared" ref="F6:F49" si="3">F5</f>
        <v>17.100000000000001</v>
      </c>
    </row>
    <row r="7" spans="1:6" x14ac:dyDescent="0.25">
      <c r="A7">
        <f t="shared" si="0"/>
        <v>1870</v>
      </c>
      <c r="B7" s="1">
        <v>49.2</v>
      </c>
      <c r="C7" s="1">
        <v>35</v>
      </c>
      <c r="D7" s="1">
        <f t="shared" si="1"/>
        <v>14.200000000000003</v>
      </c>
      <c r="E7" s="10">
        <f t="shared" si="2"/>
        <v>14.732000000000003</v>
      </c>
      <c r="F7" s="10">
        <f t="shared" si="3"/>
        <v>17.100000000000001</v>
      </c>
    </row>
    <row r="8" spans="1:6" x14ac:dyDescent="0.25">
      <c r="A8">
        <f t="shared" si="0"/>
        <v>1871</v>
      </c>
      <c r="B8" s="1">
        <v>51</v>
      </c>
      <c r="C8" s="1">
        <v>37.9</v>
      </c>
      <c r="D8" s="1">
        <f t="shared" si="1"/>
        <v>13.100000000000001</v>
      </c>
      <c r="E8" s="10">
        <f t="shared" si="2"/>
        <v>14.732000000000003</v>
      </c>
      <c r="F8" s="10">
        <f t="shared" si="3"/>
        <v>17.100000000000001</v>
      </c>
    </row>
    <row r="9" spans="1:6" x14ac:dyDescent="0.25">
      <c r="A9">
        <f t="shared" si="0"/>
        <v>1872</v>
      </c>
      <c r="B9" s="1">
        <v>50</v>
      </c>
      <c r="C9" s="1">
        <v>41.2</v>
      </c>
      <c r="D9" s="1">
        <f t="shared" si="1"/>
        <v>8.7999999999999972</v>
      </c>
      <c r="E9" s="10">
        <f t="shared" si="2"/>
        <v>14.732000000000003</v>
      </c>
      <c r="F9" s="10">
        <f t="shared" si="3"/>
        <v>17.100000000000001</v>
      </c>
    </row>
    <row r="10" spans="1:6" x14ac:dyDescent="0.25">
      <c r="A10">
        <f t="shared" si="0"/>
        <v>1873</v>
      </c>
      <c r="B10" s="1">
        <v>52.3</v>
      </c>
      <c r="C10" s="1">
        <v>36.5</v>
      </c>
      <c r="D10" s="1">
        <f t="shared" si="1"/>
        <v>15.799999999999997</v>
      </c>
      <c r="E10" s="10">
        <f t="shared" si="2"/>
        <v>14.732000000000003</v>
      </c>
      <c r="F10" s="10">
        <f t="shared" si="3"/>
        <v>17.100000000000001</v>
      </c>
    </row>
    <row r="11" spans="1:6" x14ac:dyDescent="0.25">
      <c r="A11">
        <f t="shared" si="0"/>
        <v>1874</v>
      </c>
      <c r="B11" s="1">
        <v>51.4</v>
      </c>
      <c r="C11" s="1">
        <v>35.200000000000003</v>
      </c>
      <c r="D11" s="1">
        <f t="shared" si="1"/>
        <v>16.199999999999996</v>
      </c>
      <c r="E11" s="10">
        <f t="shared" si="2"/>
        <v>14.732000000000003</v>
      </c>
      <c r="F11" s="10">
        <f t="shared" si="3"/>
        <v>17.100000000000001</v>
      </c>
    </row>
    <row r="12" spans="1:6" x14ac:dyDescent="0.25">
      <c r="A12">
        <f t="shared" si="0"/>
        <v>1875</v>
      </c>
      <c r="B12" s="1">
        <v>51.5</v>
      </c>
      <c r="C12" s="1">
        <v>34.6</v>
      </c>
      <c r="D12" s="1">
        <f t="shared" si="1"/>
        <v>16.899999999999999</v>
      </c>
      <c r="E12" s="10">
        <f t="shared" si="2"/>
        <v>14.732000000000003</v>
      </c>
      <c r="F12" s="10">
        <f t="shared" si="3"/>
        <v>17.100000000000001</v>
      </c>
    </row>
    <row r="13" spans="1:6" x14ac:dyDescent="0.25">
      <c r="A13">
        <f t="shared" si="0"/>
        <v>1876</v>
      </c>
      <c r="B13" s="1">
        <v>50.6</v>
      </c>
      <c r="C13" s="1">
        <v>34.9</v>
      </c>
      <c r="D13" s="1">
        <f t="shared" si="1"/>
        <v>15.700000000000003</v>
      </c>
      <c r="E13" s="10">
        <f t="shared" si="2"/>
        <v>14.732000000000003</v>
      </c>
      <c r="F13" s="10">
        <f t="shared" si="3"/>
        <v>17.100000000000001</v>
      </c>
    </row>
    <row r="14" spans="1:6" x14ac:dyDescent="0.25">
      <c r="A14">
        <f t="shared" si="0"/>
        <v>1877</v>
      </c>
      <c r="B14" s="1">
        <v>49.6</v>
      </c>
      <c r="C14" s="1">
        <v>34.4</v>
      </c>
      <c r="D14" s="1">
        <f t="shared" si="1"/>
        <v>15.200000000000003</v>
      </c>
      <c r="E14" s="10">
        <f t="shared" si="2"/>
        <v>14.732000000000003</v>
      </c>
      <c r="F14" s="10">
        <f t="shared" si="3"/>
        <v>17.100000000000001</v>
      </c>
    </row>
    <row r="15" spans="1:6" x14ac:dyDescent="0.25">
      <c r="A15">
        <f t="shared" si="0"/>
        <v>1878</v>
      </c>
      <c r="B15" s="1">
        <v>47.3</v>
      </c>
      <c r="C15" s="1">
        <v>38.200000000000003</v>
      </c>
      <c r="D15" s="1">
        <f t="shared" si="1"/>
        <v>9.0999999999999943</v>
      </c>
      <c r="E15" s="10">
        <f t="shared" si="2"/>
        <v>14.732000000000003</v>
      </c>
      <c r="F15" s="10">
        <f t="shared" si="3"/>
        <v>17.100000000000001</v>
      </c>
    </row>
    <row r="16" spans="1:6" x14ac:dyDescent="0.25">
      <c r="A16">
        <f t="shared" si="0"/>
        <v>1879</v>
      </c>
      <c r="B16" s="1">
        <v>50.2</v>
      </c>
      <c r="C16" s="1">
        <v>34.799999999999997</v>
      </c>
      <c r="D16" s="1">
        <f t="shared" si="1"/>
        <v>15.400000000000006</v>
      </c>
      <c r="E16" s="10">
        <f t="shared" si="2"/>
        <v>14.732000000000003</v>
      </c>
      <c r="F16" s="10">
        <f t="shared" si="3"/>
        <v>17.100000000000001</v>
      </c>
    </row>
    <row r="17" spans="1:6" x14ac:dyDescent="0.25">
      <c r="A17">
        <f t="shared" si="0"/>
        <v>1880</v>
      </c>
      <c r="B17" s="1">
        <v>49.7</v>
      </c>
      <c r="C17" s="1">
        <v>36.1</v>
      </c>
      <c r="D17" s="1">
        <f t="shared" si="1"/>
        <v>13.600000000000001</v>
      </c>
      <c r="E17" s="10">
        <f t="shared" si="2"/>
        <v>14.732000000000003</v>
      </c>
      <c r="F17" s="10">
        <f t="shared" si="3"/>
        <v>17.100000000000001</v>
      </c>
    </row>
    <row r="18" spans="1:6" x14ac:dyDescent="0.25">
      <c r="A18">
        <f t="shared" si="0"/>
        <v>1881</v>
      </c>
      <c r="B18" s="1">
        <v>49.1</v>
      </c>
      <c r="C18" s="1">
        <v>34.1</v>
      </c>
      <c r="D18" s="1">
        <f t="shared" si="1"/>
        <v>15</v>
      </c>
      <c r="E18" s="10">
        <f t="shared" si="2"/>
        <v>14.732000000000003</v>
      </c>
      <c r="F18" s="10">
        <f t="shared" si="3"/>
        <v>17.100000000000001</v>
      </c>
    </row>
    <row r="19" spans="1:6" x14ac:dyDescent="0.25">
      <c r="A19">
        <f t="shared" si="0"/>
        <v>1882</v>
      </c>
      <c r="B19" s="1">
        <v>51.6</v>
      </c>
      <c r="C19" s="1">
        <v>40.4</v>
      </c>
      <c r="D19" s="1">
        <f t="shared" si="1"/>
        <v>11.200000000000003</v>
      </c>
      <c r="E19" s="10">
        <f t="shared" si="2"/>
        <v>14.732000000000003</v>
      </c>
      <c r="F19" s="10">
        <f t="shared" si="3"/>
        <v>17.100000000000001</v>
      </c>
    </row>
    <row r="20" spans="1:6" x14ac:dyDescent="0.25">
      <c r="A20">
        <f t="shared" si="0"/>
        <v>1883</v>
      </c>
      <c r="B20" s="1">
        <v>50.6</v>
      </c>
      <c r="C20" s="1">
        <v>37.5</v>
      </c>
      <c r="D20" s="1">
        <f t="shared" si="1"/>
        <v>13.100000000000001</v>
      </c>
      <c r="E20" s="10">
        <f t="shared" si="2"/>
        <v>14.732000000000003</v>
      </c>
      <c r="F20" s="10">
        <f t="shared" si="3"/>
        <v>17.100000000000001</v>
      </c>
    </row>
    <row r="21" spans="1:6" x14ac:dyDescent="0.25">
      <c r="A21">
        <f t="shared" si="0"/>
        <v>1884</v>
      </c>
      <c r="B21" s="1">
        <v>51.5</v>
      </c>
      <c r="C21" s="1">
        <v>34.5</v>
      </c>
      <c r="D21" s="1">
        <f t="shared" si="1"/>
        <v>17</v>
      </c>
      <c r="E21" s="10">
        <f t="shared" si="2"/>
        <v>14.732000000000003</v>
      </c>
      <c r="F21" s="10">
        <f t="shared" si="3"/>
        <v>17.100000000000001</v>
      </c>
    </row>
    <row r="22" spans="1:6" x14ac:dyDescent="0.25">
      <c r="A22">
        <f t="shared" si="0"/>
        <v>1885</v>
      </c>
      <c r="B22" s="1">
        <v>50</v>
      </c>
      <c r="C22" s="1">
        <v>35.799999999999997</v>
      </c>
      <c r="D22" s="1">
        <f t="shared" si="1"/>
        <v>14.200000000000003</v>
      </c>
      <c r="E22" s="10">
        <f t="shared" si="2"/>
        <v>14.732000000000003</v>
      </c>
      <c r="F22" s="10">
        <f t="shared" si="3"/>
        <v>17.100000000000001</v>
      </c>
    </row>
    <row r="23" spans="1:6" x14ac:dyDescent="0.25">
      <c r="A23">
        <f t="shared" si="0"/>
        <v>1886</v>
      </c>
      <c r="B23" s="1">
        <v>49.5</v>
      </c>
      <c r="C23" s="1">
        <v>33.200000000000003</v>
      </c>
      <c r="D23" s="1">
        <f t="shared" si="1"/>
        <v>16.299999999999997</v>
      </c>
      <c r="E23" s="10">
        <f t="shared" si="2"/>
        <v>14.732000000000003</v>
      </c>
      <c r="F23" s="10">
        <f t="shared" si="3"/>
        <v>17.100000000000001</v>
      </c>
    </row>
    <row r="24" spans="1:6" x14ac:dyDescent="0.25">
      <c r="A24">
        <f t="shared" si="0"/>
        <v>1887</v>
      </c>
      <c r="B24" s="1">
        <v>49.9</v>
      </c>
      <c r="C24" s="1">
        <v>33.799999999999997</v>
      </c>
      <c r="D24" s="1">
        <f t="shared" si="1"/>
        <v>16.100000000000001</v>
      </c>
      <c r="E24" s="10">
        <f t="shared" si="2"/>
        <v>14.732000000000003</v>
      </c>
      <c r="F24" s="10">
        <f t="shared" si="3"/>
        <v>17.100000000000001</v>
      </c>
    </row>
    <row r="25" spans="1:6" x14ac:dyDescent="0.25">
      <c r="A25">
        <f t="shared" si="0"/>
        <v>1888</v>
      </c>
      <c r="B25" s="1">
        <v>51.6</v>
      </c>
      <c r="C25" s="1">
        <v>33.4</v>
      </c>
      <c r="D25" s="1">
        <f t="shared" si="1"/>
        <v>18.200000000000003</v>
      </c>
      <c r="E25" s="10">
        <f t="shared" si="2"/>
        <v>14.732000000000003</v>
      </c>
      <c r="F25" s="10">
        <f t="shared" si="3"/>
        <v>17.100000000000001</v>
      </c>
    </row>
    <row r="26" spans="1:6" x14ac:dyDescent="0.25">
      <c r="A26">
        <f t="shared" si="0"/>
        <v>1889</v>
      </c>
      <c r="B26" s="1">
        <v>50.3</v>
      </c>
      <c r="C26" s="1">
        <v>35.5</v>
      </c>
      <c r="D26" s="1">
        <f t="shared" si="1"/>
        <v>14.799999999999997</v>
      </c>
      <c r="E26" s="10">
        <f t="shared" si="2"/>
        <v>14.732000000000003</v>
      </c>
      <c r="F26" s="10">
        <f t="shared" si="3"/>
        <v>17.100000000000001</v>
      </c>
    </row>
    <row r="27" spans="1:6" x14ac:dyDescent="0.25">
      <c r="A27">
        <f t="shared" si="0"/>
        <v>1890</v>
      </c>
      <c r="B27" s="1">
        <v>49.6</v>
      </c>
      <c r="C27" s="1">
        <v>36.700000000000003</v>
      </c>
      <c r="D27" s="1">
        <f t="shared" si="1"/>
        <v>12.899999999999999</v>
      </c>
      <c r="E27" s="10">
        <f t="shared" si="2"/>
        <v>14.732000000000003</v>
      </c>
      <c r="F27" s="10">
        <f t="shared" si="3"/>
        <v>17.100000000000001</v>
      </c>
    </row>
    <row r="28" spans="1:6" x14ac:dyDescent="0.25">
      <c r="A28">
        <f t="shared" si="0"/>
        <v>1891</v>
      </c>
      <c r="B28" s="1">
        <v>50.6</v>
      </c>
      <c r="C28" s="1">
        <v>35.799999999999997</v>
      </c>
      <c r="D28" s="1">
        <f t="shared" si="1"/>
        <v>14.800000000000004</v>
      </c>
      <c r="E28" s="10">
        <f t="shared" si="2"/>
        <v>14.732000000000003</v>
      </c>
      <c r="F28" s="10">
        <f t="shared" si="3"/>
        <v>17.100000000000001</v>
      </c>
    </row>
    <row r="29" spans="1:6" x14ac:dyDescent="0.25">
      <c r="A29">
        <f t="shared" si="0"/>
        <v>1892</v>
      </c>
      <c r="B29" s="1">
        <v>46</v>
      </c>
      <c r="C29" s="1">
        <v>41</v>
      </c>
      <c r="D29" s="1">
        <f t="shared" si="1"/>
        <v>5</v>
      </c>
      <c r="E29" s="10">
        <f t="shared" si="2"/>
        <v>14.732000000000003</v>
      </c>
      <c r="F29" s="10">
        <f t="shared" si="3"/>
        <v>17.100000000000001</v>
      </c>
    </row>
    <row r="30" spans="1:6" x14ac:dyDescent="0.25">
      <c r="A30">
        <f t="shared" si="0"/>
        <v>1893</v>
      </c>
      <c r="B30" s="1">
        <v>48.8</v>
      </c>
      <c r="C30" s="1">
        <v>34.4</v>
      </c>
      <c r="D30" s="1">
        <f t="shared" si="1"/>
        <v>14.399999999999999</v>
      </c>
      <c r="E30" s="10">
        <f t="shared" si="2"/>
        <v>14.732000000000003</v>
      </c>
      <c r="F30" s="10">
        <f t="shared" si="3"/>
        <v>17.100000000000001</v>
      </c>
    </row>
    <row r="31" spans="1:6" x14ac:dyDescent="0.25">
      <c r="A31">
        <f t="shared" si="0"/>
        <v>1894</v>
      </c>
      <c r="B31" s="1">
        <v>49.2</v>
      </c>
      <c r="C31" s="1">
        <v>34.299999999999997</v>
      </c>
      <c r="D31" s="1">
        <f t="shared" si="1"/>
        <v>14.900000000000006</v>
      </c>
      <c r="E31" s="10">
        <f t="shared" si="2"/>
        <v>14.732000000000003</v>
      </c>
      <c r="F31" s="10">
        <f t="shared" si="3"/>
        <v>17.100000000000001</v>
      </c>
    </row>
    <row r="32" spans="1:6" x14ac:dyDescent="0.25">
      <c r="A32">
        <f t="shared" si="0"/>
        <v>1895</v>
      </c>
      <c r="B32" s="1">
        <v>50.1</v>
      </c>
      <c r="C32" s="1">
        <v>35.5</v>
      </c>
      <c r="D32" s="1">
        <f t="shared" si="1"/>
        <v>14.600000000000001</v>
      </c>
      <c r="E32" s="10">
        <f t="shared" si="2"/>
        <v>14.732000000000003</v>
      </c>
      <c r="F32" s="10">
        <f t="shared" si="3"/>
        <v>17.100000000000001</v>
      </c>
    </row>
    <row r="33" spans="1:6" x14ac:dyDescent="0.25">
      <c r="A33">
        <f t="shared" si="0"/>
        <v>1896</v>
      </c>
      <c r="B33" s="1">
        <v>50.4</v>
      </c>
      <c r="C33" s="1">
        <v>33.299999999999997</v>
      </c>
      <c r="D33" s="1">
        <f t="shared" si="1"/>
        <v>17.100000000000001</v>
      </c>
      <c r="E33" s="10">
        <f t="shared" si="2"/>
        <v>14.732000000000003</v>
      </c>
      <c r="F33" s="10">
        <f t="shared" si="3"/>
        <v>17.100000000000001</v>
      </c>
    </row>
    <row r="34" spans="1:6" x14ac:dyDescent="0.25">
      <c r="A34">
        <f t="shared" si="0"/>
        <v>1897</v>
      </c>
      <c r="B34" s="1">
        <v>50</v>
      </c>
      <c r="C34" s="1">
        <v>31.7</v>
      </c>
      <c r="D34" s="1">
        <f t="shared" si="1"/>
        <v>18.3</v>
      </c>
      <c r="E34" s="10">
        <f t="shared" si="2"/>
        <v>14.732000000000003</v>
      </c>
      <c r="F34" s="10">
        <f t="shared" si="3"/>
        <v>17.100000000000001</v>
      </c>
    </row>
    <row r="35" spans="1:6" x14ac:dyDescent="0.25">
      <c r="A35">
        <f t="shared" si="0"/>
        <v>1898</v>
      </c>
      <c r="B35" s="1">
        <v>48.6</v>
      </c>
      <c r="C35" s="1">
        <v>33.200000000000003</v>
      </c>
      <c r="D35" s="1">
        <f t="shared" si="1"/>
        <v>15.399999999999999</v>
      </c>
      <c r="E35" s="10">
        <f t="shared" si="2"/>
        <v>14.732000000000003</v>
      </c>
      <c r="F35" s="10">
        <f t="shared" si="3"/>
        <v>17.100000000000001</v>
      </c>
    </row>
    <row r="36" spans="1:6" x14ac:dyDescent="0.25">
      <c r="A36">
        <f t="shared" si="0"/>
        <v>1899</v>
      </c>
      <c r="B36" s="1">
        <v>49.3</v>
      </c>
      <c r="C36" s="1">
        <v>31.2</v>
      </c>
      <c r="D36" s="1">
        <f t="shared" si="1"/>
        <v>18.099999999999998</v>
      </c>
      <c r="E36" s="10">
        <f t="shared" si="2"/>
        <v>14.732000000000003</v>
      </c>
      <c r="F36" s="10">
        <f t="shared" si="3"/>
        <v>17.100000000000001</v>
      </c>
    </row>
    <row r="37" spans="1:6" x14ac:dyDescent="0.25">
      <c r="A37">
        <f t="shared" si="0"/>
        <v>1900</v>
      </c>
      <c r="B37" s="1">
        <v>49.3</v>
      </c>
      <c r="C37" s="1">
        <v>31.1</v>
      </c>
      <c r="D37" s="1">
        <f t="shared" si="1"/>
        <v>18.199999999999996</v>
      </c>
      <c r="E37" s="10">
        <f t="shared" si="2"/>
        <v>14.732000000000003</v>
      </c>
      <c r="F37" s="10">
        <f t="shared" si="3"/>
        <v>17.100000000000001</v>
      </c>
    </row>
    <row r="38" spans="1:6" x14ac:dyDescent="0.25">
      <c r="A38">
        <f t="shared" si="0"/>
        <v>1901</v>
      </c>
      <c r="B38" s="1">
        <v>47.9</v>
      </c>
      <c r="C38" s="1">
        <v>32.1</v>
      </c>
      <c r="D38" s="1">
        <f t="shared" si="1"/>
        <v>15.799999999999997</v>
      </c>
      <c r="E38" s="10">
        <f t="shared" si="2"/>
        <v>14.732000000000003</v>
      </c>
      <c r="F38" s="10">
        <f t="shared" si="3"/>
        <v>17.100000000000001</v>
      </c>
    </row>
    <row r="39" spans="1:6" x14ac:dyDescent="0.25">
      <c r="A39">
        <f t="shared" si="0"/>
        <v>1902</v>
      </c>
      <c r="B39" s="1">
        <v>49.1</v>
      </c>
      <c r="C39" s="1">
        <v>31.5</v>
      </c>
      <c r="D39" s="1">
        <f t="shared" si="1"/>
        <v>17.600000000000001</v>
      </c>
      <c r="E39" s="10">
        <f t="shared" si="2"/>
        <v>14.732000000000003</v>
      </c>
      <c r="F39" s="10">
        <f t="shared" si="3"/>
        <v>17.100000000000001</v>
      </c>
    </row>
    <row r="40" spans="1:6" x14ac:dyDescent="0.25">
      <c r="A40">
        <f t="shared" si="0"/>
        <v>1903</v>
      </c>
      <c r="B40" s="1">
        <v>48.1</v>
      </c>
      <c r="C40" s="1">
        <v>30</v>
      </c>
      <c r="D40" s="1">
        <f t="shared" si="1"/>
        <v>18.100000000000001</v>
      </c>
      <c r="E40" s="10">
        <f t="shared" si="2"/>
        <v>14.732000000000003</v>
      </c>
      <c r="F40" s="10">
        <f t="shared" si="3"/>
        <v>17.100000000000001</v>
      </c>
    </row>
    <row r="41" spans="1:6" x14ac:dyDescent="0.25">
      <c r="A41">
        <f t="shared" si="0"/>
        <v>1904</v>
      </c>
      <c r="B41" s="1">
        <v>48.6</v>
      </c>
      <c r="C41" s="1">
        <v>29.9</v>
      </c>
      <c r="D41" s="1">
        <f t="shared" si="1"/>
        <v>18.700000000000003</v>
      </c>
      <c r="E41" s="10">
        <f t="shared" si="2"/>
        <v>14.732000000000003</v>
      </c>
      <c r="F41" s="10">
        <f t="shared" si="3"/>
        <v>17.100000000000001</v>
      </c>
    </row>
    <row r="42" spans="1:6" x14ac:dyDescent="0.25">
      <c r="A42">
        <f t="shared" si="0"/>
        <v>1905</v>
      </c>
      <c r="B42" s="1">
        <v>44.9</v>
      </c>
      <c r="C42" s="1">
        <v>31.8</v>
      </c>
      <c r="D42" s="1">
        <f t="shared" si="1"/>
        <v>13.099999999999998</v>
      </c>
      <c r="E42" s="10">
        <f t="shared" si="2"/>
        <v>14.732000000000003</v>
      </c>
      <c r="F42" s="10">
        <f t="shared" si="3"/>
        <v>17.100000000000001</v>
      </c>
    </row>
    <row r="43" spans="1:6" x14ac:dyDescent="0.25">
      <c r="A43">
        <f t="shared" si="0"/>
        <v>1906</v>
      </c>
      <c r="B43" s="1">
        <v>47</v>
      </c>
      <c r="C43" s="1">
        <v>29.9</v>
      </c>
      <c r="D43" s="1">
        <f t="shared" si="1"/>
        <v>17.100000000000001</v>
      </c>
      <c r="E43" s="10">
        <f t="shared" si="2"/>
        <v>14.732000000000003</v>
      </c>
      <c r="F43" s="10">
        <f t="shared" si="3"/>
        <v>17.100000000000001</v>
      </c>
    </row>
    <row r="44" spans="1:6" x14ac:dyDescent="0.25">
      <c r="A44">
        <f t="shared" si="0"/>
        <v>1907</v>
      </c>
      <c r="B44" s="1">
        <v>47.2</v>
      </c>
      <c r="C44" s="1">
        <v>28.5</v>
      </c>
      <c r="D44" s="1">
        <f t="shared" si="1"/>
        <v>18.700000000000003</v>
      </c>
      <c r="E44" s="10">
        <f t="shared" si="2"/>
        <v>14.732000000000003</v>
      </c>
      <c r="F44" s="10">
        <f t="shared" si="3"/>
        <v>17.100000000000001</v>
      </c>
    </row>
    <row r="45" spans="1:6" x14ac:dyDescent="0.25">
      <c r="A45">
        <f t="shared" si="0"/>
        <v>1908</v>
      </c>
      <c r="B45" s="1">
        <v>44.7</v>
      </c>
      <c r="C45" s="1">
        <v>28.3</v>
      </c>
      <c r="D45" s="1">
        <f t="shared" si="1"/>
        <v>16.400000000000002</v>
      </c>
      <c r="E45" s="10">
        <f t="shared" si="2"/>
        <v>14.732000000000003</v>
      </c>
      <c r="F45" s="10">
        <f t="shared" si="3"/>
        <v>17.100000000000001</v>
      </c>
    </row>
    <row r="46" spans="1:6" x14ac:dyDescent="0.25">
      <c r="A46">
        <f t="shared" si="0"/>
        <v>1909</v>
      </c>
      <c r="B46" s="1">
        <v>44.7</v>
      </c>
      <c r="C46" s="1">
        <v>29.5</v>
      </c>
      <c r="D46" s="1">
        <f t="shared" si="1"/>
        <v>15.200000000000003</v>
      </c>
      <c r="E46" s="10">
        <f t="shared" si="2"/>
        <v>14.732000000000003</v>
      </c>
      <c r="F46" s="10">
        <f t="shared" si="3"/>
        <v>17.100000000000001</v>
      </c>
    </row>
    <row r="47" spans="1:6" x14ac:dyDescent="0.25">
      <c r="A47">
        <f t="shared" si="0"/>
        <v>1910</v>
      </c>
      <c r="B47" s="1">
        <v>45.1</v>
      </c>
      <c r="C47" s="1">
        <v>31.5</v>
      </c>
      <c r="D47" s="1">
        <f t="shared" si="1"/>
        <v>13.600000000000001</v>
      </c>
      <c r="E47" s="10">
        <f t="shared" si="2"/>
        <v>14.732000000000003</v>
      </c>
      <c r="F47" s="10">
        <f t="shared" si="3"/>
        <v>17.100000000000001</v>
      </c>
    </row>
    <row r="48" spans="1:6" x14ac:dyDescent="0.25">
      <c r="A48">
        <f t="shared" si="0"/>
        <v>1911</v>
      </c>
      <c r="B48" s="1">
        <v>45</v>
      </c>
      <c r="C48" s="1">
        <v>27.4</v>
      </c>
      <c r="D48" s="1">
        <f t="shared" si="1"/>
        <v>17.600000000000001</v>
      </c>
      <c r="E48" s="10">
        <f t="shared" si="2"/>
        <v>14.732000000000003</v>
      </c>
      <c r="F48" s="10">
        <f t="shared" si="3"/>
        <v>17.100000000000001</v>
      </c>
    </row>
    <row r="49" spans="1:6" x14ac:dyDescent="0.25">
      <c r="A49">
        <f t="shared" si="0"/>
        <v>1912</v>
      </c>
      <c r="B49" s="1">
        <v>43.7</v>
      </c>
      <c r="C49" s="1">
        <v>26.5</v>
      </c>
      <c r="D49" s="1">
        <f t="shared" si="1"/>
        <v>17.200000000000003</v>
      </c>
      <c r="E49" s="10">
        <f t="shared" si="2"/>
        <v>14.732000000000003</v>
      </c>
      <c r="F49" s="10">
        <f t="shared" si="3"/>
        <v>17.100000000000001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4C9-3CCB-48C3-8549-9DE3B52F6A04}">
  <dimension ref="A1:H69"/>
  <sheetViews>
    <sheetView workbookViewId="0">
      <selection activeCell="AE37" sqref="AE37"/>
    </sheetView>
  </sheetViews>
  <sheetFormatPr defaultRowHeight="15" x14ac:dyDescent="0.25"/>
  <cols>
    <col min="2" max="2" width="15" customWidth="1"/>
    <col min="3" max="3" width="11" customWidth="1"/>
  </cols>
  <sheetData>
    <row r="1" spans="1:8" ht="18.75" x14ac:dyDescent="0.3">
      <c r="A1" s="4" t="s">
        <v>28</v>
      </c>
    </row>
    <row r="4" spans="1:8" ht="60" x14ac:dyDescent="0.25">
      <c r="A4" s="11" t="s">
        <v>0</v>
      </c>
      <c r="B4" s="12" t="s">
        <v>15</v>
      </c>
      <c r="C4" s="12" t="s">
        <v>18</v>
      </c>
      <c r="D4" s="11" t="s">
        <v>17</v>
      </c>
      <c r="F4" s="12" t="s">
        <v>19</v>
      </c>
      <c r="G4" s="12" t="s">
        <v>20</v>
      </c>
    </row>
    <row r="5" spans="1:8" x14ac:dyDescent="0.25">
      <c r="A5">
        <v>1867</v>
      </c>
      <c r="B5" s="2">
        <v>3101810</v>
      </c>
      <c r="C5" s="2">
        <v>754234</v>
      </c>
      <c r="D5" s="1">
        <f>C5/B5*1000</f>
        <v>243.15931665704863</v>
      </c>
      <c r="F5" s="1">
        <f>D5</f>
        <v>243.15931665704863</v>
      </c>
      <c r="H5" s="1"/>
    </row>
    <row r="6" spans="1:8" x14ac:dyDescent="0.25">
      <c r="A6">
        <f>A5+1</f>
        <v>1868</v>
      </c>
      <c r="B6" s="2">
        <v>2951494</v>
      </c>
      <c r="C6" s="2">
        <v>881458</v>
      </c>
      <c r="D6" s="1">
        <f t="shared" ref="D6:D49" si="0">C6/B6*1000</f>
        <v>298.64807450057498</v>
      </c>
      <c r="F6" s="1">
        <f t="shared" ref="F6:F37" si="1">D6</f>
        <v>298.64807450057498</v>
      </c>
      <c r="H6" s="1"/>
    </row>
    <row r="7" spans="1:8" x14ac:dyDescent="0.25">
      <c r="A7">
        <f t="shared" ref="A7:A50" si="2">A6+1</f>
        <v>1869</v>
      </c>
      <c r="B7" s="2">
        <v>3004152</v>
      </c>
      <c r="C7" s="2">
        <v>837946</v>
      </c>
      <c r="D7" s="1">
        <f t="shared" si="0"/>
        <v>278.92929518879208</v>
      </c>
      <c r="F7" s="1">
        <f t="shared" si="1"/>
        <v>278.92929518879208</v>
      </c>
      <c r="H7" s="1"/>
    </row>
    <row r="8" spans="1:8" x14ac:dyDescent="0.25">
      <c r="A8">
        <f t="shared" si="2"/>
        <v>1870</v>
      </c>
      <c r="B8" s="2">
        <v>3134931</v>
      </c>
      <c r="C8" s="2">
        <v>777770</v>
      </c>
      <c r="D8" s="1">
        <f t="shared" si="0"/>
        <v>248.09796451660341</v>
      </c>
      <c r="F8" s="1">
        <f t="shared" si="1"/>
        <v>248.09796451660341</v>
      </c>
      <c r="H8" s="1"/>
    </row>
    <row r="9" spans="1:8" x14ac:dyDescent="0.25">
      <c r="A9">
        <f t="shared" si="2"/>
        <v>1871</v>
      </c>
      <c r="B9" s="2">
        <v>3132600</v>
      </c>
      <c r="C9" s="2">
        <v>858442</v>
      </c>
      <c r="D9" s="1">
        <f t="shared" si="0"/>
        <v>274.0349869118304</v>
      </c>
      <c r="F9" s="1">
        <f t="shared" si="1"/>
        <v>274.0349869118304</v>
      </c>
      <c r="H9" s="1"/>
    </row>
    <row r="10" spans="1:8" x14ac:dyDescent="0.25">
      <c r="A10">
        <f t="shared" si="2"/>
        <v>1872</v>
      </c>
      <c r="B10" s="2">
        <v>3109016</v>
      </c>
      <c r="C10" s="2">
        <v>916491</v>
      </c>
      <c r="D10" s="1">
        <f t="shared" si="0"/>
        <v>294.78490943758413</v>
      </c>
      <c r="F10" s="1">
        <f t="shared" si="1"/>
        <v>294.78490943758413</v>
      </c>
      <c r="H10" s="1"/>
    </row>
    <row r="11" spans="1:8" x14ac:dyDescent="0.25">
      <c r="A11">
        <f t="shared" si="2"/>
        <v>1873</v>
      </c>
      <c r="B11" s="2">
        <v>3321664</v>
      </c>
      <c r="C11" s="2">
        <v>871790</v>
      </c>
      <c r="D11" s="1">
        <f t="shared" si="0"/>
        <v>262.45580528313525</v>
      </c>
      <c r="F11" s="1">
        <f t="shared" si="1"/>
        <v>262.45580528313525</v>
      </c>
      <c r="H11" s="1"/>
    </row>
    <row r="12" spans="1:8" x14ac:dyDescent="0.25">
      <c r="A12">
        <f t="shared" si="2"/>
        <v>1874</v>
      </c>
      <c r="B12" s="2">
        <v>3326423</v>
      </c>
      <c r="C12" s="2">
        <v>885456</v>
      </c>
      <c r="D12" s="1">
        <f t="shared" si="0"/>
        <v>266.18863566058798</v>
      </c>
      <c r="F12" s="1">
        <f t="shared" si="1"/>
        <v>266.18863566058798</v>
      </c>
      <c r="H12" s="1"/>
    </row>
    <row r="13" spans="1:8" x14ac:dyDescent="0.25">
      <c r="A13">
        <f t="shared" si="2"/>
        <v>1875</v>
      </c>
      <c r="B13" s="2">
        <v>3389770</v>
      </c>
      <c r="C13" s="2">
        <v>903111</v>
      </c>
      <c r="D13" s="1">
        <f t="shared" si="0"/>
        <v>266.42250064163647</v>
      </c>
      <c r="F13" s="1">
        <f t="shared" si="1"/>
        <v>266.42250064163647</v>
      </c>
      <c r="H13" s="1"/>
    </row>
    <row r="14" spans="1:8" x14ac:dyDescent="0.25">
      <c r="A14">
        <f t="shared" si="2"/>
        <v>1876</v>
      </c>
      <c r="B14" s="2">
        <v>3196671</v>
      </c>
      <c r="C14" s="2">
        <v>887797</v>
      </c>
      <c r="D14" s="1">
        <f t="shared" si="0"/>
        <v>277.72548379235775</v>
      </c>
      <c r="F14" s="1">
        <f t="shared" si="1"/>
        <v>277.72548379235775</v>
      </c>
      <c r="H14" s="1"/>
    </row>
    <row r="15" spans="1:8" x14ac:dyDescent="0.25">
      <c r="A15">
        <f t="shared" si="2"/>
        <v>1877</v>
      </c>
      <c r="B15" s="2">
        <v>3096910</v>
      </c>
      <c r="C15" s="2">
        <v>805077</v>
      </c>
      <c r="D15" s="1">
        <f t="shared" si="0"/>
        <v>259.96138086027685</v>
      </c>
      <c r="F15" s="1">
        <f t="shared" si="1"/>
        <v>259.96138086027685</v>
      </c>
      <c r="H15" s="1"/>
    </row>
    <row r="16" spans="1:8" x14ac:dyDescent="0.25">
      <c r="A16">
        <f t="shared" si="2"/>
        <v>1878</v>
      </c>
      <c r="B16" s="2">
        <v>2843751</v>
      </c>
      <c r="C16" s="2">
        <v>853791</v>
      </c>
      <c r="D16" s="1">
        <f t="shared" si="0"/>
        <v>300.23409222537418</v>
      </c>
      <c r="F16" s="1">
        <f t="shared" si="1"/>
        <v>300.23409222537418</v>
      </c>
      <c r="H16" s="1"/>
    </row>
    <row r="17" spans="1:8" x14ac:dyDescent="0.25">
      <c r="A17">
        <f t="shared" si="2"/>
        <v>1879</v>
      </c>
      <c r="B17" s="2">
        <v>3123834</v>
      </c>
      <c r="C17" s="2">
        <v>787387</v>
      </c>
      <c r="D17" s="1">
        <f t="shared" si="0"/>
        <v>252.05788783911055</v>
      </c>
      <c r="F17" s="1">
        <f t="shared" si="1"/>
        <v>252.05788783911055</v>
      </c>
      <c r="H17" s="1"/>
    </row>
    <row r="18" spans="1:8" x14ac:dyDescent="0.25">
      <c r="A18">
        <f t="shared" si="2"/>
        <v>1880</v>
      </c>
      <c r="B18" s="2">
        <v>3352427</v>
      </c>
      <c r="C18" s="2">
        <v>958556</v>
      </c>
      <c r="D18" s="1">
        <f t="shared" si="0"/>
        <v>285.92897026542261</v>
      </c>
      <c r="F18" s="1">
        <f t="shared" si="1"/>
        <v>285.92897026542261</v>
      </c>
      <c r="H18" s="1"/>
    </row>
    <row r="19" spans="1:8" x14ac:dyDescent="0.25">
      <c r="A19">
        <f t="shared" si="2"/>
        <v>1881</v>
      </c>
      <c r="B19" s="2">
        <v>3369321</v>
      </c>
      <c r="C19" s="2">
        <v>850650</v>
      </c>
      <c r="D19" s="1">
        <f t="shared" si="0"/>
        <v>252.46926606280613</v>
      </c>
      <c r="F19" s="1">
        <f t="shared" si="1"/>
        <v>252.46926606280613</v>
      </c>
      <c r="H19" s="1"/>
    </row>
    <row r="20" spans="1:8" x14ac:dyDescent="0.25">
      <c r="A20">
        <f t="shared" si="2"/>
        <v>1882</v>
      </c>
      <c r="B20" s="2">
        <v>3876690</v>
      </c>
      <c r="C20" s="2">
        <v>1166677</v>
      </c>
      <c r="D20" s="1">
        <f t="shared" si="0"/>
        <v>300.94668389786131</v>
      </c>
      <c r="F20" s="1">
        <f t="shared" si="1"/>
        <v>300.94668389786131</v>
      </c>
      <c r="H20" s="1"/>
    </row>
    <row r="21" spans="1:8" x14ac:dyDescent="0.25">
      <c r="A21">
        <f t="shared" si="2"/>
        <v>1883</v>
      </c>
      <c r="B21" s="2">
        <v>3784690</v>
      </c>
      <c r="C21" s="2">
        <v>1075852</v>
      </c>
      <c r="D21" s="1">
        <f t="shared" si="0"/>
        <v>284.26423300191033</v>
      </c>
      <c r="F21" s="1">
        <f t="shared" si="1"/>
        <v>284.26423300191033</v>
      </c>
      <c r="H21" s="1"/>
    </row>
    <row r="22" spans="1:8" x14ac:dyDescent="0.25">
      <c r="A22">
        <f t="shared" si="2"/>
        <v>1884</v>
      </c>
      <c r="B22" s="2">
        <v>4007858</v>
      </c>
      <c r="C22" s="2">
        <v>1016802</v>
      </c>
      <c r="D22" s="1">
        <f t="shared" si="0"/>
        <v>253.70210222018846</v>
      </c>
      <c r="F22" s="1">
        <f t="shared" si="1"/>
        <v>253.70210222018846</v>
      </c>
      <c r="H22" s="1"/>
    </row>
    <row r="23" spans="1:8" x14ac:dyDescent="0.25">
      <c r="A23">
        <f t="shared" si="2"/>
        <v>1885</v>
      </c>
      <c r="B23" s="2">
        <v>3957528</v>
      </c>
      <c r="C23" s="2">
        <v>1069265</v>
      </c>
      <c r="D23" s="1">
        <f t="shared" si="0"/>
        <v>270.185075127706</v>
      </c>
      <c r="F23" s="1">
        <f t="shared" si="1"/>
        <v>270.185075127706</v>
      </c>
      <c r="H23" s="1"/>
    </row>
    <row r="24" spans="1:8" x14ac:dyDescent="0.25">
      <c r="A24">
        <f t="shared" si="2"/>
        <v>1886</v>
      </c>
      <c r="B24" s="2">
        <v>3972797</v>
      </c>
      <c r="C24" s="2">
        <v>985636</v>
      </c>
      <c r="D24" s="1">
        <f t="shared" si="0"/>
        <v>248.0962405076323</v>
      </c>
      <c r="F24" s="1">
        <f t="shared" si="1"/>
        <v>248.0962405076323</v>
      </c>
      <c r="H24" s="1"/>
    </row>
    <row r="25" spans="1:8" x14ac:dyDescent="0.25">
      <c r="A25">
        <f t="shared" si="2"/>
        <v>1887</v>
      </c>
      <c r="B25" s="2">
        <v>4062606</v>
      </c>
      <c r="C25" s="2">
        <v>1039237</v>
      </c>
      <c r="D25" s="1">
        <f t="shared" si="0"/>
        <v>255.80551005930673</v>
      </c>
      <c r="F25" s="1">
        <f t="shared" si="1"/>
        <v>255.80551005930673</v>
      </c>
      <c r="H25" s="1"/>
    </row>
    <row r="26" spans="1:8" x14ac:dyDescent="0.25">
      <c r="A26">
        <f t="shared" si="2"/>
        <v>1888</v>
      </c>
      <c r="B26" s="2">
        <v>4268601</v>
      </c>
      <c r="C26" s="2">
        <v>1067427</v>
      </c>
      <c r="D26" s="1">
        <f t="shared" si="0"/>
        <v>250.06483388819893</v>
      </c>
      <c r="F26" s="1">
        <f t="shared" si="1"/>
        <v>250.06483388819893</v>
      </c>
      <c r="H26" s="1"/>
    </row>
    <row r="27" spans="1:8" x14ac:dyDescent="0.25">
      <c r="A27">
        <f t="shared" si="2"/>
        <v>1889</v>
      </c>
      <c r="B27" s="2">
        <v>4232577</v>
      </c>
      <c r="C27" s="2">
        <v>1163255</v>
      </c>
      <c r="D27" s="1">
        <f t="shared" si="0"/>
        <v>274.83374785621146</v>
      </c>
      <c r="F27" s="1">
        <f t="shared" si="1"/>
        <v>274.83374785621146</v>
      </c>
      <c r="H27" s="1"/>
    </row>
    <row r="28" spans="1:8" x14ac:dyDescent="0.25">
      <c r="A28">
        <f t="shared" si="2"/>
        <v>1890</v>
      </c>
      <c r="B28" s="2">
        <v>4227915</v>
      </c>
      <c r="C28" s="2">
        <v>1233729</v>
      </c>
      <c r="D28" s="1">
        <f t="shared" si="0"/>
        <v>291.80553535253188</v>
      </c>
      <c r="F28" s="1">
        <f t="shared" si="1"/>
        <v>291.80553535253188</v>
      </c>
      <c r="H28" s="1"/>
    </row>
    <row r="29" spans="1:8" x14ac:dyDescent="0.25">
      <c r="A29">
        <f t="shared" si="2"/>
        <v>1891</v>
      </c>
      <c r="B29" s="2">
        <v>4372419</v>
      </c>
      <c r="C29" s="2">
        <v>1189668</v>
      </c>
      <c r="D29" s="1">
        <f t="shared" si="0"/>
        <v>272.08462866893592</v>
      </c>
      <c r="F29" s="1">
        <f t="shared" si="1"/>
        <v>272.08462866893592</v>
      </c>
      <c r="H29" s="1"/>
    </row>
    <row r="30" spans="1:8" x14ac:dyDescent="0.25">
      <c r="A30">
        <f t="shared" si="2"/>
        <v>1892</v>
      </c>
      <c r="B30" s="2">
        <v>4033402</v>
      </c>
      <c r="C30" s="2">
        <v>1237012</v>
      </c>
      <c r="D30" s="1">
        <f t="shared" si="0"/>
        <v>306.69196871524332</v>
      </c>
      <c r="F30" s="1">
        <f t="shared" si="1"/>
        <v>306.69196871524332</v>
      </c>
      <c r="H30" s="1"/>
    </row>
    <row r="31" spans="1:8" x14ac:dyDescent="0.25">
      <c r="A31">
        <f t="shared" si="2"/>
        <v>1893</v>
      </c>
      <c r="B31" s="2">
        <v>4298323</v>
      </c>
      <c r="C31" s="2">
        <v>1083186</v>
      </c>
      <c r="D31" s="1">
        <f t="shared" si="0"/>
        <v>252.0020017108998</v>
      </c>
      <c r="F31" s="1">
        <f t="shared" si="1"/>
        <v>252.0020017108998</v>
      </c>
      <c r="H31" s="1"/>
    </row>
    <row r="32" spans="1:8" x14ac:dyDescent="0.25">
      <c r="A32">
        <f t="shared" si="2"/>
        <v>1894</v>
      </c>
      <c r="B32" s="2">
        <v>4391658</v>
      </c>
      <c r="C32" s="2">
        <v>1163390</v>
      </c>
      <c r="D32" s="1">
        <f t="shared" si="0"/>
        <v>264.90906168012174</v>
      </c>
      <c r="F32" s="1">
        <f t="shared" si="1"/>
        <v>264.90906168012174</v>
      </c>
      <c r="H32" s="1"/>
    </row>
    <row r="33" spans="1:8" x14ac:dyDescent="0.25">
      <c r="A33">
        <f t="shared" si="2"/>
        <v>1895</v>
      </c>
      <c r="B33" s="2">
        <v>4539176</v>
      </c>
      <c r="C33" s="2">
        <v>1270181</v>
      </c>
      <c r="D33" s="1">
        <f t="shared" si="0"/>
        <v>279.82633852487766</v>
      </c>
      <c r="F33" s="1">
        <f t="shared" si="1"/>
        <v>279.82633852487766</v>
      </c>
      <c r="G33" s="1">
        <f>D33</f>
        <v>279.82633852487766</v>
      </c>
      <c r="H33" s="1"/>
    </row>
    <row r="34" spans="1:8" x14ac:dyDescent="0.25">
      <c r="A34">
        <f t="shared" si="2"/>
        <v>1896</v>
      </c>
      <c r="B34" s="2">
        <v>4634809</v>
      </c>
      <c r="C34" s="2">
        <v>1269940</v>
      </c>
      <c r="D34" s="1">
        <f t="shared" si="0"/>
        <v>274.00050358062225</v>
      </c>
      <c r="F34" s="1">
        <f>D34</f>
        <v>274.00050358062225</v>
      </c>
      <c r="G34" s="1">
        <f t="shared" ref="G34:G49" si="3">D34</f>
        <v>274.00050358062225</v>
      </c>
      <c r="H34" s="1"/>
    </row>
    <row r="35" spans="1:8" x14ac:dyDescent="0.25">
      <c r="A35">
        <f t="shared" si="2"/>
        <v>1897</v>
      </c>
      <c r="B35" s="2">
        <v>4692621</v>
      </c>
      <c r="C35" s="2">
        <v>1217797</v>
      </c>
      <c r="D35" s="1">
        <f t="shared" si="0"/>
        <v>259.51318037403831</v>
      </c>
      <c r="F35" s="1">
        <f>D35</f>
        <v>259.51318037403831</v>
      </c>
      <c r="G35" s="1">
        <f t="shared" si="3"/>
        <v>259.51318037403831</v>
      </c>
      <c r="H35" s="1"/>
    </row>
    <row r="36" spans="1:8" x14ac:dyDescent="0.25">
      <c r="A36">
        <f t="shared" si="2"/>
        <v>1898</v>
      </c>
      <c r="B36" s="2">
        <v>4625558</v>
      </c>
      <c r="C36" s="2">
        <v>1289718</v>
      </c>
      <c r="D36" s="1">
        <f t="shared" si="0"/>
        <v>278.82430617019611</v>
      </c>
      <c r="F36" s="1"/>
      <c r="G36" s="1">
        <f t="shared" si="3"/>
        <v>278.82430617019611</v>
      </c>
      <c r="H36" s="1"/>
    </row>
    <row r="37" spans="1:8" x14ac:dyDescent="0.25">
      <c r="A37">
        <f t="shared" si="2"/>
        <v>1899</v>
      </c>
      <c r="B37" s="2">
        <v>4764678</v>
      </c>
      <c r="C37" s="2">
        <v>1142007</v>
      </c>
      <c r="D37" s="1">
        <f t="shared" si="0"/>
        <v>239.6818840643586</v>
      </c>
      <c r="F37" s="1"/>
      <c r="G37" s="1">
        <f t="shared" si="3"/>
        <v>239.6818840643586</v>
      </c>
      <c r="H37" s="1"/>
    </row>
    <row r="38" spans="1:8" x14ac:dyDescent="0.25">
      <c r="A38">
        <f t="shared" si="2"/>
        <v>1900</v>
      </c>
      <c r="B38" s="2">
        <v>4853804</v>
      </c>
      <c r="C38" s="2">
        <v>1225233</v>
      </c>
      <c r="D38" s="1">
        <f t="shared" si="0"/>
        <v>252.42737448813341</v>
      </c>
      <c r="G38" s="1">
        <f t="shared" si="3"/>
        <v>252.42737448813341</v>
      </c>
      <c r="H38" s="1"/>
    </row>
    <row r="39" spans="1:8" x14ac:dyDescent="0.25">
      <c r="A39">
        <f t="shared" si="2"/>
        <v>1901</v>
      </c>
      <c r="B39" s="2">
        <v>4801190</v>
      </c>
      <c r="C39" s="2">
        <v>1304072</v>
      </c>
      <c r="D39" s="1">
        <f t="shared" si="0"/>
        <v>271.61432894761504</v>
      </c>
      <c r="G39" s="1">
        <f t="shared" si="3"/>
        <v>271.61432894761504</v>
      </c>
      <c r="H39" s="1"/>
    </row>
    <row r="40" spans="1:8" x14ac:dyDescent="0.25">
      <c r="A40">
        <f t="shared" si="2"/>
        <v>1902</v>
      </c>
      <c r="B40" s="2">
        <v>4993248</v>
      </c>
      <c r="C40" s="2">
        <v>1289241</v>
      </c>
      <c r="D40" s="1">
        <f t="shared" si="0"/>
        <v>258.19686905196778</v>
      </c>
      <c r="G40" s="1">
        <f t="shared" si="3"/>
        <v>258.19686905196778</v>
      </c>
      <c r="H40" s="1"/>
    </row>
    <row r="41" spans="1:8" x14ac:dyDescent="0.25">
      <c r="A41">
        <f t="shared" si="2"/>
        <v>1903</v>
      </c>
      <c r="B41" s="2">
        <v>4978305</v>
      </c>
      <c r="C41" s="2">
        <v>1275719</v>
      </c>
      <c r="D41" s="1">
        <f t="shared" si="0"/>
        <v>256.25569345389647</v>
      </c>
      <c r="G41" s="1">
        <f t="shared" si="3"/>
        <v>256.25569345389647</v>
      </c>
      <c r="H41" s="1"/>
    </row>
    <row r="42" spans="1:8" x14ac:dyDescent="0.25">
      <c r="A42">
        <f t="shared" si="2"/>
        <v>1904</v>
      </c>
      <c r="B42" s="2">
        <v>5124544</v>
      </c>
      <c r="C42" s="2">
        <v>1186985</v>
      </c>
      <c r="D42" s="1">
        <f t="shared" si="0"/>
        <v>231.62743846086599</v>
      </c>
      <c r="G42" s="1">
        <f t="shared" si="3"/>
        <v>231.62743846086599</v>
      </c>
      <c r="H42" s="1"/>
    </row>
    <row r="43" spans="1:8" x14ac:dyDescent="0.25">
      <c r="A43">
        <f t="shared" si="2"/>
        <v>1905</v>
      </c>
      <c r="B43" s="2">
        <v>4830252</v>
      </c>
      <c r="C43" s="2">
        <v>1311460</v>
      </c>
      <c r="D43" s="1">
        <f t="shared" si="0"/>
        <v>271.50964380326326</v>
      </c>
      <c r="G43" s="1">
        <f t="shared" si="3"/>
        <v>271.50964380326326</v>
      </c>
      <c r="H43" s="1"/>
    </row>
    <row r="44" spans="1:8" x14ac:dyDescent="0.25">
      <c r="A44">
        <f t="shared" si="2"/>
        <v>1906</v>
      </c>
      <c r="B44" s="2">
        <v>5120607</v>
      </c>
      <c r="C44" s="2">
        <v>1269695</v>
      </c>
      <c r="D44" s="1">
        <f t="shared" si="0"/>
        <v>247.95790811519026</v>
      </c>
      <c r="G44" s="1">
        <f t="shared" si="3"/>
        <v>247.95790811519026</v>
      </c>
      <c r="H44" s="1"/>
    </row>
    <row r="45" spans="1:8" x14ac:dyDescent="0.25">
      <c r="A45">
        <f t="shared" si="2"/>
        <v>1907</v>
      </c>
      <c r="B45" s="2">
        <v>5258711</v>
      </c>
      <c r="C45" s="2">
        <v>1185571</v>
      </c>
      <c r="D45" s="1">
        <f t="shared" si="0"/>
        <v>225.44897409270067</v>
      </c>
      <c r="G45" s="1">
        <f t="shared" si="3"/>
        <v>225.44897409270067</v>
      </c>
      <c r="H45" s="1"/>
    </row>
    <row r="46" spans="1:8" x14ac:dyDescent="0.25">
      <c r="A46">
        <f t="shared" si="2"/>
        <v>1908</v>
      </c>
      <c r="B46" s="2">
        <v>5049313</v>
      </c>
      <c r="C46" s="2">
        <v>1232619</v>
      </c>
      <c r="D46" s="1">
        <f t="shared" si="0"/>
        <v>244.11617976544531</v>
      </c>
      <c r="G46" s="1">
        <f t="shared" si="3"/>
        <v>244.11617976544531</v>
      </c>
      <c r="H46" s="1"/>
    </row>
    <row r="47" spans="1:8" x14ac:dyDescent="0.25">
      <c r="A47">
        <f t="shared" si="2"/>
        <v>1909</v>
      </c>
      <c r="B47" s="2">
        <v>5123976</v>
      </c>
      <c r="C47" s="2">
        <v>1270835</v>
      </c>
      <c r="D47" s="1">
        <f t="shared" si="0"/>
        <v>248.01735995640885</v>
      </c>
      <c r="G47" s="1">
        <f t="shared" si="3"/>
        <v>248.01735995640885</v>
      </c>
      <c r="H47" s="1"/>
    </row>
    <row r="48" spans="1:8" x14ac:dyDescent="0.25">
      <c r="A48">
        <f t="shared" si="2"/>
        <v>1910</v>
      </c>
      <c r="B48" s="2">
        <v>3409791</v>
      </c>
      <c r="C48" s="2">
        <v>933902</v>
      </c>
      <c r="D48" s="1">
        <f t="shared" si="0"/>
        <v>273.88834095696774</v>
      </c>
      <c r="G48" s="1">
        <f t="shared" si="3"/>
        <v>273.88834095696774</v>
      </c>
      <c r="H48" s="1"/>
    </row>
    <row r="49" spans="1:8" x14ac:dyDescent="0.25">
      <c r="A49">
        <f t="shared" si="2"/>
        <v>1911</v>
      </c>
      <c r="B49" s="2">
        <v>3587618</v>
      </c>
      <c r="C49" s="2">
        <v>851416</v>
      </c>
      <c r="D49" s="1">
        <f t="shared" si="0"/>
        <v>237.32069579314185</v>
      </c>
      <c r="G49" s="1">
        <f t="shared" si="3"/>
        <v>237.32069579314185</v>
      </c>
      <c r="H49" s="1"/>
    </row>
    <row r="59" spans="1:8" x14ac:dyDescent="0.25">
      <c r="A59" t="s">
        <v>27</v>
      </c>
    </row>
    <row r="60" spans="1:8" x14ac:dyDescent="0.25">
      <c r="A60" t="s">
        <v>26</v>
      </c>
      <c r="C60">
        <v>263</v>
      </c>
    </row>
    <row r="61" spans="1:8" x14ac:dyDescent="0.25">
      <c r="A61" t="s">
        <v>25</v>
      </c>
      <c r="C61">
        <v>161</v>
      </c>
    </row>
    <row r="62" spans="1:8" x14ac:dyDescent="0.25">
      <c r="A62" t="s">
        <v>24</v>
      </c>
      <c r="C62">
        <v>151</v>
      </c>
    </row>
    <row r="63" spans="1:8" x14ac:dyDescent="0.25">
      <c r="A63" t="s">
        <v>23</v>
      </c>
      <c r="C63">
        <v>158</v>
      </c>
    </row>
    <row r="64" spans="1:8" x14ac:dyDescent="0.25">
      <c r="A64" t="s">
        <v>22</v>
      </c>
      <c r="C64">
        <v>116</v>
      </c>
    </row>
    <row r="66" spans="1:1" x14ac:dyDescent="0.25">
      <c r="A66" t="s">
        <v>32</v>
      </c>
    </row>
    <row r="67" spans="1:1" x14ac:dyDescent="0.25">
      <c r="A67" t="s">
        <v>35</v>
      </c>
    </row>
    <row r="68" spans="1:1" x14ac:dyDescent="0.25">
      <c r="A68" t="s">
        <v>33</v>
      </c>
    </row>
    <row r="69" spans="1:1" x14ac:dyDescent="0.25">
      <c r="A69" t="s">
        <v>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</vt:lpstr>
      <vt:lpstr>Data</vt:lpstr>
      <vt:lpstr>рождаемость 1867-1912</vt:lpstr>
      <vt:lpstr>смертность 1867-1912</vt:lpstr>
      <vt:lpstr>естественный прирост 1867-1912</vt:lpstr>
      <vt:lpstr>младенческая смертность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2026-05-26T17:29:06Z</dcterms:created>
  <dcterms:modified xsi:type="dcterms:W3CDTF">2026-06-25T17:24:46Z</dcterms:modified>
</cp:coreProperties>
</file>