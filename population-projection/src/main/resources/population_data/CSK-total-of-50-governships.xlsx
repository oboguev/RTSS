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population-projection\src\main\resources\population_data\"/>
    </mc:Choice>
  </mc:AlternateContent>
  <xr:revisionPtr revIDLastSave="0" documentId="13_ncr:1_{257D5146-A115-4156-B193-5BD251B7A909}" xr6:coauthVersionLast="45" xr6:coauthVersionMax="45" xr10:uidLastSave="{00000000-0000-0000-0000-000000000000}"/>
  <bookViews>
    <workbookView xWindow="-60" yWindow="-60" windowWidth="38520" windowHeight="23700" activeTab="2" xr2:uid="{CA9327AE-032E-4159-9FEB-060911109237}"/>
  </bookViews>
  <sheets>
    <sheet name="Note" sheetId="1" r:id="rId1"/>
    <sheet name="Data" sheetId="2" r:id="rId2"/>
    <sheet name="рождаемость 1867-1912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" i="3" l="1"/>
  <c r="D4" i="3"/>
  <c r="A5" i="3" l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D5" i="3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C5" i="3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</calcChain>
</file>

<file path=xl/sharedStrings.xml><?xml version="1.0" encoding="utf-8"?>
<sst xmlns="http://schemas.openxmlformats.org/spreadsheetml/2006/main" count="14" uniqueCount="12">
  <si>
    <t>год</t>
  </si>
  <si>
    <t>чн</t>
  </si>
  <si>
    <t>р</t>
  </si>
  <si>
    <t>с</t>
  </si>
  <si>
    <t>Движение населения в 50 губерниях Европейской России за 1867-1912 гг.</t>
  </si>
  <si>
    <t>по данным ЦСК</t>
  </si>
  <si>
    <t>С. А. Новосельский, "Демография и статистика", М. : Статистика, 1978, стр. 122</t>
  </si>
  <si>
    <t>С. А. Новосельский, "Вопросы демографической и санитарной статистики", М. : Медгиз, 1958, стр. 67-68</t>
  </si>
  <si>
    <t>среднее</t>
  </si>
  <si>
    <t>Поведение рождаемости населения 50 губерний Европейской части России по ЦСК</t>
  </si>
  <si>
    <t>минимум обычных колебаний</t>
  </si>
  <si>
    <t>рождаемость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</si>
</sst>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Fill="1"/>
    <xf numFmtId="0" fontId="1" fillId="0" borderId="0" xfId="0" applyFont="1" applyFill="1" applyAlignment="1">
      <alignment horizontal="center"/>
    </xf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Поведение рождаемости населения 50 европейских губерний России</a:t>
            </a:r>
            <a:br>
              <a:rPr lang="ru-RU"/>
            </a:br>
            <a:r>
              <a:rPr lang="ru-RU"/>
              <a:t>в 186</a:t>
            </a:r>
            <a:r>
              <a:rPr lang="en-US"/>
              <a:t>7</a:t>
            </a:r>
            <a:r>
              <a:rPr lang="ru-RU"/>
              <a:t>-191</a:t>
            </a:r>
            <a:r>
              <a:rPr lang="en-US"/>
              <a:t>2</a:t>
            </a:r>
            <a:r>
              <a:rPr lang="ru-RU"/>
              <a:t> годах (ЦСК)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'рождаемость 1867-1912'!$B$3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'рождаемость 1867-1912'!$A$4:$A$49</c:f>
              <c:numCache>
                <c:formatCode>General</c:formatCode>
                <c:ptCount val="46"/>
                <c:pt idx="0">
                  <c:v>1867</c:v>
                </c:pt>
                <c:pt idx="1">
                  <c:v>1868</c:v>
                </c:pt>
                <c:pt idx="2">
                  <c:v>1869</c:v>
                </c:pt>
                <c:pt idx="3">
                  <c:v>1870</c:v>
                </c:pt>
                <c:pt idx="4">
                  <c:v>1871</c:v>
                </c:pt>
                <c:pt idx="5">
                  <c:v>1872</c:v>
                </c:pt>
                <c:pt idx="6">
                  <c:v>1873</c:v>
                </c:pt>
                <c:pt idx="7">
                  <c:v>1874</c:v>
                </c:pt>
                <c:pt idx="8">
                  <c:v>1875</c:v>
                </c:pt>
                <c:pt idx="9">
                  <c:v>1876</c:v>
                </c:pt>
                <c:pt idx="10">
                  <c:v>1877</c:v>
                </c:pt>
                <c:pt idx="11">
                  <c:v>1878</c:v>
                </c:pt>
                <c:pt idx="12">
                  <c:v>1879</c:v>
                </c:pt>
                <c:pt idx="13">
                  <c:v>1880</c:v>
                </c:pt>
                <c:pt idx="14">
                  <c:v>1881</c:v>
                </c:pt>
                <c:pt idx="15">
                  <c:v>1882</c:v>
                </c:pt>
                <c:pt idx="16">
                  <c:v>1883</c:v>
                </c:pt>
                <c:pt idx="17">
                  <c:v>1884</c:v>
                </c:pt>
                <c:pt idx="18">
                  <c:v>1885</c:v>
                </c:pt>
                <c:pt idx="19">
                  <c:v>1886</c:v>
                </c:pt>
                <c:pt idx="20">
                  <c:v>1887</c:v>
                </c:pt>
                <c:pt idx="21">
                  <c:v>1888</c:v>
                </c:pt>
                <c:pt idx="22">
                  <c:v>1889</c:v>
                </c:pt>
                <c:pt idx="23">
                  <c:v>1890</c:v>
                </c:pt>
                <c:pt idx="24">
                  <c:v>1891</c:v>
                </c:pt>
                <c:pt idx="25">
                  <c:v>1892</c:v>
                </c:pt>
                <c:pt idx="26">
                  <c:v>1893</c:v>
                </c:pt>
                <c:pt idx="27">
                  <c:v>1894</c:v>
                </c:pt>
                <c:pt idx="28">
                  <c:v>1895</c:v>
                </c:pt>
                <c:pt idx="29">
                  <c:v>1896</c:v>
                </c:pt>
                <c:pt idx="30">
                  <c:v>1897</c:v>
                </c:pt>
                <c:pt idx="31">
                  <c:v>1898</c:v>
                </c:pt>
                <c:pt idx="32">
                  <c:v>1899</c:v>
                </c:pt>
                <c:pt idx="33">
                  <c:v>1900</c:v>
                </c:pt>
                <c:pt idx="34">
                  <c:v>1901</c:v>
                </c:pt>
                <c:pt idx="35">
                  <c:v>1902</c:v>
                </c:pt>
                <c:pt idx="36">
                  <c:v>1903</c:v>
                </c:pt>
                <c:pt idx="37">
                  <c:v>1904</c:v>
                </c:pt>
                <c:pt idx="38">
                  <c:v>1905</c:v>
                </c:pt>
                <c:pt idx="39">
                  <c:v>1906</c:v>
                </c:pt>
                <c:pt idx="40">
                  <c:v>1907</c:v>
                </c:pt>
                <c:pt idx="41">
                  <c:v>1908</c:v>
                </c:pt>
                <c:pt idx="42">
                  <c:v>1909</c:v>
                </c:pt>
                <c:pt idx="43">
                  <c:v>1910</c:v>
                </c:pt>
                <c:pt idx="44">
                  <c:v>1911</c:v>
                </c:pt>
                <c:pt idx="45">
                  <c:v>1912</c:v>
                </c:pt>
              </c:numCache>
            </c:numRef>
          </c:xVal>
          <c:yVal>
            <c:numRef>
              <c:f>'рождаемость 1867-1912'!$B$4:$B$49</c:f>
              <c:numCache>
                <c:formatCode>0.0</c:formatCode>
                <c:ptCount val="46"/>
                <c:pt idx="0">
                  <c:v>51.2</c:v>
                </c:pt>
                <c:pt idx="1">
                  <c:v>48.8</c:v>
                </c:pt>
                <c:pt idx="2">
                  <c:v>49.7</c:v>
                </c:pt>
                <c:pt idx="3">
                  <c:v>49.2</c:v>
                </c:pt>
                <c:pt idx="4">
                  <c:v>51</c:v>
                </c:pt>
                <c:pt idx="5">
                  <c:v>50</c:v>
                </c:pt>
                <c:pt idx="6">
                  <c:v>52.3</c:v>
                </c:pt>
                <c:pt idx="7">
                  <c:v>51.4</c:v>
                </c:pt>
                <c:pt idx="8">
                  <c:v>51.5</c:v>
                </c:pt>
                <c:pt idx="9">
                  <c:v>50.6</c:v>
                </c:pt>
                <c:pt idx="10">
                  <c:v>49.6</c:v>
                </c:pt>
                <c:pt idx="11">
                  <c:v>47.3</c:v>
                </c:pt>
                <c:pt idx="12">
                  <c:v>50.2</c:v>
                </c:pt>
                <c:pt idx="13">
                  <c:v>49.7</c:v>
                </c:pt>
                <c:pt idx="14">
                  <c:v>49.1</c:v>
                </c:pt>
                <c:pt idx="15">
                  <c:v>51.6</c:v>
                </c:pt>
                <c:pt idx="16">
                  <c:v>50.6</c:v>
                </c:pt>
                <c:pt idx="17">
                  <c:v>51.5</c:v>
                </c:pt>
                <c:pt idx="18">
                  <c:v>50</c:v>
                </c:pt>
                <c:pt idx="19">
                  <c:v>49.5</c:v>
                </c:pt>
                <c:pt idx="20">
                  <c:v>49.9</c:v>
                </c:pt>
                <c:pt idx="21">
                  <c:v>51.6</c:v>
                </c:pt>
                <c:pt idx="22">
                  <c:v>50.3</c:v>
                </c:pt>
                <c:pt idx="23">
                  <c:v>49.6</c:v>
                </c:pt>
                <c:pt idx="24">
                  <c:v>50.6</c:v>
                </c:pt>
                <c:pt idx="25">
                  <c:v>46</c:v>
                </c:pt>
                <c:pt idx="26">
                  <c:v>48.8</c:v>
                </c:pt>
                <c:pt idx="27">
                  <c:v>49.2</c:v>
                </c:pt>
                <c:pt idx="28">
                  <c:v>50.1</c:v>
                </c:pt>
                <c:pt idx="29">
                  <c:v>50.4</c:v>
                </c:pt>
                <c:pt idx="30">
                  <c:v>50</c:v>
                </c:pt>
                <c:pt idx="31">
                  <c:v>48.6</c:v>
                </c:pt>
                <c:pt idx="32">
                  <c:v>49.3</c:v>
                </c:pt>
                <c:pt idx="33">
                  <c:v>49.3</c:v>
                </c:pt>
                <c:pt idx="34">
                  <c:v>47.9</c:v>
                </c:pt>
                <c:pt idx="35">
                  <c:v>49.1</c:v>
                </c:pt>
                <c:pt idx="36">
                  <c:v>48.1</c:v>
                </c:pt>
                <c:pt idx="37">
                  <c:v>48.6</c:v>
                </c:pt>
                <c:pt idx="38">
                  <c:v>44.9</c:v>
                </c:pt>
                <c:pt idx="39">
                  <c:v>47</c:v>
                </c:pt>
                <c:pt idx="40">
                  <c:v>47.2</c:v>
                </c:pt>
                <c:pt idx="41">
                  <c:v>44.7</c:v>
                </c:pt>
                <c:pt idx="42">
                  <c:v>44.7</c:v>
                </c:pt>
                <c:pt idx="43">
                  <c:v>45.1</c:v>
                </c:pt>
                <c:pt idx="44">
                  <c:v>45</c:v>
                </c:pt>
                <c:pt idx="45">
                  <c:v>43.7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08-4F1A-98BE-27A694543C28}"/>
            </c:ext>
          </c:extLst>
        </c:ser>
        <c:ser>
          <c:idx val="1"/>
          <c:order val="1"/>
          <c:tx>
            <c:strRef>
              <c:f>'рождаемость 1867-1912'!$C$3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1867-1912'!$A$4:$A$49</c:f>
              <c:numCache>
                <c:formatCode>General</c:formatCode>
                <c:ptCount val="46"/>
                <c:pt idx="0">
                  <c:v>1867</c:v>
                </c:pt>
                <c:pt idx="1">
                  <c:v>1868</c:v>
                </c:pt>
                <c:pt idx="2">
                  <c:v>1869</c:v>
                </c:pt>
                <c:pt idx="3">
                  <c:v>1870</c:v>
                </c:pt>
                <c:pt idx="4">
                  <c:v>1871</c:v>
                </c:pt>
                <c:pt idx="5">
                  <c:v>1872</c:v>
                </c:pt>
                <c:pt idx="6">
                  <c:v>1873</c:v>
                </c:pt>
                <c:pt idx="7">
                  <c:v>1874</c:v>
                </c:pt>
                <c:pt idx="8">
                  <c:v>1875</c:v>
                </c:pt>
                <c:pt idx="9">
                  <c:v>1876</c:v>
                </c:pt>
                <c:pt idx="10">
                  <c:v>1877</c:v>
                </c:pt>
                <c:pt idx="11">
                  <c:v>1878</c:v>
                </c:pt>
                <c:pt idx="12">
                  <c:v>1879</c:v>
                </c:pt>
                <c:pt idx="13">
                  <c:v>1880</c:v>
                </c:pt>
                <c:pt idx="14">
                  <c:v>1881</c:v>
                </c:pt>
                <c:pt idx="15">
                  <c:v>1882</c:v>
                </c:pt>
                <c:pt idx="16">
                  <c:v>1883</c:v>
                </c:pt>
                <c:pt idx="17">
                  <c:v>1884</c:v>
                </c:pt>
                <c:pt idx="18">
                  <c:v>1885</c:v>
                </c:pt>
                <c:pt idx="19">
                  <c:v>1886</c:v>
                </c:pt>
                <c:pt idx="20">
                  <c:v>1887</c:v>
                </c:pt>
                <c:pt idx="21">
                  <c:v>1888</c:v>
                </c:pt>
                <c:pt idx="22">
                  <c:v>1889</c:v>
                </c:pt>
                <c:pt idx="23">
                  <c:v>1890</c:v>
                </c:pt>
                <c:pt idx="24">
                  <c:v>1891</c:v>
                </c:pt>
                <c:pt idx="25">
                  <c:v>1892</c:v>
                </c:pt>
                <c:pt idx="26">
                  <c:v>1893</c:v>
                </c:pt>
                <c:pt idx="27">
                  <c:v>1894</c:v>
                </c:pt>
                <c:pt idx="28">
                  <c:v>1895</c:v>
                </c:pt>
                <c:pt idx="29">
                  <c:v>1896</c:v>
                </c:pt>
                <c:pt idx="30">
                  <c:v>1897</c:v>
                </c:pt>
                <c:pt idx="31">
                  <c:v>1898</c:v>
                </c:pt>
                <c:pt idx="32">
                  <c:v>1899</c:v>
                </c:pt>
                <c:pt idx="33">
                  <c:v>1900</c:v>
                </c:pt>
                <c:pt idx="34">
                  <c:v>1901</c:v>
                </c:pt>
                <c:pt idx="35">
                  <c:v>1902</c:v>
                </c:pt>
                <c:pt idx="36">
                  <c:v>1903</c:v>
                </c:pt>
                <c:pt idx="37">
                  <c:v>1904</c:v>
                </c:pt>
                <c:pt idx="38">
                  <c:v>1905</c:v>
                </c:pt>
                <c:pt idx="39">
                  <c:v>1906</c:v>
                </c:pt>
                <c:pt idx="40">
                  <c:v>1907</c:v>
                </c:pt>
                <c:pt idx="41">
                  <c:v>1908</c:v>
                </c:pt>
                <c:pt idx="42">
                  <c:v>1909</c:v>
                </c:pt>
                <c:pt idx="43">
                  <c:v>1910</c:v>
                </c:pt>
                <c:pt idx="44">
                  <c:v>1911</c:v>
                </c:pt>
                <c:pt idx="45">
                  <c:v>1912</c:v>
                </c:pt>
              </c:numCache>
            </c:numRef>
          </c:xVal>
          <c:yVal>
            <c:numRef>
              <c:f>'рождаемость 1867-1912'!$C$4:$C$49</c:f>
              <c:numCache>
                <c:formatCode>0.0</c:formatCode>
                <c:ptCount val="46"/>
                <c:pt idx="0">
                  <c:v>50.162499999999987</c:v>
                </c:pt>
                <c:pt idx="1">
                  <c:v>50.162499999999987</c:v>
                </c:pt>
                <c:pt idx="2">
                  <c:v>50.162499999999987</c:v>
                </c:pt>
                <c:pt idx="3">
                  <c:v>50.162499999999987</c:v>
                </c:pt>
                <c:pt idx="4">
                  <c:v>50.162499999999987</c:v>
                </c:pt>
                <c:pt idx="5">
                  <c:v>50.162499999999987</c:v>
                </c:pt>
                <c:pt idx="6">
                  <c:v>50.162499999999987</c:v>
                </c:pt>
                <c:pt idx="7">
                  <c:v>50.162499999999987</c:v>
                </c:pt>
                <c:pt idx="8">
                  <c:v>50.162499999999987</c:v>
                </c:pt>
                <c:pt idx="9">
                  <c:v>50.162499999999987</c:v>
                </c:pt>
                <c:pt idx="10">
                  <c:v>50.162499999999987</c:v>
                </c:pt>
                <c:pt idx="11">
                  <c:v>50.162499999999987</c:v>
                </c:pt>
                <c:pt idx="12">
                  <c:v>50.162499999999987</c:v>
                </c:pt>
                <c:pt idx="13">
                  <c:v>50.162499999999987</c:v>
                </c:pt>
                <c:pt idx="14">
                  <c:v>50.162499999999987</c:v>
                </c:pt>
                <c:pt idx="15">
                  <c:v>50.162499999999987</c:v>
                </c:pt>
                <c:pt idx="16">
                  <c:v>50.162499999999987</c:v>
                </c:pt>
                <c:pt idx="17">
                  <c:v>50.162499999999987</c:v>
                </c:pt>
                <c:pt idx="18">
                  <c:v>50.162499999999987</c:v>
                </c:pt>
                <c:pt idx="19">
                  <c:v>50.162499999999987</c:v>
                </c:pt>
                <c:pt idx="20">
                  <c:v>50.162499999999987</c:v>
                </c:pt>
                <c:pt idx="21">
                  <c:v>50.162499999999987</c:v>
                </c:pt>
                <c:pt idx="22">
                  <c:v>50.162499999999987</c:v>
                </c:pt>
                <c:pt idx="23">
                  <c:v>50.162499999999987</c:v>
                </c:pt>
                <c:pt idx="24">
                  <c:v>50.162499999999987</c:v>
                </c:pt>
                <c:pt idx="25">
                  <c:v>50.162499999999987</c:v>
                </c:pt>
                <c:pt idx="26">
                  <c:v>50.162499999999987</c:v>
                </c:pt>
                <c:pt idx="27">
                  <c:v>50.162499999999987</c:v>
                </c:pt>
                <c:pt idx="28">
                  <c:v>50.162499999999987</c:v>
                </c:pt>
                <c:pt idx="29">
                  <c:v>50.162499999999987</c:v>
                </c:pt>
                <c:pt idx="30">
                  <c:v>50.162499999999987</c:v>
                </c:pt>
                <c:pt idx="31">
                  <c:v>50.162499999999987</c:v>
                </c:pt>
                <c:pt idx="32">
                  <c:v>50.162499999999987</c:v>
                </c:pt>
                <c:pt idx="33">
                  <c:v>50.162499999999987</c:v>
                </c:pt>
                <c:pt idx="34">
                  <c:v>50.162499999999987</c:v>
                </c:pt>
                <c:pt idx="35">
                  <c:v>50.162499999999987</c:v>
                </c:pt>
                <c:pt idx="36">
                  <c:v>50.162499999999987</c:v>
                </c:pt>
                <c:pt idx="37">
                  <c:v>50.162499999999987</c:v>
                </c:pt>
                <c:pt idx="38">
                  <c:v>50.162499999999987</c:v>
                </c:pt>
                <c:pt idx="39">
                  <c:v>50.162499999999987</c:v>
                </c:pt>
                <c:pt idx="40">
                  <c:v>50.162499999999987</c:v>
                </c:pt>
                <c:pt idx="41">
                  <c:v>50.162499999999987</c:v>
                </c:pt>
                <c:pt idx="42">
                  <c:v>50.162499999999987</c:v>
                </c:pt>
                <c:pt idx="43">
                  <c:v>50.162499999999987</c:v>
                </c:pt>
                <c:pt idx="44">
                  <c:v>50.162499999999987</c:v>
                </c:pt>
                <c:pt idx="45">
                  <c:v>50.162499999999987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08-4F1A-98BE-27A694543C28}"/>
            </c:ext>
          </c:extLst>
        </c:ser>
        <c:ser>
          <c:idx val="2"/>
          <c:order val="2"/>
          <c:tx>
            <c:strRef>
              <c:f>'рождаемость 1867-1912'!$D$3</c:f>
              <c:strCache>
                <c:ptCount val="1"/>
                <c:pt idx="0">
                  <c:v>минимум обычных колебаний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1867-1912'!$A$4:$A$49</c:f>
              <c:numCache>
                <c:formatCode>General</c:formatCode>
                <c:ptCount val="46"/>
                <c:pt idx="0">
                  <c:v>1867</c:v>
                </c:pt>
                <c:pt idx="1">
                  <c:v>1868</c:v>
                </c:pt>
                <c:pt idx="2">
                  <c:v>1869</c:v>
                </c:pt>
                <c:pt idx="3">
                  <c:v>1870</c:v>
                </c:pt>
                <c:pt idx="4">
                  <c:v>1871</c:v>
                </c:pt>
                <c:pt idx="5">
                  <c:v>1872</c:v>
                </c:pt>
                <c:pt idx="6">
                  <c:v>1873</c:v>
                </c:pt>
                <c:pt idx="7">
                  <c:v>1874</c:v>
                </c:pt>
                <c:pt idx="8">
                  <c:v>1875</c:v>
                </c:pt>
                <c:pt idx="9">
                  <c:v>1876</c:v>
                </c:pt>
                <c:pt idx="10">
                  <c:v>1877</c:v>
                </c:pt>
                <c:pt idx="11">
                  <c:v>1878</c:v>
                </c:pt>
                <c:pt idx="12">
                  <c:v>1879</c:v>
                </c:pt>
                <c:pt idx="13">
                  <c:v>1880</c:v>
                </c:pt>
                <c:pt idx="14">
                  <c:v>1881</c:v>
                </c:pt>
                <c:pt idx="15">
                  <c:v>1882</c:v>
                </c:pt>
                <c:pt idx="16">
                  <c:v>1883</c:v>
                </c:pt>
                <c:pt idx="17">
                  <c:v>1884</c:v>
                </c:pt>
                <c:pt idx="18">
                  <c:v>1885</c:v>
                </c:pt>
                <c:pt idx="19">
                  <c:v>1886</c:v>
                </c:pt>
                <c:pt idx="20">
                  <c:v>1887</c:v>
                </c:pt>
                <c:pt idx="21">
                  <c:v>1888</c:v>
                </c:pt>
                <c:pt idx="22">
                  <c:v>1889</c:v>
                </c:pt>
                <c:pt idx="23">
                  <c:v>1890</c:v>
                </c:pt>
                <c:pt idx="24">
                  <c:v>1891</c:v>
                </c:pt>
                <c:pt idx="25">
                  <c:v>1892</c:v>
                </c:pt>
                <c:pt idx="26">
                  <c:v>1893</c:v>
                </c:pt>
                <c:pt idx="27">
                  <c:v>1894</c:v>
                </c:pt>
                <c:pt idx="28">
                  <c:v>1895</c:v>
                </c:pt>
                <c:pt idx="29">
                  <c:v>1896</c:v>
                </c:pt>
                <c:pt idx="30">
                  <c:v>1897</c:v>
                </c:pt>
                <c:pt idx="31">
                  <c:v>1898</c:v>
                </c:pt>
                <c:pt idx="32">
                  <c:v>1899</c:v>
                </c:pt>
                <c:pt idx="33">
                  <c:v>1900</c:v>
                </c:pt>
                <c:pt idx="34">
                  <c:v>1901</c:v>
                </c:pt>
                <c:pt idx="35">
                  <c:v>1902</c:v>
                </c:pt>
                <c:pt idx="36">
                  <c:v>1903</c:v>
                </c:pt>
                <c:pt idx="37">
                  <c:v>1904</c:v>
                </c:pt>
                <c:pt idx="38">
                  <c:v>1905</c:v>
                </c:pt>
                <c:pt idx="39">
                  <c:v>1906</c:v>
                </c:pt>
                <c:pt idx="40">
                  <c:v>1907</c:v>
                </c:pt>
                <c:pt idx="41">
                  <c:v>1908</c:v>
                </c:pt>
                <c:pt idx="42">
                  <c:v>1909</c:v>
                </c:pt>
                <c:pt idx="43">
                  <c:v>1910</c:v>
                </c:pt>
                <c:pt idx="44">
                  <c:v>1911</c:v>
                </c:pt>
                <c:pt idx="45">
                  <c:v>1912</c:v>
                </c:pt>
              </c:numCache>
            </c:numRef>
          </c:xVal>
          <c:yVal>
            <c:numRef>
              <c:f>'рождаемость 1867-1912'!$D$4:$D$49</c:f>
              <c:numCache>
                <c:formatCode>0.0</c:formatCode>
                <c:ptCount val="46"/>
                <c:pt idx="0">
                  <c:v>48.6</c:v>
                </c:pt>
                <c:pt idx="1">
                  <c:v>48.6</c:v>
                </c:pt>
                <c:pt idx="2">
                  <c:v>48.6</c:v>
                </c:pt>
                <c:pt idx="3">
                  <c:v>48.6</c:v>
                </c:pt>
                <c:pt idx="4">
                  <c:v>48.6</c:v>
                </c:pt>
                <c:pt idx="5">
                  <c:v>48.6</c:v>
                </c:pt>
                <c:pt idx="6">
                  <c:v>48.6</c:v>
                </c:pt>
                <c:pt idx="7">
                  <c:v>48.6</c:v>
                </c:pt>
                <c:pt idx="8">
                  <c:v>48.6</c:v>
                </c:pt>
                <c:pt idx="9">
                  <c:v>48.6</c:v>
                </c:pt>
                <c:pt idx="10">
                  <c:v>48.6</c:v>
                </c:pt>
                <c:pt idx="11">
                  <c:v>48.6</c:v>
                </c:pt>
                <c:pt idx="12">
                  <c:v>48.6</c:v>
                </c:pt>
                <c:pt idx="13">
                  <c:v>48.6</c:v>
                </c:pt>
                <c:pt idx="14">
                  <c:v>48.6</c:v>
                </c:pt>
                <c:pt idx="15">
                  <c:v>48.6</c:v>
                </c:pt>
                <c:pt idx="16">
                  <c:v>48.6</c:v>
                </c:pt>
                <c:pt idx="17">
                  <c:v>48.6</c:v>
                </c:pt>
                <c:pt idx="18">
                  <c:v>48.6</c:v>
                </c:pt>
                <c:pt idx="19">
                  <c:v>48.6</c:v>
                </c:pt>
                <c:pt idx="20">
                  <c:v>48.6</c:v>
                </c:pt>
                <c:pt idx="21">
                  <c:v>48.6</c:v>
                </c:pt>
                <c:pt idx="22">
                  <c:v>48.6</c:v>
                </c:pt>
                <c:pt idx="23">
                  <c:v>48.6</c:v>
                </c:pt>
                <c:pt idx="24">
                  <c:v>48.6</c:v>
                </c:pt>
                <c:pt idx="25">
                  <c:v>48.6</c:v>
                </c:pt>
                <c:pt idx="26">
                  <c:v>48.6</c:v>
                </c:pt>
                <c:pt idx="27">
                  <c:v>48.6</c:v>
                </c:pt>
                <c:pt idx="28">
                  <c:v>48.6</c:v>
                </c:pt>
                <c:pt idx="29">
                  <c:v>48.6</c:v>
                </c:pt>
                <c:pt idx="30">
                  <c:v>48.6</c:v>
                </c:pt>
                <c:pt idx="31">
                  <c:v>48.6</c:v>
                </c:pt>
                <c:pt idx="32">
                  <c:v>48.6</c:v>
                </c:pt>
                <c:pt idx="33">
                  <c:v>48.6</c:v>
                </c:pt>
                <c:pt idx="34">
                  <c:v>48.6</c:v>
                </c:pt>
                <c:pt idx="35">
                  <c:v>48.6</c:v>
                </c:pt>
                <c:pt idx="36">
                  <c:v>48.6</c:v>
                </c:pt>
                <c:pt idx="37">
                  <c:v>48.6</c:v>
                </c:pt>
                <c:pt idx="38">
                  <c:v>48.6</c:v>
                </c:pt>
                <c:pt idx="39">
                  <c:v>48.6</c:v>
                </c:pt>
                <c:pt idx="40">
                  <c:v>48.6</c:v>
                </c:pt>
                <c:pt idx="41">
                  <c:v>48.6</c:v>
                </c:pt>
                <c:pt idx="42">
                  <c:v>48.6</c:v>
                </c:pt>
                <c:pt idx="43">
                  <c:v>48.6</c:v>
                </c:pt>
                <c:pt idx="44">
                  <c:v>48.6</c:v>
                </c:pt>
                <c:pt idx="45">
                  <c:v>48.6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08-4F1A-98BE-27A694543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550592"/>
        <c:axId val="734551576"/>
      </c:scatterChart>
      <c:valAx>
        <c:axId val="734550592"/>
        <c:scaling>
          <c:orientation val="minMax"/>
          <c:min val="186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4551576"/>
        <c:crosses val="autoZero"/>
        <c:crossBetween val="midCat"/>
      </c:valAx>
      <c:valAx>
        <c:axId val="73455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4550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585786</xdr:colOff>
      <xdr:row>2</xdr:row>
      <xdr:rowOff>80962</xdr:rowOff>
    </xdr:from>
    <xdr:to>
      <xdr:col>22</xdr:col>
      <xdr:colOff>38099</xdr:colOff>
      <xdr:row>41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E8ABF5-0C1B-48E8-A9C6-5E4F4BF54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B771A-5E00-4BB5-A7A0-4E9C4D6107D4}">
  <dimension ref="A1:L50"/>
  <sheetViews>
    <sheetView workbookViewId="0">
      <selection activeCell="S29" sqref="S29"/>
    </sheetView>
  </sheetViews>
  <sheetFormatPr defaultRowHeight="15" x14ac:dyDescent="0.25"/>
  <sheetData>
    <row r="1" spans="1:12" ht="18.75" x14ac:dyDescent="0.3">
      <c r="A1" s="4" t="s">
        <v>4</v>
      </c>
    </row>
    <row r="2" spans="1:12" x14ac:dyDescent="0.25">
      <c r="A2" t="s">
        <v>5</v>
      </c>
    </row>
    <row r="4" spans="1:12" x14ac:dyDescent="0.25">
      <c r="A4" t="s">
        <v>6</v>
      </c>
    </row>
    <row r="5" spans="1:12" x14ac:dyDescent="0.25">
      <c r="A5" t="s">
        <v>7</v>
      </c>
      <c r="J5" s="2"/>
      <c r="K5" s="2"/>
      <c r="L5" s="2"/>
    </row>
    <row r="6" spans="1:12" x14ac:dyDescent="0.25">
      <c r="J6" s="2"/>
      <c r="K6" s="2"/>
      <c r="L6" s="2"/>
    </row>
    <row r="7" spans="1:12" x14ac:dyDescent="0.25">
      <c r="J7" s="2"/>
      <c r="K7" s="2"/>
      <c r="L7" s="2"/>
    </row>
    <row r="8" spans="1:12" x14ac:dyDescent="0.25">
      <c r="J8" s="2"/>
      <c r="K8" s="2"/>
      <c r="L8" s="2"/>
    </row>
    <row r="9" spans="1:12" x14ac:dyDescent="0.25">
      <c r="J9" s="2"/>
      <c r="K9" s="2"/>
      <c r="L9" s="2"/>
    </row>
    <row r="10" spans="1:12" x14ac:dyDescent="0.25">
      <c r="J10" s="2"/>
      <c r="K10" s="2"/>
      <c r="L10" s="2"/>
    </row>
    <row r="11" spans="1:12" x14ac:dyDescent="0.25">
      <c r="J11" s="2"/>
      <c r="K11" s="2"/>
      <c r="L11" s="2"/>
    </row>
    <row r="12" spans="1:12" x14ac:dyDescent="0.25">
      <c r="J12" s="2"/>
      <c r="K12" s="2"/>
      <c r="L12" s="2"/>
    </row>
    <row r="13" spans="1:12" x14ac:dyDescent="0.25">
      <c r="J13" s="2"/>
      <c r="K13" s="2"/>
      <c r="L13" s="2"/>
    </row>
    <row r="14" spans="1:12" x14ac:dyDescent="0.25">
      <c r="J14" s="2"/>
      <c r="K14" s="2"/>
      <c r="L14" s="2"/>
    </row>
    <row r="15" spans="1:12" x14ac:dyDescent="0.25">
      <c r="J15" s="2"/>
      <c r="K15" s="2"/>
      <c r="L15" s="2"/>
    </row>
    <row r="16" spans="1:12" x14ac:dyDescent="0.25">
      <c r="J16" s="2"/>
      <c r="K16" s="2"/>
      <c r="L16" s="2"/>
    </row>
    <row r="17" spans="10:12" x14ac:dyDescent="0.25">
      <c r="J17" s="2"/>
      <c r="K17" s="2"/>
      <c r="L17" s="2"/>
    </row>
    <row r="18" spans="10:12" x14ac:dyDescent="0.25">
      <c r="J18" s="2"/>
      <c r="K18" s="2"/>
      <c r="L18" s="2"/>
    </row>
    <row r="19" spans="10:12" x14ac:dyDescent="0.25">
      <c r="J19" s="2"/>
      <c r="K19" s="2"/>
      <c r="L19" s="2"/>
    </row>
    <row r="20" spans="10:12" x14ac:dyDescent="0.25">
      <c r="J20" s="2"/>
      <c r="K20" s="2"/>
      <c r="L20" s="2"/>
    </row>
    <row r="21" spans="10:12" x14ac:dyDescent="0.25">
      <c r="J21" s="2"/>
      <c r="K21" s="2"/>
      <c r="L21" s="2"/>
    </row>
    <row r="22" spans="10:12" x14ac:dyDescent="0.25">
      <c r="J22" s="2"/>
      <c r="K22" s="2"/>
      <c r="L22" s="2"/>
    </row>
    <row r="23" spans="10:12" x14ac:dyDescent="0.25">
      <c r="J23" s="2"/>
      <c r="K23" s="2"/>
      <c r="L23" s="2"/>
    </row>
    <row r="24" spans="10:12" x14ac:dyDescent="0.25">
      <c r="J24" s="2"/>
      <c r="K24" s="2"/>
      <c r="L24" s="2"/>
    </row>
    <row r="25" spans="10:12" x14ac:dyDescent="0.25">
      <c r="J25" s="2"/>
      <c r="K25" s="2"/>
      <c r="L25" s="2"/>
    </row>
    <row r="26" spans="10:12" x14ac:dyDescent="0.25">
      <c r="J26" s="2"/>
      <c r="K26" s="2"/>
      <c r="L26" s="2"/>
    </row>
    <row r="27" spans="10:12" x14ac:dyDescent="0.25">
      <c r="J27" s="2"/>
      <c r="K27" s="2"/>
      <c r="L27" s="2"/>
    </row>
    <row r="28" spans="10:12" x14ac:dyDescent="0.25">
      <c r="J28" s="2"/>
      <c r="K28" s="2"/>
      <c r="L28" s="2"/>
    </row>
    <row r="29" spans="10:12" x14ac:dyDescent="0.25">
      <c r="J29" s="2"/>
      <c r="K29" s="2"/>
      <c r="L29" s="2"/>
    </row>
    <row r="30" spans="10:12" x14ac:dyDescent="0.25">
      <c r="J30" s="2"/>
      <c r="K30" s="2"/>
      <c r="L30" s="2"/>
    </row>
    <row r="31" spans="10:12" x14ac:dyDescent="0.25">
      <c r="J31" s="2"/>
      <c r="K31" s="2"/>
      <c r="L31" s="2"/>
    </row>
    <row r="32" spans="10:12" x14ac:dyDescent="0.25">
      <c r="J32" s="2"/>
      <c r="K32" s="2"/>
      <c r="L32" s="2"/>
    </row>
    <row r="33" spans="10:12" x14ac:dyDescent="0.25">
      <c r="J33" s="2"/>
      <c r="K33" s="2"/>
      <c r="L33" s="2"/>
    </row>
    <row r="34" spans="10:12" x14ac:dyDescent="0.25">
      <c r="J34" s="2"/>
      <c r="K34" s="2"/>
      <c r="L34" s="2"/>
    </row>
    <row r="35" spans="10:12" x14ac:dyDescent="0.25">
      <c r="J35" s="2"/>
      <c r="K35" s="2"/>
      <c r="L35" s="2"/>
    </row>
    <row r="36" spans="10:12" x14ac:dyDescent="0.25">
      <c r="J36" s="2"/>
      <c r="K36" s="2"/>
      <c r="L36" s="2"/>
    </row>
    <row r="37" spans="10:12" x14ac:dyDescent="0.25">
      <c r="J37" s="2"/>
      <c r="K37" s="2"/>
      <c r="L37" s="2"/>
    </row>
    <row r="38" spans="10:12" x14ac:dyDescent="0.25">
      <c r="J38" s="2"/>
      <c r="K38" s="2"/>
      <c r="L38" s="2"/>
    </row>
    <row r="39" spans="10:12" x14ac:dyDescent="0.25">
      <c r="J39" s="2"/>
      <c r="K39" s="2"/>
      <c r="L39" s="2"/>
    </row>
    <row r="40" spans="10:12" x14ac:dyDescent="0.25">
      <c r="J40" s="2"/>
      <c r="K40" s="2"/>
      <c r="L40" s="2"/>
    </row>
    <row r="41" spans="10:12" x14ac:dyDescent="0.25">
      <c r="J41" s="2"/>
      <c r="K41" s="2"/>
      <c r="L41" s="2"/>
    </row>
    <row r="42" spans="10:12" x14ac:dyDescent="0.25">
      <c r="J42" s="2"/>
      <c r="K42" s="2"/>
      <c r="L42" s="2"/>
    </row>
    <row r="43" spans="10:12" x14ac:dyDescent="0.25">
      <c r="J43" s="2"/>
      <c r="K43" s="2"/>
      <c r="L43" s="2"/>
    </row>
    <row r="44" spans="10:12" x14ac:dyDescent="0.25">
      <c r="J44" s="2"/>
      <c r="K44" s="2"/>
      <c r="L44" s="2"/>
    </row>
    <row r="45" spans="10:12" x14ac:dyDescent="0.25">
      <c r="J45" s="2"/>
      <c r="K45" s="2"/>
      <c r="L45" s="2"/>
    </row>
    <row r="46" spans="10:12" x14ac:dyDescent="0.25">
      <c r="J46" s="2"/>
      <c r="K46" s="2"/>
      <c r="L46" s="2"/>
    </row>
    <row r="47" spans="10:12" x14ac:dyDescent="0.25">
      <c r="J47" s="2"/>
      <c r="K47" s="2"/>
      <c r="L47" s="2"/>
    </row>
    <row r="48" spans="10:12" x14ac:dyDescent="0.25">
      <c r="J48" s="2"/>
      <c r="K48" s="2"/>
      <c r="L48" s="2"/>
    </row>
    <row r="49" spans="10:12" x14ac:dyDescent="0.25">
      <c r="J49" s="2"/>
      <c r="K49" s="2"/>
      <c r="L49" s="2"/>
    </row>
    <row r="50" spans="10:12" x14ac:dyDescent="0.25">
      <c r="J50" s="2"/>
      <c r="K50" s="2"/>
      <c r="L50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03FA0-34BA-432F-9BEC-D86C310BB3B8}">
  <dimension ref="A1:G49"/>
  <sheetViews>
    <sheetView workbookViewId="0">
      <pane ySplit="3" topLeftCell="A4" activePane="bottomLeft" state="frozen"/>
      <selection pane="bottomLeft" activeCell="G7" sqref="G7"/>
    </sheetView>
  </sheetViews>
  <sheetFormatPr defaultRowHeight="15" x14ac:dyDescent="0.25"/>
  <sheetData>
    <row r="1" spans="1:7" ht="18.75" x14ac:dyDescent="0.3">
      <c r="A1" s="4" t="s">
        <v>4</v>
      </c>
    </row>
    <row r="2" spans="1:7" x14ac:dyDescent="0.25">
      <c r="F2" s="5"/>
      <c r="G2" s="5"/>
    </row>
    <row r="3" spans="1:7" x14ac:dyDescent="0.25">
      <c r="A3" s="3" t="s">
        <v>0</v>
      </c>
      <c r="B3" s="3" t="s">
        <v>1</v>
      </c>
      <c r="C3" s="3" t="s">
        <v>2</v>
      </c>
      <c r="D3" s="3" t="s">
        <v>3</v>
      </c>
      <c r="F3" s="6"/>
      <c r="G3" s="6"/>
    </row>
    <row r="4" spans="1:7" x14ac:dyDescent="0.25">
      <c r="A4">
        <v>1867</v>
      </c>
      <c r="B4" s="2">
        <v>62550</v>
      </c>
      <c r="C4" s="1">
        <v>51.2</v>
      </c>
      <c r="D4" s="1">
        <v>36.799999999999997</v>
      </c>
      <c r="F4" s="7"/>
      <c r="G4" s="7"/>
    </row>
    <row r="5" spans="1:7" x14ac:dyDescent="0.25">
      <c r="A5">
        <f t="shared" ref="A5:A49" si="0">A4+1</f>
        <v>1868</v>
      </c>
      <c r="B5" s="2">
        <v>63400</v>
      </c>
      <c r="C5" s="1">
        <v>48.8</v>
      </c>
      <c r="D5" s="1">
        <v>39.700000000000003</v>
      </c>
      <c r="F5" s="1"/>
      <c r="G5" s="1"/>
    </row>
    <row r="6" spans="1:7" x14ac:dyDescent="0.25">
      <c r="A6">
        <f t="shared" si="0"/>
        <v>1869</v>
      </c>
      <c r="B6" s="2">
        <v>63950</v>
      </c>
      <c r="C6" s="1">
        <v>49.7</v>
      </c>
      <c r="D6" s="1">
        <v>38.299999999999997</v>
      </c>
      <c r="F6" s="1"/>
      <c r="G6" s="1"/>
    </row>
    <row r="7" spans="1:7" x14ac:dyDescent="0.25">
      <c r="A7">
        <f t="shared" si="0"/>
        <v>1870</v>
      </c>
      <c r="B7" s="2">
        <v>64660</v>
      </c>
      <c r="C7" s="1">
        <v>49.2</v>
      </c>
      <c r="D7" s="1">
        <v>35</v>
      </c>
      <c r="F7" s="1"/>
      <c r="G7" s="1"/>
    </row>
    <row r="8" spans="1:7" x14ac:dyDescent="0.25">
      <c r="A8">
        <f t="shared" si="0"/>
        <v>1871</v>
      </c>
      <c r="B8" s="2">
        <v>65540</v>
      </c>
      <c r="C8" s="1">
        <v>51</v>
      </c>
      <c r="D8" s="1">
        <v>37.9</v>
      </c>
      <c r="F8" s="1"/>
      <c r="G8" s="1"/>
    </row>
    <row r="9" spans="1:7" x14ac:dyDescent="0.25">
      <c r="A9">
        <f t="shared" si="0"/>
        <v>1872</v>
      </c>
      <c r="B9" s="2">
        <v>66310</v>
      </c>
      <c r="C9" s="1">
        <v>50</v>
      </c>
      <c r="D9" s="1">
        <v>41.2</v>
      </c>
      <c r="F9" s="1"/>
      <c r="G9" s="1"/>
    </row>
    <row r="10" spans="1:7" x14ac:dyDescent="0.25">
      <c r="A10">
        <f t="shared" si="0"/>
        <v>1873</v>
      </c>
      <c r="B10" s="2">
        <v>66860</v>
      </c>
      <c r="C10" s="1">
        <v>52.3</v>
      </c>
      <c r="D10" s="1">
        <v>36.5</v>
      </c>
      <c r="F10" s="1"/>
      <c r="G10" s="1"/>
    </row>
    <row r="11" spans="1:7" x14ac:dyDescent="0.25">
      <c r="A11">
        <f t="shared" si="0"/>
        <v>1874</v>
      </c>
      <c r="B11" s="2">
        <v>67860</v>
      </c>
      <c r="C11" s="1">
        <v>51.4</v>
      </c>
      <c r="D11" s="1">
        <v>35.200000000000003</v>
      </c>
      <c r="F11" s="1"/>
      <c r="G11" s="1"/>
    </row>
    <row r="12" spans="1:7" x14ac:dyDescent="0.25">
      <c r="A12">
        <f t="shared" si="0"/>
        <v>1875</v>
      </c>
      <c r="B12" s="2">
        <v>68960</v>
      </c>
      <c r="C12" s="1">
        <v>51.5</v>
      </c>
      <c r="D12" s="1">
        <v>34.6</v>
      </c>
      <c r="F12" s="1"/>
      <c r="G12" s="1"/>
    </row>
    <row r="13" spans="1:7" x14ac:dyDescent="0.25">
      <c r="A13">
        <f t="shared" si="0"/>
        <v>1876</v>
      </c>
      <c r="B13" s="2">
        <v>70100</v>
      </c>
      <c r="C13" s="1">
        <v>50.6</v>
      </c>
      <c r="D13" s="1">
        <v>34.9</v>
      </c>
      <c r="F13" s="1"/>
      <c r="G13" s="1"/>
    </row>
    <row r="14" spans="1:7" x14ac:dyDescent="0.25">
      <c r="A14">
        <f t="shared" si="0"/>
        <v>1877</v>
      </c>
      <c r="B14" s="2">
        <v>71200</v>
      </c>
      <c r="C14" s="1">
        <v>49.6</v>
      </c>
      <c r="D14" s="1">
        <v>34.4</v>
      </c>
      <c r="F14" s="1"/>
      <c r="G14" s="1"/>
    </row>
    <row r="15" spans="1:7" x14ac:dyDescent="0.25">
      <c r="A15">
        <f t="shared" si="0"/>
        <v>1878</v>
      </c>
      <c r="B15" s="2">
        <v>72270</v>
      </c>
      <c r="C15" s="1">
        <v>47.3</v>
      </c>
      <c r="D15" s="1">
        <v>38.200000000000003</v>
      </c>
      <c r="F15" s="1"/>
      <c r="G15" s="1"/>
    </row>
    <row r="16" spans="1:7" x14ac:dyDescent="0.25">
      <c r="A16">
        <f t="shared" si="0"/>
        <v>1879</v>
      </c>
      <c r="B16" s="2">
        <v>72920</v>
      </c>
      <c r="C16" s="1">
        <v>50.2</v>
      </c>
      <c r="D16" s="1">
        <v>34.799999999999997</v>
      </c>
      <c r="F16" s="1"/>
      <c r="G16" s="1"/>
    </row>
    <row r="17" spans="1:7" x14ac:dyDescent="0.25">
      <c r="A17">
        <f t="shared" si="0"/>
        <v>1880</v>
      </c>
      <c r="B17" s="2">
        <v>74020</v>
      </c>
      <c r="C17" s="1">
        <v>49.7</v>
      </c>
      <c r="D17" s="1">
        <v>36.1</v>
      </c>
      <c r="F17" s="1"/>
      <c r="G17" s="1"/>
    </row>
    <row r="18" spans="1:7" x14ac:dyDescent="0.25">
      <c r="A18">
        <f t="shared" si="0"/>
        <v>1881</v>
      </c>
      <c r="B18" s="2">
        <v>75010</v>
      </c>
      <c r="C18" s="1">
        <v>49.1</v>
      </c>
      <c r="D18" s="1">
        <v>34.1</v>
      </c>
      <c r="F18" s="1"/>
      <c r="G18" s="1"/>
    </row>
    <row r="19" spans="1:7" x14ac:dyDescent="0.25">
      <c r="A19">
        <f t="shared" si="0"/>
        <v>1882</v>
      </c>
      <c r="B19" s="2">
        <v>76060</v>
      </c>
      <c r="C19" s="1">
        <v>51.6</v>
      </c>
      <c r="D19" s="1">
        <v>40.4</v>
      </c>
      <c r="F19" s="1"/>
      <c r="G19" s="1"/>
    </row>
    <row r="20" spans="1:7" x14ac:dyDescent="0.25">
      <c r="A20">
        <f t="shared" si="0"/>
        <v>1883</v>
      </c>
      <c r="B20" s="2">
        <v>76852</v>
      </c>
      <c r="C20" s="1">
        <v>50.6</v>
      </c>
      <c r="D20" s="1">
        <v>37.5</v>
      </c>
      <c r="F20" s="1"/>
      <c r="G20" s="1"/>
    </row>
    <row r="21" spans="1:7" x14ac:dyDescent="0.25">
      <c r="A21">
        <f t="shared" si="0"/>
        <v>1884</v>
      </c>
      <c r="B21" s="2">
        <v>77812</v>
      </c>
      <c r="C21" s="1">
        <v>51.5</v>
      </c>
      <c r="D21" s="1">
        <v>34.5</v>
      </c>
      <c r="F21" s="1"/>
      <c r="G21" s="1"/>
    </row>
    <row r="22" spans="1:7" x14ac:dyDescent="0.25">
      <c r="A22">
        <f t="shared" si="0"/>
        <v>1885</v>
      </c>
      <c r="B22" s="2">
        <v>79112</v>
      </c>
      <c r="C22" s="1">
        <v>50</v>
      </c>
      <c r="D22" s="1">
        <v>35.799999999999997</v>
      </c>
      <c r="F22" s="1"/>
      <c r="G22" s="1"/>
    </row>
    <row r="23" spans="1:7" x14ac:dyDescent="0.25">
      <c r="A23">
        <f t="shared" si="0"/>
        <v>1886</v>
      </c>
      <c r="B23" s="2">
        <v>80212</v>
      </c>
      <c r="C23" s="1">
        <v>49.5</v>
      </c>
      <c r="D23" s="1">
        <v>33.200000000000003</v>
      </c>
      <c r="F23" s="1"/>
      <c r="G23" s="1"/>
    </row>
    <row r="24" spans="1:7" x14ac:dyDescent="0.25">
      <c r="A24">
        <f t="shared" si="0"/>
        <v>1887</v>
      </c>
      <c r="B24" s="2">
        <v>81472</v>
      </c>
      <c r="C24" s="1">
        <v>49.9</v>
      </c>
      <c r="D24" s="1">
        <v>33.799999999999997</v>
      </c>
      <c r="F24" s="1"/>
      <c r="G24" s="1"/>
    </row>
    <row r="25" spans="1:7" x14ac:dyDescent="0.25">
      <c r="A25">
        <f t="shared" si="0"/>
        <v>1888</v>
      </c>
      <c r="B25" s="2">
        <v>82722</v>
      </c>
      <c r="C25" s="1">
        <v>51.6</v>
      </c>
      <c r="D25" s="1">
        <v>33.4</v>
      </c>
      <c r="F25" s="1"/>
      <c r="G25" s="1"/>
    </row>
    <row r="26" spans="1:7" x14ac:dyDescent="0.25">
      <c r="A26">
        <f t="shared" si="0"/>
        <v>1889</v>
      </c>
      <c r="B26" s="2">
        <v>84182</v>
      </c>
      <c r="C26" s="1">
        <v>50.3</v>
      </c>
      <c r="D26" s="1">
        <v>35.5</v>
      </c>
      <c r="F26" s="1"/>
      <c r="G26" s="1"/>
    </row>
    <row r="27" spans="1:7" x14ac:dyDescent="0.25">
      <c r="A27">
        <f t="shared" si="0"/>
        <v>1890</v>
      </c>
      <c r="B27" s="2">
        <v>85282</v>
      </c>
      <c r="C27" s="1">
        <v>49.6</v>
      </c>
      <c r="D27" s="1">
        <v>36.700000000000003</v>
      </c>
      <c r="F27" s="1"/>
      <c r="G27" s="1"/>
    </row>
    <row r="28" spans="1:7" x14ac:dyDescent="0.25">
      <c r="A28">
        <f t="shared" si="0"/>
        <v>1891</v>
      </c>
      <c r="B28" s="2">
        <v>86480</v>
      </c>
      <c r="C28" s="1">
        <v>50.6</v>
      </c>
      <c r="D28" s="1">
        <v>35.799999999999997</v>
      </c>
      <c r="F28" s="1"/>
      <c r="G28" s="1"/>
    </row>
    <row r="29" spans="1:7" x14ac:dyDescent="0.25">
      <c r="A29">
        <f t="shared" si="0"/>
        <v>1892</v>
      </c>
      <c r="B29" s="2">
        <v>87679</v>
      </c>
      <c r="C29" s="1">
        <v>46</v>
      </c>
      <c r="D29" s="1">
        <v>41</v>
      </c>
      <c r="F29" s="1"/>
      <c r="G29" s="1"/>
    </row>
    <row r="30" spans="1:7" x14ac:dyDescent="0.25">
      <c r="A30">
        <f t="shared" si="0"/>
        <v>1893</v>
      </c>
      <c r="B30" s="2">
        <v>88100</v>
      </c>
      <c r="C30" s="1">
        <v>48.8</v>
      </c>
      <c r="D30" s="1">
        <v>34.4</v>
      </c>
      <c r="F30" s="1"/>
      <c r="G30" s="1"/>
    </row>
    <row r="31" spans="1:7" x14ac:dyDescent="0.25">
      <c r="A31">
        <f t="shared" si="0"/>
        <v>1894</v>
      </c>
      <c r="B31" s="2">
        <v>89341</v>
      </c>
      <c r="C31" s="1">
        <v>49.2</v>
      </c>
      <c r="D31" s="1">
        <v>34.299999999999997</v>
      </c>
      <c r="F31" s="1"/>
      <c r="G31" s="1"/>
    </row>
    <row r="32" spans="1:7" x14ac:dyDescent="0.25">
      <c r="A32">
        <f t="shared" si="0"/>
        <v>1895</v>
      </c>
      <c r="B32" s="2">
        <v>90652</v>
      </c>
      <c r="C32" s="1">
        <v>50.1</v>
      </c>
      <c r="D32" s="1">
        <v>35.5</v>
      </c>
      <c r="F32" s="1"/>
      <c r="G32" s="1"/>
    </row>
    <row r="33" spans="1:7" x14ac:dyDescent="0.25">
      <c r="A33">
        <f t="shared" si="0"/>
        <v>1896</v>
      </c>
      <c r="B33" s="2">
        <v>91943</v>
      </c>
      <c r="C33" s="1">
        <v>50.4</v>
      </c>
      <c r="D33" s="1">
        <v>33.299999999999997</v>
      </c>
      <c r="F33" s="1"/>
      <c r="G33" s="1"/>
    </row>
    <row r="34" spans="1:7" x14ac:dyDescent="0.25">
      <c r="A34">
        <f t="shared" si="0"/>
        <v>1897</v>
      </c>
      <c r="B34" s="2">
        <v>93779</v>
      </c>
      <c r="C34" s="1">
        <v>50</v>
      </c>
      <c r="D34" s="1">
        <v>31.7</v>
      </c>
      <c r="F34" s="1"/>
      <c r="G34" s="1"/>
    </row>
    <row r="35" spans="1:7" x14ac:dyDescent="0.25">
      <c r="A35">
        <f t="shared" si="0"/>
        <v>1898</v>
      </c>
      <c r="B35" s="2">
        <v>95159</v>
      </c>
      <c r="C35" s="1">
        <v>48.6</v>
      </c>
      <c r="D35" s="1">
        <v>33.200000000000003</v>
      </c>
      <c r="F35" s="1"/>
      <c r="G35" s="1"/>
    </row>
    <row r="36" spans="1:7" x14ac:dyDescent="0.25">
      <c r="A36">
        <f t="shared" si="0"/>
        <v>1899</v>
      </c>
      <c r="B36" s="2">
        <v>96628</v>
      </c>
      <c r="C36" s="1">
        <v>49.3</v>
      </c>
      <c r="D36" s="1">
        <v>31.2</v>
      </c>
      <c r="F36" s="1"/>
      <c r="G36" s="1"/>
    </row>
    <row r="37" spans="1:7" x14ac:dyDescent="0.25">
      <c r="A37">
        <f t="shared" si="0"/>
        <v>1900</v>
      </c>
      <c r="B37" s="2">
        <v>98379</v>
      </c>
      <c r="C37" s="1">
        <v>49.3</v>
      </c>
      <c r="D37" s="1">
        <v>31.1</v>
      </c>
      <c r="F37" s="1"/>
      <c r="G37" s="1"/>
    </row>
    <row r="38" spans="1:7" x14ac:dyDescent="0.25">
      <c r="A38">
        <f t="shared" si="0"/>
        <v>1901</v>
      </c>
      <c r="B38" s="2">
        <v>100172</v>
      </c>
      <c r="C38" s="1">
        <v>47.9</v>
      </c>
      <c r="D38" s="1">
        <v>32.1</v>
      </c>
      <c r="F38" s="1"/>
      <c r="G38" s="1"/>
    </row>
    <row r="39" spans="1:7" x14ac:dyDescent="0.25">
      <c r="A39">
        <f t="shared" si="0"/>
        <v>1902</v>
      </c>
      <c r="B39" s="2">
        <v>101634</v>
      </c>
      <c r="C39" s="1">
        <v>49.1</v>
      </c>
      <c r="D39" s="1">
        <v>31.5</v>
      </c>
      <c r="F39" s="1"/>
      <c r="G39" s="1"/>
    </row>
    <row r="40" spans="1:7" x14ac:dyDescent="0.25">
      <c r="A40">
        <f t="shared" si="0"/>
        <v>1903</v>
      </c>
      <c r="B40" s="2">
        <v>103423</v>
      </c>
      <c r="C40" s="1">
        <v>48.1</v>
      </c>
      <c r="D40" s="1">
        <v>30</v>
      </c>
      <c r="F40" s="1"/>
      <c r="G40" s="1"/>
    </row>
    <row r="41" spans="1:7" x14ac:dyDescent="0.25">
      <c r="A41">
        <f t="shared" si="0"/>
        <v>1904</v>
      </c>
      <c r="B41" s="2">
        <v>105430</v>
      </c>
      <c r="C41" s="1">
        <v>48.6</v>
      </c>
      <c r="D41" s="1">
        <v>29.9</v>
      </c>
      <c r="F41" s="1"/>
      <c r="G41" s="1"/>
    </row>
    <row r="42" spans="1:7" x14ac:dyDescent="0.25">
      <c r="A42">
        <f t="shared" si="0"/>
        <v>1905</v>
      </c>
      <c r="B42" s="2">
        <v>107393</v>
      </c>
      <c r="C42" s="1">
        <v>44.9</v>
      </c>
      <c r="D42" s="1">
        <v>31.8</v>
      </c>
      <c r="F42" s="1"/>
      <c r="G42" s="1"/>
    </row>
    <row r="43" spans="1:7" x14ac:dyDescent="0.25">
      <c r="A43">
        <f t="shared" si="0"/>
        <v>1906</v>
      </c>
      <c r="B43" s="2">
        <v>108803</v>
      </c>
      <c r="C43" s="1">
        <v>47</v>
      </c>
      <c r="D43" s="1">
        <v>29.9</v>
      </c>
      <c r="F43" s="1"/>
      <c r="G43" s="1"/>
    </row>
    <row r="44" spans="1:7" x14ac:dyDescent="0.25">
      <c r="A44">
        <f t="shared" si="0"/>
        <v>1907</v>
      </c>
      <c r="B44" s="2">
        <v>110650</v>
      </c>
      <c r="C44" s="1">
        <v>47.2</v>
      </c>
      <c r="D44" s="1">
        <v>28.5</v>
      </c>
      <c r="F44" s="1"/>
      <c r="G44" s="1"/>
    </row>
    <row r="45" spans="1:7" x14ac:dyDescent="0.25">
      <c r="A45">
        <f t="shared" si="0"/>
        <v>1908</v>
      </c>
      <c r="B45" s="2">
        <v>112731</v>
      </c>
      <c r="C45" s="1">
        <v>44.7</v>
      </c>
      <c r="D45" s="1">
        <v>28.3</v>
      </c>
      <c r="F45" s="1"/>
      <c r="G45" s="1"/>
    </row>
    <row r="46" spans="1:7" x14ac:dyDescent="0.25">
      <c r="A46">
        <f t="shared" si="0"/>
        <v>1909</v>
      </c>
      <c r="B46" s="2">
        <v>114590</v>
      </c>
      <c r="C46" s="1">
        <v>44.7</v>
      </c>
      <c r="D46" s="1">
        <v>29.5</v>
      </c>
      <c r="F46" s="1"/>
      <c r="G46" s="1"/>
    </row>
    <row r="47" spans="1:7" x14ac:dyDescent="0.25">
      <c r="A47">
        <f t="shared" si="0"/>
        <v>1910</v>
      </c>
      <c r="B47" s="2">
        <v>116290</v>
      </c>
      <c r="C47" s="1">
        <v>45.1</v>
      </c>
      <c r="D47" s="1">
        <v>31.5</v>
      </c>
      <c r="F47" s="1"/>
      <c r="G47" s="1"/>
    </row>
    <row r="48" spans="1:7" x14ac:dyDescent="0.25">
      <c r="A48">
        <f t="shared" si="0"/>
        <v>1911</v>
      </c>
      <c r="B48" s="2">
        <v>117860</v>
      </c>
      <c r="C48" s="1">
        <v>45</v>
      </c>
      <c r="D48" s="1">
        <v>27.4</v>
      </c>
      <c r="F48" s="1"/>
      <c r="G48" s="1"/>
    </row>
    <row r="49" spans="1:7" x14ac:dyDescent="0.25">
      <c r="A49">
        <f t="shared" si="0"/>
        <v>1912</v>
      </c>
      <c r="B49" s="2">
        <v>119800</v>
      </c>
      <c r="C49" s="1">
        <v>43.7</v>
      </c>
      <c r="D49" s="1">
        <v>26.5</v>
      </c>
      <c r="F49" s="1"/>
      <c r="G4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429E-599C-4F1F-B0B8-2B2145980C83}">
  <dimension ref="A1:D49"/>
  <sheetViews>
    <sheetView tabSelected="1" workbookViewId="0">
      <selection activeCell="G58" sqref="G58"/>
    </sheetView>
  </sheetViews>
  <sheetFormatPr defaultRowHeight="15" x14ac:dyDescent="0.25"/>
  <sheetData>
    <row r="1" spans="1:4" ht="18.75" x14ac:dyDescent="0.3">
      <c r="A1" s="4" t="s">
        <v>9</v>
      </c>
    </row>
    <row r="3" spans="1:4" x14ac:dyDescent="0.25">
      <c r="A3" s="3" t="s">
        <v>0</v>
      </c>
      <c r="B3" s="3" t="s">
        <v>11</v>
      </c>
      <c r="C3" s="3" t="s">
        <v>8</v>
      </c>
      <c r="D3" s="3" t="s">
        <v>10</v>
      </c>
    </row>
    <row r="4" spans="1:4" x14ac:dyDescent="0.25">
      <c r="A4">
        <v>1867</v>
      </c>
      <c r="B4" s="1">
        <v>51.2</v>
      </c>
      <c r="C4" s="1">
        <f>AVERAGE(B4:B14,B16:B28,B30:B37)</f>
        <v>50.162499999999987</v>
      </c>
      <c r="D4" s="1">
        <f>MIN(B4:B14,B16:B28,B30:B37)</f>
        <v>48.6</v>
      </c>
    </row>
    <row r="5" spans="1:4" x14ac:dyDescent="0.25">
      <c r="A5">
        <f t="shared" ref="A5:A49" si="0">A4+1</f>
        <v>1868</v>
      </c>
      <c r="B5" s="1">
        <v>48.8</v>
      </c>
      <c r="C5" s="1">
        <f>C4</f>
        <v>50.162499999999987</v>
      </c>
      <c r="D5" s="1">
        <f>D4</f>
        <v>48.6</v>
      </c>
    </row>
    <row r="6" spans="1:4" x14ac:dyDescent="0.25">
      <c r="A6">
        <f t="shared" si="0"/>
        <v>1869</v>
      </c>
      <c r="B6" s="1">
        <v>49.7</v>
      </c>
      <c r="C6" s="1">
        <f t="shared" ref="C6:D49" si="1">C5</f>
        <v>50.162499999999987</v>
      </c>
      <c r="D6" s="1">
        <f t="shared" si="1"/>
        <v>48.6</v>
      </c>
    </row>
    <row r="7" spans="1:4" x14ac:dyDescent="0.25">
      <c r="A7">
        <f t="shared" si="0"/>
        <v>1870</v>
      </c>
      <c r="B7" s="1">
        <v>49.2</v>
      </c>
      <c r="C7" s="1">
        <f t="shared" si="1"/>
        <v>50.162499999999987</v>
      </c>
      <c r="D7" s="1">
        <f t="shared" si="1"/>
        <v>48.6</v>
      </c>
    </row>
    <row r="8" spans="1:4" x14ac:dyDescent="0.25">
      <c r="A8">
        <f t="shared" si="0"/>
        <v>1871</v>
      </c>
      <c r="B8" s="1">
        <v>51</v>
      </c>
      <c r="C8" s="1">
        <f t="shared" si="1"/>
        <v>50.162499999999987</v>
      </c>
      <c r="D8" s="1">
        <f t="shared" si="1"/>
        <v>48.6</v>
      </c>
    </row>
    <row r="9" spans="1:4" x14ac:dyDescent="0.25">
      <c r="A9">
        <f t="shared" si="0"/>
        <v>1872</v>
      </c>
      <c r="B9" s="1">
        <v>50</v>
      </c>
      <c r="C9" s="1">
        <f t="shared" si="1"/>
        <v>50.162499999999987</v>
      </c>
      <c r="D9" s="1">
        <f t="shared" si="1"/>
        <v>48.6</v>
      </c>
    </row>
    <row r="10" spans="1:4" x14ac:dyDescent="0.25">
      <c r="A10">
        <f t="shared" si="0"/>
        <v>1873</v>
      </c>
      <c r="B10" s="1">
        <v>52.3</v>
      </c>
      <c r="C10" s="1">
        <f t="shared" si="1"/>
        <v>50.162499999999987</v>
      </c>
      <c r="D10" s="1">
        <f t="shared" si="1"/>
        <v>48.6</v>
      </c>
    </row>
    <row r="11" spans="1:4" x14ac:dyDescent="0.25">
      <c r="A11">
        <f t="shared" si="0"/>
        <v>1874</v>
      </c>
      <c r="B11" s="1">
        <v>51.4</v>
      </c>
      <c r="C11" s="1">
        <f t="shared" si="1"/>
        <v>50.162499999999987</v>
      </c>
      <c r="D11" s="1">
        <f t="shared" si="1"/>
        <v>48.6</v>
      </c>
    </row>
    <row r="12" spans="1:4" x14ac:dyDescent="0.25">
      <c r="A12">
        <f t="shared" si="0"/>
        <v>1875</v>
      </c>
      <c r="B12" s="1">
        <v>51.5</v>
      </c>
      <c r="C12" s="1">
        <f t="shared" si="1"/>
        <v>50.162499999999987</v>
      </c>
      <c r="D12" s="1">
        <f t="shared" si="1"/>
        <v>48.6</v>
      </c>
    </row>
    <row r="13" spans="1:4" x14ac:dyDescent="0.25">
      <c r="A13">
        <f t="shared" si="0"/>
        <v>1876</v>
      </c>
      <c r="B13" s="1">
        <v>50.6</v>
      </c>
      <c r="C13" s="1">
        <f t="shared" si="1"/>
        <v>50.162499999999987</v>
      </c>
      <c r="D13" s="1">
        <f t="shared" si="1"/>
        <v>48.6</v>
      </c>
    </row>
    <row r="14" spans="1:4" x14ac:dyDescent="0.25">
      <c r="A14">
        <f t="shared" si="0"/>
        <v>1877</v>
      </c>
      <c r="B14" s="1">
        <v>49.6</v>
      </c>
      <c r="C14" s="1">
        <f t="shared" si="1"/>
        <v>50.162499999999987</v>
      </c>
      <c r="D14" s="1">
        <f t="shared" si="1"/>
        <v>48.6</v>
      </c>
    </row>
    <row r="15" spans="1:4" x14ac:dyDescent="0.25">
      <c r="A15">
        <f t="shared" si="0"/>
        <v>1878</v>
      </c>
      <c r="B15" s="1">
        <v>47.3</v>
      </c>
      <c r="C15" s="1">
        <f t="shared" si="1"/>
        <v>50.162499999999987</v>
      </c>
      <c r="D15" s="1">
        <f t="shared" si="1"/>
        <v>48.6</v>
      </c>
    </row>
    <row r="16" spans="1:4" x14ac:dyDescent="0.25">
      <c r="A16">
        <f t="shared" si="0"/>
        <v>1879</v>
      </c>
      <c r="B16" s="1">
        <v>50.2</v>
      </c>
      <c r="C16" s="1">
        <f t="shared" si="1"/>
        <v>50.162499999999987</v>
      </c>
      <c r="D16" s="1">
        <f t="shared" si="1"/>
        <v>48.6</v>
      </c>
    </row>
    <row r="17" spans="1:4" x14ac:dyDescent="0.25">
      <c r="A17">
        <f t="shared" si="0"/>
        <v>1880</v>
      </c>
      <c r="B17" s="1">
        <v>49.7</v>
      </c>
      <c r="C17" s="1">
        <f t="shared" si="1"/>
        <v>50.162499999999987</v>
      </c>
      <c r="D17" s="1">
        <f t="shared" si="1"/>
        <v>48.6</v>
      </c>
    </row>
    <row r="18" spans="1:4" x14ac:dyDescent="0.25">
      <c r="A18">
        <f t="shared" si="0"/>
        <v>1881</v>
      </c>
      <c r="B18" s="1">
        <v>49.1</v>
      </c>
      <c r="C18" s="1">
        <f t="shared" si="1"/>
        <v>50.162499999999987</v>
      </c>
      <c r="D18" s="1">
        <f t="shared" si="1"/>
        <v>48.6</v>
      </c>
    </row>
    <row r="19" spans="1:4" x14ac:dyDescent="0.25">
      <c r="A19">
        <f t="shared" si="0"/>
        <v>1882</v>
      </c>
      <c r="B19" s="1">
        <v>51.6</v>
      </c>
      <c r="C19" s="1">
        <f t="shared" si="1"/>
        <v>50.162499999999987</v>
      </c>
      <c r="D19" s="1">
        <f t="shared" si="1"/>
        <v>48.6</v>
      </c>
    </row>
    <row r="20" spans="1:4" x14ac:dyDescent="0.25">
      <c r="A20">
        <f t="shared" si="0"/>
        <v>1883</v>
      </c>
      <c r="B20" s="1">
        <v>50.6</v>
      </c>
      <c r="C20" s="1">
        <f t="shared" si="1"/>
        <v>50.162499999999987</v>
      </c>
      <c r="D20" s="1">
        <f t="shared" si="1"/>
        <v>48.6</v>
      </c>
    </row>
    <row r="21" spans="1:4" x14ac:dyDescent="0.25">
      <c r="A21">
        <f t="shared" si="0"/>
        <v>1884</v>
      </c>
      <c r="B21" s="1">
        <v>51.5</v>
      </c>
      <c r="C21" s="1">
        <f t="shared" si="1"/>
        <v>50.162499999999987</v>
      </c>
      <c r="D21" s="1">
        <f t="shared" si="1"/>
        <v>48.6</v>
      </c>
    </row>
    <row r="22" spans="1:4" x14ac:dyDescent="0.25">
      <c r="A22">
        <f t="shared" si="0"/>
        <v>1885</v>
      </c>
      <c r="B22" s="1">
        <v>50</v>
      </c>
      <c r="C22" s="1">
        <f t="shared" si="1"/>
        <v>50.162499999999987</v>
      </c>
      <c r="D22" s="1">
        <f t="shared" si="1"/>
        <v>48.6</v>
      </c>
    </row>
    <row r="23" spans="1:4" x14ac:dyDescent="0.25">
      <c r="A23">
        <f t="shared" si="0"/>
        <v>1886</v>
      </c>
      <c r="B23" s="1">
        <v>49.5</v>
      </c>
      <c r="C23" s="1">
        <f t="shared" si="1"/>
        <v>50.162499999999987</v>
      </c>
      <c r="D23" s="1">
        <f t="shared" si="1"/>
        <v>48.6</v>
      </c>
    </row>
    <row r="24" spans="1:4" x14ac:dyDescent="0.25">
      <c r="A24">
        <f t="shared" si="0"/>
        <v>1887</v>
      </c>
      <c r="B24" s="1">
        <v>49.9</v>
      </c>
      <c r="C24" s="1">
        <f t="shared" si="1"/>
        <v>50.162499999999987</v>
      </c>
      <c r="D24" s="1">
        <f t="shared" si="1"/>
        <v>48.6</v>
      </c>
    </row>
    <row r="25" spans="1:4" x14ac:dyDescent="0.25">
      <c r="A25">
        <f t="shared" si="0"/>
        <v>1888</v>
      </c>
      <c r="B25" s="1">
        <v>51.6</v>
      </c>
      <c r="C25" s="1">
        <f t="shared" si="1"/>
        <v>50.162499999999987</v>
      </c>
      <c r="D25" s="1">
        <f t="shared" si="1"/>
        <v>48.6</v>
      </c>
    </row>
    <row r="26" spans="1:4" x14ac:dyDescent="0.25">
      <c r="A26">
        <f t="shared" si="0"/>
        <v>1889</v>
      </c>
      <c r="B26" s="1">
        <v>50.3</v>
      </c>
      <c r="C26" s="1">
        <f t="shared" si="1"/>
        <v>50.162499999999987</v>
      </c>
      <c r="D26" s="1">
        <f t="shared" si="1"/>
        <v>48.6</v>
      </c>
    </row>
    <row r="27" spans="1:4" x14ac:dyDescent="0.25">
      <c r="A27">
        <f t="shared" si="0"/>
        <v>1890</v>
      </c>
      <c r="B27" s="1">
        <v>49.6</v>
      </c>
      <c r="C27" s="1">
        <f t="shared" si="1"/>
        <v>50.162499999999987</v>
      </c>
      <c r="D27" s="1">
        <f t="shared" si="1"/>
        <v>48.6</v>
      </c>
    </row>
    <row r="28" spans="1:4" x14ac:dyDescent="0.25">
      <c r="A28">
        <f t="shared" si="0"/>
        <v>1891</v>
      </c>
      <c r="B28" s="1">
        <v>50.6</v>
      </c>
      <c r="C28" s="1">
        <f t="shared" si="1"/>
        <v>50.162499999999987</v>
      </c>
      <c r="D28" s="1">
        <f t="shared" si="1"/>
        <v>48.6</v>
      </c>
    </row>
    <row r="29" spans="1:4" x14ac:dyDescent="0.25">
      <c r="A29">
        <f t="shared" si="0"/>
        <v>1892</v>
      </c>
      <c r="B29" s="1">
        <v>46</v>
      </c>
      <c r="C29" s="1">
        <f t="shared" si="1"/>
        <v>50.162499999999987</v>
      </c>
      <c r="D29" s="1">
        <f t="shared" si="1"/>
        <v>48.6</v>
      </c>
    </row>
    <row r="30" spans="1:4" x14ac:dyDescent="0.25">
      <c r="A30">
        <f t="shared" si="0"/>
        <v>1893</v>
      </c>
      <c r="B30" s="1">
        <v>48.8</v>
      </c>
      <c r="C30" s="1">
        <f t="shared" si="1"/>
        <v>50.162499999999987</v>
      </c>
      <c r="D30" s="1">
        <f t="shared" si="1"/>
        <v>48.6</v>
      </c>
    </row>
    <row r="31" spans="1:4" x14ac:dyDescent="0.25">
      <c r="A31">
        <f t="shared" si="0"/>
        <v>1894</v>
      </c>
      <c r="B31" s="1">
        <v>49.2</v>
      </c>
      <c r="C31" s="1">
        <f t="shared" si="1"/>
        <v>50.162499999999987</v>
      </c>
      <c r="D31" s="1">
        <f t="shared" si="1"/>
        <v>48.6</v>
      </c>
    </row>
    <row r="32" spans="1:4" x14ac:dyDescent="0.25">
      <c r="A32">
        <f t="shared" si="0"/>
        <v>1895</v>
      </c>
      <c r="B32" s="1">
        <v>50.1</v>
      </c>
      <c r="C32" s="1">
        <f t="shared" si="1"/>
        <v>50.162499999999987</v>
      </c>
      <c r="D32" s="1">
        <f t="shared" si="1"/>
        <v>48.6</v>
      </c>
    </row>
    <row r="33" spans="1:4" x14ac:dyDescent="0.25">
      <c r="A33">
        <f t="shared" si="0"/>
        <v>1896</v>
      </c>
      <c r="B33" s="1">
        <v>50.4</v>
      </c>
      <c r="C33" s="1">
        <f t="shared" si="1"/>
        <v>50.162499999999987</v>
      </c>
      <c r="D33" s="1">
        <f t="shared" si="1"/>
        <v>48.6</v>
      </c>
    </row>
    <row r="34" spans="1:4" x14ac:dyDescent="0.25">
      <c r="A34">
        <f t="shared" si="0"/>
        <v>1897</v>
      </c>
      <c r="B34" s="1">
        <v>50</v>
      </c>
      <c r="C34" s="1">
        <f t="shared" si="1"/>
        <v>50.162499999999987</v>
      </c>
      <c r="D34" s="1">
        <f t="shared" si="1"/>
        <v>48.6</v>
      </c>
    </row>
    <row r="35" spans="1:4" x14ac:dyDescent="0.25">
      <c r="A35">
        <f t="shared" si="0"/>
        <v>1898</v>
      </c>
      <c r="B35" s="1">
        <v>48.6</v>
      </c>
      <c r="C35" s="1">
        <f t="shared" si="1"/>
        <v>50.162499999999987</v>
      </c>
      <c r="D35" s="1">
        <f t="shared" si="1"/>
        <v>48.6</v>
      </c>
    </row>
    <row r="36" spans="1:4" x14ac:dyDescent="0.25">
      <c r="A36">
        <f t="shared" si="0"/>
        <v>1899</v>
      </c>
      <c r="B36" s="1">
        <v>49.3</v>
      </c>
      <c r="C36" s="1">
        <f t="shared" si="1"/>
        <v>50.162499999999987</v>
      </c>
      <c r="D36" s="1">
        <f t="shared" si="1"/>
        <v>48.6</v>
      </c>
    </row>
    <row r="37" spans="1:4" x14ac:dyDescent="0.25">
      <c r="A37">
        <f t="shared" si="0"/>
        <v>1900</v>
      </c>
      <c r="B37" s="1">
        <v>49.3</v>
      </c>
      <c r="C37" s="1">
        <f t="shared" si="1"/>
        <v>50.162499999999987</v>
      </c>
      <c r="D37" s="1">
        <f t="shared" si="1"/>
        <v>48.6</v>
      </c>
    </row>
    <row r="38" spans="1:4" x14ac:dyDescent="0.25">
      <c r="A38">
        <f t="shared" si="0"/>
        <v>1901</v>
      </c>
      <c r="B38" s="1">
        <v>47.9</v>
      </c>
      <c r="C38" s="1">
        <f t="shared" si="1"/>
        <v>50.162499999999987</v>
      </c>
      <c r="D38" s="1">
        <f t="shared" si="1"/>
        <v>48.6</v>
      </c>
    </row>
    <row r="39" spans="1:4" x14ac:dyDescent="0.25">
      <c r="A39">
        <f t="shared" si="0"/>
        <v>1902</v>
      </c>
      <c r="B39" s="1">
        <v>49.1</v>
      </c>
      <c r="C39" s="1">
        <f t="shared" si="1"/>
        <v>50.162499999999987</v>
      </c>
      <c r="D39" s="1">
        <f t="shared" si="1"/>
        <v>48.6</v>
      </c>
    </row>
    <row r="40" spans="1:4" x14ac:dyDescent="0.25">
      <c r="A40">
        <f t="shared" si="0"/>
        <v>1903</v>
      </c>
      <c r="B40" s="1">
        <v>48.1</v>
      </c>
      <c r="C40" s="1">
        <f t="shared" si="1"/>
        <v>50.162499999999987</v>
      </c>
      <c r="D40" s="1">
        <f t="shared" si="1"/>
        <v>48.6</v>
      </c>
    </row>
    <row r="41" spans="1:4" x14ac:dyDescent="0.25">
      <c r="A41">
        <f t="shared" si="0"/>
        <v>1904</v>
      </c>
      <c r="B41" s="1">
        <v>48.6</v>
      </c>
      <c r="C41" s="1">
        <f t="shared" si="1"/>
        <v>50.162499999999987</v>
      </c>
      <c r="D41" s="1">
        <f t="shared" si="1"/>
        <v>48.6</v>
      </c>
    </row>
    <row r="42" spans="1:4" x14ac:dyDescent="0.25">
      <c r="A42">
        <f t="shared" si="0"/>
        <v>1905</v>
      </c>
      <c r="B42" s="1">
        <v>44.9</v>
      </c>
      <c r="C42" s="1">
        <f t="shared" si="1"/>
        <v>50.162499999999987</v>
      </c>
      <c r="D42" s="1">
        <f t="shared" si="1"/>
        <v>48.6</v>
      </c>
    </row>
    <row r="43" spans="1:4" x14ac:dyDescent="0.25">
      <c r="A43">
        <f t="shared" si="0"/>
        <v>1906</v>
      </c>
      <c r="B43" s="1">
        <v>47</v>
      </c>
      <c r="C43" s="1">
        <f t="shared" si="1"/>
        <v>50.162499999999987</v>
      </c>
      <c r="D43" s="1">
        <f t="shared" si="1"/>
        <v>48.6</v>
      </c>
    </row>
    <row r="44" spans="1:4" x14ac:dyDescent="0.25">
      <c r="A44">
        <f t="shared" si="0"/>
        <v>1907</v>
      </c>
      <c r="B44" s="1">
        <v>47.2</v>
      </c>
      <c r="C44" s="1">
        <f t="shared" si="1"/>
        <v>50.162499999999987</v>
      </c>
      <c r="D44" s="1">
        <f t="shared" si="1"/>
        <v>48.6</v>
      </c>
    </row>
    <row r="45" spans="1:4" x14ac:dyDescent="0.25">
      <c r="A45">
        <f t="shared" si="0"/>
        <v>1908</v>
      </c>
      <c r="B45" s="1">
        <v>44.7</v>
      </c>
      <c r="C45" s="1">
        <f t="shared" si="1"/>
        <v>50.162499999999987</v>
      </c>
      <c r="D45" s="1">
        <f t="shared" si="1"/>
        <v>48.6</v>
      </c>
    </row>
    <row r="46" spans="1:4" x14ac:dyDescent="0.25">
      <c r="A46">
        <f t="shared" si="0"/>
        <v>1909</v>
      </c>
      <c r="B46" s="1">
        <v>44.7</v>
      </c>
      <c r="C46" s="1">
        <f t="shared" si="1"/>
        <v>50.162499999999987</v>
      </c>
      <c r="D46" s="1">
        <f t="shared" si="1"/>
        <v>48.6</v>
      </c>
    </row>
    <row r="47" spans="1:4" x14ac:dyDescent="0.25">
      <c r="A47">
        <f t="shared" si="0"/>
        <v>1910</v>
      </c>
      <c r="B47" s="1">
        <v>45.1</v>
      </c>
      <c r="C47" s="1">
        <f t="shared" si="1"/>
        <v>50.162499999999987</v>
      </c>
      <c r="D47" s="1">
        <f t="shared" si="1"/>
        <v>48.6</v>
      </c>
    </row>
    <row r="48" spans="1:4" x14ac:dyDescent="0.25">
      <c r="A48">
        <f t="shared" si="0"/>
        <v>1911</v>
      </c>
      <c r="B48" s="1">
        <v>45</v>
      </c>
      <c r="C48" s="1">
        <f t="shared" si="1"/>
        <v>50.162499999999987</v>
      </c>
      <c r="D48" s="1">
        <f t="shared" si="1"/>
        <v>48.6</v>
      </c>
    </row>
    <row r="49" spans="1:4" x14ac:dyDescent="0.25">
      <c r="A49">
        <f t="shared" si="0"/>
        <v>1912</v>
      </c>
      <c r="B49" s="1">
        <v>43.7</v>
      </c>
      <c r="C49" s="1">
        <f t="shared" si="1"/>
        <v>50.162499999999987</v>
      </c>
      <c r="D49" s="1">
        <f t="shared" si="1"/>
        <v>48.6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</vt:lpstr>
      <vt:lpstr>Data</vt:lpstr>
      <vt:lpstr>рождаемость 1867-1912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2026-05-26T17:29:06Z</dcterms:created>
  <dcterms:modified xsi:type="dcterms:W3CDTF">2026-05-26T18:32:19Z</dcterms:modified>
</cp:coreProperties>
</file>