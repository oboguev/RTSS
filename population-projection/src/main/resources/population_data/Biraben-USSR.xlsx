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population_data\"/>
    </mc:Choice>
  </mc:AlternateContent>
  <xr:revisionPtr revIDLastSave="0" documentId="13_ncr:1_{2A339A8F-1F95-4E72-8628-26B429E02E7A}" xr6:coauthVersionLast="45" xr6:coauthVersionMax="45" xr10:uidLastSave="{00000000-0000-0000-0000-000000000000}"/>
  <bookViews>
    <workbookView xWindow="-60" yWindow="-60" windowWidth="38520" windowHeight="23700" activeTab="3" xr2:uid="{1C2A8E74-6A01-4ECA-AF22-4D7875460B7A}"/>
  </bookViews>
  <sheets>
    <sheet name="Note" sheetId="1" r:id="rId1"/>
    <sheet name="РЕКОНСТРУКЦИЯ" sheetId="2" r:id="rId2"/>
    <sheet name="РОЖДЕНИЯ" sheetId="4" r:id="rId3"/>
    <sheet name="рождаемость 1861-1914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3" l="1"/>
  <c r="F181" i="4" l="1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D4" i="3" l="1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S87" i="2" s="1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S10" i="2" s="1"/>
  <c r="Q9" i="2"/>
  <c r="S9" i="2" s="1"/>
  <c r="Q8" i="2"/>
  <c r="I103" i="2"/>
  <c r="L103" i="2" s="1"/>
  <c r="O103" i="2" s="1"/>
  <c r="I102" i="2"/>
  <c r="I101" i="2"/>
  <c r="K101" i="2" s="1"/>
  <c r="N101" i="2" s="1"/>
  <c r="I100" i="2"/>
  <c r="L100" i="2" s="1"/>
  <c r="O100" i="2" s="1"/>
  <c r="I99" i="2"/>
  <c r="L99" i="2" s="1"/>
  <c r="O99" i="2" s="1"/>
  <c r="I98" i="2"/>
  <c r="L98" i="2" s="1"/>
  <c r="O98" i="2" s="1"/>
  <c r="I97" i="2"/>
  <c r="I96" i="2"/>
  <c r="K96" i="2" s="1"/>
  <c r="N96" i="2" s="1"/>
  <c r="I95" i="2"/>
  <c r="L95" i="2" s="1"/>
  <c r="O95" i="2" s="1"/>
  <c r="I94" i="2"/>
  <c r="L94" i="2" s="1"/>
  <c r="O94" i="2" s="1"/>
  <c r="I93" i="2"/>
  <c r="I92" i="2"/>
  <c r="L92" i="2" s="1"/>
  <c r="O92" i="2" s="1"/>
  <c r="I91" i="2"/>
  <c r="L91" i="2" s="1"/>
  <c r="O91" i="2" s="1"/>
  <c r="I90" i="2"/>
  <c r="I89" i="2"/>
  <c r="K89" i="2" s="1"/>
  <c r="N89" i="2" s="1"/>
  <c r="I88" i="2"/>
  <c r="L88" i="2" s="1"/>
  <c r="O88" i="2" s="1"/>
  <c r="I87" i="2"/>
  <c r="L87" i="2" s="1"/>
  <c r="O87" i="2" s="1"/>
  <c r="I86" i="2"/>
  <c r="L86" i="2" s="1"/>
  <c r="O86" i="2" s="1"/>
  <c r="I85" i="2"/>
  <c r="I84" i="2"/>
  <c r="L84" i="2" s="1"/>
  <c r="O84" i="2" s="1"/>
  <c r="I83" i="2"/>
  <c r="L83" i="2" s="1"/>
  <c r="O83" i="2" s="1"/>
  <c r="I82" i="2"/>
  <c r="L82" i="2" s="1"/>
  <c r="O82" i="2" s="1"/>
  <c r="I81" i="2"/>
  <c r="K81" i="2" s="1"/>
  <c r="N81" i="2" s="1"/>
  <c r="I80" i="2"/>
  <c r="K80" i="2" s="1"/>
  <c r="N80" i="2" s="1"/>
  <c r="I79" i="2"/>
  <c r="L79" i="2" s="1"/>
  <c r="O79" i="2" s="1"/>
  <c r="I78" i="2"/>
  <c r="I77" i="2"/>
  <c r="I76" i="2"/>
  <c r="K76" i="2" s="1"/>
  <c r="N76" i="2" s="1"/>
  <c r="I75" i="2"/>
  <c r="L75" i="2" s="1"/>
  <c r="O75" i="2" s="1"/>
  <c r="I74" i="2"/>
  <c r="L74" i="2" s="1"/>
  <c r="O74" i="2" s="1"/>
  <c r="I73" i="2"/>
  <c r="I72" i="2"/>
  <c r="I71" i="2"/>
  <c r="L71" i="2" s="1"/>
  <c r="O71" i="2" s="1"/>
  <c r="I70" i="2"/>
  <c r="K70" i="2" s="1"/>
  <c r="N70" i="2" s="1"/>
  <c r="I69" i="2"/>
  <c r="K69" i="2" s="1"/>
  <c r="N69" i="2" s="1"/>
  <c r="I68" i="2"/>
  <c r="L68" i="2" s="1"/>
  <c r="O68" i="2" s="1"/>
  <c r="I67" i="2"/>
  <c r="L67" i="2" s="1"/>
  <c r="O67" i="2" s="1"/>
  <c r="I66" i="2"/>
  <c r="I65" i="2"/>
  <c r="L65" i="2" s="1"/>
  <c r="O65" i="2" s="1"/>
  <c r="I64" i="2"/>
  <c r="L64" i="2" s="1"/>
  <c r="O64" i="2" s="1"/>
  <c r="I63" i="2"/>
  <c r="K63" i="2" s="1"/>
  <c r="N63" i="2" s="1"/>
  <c r="I62" i="2"/>
  <c r="L62" i="2" s="1"/>
  <c r="O62" i="2" s="1"/>
  <c r="I61" i="2"/>
  <c r="I60" i="2"/>
  <c r="I59" i="2"/>
  <c r="I58" i="2"/>
  <c r="K58" i="2" s="1"/>
  <c r="N58" i="2" s="1"/>
  <c r="I57" i="2"/>
  <c r="L57" i="2" s="1"/>
  <c r="O57" i="2" s="1"/>
  <c r="I56" i="2"/>
  <c r="K56" i="2" s="1"/>
  <c r="N56" i="2" s="1"/>
  <c r="I55" i="2"/>
  <c r="L55" i="2" s="1"/>
  <c r="O55" i="2" s="1"/>
  <c r="I54" i="2"/>
  <c r="I53" i="2"/>
  <c r="L53" i="2" s="1"/>
  <c r="O53" i="2" s="1"/>
  <c r="I52" i="2"/>
  <c r="K52" i="2" s="1"/>
  <c r="N52" i="2" s="1"/>
  <c r="I51" i="2"/>
  <c r="L51" i="2" s="1"/>
  <c r="O51" i="2" s="1"/>
  <c r="I50" i="2"/>
  <c r="K50" i="2" s="1"/>
  <c r="N50" i="2" s="1"/>
  <c r="I49" i="2"/>
  <c r="L49" i="2" s="1"/>
  <c r="O49" i="2" s="1"/>
  <c r="I48" i="2"/>
  <c r="K48" i="2" s="1"/>
  <c r="N48" i="2" s="1"/>
  <c r="I47" i="2"/>
  <c r="I46" i="2"/>
  <c r="K46" i="2" s="1"/>
  <c r="N46" i="2" s="1"/>
  <c r="I45" i="2"/>
  <c r="L45" i="2" s="1"/>
  <c r="O45" i="2" s="1"/>
  <c r="I44" i="2"/>
  <c r="L44" i="2" s="1"/>
  <c r="O44" i="2" s="1"/>
  <c r="I43" i="2"/>
  <c r="L43" i="2" s="1"/>
  <c r="O43" i="2" s="1"/>
  <c r="I42" i="2"/>
  <c r="I41" i="2"/>
  <c r="I40" i="2"/>
  <c r="L40" i="2" s="1"/>
  <c r="O40" i="2" s="1"/>
  <c r="I39" i="2"/>
  <c r="L39" i="2" s="1"/>
  <c r="O39" i="2" s="1"/>
  <c r="I38" i="2"/>
  <c r="L38" i="2" s="1"/>
  <c r="O38" i="2" s="1"/>
  <c r="I37" i="2"/>
  <c r="L37" i="2" s="1"/>
  <c r="O37" i="2" s="1"/>
  <c r="I36" i="2"/>
  <c r="L36" i="2" s="1"/>
  <c r="O36" i="2" s="1"/>
  <c r="I35" i="2"/>
  <c r="L35" i="2" s="1"/>
  <c r="O35" i="2" s="1"/>
  <c r="I34" i="2"/>
  <c r="L34" i="2" s="1"/>
  <c r="O34" i="2" s="1"/>
  <c r="I33" i="2"/>
  <c r="I32" i="2"/>
  <c r="K32" i="2" s="1"/>
  <c r="N32" i="2" s="1"/>
  <c r="I31" i="2"/>
  <c r="L31" i="2" s="1"/>
  <c r="O31" i="2" s="1"/>
  <c r="I30" i="2"/>
  <c r="I29" i="2"/>
  <c r="I28" i="2"/>
  <c r="L28" i="2" s="1"/>
  <c r="O28" i="2" s="1"/>
  <c r="I27" i="2"/>
  <c r="L27" i="2" s="1"/>
  <c r="O27" i="2" s="1"/>
  <c r="I26" i="2"/>
  <c r="I25" i="2"/>
  <c r="I24" i="2"/>
  <c r="K24" i="2" s="1"/>
  <c r="N24" i="2" s="1"/>
  <c r="I23" i="2"/>
  <c r="L23" i="2" s="1"/>
  <c r="O23" i="2" s="1"/>
  <c r="I22" i="2"/>
  <c r="L22" i="2" s="1"/>
  <c r="O22" i="2" s="1"/>
  <c r="I21" i="2"/>
  <c r="I20" i="2"/>
  <c r="L20" i="2" s="1"/>
  <c r="O20" i="2" s="1"/>
  <c r="I19" i="2"/>
  <c r="L19" i="2" s="1"/>
  <c r="O19" i="2" s="1"/>
  <c r="I18" i="2"/>
  <c r="I17" i="2"/>
  <c r="K17" i="2" s="1"/>
  <c r="N17" i="2" s="1"/>
  <c r="I16" i="2"/>
  <c r="L16" i="2" s="1"/>
  <c r="O16" i="2" s="1"/>
  <c r="I15" i="2"/>
  <c r="I14" i="2"/>
  <c r="L14" i="2" s="1"/>
  <c r="O14" i="2" s="1"/>
  <c r="I13" i="2"/>
  <c r="I12" i="2"/>
  <c r="L12" i="2" s="1"/>
  <c r="O12" i="2" s="1"/>
  <c r="I11" i="2"/>
  <c r="L11" i="2" s="1"/>
  <c r="O11" i="2" s="1"/>
  <c r="I10" i="2"/>
  <c r="L10" i="2" s="1"/>
  <c r="O10" i="2" s="1"/>
  <c r="I9" i="2"/>
  <c r="L9" i="2" s="1"/>
  <c r="O9" i="2" s="1"/>
  <c r="I8" i="2"/>
  <c r="L8" i="2" s="1"/>
  <c r="O8" i="2" s="1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8" i="2"/>
  <c r="S11" i="2"/>
  <c r="L102" i="2"/>
  <c r="O102" i="2" s="1"/>
  <c r="L97" i="2"/>
  <c r="O97" i="2" s="1"/>
  <c r="L93" i="2"/>
  <c r="O93" i="2" s="1"/>
  <c r="L90" i="2"/>
  <c r="O90" i="2" s="1"/>
  <c r="L89" i="2"/>
  <c r="O89" i="2" s="1"/>
  <c r="K88" i="2"/>
  <c r="N88" i="2" s="1"/>
  <c r="K85" i="2"/>
  <c r="N85" i="2" s="1"/>
  <c r="K84" i="2"/>
  <c r="N84" i="2" s="1"/>
  <c r="L78" i="2"/>
  <c r="O78" i="2" s="1"/>
  <c r="L77" i="2"/>
  <c r="O77" i="2" s="1"/>
  <c r="K77" i="2"/>
  <c r="N77" i="2" s="1"/>
  <c r="L73" i="2"/>
  <c r="O73" i="2" s="1"/>
  <c r="K72" i="2"/>
  <c r="N72" i="2" s="1"/>
  <c r="L72" i="2"/>
  <c r="O72" i="2" s="1"/>
  <c r="L66" i="2"/>
  <c r="O66" i="2" s="1"/>
  <c r="K65" i="2"/>
  <c r="N65" i="2" s="1"/>
  <c r="L61" i="2"/>
  <c r="O61" i="2" s="1"/>
  <c r="K60" i="2"/>
  <c r="N60" i="2" s="1"/>
  <c r="L60" i="2"/>
  <c r="O60" i="2" s="1"/>
  <c r="L59" i="2"/>
  <c r="O59" i="2" s="1"/>
  <c r="K59" i="2"/>
  <c r="N59" i="2" s="1"/>
  <c r="L54" i="2"/>
  <c r="O54" i="2" s="1"/>
  <c r="K53" i="2"/>
  <c r="N53" i="2" s="1"/>
  <c r="L52" i="2"/>
  <c r="O52" i="2" s="1"/>
  <c r="L48" i="2"/>
  <c r="O48" i="2" s="1"/>
  <c r="L47" i="2"/>
  <c r="O47" i="2" s="1"/>
  <c r="K47" i="2"/>
  <c r="N47" i="2" s="1"/>
  <c r="L42" i="2"/>
  <c r="O42" i="2" s="1"/>
  <c r="L41" i="2"/>
  <c r="O41" i="2" s="1"/>
  <c r="K41" i="2"/>
  <c r="N41" i="2" s="1"/>
  <c r="K39" i="2"/>
  <c r="N39" i="2" s="1"/>
  <c r="K35" i="2"/>
  <c r="N35" i="2" s="1"/>
  <c r="L33" i="2"/>
  <c r="O33" i="2" s="1"/>
  <c r="L30" i="2"/>
  <c r="O30" i="2" s="1"/>
  <c r="L29" i="2"/>
  <c r="O29" i="2" s="1"/>
  <c r="K29" i="2"/>
  <c r="N29" i="2" s="1"/>
  <c r="K27" i="2"/>
  <c r="N27" i="2" s="1"/>
  <c r="L26" i="2"/>
  <c r="O26" i="2" s="1"/>
  <c r="L25" i="2"/>
  <c r="O25" i="2" s="1"/>
  <c r="K21" i="2"/>
  <c r="N21" i="2" s="1"/>
  <c r="L18" i="2"/>
  <c r="O18" i="2" s="1"/>
  <c r="L17" i="2"/>
  <c r="O17" i="2" s="1"/>
  <c r="K16" i="2"/>
  <c r="N16" i="2" s="1"/>
  <c r="L15" i="2"/>
  <c r="O15" i="2" s="1"/>
  <c r="K15" i="2"/>
  <c r="N15" i="2" s="1"/>
  <c r="L13" i="2"/>
  <c r="O13" i="2" s="1"/>
  <c r="K12" i="2"/>
  <c r="N12" i="2" s="1"/>
  <c r="K99" i="2" l="1"/>
  <c r="N99" i="2" s="1"/>
  <c r="L63" i="2"/>
  <c r="O63" i="2" s="1"/>
  <c r="L46" i="2"/>
  <c r="O46" i="2" s="1"/>
  <c r="L101" i="2"/>
  <c r="O101" i="2" s="1"/>
  <c r="K94" i="2"/>
  <c r="N94" i="2" s="1"/>
  <c r="K22" i="2"/>
  <c r="N22" i="2" s="1"/>
  <c r="K34" i="2"/>
  <c r="N34" i="2" s="1"/>
  <c r="K51" i="2"/>
  <c r="N51" i="2" s="1"/>
  <c r="K75" i="2"/>
  <c r="N75" i="2" s="1"/>
  <c r="K28" i="2"/>
  <c r="N28" i="2" s="1"/>
  <c r="K40" i="2"/>
  <c r="N40" i="2" s="1"/>
  <c r="K100" i="2"/>
  <c r="N100" i="2" s="1"/>
  <c r="L76" i="2"/>
  <c r="O76" i="2" s="1"/>
  <c r="S105" i="2"/>
  <c r="K87" i="2"/>
  <c r="N87" i="2" s="1"/>
  <c r="K10" i="2"/>
  <c r="N10" i="2" s="1"/>
  <c r="K82" i="2"/>
  <c r="N82" i="2" s="1"/>
  <c r="K95" i="2"/>
  <c r="N95" i="2" s="1"/>
  <c r="K11" i="2"/>
  <c r="N11" i="2" s="1"/>
  <c r="K36" i="2"/>
  <c r="N36" i="2" s="1"/>
  <c r="L70" i="2"/>
  <c r="O70" i="2" s="1"/>
  <c r="K83" i="2"/>
  <c r="N83" i="2" s="1"/>
  <c r="K23" i="2"/>
  <c r="N23" i="2" s="1"/>
  <c r="L24" i="2"/>
  <c r="O24" i="2" s="1"/>
  <c r="L96" i="2"/>
  <c r="O96" i="2" s="1"/>
  <c r="L58" i="2"/>
  <c r="O58" i="2" s="1"/>
  <c r="K64" i="2"/>
  <c r="N64" i="2" s="1"/>
  <c r="K71" i="2"/>
  <c r="N71" i="2" s="1"/>
  <c r="K8" i="2"/>
  <c r="N8" i="2" s="1"/>
  <c r="K20" i="2"/>
  <c r="N20" i="2" s="1"/>
  <c r="K44" i="2"/>
  <c r="N44" i="2" s="1"/>
  <c r="K68" i="2"/>
  <c r="N68" i="2" s="1"/>
  <c r="K92" i="2"/>
  <c r="N92" i="2" s="1"/>
  <c r="K13" i="2"/>
  <c r="N13" i="2" s="1"/>
  <c r="K25" i="2"/>
  <c r="N25" i="2" s="1"/>
  <c r="L32" i="2"/>
  <c r="O32" i="2" s="1"/>
  <c r="K37" i="2"/>
  <c r="N37" i="2" s="1"/>
  <c r="K49" i="2"/>
  <c r="N49" i="2" s="1"/>
  <c r="L56" i="2"/>
  <c r="O56" i="2" s="1"/>
  <c r="K61" i="2"/>
  <c r="N61" i="2" s="1"/>
  <c r="K73" i="2"/>
  <c r="N73" i="2" s="1"/>
  <c r="L80" i="2"/>
  <c r="O80" i="2" s="1"/>
  <c r="K97" i="2"/>
  <c r="N97" i="2" s="1"/>
  <c r="K18" i="2"/>
  <c r="N18" i="2" s="1"/>
  <c r="K30" i="2"/>
  <c r="N30" i="2" s="1"/>
  <c r="K42" i="2"/>
  <c r="N42" i="2" s="1"/>
  <c r="K54" i="2"/>
  <c r="N54" i="2" s="1"/>
  <c r="K66" i="2"/>
  <c r="N66" i="2" s="1"/>
  <c r="K78" i="2"/>
  <c r="N78" i="2" s="1"/>
  <c r="L85" i="2"/>
  <c r="O85" i="2" s="1"/>
  <c r="K90" i="2"/>
  <c r="N90" i="2" s="1"/>
  <c r="K102" i="2"/>
  <c r="N102" i="2" s="1"/>
  <c r="K9" i="2"/>
  <c r="N9" i="2" s="1"/>
  <c r="K33" i="2"/>
  <c r="N33" i="2" s="1"/>
  <c r="K45" i="2"/>
  <c r="N45" i="2" s="1"/>
  <c r="K57" i="2"/>
  <c r="N57" i="2" s="1"/>
  <c r="K93" i="2"/>
  <c r="N93" i="2" s="1"/>
  <c r="K14" i="2"/>
  <c r="N14" i="2" s="1"/>
  <c r="L21" i="2"/>
  <c r="O21" i="2" s="1"/>
  <c r="K26" i="2"/>
  <c r="N26" i="2" s="1"/>
  <c r="K38" i="2"/>
  <c r="N38" i="2" s="1"/>
  <c r="K62" i="2"/>
  <c r="N62" i="2" s="1"/>
  <c r="L69" i="2"/>
  <c r="O69" i="2" s="1"/>
  <c r="K74" i="2"/>
  <c r="N74" i="2" s="1"/>
  <c r="L81" i="2"/>
  <c r="O81" i="2" s="1"/>
  <c r="K86" i="2"/>
  <c r="N86" i="2" s="1"/>
  <c r="K98" i="2"/>
  <c r="N98" i="2" s="1"/>
  <c r="K19" i="2"/>
  <c r="N19" i="2" s="1"/>
  <c r="K31" i="2"/>
  <c r="N31" i="2" s="1"/>
  <c r="K43" i="2"/>
  <c r="N43" i="2" s="1"/>
  <c r="L50" i="2"/>
  <c r="O50" i="2" s="1"/>
  <c r="K55" i="2"/>
  <c r="N55" i="2" s="1"/>
  <c r="K67" i="2"/>
  <c r="N67" i="2" s="1"/>
  <c r="K79" i="2"/>
  <c r="N79" i="2" s="1"/>
  <c r="K91" i="2"/>
  <c r="N91" i="2" s="1"/>
  <c r="K103" i="2"/>
  <c r="N103" i="2" s="1"/>
</calcChain>
</file>

<file path=xl/sharedStrings.xml><?xml version="1.0" encoding="utf-8"?>
<sst xmlns="http://schemas.openxmlformats.org/spreadsheetml/2006/main" count="63" uniqueCount="61">
  <si>
    <t>год</t>
  </si>
  <si>
    <t>чн 1 янв</t>
  </si>
  <si>
    <t>чр</t>
  </si>
  <si>
    <t>чс</t>
  </si>
  <si>
    <t>р</t>
  </si>
  <si>
    <t>с</t>
  </si>
  <si>
    <t>мигр</t>
  </si>
  <si>
    <t>v-чн ср</t>
  </si>
  <si>
    <t>v-р</t>
  </si>
  <si>
    <t>v-c</t>
  </si>
  <si>
    <t>v-diif-р</t>
  </si>
  <si>
    <t>v-diif-с</t>
  </si>
  <si>
    <t>v-чн-next</t>
  </si>
  <si>
    <t>v-diff-чн-next</t>
  </si>
  <si>
    <t>https://www.persee.fr/doc/pop_0032-4663_1958_hos_13_2_5812</t>
  </si>
  <si>
    <t>Jean-Noël Biraben, "Essai sur l'évolution démographique de l'U.R.S.S" // Population, 13ᵉ année, n°2, 1958. pp. 29-62</t>
  </si>
  <si>
    <t>Исправленные опечатки помечены синим тоном.</t>
  </si>
  <si>
    <t>Почему контроль населения даёт +622 тыс.</t>
  </si>
  <si>
    <t xml:space="preserve">периодическими суммами, а не ежегодно. Сам Бирабен прямо предупреждает, что его числа дают </t>
  </si>
  <si>
    <t xml:space="preserve">«довольно иллюзорный вид точности» и служат скорее для задания правдоподобного порядка величины. </t>
  </si>
  <si>
    <t xml:space="preserve">Также примечание к таблице говорит, что для расчёта годового населения миграции распределялись по </t>
  </si>
  <si>
    <t xml:space="preserve">годам с учётом сельскохозяйственных кризисов, то есть печатная колонка миграции — не независимый </t>
  </si>
  <si>
    <t>точный ежегодный ряд.</t>
  </si>
  <si>
    <t>что вполне совместимо с накопленным округлением.</t>
  </si>
  <si>
    <t xml:space="preserve">Главная причина: таблица Бирабена не является бухгалтерским балансом с точностью до 1 тыс. человек. </t>
  </si>
  <si>
    <t>Числа населения, рождений, смертей и миграций напечатаны округлённо; миграция дана крупными</t>
  </si>
  <si>
    <t>Приблизительные оценочные значения, в точной величине которых Бирабен менее уверен, помечены серым фоном.</t>
  </si>
  <si>
    <t>таблица VI (стр. 41-44)</t>
  </si>
  <si>
    <t>Ошибочное значение 37.1 для 1940 года скорее всего было типографски повторено из 1937.</t>
  </si>
  <si>
    <t xml:space="preserve">Практически: 622 тыс. на всём интервале 1861–1956 — это около 6.5 тыс. в год, </t>
  </si>
  <si>
    <t>Для расчета численности населения по годам миграция распределялась в зависимости от степени тяжести сельскохозяйственных кризисов.</t>
  </si>
  <si>
    <t>рождаемость</t>
  </si>
  <si>
    <t>среднее</t>
  </si>
  <si>
    <t>Поведение рождаемости населения территории СССР-1991 по реконструкции Бирабена</t>
  </si>
  <si>
    <t>Примечание Бирабена:</t>
  </si>
  <si>
    <t>В таблице мы распределили величину миграции населения указанную Бирабеном для периодов</t>
  </si>
  <si>
    <t>по отдельным годам этих периодов.</t>
  </si>
  <si>
    <t>Реконструкция Бирабена для демографической истории населения в границах СССР-1991 за 1861-1956 годы</t>
  </si>
  <si>
    <t>Реконструкция Бирабена для числа рождений в населении в границах СССР-1991 за 1796-1974 годы</t>
  </si>
  <si>
    <t>Страница РОЖДЕНИЯ</t>
  </si>
  <si>
    <t>Страница РЕКОНСТРУКЦИЯ</t>
  </si>
  <si>
    <t>Jean-Noël Biraben, "Naissances et répartition par âge dans l'Empire russe et en Union Soviétique" // Population, 31e année, n°2, 1976. pp. 441-478</t>
  </si>
  <si>
    <t>https://www.persee.fr/doc/pop_0032-4663_1976_num_31_2_15984</t>
  </si>
  <si>
    <t>таблица 3, стр. 454-455</t>
  </si>
  <si>
    <t xml:space="preserve">год </t>
  </si>
  <si>
    <t>оба пола</t>
  </si>
  <si>
    <t>муж</t>
  </si>
  <si>
    <t>жен</t>
  </si>
  <si>
    <t>v</t>
  </si>
  <si>
    <t>Реконструкция Бирабена для числа рождений (тыс. чел.) в населении в границах СССР-1991 за 1796-1974 годы</t>
  </si>
  <si>
    <t>Эти оценки относятся к нынешней (1975 года) территории СССР. Их точность варьируется:</t>
  </si>
  <si>
    <t>— Они относительно точны в период с 1862 по 1913 год, в 1926 году, с 1937 по 1940 год и с 1950 года.</t>
  </si>
  <si>
    <t>— Довольно точные приблизительные данные за период с 1841 по 1861 год, с 1914 по 1925 год, с 1927 по 1930 год, а также за 1935 и 1936 годы</t>
  </si>
  <si>
    <t>— Они носят исключительно ориентировочный характер и подвергались существенной корректировке в период с 1796 по 1840 год, с 1931 по 1934 год и с 1941 по 1949 год.</t>
  </si>
  <si>
    <t>Эти данные имеют неравную ценность. Они основаны:</t>
  </si>
  <si>
    <t>— на относительно достоверных данных за период с 1862 по 1913 год, за 1926 год, с 1937 по 1940 год и с 1950 по 1973 год;</t>
  </si>
  <si>
    <t>— на интерпретации неполных данных за период с 1796 по 1861 год, с 1914 по 1925 год, с 1927 по 1930 год, а также за 1935 и 1936 годы;</t>
  </si>
  <si>
    <t>— на данных о выживших, указанных в переписях населения, и оценках показателей выживаемости, основанных на ежегодных событиях с 1931 по 1934 год и с 1941 по 1949 год.</t>
  </si>
  <si>
    <t>т.к. они были эвакуированы.</t>
  </si>
  <si>
    <t>Оцениваемое население не включает не включает прежнее (до 1945 года) немецкое население Калининградской области и японское население Сахалина и Курил,</t>
  </si>
  <si>
    <t>минимум обычных колебаний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</si>
</sst>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center"/>
    </xf>
    <xf numFmtId="3" fontId="0" fillId="2" borderId="0" xfId="0" applyNumberFormat="1" applyFill="1"/>
    <xf numFmtId="164" fontId="0" fillId="3" borderId="0" xfId="0" applyNumberFormat="1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1" fillId="4" borderId="0" xfId="0" applyFont="1" applyFill="1"/>
    <xf numFmtId="3" fontId="0" fillId="5" borderId="0" xfId="0" applyNumberFormat="1" applyFill="1"/>
    <xf numFmtId="164" fontId="0" fillId="5" borderId="0" xfId="0" applyNumberFormat="1" applyFill="1"/>
    <xf numFmtId="0" fontId="2" fillId="0" borderId="0" xfId="0" applyFont="1"/>
    <xf numFmtId="0" fontId="3" fillId="0" borderId="0" xfId="0" applyFont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РОЖДЕНИЯ!$B$3</c:f>
              <c:strCache>
                <c:ptCount val="1"/>
                <c:pt idx="0">
                  <c:v>оба пола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РОЖДЕНИЯ!$A$4:$A$182</c:f>
              <c:numCache>
                <c:formatCode>General</c:formatCode>
                <c:ptCount val="179"/>
                <c:pt idx="0">
                  <c:v>1796</c:v>
                </c:pt>
                <c:pt idx="1">
                  <c:v>1797</c:v>
                </c:pt>
                <c:pt idx="2">
                  <c:v>1798</c:v>
                </c:pt>
                <c:pt idx="3">
                  <c:v>1799</c:v>
                </c:pt>
                <c:pt idx="4">
                  <c:v>1800</c:v>
                </c:pt>
                <c:pt idx="5">
                  <c:v>1801</c:v>
                </c:pt>
                <c:pt idx="6">
                  <c:v>1802</c:v>
                </c:pt>
                <c:pt idx="7">
                  <c:v>1803</c:v>
                </c:pt>
                <c:pt idx="8">
                  <c:v>1804</c:v>
                </c:pt>
                <c:pt idx="9">
                  <c:v>1805</c:v>
                </c:pt>
                <c:pt idx="10">
                  <c:v>1806</c:v>
                </c:pt>
                <c:pt idx="11">
                  <c:v>1807</c:v>
                </c:pt>
                <c:pt idx="12">
                  <c:v>1808</c:v>
                </c:pt>
                <c:pt idx="13">
                  <c:v>1809</c:v>
                </c:pt>
                <c:pt idx="14">
                  <c:v>1810</c:v>
                </c:pt>
                <c:pt idx="15">
                  <c:v>1811</c:v>
                </c:pt>
                <c:pt idx="16">
                  <c:v>1812</c:v>
                </c:pt>
                <c:pt idx="17">
                  <c:v>1813</c:v>
                </c:pt>
                <c:pt idx="18">
                  <c:v>1814</c:v>
                </c:pt>
                <c:pt idx="19">
                  <c:v>1815</c:v>
                </c:pt>
                <c:pt idx="20">
                  <c:v>1816</c:v>
                </c:pt>
                <c:pt idx="21">
                  <c:v>1817</c:v>
                </c:pt>
                <c:pt idx="22">
                  <c:v>1818</c:v>
                </c:pt>
                <c:pt idx="23">
                  <c:v>1819</c:v>
                </c:pt>
                <c:pt idx="24">
                  <c:v>1820</c:v>
                </c:pt>
                <c:pt idx="25">
                  <c:v>1821</c:v>
                </c:pt>
                <c:pt idx="26">
                  <c:v>1822</c:v>
                </c:pt>
                <c:pt idx="27">
                  <c:v>1823</c:v>
                </c:pt>
                <c:pt idx="28">
                  <c:v>1824</c:v>
                </c:pt>
                <c:pt idx="29">
                  <c:v>1825</c:v>
                </c:pt>
                <c:pt idx="30">
                  <c:v>1826</c:v>
                </c:pt>
                <c:pt idx="31">
                  <c:v>1827</c:v>
                </c:pt>
                <c:pt idx="32">
                  <c:v>1828</c:v>
                </c:pt>
                <c:pt idx="33">
                  <c:v>1829</c:v>
                </c:pt>
                <c:pt idx="34">
                  <c:v>1830</c:v>
                </c:pt>
                <c:pt idx="35">
                  <c:v>1831</c:v>
                </c:pt>
                <c:pt idx="36">
                  <c:v>1832</c:v>
                </c:pt>
                <c:pt idx="37">
                  <c:v>1833</c:v>
                </c:pt>
                <c:pt idx="38">
                  <c:v>1834</c:v>
                </c:pt>
                <c:pt idx="39">
                  <c:v>1835</c:v>
                </c:pt>
                <c:pt idx="40">
                  <c:v>1836</c:v>
                </c:pt>
                <c:pt idx="41">
                  <c:v>1837</c:v>
                </c:pt>
                <c:pt idx="42">
                  <c:v>1838</c:v>
                </c:pt>
                <c:pt idx="43">
                  <c:v>1839</c:v>
                </c:pt>
                <c:pt idx="44">
                  <c:v>1840</c:v>
                </c:pt>
                <c:pt idx="45">
                  <c:v>1841</c:v>
                </c:pt>
                <c:pt idx="46">
                  <c:v>1842</c:v>
                </c:pt>
                <c:pt idx="47">
                  <c:v>1843</c:v>
                </c:pt>
                <c:pt idx="48">
                  <c:v>1844</c:v>
                </c:pt>
                <c:pt idx="49">
                  <c:v>1845</c:v>
                </c:pt>
                <c:pt idx="50">
                  <c:v>1846</c:v>
                </c:pt>
                <c:pt idx="51">
                  <c:v>1847</c:v>
                </c:pt>
                <c:pt idx="52">
                  <c:v>1848</c:v>
                </c:pt>
                <c:pt idx="53">
                  <c:v>1849</c:v>
                </c:pt>
                <c:pt idx="54">
                  <c:v>1850</c:v>
                </c:pt>
                <c:pt idx="55">
                  <c:v>1851</c:v>
                </c:pt>
                <c:pt idx="56">
                  <c:v>1852</c:v>
                </c:pt>
                <c:pt idx="57">
                  <c:v>1853</c:v>
                </c:pt>
                <c:pt idx="58">
                  <c:v>1854</c:v>
                </c:pt>
                <c:pt idx="59">
                  <c:v>1855</c:v>
                </c:pt>
                <c:pt idx="60">
                  <c:v>1856</c:v>
                </c:pt>
                <c:pt idx="61">
                  <c:v>1857</c:v>
                </c:pt>
                <c:pt idx="62">
                  <c:v>1858</c:v>
                </c:pt>
                <c:pt idx="63">
                  <c:v>1859</c:v>
                </c:pt>
                <c:pt idx="64">
                  <c:v>1860</c:v>
                </c:pt>
                <c:pt idx="65">
                  <c:v>1861</c:v>
                </c:pt>
                <c:pt idx="66">
                  <c:v>1862</c:v>
                </c:pt>
                <c:pt idx="67">
                  <c:v>1863</c:v>
                </c:pt>
                <c:pt idx="68">
                  <c:v>1864</c:v>
                </c:pt>
                <c:pt idx="69">
                  <c:v>1865</c:v>
                </c:pt>
                <c:pt idx="70">
                  <c:v>1866</c:v>
                </c:pt>
                <c:pt idx="71">
                  <c:v>1867</c:v>
                </c:pt>
                <c:pt idx="72">
                  <c:v>1868</c:v>
                </c:pt>
                <c:pt idx="73">
                  <c:v>1869</c:v>
                </c:pt>
                <c:pt idx="74">
                  <c:v>1870</c:v>
                </c:pt>
                <c:pt idx="75">
                  <c:v>1871</c:v>
                </c:pt>
                <c:pt idx="76">
                  <c:v>1872</c:v>
                </c:pt>
                <c:pt idx="77">
                  <c:v>1873</c:v>
                </c:pt>
                <c:pt idx="78">
                  <c:v>1874</c:v>
                </c:pt>
                <c:pt idx="79">
                  <c:v>1875</c:v>
                </c:pt>
                <c:pt idx="80">
                  <c:v>1876</c:v>
                </c:pt>
                <c:pt idx="81">
                  <c:v>1877</c:v>
                </c:pt>
                <c:pt idx="82">
                  <c:v>1878</c:v>
                </c:pt>
                <c:pt idx="83">
                  <c:v>1879</c:v>
                </c:pt>
                <c:pt idx="84">
                  <c:v>1880</c:v>
                </c:pt>
                <c:pt idx="85">
                  <c:v>1881</c:v>
                </c:pt>
                <c:pt idx="86">
                  <c:v>1882</c:v>
                </c:pt>
                <c:pt idx="87">
                  <c:v>1883</c:v>
                </c:pt>
                <c:pt idx="88">
                  <c:v>1884</c:v>
                </c:pt>
                <c:pt idx="89">
                  <c:v>1885</c:v>
                </c:pt>
                <c:pt idx="90">
                  <c:v>1886</c:v>
                </c:pt>
                <c:pt idx="91">
                  <c:v>1887</c:v>
                </c:pt>
                <c:pt idx="92">
                  <c:v>1888</c:v>
                </c:pt>
                <c:pt idx="93">
                  <c:v>1889</c:v>
                </c:pt>
                <c:pt idx="94">
                  <c:v>1890</c:v>
                </c:pt>
                <c:pt idx="95">
                  <c:v>1891</c:v>
                </c:pt>
                <c:pt idx="96">
                  <c:v>1892</c:v>
                </c:pt>
                <c:pt idx="97">
                  <c:v>1893</c:v>
                </c:pt>
                <c:pt idx="98">
                  <c:v>1894</c:v>
                </c:pt>
                <c:pt idx="99">
                  <c:v>1895</c:v>
                </c:pt>
                <c:pt idx="100">
                  <c:v>1896</c:v>
                </c:pt>
                <c:pt idx="101">
                  <c:v>1897</c:v>
                </c:pt>
                <c:pt idx="102">
                  <c:v>1898</c:v>
                </c:pt>
                <c:pt idx="103">
                  <c:v>1899</c:v>
                </c:pt>
                <c:pt idx="104">
                  <c:v>1900</c:v>
                </c:pt>
                <c:pt idx="105">
                  <c:v>1901</c:v>
                </c:pt>
                <c:pt idx="106">
                  <c:v>1902</c:v>
                </c:pt>
                <c:pt idx="107">
                  <c:v>1903</c:v>
                </c:pt>
                <c:pt idx="108">
                  <c:v>1904</c:v>
                </c:pt>
                <c:pt idx="109">
                  <c:v>1905</c:v>
                </c:pt>
                <c:pt idx="110">
                  <c:v>1906</c:v>
                </c:pt>
                <c:pt idx="111">
                  <c:v>1907</c:v>
                </c:pt>
                <c:pt idx="112">
                  <c:v>1908</c:v>
                </c:pt>
                <c:pt idx="113">
                  <c:v>1909</c:v>
                </c:pt>
                <c:pt idx="114">
                  <c:v>1910</c:v>
                </c:pt>
                <c:pt idx="115">
                  <c:v>1911</c:v>
                </c:pt>
                <c:pt idx="116">
                  <c:v>1912</c:v>
                </c:pt>
                <c:pt idx="117">
                  <c:v>1913</c:v>
                </c:pt>
                <c:pt idx="118">
                  <c:v>1914</c:v>
                </c:pt>
                <c:pt idx="119">
                  <c:v>1915</c:v>
                </c:pt>
                <c:pt idx="120">
                  <c:v>1916</c:v>
                </c:pt>
                <c:pt idx="121">
                  <c:v>1917</c:v>
                </c:pt>
                <c:pt idx="122">
                  <c:v>1918</c:v>
                </c:pt>
                <c:pt idx="123">
                  <c:v>1919</c:v>
                </c:pt>
                <c:pt idx="124">
                  <c:v>1920</c:v>
                </c:pt>
                <c:pt idx="125">
                  <c:v>1921</c:v>
                </c:pt>
                <c:pt idx="126">
                  <c:v>1922</c:v>
                </c:pt>
                <c:pt idx="127">
                  <c:v>1923</c:v>
                </c:pt>
                <c:pt idx="128">
                  <c:v>1924</c:v>
                </c:pt>
                <c:pt idx="129">
                  <c:v>1925</c:v>
                </c:pt>
                <c:pt idx="130">
                  <c:v>1926</c:v>
                </c:pt>
                <c:pt idx="131">
                  <c:v>1927</c:v>
                </c:pt>
                <c:pt idx="132">
                  <c:v>1928</c:v>
                </c:pt>
                <c:pt idx="133">
                  <c:v>1929</c:v>
                </c:pt>
                <c:pt idx="134">
                  <c:v>1930</c:v>
                </c:pt>
                <c:pt idx="135">
                  <c:v>1931</c:v>
                </c:pt>
                <c:pt idx="136">
                  <c:v>1932</c:v>
                </c:pt>
                <c:pt idx="137">
                  <c:v>1933</c:v>
                </c:pt>
                <c:pt idx="138">
                  <c:v>1934</c:v>
                </c:pt>
                <c:pt idx="139">
                  <c:v>1935</c:v>
                </c:pt>
                <c:pt idx="140">
                  <c:v>1936</c:v>
                </c:pt>
                <c:pt idx="141">
                  <c:v>1937</c:v>
                </c:pt>
                <c:pt idx="142">
                  <c:v>1938</c:v>
                </c:pt>
                <c:pt idx="143">
                  <c:v>1939</c:v>
                </c:pt>
                <c:pt idx="144">
                  <c:v>1940</c:v>
                </c:pt>
                <c:pt idx="145">
                  <c:v>1941</c:v>
                </c:pt>
                <c:pt idx="146">
                  <c:v>1942</c:v>
                </c:pt>
                <c:pt idx="147">
                  <c:v>1943</c:v>
                </c:pt>
                <c:pt idx="148">
                  <c:v>1944</c:v>
                </c:pt>
                <c:pt idx="149">
                  <c:v>1945</c:v>
                </c:pt>
                <c:pt idx="150">
                  <c:v>1946</c:v>
                </c:pt>
                <c:pt idx="151">
                  <c:v>1947</c:v>
                </c:pt>
                <c:pt idx="152">
                  <c:v>1948</c:v>
                </c:pt>
                <c:pt idx="153">
                  <c:v>1949</c:v>
                </c:pt>
                <c:pt idx="154">
                  <c:v>1950</c:v>
                </c:pt>
                <c:pt idx="155">
                  <c:v>1951</c:v>
                </c:pt>
                <c:pt idx="156">
                  <c:v>1952</c:v>
                </c:pt>
                <c:pt idx="157">
                  <c:v>1953</c:v>
                </c:pt>
                <c:pt idx="158">
                  <c:v>1954</c:v>
                </c:pt>
                <c:pt idx="159">
                  <c:v>1955</c:v>
                </c:pt>
                <c:pt idx="160">
                  <c:v>1956</c:v>
                </c:pt>
                <c:pt idx="161">
                  <c:v>1957</c:v>
                </c:pt>
                <c:pt idx="162">
                  <c:v>1958</c:v>
                </c:pt>
                <c:pt idx="163">
                  <c:v>1959</c:v>
                </c:pt>
                <c:pt idx="164">
                  <c:v>1960</c:v>
                </c:pt>
                <c:pt idx="165">
                  <c:v>1961</c:v>
                </c:pt>
                <c:pt idx="166">
                  <c:v>1962</c:v>
                </c:pt>
                <c:pt idx="167">
                  <c:v>1963</c:v>
                </c:pt>
                <c:pt idx="168">
                  <c:v>1964</c:v>
                </c:pt>
                <c:pt idx="169">
                  <c:v>1965</c:v>
                </c:pt>
                <c:pt idx="170">
                  <c:v>1966</c:v>
                </c:pt>
                <c:pt idx="171">
                  <c:v>1967</c:v>
                </c:pt>
                <c:pt idx="172">
                  <c:v>1968</c:v>
                </c:pt>
                <c:pt idx="173">
                  <c:v>1969</c:v>
                </c:pt>
                <c:pt idx="174">
                  <c:v>1970</c:v>
                </c:pt>
                <c:pt idx="175">
                  <c:v>1971</c:v>
                </c:pt>
                <c:pt idx="176">
                  <c:v>1972</c:v>
                </c:pt>
                <c:pt idx="177">
                  <c:v>1973</c:v>
                </c:pt>
                <c:pt idx="178">
                  <c:v>1974</c:v>
                </c:pt>
              </c:numCache>
            </c:numRef>
          </c:xVal>
          <c:yVal>
            <c:numRef>
              <c:f>РОЖДЕНИЯ!$B$4:$B$182</c:f>
              <c:numCache>
                <c:formatCode>#,##0</c:formatCode>
                <c:ptCount val="179"/>
                <c:pt idx="0">
                  <c:v>1810</c:v>
                </c:pt>
                <c:pt idx="1">
                  <c:v>1800</c:v>
                </c:pt>
                <c:pt idx="2">
                  <c:v>1900</c:v>
                </c:pt>
                <c:pt idx="3">
                  <c:v>1950</c:v>
                </c:pt>
                <c:pt idx="4">
                  <c:v>1940</c:v>
                </c:pt>
                <c:pt idx="5">
                  <c:v>2030</c:v>
                </c:pt>
                <c:pt idx="6">
                  <c:v>2250</c:v>
                </c:pt>
                <c:pt idx="7">
                  <c:v>2170</c:v>
                </c:pt>
                <c:pt idx="8">
                  <c:v>2320</c:v>
                </c:pt>
                <c:pt idx="9">
                  <c:v>2330</c:v>
                </c:pt>
                <c:pt idx="10">
                  <c:v>2320</c:v>
                </c:pt>
                <c:pt idx="11">
                  <c:v>2280</c:v>
                </c:pt>
                <c:pt idx="12">
                  <c:v>2260</c:v>
                </c:pt>
                <c:pt idx="13">
                  <c:v>2240</c:v>
                </c:pt>
                <c:pt idx="14">
                  <c:v>2340</c:v>
                </c:pt>
                <c:pt idx="15">
                  <c:v>2260</c:v>
                </c:pt>
                <c:pt idx="16">
                  <c:v>2310</c:v>
                </c:pt>
                <c:pt idx="17">
                  <c:v>1860</c:v>
                </c:pt>
                <c:pt idx="18">
                  <c:v>1990</c:v>
                </c:pt>
                <c:pt idx="19">
                  <c:v>2200</c:v>
                </c:pt>
                <c:pt idx="20">
                  <c:v>2410</c:v>
                </c:pt>
                <c:pt idx="21">
                  <c:v>2390</c:v>
                </c:pt>
                <c:pt idx="22">
                  <c:v>2340</c:v>
                </c:pt>
                <c:pt idx="23">
                  <c:v>2450</c:v>
                </c:pt>
                <c:pt idx="24">
                  <c:v>2560</c:v>
                </c:pt>
                <c:pt idx="25">
                  <c:v>2440</c:v>
                </c:pt>
                <c:pt idx="26">
                  <c:v>2490</c:v>
                </c:pt>
                <c:pt idx="27">
                  <c:v>2600</c:v>
                </c:pt>
                <c:pt idx="28">
                  <c:v>2610</c:v>
                </c:pt>
                <c:pt idx="29">
                  <c:v>2630</c:v>
                </c:pt>
                <c:pt idx="30">
                  <c:v>2630</c:v>
                </c:pt>
                <c:pt idx="31">
                  <c:v>2860</c:v>
                </c:pt>
                <c:pt idx="32">
                  <c:v>2780</c:v>
                </c:pt>
                <c:pt idx="33">
                  <c:v>2960</c:v>
                </c:pt>
                <c:pt idx="34">
                  <c:v>2890</c:v>
                </c:pt>
                <c:pt idx="35">
                  <c:v>2780</c:v>
                </c:pt>
                <c:pt idx="36">
                  <c:v>3010</c:v>
                </c:pt>
                <c:pt idx="37">
                  <c:v>2830</c:v>
                </c:pt>
                <c:pt idx="38">
                  <c:v>3030</c:v>
                </c:pt>
                <c:pt idx="39">
                  <c:v>2700</c:v>
                </c:pt>
                <c:pt idx="40">
                  <c:v>2970</c:v>
                </c:pt>
                <c:pt idx="41">
                  <c:v>3010</c:v>
                </c:pt>
                <c:pt idx="42">
                  <c:v>3090</c:v>
                </c:pt>
                <c:pt idx="43">
                  <c:v>3260</c:v>
                </c:pt>
                <c:pt idx="44">
                  <c:v>2830</c:v>
                </c:pt>
                <c:pt idx="45">
                  <c:v>3040</c:v>
                </c:pt>
                <c:pt idx="46">
                  <c:v>2970</c:v>
                </c:pt>
                <c:pt idx="47">
                  <c:v>3180</c:v>
                </c:pt>
                <c:pt idx="48">
                  <c:v>3330</c:v>
                </c:pt>
                <c:pt idx="49">
                  <c:v>3330</c:v>
                </c:pt>
                <c:pt idx="50">
                  <c:v>3150</c:v>
                </c:pt>
                <c:pt idx="51">
                  <c:v>3320</c:v>
                </c:pt>
                <c:pt idx="52">
                  <c:v>3420</c:v>
                </c:pt>
                <c:pt idx="53">
                  <c:v>3250</c:v>
                </c:pt>
                <c:pt idx="54">
                  <c:v>3450</c:v>
                </c:pt>
                <c:pt idx="55">
                  <c:v>3310</c:v>
                </c:pt>
                <c:pt idx="56">
                  <c:v>3400</c:v>
                </c:pt>
                <c:pt idx="57">
                  <c:v>3650</c:v>
                </c:pt>
                <c:pt idx="58">
                  <c:v>3470</c:v>
                </c:pt>
                <c:pt idx="59">
                  <c:v>3350</c:v>
                </c:pt>
                <c:pt idx="60">
                  <c:v>3220</c:v>
                </c:pt>
                <c:pt idx="61">
                  <c:v>3590</c:v>
                </c:pt>
                <c:pt idx="62">
                  <c:v>3730</c:v>
                </c:pt>
                <c:pt idx="63">
                  <c:v>3880</c:v>
                </c:pt>
                <c:pt idx="64">
                  <c:v>3760</c:v>
                </c:pt>
                <c:pt idx="65">
                  <c:v>3810</c:v>
                </c:pt>
                <c:pt idx="66">
                  <c:v>3940</c:v>
                </c:pt>
                <c:pt idx="67">
                  <c:v>3860</c:v>
                </c:pt>
                <c:pt idx="68">
                  <c:v>4060</c:v>
                </c:pt>
                <c:pt idx="69">
                  <c:v>3940</c:v>
                </c:pt>
                <c:pt idx="70">
                  <c:v>3800</c:v>
                </c:pt>
                <c:pt idx="71">
                  <c:v>4040</c:v>
                </c:pt>
                <c:pt idx="72">
                  <c:v>3950</c:v>
                </c:pt>
                <c:pt idx="73">
                  <c:v>4040</c:v>
                </c:pt>
                <c:pt idx="74">
                  <c:v>4050</c:v>
                </c:pt>
                <c:pt idx="75">
                  <c:v>4270</c:v>
                </c:pt>
                <c:pt idx="76">
                  <c:v>4170</c:v>
                </c:pt>
                <c:pt idx="77">
                  <c:v>4370</c:v>
                </c:pt>
                <c:pt idx="78">
                  <c:v>4320</c:v>
                </c:pt>
                <c:pt idx="79">
                  <c:v>4420</c:v>
                </c:pt>
                <c:pt idx="80">
                  <c:v>4420</c:v>
                </c:pt>
                <c:pt idx="81">
                  <c:v>4430</c:v>
                </c:pt>
                <c:pt idx="82">
                  <c:v>4290</c:v>
                </c:pt>
                <c:pt idx="83">
                  <c:v>4570</c:v>
                </c:pt>
                <c:pt idx="84">
                  <c:v>4620</c:v>
                </c:pt>
                <c:pt idx="85">
                  <c:v>4630</c:v>
                </c:pt>
                <c:pt idx="86">
                  <c:v>4880</c:v>
                </c:pt>
                <c:pt idx="87">
                  <c:v>4850</c:v>
                </c:pt>
                <c:pt idx="88">
                  <c:v>4980</c:v>
                </c:pt>
                <c:pt idx="89">
                  <c:v>4940</c:v>
                </c:pt>
                <c:pt idx="90">
                  <c:v>4960</c:v>
                </c:pt>
                <c:pt idx="91">
                  <c:v>5070</c:v>
                </c:pt>
                <c:pt idx="92">
                  <c:v>5260</c:v>
                </c:pt>
                <c:pt idx="93">
                  <c:v>5270</c:v>
                </c:pt>
                <c:pt idx="94">
                  <c:v>5270</c:v>
                </c:pt>
                <c:pt idx="95">
                  <c:v>5440</c:v>
                </c:pt>
                <c:pt idx="96">
                  <c:v>5050</c:v>
                </c:pt>
                <c:pt idx="97">
                  <c:v>5400</c:v>
                </c:pt>
                <c:pt idx="98">
                  <c:v>5490</c:v>
                </c:pt>
                <c:pt idx="99">
                  <c:v>5650</c:v>
                </c:pt>
                <c:pt idx="100">
                  <c:v>5840</c:v>
                </c:pt>
                <c:pt idx="101">
                  <c:v>5920</c:v>
                </c:pt>
                <c:pt idx="102">
                  <c:v>5900</c:v>
                </c:pt>
                <c:pt idx="103">
                  <c:v>6080</c:v>
                </c:pt>
                <c:pt idx="104">
                  <c:v>6160</c:v>
                </c:pt>
                <c:pt idx="105">
                  <c:v>6140</c:v>
                </c:pt>
                <c:pt idx="106">
                  <c:v>6350</c:v>
                </c:pt>
                <c:pt idx="107">
                  <c:v>6340</c:v>
                </c:pt>
                <c:pt idx="108">
                  <c:v>6520</c:v>
                </c:pt>
                <c:pt idx="109">
                  <c:v>6160</c:v>
                </c:pt>
                <c:pt idx="110">
                  <c:v>6550</c:v>
                </c:pt>
                <c:pt idx="111">
                  <c:v>6770</c:v>
                </c:pt>
                <c:pt idx="112">
                  <c:v>6590</c:v>
                </c:pt>
                <c:pt idx="113">
                  <c:v>6710</c:v>
                </c:pt>
                <c:pt idx="114">
                  <c:v>6980</c:v>
                </c:pt>
                <c:pt idx="115">
                  <c:v>7090</c:v>
                </c:pt>
                <c:pt idx="116">
                  <c:v>6960</c:v>
                </c:pt>
                <c:pt idx="117">
                  <c:v>7240</c:v>
                </c:pt>
                <c:pt idx="118">
                  <c:v>7050</c:v>
                </c:pt>
                <c:pt idx="119">
                  <c:v>6150</c:v>
                </c:pt>
                <c:pt idx="120">
                  <c:v>4750</c:v>
                </c:pt>
                <c:pt idx="121">
                  <c:v>4100</c:v>
                </c:pt>
                <c:pt idx="122">
                  <c:v>4800</c:v>
                </c:pt>
                <c:pt idx="123">
                  <c:v>4700</c:v>
                </c:pt>
                <c:pt idx="124">
                  <c:v>4850</c:v>
                </c:pt>
                <c:pt idx="125">
                  <c:v>5350</c:v>
                </c:pt>
                <c:pt idx="126">
                  <c:v>5500</c:v>
                </c:pt>
                <c:pt idx="127">
                  <c:v>6700</c:v>
                </c:pt>
                <c:pt idx="128">
                  <c:v>6650</c:v>
                </c:pt>
                <c:pt idx="129">
                  <c:v>7050</c:v>
                </c:pt>
                <c:pt idx="130">
                  <c:v>7000</c:v>
                </c:pt>
                <c:pt idx="131">
                  <c:v>7100</c:v>
                </c:pt>
                <c:pt idx="132">
                  <c:v>7200</c:v>
                </c:pt>
                <c:pt idx="133">
                  <c:v>6700</c:v>
                </c:pt>
                <c:pt idx="134">
                  <c:v>6600</c:v>
                </c:pt>
                <c:pt idx="135">
                  <c:v>5900</c:v>
                </c:pt>
                <c:pt idx="136">
                  <c:v>5200</c:v>
                </c:pt>
                <c:pt idx="137">
                  <c:v>4700</c:v>
                </c:pt>
                <c:pt idx="138">
                  <c:v>4900</c:v>
                </c:pt>
                <c:pt idx="139">
                  <c:v>5200</c:v>
                </c:pt>
                <c:pt idx="140">
                  <c:v>5600</c:v>
                </c:pt>
                <c:pt idx="141">
                  <c:v>7150</c:v>
                </c:pt>
                <c:pt idx="142">
                  <c:v>7070</c:v>
                </c:pt>
                <c:pt idx="143">
                  <c:v>7015</c:v>
                </c:pt>
                <c:pt idx="144">
                  <c:v>6095</c:v>
                </c:pt>
                <c:pt idx="145">
                  <c:v>4400</c:v>
                </c:pt>
                <c:pt idx="146">
                  <c:v>3400</c:v>
                </c:pt>
                <c:pt idx="147">
                  <c:v>2450</c:v>
                </c:pt>
                <c:pt idx="148">
                  <c:v>2700</c:v>
                </c:pt>
                <c:pt idx="149">
                  <c:v>3300</c:v>
                </c:pt>
                <c:pt idx="150">
                  <c:v>3800</c:v>
                </c:pt>
                <c:pt idx="151">
                  <c:v>4300</c:v>
                </c:pt>
                <c:pt idx="152">
                  <c:v>4300</c:v>
                </c:pt>
                <c:pt idx="153">
                  <c:v>4850</c:v>
                </c:pt>
                <c:pt idx="154">
                  <c:v>4805</c:v>
                </c:pt>
                <c:pt idx="155">
                  <c:v>4954</c:v>
                </c:pt>
                <c:pt idx="156">
                  <c:v>4948</c:v>
                </c:pt>
                <c:pt idx="157">
                  <c:v>4754</c:v>
                </c:pt>
                <c:pt idx="158">
                  <c:v>5135</c:v>
                </c:pt>
                <c:pt idx="159">
                  <c:v>5048</c:v>
                </c:pt>
                <c:pt idx="160">
                  <c:v>5023</c:v>
                </c:pt>
                <c:pt idx="161">
                  <c:v>5164</c:v>
                </c:pt>
                <c:pt idx="162">
                  <c:v>5240</c:v>
                </c:pt>
                <c:pt idx="163">
                  <c:v>5264</c:v>
                </c:pt>
                <c:pt idx="164">
                  <c:v>5341</c:v>
                </c:pt>
                <c:pt idx="165">
                  <c:v>5192</c:v>
                </c:pt>
                <c:pt idx="166">
                  <c:v>4959</c:v>
                </c:pt>
                <c:pt idx="167">
                  <c:v>4758</c:v>
                </c:pt>
                <c:pt idx="168">
                  <c:v>4457</c:v>
                </c:pt>
                <c:pt idx="169">
                  <c:v>4253</c:v>
                </c:pt>
                <c:pt idx="170">
                  <c:v>4242</c:v>
                </c:pt>
                <c:pt idx="171">
                  <c:v>4093</c:v>
                </c:pt>
                <c:pt idx="172">
                  <c:v>4088</c:v>
                </c:pt>
                <c:pt idx="173">
                  <c:v>4087</c:v>
                </c:pt>
                <c:pt idx="174">
                  <c:v>4226</c:v>
                </c:pt>
                <c:pt idx="175">
                  <c:v>4372</c:v>
                </c:pt>
                <c:pt idx="176">
                  <c:v>4404</c:v>
                </c:pt>
                <c:pt idx="177">
                  <c:v>4386</c:v>
                </c:pt>
                <c:pt idx="178">
                  <c:v>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4B-40A3-8331-162F80A2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783152"/>
        <c:axId val="531778232"/>
      </c:scatterChart>
      <c:valAx>
        <c:axId val="531783152"/>
        <c:scaling>
          <c:orientation val="minMax"/>
          <c:max val="1980"/>
          <c:min val="17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778232"/>
        <c:crosses val="autoZero"/>
        <c:crossBetween val="midCat"/>
        <c:majorUnit val="10"/>
      </c:valAx>
      <c:valAx>
        <c:axId val="53177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78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Поведение рождаемости населения территории в границах СССР-1991</a:t>
            </a:r>
            <a:br>
              <a:rPr lang="ru-RU"/>
            </a:br>
            <a:r>
              <a:rPr lang="ru-RU"/>
              <a:t>в 1861-1914 годах (Бирабен)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'рождаемость 1861-1914'!$B$3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'рождаемость 1861-1914'!$A$4:$A$57</c:f>
              <c:numCache>
                <c:formatCode>General</c:formatCode>
                <c:ptCount val="54"/>
                <c:pt idx="0">
                  <c:v>1861</c:v>
                </c:pt>
                <c:pt idx="1">
                  <c:v>1862</c:v>
                </c:pt>
                <c:pt idx="2">
                  <c:v>1863</c:v>
                </c:pt>
                <c:pt idx="3">
                  <c:v>1864</c:v>
                </c:pt>
                <c:pt idx="4">
                  <c:v>1865</c:v>
                </c:pt>
                <c:pt idx="5">
                  <c:v>1866</c:v>
                </c:pt>
                <c:pt idx="6">
                  <c:v>1867</c:v>
                </c:pt>
                <c:pt idx="7">
                  <c:v>1868</c:v>
                </c:pt>
                <c:pt idx="8">
                  <c:v>1869</c:v>
                </c:pt>
                <c:pt idx="9">
                  <c:v>1870</c:v>
                </c:pt>
                <c:pt idx="10">
                  <c:v>1871</c:v>
                </c:pt>
                <c:pt idx="11">
                  <c:v>1872</c:v>
                </c:pt>
                <c:pt idx="12">
                  <c:v>1873</c:v>
                </c:pt>
                <c:pt idx="13">
                  <c:v>1874</c:v>
                </c:pt>
                <c:pt idx="14">
                  <c:v>1875</c:v>
                </c:pt>
                <c:pt idx="15">
                  <c:v>1876</c:v>
                </c:pt>
                <c:pt idx="16">
                  <c:v>1877</c:v>
                </c:pt>
                <c:pt idx="17">
                  <c:v>1878</c:v>
                </c:pt>
                <c:pt idx="18">
                  <c:v>1879</c:v>
                </c:pt>
                <c:pt idx="19">
                  <c:v>1880</c:v>
                </c:pt>
                <c:pt idx="20">
                  <c:v>1881</c:v>
                </c:pt>
                <c:pt idx="21">
                  <c:v>1882</c:v>
                </c:pt>
                <c:pt idx="22">
                  <c:v>1883</c:v>
                </c:pt>
                <c:pt idx="23">
                  <c:v>1884</c:v>
                </c:pt>
                <c:pt idx="24">
                  <c:v>1885</c:v>
                </c:pt>
                <c:pt idx="25">
                  <c:v>1886</c:v>
                </c:pt>
                <c:pt idx="26">
                  <c:v>1887</c:v>
                </c:pt>
                <c:pt idx="27">
                  <c:v>1888</c:v>
                </c:pt>
                <c:pt idx="28">
                  <c:v>1889</c:v>
                </c:pt>
                <c:pt idx="29">
                  <c:v>1890</c:v>
                </c:pt>
                <c:pt idx="30">
                  <c:v>1891</c:v>
                </c:pt>
                <c:pt idx="31">
                  <c:v>1892</c:v>
                </c:pt>
                <c:pt idx="32">
                  <c:v>1893</c:v>
                </c:pt>
                <c:pt idx="33">
                  <c:v>1894</c:v>
                </c:pt>
                <c:pt idx="34">
                  <c:v>1895</c:v>
                </c:pt>
                <c:pt idx="35">
                  <c:v>1896</c:v>
                </c:pt>
                <c:pt idx="36">
                  <c:v>1897</c:v>
                </c:pt>
                <c:pt idx="37">
                  <c:v>1898</c:v>
                </c:pt>
                <c:pt idx="38">
                  <c:v>1899</c:v>
                </c:pt>
                <c:pt idx="39">
                  <c:v>1900</c:v>
                </c:pt>
                <c:pt idx="40">
                  <c:v>1901</c:v>
                </c:pt>
                <c:pt idx="41">
                  <c:v>1902</c:v>
                </c:pt>
                <c:pt idx="42">
                  <c:v>1903</c:v>
                </c:pt>
                <c:pt idx="43">
                  <c:v>1904</c:v>
                </c:pt>
                <c:pt idx="44">
                  <c:v>1905</c:v>
                </c:pt>
                <c:pt idx="45">
                  <c:v>1906</c:v>
                </c:pt>
                <c:pt idx="46">
                  <c:v>1907</c:v>
                </c:pt>
                <c:pt idx="47">
                  <c:v>1908</c:v>
                </c:pt>
                <c:pt idx="48">
                  <c:v>1909</c:v>
                </c:pt>
                <c:pt idx="49">
                  <c:v>1910</c:v>
                </c:pt>
                <c:pt idx="50">
                  <c:v>1911</c:v>
                </c:pt>
                <c:pt idx="51">
                  <c:v>1912</c:v>
                </c:pt>
                <c:pt idx="52">
                  <c:v>1913</c:v>
                </c:pt>
                <c:pt idx="53">
                  <c:v>1914</c:v>
                </c:pt>
              </c:numCache>
            </c:numRef>
          </c:xVal>
          <c:yVal>
            <c:numRef>
              <c:f>'рождаемость 1861-1914'!$B$4:$B$57</c:f>
              <c:numCache>
                <c:formatCode>0.0</c:formatCode>
                <c:ptCount val="54"/>
                <c:pt idx="0">
                  <c:v>48.8</c:v>
                </c:pt>
                <c:pt idx="1">
                  <c:v>49.7</c:v>
                </c:pt>
                <c:pt idx="2">
                  <c:v>48.1</c:v>
                </c:pt>
                <c:pt idx="3">
                  <c:v>50</c:v>
                </c:pt>
                <c:pt idx="4">
                  <c:v>47.5</c:v>
                </c:pt>
                <c:pt idx="5">
                  <c:v>45.1</c:v>
                </c:pt>
                <c:pt idx="6">
                  <c:v>48.3</c:v>
                </c:pt>
                <c:pt idx="7">
                  <c:v>46.8</c:v>
                </c:pt>
                <c:pt idx="8">
                  <c:v>47.4</c:v>
                </c:pt>
                <c:pt idx="9">
                  <c:v>47</c:v>
                </c:pt>
                <c:pt idx="10">
                  <c:v>48.9</c:v>
                </c:pt>
                <c:pt idx="11">
                  <c:v>47.3</c:v>
                </c:pt>
                <c:pt idx="12">
                  <c:v>49</c:v>
                </c:pt>
                <c:pt idx="13">
                  <c:v>47.8</c:v>
                </c:pt>
                <c:pt idx="14">
                  <c:v>48.2</c:v>
                </c:pt>
                <c:pt idx="15">
                  <c:v>47.5</c:v>
                </c:pt>
                <c:pt idx="16">
                  <c:v>47</c:v>
                </c:pt>
                <c:pt idx="17">
                  <c:v>45</c:v>
                </c:pt>
                <c:pt idx="18">
                  <c:v>47.4</c:v>
                </c:pt>
                <c:pt idx="19">
                  <c:v>47.2</c:v>
                </c:pt>
                <c:pt idx="20">
                  <c:v>46.9</c:v>
                </c:pt>
                <c:pt idx="21">
                  <c:v>48.7</c:v>
                </c:pt>
                <c:pt idx="22">
                  <c:v>47.9</c:v>
                </c:pt>
                <c:pt idx="23">
                  <c:v>48.5</c:v>
                </c:pt>
                <c:pt idx="24">
                  <c:v>47.5</c:v>
                </c:pt>
                <c:pt idx="25">
                  <c:v>47</c:v>
                </c:pt>
                <c:pt idx="26">
                  <c:v>47.4</c:v>
                </c:pt>
                <c:pt idx="27">
                  <c:v>48.4</c:v>
                </c:pt>
                <c:pt idx="28">
                  <c:v>47.8</c:v>
                </c:pt>
                <c:pt idx="29">
                  <c:v>47.2</c:v>
                </c:pt>
                <c:pt idx="30">
                  <c:v>48.1</c:v>
                </c:pt>
                <c:pt idx="31">
                  <c:v>44.3</c:v>
                </c:pt>
                <c:pt idx="32">
                  <c:v>46.9</c:v>
                </c:pt>
                <c:pt idx="33">
                  <c:v>47.1</c:v>
                </c:pt>
                <c:pt idx="34">
                  <c:v>47.9</c:v>
                </c:pt>
                <c:pt idx="35">
                  <c:v>48.8</c:v>
                </c:pt>
                <c:pt idx="36">
                  <c:v>48.6</c:v>
                </c:pt>
                <c:pt idx="37">
                  <c:v>47.7</c:v>
                </c:pt>
                <c:pt idx="38">
                  <c:v>48.3</c:v>
                </c:pt>
                <c:pt idx="39">
                  <c:v>48.1</c:v>
                </c:pt>
                <c:pt idx="40">
                  <c:v>47.2</c:v>
                </c:pt>
                <c:pt idx="41">
                  <c:v>48</c:v>
                </c:pt>
                <c:pt idx="42">
                  <c:v>47.1</c:v>
                </c:pt>
                <c:pt idx="43">
                  <c:v>47.6</c:v>
                </c:pt>
                <c:pt idx="44">
                  <c:v>44.3</c:v>
                </c:pt>
                <c:pt idx="45">
                  <c:v>46.4</c:v>
                </c:pt>
                <c:pt idx="46">
                  <c:v>47</c:v>
                </c:pt>
                <c:pt idx="47">
                  <c:v>45</c:v>
                </c:pt>
                <c:pt idx="48">
                  <c:v>45</c:v>
                </c:pt>
                <c:pt idx="49">
                  <c:v>46</c:v>
                </c:pt>
                <c:pt idx="50">
                  <c:v>45.9</c:v>
                </c:pt>
                <c:pt idx="51">
                  <c:v>44.1</c:v>
                </c:pt>
                <c:pt idx="52">
                  <c:v>45.4</c:v>
                </c:pt>
                <c:pt idx="53">
                  <c:v>43.1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A-4884-B991-286F519270D6}"/>
            </c:ext>
          </c:extLst>
        </c:ser>
        <c:ser>
          <c:idx val="1"/>
          <c:order val="1"/>
          <c:tx>
            <c:strRef>
              <c:f>'рождаемость 1861-1914'!$C$3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'рождаемость 1861-1914'!$A$4:$A$57</c:f>
              <c:numCache>
                <c:formatCode>General</c:formatCode>
                <c:ptCount val="54"/>
                <c:pt idx="0">
                  <c:v>1861</c:v>
                </c:pt>
                <c:pt idx="1">
                  <c:v>1862</c:v>
                </c:pt>
                <c:pt idx="2">
                  <c:v>1863</c:v>
                </c:pt>
                <c:pt idx="3">
                  <c:v>1864</c:v>
                </c:pt>
                <c:pt idx="4">
                  <c:v>1865</c:v>
                </c:pt>
                <c:pt idx="5">
                  <c:v>1866</c:v>
                </c:pt>
                <c:pt idx="6">
                  <c:v>1867</c:v>
                </c:pt>
                <c:pt idx="7">
                  <c:v>1868</c:v>
                </c:pt>
                <c:pt idx="8">
                  <c:v>1869</c:v>
                </c:pt>
                <c:pt idx="9">
                  <c:v>1870</c:v>
                </c:pt>
                <c:pt idx="10">
                  <c:v>1871</c:v>
                </c:pt>
                <c:pt idx="11">
                  <c:v>1872</c:v>
                </c:pt>
                <c:pt idx="12">
                  <c:v>1873</c:v>
                </c:pt>
                <c:pt idx="13">
                  <c:v>1874</c:v>
                </c:pt>
                <c:pt idx="14">
                  <c:v>1875</c:v>
                </c:pt>
                <c:pt idx="15">
                  <c:v>1876</c:v>
                </c:pt>
                <c:pt idx="16">
                  <c:v>1877</c:v>
                </c:pt>
                <c:pt idx="17">
                  <c:v>1878</c:v>
                </c:pt>
                <c:pt idx="18">
                  <c:v>1879</c:v>
                </c:pt>
                <c:pt idx="19">
                  <c:v>1880</c:v>
                </c:pt>
                <c:pt idx="20">
                  <c:v>1881</c:v>
                </c:pt>
                <c:pt idx="21">
                  <c:v>1882</c:v>
                </c:pt>
                <c:pt idx="22">
                  <c:v>1883</c:v>
                </c:pt>
                <c:pt idx="23">
                  <c:v>1884</c:v>
                </c:pt>
                <c:pt idx="24">
                  <c:v>1885</c:v>
                </c:pt>
                <c:pt idx="25">
                  <c:v>1886</c:v>
                </c:pt>
                <c:pt idx="26">
                  <c:v>1887</c:v>
                </c:pt>
                <c:pt idx="27">
                  <c:v>1888</c:v>
                </c:pt>
                <c:pt idx="28">
                  <c:v>1889</c:v>
                </c:pt>
                <c:pt idx="29">
                  <c:v>1890</c:v>
                </c:pt>
                <c:pt idx="30">
                  <c:v>1891</c:v>
                </c:pt>
                <c:pt idx="31">
                  <c:v>1892</c:v>
                </c:pt>
                <c:pt idx="32">
                  <c:v>1893</c:v>
                </c:pt>
                <c:pt idx="33">
                  <c:v>1894</c:v>
                </c:pt>
                <c:pt idx="34">
                  <c:v>1895</c:v>
                </c:pt>
                <c:pt idx="35">
                  <c:v>1896</c:v>
                </c:pt>
                <c:pt idx="36">
                  <c:v>1897</c:v>
                </c:pt>
                <c:pt idx="37">
                  <c:v>1898</c:v>
                </c:pt>
                <c:pt idx="38">
                  <c:v>1899</c:v>
                </c:pt>
                <c:pt idx="39">
                  <c:v>1900</c:v>
                </c:pt>
                <c:pt idx="40">
                  <c:v>1901</c:v>
                </c:pt>
                <c:pt idx="41">
                  <c:v>1902</c:v>
                </c:pt>
                <c:pt idx="42">
                  <c:v>1903</c:v>
                </c:pt>
                <c:pt idx="43">
                  <c:v>1904</c:v>
                </c:pt>
                <c:pt idx="44">
                  <c:v>1905</c:v>
                </c:pt>
                <c:pt idx="45">
                  <c:v>1906</c:v>
                </c:pt>
                <c:pt idx="46">
                  <c:v>1907</c:v>
                </c:pt>
                <c:pt idx="47">
                  <c:v>1908</c:v>
                </c:pt>
                <c:pt idx="48">
                  <c:v>1909</c:v>
                </c:pt>
                <c:pt idx="49">
                  <c:v>1910</c:v>
                </c:pt>
                <c:pt idx="50">
                  <c:v>1911</c:v>
                </c:pt>
                <c:pt idx="51">
                  <c:v>1912</c:v>
                </c:pt>
                <c:pt idx="52">
                  <c:v>1913</c:v>
                </c:pt>
                <c:pt idx="53">
                  <c:v>1914</c:v>
                </c:pt>
              </c:numCache>
            </c:numRef>
          </c:xVal>
          <c:yVal>
            <c:numRef>
              <c:f>'рождаемость 1861-1914'!$C$4:$C$57</c:f>
              <c:numCache>
                <c:formatCode>0.0</c:formatCode>
                <c:ptCount val="54"/>
                <c:pt idx="0">
                  <c:v>47.910810810810815</c:v>
                </c:pt>
                <c:pt idx="1">
                  <c:v>47.910810810810815</c:v>
                </c:pt>
                <c:pt idx="2">
                  <c:v>47.910810810810815</c:v>
                </c:pt>
                <c:pt idx="3">
                  <c:v>47.910810810810815</c:v>
                </c:pt>
                <c:pt idx="4">
                  <c:v>47.910810810810815</c:v>
                </c:pt>
                <c:pt idx="5">
                  <c:v>47.910810810810815</c:v>
                </c:pt>
                <c:pt idx="6">
                  <c:v>47.910810810810815</c:v>
                </c:pt>
                <c:pt idx="7">
                  <c:v>47.910810810810815</c:v>
                </c:pt>
                <c:pt idx="8">
                  <c:v>47.910810810810815</c:v>
                </c:pt>
                <c:pt idx="9">
                  <c:v>47.910810810810815</c:v>
                </c:pt>
                <c:pt idx="10">
                  <c:v>47.910810810810815</c:v>
                </c:pt>
                <c:pt idx="11">
                  <c:v>47.910810810810815</c:v>
                </c:pt>
                <c:pt idx="12">
                  <c:v>47.910810810810815</c:v>
                </c:pt>
                <c:pt idx="13">
                  <c:v>47.910810810810815</c:v>
                </c:pt>
                <c:pt idx="14">
                  <c:v>47.910810810810815</c:v>
                </c:pt>
                <c:pt idx="15">
                  <c:v>47.910810810810815</c:v>
                </c:pt>
                <c:pt idx="16">
                  <c:v>47.910810810810815</c:v>
                </c:pt>
                <c:pt idx="17">
                  <c:v>47.910810810810815</c:v>
                </c:pt>
                <c:pt idx="18">
                  <c:v>47.910810810810815</c:v>
                </c:pt>
                <c:pt idx="19">
                  <c:v>47.910810810810815</c:v>
                </c:pt>
                <c:pt idx="20">
                  <c:v>47.910810810810815</c:v>
                </c:pt>
                <c:pt idx="21">
                  <c:v>47.910810810810815</c:v>
                </c:pt>
                <c:pt idx="22">
                  <c:v>47.910810810810815</c:v>
                </c:pt>
                <c:pt idx="23">
                  <c:v>47.910810810810815</c:v>
                </c:pt>
                <c:pt idx="24">
                  <c:v>47.910810810810815</c:v>
                </c:pt>
                <c:pt idx="25">
                  <c:v>47.910810810810815</c:v>
                </c:pt>
                <c:pt idx="26">
                  <c:v>47.910810810810815</c:v>
                </c:pt>
                <c:pt idx="27">
                  <c:v>47.910810810810815</c:v>
                </c:pt>
                <c:pt idx="28">
                  <c:v>47.910810810810815</c:v>
                </c:pt>
                <c:pt idx="29">
                  <c:v>47.910810810810815</c:v>
                </c:pt>
                <c:pt idx="30">
                  <c:v>47.910810810810815</c:v>
                </c:pt>
                <c:pt idx="31">
                  <c:v>47.910810810810815</c:v>
                </c:pt>
                <c:pt idx="32">
                  <c:v>47.910810810810815</c:v>
                </c:pt>
                <c:pt idx="33">
                  <c:v>47.910810810810815</c:v>
                </c:pt>
                <c:pt idx="34">
                  <c:v>47.910810810810815</c:v>
                </c:pt>
                <c:pt idx="35">
                  <c:v>47.910810810810815</c:v>
                </c:pt>
                <c:pt idx="36">
                  <c:v>47.910810810810815</c:v>
                </c:pt>
                <c:pt idx="37">
                  <c:v>47.910810810810815</c:v>
                </c:pt>
                <c:pt idx="38">
                  <c:v>47.910810810810815</c:v>
                </c:pt>
                <c:pt idx="39">
                  <c:v>47.910810810810815</c:v>
                </c:pt>
                <c:pt idx="40">
                  <c:v>47.910810810810815</c:v>
                </c:pt>
                <c:pt idx="41">
                  <c:v>47.910810810810815</c:v>
                </c:pt>
                <c:pt idx="42">
                  <c:v>47.910810810810815</c:v>
                </c:pt>
                <c:pt idx="43">
                  <c:v>47.910810810810815</c:v>
                </c:pt>
                <c:pt idx="44">
                  <c:v>47.910810810810815</c:v>
                </c:pt>
                <c:pt idx="45">
                  <c:v>47.910810810810815</c:v>
                </c:pt>
                <c:pt idx="46">
                  <c:v>47.910810810810815</c:v>
                </c:pt>
                <c:pt idx="47">
                  <c:v>47.910810810810815</c:v>
                </c:pt>
                <c:pt idx="48">
                  <c:v>47.910810810810815</c:v>
                </c:pt>
                <c:pt idx="49">
                  <c:v>47.910810810810815</c:v>
                </c:pt>
                <c:pt idx="50">
                  <c:v>47.910810810810815</c:v>
                </c:pt>
                <c:pt idx="51">
                  <c:v>47.910810810810815</c:v>
                </c:pt>
                <c:pt idx="52">
                  <c:v>47.910810810810815</c:v>
                </c:pt>
                <c:pt idx="53">
                  <c:v>47.910810810810815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7A-4884-B991-286F519270D6}"/>
            </c:ext>
          </c:extLst>
        </c:ser>
        <c:ser>
          <c:idx val="2"/>
          <c:order val="2"/>
          <c:tx>
            <c:strRef>
              <c:f>'рождаемость 1861-1914'!$D$3</c:f>
              <c:strCache>
                <c:ptCount val="1"/>
                <c:pt idx="0">
                  <c:v>минимум обычных колебаний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'рождаемость 1861-1914'!$A$4:$A$57</c:f>
              <c:numCache>
                <c:formatCode>General</c:formatCode>
                <c:ptCount val="54"/>
                <c:pt idx="0">
                  <c:v>1861</c:v>
                </c:pt>
                <c:pt idx="1">
                  <c:v>1862</c:v>
                </c:pt>
                <c:pt idx="2">
                  <c:v>1863</c:v>
                </c:pt>
                <c:pt idx="3">
                  <c:v>1864</c:v>
                </c:pt>
                <c:pt idx="4">
                  <c:v>1865</c:v>
                </c:pt>
                <c:pt idx="5">
                  <c:v>1866</c:v>
                </c:pt>
                <c:pt idx="6">
                  <c:v>1867</c:v>
                </c:pt>
                <c:pt idx="7">
                  <c:v>1868</c:v>
                </c:pt>
                <c:pt idx="8">
                  <c:v>1869</c:v>
                </c:pt>
                <c:pt idx="9">
                  <c:v>1870</c:v>
                </c:pt>
                <c:pt idx="10">
                  <c:v>1871</c:v>
                </c:pt>
                <c:pt idx="11">
                  <c:v>1872</c:v>
                </c:pt>
                <c:pt idx="12">
                  <c:v>1873</c:v>
                </c:pt>
                <c:pt idx="13">
                  <c:v>1874</c:v>
                </c:pt>
                <c:pt idx="14">
                  <c:v>1875</c:v>
                </c:pt>
                <c:pt idx="15">
                  <c:v>1876</c:v>
                </c:pt>
                <c:pt idx="16">
                  <c:v>1877</c:v>
                </c:pt>
                <c:pt idx="17">
                  <c:v>1878</c:v>
                </c:pt>
                <c:pt idx="18">
                  <c:v>1879</c:v>
                </c:pt>
                <c:pt idx="19">
                  <c:v>1880</c:v>
                </c:pt>
                <c:pt idx="20">
                  <c:v>1881</c:v>
                </c:pt>
                <c:pt idx="21">
                  <c:v>1882</c:v>
                </c:pt>
                <c:pt idx="22">
                  <c:v>1883</c:v>
                </c:pt>
                <c:pt idx="23">
                  <c:v>1884</c:v>
                </c:pt>
                <c:pt idx="24">
                  <c:v>1885</c:v>
                </c:pt>
                <c:pt idx="25">
                  <c:v>1886</c:v>
                </c:pt>
                <c:pt idx="26">
                  <c:v>1887</c:v>
                </c:pt>
                <c:pt idx="27">
                  <c:v>1888</c:v>
                </c:pt>
                <c:pt idx="28">
                  <c:v>1889</c:v>
                </c:pt>
                <c:pt idx="29">
                  <c:v>1890</c:v>
                </c:pt>
                <c:pt idx="30">
                  <c:v>1891</c:v>
                </c:pt>
                <c:pt idx="31">
                  <c:v>1892</c:v>
                </c:pt>
                <c:pt idx="32">
                  <c:v>1893</c:v>
                </c:pt>
                <c:pt idx="33">
                  <c:v>1894</c:v>
                </c:pt>
                <c:pt idx="34">
                  <c:v>1895</c:v>
                </c:pt>
                <c:pt idx="35">
                  <c:v>1896</c:v>
                </c:pt>
                <c:pt idx="36">
                  <c:v>1897</c:v>
                </c:pt>
                <c:pt idx="37">
                  <c:v>1898</c:v>
                </c:pt>
                <c:pt idx="38">
                  <c:v>1899</c:v>
                </c:pt>
                <c:pt idx="39">
                  <c:v>1900</c:v>
                </c:pt>
                <c:pt idx="40">
                  <c:v>1901</c:v>
                </c:pt>
                <c:pt idx="41">
                  <c:v>1902</c:v>
                </c:pt>
                <c:pt idx="42">
                  <c:v>1903</c:v>
                </c:pt>
                <c:pt idx="43">
                  <c:v>1904</c:v>
                </c:pt>
                <c:pt idx="44">
                  <c:v>1905</c:v>
                </c:pt>
                <c:pt idx="45">
                  <c:v>1906</c:v>
                </c:pt>
                <c:pt idx="46">
                  <c:v>1907</c:v>
                </c:pt>
                <c:pt idx="47">
                  <c:v>1908</c:v>
                </c:pt>
                <c:pt idx="48">
                  <c:v>1909</c:v>
                </c:pt>
                <c:pt idx="49">
                  <c:v>1910</c:v>
                </c:pt>
                <c:pt idx="50">
                  <c:v>1911</c:v>
                </c:pt>
                <c:pt idx="51">
                  <c:v>1912</c:v>
                </c:pt>
                <c:pt idx="52">
                  <c:v>1913</c:v>
                </c:pt>
                <c:pt idx="53">
                  <c:v>1914</c:v>
                </c:pt>
              </c:numCache>
            </c:numRef>
          </c:xVal>
          <c:yVal>
            <c:numRef>
              <c:f>'рождаемость 1861-1914'!$D$4:$D$57</c:f>
              <c:numCache>
                <c:formatCode>0.0</c:formatCode>
                <c:ptCount val="54"/>
                <c:pt idx="0">
                  <c:v>46.8</c:v>
                </c:pt>
                <c:pt idx="1">
                  <c:v>46.8</c:v>
                </c:pt>
                <c:pt idx="2">
                  <c:v>46.8</c:v>
                </c:pt>
                <c:pt idx="3">
                  <c:v>46.8</c:v>
                </c:pt>
                <c:pt idx="4">
                  <c:v>46.8</c:v>
                </c:pt>
                <c:pt idx="5">
                  <c:v>46.8</c:v>
                </c:pt>
                <c:pt idx="6">
                  <c:v>46.8</c:v>
                </c:pt>
                <c:pt idx="7">
                  <c:v>46.8</c:v>
                </c:pt>
                <c:pt idx="8">
                  <c:v>46.8</c:v>
                </c:pt>
                <c:pt idx="9">
                  <c:v>46.8</c:v>
                </c:pt>
                <c:pt idx="10">
                  <c:v>46.8</c:v>
                </c:pt>
                <c:pt idx="11">
                  <c:v>46.8</c:v>
                </c:pt>
                <c:pt idx="12">
                  <c:v>46.8</c:v>
                </c:pt>
                <c:pt idx="13">
                  <c:v>46.8</c:v>
                </c:pt>
                <c:pt idx="14">
                  <c:v>46.8</c:v>
                </c:pt>
                <c:pt idx="15">
                  <c:v>46.8</c:v>
                </c:pt>
                <c:pt idx="16">
                  <c:v>46.8</c:v>
                </c:pt>
                <c:pt idx="17">
                  <c:v>46.8</c:v>
                </c:pt>
                <c:pt idx="18">
                  <c:v>46.8</c:v>
                </c:pt>
                <c:pt idx="19">
                  <c:v>46.8</c:v>
                </c:pt>
                <c:pt idx="20">
                  <c:v>46.8</c:v>
                </c:pt>
                <c:pt idx="21">
                  <c:v>46.8</c:v>
                </c:pt>
                <c:pt idx="22">
                  <c:v>46.8</c:v>
                </c:pt>
                <c:pt idx="23">
                  <c:v>46.8</c:v>
                </c:pt>
                <c:pt idx="24">
                  <c:v>46.8</c:v>
                </c:pt>
                <c:pt idx="25">
                  <c:v>46.8</c:v>
                </c:pt>
                <c:pt idx="26">
                  <c:v>46.8</c:v>
                </c:pt>
                <c:pt idx="27">
                  <c:v>46.8</c:v>
                </c:pt>
                <c:pt idx="28">
                  <c:v>46.8</c:v>
                </c:pt>
                <c:pt idx="29">
                  <c:v>46.8</c:v>
                </c:pt>
                <c:pt idx="30">
                  <c:v>46.8</c:v>
                </c:pt>
                <c:pt idx="31">
                  <c:v>46.8</c:v>
                </c:pt>
                <c:pt idx="32">
                  <c:v>46.8</c:v>
                </c:pt>
                <c:pt idx="33">
                  <c:v>46.8</c:v>
                </c:pt>
                <c:pt idx="34">
                  <c:v>46.8</c:v>
                </c:pt>
                <c:pt idx="35">
                  <c:v>46.8</c:v>
                </c:pt>
                <c:pt idx="36">
                  <c:v>46.8</c:v>
                </c:pt>
                <c:pt idx="37">
                  <c:v>46.8</c:v>
                </c:pt>
                <c:pt idx="38">
                  <c:v>46.8</c:v>
                </c:pt>
                <c:pt idx="39">
                  <c:v>46.8</c:v>
                </c:pt>
                <c:pt idx="40">
                  <c:v>46.8</c:v>
                </c:pt>
                <c:pt idx="41">
                  <c:v>46.8</c:v>
                </c:pt>
                <c:pt idx="42">
                  <c:v>46.8</c:v>
                </c:pt>
                <c:pt idx="43">
                  <c:v>46.8</c:v>
                </c:pt>
                <c:pt idx="44">
                  <c:v>46.8</c:v>
                </c:pt>
                <c:pt idx="45">
                  <c:v>46.8</c:v>
                </c:pt>
                <c:pt idx="46">
                  <c:v>46.8</c:v>
                </c:pt>
                <c:pt idx="47">
                  <c:v>46.8</c:v>
                </c:pt>
                <c:pt idx="48">
                  <c:v>46.8</c:v>
                </c:pt>
                <c:pt idx="49">
                  <c:v>46.8</c:v>
                </c:pt>
                <c:pt idx="50">
                  <c:v>46.8</c:v>
                </c:pt>
                <c:pt idx="51">
                  <c:v>46.8</c:v>
                </c:pt>
                <c:pt idx="52">
                  <c:v>46.8</c:v>
                </c:pt>
                <c:pt idx="53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A-4884-B991-286F51927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251848"/>
        <c:axId val="867251192"/>
      </c:scatterChart>
      <c:valAx>
        <c:axId val="867251848"/>
        <c:scaling>
          <c:orientation val="minMax"/>
          <c:min val="18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7251192"/>
        <c:crosses val="autoZero"/>
        <c:crossBetween val="midCat"/>
        <c:majorUnit val="5"/>
      </c:valAx>
      <c:valAx>
        <c:axId val="867251192"/>
        <c:scaling>
          <c:orientation val="minMax"/>
          <c:min val="4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7251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3</xdr:row>
      <xdr:rowOff>171455</xdr:rowOff>
    </xdr:from>
    <xdr:to>
      <xdr:col>24</xdr:col>
      <xdr:colOff>609599</xdr:colOff>
      <xdr:row>49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5C738-0961-467E-9E2F-E9DAF45BE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1</xdr:row>
      <xdr:rowOff>190499</xdr:rowOff>
    </xdr:from>
    <xdr:to>
      <xdr:col>22</xdr:col>
      <xdr:colOff>9525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56C98-7588-4E71-9736-DF9AFB0CE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DCF0-2ABE-4C89-BE7C-095D6FEF3DF5}">
  <dimension ref="A1:C51"/>
  <sheetViews>
    <sheetView workbookViewId="0">
      <selection activeCell="R23" sqref="R23"/>
    </sheetView>
  </sheetViews>
  <sheetFormatPr defaultRowHeight="15" x14ac:dyDescent="0.25"/>
  <sheetData>
    <row r="1" spans="1:3" x14ac:dyDescent="0.25">
      <c r="A1" s="15" t="s">
        <v>40</v>
      </c>
      <c r="B1" s="16"/>
      <c r="C1" s="16"/>
    </row>
    <row r="2" spans="1:3" x14ac:dyDescent="0.25">
      <c r="A2" s="13" t="s">
        <v>37</v>
      </c>
    </row>
    <row r="4" spans="1:3" x14ac:dyDescent="0.25">
      <c r="A4" t="s">
        <v>15</v>
      </c>
    </row>
    <row r="5" spans="1:3" x14ac:dyDescent="0.25">
      <c r="A5" t="s">
        <v>14</v>
      </c>
    </row>
    <row r="6" spans="1:3" x14ac:dyDescent="0.25">
      <c r="A6" t="s">
        <v>27</v>
      </c>
    </row>
    <row r="8" spans="1:3" x14ac:dyDescent="0.25">
      <c r="A8" t="s">
        <v>59</v>
      </c>
    </row>
    <row r="9" spans="1:3" x14ac:dyDescent="0.25">
      <c r="A9" t="s">
        <v>58</v>
      </c>
    </row>
    <row r="11" spans="1:3" x14ac:dyDescent="0.25">
      <c r="A11" t="s">
        <v>26</v>
      </c>
    </row>
    <row r="13" spans="1:3" x14ac:dyDescent="0.25">
      <c r="A13" t="s">
        <v>16</v>
      </c>
    </row>
    <row r="14" spans="1:3" x14ac:dyDescent="0.25">
      <c r="A14" t="s">
        <v>28</v>
      </c>
    </row>
    <row r="17" spans="1:2" x14ac:dyDescent="0.25">
      <c r="A17" t="s">
        <v>17</v>
      </c>
    </row>
    <row r="19" spans="1:2" x14ac:dyDescent="0.25">
      <c r="B19" t="s">
        <v>24</v>
      </c>
    </row>
    <row r="20" spans="1:2" x14ac:dyDescent="0.25">
      <c r="B20" t="s">
        <v>25</v>
      </c>
    </row>
    <row r="21" spans="1:2" x14ac:dyDescent="0.25">
      <c r="B21" t="s">
        <v>18</v>
      </c>
    </row>
    <row r="22" spans="1:2" x14ac:dyDescent="0.25">
      <c r="B22" t="s">
        <v>19</v>
      </c>
    </row>
    <row r="23" spans="1:2" x14ac:dyDescent="0.25">
      <c r="B23" t="s">
        <v>20</v>
      </c>
    </row>
    <row r="24" spans="1:2" x14ac:dyDescent="0.25">
      <c r="B24" t="s">
        <v>21</v>
      </c>
    </row>
    <row r="25" spans="1:2" x14ac:dyDescent="0.25">
      <c r="B25" t="s">
        <v>22</v>
      </c>
    </row>
    <row r="27" spans="1:2" x14ac:dyDescent="0.25">
      <c r="B27" t="s">
        <v>29</v>
      </c>
    </row>
    <row r="28" spans="1:2" x14ac:dyDescent="0.25">
      <c r="B28" t="s">
        <v>23</v>
      </c>
    </row>
    <row r="30" spans="1:2" x14ac:dyDescent="0.25">
      <c r="A30" t="s">
        <v>34</v>
      </c>
    </row>
    <row r="31" spans="1:2" x14ac:dyDescent="0.25">
      <c r="B31" t="s">
        <v>30</v>
      </c>
    </row>
    <row r="32" spans="1:2" x14ac:dyDescent="0.25">
      <c r="A32" t="s">
        <v>35</v>
      </c>
    </row>
    <row r="33" spans="1:3" x14ac:dyDescent="0.25">
      <c r="A33" t="s">
        <v>36</v>
      </c>
    </row>
    <row r="36" spans="1:3" x14ac:dyDescent="0.25">
      <c r="A36" s="15" t="s">
        <v>39</v>
      </c>
      <c r="B36" s="16"/>
      <c r="C36" s="16"/>
    </row>
    <row r="37" spans="1:3" x14ac:dyDescent="0.25">
      <c r="A37" s="13" t="s">
        <v>38</v>
      </c>
    </row>
    <row r="39" spans="1:3" x14ac:dyDescent="0.25">
      <c r="A39" t="s">
        <v>41</v>
      </c>
    </row>
    <row r="40" spans="1:3" x14ac:dyDescent="0.25">
      <c r="A40" t="s">
        <v>42</v>
      </c>
    </row>
    <row r="41" spans="1:3" x14ac:dyDescent="0.25">
      <c r="A41" t="s">
        <v>43</v>
      </c>
    </row>
    <row r="43" spans="1:3" x14ac:dyDescent="0.25">
      <c r="A43" t="s">
        <v>50</v>
      </c>
    </row>
    <row r="44" spans="1:3" x14ac:dyDescent="0.25">
      <c r="A44" t="s">
        <v>51</v>
      </c>
    </row>
    <row r="45" spans="1:3" x14ac:dyDescent="0.25">
      <c r="A45" t="s">
        <v>52</v>
      </c>
    </row>
    <row r="46" spans="1:3" x14ac:dyDescent="0.25">
      <c r="A46" t="s">
        <v>53</v>
      </c>
    </row>
    <row r="48" spans="1:3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661F-D46D-4FEE-B4C2-B066C516B64D}">
  <dimension ref="A1:S105"/>
  <sheetViews>
    <sheetView workbookViewId="0">
      <pane ySplit="3" topLeftCell="A25" activePane="bottomLeft" state="frozen"/>
      <selection pane="bottomLeft" activeCell="G9" sqref="G9"/>
    </sheetView>
  </sheetViews>
  <sheetFormatPr defaultRowHeight="15" x14ac:dyDescent="0.25"/>
  <cols>
    <col min="5" max="7" width="9.140625" style="2"/>
  </cols>
  <sheetData>
    <row r="1" spans="1:19" ht="18.75" x14ac:dyDescent="0.3">
      <c r="A1" s="14" t="s">
        <v>37</v>
      </c>
    </row>
    <row r="3" spans="1:19" s="10" customFormat="1" x14ac:dyDescent="0.25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9" t="s">
        <v>6</v>
      </c>
      <c r="I3" s="9" t="s">
        <v>7</v>
      </c>
      <c r="K3" s="9" t="s">
        <v>8</v>
      </c>
      <c r="L3" s="10" t="s">
        <v>9</v>
      </c>
      <c r="N3" s="10" t="s">
        <v>10</v>
      </c>
      <c r="O3" s="10" t="s">
        <v>11</v>
      </c>
      <c r="Q3" s="10" t="s">
        <v>12</v>
      </c>
      <c r="S3" s="10" t="s">
        <v>13</v>
      </c>
    </row>
    <row r="4" spans="1:19" x14ac:dyDescent="0.25">
      <c r="A4">
        <v>1750</v>
      </c>
      <c r="B4" s="11">
        <v>34000</v>
      </c>
      <c r="C4" s="1"/>
      <c r="D4" s="1"/>
    </row>
    <row r="5" spans="1:19" x14ac:dyDescent="0.25">
      <c r="A5">
        <v>1800</v>
      </c>
      <c r="B5" s="11">
        <v>46000</v>
      </c>
      <c r="C5" s="1"/>
      <c r="D5" s="1"/>
    </row>
    <row r="6" spans="1:19" x14ac:dyDescent="0.25">
      <c r="A6">
        <v>1850</v>
      </c>
      <c r="B6" s="11">
        <v>70000</v>
      </c>
      <c r="C6" s="1"/>
      <c r="D6" s="1"/>
    </row>
    <row r="7" spans="1:19" x14ac:dyDescent="0.25">
      <c r="A7">
        <v>1860</v>
      </c>
      <c r="B7" s="1">
        <v>76800</v>
      </c>
      <c r="C7" s="1"/>
      <c r="D7" s="1"/>
    </row>
    <row r="8" spans="1:19" x14ac:dyDescent="0.25">
      <c r="A8">
        <v>1861</v>
      </c>
      <c r="B8" s="1">
        <v>77600</v>
      </c>
      <c r="C8" s="1">
        <v>3810</v>
      </c>
      <c r="D8" s="1">
        <v>2820</v>
      </c>
      <c r="E8" s="2">
        <v>48.8</v>
      </c>
      <c r="F8" s="2">
        <v>36.1</v>
      </c>
      <c r="I8" s="1">
        <f>IF(B8=B9,B8,(B9-B8)/(LN(B9)-LN(B8)))</f>
        <v>78098.932980235244</v>
      </c>
      <c r="K8">
        <f>1000*C8/I8</f>
        <v>48.784277257209254</v>
      </c>
      <c r="L8">
        <f>1000*D8/I8</f>
        <v>36.10804773368244</v>
      </c>
      <c r="N8" s="2">
        <f>E8-K8</f>
        <v>1.5722742790742927E-2</v>
      </c>
      <c r="O8" s="2">
        <f>F8-L8</f>
        <v>-8.047733682438718E-3</v>
      </c>
      <c r="Q8" s="1">
        <f>B8+C8-D8+G8</f>
        <v>78590</v>
      </c>
      <c r="S8" s="1">
        <f>Q8-B9</f>
        <v>-10</v>
      </c>
    </row>
    <row r="9" spans="1:19" x14ac:dyDescent="0.25">
      <c r="A9">
        <v>1862</v>
      </c>
      <c r="B9" s="1">
        <v>78600</v>
      </c>
      <c r="C9" s="1">
        <v>3940</v>
      </c>
      <c r="D9" s="1">
        <v>2750</v>
      </c>
      <c r="E9" s="2">
        <v>49.7</v>
      </c>
      <c r="F9" s="2">
        <v>34.700000000000003</v>
      </c>
      <c r="I9" s="1">
        <f t="shared" ref="I9:I72" si="0">IF(B9=B10,B9,(B10-B9)/(LN(B10)-LN(B9)))</f>
        <v>79198.484825293766</v>
      </c>
      <c r="K9">
        <f t="shared" ref="K9:K72" si="1">1000*C9/I9</f>
        <v>49.748426484311665</v>
      </c>
      <c r="L9">
        <f t="shared" ref="L9:L72" si="2">1000*D9/I9</f>
        <v>34.722886505547486</v>
      </c>
      <c r="N9" s="2">
        <f t="shared" ref="N9:N72" si="3">E9-K9</f>
        <v>-4.8426484311661966E-2</v>
      </c>
      <c r="O9" s="2">
        <f t="shared" ref="O9:O72" si="4">F9-L9</f>
        <v>-2.2886505547482727E-2</v>
      </c>
      <c r="Q9" s="1">
        <f t="shared" ref="Q9:Q72" si="5">B9+C9-D9+G9</f>
        <v>79790</v>
      </c>
      <c r="S9" s="1">
        <f>Q9-B10</f>
        <v>-10</v>
      </c>
    </row>
    <row r="10" spans="1:19" x14ac:dyDescent="0.25">
      <c r="A10">
        <v>1863</v>
      </c>
      <c r="B10" s="1">
        <v>79800</v>
      </c>
      <c r="C10" s="1">
        <v>3860</v>
      </c>
      <c r="D10" s="1">
        <v>3010</v>
      </c>
      <c r="E10" s="2">
        <v>48.1</v>
      </c>
      <c r="F10" s="2">
        <v>37.4</v>
      </c>
      <c r="I10" s="1">
        <f t="shared" si="0"/>
        <v>80249.158871445979</v>
      </c>
      <c r="K10">
        <f t="shared" si="1"/>
        <v>48.100192628604034</v>
      </c>
      <c r="L10">
        <f t="shared" si="2"/>
        <v>37.508181298471023</v>
      </c>
      <c r="N10" s="2">
        <f t="shared" si="3"/>
        <v>-1.9262860403301829E-4</v>
      </c>
      <c r="O10" s="2">
        <f t="shared" si="4"/>
        <v>-0.10818129847102398</v>
      </c>
      <c r="Q10" s="1">
        <f t="shared" si="5"/>
        <v>80650</v>
      </c>
      <c r="S10" s="1">
        <f>Q10-B11</f>
        <v>-50</v>
      </c>
    </row>
    <row r="11" spans="1:19" x14ac:dyDescent="0.25">
      <c r="A11">
        <v>1864</v>
      </c>
      <c r="B11" s="1">
        <v>80700</v>
      </c>
      <c r="C11" s="1">
        <v>4060</v>
      </c>
      <c r="D11" s="1">
        <v>3020</v>
      </c>
      <c r="E11" s="2">
        <v>50</v>
      </c>
      <c r="F11" s="2">
        <v>37.200000000000003</v>
      </c>
      <c r="I11" s="1">
        <f t="shared" si="0"/>
        <v>81198.973717051354</v>
      </c>
      <c r="K11">
        <f t="shared" si="1"/>
        <v>50.000631955615731</v>
      </c>
      <c r="L11">
        <f t="shared" si="2"/>
        <v>37.19258830196047</v>
      </c>
      <c r="N11" s="2">
        <f t="shared" si="3"/>
        <v>-6.3195561573081704E-4</v>
      </c>
      <c r="O11" s="3">
        <f t="shared" si="4"/>
        <v>7.4116980395331211E-3</v>
      </c>
      <c r="Q11" s="1">
        <f t="shared" si="5"/>
        <v>81740</v>
      </c>
      <c r="S11" s="1">
        <f>Q11-B12</f>
        <v>40</v>
      </c>
    </row>
    <row r="12" spans="1:19" x14ac:dyDescent="0.25">
      <c r="A12">
        <v>1865</v>
      </c>
      <c r="B12" s="1">
        <v>81700</v>
      </c>
      <c r="C12" s="1">
        <v>3900</v>
      </c>
      <c r="D12" s="1">
        <v>2940</v>
      </c>
      <c r="E12" s="2">
        <v>47.5</v>
      </c>
      <c r="F12" s="2">
        <v>35.799999999999997</v>
      </c>
      <c r="I12" s="1">
        <f t="shared" si="0"/>
        <v>82198.986202483575</v>
      </c>
      <c r="K12">
        <f t="shared" si="1"/>
        <v>47.445840638386912</v>
      </c>
      <c r="L12">
        <f t="shared" si="2"/>
        <v>35.766864481245513</v>
      </c>
      <c r="N12" s="2">
        <f t="shared" si="3"/>
        <v>5.4159361613088208E-2</v>
      </c>
      <c r="O12" s="2">
        <f t="shared" si="4"/>
        <v>3.3135518754484394E-2</v>
      </c>
      <c r="Q12" s="1">
        <f t="shared" si="5"/>
        <v>82660</v>
      </c>
      <c r="S12" s="1">
        <f>Q12-B13</f>
        <v>-40</v>
      </c>
    </row>
    <row r="13" spans="1:19" x14ac:dyDescent="0.25">
      <c r="A13">
        <v>1866</v>
      </c>
      <c r="B13" s="1">
        <v>82700</v>
      </c>
      <c r="C13" s="11">
        <v>3740</v>
      </c>
      <c r="D13" s="11">
        <v>3340</v>
      </c>
      <c r="E13" s="12">
        <v>45.1</v>
      </c>
      <c r="F13" s="12">
        <v>40.299999999999997</v>
      </c>
      <c r="I13" s="1">
        <f t="shared" si="0"/>
        <v>82899.839163392622</v>
      </c>
      <c r="K13">
        <f t="shared" si="1"/>
        <v>45.114683426931549</v>
      </c>
      <c r="L13">
        <f t="shared" si="2"/>
        <v>40.289583595174165</v>
      </c>
      <c r="N13" s="2">
        <f t="shared" si="3"/>
        <v>-1.4683426931547672E-2</v>
      </c>
      <c r="O13" s="2">
        <f t="shared" si="4"/>
        <v>1.0416404825832615E-2</v>
      </c>
      <c r="Q13" s="1">
        <f t="shared" si="5"/>
        <v>83100</v>
      </c>
      <c r="S13" s="1">
        <f t="shared" ref="S13:S76" si="6">Q13-B14</f>
        <v>0</v>
      </c>
    </row>
    <row r="14" spans="1:19" x14ac:dyDescent="0.25">
      <c r="A14">
        <v>1867</v>
      </c>
      <c r="B14" s="1">
        <v>83100</v>
      </c>
      <c r="C14" s="1">
        <v>4040</v>
      </c>
      <c r="D14" s="1">
        <v>2970</v>
      </c>
      <c r="E14" s="2">
        <v>48.3</v>
      </c>
      <c r="F14" s="2">
        <v>35.5</v>
      </c>
      <c r="I14" s="1">
        <f t="shared" si="0"/>
        <v>83599.003180291067</v>
      </c>
      <c r="K14">
        <f t="shared" si="1"/>
        <v>48.325935074695394</v>
      </c>
      <c r="L14">
        <f t="shared" si="2"/>
        <v>35.526739398971614</v>
      </c>
      <c r="N14" s="2">
        <f t="shared" si="3"/>
        <v>-2.593507469539702E-2</v>
      </c>
      <c r="O14" s="2">
        <f t="shared" si="4"/>
        <v>-2.6739398971614037E-2</v>
      </c>
      <c r="Q14" s="1">
        <f t="shared" si="5"/>
        <v>84170</v>
      </c>
      <c r="S14" s="1">
        <f t="shared" si="6"/>
        <v>70</v>
      </c>
    </row>
    <row r="15" spans="1:19" x14ac:dyDescent="0.25">
      <c r="A15">
        <v>1868</v>
      </c>
      <c r="B15" s="1">
        <v>84100</v>
      </c>
      <c r="C15" s="1">
        <v>3950</v>
      </c>
      <c r="D15" s="1">
        <v>3230</v>
      </c>
      <c r="E15" s="2">
        <v>46.8</v>
      </c>
      <c r="F15" s="2">
        <v>38.200000000000003</v>
      </c>
      <c r="I15" s="1">
        <f t="shared" si="0"/>
        <v>84499.3688325189</v>
      </c>
      <c r="K15">
        <f t="shared" si="1"/>
        <v>46.745911295847151</v>
      </c>
      <c r="L15">
        <f t="shared" si="2"/>
        <v>38.22513759128767</v>
      </c>
      <c r="N15" s="2">
        <f t="shared" si="3"/>
        <v>5.408870415284639E-2</v>
      </c>
      <c r="O15" s="2">
        <f t="shared" si="4"/>
        <v>-2.5137591287666794E-2</v>
      </c>
      <c r="Q15" s="1">
        <f t="shared" si="5"/>
        <v>84820</v>
      </c>
      <c r="S15" s="1">
        <f t="shared" si="6"/>
        <v>-80</v>
      </c>
    </row>
    <row r="16" spans="1:19" x14ac:dyDescent="0.25">
      <c r="A16">
        <v>1869</v>
      </c>
      <c r="B16" s="1">
        <v>84900</v>
      </c>
      <c r="C16" s="1">
        <v>4040</v>
      </c>
      <c r="D16" s="1">
        <v>3160</v>
      </c>
      <c r="E16" s="2">
        <v>47.4</v>
      </c>
      <c r="F16" s="2">
        <v>37.1</v>
      </c>
      <c r="I16" s="1">
        <f t="shared" si="0"/>
        <v>85299.374752099393</v>
      </c>
      <c r="K16">
        <f t="shared" si="1"/>
        <v>47.362598046482951</v>
      </c>
      <c r="L16">
        <f t="shared" si="2"/>
        <v>37.045992531407457</v>
      </c>
      <c r="N16" s="2">
        <f t="shared" si="3"/>
        <v>3.7401953517047559E-2</v>
      </c>
      <c r="O16" s="2">
        <f t="shared" si="4"/>
        <v>5.4007468592544683E-2</v>
      </c>
      <c r="Q16" s="1">
        <f t="shared" si="5"/>
        <v>85780</v>
      </c>
      <c r="S16" s="1">
        <f t="shared" si="6"/>
        <v>80</v>
      </c>
    </row>
    <row r="17" spans="1:19" x14ac:dyDescent="0.25">
      <c r="A17">
        <v>1870</v>
      </c>
      <c r="B17" s="1">
        <v>85700</v>
      </c>
      <c r="C17" s="1">
        <v>4050</v>
      </c>
      <c r="D17" s="1">
        <v>2930</v>
      </c>
      <c r="E17" s="2">
        <v>47</v>
      </c>
      <c r="F17" s="2">
        <v>34</v>
      </c>
      <c r="I17" s="1">
        <f t="shared" si="0"/>
        <v>86298.609483814638</v>
      </c>
      <c r="K17">
        <f t="shared" si="1"/>
        <v>46.930072503191148</v>
      </c>
      <c r="L17">
        <f t="shared" si="2"/>
        <v>33.95187961341977</v>
      </c>
      <c r="N17" s="2">
        <f t="shared" si="3"/>
        <v>6.9927496808851686E-2</v>
      </c>
      <c r="O17" s="2">
        <f t="shared" si="4"/>
        <v>4.812038658022999E-2</v>
      </c>
      <c r="Q17" s="1">
        <f t="shared" si="5"/>
        <v>86820</v>
      </c>
      <c r="S17" s="1">
        <f t="shared" si="6"/>
        <v>-80</v>
      </c>
    </row>
    <row r="18" spans="1:19" x14ac:dyDescent="0.25">
      <c r="A18">
        <v>1871</v>
      </c>
      <c r="B18" s="1">
        <v>86900</v>
      </c>
      <c r="C18" s="1">
        <v>4270</v>
      </c>
      <c r="D18" s="1">
        <v>3250</v>
      </c>
      <c r="E18" s="2">
        <v>48.9</v>
      </c>
      <c r="F18" s="2">
        <v>37.200000000000003</v>
      </c>
      <c r="I18" s="1">
        <f t="shared" si="0"/>
        <v>87399.046521048062</v>
      </c>
      <c r="K18">
        <f t="shared" si="1"/>
        <v>48.856368232480293</v>
      </c>
      <c r="L18">
        <f t="shared" si="2"/>
        <v>37.185760364299988</v>
      </c>
      <c r="N18" s="2">
        <f t="shared" si="3"/>
        <v>4.3631767519705988E-2</v>
      </c>
      <c r="O18" s="2">
        <f t="shared" si="4"/>
        <v>1.4239635700015185E-2</v>
      </c>
      <c r="Q18" s="1">
        <f t="shared" si="5"/>
        <v>87920</v>
      </c>
      <c r="S18" s="1">
        <f t="shared" si="6"/>
        <v>20</v>
      </c>
    </row>
    <row r="19" spans="1:19" x14ac:dyDescent="0.25">
      <c r="A19">
        <v>1872</v>
      </c>
      <c r="B19" s="1">
        <v>87900</v>
      </c>
      <c r="C19" s="1">
        <v>4170</v>
      </c>
      <c r="D19" s="1">
        <v>3500</v>
      </c>
      <c r="E19" s="2">
        <v>47.3</v>
      </c>
      <c r="F19" s="2">
        <v>39.700000000000003</v>
      </c>
      <c r="I19" s="1">
        <f t="shared" si="0"/>
        <v>88249.537297384581</v>
      </c>
      <c r="K19">
        <f t="shared" si="1"/>
        <v>47.252372394292259</v>
      </c>
      <c r="L19">
        <f t="shared" si="2"/>
        <v>39.660264599525874</v>
      </c>
      <c r="N19" s="2">
        <f t="shared" si="3"/>
        <v>4.7627605707738496E-2</v>
      </c>
      <c r="O19" s="2">
        <f t="shared" si="4"/>
        <v>3.9735400474128824E-2</v>
      </c>
      <c r="Q19" s="1">
        <f t="shared" si="5"/>
        <v>88570</v>
      </c>
      <c r="S19" s="1">
        <f t="shared" si="6"/>
        <v>-30</v>
      </c>
    </row>
    <row r="20" spans="1:19" x14ac:dyDescent="0.25">
      <c r="A20">
        <v>1873</v>
      </c>
      <c r="B20" s="1">
        <v>88600</v>
      </c>
      <c r="C20" s="1">
        <v>4370</v>
      </c>
      <c r="D20" s="1">
        <v>3140</v>
      </c>
      <c r="E20" s="2">
        <v>49</v>
      </c>
      <c r="F20" s="2">
        <v>35.200000000000003</v>
      </c>
      <c r="I20" s="1">
        <f t="shared" si="0"/>
        <v>89198.654692292737</v>
      </c>
      <c r="K20">
        <f t="shared" si="1"/>
        <v>48.99177028033801</v>
      </c>
      <c r="L20">
        <f t="shared" si="2"/>
        <v>35.202324640792071</v>
      </c>
      <c r="N20" s="2">
        <f t="shared" si="3"/>
        <v>8.2297196619904867E-3</v>
      </c>
      <c r="O20" s="2">
        <f t="shared" si="4"/>
        <v>-2.3246407920680667E-3</v>
      </c>
      <c r="Q20" s="1">
        <f t="shared" si="5"/>
        <v>89830</v>
      </c>
      <c r="S20" s="1">
        <f t="shared" si="6"/>
        <v>30</v>
      </c>
    </row>
    <row r="21" spans="1:19" x14ac:dyDescent="0.25">
      <c r="A21">
        <v>1874</v>
      </c>
      <c r="B21" s="1">
        <v>89800</v>
      </c>
      <c r="C21" s="1">
        <v>4320</v>
      </c>
      <c r="D21" s="1">
        <v>3060</v>
      </c>
      <c r="E21" s="2">
        <v>47.8</v>
      </c>
      <c r="F21" s="2">
        <v>33.799999999999997</v>
      </c>
      <c r="I21" s="1">
        <f t="shared" si="0"/>
        <v>90398.672550780539</v>
      </c>
      <c r="K21">
        <f t="shared" si="1"/>
        <v>47.788312351304533</v>
      </c>
      <c r="L21">
        <f t="shared" si="2"/>
        <v>33.850054582174046</v>
      </c>
      <c r="N21" s="2">
        <f t="shared" si="3"/>
        <v>1.1687648695463793E-2</v>
      </c>
      <c r="O21" s="2">
        <f t="shared" si="4"/>
        <v>-5.005458217404879E-2</v>
      </c>
      <c r="Q21" s="1">
        <f t="shared" si="5"/>
        <v>91060</v>
      </c>
      <c r="S21" s="1">
        <f t="shared" si="6"/>
        <v>60</v>
      </c>
    </row>
    <row r="22" spans="1:19" x14ac:dyDescent="0.25">
      <c r="A22">
        <v>1875</v>
      </c>
      <c r="B22" s="1">
        <v>91000</v>
      </c>
      <c r="C22" s="1">
        <v>4420</v>
      </c>
      <c r="D22" s="1">
        <v>3070</v>
      </c>
      <c r="E22" s="2">
        <v>48.2</v>
      </c>
      <c r="F22" s="2">
        <v>33.5</v>
      </c>
      <c r="I22" s="1">
        <f t="shared" si="0"/>
        <v>91698.21880183286</v>
      </c>
      <c r="K22">
        <f t="shared" si="1"/>
        <v>48.201590584348985</v>
      </c>
      <c r="L22">
        <f t="shared" si="2"/>
        <v>33.479385315373619</v>
      </c>
      <c r="N22" s="2">
        <f t="shared" si="3"/>
        <v>-1.5905843489818494E-3</v>
      </c>
      <c r="O22" s="2">
        <f t="shared" si="4"/>
        <v>2.0614684626380608E-2</v>
      </c>
      <c r="Q22" s="1">
        <f t="shared" si="5"/>
        <v>92350</v>
      </c>
      <c r="S22" s="1">
        <f t="shared" si="6"/>
        <v>-50</v>
      </c>
    </row>
    <row r="23" spans="1:19" x14ac:dyDescent="0.25">
      <c r="A23">
        <v>1876</v>
      </c>
      <c r="B23" s="1">
        <v>92400</v>
      </c>
      <c r="C23" s="1">
        <v>4420</v>
      </c>
      <c r="D23" s="1">
        <v>3130</v>
      </c>
      <c r="E23" s="2">
        <v>47.5</v>
      </c>
      <c r="F23" s="2">
        <v>33.6</v>
      </c>
      <c r="I23" s="1">
        <f t="shared" si="0"/>
        <v>93048.486457109437</v>
      </c>
      <c r="K23">
        <f t="shared" si="1"/>
        <v>47.502116028909214</v>
      </c>
      <c r="L23">
        <f t="shared" si="2"/>
        <v>33.638376282915345</v>
      </c>
      <c r="N23" s="2">
        <f t="shared" si="3"/>
        <v>-2.1160289092136964E-3</v>
      </c>
      <c r="O23" s="2">
        <f t="shared" si="4"/>
        <v>-3.8376282915344007E-2</v>
      </c>
      <c r="Q23" s="1">
        <f t="shared" si="5"/>
        <v>93690</v>
      </c>
      <c r="S23" s="1">
        <f t="shared" si="6"/>
        <v>-10</v>
      </c>
    </row>
    <row r="24" spans="1:19" x14ac:dyDescent="0.25">
      <c r="A24">
        <v>1877</v>
      </c>
      <c r="B24" s="1">
        <v>93700</v>
      </c>
      <c r="C24" s="1">
        <v>4430</v>
      </c>
      <c r="D24" s="1">
        <v>3120</v>
      </c>
      <c r="E24" s="2">
        <v>47</v>
      </c>
      <c r="F24" s="2">
        <v>33.1</v>
      </c>
      <c r="I24" s="1">
        <f t="shared" si="0"/>
        <v>94348.507311965877</v>
      </c>
      <c r="K24">
        <f t="shared" si="1"/>
        <v>46.953578029084085</v>
      </c>
      <c r="L24">
        <f t="shared" si="2"/>
        <v>33.06888565479511</v>
      </c>
      <c r="N24" s="2">
        <f t="shared" si="3"/>
        <v>4.6421970915915267E-2</v>
      </c>
      <c r="O24" s="2">
        <f t="shared" si="4"/>
        <v>3.1114345204890981E-2</v>
      </c>
      <c r="Q24" s="1">
        <f t="shared" si="5"/>
        <v>95010</v>
      </c>
      <c r="S24" s="1">
        <f t="shared" si="6"/>
        <v>10</v>
      </c>
    </row>
    <row r="25" spans="1:19" x14ac:dyDescent="0.25">
      <c r="A25">
        <v>1878</v>
      </c>
      <c r="B25" s="1">
        <v>95000</v>
      </c>
      <c r="C25" s="1">
        <v>4290</v>
      </c>
      <c r="D25" s="1">
        <v>3490</v>
      </c>
      <c r="E25" s="2">
        <v>45</v>
      </c>
      <c r="F25" s="2">
        <v>36.6</v>
      </c>
      <c r="I25" s="1">
        <f t="shared" si="0"/>
        <v>95399.440947767711</v>
      </c>
      <c r="K25">
        <f t="shared" si="1"/>
        <v>44.968816980267462</v>
      </c>
      <c r="L25">
        <f t="shared" si="2"/>
        <v>36.583023603993816</v>
      </c>
      <c r="N25" s="2">
        <f t="shared" si="3"/>
        <v>3.1183019732537787E-2</v>
      </c>
      <c r="O25" s="2">
        <f t="shared" si="4"/>
        <v>1.6976396006185723E-2</v>
      </c>
      <c r="Q25" s="1">
        <f t="shared" si="5"/>
        <v>95800</v>
      </c>
      <c r="S25" s="1">
        <f t="shared" si="6"/>
        <v>0</v>
      </c>
    </row>
    <row r="26" spans="1:19" x14ac:dyDescent="0.25">
      <c r="A26">
        <v>1879</v>
      </c>
      <c r="B26" s="1">
        <v>95800</v>
      </c>
      <c r="C26" s="1">
        <v>4570</v>
      </c>
      <c r="D26" s="1">
        <v>3230</v>
      </c>
      <c r="E26" s="2">
        <v>47.4</v>
      </c>
      <c r="F26" s="2">
        <v>33.5</v>
      </c>
      <c r="I26" s="1">
        <f t="shared" si="0"/>
        <v>96448.539812966177</v>
      </c>
      <c r="K26">
        <f t="shared" si="1"/>
        <v>47.382780588095812</v>
      </c>
      <c r="L26">
        <f t="shared" si="2"/>
        <v>33.489361334693541</v>
      </c>
      <c r="N26" s="2">
        <f t="shared" si="3"/>
        <v>1.7219411904186188E-2</v>
      </c>
      <c r="O26" s="2">
        <f t="shared" si="4"/>
        <v>1.0638665306458961E-2</v>
      </c>
      <c r="Q26" s="1">
        <f t="shared" si="5"/>
        <v>97140</v>
      </c>
      <c r="S26" s="1">
        <f t="shared" si="6"/>
        <v>40</v>
      </c>
    </row>
    <row r="27" spans="1:19" x14ac:dyDescent="0.25">
      <c r="A27">
        <v>1880</v>
      </c>
      <c r="B27" s="1">
        <v>97100</v>
      </c>
      <c r="C27" s="1">
        <v>4620</v>
      </c>
      <c r="D27" s="1">
        <v>3409</v>
      </c>
      <c r="E27" s="2">
        <v>47.2</v>
      </c>
      <c r="F27" s="2">
        <v>34.799999999999997</v>
      </c>
      <c r="I27" s="1">
        <f t="shared" si="0"/>
        <v>97698.77173790618</v>
      </c>
      <c r="K27">
        <f t="shared" si="1"/>
        <v>47.288209644988655</v>
      </c>
      <c r="L27">
        <f t="shared" si="2"/>
        <v>34.892966813802232</v>
      </c>
      <c r="N27" s="2">
        <f t="shared" si="3"/>
        <v>-8.8209644988651803E-2</v>
      </c>
      <c r="O27" s="2">
        <f t="shared" si="4"/>
        <v>-9.2966813802235038E-2</v>
      </c>
      <c r="Q27" s="1">
        <f t="shared" si="5"/>
        <v>98311</v>
      </c>
      <c r="S27" s="1">
        <f t="shared" si="6"/>
        <v>11</v>
      </c>
    </row>
    <row r="28" spans="1:19" x14ac:dyDescent="0.25">
      <c r="A28">
        <v>1881</v>
      </c>
      <c r="B28" s="1">
        <v>98300</v>
      </c>
      <c r="C28" s="1">
        <v>4630</v>
      </c>
      <c r="D28" s="1">
        <v>3260</v>
      </c>
      <c r="E28" s="2">
        <v>46.9</v>
      </c>
      <c r="F28" s="2">
        <v>32.9</v>
      </c>
      <c r="I28" s="1">
        <f t="shared" si="0"/>
        <v>98998.350146353871</v>
      </c>
      <c r="K28">
        <f t="shared" si="1"/>
        <v>46.768456172807483</v>
      </c>
      <c r="L28">
        <f t="shared" si="2"/>
        <v>32.929841711307212</v>
      </c>
      <c r="N28" s="2">
        <f t="shared" si="3"/>
        <v>0.13154382719251601</v>
      </c>
      <c r="O28" s="2">
        <f t="shared" si="4"/>
        <v>-2.9841711307213359E-2</v>
      </c>
      <c r="Q28" s="1">
        <f t="shared" si="5"/>
        <v>99670</v>
      </c>
      <c r="S28" s="1">
        <f t="shared" si="6"/>
        <v>-30</v>
      </c>
    </row>
    <row r="29" spans="1:19" x14ac:dyDescent="0.25">
      <c r="A29">
        <v>1882</v>
      </c>
      <c r="B29" s="1">
        <v>99700</v>
      </c>
      <c r="C29" s="1">
        <v>4880</v>
      </c>
      <c r="D29" s="1">
        <v>3880</v>
      </c>
      <c r="E29" s="2">
        <v>48.7</v>
      </c>
      <c r="F29" s="2">
        <v>38.700000000000003</v>
      </c>
      <c r="G29" s="2">
        <v>-20</v>
      </c>
      <c r="I29" s="1">
        <f t="shared" si="0"/>
        <v>100199.16832447944</v>
      </c>
      <c r="K29">
        <f t="shared" si="1"/>
        <v>48.702999052815272</v>
      </c>
      <c r="L29">
        <f t="shared" si="2"/>
        <v>38.722876296090831</v>
      </c>
      <c r="N29" s="2">
        <f t="shared" si="3"/>
        <v>-2.9990528152694651E-3</v>
      </c>
      <c r="O29" s="2">
        <f t="shared" si="4"/>
        <v>-2.2876296090828419E-2</v>
      </c>
      <c r="Q29" s="1">
        <f t="shared" si="5"/>
        <v>100680</v>
      </c>
      <c r="S29" s="1">
        <f t="shared" si="6"/>
        <v>-20</v>
      </c>
    </row>
    <row r="30" spans="1:19" x14ac:dyDescent="0.25">
      <c r="A30">
        <v>1883</v>
      </c>
      <c r="B30" s="1">
        <v>100700</v>
      </c>
      <c r="C30" s="1">
        <v>4850</v>
      </c>
      <c r="D30" s="1">
        <v>3660</v>
      </c>
      <c r="E30" s="2">
        <v>47.9</v>
      </c>
      <c r="F30" s="2">
        <v>36.1</v>
      </c>
      <c r="G30" s="2">
        <v>-20</v>
      </c>
      <c r="I30" s="1">
        <f t="shared" si="0"/>
        <v>101298.81538872945</v>
      </c>
      <c r="K30">
        <f t="shared" si="1"/>
        <v>47.878151204319153</v>
      </c>
      <c r="L30">
        <f t="shared" si="2"/>
        <v>36.130728537692391</v>
      </c>
      <c r="N30" s="2">
        <f t="shared" si="3"/>
        <v>2.1848795680845967E-2</v>
      </c>
      <c r="O30" s="2">
        <f t="shared" si="4"/>
        <v>-3.0728537692390034E-2</v>
      </c>
      <c r="Q30" s="1">
        <f t="shared" si="5"/>
        <v>101870</v>
      </c>
      <c r="S30" s="1">
        <f t="shared" si="6"/>
        <v>-30</v>
      </c>
    </row>
    <row r="31" spans="1:19" x14ac:dyDescent="0.25">
      <c r="A31">
        <v>1884</v>
      </c>
      <c r="B31" s="1">
        <v>101900</v>
      </c>
      <c r="C31" s="1">
        <v>4980</v>
      </c>
      <c r="D31" s="1">
        <v>3420</v>
      </c>
      <c r="E31" s="2">
        <v>48.5</v>
      </c>
      <c r="F31" s="2">
        <v>33.299999999999997</v>
      </c>
      <c r="G31" s="2">
        <v>-20</v>
      </c>
      <c r="I31" s="1">
        <f t="shared" si="0"/>
        <v>102648.17337877114</v>
      </c>
      <c r="K31">
        <f t="shared" si="1"/>
        <v>48.515232527556336</v>
      </c>
      <c r="L31">
        <f t="shared" si="2"/>
        <v>33.317689808080857</v>
      </c>
      <c r="N31" s="2">
        <f t="shared" si="3"/>
        <v>-1.523252755633564E-2</v>
      </c>
      <c r="O31" s="2">
        <f t="shared" si="4"/>
        <v>-1.7689808080859848E-2</v>
      </c>
      <c r="Q31" s="1">
        <f t="shared" si="5"/>
        <v>103440</v>
      </c>
      <c r="S31" s="1">
        <f t="shared" si="6"/>
        <v>40</v>
      </c>
    </row>
    <row r="32" spans="1:19" x14ac:dyDescent="0.25">
      <c r="A32">
        <v>1885</v>
      </c>
      <c r="B32" s="1">
        <v>103400</v>
      </c>
      <c r="C32" s="1">
        <v>4940</v>
      </c>
      <c r="D32" s="1">
        <v>3600</v>
      </c>
      <c r="E32" s="2">
        <v>47.5</v>
      </c>
      <c r="F32" s="2">
        <v>34.6</v>
      </c>
      <c r="G32" s="2">
        <v>-20</v>
      </c>
      <c r="I32" s="1">
        <f t="shared" si="0"/>
        <v>104048.64646997549</v>
      </c>
      <c r="K32">
        <f t="shared" si="1"/>
        <v>47.477792048217538</v>
      </c>
      <c r="L32">
        <f t="shared" si="2"/>
        <v>34.599200682911565</v>
      </c>
      <c r="N32" s="2">
        <f t="shared" si="3"/>
        <v>2.2207951782462487E-2</v>
      </c>
      <c r="O32" s="2">
        <f t="shared" si="4"/>
        <v>7.9931708843616889E-4</v>
      </c>
      <c r="Q32" s="1">
        <f t="shared" si="5"/>
        <v>104720</v>
      </c>
      <c r="S32" s="1">
        <f t="shared" si="6"/>
        <v>20</v>
      </c>
    </row>
    <row r="33" spans="1:19" x14ac:dyDescent="0.25">
      <c r="A33">
        <v>1886</v>
      </c>
      <c r="B33" s="1">
        <v>104700</v>
      </c>
      <c r="C33" s="1">
        <v>4960</v>
      </c>
      <c r="D33" s="1">
        <v>3410</v>
      </c>
      <c r="E33" s="2">
        <v>47</v>
      </c>
      <c r="F33" s="2">
        <v>32.299999999999997</v>
      </c>
      <c r="G33" s="2">
        <v>-20</v>
      </c>
      <c r="I33" s="1">
        <f t="shared" si="0"/>
        <v>105497.97785208518</v>
      </c>
      <c r="K33">
        <f t="shared" si="1"/>
        <v>47.015119161376084</v>
      </c>
      <c r="L33">
        <f t="shared" si="2"/>
        <v>32.322894423446058</v>
      </c>
      <c r="N33" s="2">
        <f t="shared" si="3"/>
        <v>-1.5119161376084378E-2</v>
      </c>
      <c r="O33" s="2">
        <f t="shared" si="4"/>
        <v>-2.2894423446061296E-2</v>
      </c>
      <c r="Q33" s="1">
        <f t="shared" si="5"/>
        <v>106230</v>
      </c>
      <c r="S33" s="1">
        <f t="shared" si="6"/>
        <v>-70</v>
      </c>
    </row>
    <row r="34" spans="1:19" x14ac:dyDescent="0.25">
      <c r="A34">
        <v>1887</v>
      </c>
      <c r="B34" s="1">
        <v>106300</v>
      </c>
      <c r="C34" s="1">
        <v>5070</v>
      </c>
      <c r="D34" s="1">
        <v>3520</v>
      </c>
      <c r="E34" s="2">
        <v>47.4</v>
      </c>
      <c r="F34" s="2">
        <v>32.9</v>
      </c>
      <c r="G34" s="2">
        <v>-20</v>
      </c>
      <c r="I34" s="1">
        <f t="shared" si="0"/>
        <v>107048.24845909931</v>
      </c>
      <c r="K34">
        <f t="shared" si="1"/>
        <v>47.361821169237821</v>
      </c>
      <c r="L34">
        <f t="shared" si="2"/>
        <v>32.882368938011268</v>
      </c>
      <c r="N34" s="2">
        <f t="shared" si="3"/>
        <v>3.817883076217754E-2</v>
      </c>
      <c r="O34" s="2">
        <f t="shared" si="4"/>
        <v>1.7631061988730323E-2</v>
      </c>
      <c r="Q34" s="1">
        <f t="shared" si="5"/>
        <v>107830</v>
      </c>
      <c r="S34" s="1">
        <f t="shared" si="6"/>
        <v>30</v>
      </c>
    </row>
    <row r="35" spans="1:19" x14ac:dyDescent="0.25">
      <c r="A35">
        <v>1888</v>
      </c>
      <c r="B35" s="1">
        <v>107800</v>
      </c>
      <c r="C35" s="1">
        <v>5260</v>
      </c>
      <c r="D35" s="1">
        <v>3500</v>
      </c>
      <c r="E35" s="2">
        <v>48.4</v>
      </c>
      <c r="F35" s="2">
        <v>32.200000000000003</v>
      </c>
      <c r="G35" s="2">
        <v>-20</v>
      </c>
      <c r="I35" s="1">
        <f t="shared" si="0"/>
        <v>108697.51605394151</v>
      </c>
      <c r="K35">
        <f t="shared" si="1"/>
        <v>48.391170202911603</v>
      </c>
      <c r="L35">
        <f t="shared" si="2"/>
        <v>32.199447853648408</v>
      </c>
      <c r="N35" s="2">
        <f t="shared" si="3"/>
        <v>8.8297970883957078E-3</v>
      </c>
      <c r="O35" s="2">
        <f t="shared" si="4"/>
        <v>5.5214635159472891E-4</v>
      </c>
      <c r="Q35" s="1">
        <f t="shared" si="5"/>
        <v>109540</v>
      </c>
      <c r="S35" s="1">
        <f t="shared" si="6"/>
        <v>-60</v>
      </c>
    </row>
    <row r="36" spans="1:19" x14ac:dyDescent="0.25">
      <c r="A36">
        <v>1889</v>
      </c>
      <c r="B36" s="1">
        <v>109600</v>
      </c>
      <c r="C36" s="1">
        <v>5270</v>
      </c>
      <c r="D36" s="1">
        <v>3740</v>
      </c>
      <c r="E36" s="2">
        <v>47.8</v>
      </c>
      <c r="F36" s="2">
        <v>33.9</v>
      </c>
      <c r="G36" s="2">
        <v>-20</v>
      </c>
      <c r="I36" s="1">
        <f t="shared" si="0"/>
        <v>110348.30083996689</v>
      </c>
      <c r="K36">
        <f t="shared" si="1"/>
        <v>47.757871755930715</v>
      </c>
      <c r="L36">
        <f t="shared" si="2"/>
        <v>33.89268318162825</v>
      </c>
      <c r="N36" s="2">
        <f t="shared" si="3"/>
        <v>4.2128244069282061E-2</v>
      </c>
      <c r="O36" s="2">
        <f t="shared" si="4"/>
        <v>7.3168183717484681E-3</v>
      </c>
      <c r="Q36" s="1">
        <f t="shared" si="5"/>
        <v>111110</v>
      </c>
      <c r="S36" s="1">
        <f t="shared" si="6"/>
        <v>10</v>
      </c>
    </row>
    <row r="37" spans="1:19" x14ac:dyDescent="0.25">
      <c r="A37">
        <v>1890</v>
      </c>
      <c r="B37" s="1">
        <v>111100</v>
      </c>
      <c r="C37" s="1">
        <v>5270</v>
      </c>
      <c r="D37" s="1">
        <v>3960</v>
      </c>
      <c r="E37" s="2">
        <v>47.2</v>
      </c>
      <c r="F37" s="2">
        <v>35.4</v>
      </c>
      <c r="G37" s="2">
        <v>-20</v>
      </c>
      <c r="I37" s="1">
        <f t="shared" si="0"/>
        <v>111748.73973508435</v>
      </c>
      <c r="K37">
        <f t="shared" si="1"/>
        <v>47.159368530627319</v>
      </c>
      <c r="L37">
        <f t="shared" si="2"/>
        <v>35.436641248820528</v>
      </c>
      <c r="N37" s="2">
        <f t="shared" si="3"/>
        <v>4.0631469372684137E-2</v>
      </c>
      <c r="O37" s="2">
        <f t="shared" si="4"/>
        <v>-3.6641248820529881E-2</v>
      </c>
      <c r="Q37" s="1">
        <f t="shared" si="5"/>
        <v>112390</v>
      </c>
      <c r="S37" s="1">
        <f t="shared" si="6"/>
        <v>-10</v>
      </c>
    </row>
    <row r="38" spans="1:19" x14ac:dyDescent="0.25">
      <c r="A38">
        <v>1891</v>
      </c>
      <c r="B38" s="1">
        <v>112400</v>
      </c>
      <c r="C38" s="1">
        <v>5440</v>
      </c>
      <c r="D38" s="1">
        <v>3950</v>
      </c>
      <c r="E38" s="2">
        <v>48.1</v>
      </c>
      <c r="F38" s="2">
        <v>34.9</v>
      </c>
      <c r="G38" s="2">
        <v>-20</v>
      </c>
      <c r="I38" s="1">
        <f t="shared" si="0"/>
        <v>113098.55583553397</v>
      </c>
      <c r="K38">
        <f t="shared" si="1"/>
        <v>48.099641589683579</v>
      </c>
      <c r="L38">
        <f t="shared" si="2"/>
        <v>34.925291227803335</v>
      </c>
      <c r="N38" s="2">
        <f t="shared" si="3"/>
        <v>3.584103164229191E-4</v>
      </c>
      <c r="O38" s="2">
        <f t="shared" si="4"/>
        <v>-2.5291227803336369E-2</v>
      </c>
      <c r="Q38" s="1">
        <f t="shared" si="5"/>
        <v>113870</v>
      </c>
      <c r="S38" s="1">
        <f t="shared" si="6"/>
        <v>70</v>
      </c>
    </row>
    <row r="39" spans="1:19" x14ac:dyDescent="0.25">
      <c r="A39">
        <v>1892</v>
      </c>
      <c r="B39" s="1">
        <v>113800</v>
      </c>
      <c r="C39" s="1">
        <v>5050</v>
      </c>
      <c r="D39" s="1">
        <v>4520</v>
      </c>
      <c r="E39" s="2">
        <v>44.3</v>
      </c>
      <c r="F39" s="2">
        <v>39.799999999999997</v>
      </c>
      <c r="G39" s="2">
        <v>-20</v>
      </c>
      <c r="I39" s="1">
        <f t="shared" si="0"/>
        <v>114049.81733135486</v>
      </c>
      <c r="K39">
        <f t="shared" si="1"/>
        <v>44.278895996194123</v>
      </c>
      <c r="L39">
        <f t="shared" si="2"/>
        <v>39.631803941148007</v>
      </c>
      <c r="N39" s="2">
        <f t="shared" si="3"/>
        <v>2.1104003805874072E-2</v>
      </c>
      <c r="O39" s="2">
        <f t="shared" si="4"/>
        <v>0.16819605885198996</v>
      </c>
      <c r="Q39" s="1">
        <f t="shared" si="5"/>
        <v>114310</v>
      </c>
      <c r="S39" s="1">
        <f t="shared" si="6"/>
        <v>10</v>
      </c>
    </row>
    <row r="40" spans="1:19" x14ac:dyDescent="0.25">
      <c r="A40">
        <v>1893</v>
      </c>
      <c r="B40" s="1">
        <v>114300</v>
      </c>
      <c r="C40" s="1">
        <v>5400</v>
      </c>
      <c r="D40" s="1">
        <v>3860</v>
      </c>
      <c r="E40" s="2">
        <v>46.9</v>
      </c>
      <c r="F40" s="2">
        <v>33.6</v>
      </c>
      <c r="G40" s="2">
        <v>-20</v>
      </c>
      <c r="I40" s="1">
        <f t="shared" si="0"/>
        <v>115048.37025531808</v>
      </c>
      <c r="K40">
        <f t="shared" si="1"/>
        <v>46.936779617270474</v>
      </c>
      <c r="L40">
        <f t="shared" si="2"/>
        <v>33.551105430122966</v>
      </c>
      <c r="N40" s="2">
        <f t="shared" si="3"/>
        <v>-3.677961727047574E-2</v>
      </c>
      <c r="O40" s="2">
        <f t="shared" si="4"/>
        <v>4.889456987703511E-2</v>
      </c>
      <c r="Q40" s="1">
        <f t="shared" si="5"/>
        <v>115820</v>
      </c>
      <c r="S40" s="1">
        <f t="shared" si="6"/>
        <v>20</v>
      </c>
    </row>
    <row r="41" spans="1:19" x14ac:dyDescent="0.25">
      <c r="A41">
        <v>1894</v>
      </c>
      <c r="B41" s="1">
        <v>115800</v>
      </c>
      <c r="C41" s="1">
        <v>5490</v>
      </c>
      <c r="D41" s="1">
        <v>3890</v>
      </c>
      <c r="E41" s="2">
        <v>47.1</v>
      </c>
      <c r="F41" s="2">
        <v>33.4</v>
      </c>
      <c r="G41" s="2">
        <v>-20</v>
      </c>
      <c r="I41" s="1">
        <f t="shared" si="0"/>
        <v>116598.17036010091</v>
      </c>
      <c r="K41">
        <f t="shared" si="1"/>
        <v>47.084786862818909</v>
      </c>
      <c r="L41">
        <f t="shared" si="2"/>
        <v>33.36244460771686</v>
      </c>
      <c r="N41" s="2">
        <f t="shared" si="3"/>
        <v>1.5213137181092407E-2</v>
      </c>
      <c r="O41" s="2">
        <f t="shared" si="4"/>
        <v>3.7555392283138644E-2</v>
      </c>
      <c r="Q41" s="1">
        <f t="shared" si="5"/>
        <v>117380</v>
      </c>
      <c r="S41" s="1">
        <f t="shared" si="6"/>
        <v>-20</v>
      </c>
    </row>
    <row r="42" spans="1:19" x14ac:dyDescent="0.25">
      <c r="A42">
        <v>1895</v>
      </c>
      <c r="B42" s="1">
        <v>117400</v>
      </c>
      <c r="C42" s="1">
        <v>5650</v>
      </c>
      <c r="D42" s="1">
        <v>4140</v>
      </c>
      <c r="E42" s="2">
        <v>47.9</v>
      </c>
      <c r="F42" s="2">
        <v>35.1</v>
      </c>
      <c r="G42" s="2">
        <v>-20</v>
      </c>
      <c r="I42" s="1">
        <f t="shared" si="0"/>
        <v>118148.41301723095</v>
      </c>
      <c r="K42">
        <f t="shared" si="1"/>
        <v>47.821209406985389</v>
      </c>
      <c r="L42">
        <f t="shared" si="2"/>
        <v>35.040673795560977</v>
      </c>
      <c r="N42" s="2">
        <f t="shared" si="3"/>
        <v>7.8790593014609556E-2</v>
      </c>
      <c r="O42" s="2">
        <f t="shared" si="4"/>
        <v>5.9326204439024366E-2</v>
      </c>
      <c r="Q42" s="1">
        <f t="shared" si="5"/>
        <v>118890</v>
      </c>
      <c r="S42" s="1">
        <f t="shared" si="6"/>
        <v>-10</v>
      </c>
    </row>
    <row r="43" spans="1:19" x14ac:dyDescent="0.25">
      <c r="A43">
        <v>1896</v>
      </c>
      <c r="B43" s="1">
        <v>118900</v>
      </c>
      <c r="C43" s="1">
        <v>5840</v>
      </c>
      <c r="D43" s="1">
        <v>3960</v>
      </c>
      <c r="E43" s="2">
        <v>48.8</v>
      </c>
      <c r="F43" s="2">
        <v>33.1</v>
      </c>
      <c r="G43" s="2">
        <v>-20</v>
      </c>
      <c r="I43" s="1">
        <f t="shared" si="0"/>
        <v>119797.74620981683</v>
      </c>
      <c r="K43">
        <f t="shared" si="1"/>
        <v>48.74883029745547</v>
      </c>
      <c r="L43">
        <f t="shared" si="2"/>
        <v>33.055713694849942</v>
      </c>
      <c r="N43" s="2">
        <f t="shared" si="3"/>
        <v>5.116970254452724E-2</v>
      </c>
      <c r="O43" s="2">
        <f t="shared" si="4"/>
        <v>4.4286305150059491E-2</v>
      </c>
      <c r="Q43" s="1">
        <f t="shared" si="5"/>
        <v>120760</v>
      </c>
      <c r="S43" s="1">
        <f t="shared" si="6"/>
        <v>60</v>
      </c>
    </row>
    <row r="44" spans="1:19" x14ac:dyDescent="0.25">
      <c r="A44">
        <v>1897</v>
      </c>
      <c r="B44" s="1">
        <v>120700</v>
      </c>
      <c r="C44" s="1">
        <v>5920</v>
      </c>
      <c r="D44" s="1">
        <v>3750</v>
      </c>
      <c r="E44" s="2">
        <v>48.6</v>
      </c>
      <c r="F44" s="2">
        <v>30.8</v>
      </c>
      <c r="G44" s="2">
        <v>-72.2222222222222</v>
      </c>
      <c r="I44" s="1">
        <f t="shared" si="0"/>
        <v>121796.6884884583</v>
      </c>
      <c r="K44">
        <f t="shared" si="1"/>
        <v>48.605590787971146</v>
      </c>
      <c r="L44">
        <f t="shared" si="2"/>
        <v>30.789014434947941</v>
      </c>
      <c r="N44" s="2">
        <f t="shared" si="3"/>
        <v>-5.5907879711440955E-3</v>
      </c>
      <c r="O44" s="2">
        <f t="shared" si="4"/>
        <v>1.0985565052060053E-2</v>
      </c>
      <c r="Q44" s="1">
        <f t="shared" si="5"/>
        <v>122797.77777777778</v>
      </c>
      <c r="S44" s="1">
        <f t="shared" si="6"/>
        <v>-102.22222222221899</v>
      </c>
    </row>
    <row r="45" spans="1:19" x14ac:dyDescent="0.25">
      <c r="A45">
        <v>1898</v>
      </c>
      <c r="B45" s="1">
        <v>122900</v>
      </c>
      <c r="C45" s="1">
        <v>5900</v>
      </c>
      <c r="D45" s="1">
        <v>4000</v>
      </c>
      <c r="E45" s="2">
        <v>47.7</v>
      </c>
      <c r="F45" s="2">
        <v>32.299999999999997</v>
      </c>
      <c r="G45" s="2">
        <v>-72.2222222222222</v>
      </c>
      <c r="I45" s="1">
        <f t="shared" si="0"/>
        <v>123847.57094829719</v>
      </c>
      <c r="K45">
        <f t="shared" si="1"/>
        <v>47.639206444049528</v>
      </c>
      <c r="L45">
        <f t="shared" si="2"/>
        <v>32.297767080711544</v>
      </c>
      <c r="N45" s="2">
        <f t="shared" si="3"/>
        <v>6.0793555950475309E-2</v>
      </c>
      <c r="O45" s="2">
        <f t="shared" si="4"/>
        <v>2.232919288452706E-3</v>
      </c>
      <c r="Q45" s="1">
        <f t="shared" si="5"/>
        <v>124727.77777777778</v>
      </c>
      <c r="S45" s="1">
        <f t="shared" si="6"/>
        <v>-72.222222222218988</v>
      </c>
    </row>
    <row r="46" spans="1:19" x14ac:dyDescent="0.25">
      <c r="A46">
        <v>1899</v>
      </c>
      <c r="B46" s="1">
        <v>124800</v>
      </c>
      <c r="C46" s="1">
        <v>6080</v>
      </c>
      <c r="D46" s="1">
        <v>3830</v>
      </c>
      <c r="E46" s="2">
        <v>48.3</v>
      </c>
      <c r="F46" s="2">
        <v>30.4</v>
      </c>
      <c r="G46" s="2">
        <v>-72.2222222222222</v>
      </c>
      <c r="I46" s="1">
        <f t="shared" si="0"/>
        <v>125896.79633404326</v>
      </c>
      <c r="K46">
        <f t="shared" si="1"/>
        <v>48.293524355201811</v>
      </c>
      <c r="L46">
        <f t="shared" si="2"/>
        <v>30.421743138227455</v>
      </c>
      <c r="N46" s="2">
        <f t="shared" si="3"/>
        <v>6.4756447981864085E-3</v>
      </c>
      <c r="O46" s="2">
        <f t="shared" si="4"/>
        <v>-2.1743138227456882E-2</v>
      </c>
      <c r="Q46" s="1">
        <f t="shared" si="5"/>
        <v>126977.77777777778</v>
      </c>
      <c r="S46" s="1">
        <f t="shared" si="6"/>
        <v>-22.222222222218988</v>
      </c>
    </row>
    <row r="47" spans="1:19" x14ac:dyDescent="0.25">
      <c r="A47">
        <v>1900</v>
      </c>
      <c r="B47" s="1">
        <v>127000</v>
      </c>
      <c r="C47" s="1">
        <v>6160</v>
      </c>
      <c r="D47" s="1">
        <v>3870</v>
      </c>
      <c r="E47" s="2">
        <v>48.1</v>
      </c>
      <c r="F47" s="2">
        <v>30.2</v>
      </c>
      <c r="G47" s="2">
        <v>-72.2222222222222</v>
      </c>
      <c r="I47" s="1">
        <f t="shared" si="0"/>
        <v>128096.85135624965</v>
      </c>
      <c r="K47">
        <f t="shared" si="1"/>
        <v>48.08861369174835</v>
      </c>
      <c r="L47">
        <f t="shared" si="2"/>
        <v>30.211515419978266</v>
      </c>
      <c r="N47" s="2">
        <f t="shared" si="3"/>
        <v>1.1386308251651656E-2</v>
      </c>
      <c r="O47" s="2">
        <f t="shared" si="4"/>
        <v>-1.151541997826655E-2</v>
      </c>
      <c r="Q47" s="1">
        <f t="shared" si="5"/>
        <v>129217.77777777778</v>
      </c>
      <c r="S47" s="1">
        <f t="shared" si="6"/>
        <v>17.777777777781012</v>
      </c>
    </row>
    <row r="48" spans="1:19" x14ac:dyDescent="0.25">
      <c r="A48">
        <v>1901</v>
      </c>
      <c r="B48" s="1">
        <v>129200</v>
      </c>
      <c r="C48" s="1">
        <v>6140</v>
      </c>
      <c r="D48" s="1">
        <v>4090</v>
      </c>
      <c r="E48" s="2">
        <v>47.2</v>
      </c>
      <c r="F48" s="2">
        <v>31.4</v>
      </c>
      <c r="G48" s="2">
        <v>-72.2222222222222</v>
      </c>
      <c r="I48" s="1">
        <f t="shared" si="0"/>
        <v>130197.43979587079</v>
      </c>
      <c r="K48">
        <f t="shared" si="1"/>
        <v>47.159145445767287</v>
      </c>
      <c r="L48">
        <f t="shared" si="2"/>
        <v>31.413828155242378</v>
      </c>
      <c r="N48" s="2">
        <f t="shared" si="3"/>
        <v>4.0854554232716112E-2</v>
      </c>
      <c r="O48" s="2">
        <f t="shared" si="4"/>
        <v>-1.3828155242379125E-2</v>
      </c>
      <c r="Q48" s="1">
        <f t="shared" si="5"/>
        <v>131177.77777777778</v>
      </c>
      <c r="S48" s="1">
        <f t="shared" si="6"/>
        <v>-22.222222222218988</v>
      </c>
    </row>
    <row r="49" spans="1:19" x14ac:dyDescent="0.25">
      <c r="A49">
        <v>1902</v>
      </c>
      <c r="B49" s="1">
        <v>131200</v>
      </c>
      <c r="C49" s="1">
        <v>6350</v>
      </c>
      <c r="D49" s="1">
        <v>4060</v>
      </c>
      <c r="E49" s="2">
        <v>48</v>
      </c>
      <c r="F49" s="2">
        <v>30.7</v>
      </c>
      <c r="G49" s="2">
        <v>-72.2222222222222</v>
      </c>
      <c r="I49" s="1">
        <f t="shared" si="0"/>
        <v>132296.95131694622</v>
      </c>
      <c r="K49">
        <f t="shared" si="1"/>
        <v>47.998082622381744</v>
      </c>
      <c r="L49">
        <f t="shared" si="2"/>
        <v>30.688537865648801</v>
      </c>
      <c r="N49" s="2">
        <f t="shared" si="3"/>
        <v>1.9173776182555002E-3</v>
      </c>
      <c r="O49" s="2">
        <f t="shared" si="4"/>
        <v>1.1462134351198472E-2</v>
      </c>
      <c r="Q49" s="1">
        <f t="shared" si="5"/>
        <v>133417.77777777778</v>
      </c>
      <c r="S49" s="1">
        <f t="shared" si="6"/>
        <v>17.777777777781012</v>
      </c>
    </row>
    <row r="50" spans="1:19" x14ac:dyDescent="0.25">
      <c r="A50">
        <v>1903</v>
      </c>
      <c r="B50" s="1">
        <v>133400</v>
      </c>
      <c r="C50" s="1">
        <v>6340</v>
      </c>
      <c r="D50" s="1">
        <v>3890</v>
      </c>
      <c r="E50" s="2">
        <v>47.1</v>
      </c>
      <c r="F50" s="2">
        <v>28.9</v>
      </c>
      <c r="G50" s="2">
        <v>-72.2222222222222</v>
      </c>
      <c r="I50" s="1">
        <f t="shared" si="0"/>
        <v>134596.43380255866</v>
      </c>
      <c r="K50">
        <f t="shared" si="1"/>
        <v>47.103774007119924</v>
      </c>
      <c r="L50">
        <f t="shared" si="2"/>
        <v>28.901211496482098</v>
      </c>
      <c r="N50" s="2">
        <f t="shared" si="3"/>
        <v>-3.7740071199223735E-3</v>
      </c>
      <c r="O50" s="2">
        <f t="shared" si="4"/>
        <v>-1.2114964820995056E-3</v>
      </c>
      <c r="Q50" s="1">
        <f t="shared" si="5"/>
        <v>135777.77777777778</v>
      </c>
      <c r="S50" s="1">
        <f t="shared" si="6"/>
        <v>-22.222222222218988</v>
      </c>
    </row>
    <row r="51" spans="1:19" x14ac:dyDescent="0.25">
      <c r="A51">
        <v>1904</v>
      </c>
      <c r="B51" s="1">
        <v>135800</v>
      </c>
      <c r="C51" s="1">
        <v>6520</v>
      </c>
      <c r="D51" s="1">
        <v>3910</v>
      </c>
      <c r="E51" s="2">
        <v>47.6</v>
      </c>
      <c r="F51" s="2">
        <v>28.5</v>
      </c>
      <c r="G51" s="2">
        <v>-72.2222222222222</v>
      </c>
      <c r="I51" s="1">
        <f t="shared" si="0"/>
        <v>137046.19959950444</v>
      </c>
      <c r="K51">
        <f t="shared" si="1"/>
        <v>47.575197408272942</v>
      </c>
      <c r="L51">
        <f t="shared" si="2"/>
        <v>28.530524826126872</v>
      </c>
      <c r="N51" s="2">
        <f t="shared" si="3"/>
        <v>2.4802591727059564E-2</v>
      </c>
      <c r="O51" s="2">
        <f t="shared" si="4"/>
        <v>-3.0524826126871574E-2</v>
      </c>
      <c r="Q51" s="1">
        <f t="shared" si="5"/>
        <v>138337.77777777778</v>
      </c>
      <c r="S51" s="1">
        <f t="shared" si="6"/>
        <v>37.777777777781012</v>
      </c>
    </row>
    <row r="52" spans="1:19" x14ac:dyDescent="0.25">
      <c r="A52">
        <v>1905</v>
      </c>
      <c r="B52" s="1">
        <v>138300</v>
      </c>
      <c r="C52" s="1">
        <v>6160</v>
      </c>
      <c r="D52" s="1">
        <v>4250</v>
      </c>
      <c r="E52" s="2">
        <v>44.3</v>
      </c>
      <c r="F52" s="2">
        <v>30.6</v>
      </c>
      <c r="G52" s="2">
        <v>-72.2222222222222</v>
      </c>
      <c r="I52" s="1">
        <f t="shared" si="0"/>
        <v>139198.0603232134</v>
      </c>
      <c r="K52">
        <f t="shared" si="1"/>
        <v>44.253490211693169</v>
      </c>
      <c r="L52">
        <f t="shared" si="2"/>
        <v>30.53203464280779</v>
      </c>
      <c r="N52" s="2">
        <f t="shared" si="3"/>
        <v>4.650978830682817E-2</v>
      </c>
      <c r="O52" s="2">
        <f t="shared" si="4"/>
        <v>6.7965357192210973E-2</v>
      </c>
      <c r="Q52" s="1">
        <f t="shared" si="5"/>
        <v>140137.77777777778</v>
      </c>
      <c r="S52" s="1">
        <f t="shared" si="6"/>
        <v>37.777777777781012</v>
      </c>
    </row>
    <row r="53" spans="1:19" x14ac:dyDescent="0.25">
      <c r="A53">
        <v>1906</v>
      </c>
      <c r="B53" s="1">
        <v>140100</v>
      </c>
      <c r="C53" s="1">
        <v>6550</v>
      </c>
      <c r="D53" s="1">
        <v>4100</v>
      </c>
      <c r="E53" s="2">
        <v>46.4</v>
      </c>
      <c r="F53" s="2">
        <v>29</v>
      </c>
      <c r="G53" s="2">
        <v>-72.2222222222222</v>
      </c>
      <c r="I53" s="1">
        <f t="shared" si="0"/>
        <v>141296.6029070626</v>
      </c>
      <c r="K53">
        <f t="shared" si="1"/>
        <v>46.356386956509084</v>
      </c>
      <c r="L53">
        <f t="shared" si="2"/>
        <v>29.016975041478968</v>
      </c>
      <c r="N53" s="2">
        <f t="shared" si="3"/>
        <v>4.3613043490914549E-2</v>
      </c>
      <c r="O53" s="2">
        <f t="shared" si="4"/>
        <v>-1.6975041478968222E-2</v>
      </c>
      <c r="Q53" s="1">
        <f t="shared" si="5"/>
        <v>142477.77777777778</v>
      </c>
      <c r="S53" s="1">
        <f t="shared" si="6"/>
        <v>-22.222222222218988</v>
      </c>
    </row>
    <row r="54" spans="1:19" x14ac:dyDescent="0.25">
      <c r="A54">
        <v>1907</v>
      </c>
      <c r="B54" s="1">
        <v>142500</v>
      </c>
      <c r="C54" s="1">
        <v>6770</v>
      </c>
      <c r="D54" s="1">
        <v>3880</v>
      </c>
      <c r="E54" s="2">
        <v>47</v>
      </c>
      <c r="F54" s="2">
        <v>27</v>
      </c>
      <c r="G54" s="2">
        <v>-72.2222222222222</v>
      </c>
      <c r="I54" s="1">
        <f t="shared" si="0"/>
        <v>143895.45969545533</v>
      </c>
      <c r="K54">
        <f t="shared" si="1"/>
        <v>47.048044561852272</v>
      </c>
      <c r="L54">
        <f t="shared" si="2"/>
        <v>26.964019630721836</v>
      </c>
      <c r="N54" s="2">
        <f t="shared" si="3"/>
        <v>-4.8044561852272238E-2</v>
      </c>
      <c r="O54" s="2">
        <f t="shared" si="4"/>
        <v>3.5980369278163948E-2</v>
      </c>
      <c r="Q54" s="1">
        <f t="shared" si="5"/>
        <v>145317.77777777778</v>
      </c>
      <c r="S54" s="1">
        <f t="shared" si="6"/>
        <v>17.777777777781012</v>
      </c>
    </row>
    <row r="55" spans="1:19" x14ac:dyDescent="0.25">
      <c r="A55">
        <v>1908</v>
      </c>
      <c r="B55" s="1">
        <v>145300</v>
      </c>
      <c r="C55" s="1">
        <v>6590</v>
      </c>
      <c r="D55" s="1">
        <v>3920</v>
      </c>
      <c r="E55" s="2">
        <v>45</v>
      </c>
      <c r="F55" s="2">
        <v>26.8</v>
      </c>
      <c r="G55" s="2">
        <v>-72.2222222222222</v>
      </c>
      <c r="I55" s="1">
        <f t="shared" si="0"/>
        <v>146596.15726366165</v>
      </c>
      <c r="K55">
        <f t="shared" si="1"/>
        <v>44.953429360003653</v>
      </c>
      <c r="L55">
        <f t="shared" si="2"/>
        <v>26.740127934933888</v>
      </c>
      <c r="N55" s="2">
        <f t="shared" si="3"/>
        <v>4.6570639996346586E-2</v>
      </c>
      <c r="O55" s="2">
        <f t="shared" si="4"/>
        <v>5.9872065066112867E-2</v>
      </c>
      <c r="Q55" s="1">
        <f t="shared" si="5"/>
        <v>147897.77777777778</v>
      </c>
      <c r="S55" s="1">
        <f t="shared" si="6"/>
        <v>-2.2222222222189885</v>
      </c>
    </row>
    <row r="56" spans="1:19" x14ac:dyDescent="0.25">
      <c r="A56">
        <v>1909</v>
      </c>
      <c r="B56" s="1">
        <v>147900</v>
      </c>
      <c r="C56" s="1">
        <v>6710</v>
      </c>
      <c r="D56" s="1">
        <v>4100</v>
      </c>
      <c r="E56" s="2">
        <v>45</v>
      </c>
      <c r="F56" s="2">
        <v>27.5</v>
      </c>
      <c r="G56" s="2">
        <v>-72.2222222222222</v>
      </c>
      <c r="I56" s="1">
        <f t="shared" si="0"/>
        <v>149196.22423097774</v>
      </c>
      <c r="K56">
        <f t="shared" si="1"/>
        <v>44.974328503192758</v>
      </c>
      <c r="L56">
        <f t="shared" si="2"/>
        <v>27.480588206123741</v>
      </c>
      <c r="N56" s="2">
        <f t="shared" si="3"/>
        <v>2.5671496807241567E-2</v>
      </c>
      <c r="O56" s="2">
        <f t="shared" si="4"/>
        <v>1.9411793876258798E-2</v>
      </c>
      <c r="Q56" s="1">
        <f t="shared" si="5"/>
        <v>150437.77777777778</v>
      </c>
      <c r="S56" s="1">
        <f t="shared" si="6"/>
        <v>-62.222222222218988</v>
      </c>
    </row>
    <row r="57" spans="1:19" x14ac:dyDescent="0.25">
      <c r="A57">
        <v>1910</v>
      </c>
      <c r="B57" s="1">
        <v>150500</v>
      </c>
      <c r="C57" s="1">
        <v>6980</v>
      </c>
      <c r="D57" s="1">
        <v>4350</v>
      </c>
      <c r="E57" s="2">
        <v>46</v>
      </c>
      <c r="F57" s="2">
        <v>28.7</v>
      </c>
      <c r="G57" s="2">
        <v>-72.2222222222222</v>
      </c>
      <c r="I57" s="1">
        <f t="shared" si="0"/>
        <v>151696.83580744185</v>
      </c>
      <c r="K57">
        <f t="shared" si="1"/>
        <v>46.012825269870127</v>
      </c>
      <c r="L57">
        <f t="shared" si="2"/>
        <v>28.675614602282959</v>
      </c>
      <c r="N57" s="2">
        <f t="shared" si="3"/>
        <v>-1.2825269870127443E-2</v>
      </c>
      <c r="O57" s="2">
        <f t="shared" si="4"/>
        <v>2.4385397717040291E-2</v>
      </c>
      <c r="Q57" s="1">
        <f t="shared" si="5"/>
        <v>153057.77777777778</v>
      </c>
      <c r="S57" s="1">
        <f t="shared" si="6"/>
        <v>157.77777777778101</v>
      </c>
    </row>
    <row r="58" spans="1:19" x14ac:dyDescent="0.25">
      <c r="A58">
        <v>1911</v>
      </c>
      <c r="B58" s="1">
        <v>152900</v>
      </c>
      <c r="C58" s="1">
        <v>7090</v>
      </c>
      <c r="D58" s="1">
        <v>3890</v>
      </c>
      <c r="E58" s="2">
        <v>45.9</v>
      </c>
      <c r="F58" s="2">
        <v>25.2</v>
      </c>
      <c r="G58" s="2">
        <v>-72.2222222222222</v>
      </c>
      <c r="I58" s="1">
        <f t="shared" si="0"/>
        <v>154544.12793539744</v>
      </c>
      <c r="K58">
        <f t="shared" si="1"/>
        <v>45.876864392827422</v>
      </c>
      <c r="L58">
        <f t="shared" si="2"/>
        <v>25.170804300154959</v>
      </c>
      <c r="N58" s="2">
        <f t="shared" si="3"/>
        <v>2.3135607172577011E-2</v>
      </c>
      <c r="O58" s="2">
        <f t="shared" si="4"/>
        <v>2.9195699845040224E-2</v>
      </c>
      <c r="Q58" s="1">
        <f t="shared" si="5"/>
        <v>156027.77777777778</v>
      </c>
      <c r="S58" s="1">
        <f t="shared" si="6"/>
        <v>-172.22222222221899</v>
      </c>
    </row>
    <row r="59" spans="1:19" x14ac:dyDescent="0.25">
      <c r="A59">
        <v>1912</v>
      </c>
      <c r="B59" s="1">
        <v>156200</v>
      </c>
      <c r="C59" s="1">
        <v>6960</v>
      </c>
      <c r="D59" s="1">
        <v>3900</v>
      </c>
      <c r="E59" s="2">
        <v>44.1</v>
      </c>
      <c r="F59" s="2">
        <v>24.7</v>
      </c>
      <c r="G59" s="2">
        <v>-72.2222222222222</v>
      </c>
      <c r="I59" s="1">
        <f t="shared" si="0"/>
        <v>157645.55439807483</v>
      </c>
      <c r="K59">
        <f t="shared" si="1"/>
        <v>44.149675051572501</v>
      </c>
      <c r="L59">
        <f t="shared" si="2"/>
        <v>24.739042054760453</v>
      </c>
      <c r="N59" s="2">
        <f t="shared" si="3"/>
        <v>-4.967505157249974E-2</v>
      </c>
      <c r="O59" s="2">
        <f t="shared" si="4"/>
        <v>-3.9042054760454192E-2</v>
      </c>
      <c r="Q59" s="1">
        <f t="shared" si="5"/>
        <v>159187.77777777778</v>
      </c>
      <c r="S59" s="1">
        <f t="shared" si="6"/>
        <v>87.777777777781012</v>
      </c>
    </row>
    <row r="60" spans="1:19" x14ac:dyDescent="0.25">
      <c r="A60">
        <v>1913</v>
      </c>
      <c r="B60" s="1">
        <v>159100</v>
      </c>
      <c r="C60" s="1">
        <v>7280</v>
      </c>
      <c r="D60" s="1">
        <v>4270</v>
      </c>
      <c r="E60" s="2">
        <v>45.4</v>
      </c>
      <c r="F60" s="2">
        <v>26.6</v>
      </c>
      <c r="G60" s="2">
        <v>-72.2222222222222</v>
      </c>
      <c r="I60" s="1">
        <f t="shared" si="0"/>
        <v>160495.92930472462</v>
      </c>
      <c r="K60">
        <f t="shared" si="1"/>
        <v>45.359405883608879</v>
      </c>
      <c r="L60">
        <f t="shared" si="2"/>
        <v>26.605036143270592</v>
      </c>
      <c r="N60" s="2">
        <f t="shared" si="3"/>
        <v>4.0594116391119428E-2</v>
      </c>
      <c r="O60" s="2">
        <f t="shared" si="4"/>
        <v>-5.0361432705905429E-3</v>
      </c>
      <c r="Q60" s="1">
        <f t="shared" si="5"/>
        <v>162037.77777777778</v>
      </c>
      <c r="S60" s="1">
        <f t="shared" si="6"/>
        <v>137.77777777778101</v>
      </c>
    </row>
    <row r="61" spans="1:19" x14ac:dyDescent="0.25">
      <c r="A61">
        <v>1914</v>
      </c>
      <c r="B61" s="1">
        <v>161900</v>
      </c>
      <c r="C61" s="1">
        <v>7050</v>
      </c>
      <c r="D61" s="11">
        <v>4180</v>
      </c>
      <c r="E61" s="2">
        <v>43.1</v>
      </c>
      <c r="F61" s="12">
        <v>25.6</v>
      </c>
      <c r="G61" s="2">
        <v>-72.2222222222222</v>
      </c>
      <c r="I61" s="1">
        <f t="shared" si="0"/>
        <v>163345.70953131275</v>
      </c>
      <c r="K61">
        <f t="shared" si="1"/>
        <v>43.159994959332202</v>
      </c>
      <c r="L61">
        <f t="shared" si="2"/>
        <v>25.589897720568594</v>
      </c>
      <c r="N61" s="2">
        <f t="shared" si="3"/>
        <v>-5.9994959332200892E-2</v>
      </c>
      <c r="O61" s="2">
        <f t="shared" si="4"/>
        <v>1.0102279431407624E-2</v>
      </c>
      <c r="Q61" s="1">
        <f t="shared" si="5"/>
        <v>164697.77777777778</v>
      </c>
      <c r="S61" s="1">
        <f t="shared" si="6"/>
        <v>-102.22222222221899</v>
      </c>
    </row>
    <row r="62" spans="1:19" x14ac:dyDescent="0.25">
      <c r="A62">
        <v>1915</v>
      </c>
      <c r="B62" s="11">
        <v>164800</v>
      </c>
      <c r="C62" s="11">
        <v>6150</v>
      </c>
      <c r="D62" s="11">
        <v>7000</v>
      </c>
      <c r="E62" s="12">
        <v>37.4</v>
      </c>
      <c r="F62" s="12">
        <v>42.6</v>
      </c>
      <c r="I62" s="1">
        <f t="shared" si="0"/>
        <v>164349.58929029133</v>
      </c>
      <c r="K62">
        <f t="shared" si="1"/>
        <v>37.420233458187901</v>
      </c>
      <c r="L62">
        <f t="shared" si="2"/>
        <v>42.592135643465909</v>
      </c>
      <c r="N62" s="2">
        <f t="shared" si="3"/>
        <v>-2.0233458187902897E-2</v>
      </c>
      <c r="O62" s="2">
        <f t="shared" si="4"/>
        <v>7.8643565340925647E-3</v>
      </c>
      <c r="Q62" s="1">
        <f t="shared" si="5"/>
        <v>163950</v>
      </c>
      <c r="S62" s="1">
        <f t="shared" si="6"/>
        <v>50</v>
      </c>
    </row>
    <row r="63" spans="1:19" x14ac:dyDescent="0.25">
      <c r="A63">
        <v>1916</v>
      </c>
      <c r="B63" s="11">
        <v>163900</v>
      </c>
      <c r="C63" s="11">
        <v>5300</v>
      </c>
      <c r="D63" s="11">
        <v>6400</v>
      </c>
      <c r="E63" s="12">
        <v>32.5</v>
      </c>
      <c r="F63" s="12">
        <v>39.200000000000003</v>
      </c>
      <c r="I63" s="1">
        <f t="shared" si="0"/>
        <v>163349.38271419465</v>
      </c>
      <c r="K63">
        <f t="shared" si="1"/>
        <v>32.445791419201015</v>
      </c>
      <c r="L63">
        <f t="shared" si="2"/>
        <v>39.179823600544623</v>
      </c>
      <c r="N63" s="2">
        <f t="shared" si="3"/>
        <v>5.420858079898494E-2</v>
      </c>
      <c r="O63" s="2">
        <f t="shared" si="4"/>
        <v>2.0176399455380079E-2</v>
      </c>
      <c r="Q63" s="1">
        <f t="shared" si="5"/>
        <v>162800</v>
      </c>
      <c r="S63" s="1">
        <f t="shared" si="6"/>
        <v>0</v>
      </c>
    </row>
    <row r="64" spans="1:19" x14ac:dyDescent="0.25">
      <c r="A64">
        <v>1917</v>
      </c>
      <c r="B64" s="11">
        <v>162800</v>
      </c>
      <c r="C64" s="11">
        <v>4650</v>
      </c>
      <c r="D64" s="11">
        <v>7600</v>
      </c>
      <c r="E64" s="12">
        <v>28.8</v>
      </c>
      <c r="F64" s="12">
        <v>47.1</v>
      </c>
      <c r="G64" s="2">
        <v>-333.33333333333297</v>
      </c>
      <c r="I64" s="1">
        <f t="shared" si="0"/>
        <v>161194.7062298214</v>
      </c>
      <c r="K64">
        <f t="shared" si="1"/>
        <v>28.847101178188314</v>
      </c>
      <c r="L64">
        <f t="shared" si="2"/>
        <v>47.14795031273789</v>
      </c>
      <c r="N64" s="2">
        <f t="shared" si="3"/>
        <v>-4.7101178188313497E-2</v>
      </c>
      <c r="O64" s="2">
        <f t="shared" si="4"/>
        <v>-4.7950312737889078E-2</v>
      </c>
      <c r="Q64" s="1">
        <f t="shared" si="5"/>
        <v>159516.66666666666</v>
      </c>
      <c r="S64" s="1">
        <f t="shared" si="6"/>
        <v>-83.333333333343035</v>
      </c>
    </row>
    <row r="65" spans="1:19" x14ac:dyDescent="0.25">
      <c r="A65">
        <v>1918</v>
      </c>
      <c r="B65" s="11">
        <v>159600</v>
      </c>
      <c r="C65" s="11">
        <v>5100</v>
      </c>
      <c r="D65" s="11">
        <v>8500</v>
      </c>
      <c r="E65" s="12">
        <v>32.4</v>
      </c>
      <c r="F65" s="12">
        <v>53.9</v>
      </c>
      <c r="G65" s="2">
        <v>-333.33333333333297</v>
      </c>
      <c r="I65" s="1">
        <f t="shared" si="0"/>
        <v>157793.15565605063</v>
      </c>
      <c r="K65">
        <f t="shared" si="1"/>
        <v>32.320793502075063</v>
      </c>
      <c r="L65">
        <f t="shared" si="2"/>
        <v>53.867989170125107</v>
      </c>
      <c r="N65" s="2">
        <f t="shared" si="3"/>
        <v>7.9206497924936059E-2</v>
      </c>
      <c r="O65" s="2">
        <f t="shared" si="4"/>
        <v>3.2010829874892011E-2</v>
      </c>
      <c r="Q65" s="1">
        <f t="shared" si="5"/>
        <v>155866.66666666666</v>
      </c>
      <c r="S65" s="1">
        <f t="shared" si="6"/>
        <v>-133.33333333334303</v>
      </c>
    </row>
    <row r="66" spans="1:19" x14ac:dyDescent="0.25">
      <c r="A66">
        <v>1919</v>
      </c>
      <c r="B66" s="11">
        <v>156000</v>
      </c>
      <c r="C66" s="11">
        <v>4750</v>
      </c>
      <c r="D66" s="11">
        <v>6350</v>
      </c>
      <c r="E66" s="12">
        <v>30.6</v>
      </c>
      <c r="F66" s="12">
        <v>41</v>
      </c>
      <c r="G66" s="2">
        <v>-333.33333333333297</v>
      </c>
      <c r="I66" s="1">
        <f t="shared" si="0"/>
        <v>155198.62541981449</v>
      </c>
      <c r="K66">
        <f t="shared" si="1"/>
        <v>30.605941174744185</v>
      </c>
      <c r="L66">
        <f t="shared" si="2"/>
        <v>40.915310833605389</v>
      </c>
      <c r="N66" s="2">
        <f t="shared" si="3"/>
        <v>-5.9411747441835416E-3</v>
      </c>
      <c r="O66" s="2">
        <f t="shared" si="4"/>
        <v>8.4689166394610993E-2</v>
      </c>
      <c r="Q66" s="1">
        <f t="shared" si="5"/>
        <v>154066.66666666666</v>
      </c>
      <c r="S66" s="1">
        <f t="shared" si="6"/>
        <v>-333.33333333334303</v>
      </c>
    </row>
    <row r="67" spans="1:19" x14ac:dyDescent="0.25">
      <c r="A67">
        <v>1920</v>
      </c>
      <c r="B67" s="11">
        <v>154400</v>
      </c>
      <c r="C67" s="11">
        <v>4870</v>
      </c>
      <c r="D67" s="11">
        <v>5700</v>
      </c>
      <c r="E67" s="12">
        <v>31.7</v>
      </c>
      <c r="F67" s="12">
        <v>37.1</v>
      </c>
      <c r="G67" s="2">
        <v>-333.33333333333297</v>
      </c>
      <c r="I67" s="1">
        <f t="shared" si="0"/>
        <v>153698.9373178934</v>
      </c>
      <c r="K67">
        <f t="shared" si="1"/>
        <v>31.685319918168634</v>
      </c>
      <c r="L67">
        <f t="shared" si="2"/>
        <v>37.08548737855466</v>
      </c>
      <c r="N67" s="2">
        <f t="shared" si="3"/>
        <v>1.4680081831365044E-2</v>
      </c>
      <c r="O67" s="2">
        <f t="shared" si="4"/>
        <v>1.4512621445341267E-2</v>
      </c>
      <c r="Q67" s="1">
        <f t="shared" si="5"/>
        <v>153236.66666666666</v>
      </c>
      <c r="S67" s="1">
        <f t="shared" si="6"/>
        <v>236.66666666665697</v>
      </c>
    </row>
    <row r="68" spans="1:19" x14ac:dyDescent="0.25">
      <c r="A68">
        <v>1921</v>
      </c>
      <c r="B68" s="11">
        <v>153000</v>
      </c>
      <c r="C68" s="11">
        <v>5350</v>
      </c>
      <c r="D68" s="11">
        <v>4560</v>
      </c>
      <c r="E68" s="12">
        <v>35</v>
      </c>
      <c r="F68" s="12">
        <v>29.8</v>
      </c>
      <c r="G68" s="2">
        <v>-333.33333333333297</v>
      </c>
      <c r="I68" s="1">
        <f t="shared" si="0"/>
        <v>153000</v>
      </c>
      <c r="K68">
        <f t="shared" si="1"/>
        <v>34.967320261437905</v>
      </c>
      <c r="L68">
        <f t="shared" si="2"/>
        <v>29.803921568627452</v>
      </c>
      <c r="N68" s="2">
        <f t="shared" si="3"/>
        <v>3.267973856209494E-2</v>
      </c>
      <c r="O68" s="2">
        <f t="shared" si="4"/>
        <v>-3.9215686274509665E-3</v>
      </c>
      <c r="Q68" s="1">
        <f t="shared" si="5"/>
        <v>153456.66666666666</v>
      </c>
      <c r="S68" s="1">
        <f t="shared" si="6"/>
        <v>456.66666666665697</v>
      </c>
    </row>
    <row r="69" spans="1:19" x14ac:dyDescent="0.25">
      <c r="A69">
        <v>1922</v>
      </c>
      <c r="B69" s="11">
        <v>153000</v>
      </c>
      <c r="C69" s="11">
        <v>5530</v>
      </c>
      <c r="D69" s="11">
        <v>5800</v>
      </c>
      <c r="E69" s="12">
        <v>36.200000000000003</v>
      </c>
      <c r="F69" s="12">
        <v>38</v>
      </c>
      <c r="G69" s="2">
        <v>-333.33333333333297</v>
      </c>
      <c r="I69" s="1">
        <f t="shared" si="0"/>
        <v>152649.73250318077</v>
      </c>
      <c r="K69">
        <f t="shared" si="1"/>
        <v>36.22672578142101</v>
      </c>
      <c r="L69">
        <f t="shared" si="2"/>
        <v>37.995480928072674</v>
      </c>
      <c r="N69" s="2">
        <f t="shared" si="3"/>
        <v>-2.67257814210069E-2</v>
      </c>
      <c r="O69" s="2">
        <f t="shared" si="4"/>
        <v>4.519071927326479E-3</v>
      </c>
      <c r="Q69" s="1">
        <f t="shared" si="5"/>
        <v>152396.66666666666</v>
      </c>
      <c r="S69" s="1">
        <f t="shared" si="6"/>
        <v>96.666666666656965</v>
      </c>
    </row>
    <row r="70" spans="1:19" x14ac:dyDescent="0.25">
      <c r="A70">
        <v>1923</v>
      </c>
      <c r="B70" s="11">
        <v>152300</v>
      </c>
      <c r="C70" s="11">
        <v>6780</v>
      </c>
      <c r="D70" s="11">
        <v>3460</v>
      </c>
      <c r="E70" s="12">
        <v>44</v>
      </c>
      <c r="F70" s="12">
        <v>22.5</v>
      </c>
      <c r="G70" s="2">
        <v>-12.5</v>
      </c>
      <c r="I70" s="1">
        <f t="shared" si="0"/>
        <v>153993.74438545303</v>
      </c>
      <c r="K70">
        <f t="shared" si="1"/>
        <v>44.027762472151892</v>
      </c>
      <c r="L70">
        <f t="shared" si="2"/>
        <v>22.468445155404947</v>
      </c>
      <c r="N70" s="2">
        <f t="shared" si="3"/>
        <v>-2.776247215189187E-2</v>
      </c>
      <c r="O70" s="2">
        <f t="shared" si="4"/>
        <v>3.1554844595053311E-2</v>
      </c>
      <c r="Q70" s="1">
        <f t="shared" si="5"/>
        <v>155607.5</v>
      </c>
      <c r="S70" s="1">
        <f t="shared" si="6"/>
        <v>-92.5</v>
      </c>
    </row>
    <row r="71" spans="1:19" x14ac:dyDescent="0.25">
      <c r="A71">
        <v>1924</v>
      </c>
      <c r="B71" s="1">
        <v>155700</v>
      </c>
      <c r="C71" s="1">
        <v>6660</v>
      </c>
      <c r="D71" s="1">
        <v>3400</v>
      </c>
      <c r="E71" s="2">
        <v>42.3</v>
      </c>
      <c r="F71" s="2">
        <v>21.7</v>
      </c>
      <c r="G71" s="2">
        <v>-12.5</v>
      </c>
      <c r="I71" s="1">
        <f t="shared" si="0"/>
        <v>157294.57497217189</v>
      </c>
      <c r="K71">
        <f t="shared" si="1"/>
        <v>42.340938975029928</v>
      </c>
      <c r="L71">
        <f t="shared" si="2"/>
        <v>21.615494371636903</v>
      </c>
      <c r="N71" s="2">
        <f t="shared" si="3"/>
        <v>-4.0938975029931157E-2</v>
      </c>
      <c r="O71" s="2">
        <f t="shared" si="4"/>
        <v>8.4505628363096719E-2</v>
      </c>
      <c r="Q71" s="1">
        <f t="shared" si="5"/>
        <v>158947.5</v>
      </c>
      <c r="S71" s="1">
        <f t="shared" si="6"/>
        <v>47.5</v>
      </c>
    </row>
    <row r="72" spans="1:19" x14ac:dyDescent="0.25">
      <c r="A72">
        <v>1925</v>
      </c>
      <c r="B72" s="1">
        <v>158900</v>
      </c>
      <c r="C72" s="1">
        <v>7030</v>
      </c>
      <c r="D72" s="1">
        <v>3680</v>
      </c>
      <c r="E72" s="2">
        <v>43.8</v>
      </c>
      <c r="F72" s="2">
        <v>22.9</v>
      </c>
      <c r="G72" s="2">
        <v>-12.5</v>
      </c>
      <c r="I72" s="1">
        <f t="shared" si="0"/>
        <v>160594.00148119827</v>
      </c>
      <c r="K72">
        <f t="shared" si="1"/>
        <v>43.774984963078126</v>
      </c>
      <c r="L72">
        <f t="shared" si="2"/>
        <v>22.914928117230083</v>
      </c>
      <c r="N72" s="2">
        <f t="shared" si="3"/>
        <v>2.501503692187157E-2</v>
      </c>
      <c r="O72" s="2">
        <f t="shared" si="4"/>
        <v>-1.4928117230084581E-2</v>
      </c>
      <c r="Q72" s="1">
        <f t="shared" si="5"/>
        <v>162237.5</v>
      </c>
      <c r="S72" s="1">
        <f t="shared" si="6"/>
        <v>-62.5</v>
      </c>
    </row>
    <row r="73" spans="1:19" x14ac:dyDescent="0.25">
      <c r="A73">
        <v>1926</v>
      </c>
      <c r="B73" s="1">
        <v>162300</v>
      </c>
      <c r="C73" s="1">
        <v>6940</v>
      </c>
      <c r="D73" s="1">
        <v>3280</v>
      </c>
      <c r="E73" s="2">
        <v>42.3</v>
      </c>
      <c r="F73" s="2">
        <v>20</v>
      </c>
      <c r="G73" s="2">
        <v>-12.5</v>
      </c>
      <c r="I73" s="1">
        <f t="shared" ref="I73:I103" si="7">IF(B73=B74,B73,(B74-B73)/(LN(B74)-LN(B73)))</f>
        <v>164043.7771148305</v>
      </c>
      <c r="K73">
        <f t="shared" ref="K73:K103" si="8">1000*C73/I73</f>
        <v>42.30578033534308</v>
      </c>
      <c r="L73">
        <f t="shared" ref="L73:L103" si="9">1000*D73/I73</f>
        <v>19.994662752150621</v>
      </c>
      <c r="N73" s="2">
        <f t="shared" ref="N73:N103" si="10">E73-K73</f>
        <v>-5.7803353430827542E-3</v>
      </c>
      <c r="O73" s="2">
        <f t="shared" ref="O73:O103" si="11">F73-L73</f>
        <v>5.3372478493791675E-3</v>
      </c>
      <c r="Q73" s="1">
        <f t="shared" ref="Q73:Q103" si="12">B73+C73-D73+G73</f>
        <v>165947.5</v>
      </c>
      <c r="S73" s="1">
        <f t="shared" si="6"/>
        <v>147.5</v>
      </c>
    </row>
    <row r="74" spans="1:19" x14ac:dyDescent="0.25">
      <c r="A74">
        <v>1927</v>
      </c>
      <c r="B74" s="1">
        <v>165800</v>
      </c>
      <c r="C74" s="1">
        <v>6960</v>
      </c>
      <c r="D74" s="1">
        <v>3510</v>
      </c>
      <c r="E74" s="2">
        <v>41.6</v>
      </c>
      <c r="F74" s="2">
        <v>20.9</v>
      </c>
      <c r="G74" s="2">
        <v>-12.5</v>
      </c>
      <c r="I74" s="1">
        <f t="shared" si="7"/>
        <v>167543.90711410454</v>
      </c>
      <c r="K74">
        <f t="shared" si="8"/>
        <v>41.541349487928223</v>
      </c>
      <c r="L74">
        <f t="shared" si="9"/>
        <v>20.949732284860353</v>
      </c>
      <c r="N74" s="2">
        <f t="shared" si="10"/>
        <v>5.8650512071778849E-2</v>
      </c>
      <c r="O74" s="2">
        <f t="shared" si="11"/>
        <v>-4.9732284860354525E-2</v>
      </c>
      <c r="Q74" s="1">
        <f t="shared" si="12"/>
        <v>169237.5</v>
      </c>
      <c r="S74" s="1">
        <f t="shared" si="6"/>
        <v>-62.5</v>
      </c>
    </row>
    <row r="75" spans="1:19" x14ac:dyDescent="0.25">
      <c r="A75">
        <v>1928</v>
      </c>
      <c r="B75" s="1">
        <v>169300</v>
      </c>
      <c r="C75" s="1">
        <v>7030</v>
      </c>
      <c r="D75" s="1">
        <v>3120</v>
      </c>
      <c r="E75" s="2">
        <v>41.1</v>
      </c>
      <c r="F75" s="2">
        <v>18.2</v>
      </c>
      <c r="G75" s="2">
        <v>-12.5</v>
      </c>
      <c r="I75" s="1">
        <f t="shared" si="7"/>
        <v>171192.97095292847</v>
      </c>
      <c r="K75">
        <f t="shared" si="8"/>
        <v>41.064770129685883</v>
      </c>
      <c r="L75">
        <f t="shared" si="9"/>
        <v>18.225047340628727</v>
      </c>
      <c r="N75" s="2">
        <f t="shared" si="10"/>
        <v>3.5229870314118727E-2</v>
      </c>
      <c r="O75" s="2">
        <f t="shared" si="11"/>
        <v>-2.504734062872771E-2</v>
      </c>
      <c r="Q75" s="1">
        <f t="shared" si="12"/>
        <v>173197.5</v>
      </c>
      <c r="S75" s="1">
        <f t="shared" si="6"/>
        <v>97.5</v>
      </c>
    </row>
    <row r="76" spans="1:19" x14ac:dyDescent="0.25">
      <c r="A76">
        <v>1929</v>
      </c>
      <c r="B76" s="1">
        <v>173100</v>
      </c>
      <c r="C76" s="1">
        <v>6790</v>
      </c>
      <c r="D76" s="1">
        <v>3500</v>
      </c>
      <c r="E76" s="2">
        <v>38.799999999999997</v>
      </c>
      <c r="F76" s="2">
        <v>20</v>
      </c>
      <c r="G76" s="2">
        <v>-12.5</v>
      </c>
      <c r="I76" s="1">
        <f t="shared" si="7"/>
        <v>174744.80674348047</v>
      </c>
      <c r="K76">
        <f t="shared" si="8"/>
        <v>38.856662618692255</v>
      </c>
      <c r="L76">
        <f t="shared" si="9"/>
        <v>20.029207535408379</v>
      </c>
      <c r="N76" s="2">
        <f t="shared" si="10"/>
        <v>-5.6662618692257638E-2</v>
      </c>
      <c r="O76" s="2">
        <f t="shared" si="11"/>
        <v>-2.9207535408378504E-2</v>
      </c>
      <c r="Q76" s="1">
        <f t="shared" si="12"/>
        <v>176377.5</v>
      </c>
      <c r="S76" s="1">
        <f t="shared" si="6"/>
        <v>-22.5</v>
      </c>
    </row>
    <row r="77" spans="1:19" x14ac:dyDescent="0.25">
      <c r="A77">
        <v>1930</v>
      </c>
      <c r="B77" s="1">
        <v>176400</v>
      </c>
      <c r="C77" s="1">
        <v>6770</v>
      </c>
      <c r="D77" s="1">
        <v>3530</v>
      </c>
      <c r="E77" s="2">
        <v>38</v>
      </c>
      <c r="F77" s="2">
        <v>19.8</v>
      </c>
      <c r="G77" s="2">
        <v>-12.5</v>
      </c>
      <c r="I77" s="1">
        <f t="shared" si="7"/>
        <v>177995.20588921066</v>
      </c>
      <c r="K77">
        <f t="shared" si="8"/>
        <v>38.034732262473646</v>
      </c>
      <c r="L77">
        <f t="shared" si="9"/>
        <v>19.831994813372521</v>
      </c>
      <c r="N77" s="2">
        <f t="shared" si="10"/>
        <v>-3.4732262473646358E-2</v>
      </c>
      <c r="O77" s="2">
        <f t="shared" si="11"/>
        <v>-3.1994813372520525E-2</v>
      </c>
      <c r="Q77" s="1">
        <f t="shared" si="12"/>
        <v>179627.5</v>
      </c>
      <c r="S77" s="1">
        <f t="shared" ref="S77:S103" si="13">Q77-B78</f>
        <v>27.5</v>
      </c>
    </row>
    <row r="78" spans="1:19" x14ac:dyDescent="0.25">
      <c r="A78">
        <v>1931</v>
      </c>
      <c r="B78" s="1">
        <v>179600</v>
      </c>
      <c r="C78" s="11">
        <v>6150</v>
      </c>
      <c r="D78" s="11">
        <v>4800</v>
      </c>
      <c r="E78" s="12">
        <v>34.1</v>
      </c>
      <c r="F78" s="12">
        <v>26.6</v>
      </c>
      <c r="G78" s="2">
        <v>-87.5</v>
      </c>
      <c r="I78" s="1">
        <f t="shared" si="7"/>
        <v>180199.33407130261</v>
      </c>
      <c r="K78">
        <f t="shared" si="8"/>
        <v>34.128871961127906</v>
      </c>
      <c r="L78">
        <f t="shared" si="9"/>
        <v>26.637168359904706</v>
      </c>
      <c r="N78" s="2">
        <f t="shared" si="10"/>
        <v>-2.887196112790491E-2</v>
      </c>
      <c r="O78" s="2">
        <f t="shared" si="11"/>
        <v>-3.7168359904704573E-2</v>
      </c>
      <c r="Q78" s="1">
        <f t="shared" si="12"/>
        <v>180862.5</v>
      </c>
      <c r="S78" s="1">
        <f t="shared" si="13"/>
        <v>62.5</v>
      </c>
    </row>
    <row r="79" spans="1:19" x14ac:dyDescent="0.25">
      <c r="A79">
        <v>1932</v>
      </c>
      <c r="B79" s="11">
        <v>180800</v>
      </c>
      <c r="C79" s="11">
        <v>5300</v>
      </c>
      <c r="D79" s="11">
        <v>4200</v>
      </c>
      <c r="E79" s="12">
        <v>29.2</v>
      </c>
      <c r="F79" s="12">
        <v>23.2</v>
      </c>
      <c r="G79" s="2">
        <v>-87.5</v>
      </c>
      <c r="I79" s="1">
        <f t="shared" si="7"/>
        <v>181299.54035571052</v>
      </c>
      <c r="K79">
        <f t="shared" si="8"/>
        <v>29.233389062108905</v>
      </c>
      <c r="L79">
        <f t="shared" si="9"/>
        <v>23.166081898274982</v>
      </c>
      <c r="N79" s="2">
        <f t="shared" si="10"/>
        <v>-3.3389062108906131E-2</v>
      </c>
      <c r="O79" s="2">
        <f t="shared" si="11"/>
        <v>3.3918101725017635E-2</v>
      </c>
      <c r="Q79" s="1">
        <f t="shared" si="12"/>
        <v>181812.5</v>
      </c>
      <c r="S79" s="1">
        <f t="shared" si="13"/>
        <v>12.5</v>
      </c>
    </row>
    <row r="80" spans="1:19" x14ac:dyDescent="0.25">
      <c r="A80">
        <v>1933</v>
      </c>
      <c r="B80" s="11">
        <v>181800</v>
      </c>
      <c r="C80" s="11">
        <v>5500</v>
      </c>
      <c r="D80" s="11">
        <v>5900</v>
      </c>
      <c r="E80" s="12">
        <v>30.3</v>
      </c>
      <c r="F80" s="12">
        <v>32.5</v>
      </c>
      <c r="G80" s="2">
        <v>-87.5</v>
      </c>
      <c r="I80" s="1">
        <f t="shared" si="7"/>
        <v>181549.88524732905</v>
      </c>
      <c r="K80">
        <f t="shared" si="8"/>
        <v>30.294703808307229</v>
      </c>
      <c r="L80">
        <f t="shared" si="9"/>
        <v>32.497954994365941</v>
      </c>
      <c r="N80" s="2">
        <f t="shared" si="10"/>
        <v>5.2961916927714014E-3</v>
      </c>
      <c r="O80" s="2">
        <f t="shared" si="11"/>
        <v>2.0450056340592937E-3</v>
      </c>
      <c r="Q80" s="1">
        <f t="shared" si="12"/>
        <v>181312.5</v>
      </c>
      <c r="S80" s="1">
        <f t="shared" si="13"/>
        <v>12.5</v>
      </c>
    </row>
    <row r="81" spans="1:19" x14ac:dyDescent="0.25">
      <c r="A81">
        <v>1934</v>
      </c>
      <c r="B81" s="11">
        <v>181300</v>
      </c>
      <c r="C81" s="11">
        <v>4500</v>
      </c>
      <c r="D81" s="11">
        <v>6200</v>
      </c>
      <c r="E81" s="12">
        <v>25</v>
      </c>
      <c r="F81" s="12">
        <v>34.4</v>
      </c>
      <c r="G81" s="2">
        <v>-87.5</v>
      </c>
      <c r="I81" s="1">
        <f t="shared" si="7"/>
        <v>180448.66536570198</v>
      </c>
      <c r="K81">
        <f t="shared" si="8"/>
        <v>24.937840304222714</v>
      </c>
      <c r="L81">
        <f t="shared" si="9"/>
        <v>34.358802196929069</v>
      </c>
      <c r="N81" s="2">
        <f t="shared" si="10"/>
        <v>6.2159695777285862E-2</v>
      </c>
      <c r="O81" s="2">
        <f t="shared" si="11"/>
        <v>4.119780307092924E-2</v>
      </c>
      <c r="Q81" s="1">
        <f t="shared" si="12"/>
        <v>179512.5</v>
      </c>
      <c r="S81" s="1">
        <f t="shared" si="13"/>
        <v>-87.5</v>
      </c>
    </row>
    <row r="82" spans="1:19" x14ac:dyDescent="0.25">
      <c r="A82">
        <v>1935</v>
      </c>
      <c r="B82" s="1">
        <v>179600</v>
      </c>
      <c r="C82" s="1">
        <v>5130</v>
      </c>
      <c r="D82" s="1">
        <v>2960</v>
      </c>
      <c r="E82" s="2">
        <v>28.4</v>
      </c>
      <c r="F82" s="2">
        <v>16.399999999999999</v>
      </c>
      <c r="G82" s="2">
        <v>-12.5</v>
      </c>
      <c r="I82" s="1">
        <f t="shared" si="7"/>
        <v>180647.96566117028</v>
      </c>
      <c r="K82">
        <f t="shared" si="8"/>
        <v>28.397773433120246</v>
      </c>
      <c r="L82">
        <f t="shared" si="9"/>
        <v>16.385459914626885</v>
      </c>
      <c r="N82" s="2">
        <f t="shared" si="10"/>
        <v>2.2265668797523119E-3</v>
      </c>
      <c r="O82" s="2">
        <f t="shared" si="11"/>
        <v>1.4540085373113243E-2</v>
      </c>
      <c r="Q82" s="1">
        <f t="shared" si="12"/>
        <v>181757.5</v>
      </c>
      <c r="S82" s="1">
        <f t="shared" si="13"/>
        <v>57.5</v>
      </c>
    </row>
    <row r="83" spans="1:19" x14ac:dyDescent="0.25">
      <c r="A83">
        <v>1936</v>
      </c>
      <c r="B83" s="1">
        <v>181700</v>
      </c>
      <c r="C83" s="1">
        <v>5800</v>
      </c>
      <c r="D83" s="1">
        <v>3330</v>
      </c>
      <c r="E83" s="2">
        <v>31.7</v>
      </c>
      <c r="F83" s="2">
        <v>18.2</v>
      </c>
      <c r="G83" s="2">
        <v>-12.5</v>
      </c>
      <c r="I83" s="1">
        <f t="shared" si="7"/>
        <v>182947.15310293841</v>
      </c>
      <c r="K83">
        <f t="shared" si="8"/>
        <v>31.703144332268067</v>
      </c>
      <c r="L83">
        <f t="shared" si="9"/>
        <v>18.201977694215977</v>
      </c>
      <c r="N83" s="2">
        <f t="shared" si="10"/>
        <v>-3.1443322680679842E-3</v>
      </c>
      <c r="O83" s="2">
        <f t="shared" si="11"/>
        <v>-1.9776942159772659E-3</v>
      </c>
      <c r="Q83" s="1">
        <f t="shared" si="12"/>
        <v>184157.5</v>
      </c>
      <c r="S83" s="1">
        <f t="shared" si="13"/>
        <v>-42.5</v>
      </c>
    </row>
    <row r="84" spans="1:19" x14ac:dyDescent="0.25">
      <c r="A84">
        <v>1937</v>
      </c>
      <c r="B84" s="1">
        <v>184200</v>
      </c>
      <c r="C84" s="1">
        <v>6890</v>
      </c>
      <c r="D84" s="1">
        <v>3290</v>
      </c>
      <c r="E84" s="2">
        <v>37.1</v>
      </c>
      <c r="F84" s="2">
        <v>17.7</v>
      </c>
      <c r="G84" s="2">
        <v>-12.5</v>
      </c>
      <c r="I84" s="1">
        <f t="shared" si="7"/>
        <v>185944.51004331259</v>
      </c>
      <c r="K84">
        <f t="shared" si="8"/>
        <v>37.054065206846346</v>
      </c>
      <c r="L84">
        <f t="shared" si="9"/>
        <v>17.693450584981782</v>
      </c>
      <c r="N84" s="2">
        <f t="shared" si="10"/>
        <v>4.5934793153655562E-2</v>
      </c>
      <c r="O84" s="2">
        <f t="shared" si="11"/>
        <v>6.5494150182168198E-3</v>
      </c>
      <c r="Q84" s="1">
        <f t="shared" si="12"/>
        <v>187787.5</v>
      </c>
      <c r="S84" s="1">
        <f t="shared" si="13"/>
        <v>87.5</v>
      </c>
    </row>
    <row r="85" spans="1:19" x14ac:dyDescent="0.25">
      <c r="A85">
        <v>1938</v>
      </c>
      <c r="B85" s="1">
        <v>187700</v>
      </c>
      <c r="C85" s="1">
        <v>6990</v>
      </c>
      <c r="D85" s="1">
        <v>3330</v>
      </c>
      <c r="E85" s="2">
        <v>36.9</v>
      </c>
      <c r="F85" s="2">
        <v>17.600000000000001</v>
      </c>
      <c r="G85" s="2">
        <v>-12.5</v>
      </c>
      <c r="I85" s="1">
        <f t="shared" si="7"/>
        <v>189543.9812064635</v>
      </c>
      <c r="K85">
        <f t="shared" si="8"/>
        <v>36.877984494722845</v>
      </c>
      <c r="L85">
        <f t="shared" si="9"/>
        <v>17.568481883752085</v>
      </c>
      <c r="N85" s="2">
        <f t="shared" si="10"/>
        <v>2.2015505277153125E-2</v>
      </c>
      <c r="O85" s="2">
        <f t="shared" si="11"/>
        <v>3.1518116247916339E-2</v>
      </c>
      <c r="Q85" s="1">
        <f t="shared" si="12"/>
        <v>191347.5</v>
      </c>
      <c r="S85" s="1">
        <f t="shared" si="13"/>
        <v>-52.5</v>
      </c>
    </row>
    <row r="86" spans="1:19" x14ac:dyDescent="0.25">
      <c r="A86">
        <v>1939</v>
      </c>
      <c r="B86" s="1">
        <v>191400</v>
      </c>
      <c r="C86" s="11">
        <v>6400</v>
      </c>
      <c r="D86" s="11">
        <v>4450</v>
      </c>
      <c r="E86" s="12">
        <v>33.299999999999997</v>
      </c>
      <c r="F86" s="12">
        <v>23.2</v>
      </c>
      <c r="G86" s="2">
        <v>-325</v>
      </c>
      <c r="I86" s="1">
        <f t="shared" si="7"/>
        <v>192049.26668178904</v>
      </c>
      <c r="K86">
        <f t="shared" si="8"/>
        <v>33.324782284143325</v>
      </c>
      <c r="L86">
        <f t="shared" si="9"/>
        <v>23.171137681943403</v>
      </c>
      <c r="N86" s="2">
        <f t="shared" si="10"/>
        <v>-2.4782284143327615E-2</v>
      </c>
      <c r="O86" s="2">
        <f t="shared" si="11"/>
        <v>2.8862318056596337E-2</v>
      </c>
      <c r="Q86" s="1">
        <f t="shared" si="12"/>
        <v>193025</v>
      </c>
      <c r="S86" s="1">
        <f t="shared" si="13"/>
        <v>325</v>
      </c>
    </row>
    <row r="87" spans="1:19" x14ac:dyDescent="0.25">
      <c r="A87">
        <v>1940</v>
      </c>
      <c r="B87" s="1">
        <v>192700</v>
      </c>
      <c r="C87" s="1">
        <v>6090</v>
      </c>
      <c r="D87" s="1">
        <v>3540</v>
      </c>
      <c r="E87" s="6">
        <v>31.4</v>
      </c>
      <c r="F87" s="2">
        <v>18.399999999999999</v>
      </c>
      <c r="G87" s="2">
        <v>-325</v>
      </c>
      <c r="I87" s="1">
        <f t="shared" si="7"/>
        <v>193847.7258835774</v>
      </c>
      <c r="K87">
        <f t="shared" si="8"/>
        <v>31.416411888461258</v>
      </c>
      <c r="L87">
        <f t="shared" si="9"/>
        <v>18.261756664228713</v>
      </c>
      <c r="N87" s="3">
        <f t="shared" si="10"/>
        <v>-1.6411888461259849E-2</v>
      </c>
      <c r="O87" s="2">
        <f t="shared" si="11"/>
        <v>0.13824333577128556</v>
      </c>
      <c r="Q87" s="1">
        <f t="shared" si="12"/>
        <v>194925</v>
      </c>
      <c r="S87" s="1">
        <f t="shared" si="13"/>
        <v>-75</v>
      </c>
    </row>
    <row r="88" spans="1:19" x14ac:dyDescent="0.25">
      <c r="A88">
        <v>1941</v>
      </c>
      <c r="B88" s="1">
        <v>195000</v>
      </c>
      <c r="C88" s="11">
        <v>6120</v>
      </c>
      <c r="D88" s="11">
        <v>7050</v>
      </c>
      <c r="E88" s="12">
        <v>31.5</v>
      </c>
      <c r="F88" s="12">
        <v>36.299999999999997</v>
      </c>
      <c r="G88" s="2">
        <v>-200</v>
      </c>
      <c r="I88" s="1">
        <f t="shared" si="7"/>
        <v>194399.38271451151</v>
      </c>
      <c r="K88">
        <f t="shared" si="8"/>
        <v>31.481581446107931</v>
      </c>
      <c r="L88">
        <f t="shared" si="9"/>
        <v>36.265547254094919</v>
      </c>
      <c r="N88" s="2">
        <f t="shared" si="10"/>
        <v>1.8418553892068701E-2</v>
      </c>
      <c r="O88" s="2">
        <f t="shared" si="11"/>
        <v>3.4452745905078075E-2</v>
      </c>
      <c r="Q88" s="1">
        <f t="shared" si="12"/>
        <v>193870</v>
      </c>
      <c r="S88" s="1">
        <f t="shared" si="13"/>
        <v>70</v>
      </c>
    </row>
    <row r="89" spans="1:19" x14ac:dyDescent="0.25">
      <c r="A89">
        <v>1942</v>
      </c>
      <c r="B89" s="11">
        <v>193800</v>
      </c>
      <c r="C89" s="11">
        <v>4750</v>
      </c>
      <c r="D89" s="11">
        <v>10200</v>
      </c>
      <c r="E89" s="12">
        <v>24.9</v>
      </c>
      <c r="F89" s="12">
        <v>53.4</v>
      </c>
      <c r="G89" s="2">
        <v>-200</v>
      </c>
      <c r="I89" s="1">
        <f t="shared" si="7"/>
        <v>190935.82005311223</v>
      </c>
      <c r="K89">
        <f t="shared" si="8"/>
        <v>24.877469291402221</v>
      </c>
      <c r="L89">
        <f t="shared" si="9"/>
        <v>53.421091952063719</v>
      </c>
      <c r="N89" s="2">
        <f t="shared" si="10"/>
        <v>2.2530708597777505E-2</v>
      </c>
      <c r="O89" s="2">
        <f t="shared" si="11"/>
        <v>-2.1091952063720498E-2</v>
      </c>
      <c r="Q89" s="1">
        <f t="shared" si="12"/>
        <v>188150</v>
      </c>
      <c r="S89" s="1">
        <f t="shared" si="13"/>
        <v>50</v>
      </c>
    </row>
    <row r="90" spans="1:19" x14ac:dyDescent="0.25">
      <c r="A90">
        <v>1943</v>
      </c>
      <c r="B90" s="11">
        <v>188100</v>
      </c>
      <c r="C90" s="11">
        <v>3800</v>
      </c>
      <c r="D90" s="11">
        <v>9300</v>
      </c>
      <c r="E90" s="12">
        <v>20.5</v>
      </c>
      <c r="F90" s="12">
        <v>50.2</v>
      </c>
      <c r="G90" s="2">
        <v>-200</v>
      </c>
      <c r="I90" s="1">
        <f t="shared" si="7"/>
        <v>185285.89588520047</v>
      </c>
      <c r="K90">
        <f t="shared" si="8"/>
        <v>20.508846514439533</v>
      </c>
      <c r="L90">
        <f t="shared" si="9"/>
        <v>50.192703311654647</v>
      </c>
      <c r="N90" s="2">
        <f t="shared" si="10"/>
        <v>-8.8465144395328821E-3</v>
      </c>
      <c r="O90" s="2">
        <f t="shared" si="11"/>
        <v>7.2966883453560172E-3</v>
      </c>
      <c r="Q90" s="1">
        <f t="shared" si="12"/>
        <v>182400</v>
      </c>
      <c r="S90" s="1">
        <f t="shared" si="13"/>
        <v>-100</v>
      </c>
    </row>
    <row r="91" spans="1:19" x14ac:dyDescent="0.25">
      <c r="A91">
        <v>1944</v>
      </c>
      <c r="B91" s="11">
        <v>182500</v>
      </c>
      <c r="C91" s="11">
        <v>3100</v>
      </c>
      <c r="D91" s="11">
        <v>8200</v>
      </c>
      <c r="E91" s="12">
        <v>17.2</v>
      </c>
      <c r="F91" s="12">
        <v>45.6</v>
      </c>
      <c r="G91" s="2">
        <v>-200</v>
      </c>
      <c r="I91" s="1">
        <f t="shared" si="7"/>
        <v>179887.47382513879</v>
      </c>
      <c r="K91">
        <f t="shared" si="8"/>
        <v>17.232995350267593</v>
      </c>
      <c r="L91">
        <f t="shared" si="9"/>
        <v>45.584052216836859</v>
      </c>
      <c r="N91" s="2">
        <f t="shared" si="10"/>
        <v>-3.2995350267594148E-2</v>
      </c>
      <c r="O91" s="2">
        <f t="shared" si="11"/>
        <v>1.5947783163142049E-2</v>
      </c>
      <c r="Q91" s="1">
        <f t="shared" si="12"/>
        <v>177200</v>
      </c>
      <c r="S91" s="1">
        <f t="shared" si="13"/>
        <v>-100</v>
      </c>
    </row>
    <row r="92" spans="1:19" x14ac:dyDescent="0.25">
      <c r="A92">
        <v>1945</v>
      </c>
      <c r="B92" s="11">
        <v>177300</v>
      </c>
      <c r="C92" s="11">
        <v>2800</v>
      </c>
      <c r="D92" s="11">
        <v>5800</v>
      </c>
      <c r="E92" s="12">
        <v>15.9</v>
      </c>
      <c r="F92" s="12">
        <v>33</v>
      </c>
      <c r="G92" s="2">
        <v>-200</v>
      </c>
      <c r="I92" s="1">
        <f t="shared" si="7"/>
        <v>175644.83335407975</v>
      </c>
      <c r="K92">
        <f t="shared" si="8"/>
        <v>15.941260249628423</v>
      </c>
      <c r="L92">
        <f t="shared" si="9"/>
        <v>33.021181945658874</v>
      </c>
      <c r="N92" s="2">
        <f t="shared" si="10"/>
        <v>-4.126024962842223E-2</v>
      </c>
      <c r="O92" s="2">
        <f t="shared" si="11"/>
        <v>-2.1181945658874213E-2</v>
      </c>
      <c r="Q92" s="1">
        <f t="shared" si="12"/>
        <v>174100</v>
      </c>
      <c r="S92" s="1">
        <f t="shared" si="13"/>
        <v>100</v>
      </c>
    </row>
    <row r="93" spans="1:19" x14ac:dyDescent="0.25">
      <c r="A93">
        <v>1946</v>
      </c>
      <c r="B93" s="11">
        <v>174000</v>
      </c>
      <c r="C93" s="11">
        <v>4550</v>
      </c>
      <c r="D93" s="11">
        <v>3950</v>
      </c>
      <c r="E93" s="12">
        <v>26.2</v>
      </c>
      <c r="F93" s="12">
        <v>22.7</v>
      </c>
      <c r="G93" s="2">
        <v>-333</v>
      </c>
      <c r="I93" s="1">
        <f t="shared" si="7"/>
        <v>173799.92328345176</v>
      </c>
      <c r="K93">
        <f t="shared" si="8"/>
        <v>26.179528241674575</v>
      </c>
      <c r="L93">
        <f t="shared" si="9"/>
        <v>22.727282759255949</v>
      </c>
      <c r="N93" s="2">
        <f t="shared" si="10"/>
        <v>2.0471758325424361E-2</v>
      </c>
      <c r="O93" s="2">
        <f t="shared" si="11"/>
        <v>-2.728275925595014E-2</v>
      </c>
      <c r="Q93" s="1">
        <f t="shared" si="12"/>
        <v>174267</v>
      </c>
      <c r="S93" s="1">
        <f t="shared" si="13"/>
        <v>667</v>
      </c>
    </row>
    <row r="94" spans="1:19" x14ac:dyDescent="0.25">
      <c r="A94">
        <v>1947</v>
      </c>
      <c r="B94" s="11">
        <v>173600</v>
      </c>
      <c r="C94" s="11">
        <v>5220</v>
      </c>
      <c r="D94" s="1">
        <v>3770</v>
      </c>
      <c r="E94" s="12">
        <v>29.9</v>
      </c>
      <c r="F94" s="2">
        <v>21.6</v>
      </c>
      <c r="G94" s="2">
        <v>-333</v>
      </c>
      <c r="I94" s="1">
        <f t="shared" si="7"/>
        <v>174348.92457169885</v>
      </c>
      <c r="K94">
        <f t="shared" si="8"/>
        <v>29.939960988135255</v>
      </c>
      <c r="L94">
        <f t="shared" si="9"/>
        <v>21.623305158097686</v>
      </c>
      <c r="N94" s="2">
        <f t="shared" si="10"/>
        <v>-3.9960988135256059E-2</v>
      </c>
      <c r="O94" s="2">
        <f t="shared" si="11"/>
        <v>-2.3305158097684853E-2</v>
      </c>
      <c r="Q94" s="1">
        <f t="shared" si="12"/>
        <v>174717</v>
      </c>
      <c r="S94" s="1">
        <f t="shared" si="13"/>
        <v>-383</v>
      </c>
    </row>
    <row r="95" spans="1:19" x14ac:dyDescent="0.25">
      <c r="A95">
        <v>1948</v>
      </c>
      <c r="B95" s="11">
        <v>175100</v>
      </c>
      <c r="C95" s="11">
        <v>5060</v>
      </c>
      <c r="D95" s="1">
        <v>2790</v>
      </c>
      <c r="E95" s="12">
        <v>28.7</v>
      </c>
      <c r="F95" s="2">
        <v>15.8</v>
      </c>
      <c r="G95" s="2">
        <v>-333</v>
      </c>
      <c r="I95" s="1">
        <f t="shared" si="7"/>
        <v>176197.71091074712</v>
      </c>
      <c r="K95">
        <f t="shared" si="8"/>
        <v>28.717739713219888</v>
      </c>
      <c r="L95">
        <f t="shared" si="9"/>
        <v>15.834484940688437</v>
      </c>
      <c r="N95" s="2">
        <f t="shared" si="10"/>
        <v>-1.7739713219889097E-2</v>
      </c>
      <c r="O95" s="2">
        <f t="shared" si="11"/>
        <v>-3.4484940688436438E-2</v>
      </c>
      <c r="Q95" s="1">
        <f t="shared" si="12"/>
        <v>177037</v>
      </c>
      <c r="S95" s="1">
        <f t="shared" si="13"/>
        <v>-263</v>
      </c>
    </row>
    <row r="96" spans="1:19" x14ac:dyDescent="0.25">
      <c r="A96">
        <v>1949</v>
      </c>
      <c r="B96" s="11">
        <v>177300</v>
      </c>
      <c r="C96" s="11">
        <v>5010</v>
      </c>
      <c r="D96" s="11">
        <v>2440</v>
      </c>
      <c r="E96" s="12">
        <v>28</v>
      </c>
      <c r="F96" s="12">
        <v>13.7</v>
      </c>
      <c r="I96" s="1">
        <f t="shared" si="7"/>
        <v>178596.84579343695</v>
      </c>
      <c r="K96">
        <f t="shared" si="8"/>
        <v>28.052007177072479</v>
      </c>
      <c r="L96">
        <f t="shared" si="9"/>
        <v>13.662055391628114</v>
      </c>
      <c r="N96" s="2">
        <f t="shared" si="10"/>
        <v>-5.2007177072479038E-2</v>
      </c>
      <c r="O96" s="2">
        <f t="shared" si="11"/>
        <v>3.7944608371885735E-2</v>
      </c>
      <c r="Q96" s="1">
        <f t="shared" si="12"/>
        <v>179870</v>
      </c>
      <c r="S96" s="1">
        <f t="shared" si="13"/>
        <v>-30</v>
      </c>
    </row>
    <row r="97" spans="1:19" x14ac:dyDescent="0.25">
      <c r="A97">
        <v>1950</v>
      </c>
      <c r="B97" s="1">
        <v>179900</v>
      </c>
      <c r="C97" s="1">
        <v>4810</v>
      </c>
      <c r="D97" s="1">
        <v>1740</v>
      </c>
      <c r="E97" s="2">
        <v>26.5</v>
      </c>
      <c r="F97" s="2">
        <v>9.6</v>
      </c>
      <c r="I97" s="1">
        <f t="shared" si="7"/>
        <v>181445.58639339957</v>
      </c>
      <c r="K97">
        <f t="shared" si="8"/>
        <v>26.509324892429419</v>
      </c>
      <c r="L97">
        <f t="shared" si="9"/>
        <v>9.5896518321886042</v>
      </c>
      <c r="N97" s="2">
        <f t="shared" si="10"/>
        <v>-9.3248924294186963E-3</v>
      </c>
      <c r="O97" s="2">
        <f t="shared" si="11"/>
        <v>1.034816781139547E-2</v>
      </c>
      <c r="Q97" s="1">
        <f t="shared" si="12"/>
        <v>182970</v>
      </c>
      <c r="S97" s="1">
        <f t="shared" si="13"/>
        <v>-30</v>
      </c>
    </row>
    <row r="98" spans="1:19" x14ac:dyDescent="0.25">
      <c r="A98">
        <v>1951</v>
      </c>
      <c r="B98" s="1">
        <v>183000</v>
      </c>
      <c r="C98" s="1">
        <v>4950</v>
      </c>
      <c r="D98" s="1">
        <v>1770</v>
      </c>
      <c r="E98" s="2">
        <v>26.8</v>
      </c>
      <c r="F98" s="2">
        <v>9.6</v>
      </c>
      <c r="I98" s="1">
        <f t="shared" si="7"/>
        <v>184545.66053427945</v>
      </c>
      <c r="K98">
        <f t="shared" si="8"/>
        <v>26.822630159220324</v>
      </c>
      <c r="L98">
        <f t="shared" si="9"/>
        <v>9.5911222993575702</v>
      </c>
      <c r="N98" s="2">
        <f t="shared" si="10"/>
        <v>-2.263015922032352E-2</v>
      </c>
      <c r="O98" s="2">
        <f t="shared" si="11"/>
        <v>8.8777006424294314E-3</v>
      </c>
      <c r="Q98" s="1">
        <f t="shared" si="12"/>
        <v>186180</v>
      </c>
      <c r="S98" s="1">
        <f t="shared" si="13"/>
        <v>80</v>
      </c>
    </row>
    <row r="99" spans="1:19" x14ac:dyDescent="0.25">
      <c r="A99">
        <v>1952</v>
      </c>
      <c r="B99" s="1">
        <v>186100</v>
      </c>
      <c r="C99" s="1">
        <v>4960</v>
      </c>
      <c r="D99" s="1">
        <v>1740</v>
      </c>
      <c r="E99" s="2">
        <v>26.4</v>
      </c>
      <c r="F99" s="2">
        <v>9.3000000000000007</v>
      </c>
      <c r="I99" s="1">
        <f t="shared" si="7"/>
        <v>187745.16634519532</v>
      </c>
      <c r="K99">
        <f t="shared" si="8"/>
        <v>26.41878934385111</v>
      </c>
      <c r="L99">
        <f t="shared" si="9"/>
        <v>9.2678817456251874</v>
      </c>
      <c r="N99" s="2">
        <f t="shared" si="10"/>
        <v>-1.8789343851111084E-2</v>
      </c>
      <c r="O99" s="2">
        <f t="shared" si="11"/>
        <v>3.2118254374813304E-2</v>
      </c>
      <c r="Q99" s="1">
        <f t="shared" si="12"/>
        <v>189320</v>
      </c>
      <c r="S99" s="1">
        <f t="shared" si="13"/>
        <v>-80</v>
      </c>
    </row>
    <row r="100" spans="1:19" x14ac:dyDescent="0.25">
      <c r="A100">
        <v>1953</v>
      </c>
      <c r="B100" s="1">
        <v>189400</v>
      </c>
      <c r="C100" s="1">
        <v>4750</v>
      </c>
      <c r="D100" s="1">
        <v>1720</v>
      </c>
      <c r="E100" s="2">
        <v>24.9</v>
      </c>
      <c r="F100" s="2">
        <v>9</v>
      </c>
      <c r="I100" s="1">
        <f t="shared" si="7"/>
        <v>190896.07117680166</v>
      </c>
      <c r="K100">
        <f t="shared" si="8"/>
        <v>24.882649342744756</v>
      </c>
      <c r="L100">
        <f t="shared" si="9"/>
        <v>9.0101382883202064</v>
      </c>
      <c r="N100" s="2">
        <f t="shared" si="10"/>
        <v>1.7350657255242652E-2</v>
      </c>
      <c r="O100" s="2">
        <f t="shared" si="11"/>
        <v>-1.0138288320206357E-2</v>
      </c>
      <c r="Q100" s="1">
        <f t="shared" si="12"/>
        <v>192430</v>
      </c>
      <c r="S100" s="1">
        <f t="shared" si="13"/>
        <v>30</v>
      </c>
    </row>
    <row r="101" spans="1:19" x14ac:dyDescent="0.25">
      <c r="A101">
        <v>1954</v>
      </c>
      <c r="B101" s="1">
        <v>192400</v>
      </c>
      <c r="C101" s="1">
        <v>5140</v>
      </c>
      <c r="D101" s="1">
        <v>1730</v>
      </c>
      <c r="E101" s="2">
        <v>26.5</v>
      </c>
      <c r="F101" s="2">
        <v>8.9</v>
      </c>
      <c r="I101" s="1">
        <f t="shared" si="7"/>
        <v>194095.03682101183</v>
      </c>
      <c r="K101">
        <f t="shared" si="8"/>
        <v>26.481872407381246</v>
      </c>
      <c r="L101">
        <f t="shared" si="9"/>
        <v>8.9131593900329875</v>
      </c>
      <c r="N101" s="2">
        <f t="shared" si="10"/>
        <v>1.8127592618753852E-2</v>
      </c>
      <c r="O101" s="2">
        <f t="shared" si="11"/>
        <v>-1.3159390032987162E-2</v>
      </c>
      <c r="Q101" s="1">
        <f t="shared" si="12"/>
        <v>195810</v>
      </c>
      <c r="S101" s="1">
        <f t="shared" si="13"/>
        <v>10</v>
      </c>
    </row>
    <row r="102" spans="1:19" x14ac:dyDescent="0.25">
      <c r="A102">
        <v>1955</v>
      </c>
      <c r="B102" s="1">
        <v>195800</v>
      </c>
      <c r="C102" s="1">
        <v>5060</v>
      </c>
      <c r="D102" s="1">
        <v>1620</v>
      </c>
      <c r="E102" s="2">
        <v>25.6</v>
      </c>
      <c r="F102" s="2">
        <v>8.1999999999999993</v>
      </c>
      <c r="I102" s="1">
        <f t="shared" si="7"/>
        <v>197495.12226649534</v>
      </c>
      <c r="K102">
        <f t="shared" si="8"/>
        <v>25.620885933436639</v>
      </c>
      <c r="L102">
        <f t="shared" si="9"/>
        <v>8.2027342316536274</v>
      </c>
      <c r="N102" s="2">
        <f t="shared" si="10"/>
        <v>-2.0885933436638027E-2</v>
      </c>
      <c r="O102" s="2">
        <f t="shared" si="11"/>
        <v>-2.734231653628072E-3</v>
      </c>
      <c r="Q102" s="1">
        <f t="shared" si="12"/>
        <v>199240</v>
      </c>
      <c r="S102" s="1">
        <f t="shared" si="13"/>
        <v>40</v>
      </c>
    </row>
    <row r="103" spans="1:19" x14ac:dyDescent="0.25">
      <c r="A103">
        <v>1956</v>
      </c>
      <c r="B103" s="1">
        <v>199200</v>
      </c>
      <c r="C103" s="1">
        <v>5020</v>
      </c>
      <c r="D103" s="1">
        <v>1550</v>
      </c>
      <c r="E103" s="2">
        <v>25</v>
      </c>
      <c r="F103" s="2">
        <v>7.7</v>
      </c>
      <c r="I103" s="1">
        <f t="shared" si="7"/>
        <v>200944.91986077646</v>
      </c>
      <c r="K103">
        <f t="shared" si="8"/>
        <v>24.981970200978846</v>
      </c>
      <c r="L103">
        <f t="shared" si="9"/>
        <v>7.7135565361588077</v>
      </c>
      <c r="N103" s="2">
        <f t="shared" si="10"/>
        <v>1.8029799021153536E-2</v>
      </c>
      <c r="O103" s="2">
        <f t="shared" si="11"/>
        <v>-1.3556536158807475E-2</v>
      </c>
      <c r="Q103" s="1">
        <f t="shared" si="12"/>
        <v>202670</v>
      </c>
      <c r="S103" s="1">
        <f t="shared" si="13"/>
        <v>-30</v>
      </c>
    </row>
    <row r="104" spans="1:19" x14ac:dyDescent="0.25">
      <c r="A104">
        <v>1957</v>
      </c>
      <c r="B104" s="1">
        <v>202700</v>
      </c>
      <c r="C104" s="1"/>
      <c r="D104" s="1"/>
    </row>
    <row r="105" spans="1:19" x14ac:dyDescent="0.25">
      <c r="S105" s="5">
        <f>SUM(S8:S103)</f>
        <v>622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1D55-EA58-4F5A-80A2-98265CC1DE65}">
  <dimension ref="A1:F182"/>
  <sheetViews>
    <sheetView workbookViewId="0">
      <pane ySplit="3" topLeftCell="A4" activePane="bottomLeft" state="frozen"/>
      <selection pane="bottomLeft" activeCell="AH17" sqref="AH17"/>
    </sheetView>
  </sheetViews>
  <sheetFormatPr defaultRowHeight="15" x14ac:dyDescent="0.25"/>
  <sheetData>
    <row r="1" spans="1:6" ht="18.75" x14ac:dyDescent="0.3">
      <c r="A1" s="14" t="s">
        <v>49</v>
      </c>
    </row>
    <row r="3" spans="1:6" x14ac:dyDescent="0.25">
      <c r="A3" s="8" t="s">
        <v>44</v>
      </c>
      <c r="B3" s="8" t="s">
        <v>45</v>
      </c>
      <c r="C3" s="8" t="s">
        <v>46</v>
      </c>
      <c r="D3" s="8" t="s">
        <v>47</v>
      </c>
      <c r="F3" s="8" t="s">
        <v>48</v>
      </c>
    </row>
    <row r="4" spans="1:6" x14ac:dyDescent="0.25">
      <c r="A4" s="4">
        <v>1796</v>
      </c>
      <c r="B4" s="1">
        <v>1810</v>
      </c>
      <c r="C4" s="1">
        <v>927</v>
      </c>
      <c r="D4" s="1">
        <v>883</v>
      </c>
      <c r="F4" s="1">
        <f>B4-C4-D4</f>
        <v>0</v>
      </c>
    </row>
    <row r="5" spans="1:6" x14ac:dyDescent="0.25">
      <c r="A5" s="4">
        <f>A4+1</f>
        <v>1797</v>
      </c>
      <c r="B5" s="1">
        <v>1800</v>
      </c>
      <c r="C5" s="1">
        <v>922</v>
      </c>
      <c r="D5" s="1">
        <v>878</v>
      </c>
      <c r="F5" s="1">
        <f t="shared" ref="F5:F68" si="0">B5-C5-D5</f>
        <v>0</v>
      </c>
    </row>
    <row r="6" spans="1:6" x14ac:dyDescent="0.25">
      <c r="A6" s="4">
        <f t="shared" ref="A6:A69" si="1">A5+1</f>
        <v>1798</v>
      </c>
      <c r="B6" s="1">
        <v>1900</v>
      </c>
      <c r="C6" s="1">
        <v>973</v>
      </c>
      <c r="D6" s="1">
        <v>927</v>
      </c>
      <c r="F6" s="1">
        <f t="shared" si="0"/>
        <v>0</v>
      </c>
    </row>
    <row r="7" spans="1:6" x14ac:dyDescent="0.25">
      <c r="A7" s="4">
        <f t="shared" si="1"/>
        <v>1799</v>
      </c>
      <c r="B7" s="1">
        <v>1950</v>
      </c>
      <c r="C7" s="1">
        <v>999</v>
      </c>
      <c r="D7" s="1">
        <v>951</v>
      </c>
      <c r="F7" s="1">
        <f t="shared" si="0"/>
        <v>0</v>
      </c>
    </row>
    <row r="8" spans="1:6" x14ac:dyDescent="0.25">
      <c r="A8" s="4">
        <f t="shared" si="1"/>
        <v>1800</v>
      </c>
      <c r="B8" s="1">
        <v>1940</v>
      </c>
      <c r="C8" s="1">
        <v>994</v>
      </c>
      <c r="D8" s="1">
        <v>946</v>
      </c>
      <c r="F8" s="1">
        <f t="shared" si="0"/>
        <v>0</v>
      </c>
    </row>
    <row r="9" spans="1:6" x14ac:dyDescent="0.25">
      <c r="A9" s="4">
        <f t="shared" si="1"/>
        <v>1801</v>
      </c>
      <c r="B9" s="1">
        <v>2030</v>
      </c>
      <c r="C9" s="1">
        <v>1040</v>
      </c>
      <c r="D9" s="1">
        <v>990</v>
      </c>
      <c r="F9" s="1">
        <f t="shared" si="0"/>
        <v>0</v>
      </c>
    </row>
    <row r="10" spans="1:6" x14ac:dyDescent="0.25">
      <c r="A10" s="4">
        <f t="shared" si="1"/>
        <v>1802</v>
      </c>
      <c r="B10" s="1">
        <v>2250</v>
      </c>
      <c r="C10" s="1">
        <v>1152</v>
      </c>
      <c r="D10" s="1">
        <v>1098</v>
      </c>
      <c r="F10" s="1">
        <f t="shared" si="0"/>
        <v>0</v>
      </c>
    </row>
    <row r="11" spans="1:6" x14ac:dyDescent="0.25">
      <c r="A11" s="4">
        <f t="shared" si="1"/>
        <v>1803</v>
      </c>
      <c r="B11" s="1">
        <v>2170</v>
      </c>
      <c r="C11" s="1">
        <v>1111</v>
      </c>
      <c r="D11" s="1">
        <v>1059</v>
      </c>
      <c r="F11" s="1">
        <f t="shared" si="0"/>
        <v>0</v>
      </c>
    </row>
    <row r="12" spans="1:6" x14ac:dyDescent="0.25">
      <c r="A12" s="4">
        <f t="shared" si="1"/>
        <v>1804</v>
      </c>
      <c r="B12" s="1">
        <v>2320</v>
      </c>
      <c r="C12" s="1">
        <v>1188</v>
      </c>
      <c r="D12" s="1">
        <v>1132</v>
      </c>
      <c r="F12" s="1">
        <f t="shared" si="0"/>
        <v>0</v>
      </c>
    </row>
    <row r="13" spans="1:6" x14ac:dyDescent="0.25">
      <c r="A13" s="4">
        <f t="shared" si="1"/>
        <v>1805</v>
      </c>
      <c r="B13" s="1">
        <v>2330</v>
      </c>
      <c r="C13" s="1">
        <v>1193</v>
      </c>
      <c r="D13" s="1">
        <v>1137</v>
      </c>
      <c r="F13" s="1">
        <f t="shared" si="0"/>
        <v>0</v>
      </c>
    </row>
    <row r="14" spans="1:6" x14ac:dyDescent="0.25">
      <c r="A14" s="4">
        <f t="shared" si="1"/>
        <v>1806</v>
      </c>
      <c r="B14" s="1">
        <v>2320</v>
      </c>
      <c r="C14" s="1">
        <v>1188</v>
      </c>
      <c r="D14" s="1">
        <v>1132</v>
      </c>
      <c r="F14" s="1">
        <f t="shared" si="0"/>
        <v>0</v>
      </c>
    </row>
    <row r="15" spans="1:6" x14ac:dyDescent="0.25">
      <c r="A15" s="4">
        <f t="shared" si="1"/>
        <v>1807</v>
      </c>
      <c r="B15" s="1">
        <v>2280</v>
      </c>
      <c r="C15" s="1">
        <v>1168</v>
      </c>
      <c r="D15" s="1">
        <v>1112</v>
      </c>
      <c r="F15" s="1">
        <f t="shared" si="0"/>
        <v>0</v>
      </c>
    </row>
    <row r="16" spans="1:6" x14ac:dyDescent="0.25">
      <c r="A16" s="4">
        <f t="shared" si="1"/>
        <v>1808</v>
      </c>
      <c r="B16" s="1">
        <v>2260</v>
      </c>
      <c r="C16" s="1">
        <v>1158</v>
      </c>
      <c r="D16" s="1">
        <v>1102</v>
      </c>
      <c r="F16" s="1">
        <f t="shared" si="0"/>
        <v>0</v>
      </c>
    </row>
    <row r="17" spans="1:6" x14ac:dyDescent="0.25">
      <c r="A17" s="4">
        <f t="shared" si="1"/>
        <v>1809</v>
      </c>
      <c r="B17" s="1">
        <v>2240</v>
      </c>
      <c r="C17" s="1">
        <v>1147</v>
      </c>
      <c r="D17" s="1">
        <v>1093</v>
      </c>
      <c r="F17" s="1">
        <f t="shared" si="0"/>
        <v>0</v>
      </c>
    </row>
    <row r="18" spans="1:6" x14ac:dyDescent="0.25">
      <c r="A18" s="4">
        <f t="shared" si="1"/>
        <v>1810</v>
      </c>
      <c r="B18" s="1">
        <v>2340</v>
      </c>
      <c r="C18" s="1">
        <v>1199</v>
      </c>
      <c r="D18" s="1">
        <v>1141</v>
      </c>
      <c r="F18" s="1">
        <f t="shared" si="0"/>
        <v>0</v>
      </c>
    </row>
    <row r="19" spans="1:6" x14ac:dyDescent="0.25">
      <c r="A19" s="4">
        <f t="shared" si="1"/>
        <v>1811</v>
      </c>
      <c r="B19" s="1">
        <v>2260</v>
      </c>
      <c r="C19" s="1">
        <v>1158</v>
      </c>
      <c r="D19" s="1">
        <v>1102</v>
      </c>
      <c r="F19" s="1">
        <f t="shared" si="0"/>
        <v>0</v>
      </c>
    </row>
    <row r="20" spans="1:6" x14ac:dyDescent="0.25">
      <c r="A20" s="4">
        <f t="shared" si="1"/>
        <v>1812</v>
      </c>
      <c r="B20" s="1">
        <v>2310</v>
      </c>
      <c r="C20" s="1">
        <v>1183</v>
      </c>
      <c r="D20" s="1">
        <v>1127</v>
      </c>
      <c r="F20" s="1">
        <f t="shared" si="0"/>
        <v>0</v>
      </c>
    </row>
    <row r="21" spans="1:6" x14ac:dyDescent="0.25">
      <c r="A21" s="4">
        <f t="shared" si="1"/>
        <v>1813</v>
      </c>
      <c r="B21" s="1">
        <v>1860</v>
      </c>
      <c r="C21" s="1">
        <v>953</v>
      </c>
      <c r="D21" s="1">
        <v>907</v>
      </c>
      <c r="F21" s="1">
        <f t="shared" si="0"/>
        <v>0</v>
      </c>
    </row>
    <row r="22" spans="1:6" x14ac:dyDescent="0.25">
      <c r="A22" s="4">
        <f t="shared" si="1"/>
        <v>1814</v>
      </c>
      <c r="B22" s="1">
        <v>1990</v>
      </c>
      <c r="C22" s="1">
        <v>1019</v>
      </c>
      <c r="D22" s="1">
        <v>971</v>
      </c>
      <c r="F22" s="1">
        <f t="shared" si="0"/>
        <v>0</v>
      </c>
    </row>
    <row r="23" spans="1:6" x14ac:dyDescent="0.25">
      <c r="A23" s="4">
        <f t="shared" si="1"/>
        <v>1815</v>
      </c>
      <c r="B23" s="1">
        <v>2200</v>
      </c>
      <c r="C23" s="1">
        <v>1127</v>
      </c>
      <c r="D23" s="1">
        <v>1073</v>
      </c>
      <c r="F23" s="1">
        <f t="shared" si="0"/>
        <v>0</v>
      </c>
    </row>
    <row r="24" spans="1:6" x14ac:dyDescent="0.25">
      <c r="A24" s="4">
        <f t="shared" si="1"/>
        <v>1816</v>
      </c>
      <c r="B24" s="1">
        <v>2410</v>
      </c>
      <c r="C24" s="1">
        <v>1234</v>
      </c>
      <c r="D24" s="1">
        <v>1176</v>
      </c>
      <c r="F24" s="1">
        <f t="shared" si="0"/>
        <v>0</v>
      </c>
    </row>
    <row r="25" spans="1:6" x14ac:dyDescent="0.25">
      <c r="A25" s="4">
        <f t="shared" si="1"/>
        <v>1817</v>
      </c>
      <c r="B25" s="1">
        <v>2390</v>
      </c>
      <c r="C25" s="1">
        <v>1224</v>
      </c>
      <c r="D25" s="1">
        <v>1166</v>
      </c>
      <c r="F25" s="1">
        <f t="shared" si="0"/>
        <v>0</v>
      </c>
    </row>
    <row r="26" spans="1:6" x14ac:dyDescent="0.25">
      <c r="A26" s="4">
        <f t="shared" si="1"/>
        <v>1818</v>
      </c>
      <c r="B26" s="1">
        <v>2340</v>
      </c>
      <c r="C26" s="1">
        <v>1199</v>
      </c>
      <c r="D26" s="1">
        <v>1141</v>
      </c>
      <c r="F26" s="1">
        <f t="shared" si="0"/>
        <v>0</v>
      </c>
    </row>
    <row r="27" spans="1:6" x14ac:dyDescent="0.25">
      <c r="A27" s="4">
        <f t="shared" si="1"/>
        <v>1819</v>
      </c>
      <c r="B27" s="1">
        <v>2450</v>
      </c>
      <c r="C27" s="1">
        <v>1255</v>
      </c>
      <c r="D27" s="1">
        <v>1195</v>
      </c>
      <c r="F27" s="1">
        <f t="shared" si="0"/>
        <v>0</v>
      </c>
    </row>
    <row r="28" spans="1:6" x14ac:dyDescent="0.25">
      <c r="A28" s="4">
        <f t="shared" si="1"/>
        <v>1820</v>
      </c>
      <c r="B28" s="1">
        <v>2560</v>
      </c>
      <c r="C28" s="1">
        <v>1311</v>
      </c>
      <c r="D28" s="1">
        <v>1249</v>
      </c>
      <c r="F28" s="1">
        <f t="shared" si="0"/>
        <v>0</v>
      </c>
    </row>
    <row r="29" spans="1:6" x14ac:dyDescent="0.25">
      <c r="A29" s="4">
        <f t="shared" si="1"/>
        <v>1821</v>
      </c>
      <c r="B29" s="1">
        <v>2440</v>
      </c>
      <c r="C29" s="1">
        <v>1250</v>
      </c>
      <c r="D29" s="1">
        <v>1190</v>
      </c>
      <c r="F29" s="1">
        <f t="shared" si="0"/>
        <v>0</v>
      </c>
    </row>
    <row r="30" spans="1:6" x14ac:dyDescent="0.25">
      <c r="A30" s="4">
        <f t="shared" si="1"/>
        <v>1822</v>
      </c>
      <c r="B30" s="1">
        <v>2490</v>
      </c>
      <c r="C30" s="1">
        <v>1275</v>
      </c>
      <c r="D30" s="1">
        <v>1215</v>
      </c>
      <c r="F30" s="1">
        <f t="shared" si="0"/>
        <v>0</v>
      </c>
    </row>
    <row r="31" spans="1:6" x14ac:dyDescent="0.25">
      <c r="A31" s="4">
        <f t="shared" si="1"/>
        <v>1823</v>
      </c>
      <c r="B31" s="1">
        <v>2600</v>
      </c>
      <c r="C31" s="1">
        <v>1332</v>
      </c>
      <c r="D31" s="1">
        <v>1268</v>
      </c>
      <c r="F31" s="1">
        <f t="shared" si="0"/>
        <v>0</v>
      </c>
    </row>
    <row r="32" spans="1:6" x14ac:dyDescent="0.25">
      <c r="A32" s="4">
        <f t="shared" si="1"/>
        <v>1824</v>
      </c>
      <c r="B32" s="1">
        <v>2610</v>
      </c>
      <c r="C32" s="1">
        <v>1337</v>
      </c>
      <c r="D32" s="1">
        <v>1273</v>
      </c>
      <c r="F32" s="1">
        <f t="shared" si="0"/>
        <v>0</v>
      </c>
    </row>
    <row r="33" spans="1:6" x14ac:dyDescent="0.25">
      <c r="A33" s="4">
        <f t="shared" si="1"/>
        <v>1825</v>
      </c>
      <c r="B33" s="1">
        <v>2630</v>
      </c>
      <c r="C33" s="1">
        <v>1347</v>
      </c>
      <c r="D33" s="1">
        <v>1283</v>
      </c>
      <c r="F33" s="1">
        <f t="shared" si="0"/>
        <v>0</v>
      </c>
    </row>
    <row r="34" spans="1:6" x14ac:dyDescent="0.25">
      <c r="A34" s="4">
        <f t="shared" si="1"/>
        <v>1826</v>
      </c>
      <c r="B34" s="1">
        <v>2630</v>
      </c>
      <c r="C34" s="1">
        <v>1347</v>
      </c>
      <c r="D34" s="1">
        <v>1283</v>
      </c>
      <c r="F34" s="1">
        <f t="shared" si="0"/>
        <v>0</v>
      </c>
    </row>
    <row r="35" spans="1:6" x14ac:dyDescent="0.25">
      <c r="A35" s="4">
        <f t="shared" si="1"/>
        <v>1827</v>
      </c>
      <c r="B35" s="1">
        <v>2860</v>
      </c>
      <c r="C35" s="1">
        <v>1465</v>
      </c>
      <c r="D35" s="1">
        <v>1395</v>
      </c>
      <c r="F35" s="1">
        <f t="shared" si="0"/>
        <v>0</v>
      </c>
    </row>
    <row r="36" spans="1:6" x14ac:dyDescent="0.25">
      <c r="A36" s="4">
        <f t="shared" si="1"/>
        <v>1828</v>
      </c>
      <c r="B36" s="1">
        <v>2780</v>
      </c>
      <c r="C36" s="1">
        <v>1424</v>
      </c>
      <c r="D36" s="1">
        <v>1356</v>
      </c>
      <c r="F36" s="1">
        <f t="shared" si="0"/>
        <v>0</v>
      </c>
    </row>
    <row r="37" spans="1:6" x14ac:dyDescent="0.25">
      <c r="A37" s="4">
        <f t="shared" si="1"/>
        <v>1829</v>
      </c>
      <c r="B37" s="1">
        <v>2960</v>
      </c>
      <c r="C37" s="1">
        <v>1516</v>
      </c>
      <c r="D37" s="1">
        <v>1444</v>
      </c>
      <c r="F37" s="1">
        <f t="shared" si="0"/>
        <v>0</v>
      </c>
    </row>
    <row r="38" spans="1:6" x14ac:dyDescent="0.25">
      <c r="A38" s="4">
        <f t="shared" si="1"/>
        <v>1830</v>
      </c>
      <c r="B38" s="1">
        <v>2890</v>
      </c>
      <c r="C38" s="1">
        <v>1480</v>
      </c>
      <c r="D38" s="1">
        <v>1410</v>
      </c>
      <c r="F38" s="1">
        <f t="shared" si="0"/>
        <v>0</v>
      </c>
    </row>
    <row r="39" spans="1:6" x14ac:dyDescent="0.25">
      <c r="A39" s="4">
        <f t="shared" si="1"/>
        <v>1831</v>
      </c>
      <c r="B39" s="1">
        <v>2780</v>
      </c>
      <c r="C39" s="1">
        <v>1424</v>
      </c>
      <c r="D39" s="1">
        <v>1356</v>
      </c>
      <c r="F39" s="1">
        <f t="shared" si="0"/>
        <v>0</v>
      </c>
    </row>
    <row r="40" spans="1:6" x14ac:dyDescent="0.25">
      <c r="A40" s="4">
        <f t="shared" si="1"/>
        <v>1832</v>
      </c>
      <c r="B40" s="1">
        <v>3010</v>
      </c>
      <c r="C40" s="1">
        <v>1542</v>
      </c>
      <c r="D40" s="1">
        <v>1468</v>
      </c>
      <c r="F40" s="1">
        <f t="shared" si="0"/>
        <v>0</v>
      </c>
    </row>
    <row r="41" spans="1:6" x14ac:dyDescent="0.25">
      <c r="A41" s="4">
        <f t="shared" si="1"/>
        <v>1833</v>
      </c>
      <c r="B41" s="1">
        <v>2830</v>
      </c>
      <c r="C41" s="1">
        <v>1450</v>
      </c>
      <c r="D41" s="1">
        <v>1380</v>
      </c>
      <c r="F41" s="1">
        <f t="shared" si="0"/>
        <v>0</v>
      </c>
    </row>
    <row r="42" spans="1:6" x14ac:dyDescent="0.25">
      <c r="A42" s="4">
        <f t="shared" si="1"/>
        <v>1834</v>
      </c>
      <c r="B42" s="1">
        <v>3030</v>
      </c>
      <c r="C42" s="1">
        <v>1552</v>
      </c>
      <c r="D42" s="1">
        <v>1478</v>
      </c>
      <c r="F42" s="1">
        <f t="shared" si="0"/>
        <v>0</v>
      </c>
    </row>
    <row r="43" spans="1:6" x14ac:dyDescent="0.25">
      <c r="A43" s="4">
        <f t="shared" si="1"/>
        <v>1835</v>
      </c>
      <c r="B43" s="1">
        <v>2700</v>
      </c>
      <c r="C43" s="1">
        <v>1383</v>
      </c>
      <c r="D43" s="1">
        <v>1317</v>
      </c>
      <c r="F43" s="1">
        <f t="shared" si="0"/>
        <v>0</v>
      </c>
    </row>
    <row r="44" spans="1:6" x14ac:dyDescent="0.25">
      <c r="A44" s="4">
        <f t="shared" si="1"/>
        <v>1836</v>
      </c>
      <c r="B44" s="1">
        <v>2970</v>
      </c>
      <c r="C44" s="1">
        <v>1521</v>
      </c>
      <c r="D44" s="1">
        <v>1449</v>
      </c>
      <c r="F44" s="1">
        <f t="shared" si="0"/>
        <v>0</v>
      </c>
    </row>
    <row r="45" spans="1:6" x14ac:dyDescent="0.25">
      <c r="A45" s="4">
        <f t="shared" si="1"/>
        <v>1837</v>
      </c>
      <c r="B45" s="1">
        <v>3010</v>
      </c>
      <c r="C45" s="1">
        <v>1542</v>
      </c>
      <c r="D45" s="1">
        <v>1468</v>
      </c>
      <c r="F45" s="1">
        <f t="shared" si="0"/>
        <v>0</v>
      </c>
    </row>
    <row r="46" spans="1:6" x14ac:dyDescent="0.25">
      <c r="A46" s="4">
        <f t="shared" si="1"/>
        <v>1838</v>
      </c>
      <c r="B46" s="1">
        <v>3090</v>
      </c>
      <c r="C46" s="1">
        <v>1583</v>
      </c>
      <c r="D46" s="1">
        <v>1507</v>
      </c>
      <c r="F46" s="1">
        <f t="shared" si="0"/>
        <v>0</v>
      </c>
    </row>
    <row r="47" spans="1:6" x14ac:dyDescent="0.25">
      <c r="A47" s="4">
        <f t="shared" si="1"/>
        <v>1839</v>
      </c>
      <c r="B47" s="1">
        <v>3260</v>
      </c>
      <c r="C47" s="1">
        <v>1670</v>
      </c>
      <c r="D47" s="1">
        <v>1590</v>
      </c>
      <c r="F47" s="1">
        <f t="shared" si="0"/>
        <v>0</v>
      </c>
    </row>
    <row r="48" spans="1:6" x14ac:dyDescent="0.25">
      <c r="A48" s="4">
        <f t="shared" si="1"/>
        <v>1840</v>
      </c>
      <c r="B48" s="1">
        <v>2830</v>
      </c>
      <c r="C48" s="1">
        <v>1450</v>
      </c>
      <c r="D48" s="1">
        <v>1380</v>
      </c>
      <c r="F48" s="1">
        <f t="shared" si="0"/>
        <v>0</v>
      </c>
    </row>
    <row r="49" spans="1:6" x14ac:dyDescent="0.25">
      <c r="A49" s="4">
        <f t="shared" si="1"/>
        <v>1841</v>
      </c>
      <c r="B49" s="1">
        <v>3040</v>
      </c>
      <c r="C49" s="1">
        <v>1557</v>
      </c>
      <c r="D49" s="1">
        <v>1483</v>
      </c>
      <c r="F49" s="1">
        <f t="shared" si="0"/>
        <v>0</v>
      </c>
    </row>
    <row r="50" spans="1:6" x14ac:dyDescent="0.25">
      <c r="A50" s="4">
        <f t="shared" si="1"/>
        <v>1842</v>
      </c>
      <c r="B50" s="1">
        <v>2970</v>
      </c>
      <c r="C50" s="1">
        <v>1521</v>
      </c>
      <c r="D50" s="1">
        <v>1449</v>
      </c>
      <c r="F50" s="1">
        <f t="shared" si="0"/>
        <v>0</v>
      </c>
    </row>
    <row r="51" spans="1:6" x14ac:dyDescent="0.25">
      <c r="A51" s="4">
        <f t="shared" si="1"/>
        <v>1843</v>
      </c>
      <c r="B51" s="1">
        <v>3180</v>
      </c>
      <c r="C51" s="1">
        <v>1629</v>
      </c>
      <c r="D51" s="1">
        <v>1551</v>
      </c>
      <c r="F51" s="1">
        <f t="shared" si="0"/>
        <v>0</v>
      </c>
    </row>
    <row r="52" spans="1:6" x14ac:dyDescent="0.25">
      <c r="A52" s="4">
        <f t="shared" si="1"/>
        <v>1844</v>
      </c>
      <c r="B52" s="1">
        <v>3330</v>
      </c>
      <c r="C52" s="1">
        <v>1706</v>
      </c>
      <c r="D52" s="1">
        <v>1624</v>
      </c>
      <c r="F52" s="1">
        <f t="shared" si="0"/>
        <v>0</v>
      </c>
    </row>
    <row r="53" spans="1:6" x14ac:dyDescent="0.25">
      <c r="A53" s="4">
        <f t="shared" si="1"/>
        <v>1845</v>
      </c>
      <c r="B53" s="1">
        <v>3330</v>
      </c>
      <c r="C53" s="1">
        <v>1706</v>
      </c>
      <c r="D53" s="1">
        <v>1624</v>
      </c>
      <c r="F53" s="1">
        <f t="shared" si="0"/>
        <v>0</v>
      </c>
    </row>
    <row r="54" spans="1:6" x14ac:dyDescent="0.25">
      <c r="A54" s="4">
        <f t="shared" si="1"/>
        <v>1846</v>
      </c>
      <c r="B54" s="1">
        <v>3150</v>
      </c>
      <c r="C54" s="1">
        <v>1614</v>
      </c>
      <c r="D54" s="1">
        <v>1536</v>
      </c>
      <c r="F54" s="1">
        <f t="shared" si="0"/>
        <v>0</v>
      </c>
    </row>
    <row r="55" spans="1:6" x14ac:dyDescent="0.25">
      <c r="A55" s="4">
        <f t="shared" si="1"/>
        <v>1847</v>
      </c>
      <c r="B55" s="1">
        <v>3320</v>
      </c>
      <c r="C55" s="1">
        <v>1701</v>
      </c>
      <c r="D55" s="1">
        <v>1619</v>
      </c>
      <c r="F55" s="1">
        <f t="shared" si="0"/>
        <v>0</v>
      </c>
    </row>
    <row r="56" spans="1:6" x14ac:dyDescent="0.25">
      <c r="A56" s="4">
        <f t="shared" si="1"/>
        <v>1848</v>
      </c>
      <c r="B56" s="1">
        <v>3420</v>
      </c>
      <c r="C56" s="1">
        <v>1752</v>
      </c>
      <c r="D56" s="1">
        <v>1668</v>
      </c>
      <c r="F56" s="1">
        <f t="shared" si="0"/>
        <v>0</v>
      </c>
    </row>
    <row r="57" spans="1:6" x14ac:dyDescent="0.25">
      <c r="A57" s="4">
        <f t="shared" si="1"/>
        <v>1849</v>
      </c>
      <c r="B57" s="1">
        <v>3250</v>
      </c>
      <c r="C57" s="1">
        <v>1665</v>
      </c>
      <c r="D57" s="1">
        <v>1585</v>
      </c>
      <c r="F57" s="1">
        <f t="shared" si="0"/>
        <v>0</v>
      </c>
    </row>
    <row r="58" spans="1:6" x14ac:dyDescent="0.25">
      <c r="A58" s="4">
        <f t="shared" si="1"/>
        <v>1850</v>
      </c>
      <c r="B58" s="1">
        <v>3450</v>
      </c>
      <c r="C58" s="1">
        <v>1767</v>
      </c>
      <c r="D58" s="1">
        <v>1683</v>
      </c>
      <c r="F58" s="1">
        <f t="shared" si="0"/>
        <v>0</v>
      </c>
    </row>
    <row r="59" spans="1:6" x14ac:dyDescent="0.25">
      <c r="A59" s="4">
        <f t="shared" si="1"/>
        <v>1851</v>
      </c>
      <c r="B59" s="1">
        <v>3310</v>
      </c>
      <c r="C59" s="1">
        <v>1695</v>
      </c>
      <c r="D59" s="1">
        <v>1615</v>
      </c>
      <c r="F59" s="1">
        <f t="shared" si="0"/>
        <v>0</v>
      </c>
    </row>
    <row r="60" spans="1:6" x14ac:dyDescent="0.25">
      <c r="A60" s="4">
        <f t="shared" si="1"/>
        <v>1852</v>
      </c>
      <c r="B60" s="1">
        <v>3400</v>
      </c>
      <c r="C60" s="1">
        <v>1741</v>
      </c>
      <c r="D60" s="1">
        <v>1659</v>
      </c>
      <c r="F60" s="1">
        <f t="shared" si="0"/>
        <v>0</v>
      </c>
    </row>
    <row r="61" spans="1:6" x14ac:dyDescent="0.25">
      <c r="A61" s="4">
        <f t="shared" si="1"/>
        <v>1853</v>
      </c>
      <c r="B61" s="1">
        <v>3650</v>
      </c>
      <c r="C61" s="1">
        <v>1870</v>
      </c>
      <c r="D61" s="1">
        <v>1780</v>
      </c>
      <c r="F61" s="1">
        <f t="shared" si="0"/>
        <v>0</v>
      </c>
    </row>
    <row r="62" spans="1:6" x14ac:dyDescent="0.25">
      <c r="A62" s="4">
        <f t="shared" si="1"/>
        <v>1854</v>
      </c>
      <c r="B62" s="1">
        <v>3470</v>
      </c>
      <c r="C62" s="1">
        <v>1777</v>
      </c>
      <c r="D62" s="1">
        <v>1693</v>
      </c>
      <c r="F62" s="1">
        <f t="shared" si="0"/>
        <v>0</v>
      </c>
    </row>
    <row r="63" spans="1:6" x14ac:dyDescent="0.25">
      <c r="A63" s="4">
        <f t="shared" si="1"/>
        <v>1855</v>
      </c>
      <c r="B63" s="1">
        <v>3350</v>
      </c>
      <c r="C63" s="1">
        <v>1716</v>
      </c>
      <c r="D63" s="1">
        <v>1634</v>
      </c>
      <c r="F63" s="1">
        <f t="shared" si="0"/>
        <v>0</v>
      </c>
    </row>
    <row r="64" spans="1:6" x14ac:dyDescent="0.25">
      <c r="A64" s="4">
        <f t="shared" si="1"/>
        <v>1856</v>
      </c>
      <c r="B64" s="1">
        <v>3220</v>
      </c>
      <c r="C64" s="1">
        <v>1649</v>
      </c>
      <c r="D64" s="1">
        <v>1571</v>
      </c>
      <c r="F64" s="1">
        <f t="shared" si="0"/>
        <v>0</v>
      </c>
    </row>
    <row r="65" spans="1:6" x14ac:dyDescent="0.25">
      <c r="A65" s="4">
        <f t="shared" si="1"/>
        <v>1857</v>
      </c>
      <c r="B65" s="1">
        <v>3590</v>
      </c>
      <c r="C65" s="1">
        <v>1839</v>
      </c>
      <c r="D65" s="1">
        <v>1751</v>
      </c>
      <c r="F65" s="1">
        <f t="shared" si="0"/>
        <v>0</v>
      </c>
    </row>
    <row r="66" spans="1:6" x14ac:dyDescent="0.25">
      <c r="A66" s="4">
        <f t="shared" si="1"/>
        <v>1858</v>
      </c>
      <c r="B66" s="1">
        <v>3730</v>
      </c>
      <c r="C66" s="1">
        <v>1911</v>
      </c>
      <c r="D66" s="1">
        <v>1819</v>
      </c>
      <c r="F66" s="1">
        <f t="shared" si="0"/>
        <v>0</v>
      </c>
    </row>
    <row r="67" spans="1:6" x14ac:dyDescent="0.25">
      <c r="A67" s="4">
        <f t="shared" si="1"/>
        <v>1859</v>
      </c>
      <c r="B67" s="1">
        <v>3880</v>
      </c>
      <c r="C67" s="1">
        <v>1987</v>
      </c>
      <c r="D67" s="1">
        <v>1893</v>
      </c>
      <c r="F67" s="1">
        <f t="shared" si="0"/>
        <v>0</v>
      </c>
    </row>
    <row r="68" spans="1:6" x14ac:dyDescent="0.25">
      <c r="A68" s="4">
        <f t="shared" si="1"/>
        <v>1860</v>
      </c>
      <c r="B68" s="1">
        <v>3760</v>
      </c>
      <c r="C68" s="1">
        <v>1926</v>
      </c>
      <c r="D68" s="1">
        <v>1834</v>
      </c>
      <c r="F68" s="1">
        <f t="shared" si="0"/>
        <v>0</v>
      </c>
    </row>
    <row r="69" spans="1:6" x14ac:dyDescent="0.25">
      <c r="A69" s="4">
        <f t="shared" si="1"/>
        <v>1861</v>
      </c>
      <c r="B69" s="1">
        <v>3810</v>
      </c>
      <c r="C69" s="1">
        <v>1952</v>
      </c>
      <c r="D69" s="1">
        <v>1858</v>
      </c>
      <c r="F69" s="1">
        <f t="shared" ref="F69:F132" si="2">B69-C69-D69</f>
        <v>0</v>
      </c>
    </row>
    <row r="70" spans="1:6" x14ac:dyDescent="0.25">
      <c r="A70" s="4">
        <f t="shared" ref="A70:A133" si="3">A69+1</f>
        <v>1862</v>
      </c>
      <c r="B70" s="1">
        <v>3940</v>
      </c>
      <c r="C70" s="1">
        <v>2018</v>
      </c>
      <c r="D70" s="1">
        <v>1922</v>
      </c>
      <c r="F70" s="1">
        <f t="shared" si="2"/>
        <v>0</v>
      </c>
    </row>
    <row r="71" spans="1:6" x14ac:dyDescent="0.25">
      <c r="A71" s="4">
        <f t="shared" si="3"/>
        <v>1863</v>
      </c>
      <c r="B71" s="1">
        <v>3860</v>
      </c>
      <c r="C71" s="1">
        <v>1977</v>
      </c>
      <c r="D71" s="1">
        <v>1883</v>
      </c>
      <c r="F71" s="1">
        <f t="shared" si="2"/>
        <v>0</v>
      </c>
    </row>
    <row r="72" spans="1:6" x14ac:dyDescent="0.25">
      <c r="A72" s="4">
        <f t="shared" si="3"/>
        <v>1864</v>
      </c>
      <c r="B72" s="1">
        <v>4060</v>
      </c>
      <c r="C72" s="1">
        <v>2080</v>
      </c>
      <c r="D72" s="1">
        <v>1980</v>
      </c>
      <c r="F72" s="1">
        <f t="shared" si="2"/>
        <v>0</v>
      </c>
    </row>
    <row r="73" spans="1:6" x14ac:dyDescent="0.25">
      <c r="A73" s="4">
        <f t="shared" si="3"/>
        <v>1865</v>
      </c>
      <c r="B73" s="1">
        <v>3940</v>
      </c>
      <c r="C73" s="1">
        <v>2018</v>
      </c>
      <c r="D73" s="1">
        <v>1922</v>
      </c>
      <c r="F73" s="1">
        <f t="shared" si="2"/>
        <v>0</v>
      </c>
    </row>
    <row r="74" spans="1:6" x14ac:dyDescent="0.25">
      <c r="A74" s="4">
        <f t="shared" si="3"/>
        <v>1866</v>
      </c>
      <c r="B74" s="1">
        <v>3800</v>
      </c>
      <c r="C74" s="1">
        <v>1947</v>
      </c>
      <c r="D74" s="1">
        <v>1853</v>
      </c>
      <c r="F74" s="1">
        <f t="shared" si="2"/>
        <v>0</v>
      </c>
    </row>
    <row r="75" spans="1:6" x14ac:dyDescent="0.25">
      <c r="A75" s="4">
        <f t="shared" si="3"/>
        <v>1867</v>
      </c>
      <c r="B75" s="1">
        <v>4040</v>
      </c>
      <c r="C75" s="1">
        <v>2070</v>
      </c>
      <c r="D75" s="1">
        <v>1970</v>
      </c>
      <c r="F75" s="1">
        <f t="shared" si="2"/>
        <v>0</v>
      </c>
    </row>
    <row r="76" spans="1:6" x14ac:dyDescent="0.25">
      <c r="A76" s="4">
        <f t="shared" si="3"/>
        <v>1868</v>
      </c>
      <c r="B76" s="1">
        <v>3950</v>
      </c>
      <c r="C76" s="1">
        <v>2024</v>
      </c>
      <c r="D76" s="1">
        <v>1926</v>
      </c>
      <c r="F76" s="1">
        <f t="shared" si="2"/>
        <v>0</v>
      </c>
    </row>
    <row r="77" spans="1:6" x14ac:dyDescent="0.25">
      <c r="A77" s="4">
        <f t="shared" si="3"/>
        <v>1869</v>
      </c>
      <c r="B77" s="1">
        <v>4040</v>
      </c>
      <c r="C77" s="1">
        <v>2070</v>
      </c>
      <c r="D77" s="1">
        <v>1970</v>
      </c>
      <c r="F77" s="1">
        <f t="shared" si="2"/>
        <v>0</v>
      </c>
    </row>
    <row r="78" spans="1:6" x14ac:dyDescent="0.25">
      <c r="A78" s="4">
        <f t="shared" si="3"/>
        <v>1870</v>
      </c>
      <c r="B78" s="1">
        <v>4050</v>
      </c>
      <c r="C78" s="1">
        <v>2075</v>
      </c>
      <c r="D78" s="1">
        <v>1975</v>
      </c>
      <c r="F78" s="1">
        <f t="shared" si="2"/>
        <v>0</v>
      </c>
    </row>
    <row r="79" spans="1:6" x14ac:dyDescent="0.25">
      <c r="A79" s="4">
        <f t="shared" si="3"/>
        <v>1871</v>
      </c>
      <c r="B79" s="1">
        <v>4270</v>
      </c>
      <c r="C79" s="1">
        <v>2188</v>
      </c>
      <c r="D79" s="1">
        <v>2082</v>
      </c>
      <c r="F79" s="1">
        <f t="shared" si="2"/>
        <v>0</v>
      </c>
    </row>
    <row r="80" spans="1:6" x14ac:dyDescent="0.25">
      <c r="A80" s="4">
        <f t="shared" si="3"/>
        <v>1872</v>
      </c>
      <c r="B80" s="1">
        <v>4170</v>
      </c>
      <c r="C80" s="1">
        <v>2136</v>
      </c>
      <c r="D80" s="1">
        <v>2034</v>
      </c>
      <c r="F80" s="1">
        <f t="shared" si="2"/>
        <v>0</v>
      </c>
    </row>
    <row r="81" spans="1:6" x14ac:dyDescent="0.25">
      <c r="A81" s="4">
        <f t="shared" si="3"/>
        <v>1873</v>
      </c>
      <c r="B81" s="1">
        <v>4370</v>
      </c>
      <c r="C81" s="1">
        <v>2239</v>
      </c>
      <c r="D81" s="1">
        <v>2131</v>
      </c>
      <c r="F81" s="1">
        <f t="shared" si="2"/>
        <v>0</v>
      </c>
    </row>
    <row r="82" spans="1:6" x14ac:dyDescent="0.25">
      <c r="A82" s="4">
        <f t="shared" si="3"/>
        <v>1874</v>
      </c>
      <c r="B82" s="1">
        <v>4320</v>
      </c>
      <c r="C82" s="1">
        <v>2213</v>
      </c>
      <c r="D82" s="1">
        <v>2107</v>
      </c>
      <c r="F82" s="1">
        <f t="shared" si="2"/>
        <v>0</v>
      </c>
    </row>
    <row r="83" spans="1:6" x14ac:dyDescent="0.25">
      <c r="A83" s="4">
        <f t="shared" si="3"/>
        <v>1875</v>
      </c>
      <c r="B83" s="1">
        <v>4420</v>
      </c>
      <c r="C83" s="1">
        <v>2264</v>
      </c>
      <c r="D83" s="1">
        <v>2156</v>
      </c>
      <c r="F83" s="1">
        <f t="shared" si="2"/>
        <v>0</v>
      </c>
    </row>
    <row r="84" spans="1:6" x14ac:dyDescent="0.25">
      <c r="A84" s="4">
        <f t="shared" si="3"/>
        <v>1876</v>
      </c>
      <c r="B84" s="1">
        <v>4420</v>
      </c>
      <c r="C84" s="1">
        <v>2264</v>
      </c>
      <c r="D84" s="1">
        <v>2156</v>
      </c>
      <c r="F84" s="1">
        <f t="shared" si="2"/>
        <v>0</v>
      </c>
    </row>
    <row r="85" spans="1:6" x14ac:dyDescent="0.25">
      <c r="A85" s="4">
        <f t="shared" si="3"/>
        <v>1877</v>
      </c>
      <c r="B85" s="1">
        <v>4430</v>
      </c>
      <c r="C85" s="1">
        <v>2269</v>
      </c>
      <c r="D85" s="1">
        <v>2161</v>
      </c>
      <c r="F85" s="1">
        <f t="shared" si="2"/>
        <v>0</v>
      </c>
    </row>
    <row r="86" spans="1:6" x14ac:dyDescent="0.25">
      <c r="A86" s="4">
        <f t="shared" si="3"/>
        <v>1878</v>
      </c>
      <c r="B86" s="1">
        <v>4290</v>
      </c>
      <c r="C86" s="1">
        <v>2198</v>
      </c>
      <c r="D86" s="1">
        <v>2092</v>
      </c>
      <c r="F86" s="1">
        <f t="shared" si="2"/>
        <v>0</v>
      </c>
    </row>
    <row r="87" spans="1:6" x14ac:dyDescent="0.25">
      <c r="A87" s="4">
        <f t="shared" si="3"/>
        <v>1879</v>
      </c>
      <c r="B87" s="1">
        <v>4570</v>
      </c>
      <c r="C87" s="1">
        <v>2341</v>
      </c>
      <c r="D87" s="1">
        <v>2229</v>
      </c>
      <c r="F87" s="1">
        <f t="shared" si="2"/>
        <v>0</v>
      </c>
    </row>
    <row r="88" spans="1:6" x14ac:dyDescent="0.25">
      <c r="A88" s="4">
        <f t="shared" si="3"/>
        <v>1880</v>
      </c>
      <c r="B88" s="1">
        <v>4620</v>
      </c>
      <c r="C88" s="1">
        <v>2367</v>
      </c>
      <c r="D88" s="1">
        <v>2253</v>
      </c>
      <c r="F88" s="1">
        <f t="shared" si="2"/>
        <v>0</v>
      </c>
    </row>
    <row r="89" spans="1:6" x14ac:dyDescent="0.25">
      <c r="A89" s="4">
        <f t="shared" si="3"/>
        <v>1881</v>
      </c>
      <c r="B89" s="1">
        <v>4630</v>
      </c>
      <c r="C89" s="1">
        <v>2372</v>
      </c>
      <c r="D89" s="1">
        <v>2258</v>
      </c>
      <c r="F89" s="1">
        <f t="shared" si="2"/>
        <v>0</v>
      </c>
    </row>
    <row r="90" spans="1:6" x14ac:dyDescent="0.25">
      <c r="A90" s="4">
        <f t="shared" si="3"/>
        <v>1882</v>
      </c>
      <c r="B90" s="1">
        <v>4880</v>
      </c>
      <c r="C90" s="1">
        <v>2500</v>
      </c>
      <c r="D90" s="1">
        <v>2380</v>
      </c>
      <c r="F90" s="1">
        <f t="shared" si="2"/>
        <v>0</v>
      </c>
    </row>
    <row r="91" spans="1:6" x14ac:dyDescent="0.25">
      <c r="A91" s="4">
        <f t="shared" si="3"/>
        <v>1883</v>
      </c>
      <c r="B91" s="1">
        <v>4850</v>
      </c>
      <c r="C91" s="1">
        <v>2485</v>
      </c>
      <c r="D91" s="1">
        <v>2365</v>
      </c>
      <c r="F91" s="1">
        <f t="shared" si="2"/>
        <v>0</v>
      </c>
    </row>
    <row r="92" spans="1:6" x14ac:dyDescent="0.25">
      <c r="A92" s="4">
        <f t="shared" si="3"/>
        <v>1884</v>
      </c>
      <c r="B92" s="1">
        <v>4980</v>
      </c>
      <c r="C92" s="1">
        <v>2551</v>
      </c>
      <c r="D92" s="1">
        <v>2429</v>
      </c>
      <c r="F92" s="1">
        <f t="shared" si="2"/>
        <v>0</v>
      </c>
    </row>
    <row r="93" spans="1:6" x14ac:dyDescent="0.25">
      <c r="A93" s="4">
        <f t="shared" si="3"/>
        <v>1885</v>
      </c>
      <c r="B93" s="1">
        <v>4940</v>
      </c>
      <c r="C93" s="1">
        <v>2531</v>
      </c>
      <c r="D93" s="1">
        <v>2409</v>
      </c>
      <c r="F93" s="1">
        <f t="shared" si="2"/>
        <v>0</v>
      </c>
    </row>
    <row r="94" spans="1:6" x14ac:dyDescent="0.25">
      <c r="A94" s="4">
        <f t="shared" si="3"/>
        <v>1886</v>
      </c>
      <c r="B94" s="1">
        <v>4960</v>
      </c>
      <c r="C94" s="1">
        <v>2541</v>
      </c>
      <c r="D94" s="1">
        <v>2419</v>
      </c>
      <c r="F94" s="1">
        <f t="shared" si="2"/>
        <v>0</v>
      </c>
    </row>
    <row r="95" spans="1:6" x14ac:dyDescent="0.25">
      <c r="A95" s="4">
        <f t="shared" si="3"/>
        <v>1887</v>
      </c>
      <c r="B95" s="1">
        <v>5070</v>
      </c>
      <c r="C95" s="1">
        <v>2597</v>
      </c>
      <c r="D95" s="1">
        <v>2473</v>
      </c>
      <c r="F95" s="1">
        <f t="shared" si="2"/>
        <v>0</v>
      </c>
    </row>
    <row r="96" spans="1:6" x14ac:dyDescent="0.25">
      <c r="A96" s="4">
        <f t="shared" si="3"/>
        <v>1888</v>
      </c>
      <c r="B96" s="1">
        <v>5260</v>
      </c>
      <c r="C96" s="1">
        <v>2695</v>
      </c>
      <c r="D96" s="1">
        <v>2565</v>
      </c>
      <c r="F96" s="1">
        <f t="shared" si="2"/>
        <v>0</v>
      </c>
    </row>
    <row r="97" spans="1:6" x14ac:dyDescent="0.25">
      <c r="A97" s="4">
        <f t="shared" si="3"/>
        <v>1889</v>
      </c>
      <c r="B97" s="1">
        <v>5270</v>
      </c>
      <c r="C97" s="1">
        <v>2700</v>
      </c>
      <c r="D97" s="1">
        <v>2570</v>
      </c>
      <c r="F97" s="1">
        <f t="shared" si="2"/>
        <v>0</v>
      </c>
    </row>
    <row r="98" spans="1:6" x14ac:dyDescent="0.25">
      <c r="A98" s="4">
        <f t="shared" si="3"/>
        <v>1890</v>
      </c>
      <c r="B98" s="1">
        <v>5270</v>
      </c>
      <c r="C98" s="1">
        <v>2700</v>
      </c>
      <c r="D98" s="1">
        <v>2570</v>
      </c>
      <c r="F98" s="1">
        <f t="shared" si="2"/>
        <v>0</v>
      </c>
    </row>
    <row r="99" spans="1:6" x14ac:dyDescent="0.25">
      <c r="A99" s="4">
        <f t="shared" si="3"/>
        <v>1891</v>
      </c>
      <c r="B99" s="1">
        <v>5440</v>
      </c>
      <c r="C99" s="1">
        <v>2787</v>
      </c>
      <c r="D99" s="1">
        <v>2653</v>
      </c>
      <c r="F99" s="1">
        <f t="shared" si="2"/>
        <v>0</v>
      </c>
    </row>
    <row r="100" spans="1:6" x14ac:dyDescent="0.25">
      <c r="A100" s="4">
        <f t="shared" si="3"/>
        <v>1892</v>
      </c>
      <c r="B100" s="1">
        <v>5050</v>
      </c>
      <c r="C100" s="1">
        <v>2587</v>
      </c>
      <c r="D100" s="1">
        <v>2463</v>
      </c>
      <c r="F100" s="1">
        <f t="shared" si="2"/>
        <v>0</v>
      </c>
    </row>
    <row r="101" spans="1:6" x14ac:dyDescent="0.25">
      <c r="A101" s="4">
        <f t="shared" si="3"/>
        <v>1893</v>
      </c>
      <c r="B101" s="1">
        <v>5400</v>
      </c>
      <c r="C101" s="1">
        <v>2766</v>
      </c>
      <c r="D101" s="1">
        <v>2634</v>
      </c>
      <c r="F101" s="1">
        <f t="shared" si="2"/>
        <v>0</v>
      </c>
    </row>
    <row r="102" spans="1:6" x14ac:dyDescent="0.25">
      <c r="A102" s="4">
        <f t="shared" si="3"/>
        <v>1894</v>
      </c>
      <c r="B102" s="1">
        <v>5490</v>
      </c>
      <c r="C102" s="1">
        <v>2813</v>
      </c>
      <c r="D102" s="1">
        <v>2677</v>
      </c>
      <c r="F102" s="1">
        <f t="shared" si="2"/>
        <v>0</v>
      </c>
    </row>
    <row r="103" spans="1:6" x14ac:dyDescent="0.25">
      <c r="A103" s="4">
        <f t="shared" si="3"/>
        <v>1895</v>
      </c>
      <c r="B103" s="1">
        <v>5650</v>
      </c>
      <c r="C103" s="1">
        <v>2894</v>
      </c>
      <c r="D103" s="1">
        <v>2756</v>
      </c>
      <c r="F103" s="1">
        <f t="shared" si="2"/>
        <v>0</v>
      </c>
    </row>
    <row r="104" spans="1:6" x14ac:dyDescent="0.25">
      <c r="A104" s="4">
        <f t="shared" si="3"/>
        <v>1896</v>
      </c>
      <c r="B104" s="1">
        <v>5840</v>
      </c>
      <c r="C104" s="1">
        <v>2992</v>
      </c>
      <c r="D104" s="1">
        <v>2848</v>
      </c>
      <c r="F104" s="1">
        <f t="shared" si="2"/>
        <v>0</v>
      </c>
    </row>
    <row r="105" spans="1:6" x14ac:dyDescent="0.25">
      <c r="A105" s="4">
        <f t="shared" si="3"/>
        <v>1897</v>
      </c>
      <c r="B105" s="1">
        <v>5920</v>
      </c>
      <c r="C105" s="1">
        <v>3033</v>
      </c>
      <c r="D105" s="1">
        <v>2887</v>
      </c>
      <c r="F105" s="1">
        <f t="shared" si="2"/>
        <v>0</v>
      </c>
    </row>
    <row r="106" spans="1:6" x14ac:dyDescent="0.25">
      <c r="A106" s="4">
        <f t="shared" si="3"/>
        <v>1898</v>
      </c>
      <c r="B106" s="1">
        <v>5900</v>
      </c>
      <c r="C106" s="1">
        <v>3023</v>
      </c>
      <c r="D106" s="1">
        <v>2877</v>
      </c>
      <c r="F106" s="1">
        <f t="shared" si="2"/>
        <v>0</v>
      </c>
    </row>
    <row r="107" spans="1:6" x14ac:dyDescent="0.25">
      <c r="A107" s="4">
        <f t="shared" si="3"/>
        <v>1899</v>
      </c>
      <c r="B107" s="1">
        <v>6080</v>
      </c>
      <c r="C107" s="1">
        <v>3115</v>
      </c>
      <c r="D107" s="1">
        <v>2965</v>
      </c>
      <c r="F107" s="1">
        <f t="shared" si="2"/>
        <v>0</v>
      </c>
    </row>
    <row r="108" spans="1:6" x14ac:dyDescent="0.25">
      <c r="A108" s="4">
        <f t="shared" si="3"/>
        <v>1900</v>
      </c>
      <c r="B108" s="1">
        <v>6160</v>
      </c>
      <c r="C108" s="1">
        <v>3156</v>
      </c>
      <c r="D108" s="1">
        <v>3004</v>
      </c>
      <c r="F108" s="1">
        <f t="shared" si="2"/>
        <v>0</v>
      </c>
    </row>
    <row r="109" spans="1:6" x14ac:dyDescent="0.25">
      <c r="A109" s="4">
        <f t="shared" si="3"/>
        <v>1901</v>
      </c>
      <c r="B109" s="1">
        <v>6140</v>
      </c>
      <c r="C109" s="1">
        <v>3146</v>
      </c>
      <c r="D109" s="1">
        <v>2994</v>
      </c>
      <c r="F109" s="1">
        <f t="shared" si="2"/>
        <v>0</v>
      </c>
    </row>
    <row r="110" spans="1:6" x14ac:dyDescent="0.25">
      <c r="A110" s="4">
        <f t="shared" si="3"/>
        <v>1902</v>
      </c>
      <c r="B110" s="1">
        <v>6350</v>
      </c>
      <c r="C110" s="1">
        <v>3253</v>
      </c>
      <c r="D110" s="1">
        <v>3097</v>
      </c>
      <c r="F110" s="1">
        <f t="shared" si="2"/>
        <v>0</v>
      </c>
    </row>
    <row r="111" spans="1:6" x14ac:dyDescent="0.25">
      <c r="A111" s="4">
        <f t="shared" si="3"/>
        <v>1903</v>
      </c>
      <c r="B111" s="1">
        <v>6340</v>
      </c>
      <c r="C111" s="1">
        <v>3248</v>
      </c>
      <c r="D111" s="1">
        <v>3092</v>
      </c>
      <c r="F111" s="1">
        <f t="shared" si="2"/>
        <v>0</v>
      </c>
    </row>
    <row r="112" spans="1:6" x14ac:dyDescent="0.25">
      <c r="A112" s="4">
        <f t="shared" si="3"/>
        <v>1904</v>
      </c>
      <c r="B112" s="1">
        <v>6520</v>
      </c>
      <c r="C112" s="1">
        <v>3340</v>
      </c>
      <c r="D112" s="1">
        <v>3180</v>
      </c>
      <c r="F112" s="1">
        <f t="shared" si="2"/>
        <v>0</v>
      </c>
    </row>
    <row r="113" spans="1:6" x14ac:dyDescent="0.25">
      <c r="A113" s="4">
        <f t="shared" si="3"/>
        <v>1905</v>
      </c>
      <c r="B113" s="1">
        <v>6160</v>
      </c>
      <c r="C113" s="1">
        <v>3156</v>
      </c>
      <c r="D113" s="1">
        <v>3004</v>
      </c>
      <c r="F113" s="1">
        <f t="shared" si="2"/>
        <v>0</v>
      </c>
    </row>
    <row r="114" spans="1:6" x14ac:dyDescent="0.25">
      <c r="A114" s="4">
        <f t="shared" si="3"/>
        <v>1906</v>
      </c>
      <c r="B114" s="1">
        <v>6550</v>
      </c>
      <c r="C114" s="1">
        <v>3356</v>
      </c>
      <c r="D114" s="1">
        <v>3194</v>
      </c>
      <c r="F114" s="1">
        <f t="shared" si="2"/>
        <v>0</v>
      </c>
    </row>
    <row r="115" spans="1:6" x14ac:dyDescent="0.25">
      <c r="A115" s="4">
        <f t="shared" si="3"/>
        <v>1907</v>
      </c>
      <c r="B115" s="1">
        <v>6770</v>
      </c>
      <c r="C115" s="1">
        <v>3468</v>
      </c>
      <c r="D115" s="1">
        <v>3302</v>
      </c>
      <c r="F115" s="1">
        <f t="shared" si="2"/>
        <v>0</v>
      </c>
    </row>
    <row r="116" spans="1:6" x14ac:dyDescent="0.25">
      <c r="A116" s="4">
        <f t="shared" si="3"/>
        <v>1908</v>
      </c>
      <c r="B116" s="1">
        <v>6590</v>
      </c>
      <c r="C116" s="1">
        <v>3376</v>
      </c>
      <c r="D116" s="1">
        <v>3214</v>
      </c>
      <c r="F116" s="1">
        <f t="shared" si="2"/>
        <v>0</v>
      </c>
    </row>
    <row r="117" spans="1:6" x14ac:dyDescent="0.25">
      <c r="A117" s="4">
        <f t="shared" si="3"/>
        <v>1909</v>
      </c>
      <c r="B117" s="1">
        <v>6710</v>
      </c>
      <c r="C117" s="1">
        <v>3438</v>
      </c>
      <c r="D117" s="1">
        <v>3272</v>
      </c>
      <c r="F117" s="1">
        <f t="shared" si="2"/>
        <v>0</v>
      </c>
    </row>
    <row r="118" spans="1:6" x14ac:dyDescent="0.25">
      <c r="A118" s="4">
        <f t="shared" si="3"/>
        <v>1910</v>
      </c>
      <c r="B118" s="1">
        <v>6980</v>
      </c>
      <c r="C118" s="1">
        <v>3576</v>
      </c>
      <c r="D118" s="1">
        <v>3404</v>
      </c>
      <c r="F118" s="1">
        <f t="shared" si="2"/>
        <v>0</v>
      </c>
    </row>
    <row r="119" spans="1:6" x14ac:dyDescent="0.25">
      <c r="A119" s="4">
        <f t="shared" si="3"/>
        <v>1911</v>
      </c>
      <c r="B119" s="1">
        <v>7090</v>
      </c>
      <c r="C119" s="1">
        <v>3632</v>
      </c>
      <c r="D119" s="1">
        <v>3458</v>
      </c>
      <c r="F119" s="1">
        <f t="shared" si="2"/>
        <v>0</v>
      </c>
    </row>
    <row r="120" spans="1:6" x14ac:dyDescent="0.25">
      <c r="A120" s="4">
        <f t="shared" si="3"/>
        <v>1912</v>
      </c>
      <c r="B120" s="1">
        <v>6960</v>
      </c>
      <c r="C120" s="1">
        <v>3566</v>
      </c>
      <c r="D120" s="1">
        <v>3394</v>
      </c>
      <c r="F120" s="1">
        <f t="shared" si="2"/>
        <v>0</v>
      </c>
    </row>
    <row r="121" spans="1:6" x14ac:dyDescent="0.25">
      <c r="A121" s="4">
        <f t="shared" si="3"/>
        <v>1913</v>
      </c>
      <c r="B121" s="1">
        <v>7240</v>
      </c>
      <c r="C121" s="1">
        <v>3709</v>
      </c>
      <c r="D121" s="1">
        <v>3531</v>
      </c>
      <c r="F121" s="1">
        <f t="shared" si="2"/>
        <v>0</v>
      </c>
    </row>
    <row r="122" spans="1:6" x14ac:dyDescent="0.25">
      <c r="A122" s="4">
        <f t="shared" si="3"/>
        <v>1914</v>
      </c>
      <c r="B122" s="1">
        <v>7050</v>
      </c>
      <c r="C122" s="1">
        <v>3612</v>
      </c>
      <c r="D122" s="1">
        <v>3438</v>
      </c>
      <c r="F122" s="1">
        <f t="shared" si="2"/>
        <v>0</v>
      </c>
    </row>
    <row r="123" spans="1:6" x14ac:dyDescent="0.25">
      <c r="A123" s="4">
        <f t="shared" si="3"/>
        <v>1915</v>
      </c>
      <c r="B123" s="1">
        <v>6150</v>
      </c>
      <c r="C123" s="1">
        <v>3151</v>
      </c>
      <c r="D123" s="1">
        <v>2999</v>
      </c>
      <c r="F123" s="1">
        <f t="shared" si="2"/>
        <v>0</v>
      </c>
    </row>
    <row r="124" spans="1:6" x14ac:dyDescent="0.25">
      <c r="A124" s="4">
        <f t="shared" si="3"/>
        <v>1916</v>
      </c>
      <c r="B124" s="1">
        <v>4750</v>
      </c>
      <c r="C124" s="1">
        <v>2433</v>
      </c>
      <c r="D124" s="1">
        <v>2317</v>
      </c>
      <c r="F124" s="1">
        <f t="shared" si="2"/>
        <v>0</v>
      </c>
    </row>
    <row r="125" spans="1:6" x14ac:dyDescent="0.25">
      <c r="A125" s="4">
        <f t="shared" si="3"/>
        <v>1917</v>
      </c>
      <c r="B125" s="1">
        <v>4100</v>
      </c>
      <c r="C125" s="1">
        <v>2100</v>
      </c>
      <c r="D125" s="1">
        <v>2000</v>
      </c>
      <c r="F125" s="1">
        <f t="shared" si="2"/>
        <v>0</v>
      </c>
    </row>
    <row r="126" spans="1:6" x14ac:dyDescent="0.25">
      <c r="A126" s="4">
        <f t="shared" si="3"/>
        <v>1918</v>
      </c>
      <c r="B126" s="1">
        <v>4800</v>
      </c>
      <c r="C126" s="1">
        <v>2459</v>
      </c>
      <c r="D126" s="1">
        <v>2341</v>
      </c>
      <c r="F126" s="1">
        <f t="shared" si="2"/>
        <v>0</v>
      </c>
    </row>
    <row r="127" spans="1:6" x14ac:dyDescent="0.25">
      <c r="A127" s="4">
        <f t="shared" si="3"/>
        <v>1919</v>
      </c>
      <c r="B127" s="1">
        <v>4700</v>
      </c>
      <c r="C127" s="1">
        <v>2408</v>
      </c>
      <c r="D127" s="1">
        <v>2292</v>
      </c>
      <c r="F127" s="1">
        <f t="shared" si="2"/>
        <v>0</v>
      </c>
    </row>
    <row r="128" spans="1:6" x14ac:dyDescent="0.25">
      <c r="A128" s="4">
        <f t="shared" si="3"/>
        <v>1920</v>
      </c>
      <c r="B128" s="1">
        <v>4850</v>
      </c>
      <c r="C128" s="1">
        <v>2485</v>
      </c>
      <c r="D128" s="1">
        <v>2365</v>
      </c>
      <c r="F128" s="1">
        <f t="shared" si="2"/>
        <v>0</v>
      </c>
    </row>
    <row r="129" spans="1:6" x14ac:dyDescent="0.25">
      <c r="A129" s="4">
        <f t="shared" si="3"/>
        <v>1921</v>
      </c>
      <c r="B129" s="1">
        <v>5350</v>
      </c>
      <c r="C129" s="1">
        <v>2741</v>
      </c>
      <c r="D129" s="1">
        <v>2609</v>
      </c>
      <c r="F129" s="1">
        <f t="shared" si="2"/>
        <v>0</v>
      </c>
    </row>
    <row r="130" spans="1:6" x14ac:dyDescent="0.25">
      <c r="A130" s="4">
        <f t="shared" si="3"/>
        <v>1922</v>
      </c>
      <c r="B130" s="1">
        <v>5500</v>
      </c>
      <c r="C130" s="1">
        <v>2818</v>
      </c>
      <c r="D130" s="1">
        <v>2682</v>
      </c>
      <c r="F130" s="1">
        <f t="shared" si="2"/>
        <v>0</v>
      </c>
    </row>
    <row r="131" spans="1:6" x14ac:dyDescent="0.25">
      <c r="A131" s="4">
        <f t="shared" si="3"/>
        <v>1923</v>
      </c>
      <c r="B131" s="1">
        <v>6700</v>
      </c>
      <c r="C131" s="1">
        <v>3432</v>
      </c>
      <c r="D131" s="1">
        <v>3268</v>
      </c>
      <c r="F131" s="1">
        <f t="shared" si="2"/>
        <v>0</v>
      </c>
    </row>
    <row r="132" spans="1:6" x14ac:dyDescent="0.25">
      <c r="A132" s="4">
        <f t="shared" si="3"/>
        <v>1924</v>
      </c>
      <c r="B132" s="1">
        <v>6650</v>
      </c>
      <c r="C132" s="1">
        <v>3407</v>
      </c>
      <c r="D132" s="1">
        <v>3243</v>
      </c>
      <c r="F132" s="1">
        <f t="shared" si="2"/>
        <v>0</v>
      </c>
    </row>
    <row r="133" spans="1:6" x14ac:dyDescent="0.25">
      <c r="A133" s="4">
        <f t="shared" si="3"/>
        <v>1925</v>
      </c>
      <c r="B133" s="1">
        <v>7050</v>
      </c>
      <c r="C133" s="1">
        <v>3612</v>
      </c>
      <c r="D133" s="1">
        <v>3438</v>
      </c>
      <c r="F133" s="1">
        <f t="shared" ref="F133:F181" si="4">B133-C133-D133</f>
        <v>0</v>
      </c>
    </row>
    <row r="134" spans="1:6" x14ac:dyDescent="0.25">
      <c r="A134" s="4">
        <f t="shared" ref="A134:A182" si="5">A133+1</f>
        <v>1926</v>
      </c>
      <c r="B134" s="1">
        <v>7000</v>
      </c>
      <c r="C134" s="1">
        <v>3611</v>
      </c>
      <c r="D134" s="1">
        <v>3389</v>
      </c>
      <c r="F134" s="1">
        <f t="shared" si="4"/>
        <v>0</v>
      </c>
    </row>
    <row r="135" spans="1:6" x14ac:dyDescent="0.25">
      <c r="A135" s="4">
        <f t="shared" si="5"/>
        <v>1927</v>
      </c>
      <c r="B135" s="1">
        <v>7100</v>
      </c>
      <c r="C135" s="1">
        <v>3637</v>
      </c>
      <c r="D135" s="1">
        <v>3463</v>
      </c>
      <c r="F135" s="1">
        <f t="shared" si="4"/>
        <v>0</v>
      </c>
    </row>
    <row r="136" spans="1:6" x14ac:dyDescent="0.25">
      <c r="A136" s="4">
        <f t="shared" si="5"/>
        <v>1928</v>
      </c>
      <c r="B136" s="1">
        <v>7200</v>
      </c>
      <c r="C136" s="1">
        <v>3689</v>
      </c>
      <c r="D136" s="1">
        <v>3511</v>
      </c>
      <c r="F136" s="1">
        <f t="shared" si="4"/>
        <v>0</v>
      </c>
    </row>
    <row r="137" spans="1:6" x14ac:dyDescent="0.25">
      <c r="A137" s="4">
        <f t="shared" si="5"/>
        <v>1929</v>
      </c>
      <c r="B137" s="1">
        <v>6700</v>
      </c>
      <c r="C137" s="1">
        <v>3432</v>
      </c>
      <c r="D137" s="1">
        <v>3268</v>
      </c>
      <c r="F137" s="1">
        <f t="shared" si="4"/>
        <v>0</v>
      </c>
    </row>
    <row r="138" spans="1:6" x14ac:dyDescent="0.25">
      <c r="A138" s="4">
        <f t="shared" si="5"/>
        <v>1930</v>
      </c>
      <c r="B138" s="1">
        <v>6600</v>
      </c>
      <c r="C138" s="1">
        <v>3381</v>
      </c>
      <c r="D138" s="1">
        <v>3219</v>
      </c>
      <c r="F138" s="1">
        <f t="shared" si="4"/>
        <v>0</v>
      </c>
    </row>
    <row r="139" spans="1:6" x14ac:dyDescent="0.25">
      <c r="A139" s="4">
        <f t="shared" si="5"/>
        <v>1931</v>
      </c>
      <c r="B139" s="1">
        <v>5900</v>
      </c>
      <c r="C139" s="1">
        <v>3023</v>
      </c>
      <c r="D139" s="1">
        <v>2877</v>
      </c>
      <c r="F139" s="1">
        <f t="shared" si="4"/>
        <v>0</v>
      </c>
    </row>
    <row r="140" spans="1:6" x14ac:dyDescent="0.25">
      <c r="A140" s="4">
        <f t="shared" si="5"/>
        <v>1932</v>
      </c>
      <c r="B140" s="1">
        <v>5200</v>
      </c>
      <c r="C140" s="1">
        <v>2664</v>
      </c>
      <c r="D140" s="1">
        <v>2536</v>
      </c>
      <c r="F140" s="1">
        <f t="shared" si="4"/>
        <v>0</v>
      </c>
    </row>
    <row r="141" spans="1:6" x14ac:dyDescent="0.25">
      <c r="A141" s="4">
        <f t="shared" si="5"/>
        <v>1933</v>
      </c>
      <c r="B141" s="1">
        <v>4700</v>
      </c>
      <c r="C141" s="1">
        <v>2407</v>
      </c>
      <c r="D141" s="1">
        <v>2293</v>
      </c>
      <c r="F141" s="1">
        <f t="shared" si="4"/>
        <v>0</v>
      </c>
    </row>
    <row r="142" spans="1:6" x14ac:dyDescent="0.25">
      <c r="A142" s="4">
        <f t="shared" si="5"/>
        <v>1934</v>
      </c>
      <c r="B142" s="1">
        <v>4900</v>
      </c>
      <c r="C142" s="1">
        <v>2510</v>
      </c>
      <c r="D142" s="1">
        <v>2390</v>
      </c>
      <c r="F142" s="1">
        <f t="shared" si="4"/>
        <v>0</v>
      </c>
    </row>
    <row r="143" spans="1:6" x14ac:dyDescent="0.25">
      <c r="A143" s="4">
        <f t="shared" si="5"/>
        <v>1935</v>
      </c>
      <c r="B143" s="1">
        <v>5200</v>
      </c>
      <c r="C143" s="1">
        <v>2664</v>
      </c>
      <c r="D143" s="1">
        <v>2536</v>
      </c>
      <c r="F143" s="1">
        <f t="shared" si="4"/>
        <v>0</v>
      </c>
    </row>
    <row r="144" spans="1:6" x14ac:dyDescent="0.25">
      <c r="A144" s="4">
        <f t="shared" si="5"/>
        <v>1936</v>
      </c>
      <c r="B144" s="1">
        <v>5600</v>
      </c>
      <c r="C144" s="1">
        <v>2869</v>
      </c>
      <c r="D144" s="1">
        <v>2731</v>
      </c>
      <c r="F144" s="1">
        <f t="shared" si="4"/>
        <v>0</v>
      </c>
    </row>
    <row r="145" spans="1:6" x14ac:dyDescent="0.25">
      <c r="A145" s="4">
        <f t="shared" si="5"/>
        <v>1937</v>
      </c>
      <c r="B145" s="1">
        <v>7150</v>
      </c>
      <c r="C145" s="1">
        <v>3663</v>
      </c>
      <c r="D145" s="1">
        <v>3487</v>
      </c>
      <c r="F145" s="1">
        <f t="shared" si="4"/>
        <v>0</v>
      </c>
    </row>
    <row r="146" spans="1:6" x14ac:dyDescent="0.25">
      <c r="A146" s="4">
        <f t="shared" si="5"/>
        <v>1938</v>
      </c>
      <c r="B146" s="1">
        <v>7070</v>
      </c>
      <c r="C146" s="1">
        <v>3622</v>
      </c>
      <c r="D146" s="1">
        <v>3448</v>
      </c>
      <c r="F146" s="1">
        <f t="shared" si="4"/>
        <v>0</v>
      </c>
    </row>
    <row r="147" spans="1:6" x14ac:dyDescent="0.25">
      <c r="A147" s="4">
        <f t="shared" si="5"/>
        <v>1939</v>
      </c>
      <c r="B147" s="1">
        <v>7015</v>
      </c>
      <c r="C147" s="1">
        <v>3605</v>
      </c>
      <c r="D147" s="1">
        <v>3410</v>
      </c>
      <c r="F147" s="1">
        <f t="shared" si="4"/>
        <v>0</v>
      </c>
    </row>
    <row r="148" spans="1:6" x14ac:dyDescent="0.25">
      <c r="A148" s="4">
        <f t="shared" si="5"/>
        <v>1940</v>
      </c>
      <c r="B148" s="1">
        <v>6095</v>
      </c>
      <c r="C148" s="1">
        <v>3126</v>
      </c>
      <c r="D148" s="1">
        <v>2969</v>
      </c>
      <c r="F148" s="1">
        <f t="shared" si="4"/>
        <v>0</v>
      </c>
    </row>
    <row r="149" spans="1:6" x14ac:dyDescent="0.25">
      <c r="A149" s="4">
        <f t="shared" si="5"/>
        <v>1941</v>
      </c>
      <c r="B149" s="1">
        <v>4400</v>
      </c>
      <c r="C149" s="1">
        <v>2254</v>
      </c>
      <c r="D149" s="1">
        <v>2146</v>
      </c>
      <c r="F149" s="1">
        <f t="shared" si="4"/>
        <v>0</v>
      </c>
    </row>
    <row r="150" spans="1:6" x14ac:dyDescent="0.25">
      <c r="A150" s="4">
        <f t="shared" si="5"/>
        <v>1942</v>
      </c>
      <c r="B150" s="1">
        <v>3400</v>
      </c>
      <c r="C150" s="1">
        <v>1742</v>
      </c>
      <c r="D150" s="1">
        <v>1658</v>
      </c>
      <c r="F150" s="1">
        <f t="shared" si="4"/>
        <v>0</v>
      </c>
    </row>
    <row r="151" spans="1:6" x14ac:dyDescent="0.25">
      <c r="A151" s="4">
        <f t="shared" si="5"/>
        <v>1943</v>
      </c>
      <c r="B151" s="1">
        <v>2450</v>
      </c>
      <c r="C151" s="1">
        <v>1260</v>
      </c>
      <c r="D151" s="1">
        <v>1190</v>
      </c>
      <c r="F151" s="1">
        <f t="shared" si="4"/>
        <v>0</v>
      </c>
    </row>
    <row r="152" spans="1:6" x14ac:dyDescent="0.25">
      <c r="A152" s="4">
        <f t="shared" si="5"/>
        <v>1944</v>
      </c>
      <c r="B152" s="1">
        <v>2700</v>
      </c>
      <c r="C152" s="1">
        <v>1390</v>
      </c>
      <c r="D152" s="1">
        <v>1310</v>
      </c>
      <c r="F152" s="1">
        <f t="shared" si="4"/>
        <v>0</v>
      </c>
    </row>
    <row r="153" spans="1:6" x14ac:dyDescent="0.25">
      <c r="A153" s="4">
        <f t="shared" si="5"/>
        <v>1945</v>
      </c>
      <c r="B153" s="1">
        <v>3300</v>
      </c>
      <c r="C153" s="1">
        <v>1698</v>
      </c>
      <c r="D153" s="1">
        <v>1602</v>
      </c>
      <c r="F153" s="1">
        <f t="shared" si="4"/>
        <v>0</v>
      </c>
    </row>
    <row r="154" spans="1:6" x14ac:dyDescent="0.25">
      <c r="A154" s="4">
        <f t="shared" si="5"/>
        <v>1946</v>
      </c>
      <c r="B154" s="1">
        <v>3800</v>
      </c>
      <c r="C154" s="1">
        <v>1955</v>
      </c>
      <c r="D154" s="1">
        <v>1845</v>
      </c>
      <c r="F154" s="1">
        <f t="shared" si="4"/>
        <v>0</v>
      </c>
    </row>
    <row r="155" spans="1:6" x14ac:dyDescent="0.25">
      <c r="A155" s="4">
        <f t="shared" si="5"/>
        <v>1947</v>
      </c>
      <c r="B155" s="1">
        <v>4300</v>
      </c>
      <c r="C155" s="1">
        <v>2213</v>
      </c>
      <c r="D155" s="1">
        <v>2087</v>
      </c>
      <c r="F155" s="1">
        <f t="shared" si="4"/>
        <v>0</v>
      </c>
    </row>
    <row r="156" spans="1:6" x14ac:dyDescent="0.25">
      <c r="A156" s="4">
        <f t="shared" si="5"/>
        <v>1948</v>
      </c>
      <c r="B156" s="1">
        <v>4300</v>
      </c>
      <c r="C156" s="1">
        <v>2213</v>
      </c>
      <c r="D156" s="1">
        <v>2087</v>
      </c>
      <c r="F156" s="1">
        <f t="shared" si="4"/>
        <v>0</v>
      </c>
    </row>
    <row r="157" spans="1:6" x14ac:dyDescent="0.25">
      <c r="A157" s="4">
        <f t="shared" si="5"/>
        <v>1949</v>
      </c>
      <c r="B157" s="1">
        <v>4850</v>
      </c>
      <c r="C157" s="1">
        <v>2496</v>
      </c>
      <c r="D157" s="1">
        <v>2354</v>
      </c>
      <c r="F157" s="1">
        <f t="shared" si="4"/>
        <v>0</v>
      </c>
    </row>
    <row r="158" spans="1:6" x14ac:dyDescent="0.25">
      <c r="A158" s="4">
        <f t="shared" si="5"/>
        <v>1950</v>
      </c>
      <c r="B158" s="1">
        <v>4805</v>
      </c>
      <c r="C158" s="1">
        <v>2470</v>
      </c>
      <c r="D158" s="1">
        <v>2335</v>
      </c>
      <c r="F158" s="1">
        <f t="shared" si="4"/>
        <v>0</v>
      </c>
    </row>
    <row r="159" spans="1:6" x14ac:dyDescent="0.25">
      <c r="A159" s="4">
        <f t="shared" si="5"/>
        <v>1951</v>
      </c>
      <c r="B159" s="1">
        <v>4954</v>
      </c>
      <c r="C159" s="1">
        <v>2540</v>
      </c>
      <c r="D159" s="1">
        <v>2414</v>
      </c>
      <c r="F159" s="1">
        <f t="shared" si="4"/>
        <v>0</v>
      </c>
    </row>
    <row r="160" spans="1:6" x14ac:dyDescent="0.25">
      <c r="A160" s="4">
        <f t="shared" si="5"/>
        <v>1952</v>
      </c>
      <c r="B160" s="1">
        <v>4948</v>
      </c>
      <c r="C160" s="1">
        <v>2535</v>
      </c>
      <c r="D160" s="1">
        <v>2413</v>
      </c>
      <c r="F160" s="1">
        <f t="shared" si="4"/>
        <v>0</v>
      </c>
    </row>
    <row r="161" spans="1:6" x14ac:dyDescent="0.25">
      <c r="A161" s="4">
        <f t="shared" si="5"/>
        <v>1953</v>
      </c>
      <c r="B161" s="1">
        <v>4754</v>
      </c>
      <c r="C161" s="1">
        <v>2435</v>
      </c>
      <c r="D161" s="1">
        <v>2319</v>
      </c>
      <c r="F161" s="1">
        <f t="shared" si="4"/>
        <v>0</v>
      </c>
    </row>
    <row r="162" spans="1:6" x14ac:dyDescent="0.25">
      <c r="A162" s="4">
        <f t="shared" si="5"/>
        <v>1954</v>
      </c>
      <c r="B162" s="1">
        <v>5135</v>
      </c>
      <c r="C162" s="1">
        <v>2631</v>
      </c>
      <c r="D162" s="1">
        <v>2504</v>
      </c>
      <c r="F162" s="1">
        <f t="shared" si="4"/>
        <v>0</v>
      </c>
    </row>
    <row r="163" spans="1:6" x14ac:dyDescent="0.25">
      <c r="A163" s="4">
        <f t="shared" si="5"/>
        <v>1955</v>
      </c>
      <c r="B163" s="1">
        <v>5048</v>
      </c>
      <c r="C163" s="1">
        <v>2595</v>
      </c>
      <c r="D163" s="1">
        <v>2453</v>
      </c>
      <c r="F163" s="1">
        <f t="shared" si="4"/>
        <v>0</v>
      </c>
    </row>
    <row r="164" spans="1:6" x14ac:dyDescent="0.25">
      <c r="A164" s="4">
        <f t="shared" si="5"/>
        <v>1956</v>
      </c>
      <c r="B164" s="1">
        <v>5023</v>
      </c>
      <c r="C164" s="1">
        <v>2582</v>
      </c>
      <c r="D164" s="1">
        <v>2441</v>
      </c>
      <c r="F164" s="1">
        <f t="shared" si="4"/>
        <v>0</v>
      </c>
    </row>
    <row r="165" spans="1:6" x14ac:dyDescent="0.25">
      <c r="A165" s="4">
        <f t="shared" si="5"/>
        <v>1957</v>
      </c>
      <c r="B165" s="1">
        <v>5164</v>
      </c>
      <c r="C165" s="1">
        <v>2654</v>
      </c>
      <c r="D165" s="1">
        <v>2510</v>
      </c>
      <c r="F165" s="1">
        <f t="shared" si="4"/>
        <v>0</v>
      </c>
    </row>
    <row r="166" spans="1:6" x14ac:dyDescent="0.25">
      <c r="A166" s="4">
        <f t="shared" si="5"/>
        <v>1958</v>
      </c>
      <c r="B166" s="1">
        <v>5240</v>
      </c>
      <c r="C166" s="1">
        <v>2688</v>
      </c>
      <c r="D166" s="1">
        <v>2552</v>
      </c>
      <c r="F166" s="1">
        <f t="shared" si="4"/>
        <v>0</v>
      </c>
    </row>
    <row r="167" spans="1:6" x14ac:dyDescent="0.25">
      <c r="A167" s="4">
        <f t="shared" si="5"/>
        <v>1959</v>
      </c>
      <c r="B167" s="1">
        <v>5264</v>
      </c>
      <c r="C167" s="1">
        <v>2700</v>
      </c>
      <c r="D167" s="1">
        <v>2564</v>
      </c>
      <c r="F167" s="1">
        <f t="shared" si="4"/>
        <v>0</v>
      </c>
    </row>
    <row r="168" spans="1:6" x14ac:dyDescent="0.25">
      <c r="A168" s="4">
        <f t="shared" si="5"/>
        <v>1960</v>
      </c>
      <c r="B168" s="1">
        <v>5341</v>
      </c>
      <c r="C168" s="1">
        <v>2740</v>
      </c>
      <c r="D168" s="1">
        <v>2601</v>
      </c>
      <c r="F168" s="1">
        <f t="shared" si="4"/>
        <v>0</v>
      </c>
    </row>
    <row r="169" spans="1:6" x14ac:dyDescent="0.25">
      <c r="A169" s="4">
        <f t="shared" si="5"/>
        <v>1961</v>
      </c>
      <c r="B169" s="1">
        <v>5192</v>
      </c>
      <c r="C169" s="1">
        <v>2664</v>
      </c>
      <c r="D169" s="1">
        <v>2528</v>
      </c>
      <c r="F169" s="1">
        <f t="shared" si="4"/>
        <v>0</v>
      </c>
    </row>
    <row r="170" spans="1:6" x14ac:dyDescent="0.25">
      <c r="A170" s="4">
        <f t="shared" si="5"/>
        <v>1962</v>
      </c>
      <c r="B170" s="1">
        <v>4959</v>
      </c>
      <c r="C170" s="1">
        <v>2544</v>
      </c>
      <c r="D170" s="1">
        <v>2415</v>
      </c>
      <c r="F170" s="1">
        <f t="shared" si="4"/>
        <v>0</v>
      </c>
    </row>
    <row r="171" spans="1:6" x14ac:dyDescent="0.25">
      <c r="A171" s="4">
        <f t="shared" si="5"/>
        <v>1963</v>
      </c>
      <c r="B171" s="1">
        <v>4758</v>
      </c>
      <c r="C171" s="1">
        <v>2446</v>
      </c>
      <c r="D171" s="1">
        <v>2312</v>
      </c>
      <c r="F171" s="1">
        <f t="shared" si="4"/>
        <v>0</v>
      </c>
    </row>
    <row r="172" spans="1:6" x14ac:dyDescent="0.25">
      <c r="A172" s="4">
        <f t="shared" si="5"/>
        <v>1964</v>
      </c>
      <c r="B172" s="1">
        <v>4457</v>
      </c>
      <c r="C172" s="1">
        <v>2286</v>
      </c>
      <c r="D172" s="1">
        <v>2171</v>
      </c>
      <c r="F172" s="1">
        <f t="shared" si="4"/>
        <v>0</v>
      </c>
    </row>
    <row r="173" spans="1:6" x14ac:dyDescent="0.25">
      <c r="A173" s="4">
        <f t="shared" si="5"/>
        <v>1965</v>
      </c>
      <c r="B173" s="1">
        <v>4253</v>
      </c>
      <c r="C173" s="1">
        <v>2181</v>
      </c>
      <c r="D173" s="1">
        <v>2072</v>
      </c>
      <c r="F173" s="1">
        <f t="shared" si="4"/>
        <v>0</v>
      </c>
    </row>
    <row r="174" spans="1:6" x14ac:dyDescent="0.25">
      <c r="A174" s="4">
        <f t="shared" si="5"/>
        <v>1966</v>
      </c>
      <c r="B174" s="1">
        <v>4242</v>
      </c>
      <c r="C174" s="1">
        <v>2176</v>
      </c>
      <c r="D174" s="1">
        <v>2066</v>
      </c>
      <c r="F174" s="1">
        <f t="shared" si="4"/>
        <v>0</v>
      </c>
    </row>
    <row r="175" spans="1:6" x14ac:dyDescent="0.25">
      <c r="A175" s="4">
        <f t="shared" si="5"/>
        <v>1967</v>
      </c>
      <c r="B175" s="1">
        <v>4093</v>
      </c>
      <c r="C175" s="1">
        <v>2100</v>
      </c>
      <c r="D175" s="1">
        <v>1993</v>
      </c>
      <c r="F175" s="1">
        <f t="shared" si="4"/>
        <v>0</v>
      </c>
    </row>
    <row r="176" spans="1:6" x14ac:dyDescent="0.25">
      <c r="A176" s="4">
        <f t="shared" si="5"/>
        <v>1968</v>
      </c>
      <c r="B176" s="1">
        <v>4088</v>
      </c>
      <c r="C176" s="1">
        <v>2094</v>
      </c>
      <c r="D176" s="1">
        <v>1994</v>
      </c>
      <c r="F176" s="1">
        <f t="shared" si="4"/>
        <v>0</v>
      </c>
    </row>
    <row r="177" spans="1:6" x14ac:dyDescent="0.25">
      <c r="A177" s="4">
        <f t="shared" si="5"/>
        <v>1969</v>
      </c>
      <c r="B177" s="1">
        <v>4087</v>
      </c>
      <c r="C177" s="1">
        <v>2094</v>
      </c>
      <c r="D177" s="1">
        <v>1993</v>
      </c>
      <c r="F177" s="1">
        <f t="shared" si="4"/>
        <v>0</v>
      </c>
    </row>
    <row r="178" spans="1:6" x14ac:dyDescent="0.25">
      <c r="A178" s="4">
        <f t="shared" si="5"/>
        <v>1970</v>
      </c>
      <c r="B178" s="1">
        <v>4226</v>
      </c>
      <c r="C178" s="1">
        <v>2165</v>
      </c>
      <c r="D178" s="1">
        <v>2061</v>
      </c>
      <c r="F178" s="1">
        <f t="shared" si="4"/>
        <v>0</v>
      </c>
    </row>
    <row r="179" spans="1:6" x14ac:dyDescent="0.25">
      <c r="A179" s="4">
        <f t="shared" si="5"/>
        <v>1971</v>
      </c>
      <c r="B179" s="1">
        <v>4372</v>
      </c>
      <c r="C179" s="1">
        <v>2239</v>
      </c>
      <c r="D179" s="1">
        <v>2133</v>
      </c>
      <c r="F179" s="1">
        <f t="shared" si="4"/>
        <v>0</v>
      </c>
    </row>
    <row r="180" spans="1:6" x14ac:dyDescent="0.25">
      <c r="A180" s="4">
        <f t="shared" si="5"/>
        <v>1972</v>
      </c>
      <c r="B180" s="1">
        <v>4404</v>
      </c>
      <c r="C180" s="1">
        <v>2257</v>
      </c>
      <c r="D180" s="1">
        <v>2147</v>
      </c>
      <c r="F180" s="1">
        <f t="shared" si="4"/>
        <v>0</v>
      </c>
    </row>
    <row r="181" spans="1:6" x14ac:dyDescent="0.25">
      <c r="A181" s="4">
        <f t="shared" si="5"/>
        <v>1973</v>
      </c>
      <c r="B181" s="1">
        <v>4386</v>
      </c>
      <c r="C181" s="1">
        <v>2247</v>
      </c>
      <c r="D181" s="1">
        <v>2139</v>
      </c>
      <c r="F181" s="1">
        <f t="shared" si="4"/>
        <v>0</v>
      </c>
    </row>
    <row r="182" spans="1:6" x14ac:dyDescent="0.25">
      <c r="A182" s="4">
        <f t="shared" si="5"/>
        <v>1974</v>
      </c>
      <c r="B182" s="1">
        <v>4546</v>
      </c>
      <c r="C182" s="1"/>
      <c r="D182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F0A9-F078-4C9D-88EA-C9E1E1C6682B}">
  <dimension ref="A1:D57"/>
  <sheetViews>
    <sheetView tabSelected="1" workbookViewId="0">
      <selection activeCell="D4" sqref="D4"/>
    </sheetView>
  </sheetViews>
  <sheetFormatPr defaultRowHeight="15" x14ac:dyDescent="0.25"/>
  <sheetData>
    <row r="1" spans="1:4" ht="18.75" x14ac:dyDescent="0.3">
      <c r="A1" s="14" t="s">
        <v>33</v>
      </c>
    </row>
    <row r="3" spans="1:4" x14ac:dyDescent="0.25">
      <c r="A3" s="7" t="s">
        <v>0</v>
      </c>
      <c r="B3" s="7" t="s">
        <v>31</v>
      </c>
      <c r="C3" s="7" t="s">
        <v>32</v>
      </c>
      <c r="D3" s="7" t="s">
        <v>60</v>
      </c>
    </row>
    <row r="4" spans="1:4" x14ac:dyDescent="0.25">
      <c r="A4">
        <v>1861</v>
      </c>
      <c r="B4" s="2">
        <v>48.8</v>
      </c>
      <c r="C4" s="2">
        <f>AVERAGE(B4:B8,B10:B20,B22:B34,B36:B43)</f>
        <v>47.910810810810815</v>
      </c>
      <c r="D4" s="2">
        <f>MIN(B4:B8,B10:B20,B22:B34,B36:B43)</f>
        <v>46.8</v>
      </c>
    </row>
    <row r="5" spans="1:4" x14ac:dyDescent="0.25">
      <c r="A5">
        <v>1862</v>
      </c>
      <c r="B5" s="2">
        <v>49.7</v>
      </c>
      <c r="C5" s="2">
        <f>C4</f>
        <v>47.910810810810815</v>
      </c>
      <c r="D5" s="2">
        <f>D4</f>
        <v>46.8</v>
      </c>
    </row>
    <row r="6" spans="1:4" x14ac:dyDescent="0.25">
      <c r="A6">
        <v>1863</v>
      </c>
      <c r="B6" s="2">
        <v>48.1</v>
      </c>
      <c r="C6" s="2">
        <f t="shared" ref="C6:C57" si="0">C5</f>
        <v>47.910810810810815</v>
      </c>
      <c r="D6" s="2">
        <f t="shared" ref="D6:D57" si="1">D5</f>
        <v>46.8</v>
      </c>
    </row>
    <row r="7" spans="1:4" x14ac:dyDescent="0.25">
      <c r="A7">
        <v>1864</v>
      </c>
      <c r="B7" s="2">
        <v>50</v>
      </c>
      <c r="C7" s="2">
        <f t="shared" si="0"/>
        <v>47.910810810810815</v>
      </c>
      <c r="D7" s="2">
        <f t="shared" si="1"/>
        <v>46.8</v>
      </c>
    </row>
    <row r="8" spans="1:4" x14ac:dyDescent="0.25">
      <c r="A8">
        <v>1865</v>
      </c>
      <c r="B8" s="2">
        <v>47.5</v>
      </c>
      <c r="C8" s="2">
        <f t="shared" si="0"/>
        <v>47.910810810810815</v>
      </c>
      <c r="D8" s="2">
        <f t="shared" si="1"/>
        <v>46.8</v>
      </c>
    </row>
    <row r="9" spans="1:4" x14ac:dyDescent="0.25">
      <c r="A9">
        <v>1866</v>
      </c>
      <c r="B9" s="2">
        <v>45.1</v>
      </c>
      <c r="C9" s="2">
        <f t="shared" si="0"/>
        <v>47.910810810810815</v>
      </c>
      <c r="D9" s="2">
        <f t="shared" si="1"/>
        <v>46.8</v>
      </c>
    </row>
    <row r="10" spans="1:4" x14ac:dyDescent="0.25">
      <c r="A10">
        <v>1867</v>
      </c>
      <c r="B10" s="2">
        <v>48.3</v>
      </c>
      <c r="C10" s="2">
        <f t="shared" si="0"/>
        <v>47.910810810810815</v>
      </c>
      <c r="D10" s="2">
        <f t="shared" si="1"/>
        <v>46.8</v>
      </c>
    </row>
    <row r="11" spans="1:4" x14ac:dyDescent="0.25">
      <c r="A11">
        <v>1868</v>
      </c>
      <c r="B11" s="2">
        <v>46.8</v>
      </c>
      <c r="C11" s="2">
        <f t="shared" si="0"/>
        <v>47.910810810810815</v>
      </c>
      <c r="D11" s="2">
        <f t="shared" si="1"/>
        <v>46.8</v>
      </c>
    </row>
    <row r="12" spans="1:4" x14ac:dyDescent="0.25">
      <c r="A12">
        <v>1869</v>
      </c>
      <c r="B12" s="2">
        <v>47.4</v>
      </c>
      <c r="C12" s="2">
        <f t="shared" si="0"/>
        <v>47.910810810810815</v>
      </c>
      <c r="D12" s="2">
        <f t="shared" si="1"/>
        <v>46.8</v>
      </c>
    </row>
    <row r="13" spans="1:4" x14ac:dyDescent="0.25">
      <c r="A13">
        <v>1870</v>
      </c>
      <c r="B13" s="2">
        <v>47</v>
      </c>
      <c r="C13" s="2">
        <f t="shared" si="0"/>
        <v>47.910810810810815</v>
      </c>
      <c r="D13" s="2">
        <f t="shared" si="1"/>
        <v>46.8</v>
      </c>
    </row>
    <row r="14" spans="1:4" x14ac:dyDescent="0.25">
      <c r="A14">
        <v>1871</v>
      </c>
      <c r="B14" s="2">
        <v>48.9</v>
      </c>
      <c r="C14" s="2">
        <f t="shared" si="0"/>
        <v>47.910810810810815</v>
      </c>
      <c r="D14" s="2">
        <f t="shared" si="1"/>
        <v>46.8</v>
      </c>
    </row>
    <row r="15" spans="1:4" x14ac:dyDescent="0.25">
      <c r="A15">
        <v>1872</v>
      </c>
      <c r="B15" s="2">
        <v>47.3</v>
      </c>
      <c r="C15" s="2">
        <f t="shared" si="0"/>
        <v>47.910810810810815</v>
      </c>
      <c r="D15" s="2">
        <f t="shared" si="1"/>
        <v>46.8</v>
      </c>
    </row>
    <row r="16" spans="1:4" x14ac:dyDescent="0.25">
      <c r="A16">
        <v>1873</v>
      </c>
      <c r="B16" s="2">
        <v>49</v>
      </c>
      <c r="C16" s="2">
        <f t="shared" si="0"/>
        <v>47.910810810810815</v>
      </c>
      <c r="D16" s="2">
        <f t="shared" si="1"/>
        <v>46.8</v>
      </c>
    </row>
    <row r="17" spans="1:4" x14ac:dyDescent="0.25">
      <c r="A17">
        <v>1874</v>
      </c>
      <c r="B17" s="2">
        <v>47.8</v>
      </c>
      <c r="C17" s="2">
        <f t="shared" si="0"/>
        <v>47.910810810810815</v>
      </c>
      <c r="D17" s="2">
        <f t="shared" si="1"/>
        <v>46.8</v>
      </c>
    </row>
    <row r="18" spans="1:4" x14ac:dyDescent="0.25">
      <c r="A18">
        <v>1875</v>
      </c>
      <c r="B18" s="2">
        <v>48.2</v>
      </c>
      <c r="C18" s="2">
        <f t="shared" si="0"/>
        <v>47.910810810810815</v>
      </c>
      <c r="D18" s="2">
        <f t="shared" si="1"/>
        <v>46.8</v>
      </c>
    </row>
    <row r="19" spans="1:4" x14ac:dyDescent="0.25">
      <c r="A19">
        <v>1876</v>
      </c>
      <c r="B19" s="2">
        <v>47.5</v>
      </c>
      <c r="C19" s="2">
        <f t="shared" si="0"/>
        <v>47.910810810810815</v>
      </c>
      <c r="D19" s="2">
        <f t="shared" si="1"/>
        <v>46.8</v>
      </c>
    </row>
    <row r="20" spans="1:4" x14ac:dyDescent="0.25">
      <c r="A20">
        <v>1877</v>
      </c>
      <c r="B20" s="2">
        <v>47</v>
      </c>
      <c r="C20" s="2">
        <f t="shared" si="0"/>
        <v>47.910810810810815</v>
      </c>
      <c r="D20" s="2">
        <f t="shared" si="1"/>
        <v>46.8</v>
      </c>
    </row>
    <row r="21" spans="1:4" x14ac:dyDescent="0.25">
      <c r="A21">
        <v>1878</v>
      </c>
      <c r="B21" s="2">
        <v>45</v>
      </c>
      <c r="C21" s="2">
        <f t="shared" si="0"/>
        <v>47.910810810810815</v>
      </c>
      <c r="D21" s="2">
        <f t="shared" si="1"/>
        <v>46.8</v>
      </c>
    </row>
    <row r="22" spans="1:4" x14ac:dyDescent="0.25">
      <c r="A22">
        <v>1879</v>
      </c>
      <c r="B22" s="2">
        <v>47.4</v>
      </c>
      <c r="C22" s="2">
        <f t="shared" si="0"/>
        <v>47.910810810810815</v>
      </c>
      <c r="D22" s="2">
        <f t="shared" si="1"/>
        <v>46.8</v>
      </c>
    </row>
    <row r="23" spans="1:4" x14ac:dyDescent="0.25">
      <c r="A23">
        <v>1880</v>
      </c>
      <c r="B23" s="2">
        <v>47.2</v>
      </c>
      <c r="C23" s="2">
        <f t="shared" si="0"/>
        <v>47.910810810810815</v>
      </c>
      <c r="D23" s="2">
        <f t="shared" si="1"/>
        <v>46.8</v>
      </c>
    </row>
    <row r="24" spans="1:4" x14ac:dyDescent="0.25">
      <c r="A24">
        <v>1881</v>
      </c>
      <c r="B24" s="2">
        <v>46.9</v>
      </c>
      <c r="C24" s="2">
        <f t="shared" si="0"/>
        <v>47.910810810810815</v>
      </c>
      <c r="D24" s="2">
        <f t="shared" si="1"/>
        <v>46.8</v>
      </c>
    </row>
    <row r="25" spans="1:4" x14ac:dyDescent="0.25">
      <c r="A25">
        <v>1882</v>
      </c>
      <c r="B25" s="2">
        <v>48.7</v>
      </c>
      <c r="C25" s="2">
        <f t="shared" si="0"/>
        <v>47.910810810810815</v>
      </c>
      <c r="D25" s="2">
        <f t="shared" si="1"/>
        <v>46.8</v>
      </c>
    </row>
    <row r="26" spans="1:4" x14ac:dyDescent="0.25">
      <c r="A26">
        <v>1883</v>
      </c>
      <c r="B26" s="2">
        <v>47.9</v>
      </c>
      <c r="C26" s="2">
        <f t="shared" si="0"/>
        <v>47.910810810810815</v>
      </c>
      <c r="D26" s="2">
        <f t="shared" si="1"/>
        <v>46.8</v>
      </c>
    </row>
    <row r="27" spans="1:4" x14ac:dyDescent="0.25">
      <c r="A27">
        <v>1884</v>
      </c>
      <c r="B27" s="2">
        <v>48.5</v>
      </c>
      <c r="C27" s="2">
        <f t="shared" si="0"/>
        <v>47.910810810810815</v>
      </c>
      <c r="D27" s="2">
        <f t="shared" si="1"/>
        <v>46.8</v>
      </c>
    </row>
    <row r="28" spans="1:4" x14ac:dyDescent="0.25">
      <c r="A28">
        <v>1885</v>
      </c>
      <c r="B28" s="2">
        <v>47.5</v>
      </c>
      <c r="C28" s="2">
        <f t="shared" si="0"/>
        <v>47.910810810810815</v>
      </c>
      <c r="D28" s="2">
        <f t="shared" si="1"/>
        <v>46.8</v>
      </c>
    </row>
    <row r="29" spans="1:4" x14ac:dyDescent="0.25">
      <c r="A29">
        <v>1886</v>
      </c>
      <c r="B29" s="2">
        <v>47</v>
      </c>
      <c r="C29" s="2">
        <f t="shared" si="0"/>
        <v>47.910810810810815</v>
      </c>
      <c r="D29" s="2">
        <f t="shared" si="1"/>
        <v>46.8</v>
      </c>
    </row>
    <row r="30" spans="1:4" x14ac:dyDescent="0.25">
      <c r="A30">
        <v>1887</v>
      </c>
      <c r="B30" s="2">
        <v>47.4</v>
      </c>
      <c r="C30" s="2">
        <f t="shared" si="0"/>
        <v>47.910810810810815</v>
      </c>
      <c r="D30" s="2">
        <f t="shared" si="1"/>
        <v>46.8</v>
      </c>
    </row>
    <row r="31" spans="1:4" x14ac:dyDescent="0.25">
      <c r="A31">
        <v>1888</v>
      </c>
      <c r="B31" s="2">
        <v>48.4</v>
      </c>
      <c r="C31" s="2">
        <f t="shared" si="0"/>
        <v>47.910810810810815</v>
      </c>
      <c r="D31" s="2">
        <f t="shared" si="1"/>
        <v>46.8</v>
      </c>
    </row>
    <row r="32" spans="1:4" x14ac:dyDescent="0.25">
      <c r="A32">
        <v>1889</v>
      </c>
      <c r="B32" s="2">
        <v>47.8</v>
      </c>
      <c r="C32" s="2">
        <f t="shared" si="0"/>
        <v>47.910810810810815</v>
      </c>
      <c r="D32" s="2">
        <f t="shared" si="1"/>
        <v>46.8</v>
      </c>
    </row>
    <row r="33" spans="1:4" x14ac:dyDescent="0.25">
      <c r="A33">
        <v>1890</v>
      </c>
      <c r="B33" s="2">
        <v>47.2</v>
      </c>
      <c r="C33" s="2">
        <f t="shared" si="0"/>
        <v>47.910810810810815</v>
      </c>
      <c r="D33" s="2">
        <f t="shared" si="1"/>
        <v>46.8</v>
      </c>
    </row>
    <row r="34" spans="1:4" x14ac:dyDescent="0.25">
      <c r="A34">
        <v>1891</v>
      </c>
      <c r="B34" s="2">
        <v>48.1</v>
      </c>
      <c r="C34" s="2">
        <f t="shared" si="0"/>
        <v>47.910810810810815</v>
      </c>
      <c r="D34" s="2">
        <f t="shared" si="1"/>
        <v>46.8</v>
      </c>
    </row>
    <row r="35" spans="1:4" x14ac:dyDescent="0.25">
      <c r="A35">
        <v>1892</v>
      </c>
      <c r="B35" s="2">
        <v>44.3</v>
      </c>
      <c r="C35" s="2">
        <f t="shared" si="0"/>
        <v>47.910810810810815</v>
      </c>
      <c r="D35" s="2">
        <f t="shared" si="1"/>
        <v>46.8</v>
      </c>
    </row>
    <row r="36" spans="1:4" x14ac:dyDescent="0.25">
      <c r="A36">
        <v>1893</v>
      </c>
      <c r="B36" s="2">
        <v>46.9</v>
      </c>
      <c r="C36" s="2">
        <f t="shared" si="0"/>
        <v>47.910810810810815</v>
      </c>
      <c r="D36" s="2">
        <f t="shared" si="1"/>
        <v>46.8</v>
      </c>
    </row>
    <row r="37" spans="1:4" x14ac:dyDescent="0.25">
      <c r="A37">
        <v>1894</v>
      </c>
      <c r="B37" s="2">
        <v>47.1</v>
      </c>
      <c r="C37" s="2">
        <f t="shared" si="0"/>
        <v>47.910810810810815</v>
      </c>
      <c r="D37" s="2">
        <f t="shared" si="1"/>
        <v>46.8</v>
      </c>
    </row>
    <row r="38" spans="1:4" x14ac:dyDescent="0.25">
      <c r="A38">
        <v>1895</v>
      </c>
      <c r="B38" s="2">
        <v>47.9</v>
      </c>
      <c r="C38" s="2">
        <f t="shared" si="0"/>
        <v>47.910810810810815</v>
      </c>
      <c r="D38" s="2">
        <f t="shared" si="1"/>
        <v>46.8</v>
      </c>
    </row>
    <row r="39" spans="1:4" x14ac:dyDescent="0.25">
      <c r="A39">
        <v>1896</v>
      </c>
      <c r="B39" s="2">
        <v>48.8</v>
      </c>
      <c r="C39" s="2">
        <f t="shared" si="0"/>
        <v>47.910810810810815</v>
      </c>
      <c r="D39" s="2">
        <f t="shared" si="1"/>
        <v>46.8</v>
      </c>
    </row>
    <row r="40" spans="1:4" x14ac:dyDescent="0.25">
      <c r="A40">
        <v>1897</v>
      </c>
      <c r="B40" s="2">
        <v>48.6</v>
      </c>
      <c r="C40" s="2">
        <f t="shared" si="0"/>
        <v>47.910810810810815</v>
      </c>
      <c r="D40" s="2">
        <f t="shared" si="1"/>
        <v>46.8</v>
      </c>
    </row>
    <row r="41" spans="1:4" x14ac:dyDescent="0.25">
      <c r="A41">
        <v>1898</v>
      </c>
      <c r="B41" s="2">
        <v>47.7</v>
      </c>
      <c r="C41" s="2">
        <f t="shared" si="0"/>
        <v>47.910810810810815</v>
      </c>
      <c r="D41" s="2">
        <f t="shared" si="1"/>
        <v>46.8</v>
      </c>
    </row>
    <row r="42" spans="1:4" x14ac:dyDescent="0.25">
      <c r="A42">
        <v>1899</v>
      </c>
      <c r="B42" s="2">
        <v>48.3</v>
      </c>
      <c r="C42" s="2">
        <f t="shared" si="0"/>
        <v>47.910810810810815</v>
      </c>
      <c r="D42" s="2">
        <f t="shared" si="1"/>
        <v>46.8</v>
      </c>
    </row>
    <row r="43" spans="1:4" x14ac:dyDescent="0.25">
      <c r="A43">
        <v>1900</v>
      </c>
      <c r="B43" s="2">
        <v>48.1</v>
      </c>
      <c r="C43" s="2">
        <f t="shared" si="0"/>
        <v>47.910810810810815</v>
      </c>
      <c r="D43" s="2">
        <f t="shared" si="1"/>
        <v>46.8</v>
      </c>
    </row>
    <row r="44" spans="1:4" x14ac:dyDescent="0.25">
      <c r="A44">
        <v>1901</v>
      </c>
      <c r="B44" s="2">
        <v>47.2</v>
      </c>
      <c r="C44" s="2">
        <f t="shared" si="0"/>
        <v>47.910810810810815</v>
      </c>
      <c r="D44" s="2">
        <f t="shared" si="1"/>
        <v>46.8</v>
      </c>
    </row>
    <row r="45" spans="1:4" x14ac:dyDescent="0.25">
      <c r="A45">
        <v>1902</v>
      </c>
      <c r="B45" s="2">
        <v>48</v>
      </c>
      <c r="C45" s="2">
        <f t="shared" si="0"/>
        <v>47.910810810810815</v>
      </c>
      <c r="D45" s="2">
        <f t="shared" si="1"/>
        <v>46.8</v>
      </c>
    </row>
    <row r="46" spans="1:4" x14ac:dyDescent="0.25">
      <c r="A46">
        <v>1903</v>
      </c>
      <c r="B46" s="2">
        <v>47.1</v>
      </c>
      <c r="C46" s="2">
        <f t="shared" si="0"/>
        <v>47.910810810810815</v>
      </c>
      <c r="D46" s="2">
        <f t="shared" si="1"/>
        <v>46.8</v>
      </c>
    </row>
    <row r="47" spans="1:4" x14ac:dyDescent="0.25">
      <c r="A47">
        <v>1904</v>
      </c>
      <c r="B47" s="2">
        <v>47.6</v>
      </c>
      <c r="C47" s="2">
        <f t="shared" si="0"/>
        <v>47.910810810810815</v>
      </c>
      <c r="D47" s="2">
        <f t="shared" si="1"/>
        <v>46.8</v>
      </c>
    </row>
    <row r="48" spans="1:4" x14ac:dyDescent="0.25">
      <c r="A48">
        <v>1905</v>
      </c>
      <c r="B48" s="2">
        <v>44.3</v>
      </c>
      <c r="C48" s="2">
        <f t="shared" si="0"/>
        <v>47.910810810810815</v>
      </c>
      <c r="D48" s="2">
        <f t="shared" si="1"/>
        <v>46.8</v>
      </c>
    </row>
    <row r="49" spans="1:4" x14ac:dyDescent="0.25">
      <c r="A49">
        <v>1906</v>
      </c>
      <c r="B49" s="2">
        <v>46.4</v>
      </c>
      <c r="C49" s="2">
        <f t="shared" si="0"/>
        <v>47.910810810810815</v>
      </c>
      <c r="D49" s="2">
        <f t="shared" si="1"/>
        <v>46.8</v>
      </c>
    </row>
    <row r="50" spans="1:4" x14ac:dyDescent="0.25">
      <c r="A50">
        <v>1907</v>
      </c>
      <c r="B50" s="2">
        <v>47</v>
      </c>
      <c r="C50" s="2">
        <f t="shared" si="0"/>
        <v>47.910810810810815</v>
      </c>
      <c r="D50" s="2">
        <f t="shared" si="1"/>
        <v>46.8</v>
      </c>
    </row>
    <row r="51" spans="1:4" x14ac:dyDescent="0.25">
      <c r="A51">
        <v>1908</v>
      </c>
      <c r="B51" s="2">
        <v>45</v>
      </c>
      <c r="C51" s="2">
        <f t="shared" si="0"/>
        <v>47.910810810810815</v>
      </c>
      <c r="D51" s="2">
        <f t="shared" si="1"/>
        <v>46.8</v>
      </c>
    </row>
    <row r="52" spans="1:4" x14ac:dyDescent="0.25">
      <c r="A52">
        <v>1909</v>
      </c>
      <c r="B52" s="2">
        <v>45</v>
      </c>
      <c r="C52" s="2">
        <f t="shared" si="0"/>
        <v>47.910810810810815</v>
      </c>
      <c r="D52" s="2">
        <f t="shared" si="1"/>
        <v>46.8</v>
      </c>
    </row>
    <row r="53" spans="1:4" x14ac:dyDescent="0.25">
      <c r="A53">
        <v>1910</v>
      </c>
      <c r="B53" s="2">
        <v>46</v>
      </c>
      <c r="C53" s="2">
        <f t="shared" si="0"/>
        <v>47.910810810810815</v>
      </c>
      <c r="D53" s="2">
        <f t="shared" si="1"/>
        <v>46.8</v>
      </c>
    </row>
    <row r="54" spans="1:4" x14ac:dyDescent="0.25">
      <c r="A54">
        <v>1911</v>
      </c>
      <c r="B54" s="2">
        <v>45.9</v>
      </c>
      <c r="C54" s="2">
        <f t="shared" si="0"/>
        <v>47.910810810810815</v>
      </c>
      <c r="D54" s="2">
        <f t="shared" si="1"/>
        <v>46.8</v>
      </c>
    </row>
    <row r="55" spans="1:4" x14ac:dyDescent="0.25">
      <c r="A55">
        <v>1912</v>
      </c>
      <c r="B55" s="2">
        <v>44.1</v>
      </c>
      <c r="C55" s="2">
        <f t="shared" si="0"/>
        <v>47.910810810810815</v>
      </c>
      <c r="D55" s="2">
        <f t="shared" si="1"/>
        <v>46.8</v>
      </c>
    </row>
    <row r="56" spans="1:4" x14ac:dyDescent="0.25">
      <c r="A56">
        <v>1913</v>
      </c>
      <c r="B56" s="2">
        <v>45.4</v>
      </c>
      <c r="C56" s="2">
        <f t="shared" si="0"/>
        <v>47.910810810810815</v>
      </c>
      <c r="D56" s="2">
        <f t="shared" si="1"/>
        <v>46.8</v>
      </c>
    </row>
    <row r="57" spans="1:4" x14ac:dyDescent="0.25">
      <c r="A57">
        <v>1914</v>
      </c>
      <c r="B57" s="2">
        <v>43.1</v>
      </c>
      <c r="C57" s="2">
        <f t="shared" si="0"/>
        <v>47.910810810810815</v>
      </c>
      <c r="D57" s="2">
        <f t="shared" si="1"/>
        <v>46.8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РЕКОНСТРУКЦИЯ</vt:lpstr>
      <vt:lpstr>РОЖДЕНИЯ</vt:lpstr>
      <vt:lpstr>рождаемость 1861-1914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2026-05-26T04:12:31Z</dcterms:created>
  <dcterms:modified xsi:type="dcterms:W3CDTF">2026-05-26T17:48:13Z</dcterms:modified>
</cp:coreProperties>
</file>