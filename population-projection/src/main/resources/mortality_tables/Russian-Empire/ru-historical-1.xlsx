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mc:AlternateContent xmlns:mc="http://schemas.openxmlformats.org/markup-compatibility/2006">
    <mc:Choice Requires="x15">
      <x15ac:absPath xmlns:x15ac="http://schemas.microsoft.com/office/spreadsheetml/2010/11/ac" url="F:\WINAPPS\SLOVO\UKR\github\RTSS\population-projection\src\main\resources\mortality_tables\Russian-Empire\"/>
    </mc:Choice>
  </mc:AlternateContent>
  <xr:revisionPtr revIDLastSave="0" documentId="13_ncr:1_{69742D95-978B-40C6-937A-F538EDB8AD37}" xr6:coauthVersionLast="45" xr6:coauthVersionMax="47" xr10:uidLastSave="{00000000-0000-0000-0000-000000000000}"/>
  <bookViews>
    <workbookView xWindow="-60" yWindow="-60" windowWidth="38520" windowHeight="23700" xr2:uid="{00000000-000D-0000-FFFF-FFFF00000000}"/>
  </bookViews>
  <sheets>
    <sheet name="Notes" sheetId="1" r:id="rId1"/>
    <sheet name="№63 1874-1883 Борткевич" sheetId="5" r:id="rId2"/>
    <sheet name="№62 50 губерний 1896-97" sheetId="2" r:id="rId3"/>
    <sheet name="№64 1896-97 I вариант" sheetId="3" r:id="rId4"/>
    <sheet name="№65 1896-97 II вариант" sheetId="4" r:id="rId5"/>
    <sheet name="№67 1907-1910 II вариант" sheetId="6" r:id="rId6"/>
  </sheet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N56" i="4" l="1"/>
  <c r="N55" i="4"/>
  <c r="E56" i="4"/>
  <c r="E55" i="4"/>
</calcChain>
</file>

<file path=xl/sharedStrings.xml><?xml version="1.0" encoding="utf-8"?>
<sst xmlns="http://schemas.openxmlformats.org/spreadsheetml/2006/main" count="176" uniqueCount="66">
  <si>
    <t>Notes</t>
  </si>
  <si>
    <t>Библиографические данные</t>
  </si>
  <si>
    <t>Заглавие</t>
  </si>
  <si>
    <t>Смертность и продолжительность жизни населения СССР. 1926–1927. Таблицы смертности</t>
  </si>
  <si>
    <t>Параллельное заглавие</t>
  </si>
  <si>
    <t>Mortalité et durée de la vie de la population de l’URSS. Tables de mortalité</t>
  </si>
  <si>
    <t>Организация</t>
  </si>
  <si>
    <t>Экономико-статистический сектор Госплана СССР / Département de l’Economie et des Statistiques du Gosplan de l’URSS</t>
  </si>
  <si>
    <t>Издательство, место, год</t>
  </si>
  <si>
    <t>Планхозгиз, Москва—Ленинград, 1930</t>
  </si>
  <si>
    <t>Извлечённые таблицы</t>
  </si>
  <si>
    <t>Лист Excel</t>
  </si>
  <si>
    <t>Название таблицы</t>
  </si>
  <si>
    <t>Страницы источника</t>
  </si>
  <si>
    <t>Комментарии / примечания</t>
  </si>
  <si>
    <t>1896/97. 50 gouvernements de la Russie d’Europe</t>
  </si>
  <si>
    <t>Мужской пол — Sexe masculin</t>
  </si>
  <si>
    <t>Женский пол — Sexe féminin</t>
  </si>
  <si>
    <t>Возраст x</t>
  </si>
  <si>
    <t>lₓ</t>
  </si>
  <si>
    <t>dₓ</t>
  </si>
  <si>
    <t>qₓ</t>
  </si>
  <si>
    <t>pₓ</t>
  </si>
  <si>
    <t>Lₓ</t>
  </si>
  <si>
    <t>Tₓ</t>
  </si>
  <si>
    <t>eₓ</t>
  </si>
  <si>
    <t>Vₓ</t>
  </si>
  <si>
    <t>1896/97. 50 gouvernements de la Russie d’Europe. Méthode I</t>
  </si>
  <si>
    <t>мужчины</t>
  </si>
  <si>
    <t>женщины</t>
  </si>
  <si>
    <t>1896/97. 50 gouvernements de la Russie d’Europe. Méthode II</t>
  </si>
  <si>
    <t>1874—1883. 50 gouvernements de la Russie d’Europe</t>
  </si>
  <si>
    <t>1907—1910. 50 gouvernements de la Russie d’Europe. Méthode II</t>
  </si>
  <si>
    <t>Печатные страницы: 122–123</t>
  </si>
  <si>
    <t>Печатные страницы: 126–127</t>
  </si>
  <si>
    <t>Печатные страницы: 128–129</t>
  </si>
  <si>
    <t>Печатные страницы: 124–125</t>
  </si>
  <si>
    <t>Печатные страницы: 132–133</t>
  </si>
  <si>
    <t>№62 50 губерний 1896-97</t>
  </si>
  <si>
    <t>№64 1896-97 I вариант</t>
  </si>
  <si>
    <t>№65 1896-97 II вариант</t>
  </si>
  <si>
    <t>№63 1874-1883 Борткевич</t>
  </si>
  <si>
    <t>№67 1907-1910 II вариант</t>
  </si>
  <si>
    <t xml:space="preserve"> 50 губерний Европейской России. 1896/97</t>
  </si>
  <si>
    <t>50 губерний Европейской России. 1896/1897. I вариант</t>
  </si>
  <si>
    <t>50 губерний Европейской России. 1907—1910. II вариант</t>
  </si>
  <si>
    <t>Примечание. Таблица построена для православного населения 50 губерний б. Европейской России по данным об умерших в 1896—97 гг. и данным о родившихся за 1775—1897 гг.
Получившаяся разность l0 − Σdx (где dx — первоначально найденные числа умерших стационарного населения) для мужчин 14 494, для женщин 12 884, распределена пропорционально на все возрастные группы.
Note. Table de mortalité pour la population orthodoxe de la Russie d’Europe (ancien territoire), calculée à l’aide des décès enregistrés pendant 1896—97, combinés avec les statistiques des naissances. La différence première obtenue l0 − Σdx est distribuée par tous les groupes d’âge (sexe masculin 14 494, sexe féminin 12 884).</t>
  </si>
  <si>
    <t>Примечание. Таблица построена для православного населения 50 губерний б. Европейской России по данным об умерших за 1907—1910 гг. и данным о родившихся за 1785—1910 гг.
Получившаяся разность l₀ − Σd′ₓ (где d′ₓ — первоначально найденные числа умерших стационарного населения) для мужчин 13 319, для женщин 14 805, распределена пропорционально на возрастные группы, начиная с 15 лет.
Note. Table de mortalité pour la population orthodoxe de la Russie d’Europe (ancien territoire), calculée à l’aide des décès enregistrés pendant 1907—1910, combinés avec les statistiques des naissances. La différence première obtenue l₀ − Σd′ₓ est distribuée par les groupes d’âge à partir de 15 ans (sexe masculin 13 319, sexe féminin 14 805).</t>
  </si>
  <si>
    <t>№62. 50 губерний Европейской России. 1896/97</t>
  </si>
  <si>
    <t>№67. 50 губерний Европейской России. 1907—1910. II вариант</t>
  </si>
  <si>
    <t>№63. 50 губерний Европейской России¹). 1874—1883</t>
  </si>
  <si>
    <t>№65. 50 губерний Европейской России. 1896/97. II вариант</t>
  </si>
  <si>
    <t>№64. 50 губерний Европейской России. 1896/1897. I вариант</t>
  </si>
  <si>
    <t>Note: Источник: печатные стр. 122–123. Примечание источника перенесено на лист Notes.</t>
  </si>
  <si>
    <t>Note: Источник: печатные страницы 124–125..</t>
  </si>
  <si>
    <t>50 губерний Европейской России. 1896/1897. II вариант</t>
  </si>
  <si>
    <t>Только православное население.
Примечание. Таблица относится только к православному населению всей б. Европейской России и построена на основе данных переписи 28 января 1897 г. и данных об умерших в 1896—1897 гг.
Note. Table de mortalité calculée à l’aide des décès de 1896 et 1897 et du recensement du 28 janvier (8 février) 1897, pour la population orthodoxe de la Russie d’Europe (ancien territoire).</t>
  </si>
  <si>
    <t>Таблица построена В. И. Борткевичем для православного населения 50 губерний бывшей Европейской России по данным об умерших за 1874—1883 гг. и данным о родившихся за 1754—1883 гг. См.: В. И. Борткевич. «Смертность и долговечность мужского православного населения Европейской России», Прил. № 8 к 63 т. Записок Академии Наук, СПб., 1890; то же для женского населения: Прил. № 3 к 66 т. Записок Академии Наук, 1891.
Note. Table de mortalité pour la population orthodoxe de la Russie d’Europe (ancien territoire), calculée par V. Bortkiewicz, à l’aide des décès enregistrés pendant 1874—1883, combinés avec les statistiques des naissances. Mém. de l’Acad. des sciences. Vol. 63 № 8 et vol. 66 № 3. 1890—1891.</t>
  </si>
  <si>
    <t xml:space="preserve">50 губерний Европейской России. 1874—1883 </t>
  </si>
  <si>
    <t>dx qx px Lx Vx для возраста 100</t>
  </si>
  <si>
    <t>и Vx для возрастов 98 99</t>
  </si>
  <si>
    <t>В таблице №63 (1874-1883 Борткевич) оставлены пустыми значения:</t>
  </si>
  <si>
    <t>В данном файле они заполнены вычисленными значениями</t>
  </si>
  <si>
    <t>Примечание. Таблица построена для православного населения 50 губерний б. Европейской России по данным об умерших за 1896/97 г. и данным о родившихся за 1775—1897 гг.
Получившаяся разность l₀ − Σd′ₓ (где d′ₓ — первоначально найденные числа умерших стационарного населения) для мужчин 14 494, для женщин 12 884, распределена пропорционально на возрастные группы, начиная с 15 лет.
Note. Table de mortalité pour la population orthodoxe de la Russie d’Europe (ancien territoire), calculée à l’aide des décès enregistrés pendant 1896/97, combinés avec les statistiques des naissances. La différence première obtenue l₀ − Σd′ₓ est distribuée par les groupes d’âge à partir de 15 ans (sexe masculin 14 494, sexe féminin — 12 884).</t>
  </si>
  <si>
    <t>1907-1910 гг. включают два года (1909-1910) апогея 6-й холерной пандемии, смертность в которые была на 11.3% выше, чем в среднем за два предыдущие и два последующие года.</t>
  </si>
  <si>
    <t>Общая смертность населения 50 губерний европейской России в 1907-1910 гг. была на 6.7% выше, чем за четыре года 1907, 1908, 1911 и 1912 в среднем.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</si>
</sst>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
  </numFmts>
  <fonts count="18">
    <font>
      <sz val="11"/>
      <name val="Carlito"/>
    </font>
    <font>
      <b/>
      <sz val="16"/>
      <color rgb="FFFFFFFF"/>
      <name val="Carlito"/>
    </font>
    <font>
      <b/>
      <sz val="13"/>
      <name val="Carlito"/>
    </font>
    <font>
      <b/>
      <sz val="11"/>
      <color rgb="FFFFFFFF"/>
      <name val="Carlito"/>
    </font>
    <font>
      <b/>
      <sz val="14"/>
      <name val="Carlito"/>
    </font>
    <font>
      <i/>
      <sz val="11"/>
      <name val="Carlito"/>
    </font>
    <font>
      <b/>
      <sz val="11"/>
      <name val="Carlito"/>
    </font>
    <font>
      <b/>
      <sz val="12"/>
      <name val="Carlito"/>
    </font>
    <font>
      <i/>
      <sz val="11"/>
      <color rgb="FF666666"/>
      <name val="Carlito"/>
    </font>
    <font>
      <sz val="11"/>
      <name val="Carlito"/>
      <family val="2"/>
    </font>
    <font>
      <b/>
      <sz val="16"/>
      <color rgb="FFFFFFFF"/>
      <name val="Carlito"/>
      <family val="2"/>
    </font>
    <font>
      <b/>
      <sz val="16"/>
      <name val="Carlito"/>
      <family val="2"/>
    </font>
    <font>
      <b/>
      <sz val="12"/>
      <name val="Carlito"/>
      <family val="2"/>
    </font>
    <font>
      <b/>
      <sz val="13"/>
      <name val="Carlito"/>
      <family val="2"/>
    </font>
    <font>
      <b/>
      <sz val="11"/>
      <name val="Carlito"/>
      <family val="2"/>
    </font>
    <font>
      <i/>
      <sz val="11"/>
      <name val="Carlito"/>
      <family val="2"/>
    </font>
    <font>
      <i/>
      <sz val="11"/>
      <color rgb="FF555555"/>
      <name val="Carlito"/>
      <family val="2"/>
    </font>
    <font>
      <i/>
      <sz val="11"/>
      <color rgb="FF666666"/>
      <name val="Carlito"/>
      <family val="2"/>
    </font>
  </fonts>
  <fills count="14">
    <fill>
      <patternFill patternType="none"/>
    </fill>
    <fill>
      <patternFill patternType="gray125"/>
    </fill>
    <fill>
      <patternFill patternType="solid">
        <fgColor rgb="FF1F4E78"/>
      </patternFill>
    </fill>
    <fill>
      <patternFill patternType="solid">
        <fgColor rgb="FFD9EAF7"/>
      </patternFill>
    </fill>
    <fill>
      <patternFill patternType="solid">
        <fgColor rgb="FFD9EAF7"/>
      </patternFill>
    </fill>
    <fill>
      <patternFill patternType="solid">
        <fgColor rgb="FFE6E6E6"/>
      </patternFill>
    </fill>
    <fill>
      <patternFill patternType="solid">
        <fgColor rgb="FFBFD7EA"/>
      </patternFill>
    </fill>
    <fill>
      <patternFill patternType="solid">
        <fgColor rgb="FFD9EAF7"/>
      </patternFill>
    </fill>
    <fill>
      <patternFill patternType="solid">
        <fgColor rgb="FFD9E2F3"/>
      </patternFill>
    </fill>
    <fill>
      <patternFill patternType="solid">
        <fgColor rgb="FFE2F0D9"/>
      </patternFill>
    </fill>
    <fill>
      <patternFill patternType="solid">
        <fgColor rgb="FFF2F2F2"/>
      </patternFill>
    </fill>
    <fill>
      <patternFill patternType="solid">
        <fgColor theme="0" tint="-0.14999847407452621"/>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64">
    <xf numFmtId="0" fontId="0" fillId="0" borderId="0" xfId="0"/>
    <xf numFmtId="0" fontId="0" fillId="0" borderId="0" xfId="0" applyAlignment="1">
      <alignment wrapText="1"/>
    </xf>
    <xf numFmtId="0" fontId="0" fillId="0" borderId="0" xfId="0" applyAlignment="1">
      <alignment vertical="top" wrapText="1"/>
    </xf>
    <xf numFmtId="0" fontId="3" fillId="2" borderId="0" xfId="0" applyFont="1" applyFill="1" applyAlignment="1">
      <alignment horizontal="center" vertical="top" wrapText="1"/>
    </xf>
    <xf numFmtId="0" fontId="0" fillId="0" borderId="0" xfId="0" applyAlignment="1">
      <alignment vertical="center" wrapText="1"/>
    </xf>
    <xf numFmtId="0" fontId="0" fillId="0" borderId="0" xfId="0" applyAlignment="1">
      <alignment vertical="center"/>
    </xf>
    <xf numFmtId="0" fontId="0" fillId="0" borderId="0" xfId="0" applyAlignment="1">
      <alignment horizontal="center" vertical="center"/>
    </xf>
    <xf numFmtId="1" fontId="0" fillId="0" borderId="0" xfId="0" applyNumberFormat="1" applyAlignment="1">
      <alignment horizontal="center" vertical="center"/>
    </xf>
    <xf numFmtId="3" fontId="0" fillId="0" borderId="0" xfId="0" applyNumberFormat="1" applyAlignment="1">
      <alignment horizontal="center" vertical="center"/>
    </xf>
    <xf numFmtId="164" fontId="0" fillId="0" borderId="0" xfId="0" applyNumberFormat="1" applyAlignment="1">
      <alignment horizontal="center" vertical="center"/>
    </xf>
    <xf numFmtId="2" fontId="0" fillId="0" borderId="0" xfId="0" applyNumberFormat="1" applyAlignment="1">
      <alignment horizontal="center" vertical="center"/>
    </xf>
    <xf numFmtId="3" fontId="0" fillId="0" borderId="0" xfId="0" applyNumberFormat="1"/>
    <xf numFmtId="2" fontId="0" fillId="0" borderId="0" xfId="0" applyNumberFormat="1"/>
    <xf numFmtId="3" fontId="0" fillId="0" borderId="0" xfId="0" applyNumberFormat="1" applyAlignment="1">
      <alignment horizontal="righ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3" fontId="0" fillId="0" borderId="0" xfId="0" applyNumberFormat="1" applyAlignment="1">
      <alignment horizontal="right"/>
    </xf>
    <xf numFmtId="164" fontId="0" fillId="0" borderId="0" xfId="0" applyNumberFormat="1" applyAlignment="1">
      <alignment horizontal="right"/>
    </xf>
    <xf numFmtId="2" fontId="0" fillId="0" borderId="0" xfId="0" applyNumberFormat="1" applyAlignment="1">
      <alignment horizontal="right"/>
    </xf>
    <xf numFmtId="1" fontId="0" fillId="0" borderId="0" xfId="0" applyNumberFormat="1" applyAlignment="1">
      <alignment horizontal="center"/>
    </xf>
    <xf numFmtId="0" fontId="8" fillId="0" borderId="0" xfId="0" applyFont="1"/>
    <xf numFmtId="0" fontId="6" fillId="0" borderId="0" xfId="0" applyFont="1" applyAlignment="1">
      <alignment horizontal="center" vertical="center" wrapText="1"/>
    </xf>
    <xf numFmtId="0" fontId="6" fillId="0" borderId="0" xfId="0" applyFont="1" applyAlignment="1">
      <alignment horizontal="center" vertical="center"/>
    </xf>
    <xf numFmtId="0" fontId="6" fillId="0" borderId="0" xfId="0" applyFont="1" applyAlignment="1">
      <alignment horizontal="center"/>
    </xf>
    <xf numFmtId="0" fontId="10" fillId="2" borderId="0" xfId="0" applyFont="1" applyFill="1" applyAlignment="1">
      <alignment horizontal="center" vertical="center" wrapText="1"/>
    </xf>
    <xf numFmtId="0" fontId="10" fillId="0" borderId="0" xfId="0" applyFont="1" applyAlignment="1">
      <alignment horizontal="center" vertical="center" wrapText="1"/>
    </xf>
    <xf numFmtId="0" fontId="11" fillId="5" borderId="0" xfId="0" applyFont="1" applyFill="1" applyAlignment="1">
      <alignment horizontal="center" vertical="center"/>
    </xf>
    <xf numFmtId="0" fontId="11" fillId="0" borderId="0" xfId="0" applyFont="1" applyAlignment="1">
      <alignment horizontal="center" vertical="center"/>
    </xf>
    <xf numFmtId="0" fontId="11" fillId="7" borderId="0" xfId="0" applyFont="1" applyFill="1" applyAlignment="1">
      <alignment horizontal="center" vertical="center" wrapText="1"/>
    </xf>
    <xf numFmtId="0" fontId="11" fillId="0" borderId="0" xfId="0" applyFont="1" applyAlignment="1">
      <alignment horizontal="center" vertical="center" wrapText="1"/>
    </xf>
    <xf numFmtId="0" fontId="17" fillId="0" borderId="0" xfId="0" applyFont="1"/>
    <xf numFmtId="165" fontId="0" fillId="0" borderId="0" xfId="0" applyNumberFormat="1"/>
    <xf numFmtId="0" fontId="11" fillId="11" borderId="0" xfId="0" applyFont="1" applyFill="1" applyAlignment="1">
      <alignment horizontal="center" vertical="center"/>
    </xf>
    <xf numFmtId="0" fontId="11" fillId="10" borderId="0" xfId="0" applyFont="1" applyFill="1" applyAlignment="1">
      <alignment horizontal="center" vertical="center"/>
    </xf>
    <xf numFmtId="0" fontId="9" fillId="0" borderId="0" xfId="0" applyFont="1" applyAlignment="1">
      <alignment vertical="top" wrapText="1"/>
    </xf>
    <xf numFmtId="1" fontId="0" fillId="0" borderId="0" xfId="0" applyNumberFormat="1" applyFill="1" applyAlignment="1">
      <alignment horizontal="center" vertical="center"/>
    </xf>
    <xf numFmtId="3" fontId="0" fillId="0" borderId="0" xfId="0" applyNumberFormat="1" applyFill="1" applyAlignment="1">
      <alignment horizontal="right" vertical="center"/>
    </xf>
    <xf numFmtId="164" fontId="0" fillId="0" borderId="0" xfId="0" applyNumberFormat="1" applyFill="1" applyAlignment="1">
      <alignment horizontal="right" vertical="center"/>
    </xf>
    <xf numFmtId="2" fontId="0" fillId="0" borderId="0" xfId="0" applyNumberFormat="1" applyFill="1" applyAlignment="1">
      <alignment horizontal="right" vertical="center"/>
    </xf>
    <xf numFmtId="0" fontId="1" fillId="2" borderId="0" xfId="0" applyFont="1" applyFill="1" applyAlignment="1">
      <alignment vertical="top" wrapText="1"/>
    </xf>
    <xf numFmtId="0" fontId="0" fillId="0" borderId="0" xfId="0" applyAlignment="1">
      <alignment vertical="top" wrapText="1"/>
    </xf>
    <xf numFmtId="0" fontId="2" fillId="3" borderId="0" xfId="0" applyFont="1" applyFill="1" applyAlignment="1">
      <alignment vertical="top" wrapText="1"/>
    </xf>
    <xf numFmtId="0" fontId="12" fillId="0" borderId="0" xfId="0" applyFont="1" applyAlignment="1">
      <alignment horizontal="center"/>
    </xf>
    <xf numFmtId="0" fontId="7" fillId="0" borderId="0" xfId="0" applyFont="1" applyAlignment="1">
      <alignment horizontal="center"/>
    </xf>
    <xf numFmtId="0" fontId="5" fillId="0" borderId="0" xfId="0" applyFont="1" applyAlignment="1">
      <alignment horizontal="center"/>
    </xf>
    <xf numFmtId="0" fontId="6" fillId="8" borderId="0" xfId="0" applyFont="1" applyFill="1" applyAlignment="1">
      <alignment horizontal="center"/>
    </xf>
    <xf numFmtId="0" fontId="6" fillId="9" borderId="0" xfId="0" applyFont="1" applyFill="1" applyAlignment="1">
      <alignment horizontal="center"/>
    </xf>
    <xf numFmtId="0" fontId="4" fillId="0" borderId="0" xfId="0" applyFont="1" applyAlignment="1">
      <alignment horizontal="center" vertical="center" wrapText="1"/>
    </xf>
    <xf numFmtId="0" fontId="0" fillId="0" borderId="0" xfId="0" applyAlignment="1">
      <alignment horizontal="center" vertical="center" wrapText="1"/>
    </xf>
    <xf numFmtId="0" fontId="5" fillId="0" borderId="0" xfId="0" applyFont="1" applyAlignment="1">
      <alignment horizontal="center" vertical="center" wrapText="1"/>
    </xf>
    <xf numFmtId="0" fontId="6" fillId="3" borderId="0" xfId="0" applyFont="1" applyFill="1" applyAlignment="1">
      <alignment horizontal="center" vertical="center" wrapText="1"/>
    </xf>
    <xf numFmtId="0" fontId="16" fillId="0" borderId="0" xfId="0" applyFont="1" applyAlignment="1">
      <alignment wrapText="1"/>
    </xf>
    <xf numFmtId="0" fontId="0" fillId="0" borderId="0" xfId="0" applyAlignment="1">
      <alignment wrapText="1"/>
    </xf>
    <xf numFmtId="0" fontId="13" fillId="0" borderId="0" xfId="0" applyFont="1" applyAlignment="1">
      <alignment horizontal="center" vertical="center"/>
    </xf>
    <xf numFmtId="0" fontId="2" fillId="0" borderId="0" xfId="0" applyFont="1" applyAlignment="1">
      <alignment horizontal="center" vertical="center"/>
    </xf>
    <xf numFmtId="0" fontId="5" fillId="0" borderId="0" xfId="0" applyFont="1" applyAlignment="1">
      <alignment horizontal="center" vertical="center"/>
    </xf>
    <xf numFmtId="0" fontId="6" fillId="4" borderId="0" xfId="0" applyFont="1" applyFill="1" applyAlignment="1">
      <alignment horizontal="center" vertical="center"/>
    </xf>
    <xf numFmtId="0" fontId="12" fillId="0" borderId="0" xfId="0" applyFont="1" applyAlignment="1">
      <alignment horizontal="center" vertical="center"/>
    </xf>
    <xf numFmtId="0" fontId="7" fillId="0" borderId="0" xfId="0" applyFont="1" applyAlignment="1">
      <alignment horizontal="center" vertical="center"/>
    </xf>
    <xf numFmtId="0" fontId="6" fillId="6" borderId="0" xfId="0" applyFont="1" applyFill="1" applyAlignment="1">
      <alignment horizontal="center" vertical="center"/>
    </xf>
    <xf numFmtId="0" fontId="0" fillId="12" borderId="0" xfId="0" applyFill="1" applyAlignment="1">
      <alignment horizontal="center"/>
    </xf>
    <xf numFmtId="0" fontId="0" fillId="13" borderId="0" xfId="0" applyFill="1" applyAlignment="1">
      <alignment horizontal="center"/>
    </xf>
    <xf numFmtId="0" fontId="14" fillId="0" borderId="0" xfId="0" applyFont="1" applyAlignment="1">
      <alignment horizontal="center"/>
    </xf>
    <xf numFmtId="0" fontId="15"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5"/>
  <sheetViews>
    <sheetView tabSelected="1" topLeftCell="A10" workbookViewId="0">
      <selection activeCell="A25" sqref="A25"/>
    </sheetView>
  </sheetViews>
  <sheetFormatPr defaultRowHeight="14.25"/>
  <cols>
    <col min="1" max="1" width="24" customWidth="1"/>
    <col min="2" max="2" width="50.375" customWidth="1"/>
    <col min="3" max="3" width="30.25" customWidth="1"/>
    <col min="4" max="4" width="115" customWidth="1"/>
  </cols>
  <sheetData>
    <row r="1" spans="1:4" ht="21.95" customHeight="1">
      <c r="A1" s="39" t="s">
        <v>0</v>
      </c>
      <c r="B1" s="40"/>
      <c r="C1" s="40"/>
      <c r="D1" s="40"/>
    </row>
    <row r="2" spans="1:4">
      <c r="A2" s="2"/>
      <c r="B2" s="2"/>
      <c r="C2" s="2"/>
      <c r="D2" s="2"/>
    </row>
    <row r="3" spans="1:4" ht="17.45" customHeight="1">
      <c r="A3" s="41" t="s">
        <v>1</v>
      </c>
      <c r="B3" s="40"/>
      <c r="C3" s="40"/>
      <c r="D3" s="40"/>
    </row>
    <row r="4" spans="1:4" ht="28.5">
      <c r="A4" s="2" t="s">
        <v>2</v>
      </c>
      <c r="B4" s="2" t="s">
        <v>3</v>
      </c>
      <c r="C4" s="2"/>
      <c r="D4" s="2"/>
    </row>
    <row r="5" spans="1:4" ht="28.5">
      <c r="A5" s="2" t="s">
        <v>4</v>
      </c>
      <c r="B5" s="2" t="s">
        <v>5</v>
      </c>
      <c r="C5" s="2"/>
      <c r="D5" s="2"/>
    </row>
    <row r="6" spans="1:4" ht="42.75">
      <c r="A6" s="2" t="s">
        <v>6</v>
      </c>
      <c r="B6" s="2" t="s">
        <v>7</v>
      </c>
      <c r="C6" s="2"/>
      <c r="D6" s="2"/>
    </row>
    <row r="7" spans="1:4">
      <c r="A7" s="2" t="s">
        <v>8</v>
      </c>
      <c r="B7" s="2" t="s">
        <v>9</v>
      </c>
      <c r="C7" s="2"/>
      <c r="D7" s="2"/>
    </row>
    <row r="8" spans="1:4">
      <c r="A8" s="2"/>
      <c r="B8" s="2"/>
      <c r="C8" s="2"/>
      <c r="D8" s="2"/>
    </row>
    <row r="9" spans="1:4">
      <c r="A9" s="2"/>
      <c r="B9" s="2"/>
      <c r="C9" s="2"/>
      <c r="D9" s="2"/>
    </row>
    <row r="10" spans="1:4">
      <c r="A10" s="41" t="s">
        <v>10</v>
      </c>
      <c r="B10" s="40"/>
      <c r="C10" s="40"/>
      <c r="D10" s="40"/>
    </row>
    <row r="11" spans="1:4" ht="15">
      <c r="A11" s="3" t="s">
        <v>11</v>
      </c>
      <c r="B11" s="3" t="s">
        <v>12</v>
      </c>
      <c r="C11" s="3" t="s">
        <v>13</v>
      </c>
      <c r="D11" s="3" t="s">
        <v>14</v>
      </c>
    </row>
    <row r="12" spans="1:4" ht="114">
      <c r="A12" s="2" t="s">
        <v>41</v>
      </c>
      <c r="B12" s="34" t="s">
        <v>58</v>
      </c>
      <c r="C12" s="2" t="s">
        <v>36</v>
      </c>
      <c r="D12" s="34" t="s">
        <v>57</v>
      </c>
    </row>
    <row r="13" spans="1:4" ht="99.75">
      <c r="A13" s="2" t="s">
        <v>38</v>
      </c>
      <c r="B13" s="2" t="s">
        <v>43</v>
      </c>
      <c r="C13" s="2" t="s">
        <v>33</v>
      </c>
      <c r="D13" s="34" t="s">
        <v>56</v>
      </c>
    </row>
    <row r="14" spans="1:4" ht="114">
      <c r="A14" s="2" t="s">
        <v>39</v>
      </c>
      <c r="B14" s="2" t="s">
        <v>44</v>
      </c>
      <c r="C14" s="2" t="s">
        <v>34</v>
      </c>
      <c r="D14" s="2" t="s">
        <v>46</v>
      </c>
    </row>
    <row r="15" spans="1:4" ht="114">
      <c r="A15" s="2" t="s">
        <v>40</v>
      </c>
      <c r="B15" s="34" t="s">
        <v>55</v>
      </c>
      <c r="C15" s="2" t="s">
        <v>35</v>
      </c>
      <c r="D15" s="2" t="s">
        <v>63</v>
      </c>
    </row>
    <row r="17" spans="1:4" ht="114">
      <c r="A17" s="2" t="s">
        <v>42</v>
      </c>
      <c r="B17" s="2" t="s">
        <v>45</v>
      </c>
      <c r="C17" s="2" t="s">
        <v>37</v>
      </c>
      <c r="D17" s="1" t="s">
        <v>47</v>
      </c>
    </row>
    <row r="19" spans="1:4">
      <c r="A19" t="s">
        <v>61</v>
      </c>
    </row>
    <row r="20" spans="1:4">
      <c r="A20" t="s">
        <v>59</v>
      </c>
    </row>
    <row r="21" spans="1:4">
      <c r="A21" t="s">
        <v>60</v>
      </c>
    </row>
    <row r="22" spans="1:4">
      <c r="A22" t="s">
        <v>62</v>
      </c>
    </row>
    <row r="24" spans="1:4">
      <c r="A24" t="s">
        <v>64</v>
      </c>
    </row>
    <row r="25" spans="1:4">
      <c r="A25" t="s">
        <v>65</v>
      </c>
    </row>
  </sheetData>
  <mergeCells count="3">
    <mergeCell ref="A1:D1"/>
    <mergeCell ref="A3:D3"/>
    <mergeCell ref="A10:D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08"/>
  <sheetViews>
    <sheetView topLeftCell="C61" workbookViewId="0">
      <selection activeCell="R104" sqref="R104"/>
    </sheetView>
  </sheetViews>
  <sheetFormatPr defaultRowHeight="14.25"/>
  <cols>
    <col min="1" max="1" width="12.5" customWidth="1"/>
    <col min="2" max="2" width="11" customWidth="1"/>
    <col min="3" max="5" width="9" customWidth="1"/>
    <col min="6" max="6" width="10" customWidth="1"/>
    <col min="7" max="7" width="12" customWidth="1"/>
    <col min="8" max="10" width="8" customWidth="1"/>
    <col min="11" max="11" width="11" customWidth="1"/>
    <col min="12" max="14" width="9" customWidth="1"/>
    <col min="15" max="15" width="10" customWidth="1"/>
    <col min="16" max="16" width="12" customWidth="1"/>
    <col min="17" max="18" width="8" customWidth="1"/>
  </cols>
  <sheetData>
    <row r="1" spans="1:18" ht="15.75">
      <c r="A1" s="42" t="s">
        <v>50</v>
      </c>
      <c r="B1" s="43"/>
      <c r="C1" s="43"/>
      <c r="D1" s="43"/>
      <c r="E1" s="43"/>
      <c r="F1" s="43"/>
      <c r="G1" s="43"/>
      <c r="H1" s="43"/>
      <c r="I1" s="43"/>
      <c r="J1" s="43"/>
      <c r="K1" s="43"/>
      <c r="L1" s="43"/>
      <c r="M1" s="43"/>
      <c r="N1" s="43"/>
      <c r="O1" s="43"/>
      <c r="P1" s="43"/>
      <c r="Q1" s="43"/>
      <c r="R1" s="43"/>
    </row>
    <row r="2" spans="1:18">
      <c r="A2" s="44" t="s">
        <v>31</v>
      </c>
      <c r="B2" s="44"/>
      <c r="C2" s="44"/>
      <c r="D2" s="44"/>
      <c r="E2" s="44"/>
      <c r="F2" s="44"/>
      <c r="G2" s="44"/>
      <c r="H2" s="44"/>
      <c r="I2" s="44"/>
      <c r="J2" s="44"/>
      <c r="K2" s="44"/>
      <c r="L2" s="44"/>
      <c r="M2" s="44"/>
      <c r="N2" s="44"/>
      <c r="O2" s="44"/>
      <c r="P2" s="44"/>
      <c r="Q2" s="44"/>
      <c r="R2" s="44"/>
    </row>
    <row r="4" spans="1:18" ht="15">
      <c r="B4" s="45" t="s">
        <v>16</v>
      </c>
      <c r="C4" s="45"/>
      <c r="D4" s="45"/>
      <c r="E4" s="45"/>
      <c r="F4" s="45"/>
      <c r="G4" s="45"/>
      <c r="H4" s="45"/>
      <c r="I4" s="45"/>
      <c r="J4" s="23"/>
      <c r="K4" s="46" t="s">
        <v>17</v>
      </c>
      <c r="L4" s="46"/>
      <c r="M4" s="46"/>
      <c r="N4" s="46"/>
      <c r="O4" s="46"/>
      <c r="P4" s="46"/>
      <c r="Q4" s="46"/>
      <c r="R4" s="46"/>
    </row>
    <row r="5" spans="1:18" ht="26.45" customHeight="1">
      <c r="A5" s="33" t="s">
        <v>18</v>
      </c>
      <c r="B5" s="33" t="s">
        <v>19</v>
      </c>
      <c r="C5" s="33" t="s">
        <v>20</v>
      </c>
      <c r="D5" s="33" t="s">
        <v>21</v>
      </c>
      <c r="E5" s="33" t="s">
        <v>22</v>
      </c>
      <c r="F5" s="33" t="s">
        <v>23</v>
      </c>
      <c r="G5" s="33" t="s">
        <v>24</v>
      </c>
      <c r="H5" s="33" t="s">
        <v>25</v>
      </c>
      <c r="I5" s="33" t="s">
        <v>26</v>
      </c>
      <c r="J5" s="27"/>
      <c r="K5" s="33" t="s">
        <v>19</v>
      </c>
      <c r="L5" s="33" t="s">
        <v>20</v>
      </c>
      <c r="M5" s="33" t="s">
        <v>21</v>
      </c>
      <c r="N5" s="33" t="s">
        <v>22</v>
      </c>
      <c r="O5" s="33" t="s">
        <v>23</v>
      </c>
      <c r="P5" s="33" t="s">
        <v>24</v>
      </c>
      <c r="Q5" s="33" t="s">
        <v>25</v>
      </c>
      <c r="R5" s="33" t="s">
        <v>26</v>
      </c>
    </row>
    <row r="6" spans="1:18">
      <c r="A6" s="19">
        <v>0</v>
      </c>
      <c r="B6" s="16">
        <v>100000</v>
      </c>
      <c r="C6" s="16">
        <v>32723</v>
      </c>
      <c r="D6" s="17">
        <v>0.32723000000000002</v>
      </c>
      <c r="E6" s="17">
        <v>0.67276999999999998</v>
      </c>
      <c r="F6" s="16">
        <v>78466</v>
      </c>
      <c r="G6" s="16">
        <v>2631154</v>
      </c>
      <c r="H6" s="18">
        <v>26.31</v>
      </c>
      <c r="I6" s="18">
        <v>5.54</v>
      </c>
      <c r="J6" s="18"/>
      <c r="K6" s="16">
        <v>100000</v>
      </c>
      <c r="L6" s="16">
        <v>28326</v>
      </c>
      <c r="M6" s="17">
        <v>0.28326000000000001</v>
      </c>
      <c r="N6" s="17">
        <v>0.71674000000000004</v>
      </c>
      <c r="O6" s="16">
        <v>81818</v>
      </c>
      <c r="P6" s="16">
        <v>2905200</v>
      </c>
      <c r="Q6" s="18">
        <v>29.05</v>
      </c>
      <c r="R6" s="18">
        <v>14.52</v>
      </c>
    </row>
    <row r="7" spans="1:18">
      <c r="A7" s="19">
        <v>1</v>
      </c>
      <c r="B7" s="16">
        <v>67277</v>
      </c>
      <c r="C7" s="16">
        <v>7789</v>
      </c>
      <c r="D7" s="17">
        <v>0.11577</v>
      </c>
      <c r="E7" s="17">
        <v>0.88422999999999996</v>
      </c>
      <c r="F7" s="16">
        <v>62993</v>
      </c>
      <c r="G7" s="16">
        <v>2552688</v>
      </c>
      <c r="H7" s="18">
        <v>37.94</v>
      </c>
      <c r="I7" s="18">
        <v>42.77</v>
      </c>
      <c r="J7" s="18"/>
      <c r="K7" s="16">
        <v>71674</v>
      </c>
      <c r="L7" s="16">
        <v>7598</v>
      </c>
      <c r="M7" s="17">
        <v>0.10604</v>
      </c>
      <c r="N7" s="17">
        <v>0.89395999999999998</v>
      </c>
      <c r="O7" s="16">
        <v>67511</v>
      </c>
      <c r="P7" s="16">
        <v>2823382</v>
      </c>
      <c r="Q7" s="18">
        <v>39.39</v>
      </c>
      <c r="R7" s="18">
        <v>45.42</v>
      </c>
    </row>
    <row r="8" spans="1:18">
      <c r="A8" s="19">
        <v>2</v>
      </c>
      <c r="B8" s="16">
        <v>59488</v>
      </c>
      <c r="C8" s="16">
        <v>4166</v>
      </c>
      <c r="D8" s="17">
        <v>7.0029999999999995E-2</v>
      </c>
      <c r="E8" s="17">
        <v>0.92996999999999996</v>
      </c>
      <c r="F8" s="16">
        <v>57191</v>
      </c>
      <c r="G8" s="16">
        <v>2489695</v>
      </c>
      <c r="H8" s="18">
        <v>41.85</v>
      </c>
      <c r="I8" s="18">
        <v>47.92</v>
      </c>
      <c r="J8" s="18"/>
      <c r="K8" s="16">
        <v>64076</v>
      </c>
      <c r="L8" s="16">
        <v>4173</v>
      </c>
      <c r="M8" s="17">
        <v>6.5129999999999993E-2</v>
      </c>
      <c r="N8" s="17">
        <v>0.93486999999999998</v>
      </c>
      <c r="O8" s="16">
        <v>61783</v>
      </c>
      <c r="P8" s="16">
        <v>2755871</v>
      </c>
      <c r="Q8" s="18">
        <v>43.01</v>
      </c>
      <c r="R8" s="18">
        <v>49.91</v>
      </c>
    </row>
    <row r="9" spans="1:18">
      <c r="A9" s="19">
        <v>3</v>
      </c>
      <c r="B9" s="16">
        <v>55322</v>
      </c>
      <c r="C9" s="16">
        <v>2652</v>
      </c>
      <c r="D9" s="17">
        <v>4.7940000000000003E-2</v>
      </c>
      <c r="E9" s="17">
        <v>0.95206000000000002</v>
      </c>
      <c r="F9" s="16">
        <v>53903</v>
      </c>
      <c r="G9" s="16">
        <v>2432504</v>
      </c>
      <c r="H9" s="18">
        <v>43.97</v>
      </c>
      <c r="I9" s="18">
        <v>49.82</v>
      </c>
      <c r="J9" s="18"/>
      <c r="K9" s="16">
        <v>59903</v>
      </c>
      <c r="L9" s="16">
        <v>2641</v>
      </c>
      <c r="M9" s="17">
        <v>4.4089999999999997E-2</v>
      </c>
      <c r="N9" s="17">
        <v>0.95591000000000004</v>
      </c>
      <c r="O9" s="16">
        <v>58493</v>
      </c>
      <c r="P9" s="16">
        <v>2694088</v>
      </c>
      <c r="Q9" s="18">
        <v>44.97</v>
      </c>
      <c r="R9" s="18">
        <v>51.4</v>
      </c>
    </row>
    <row r="10" spans="1:18">
      <c r="A10" s="19">
        <v>4</v>
      </c>
      <c r="B10" s="16">
        <v>52670</v>
      </c>
      <c r="C10" s="16">
        <v>1935</v>
      </c>
      <c r="D10" s="17">
        <v>3.6740000000000002E-2</v>
      </c>
      <c r="E10" s="17">
        <v>0.96326000000000001</v>
      </c>
      <c r="F10" s="16">
        <v>51649</v>
      </c>
      <c r="G10" s="16">
        <v>2378601</v>
      </c>
      <c r="H10" s="18">
        <v>45.16</v>
      </c>
      <c r="I10" s="18">
        <v>50.51</v>
      </c>
      <c r="J10" s="18"/>
      <c r="K10" s="16">
        <v>57262</v>
      </c>
      <c r="L10" s="16">
        <v>1934</v>
      </c>
      <c r="M10" s="17">
        <v>3.3770000000000001E-2</v>
      </c>
      <c r="N10" s="17">
        <v>0.96623000000000003</v>
      </c>
      <c r="O10" s="16">
        <v>56242</v>
      </c>
      <c r="P10" s="16">
        <v>2635595</v>
      </c>
      <c r="Q10" s="18">
        <v>46.03</v>
      </c>
      <c r="R10" s="18">
        <v>51.82</v>
      </c>
    </row>
    <row r="11" spans="1:18">
      <c r="A11" s="19">
        <v>5</v>
      </c>
      <c r="B11" s="16">
        <v>50735</v>
      </c>
      <c r="C11" s="16">
        <v>1368</v>
      </c>
      <c r="D11" s="17">
        <v>2.6960000000000001E-2</v>
      </c>
      <c r="E11" s="17">
        <v>0.97304000000000002</v>
      </c>
      <c r="F11" s="16">
        <v>50010</v>
      </c>
      <c r="G11" s="16">
        <v>2326952</v>
      </c>
      <c r="H11" s="18">
        <v>45.86</v>
      </c>
      <c r="I11" s="18">
        <v>50.68</v>
      </c>
      <c r="J11" s="18"/>
      <c r="K11" s="16">
        <v>55328</v>
      </c>
      <c r="L11" s="16">
        <v>1370</v>
      </c>
      <c r="M11" s="17">
        <v>2.4760000000000001E-2</v>
      </c>
      <c r="N11" s="17">
        <v>0.97524</v>
      </c>
      <c r="O11" s="16">
        <v>54602</v>
      </c>
      <c r="P11" s="16">
        <v>2579353</v>
      </c>
      <c r="Q11" s="18">
        <v>46.62</v>
      </c>
      <c r="R11" s="18">
        <v>51.79</v>
      </c>
    </row>
    <row r="12" spans="1:18">
      <c r="A12" s="19">
        <v>6</v>
      </c>
      <c r="B12" s="16">
        <v>49367</v>
      </c>
      <c r="C12" s="16">
        <v>950</v>
      </c>
      <c r="D12" s="17">
        <v>1.924E-2</v>
      </c>
      <c r="E12" s="17">
        <v>0.98075999999999997</v>
      </c>
      <c r="F12" s="16">
        <v>48863</v>
      </c>
      <c r="G12" s="16">
        <v>2276942</v>
      </c>
      <c r="H12" s="18">
        <v>46.12</v>
      </c>
      <c r="I12" s="18">
        <v>50.47</v>
      </c>
      <c r="J12" s="18"/>
      <c r="K12" s="16">
        <v>53958</v>
      </c>
      <c r="L12" s="16">
        <v>950</v>
      </c>
      <c r="M12" s="17">
        <v>1.7610000000000001E-2</v>
      </c>
      <c r="N12" s="17">
        <v>0.98238999999999999</v>
      </c>
      <c r="O12" s="16">
        <v>53454</v>
      </c>
      <c r="P12" s="16">
        <v>2524751</v>
      </c>
      <c r="Q12" s="18">
        <v>46.79</v>
      </c>
      <c r="R12" s="18">
        <v>51.45</v>
      </c>
    </row>
    <row r="13" spans="1:18">
      <c r="A13" s="19">
        <v>7</v>
      </c>
      <c r="B13" s="16">
        <v>48417</v>
      </c>
      <c r="C13" s="16">
        <v>684</v>
      </c>
      <c r="D13" s="17">
        <v>1.413E-2</v>
      </c>
      <c r="E13" s="17">
        <v>0.98587000000000002</v>
      </c>
      <c r="F13" s="16">
        <v>48057</v>
      </c>
      <c r="G13" s="16">
        <v>2228079</v>
      </c>
      <c r="H13" s="18">
        <v>46.02</v>
      </c>
      <c r="I13" s="18">
        <v>50.01</v>
      </c>
      <c r="J13" s="18"/>
      <c r="K13" s="16">
        <v>53008</v>
      </c>
      <c r="L13" s="16">
        <v>672</v>
      </c>
      <c r="M13" s="17">
        <v>1.268E-2</v>
      </c>
      <c r="N13" s="17">
        <v>0.98731999999999998</v>
      </c>
      <c r="O13" s="16">
        <v>52654</v>
      </c>
      <c r="P13" s="16">
        <v>2471297</v>
      </c>
      <c r="Q13" s="18">
        <v>46.62</v>
      </c>
      <c r="R13" s="18">
        <v>50.9</v>
      </c>
    </row>
    <row r="14" spans="1:18">
      <c r="A14" s="19">
        <v>8</v>
      </c>
      <c r="B14" s="16">
        <v>47733</v>
      </c>
      <c r="C14" s="16">
        <v>527</v>
      </c>
      <c r="D14" s="17">
        <v>1.1039999999999999E-2</v>
      </c>
      <c r="E14" s="17">
        <v>0.98895999999999995</v>
      </c>
      <c r="F14" s="16">
        <v>27459</v>
      </c>
      <c r="G14" s="16">
        <v>2180022</v>
      </c>
      <c r="H14" s="18">
        <v>45.67</v>
      </c>
      <c r="I14" s="18">
        <v>49.38</v>
      </c>
      <c r="J14" s="18"/>
      <c r="K14" s="16">
        <v>52336</v>
      </c>
      <c r="L14" s="16">
        <v>509</v>
      </c>
      <c r="M14" s="17">
        <v>9.7300000000000008E-3</v>
      </c>
      <c r="N14" s="17">
        <v>0.99026999999999998</v>
      </c>
      <c r="O14" s="16">
        <v>52071</v>
      </c>
      <c r="P14" s="16">
        <v>2418643</v>
      </c>
      <c r="Q14" s="18">
        <v>46.21</v>
      </c>
      <c r="R14" s="18">
        <v>50.2</v>
      </c>
    </row>
    <row r="15" spans="1:18">
      <c r="A15" s="19">
        <v>9</v>
      </c>
      <c r="B15" s="16">
        <v>47206</v>
      </c>
      <c r="C15" s="16">
        <v>434</v>
      </c>
      <c r="D15" s="17">
        <v>9.1900000000000003E-3</v>
      </c>
      <c r="E15" s="17">
        <v>0.99080999999999997</v>
      </c>
      <c r="F15" s="16">
        <v>66983</v>
      </c>
      <c r="G15" s="16">
        <v>2152563</v>
      </c>
      <c r="H15" s="18">
        <v>45.6</v>
      </c>
      <c r="I15" s="18">
        <v>48.66</v>
      </c>
      <c r="J15" s="18"/>
      <c r="K15" s="16">
        <v>51827</v>
      </c>
      <c r="L15" s="16">
        <v>415</v>
      </c>
      <c r="M15" s="17">
        <v>8.0099999999999998E-3</v>
      </c>
      <c r="N15" s="17">
        <v>0.99199000000000004</v>
      </c>
      <c r="O15" s="16">
        <v>51613</v>
      </c>
      <c r="P15" s="16">
        <v>2366572</v>
      </c>
      <c r="Q15" s="18">
        <v>45.66</v>
      </c>
      <c r="R15" s="18">
        <v>49.43</v>
      </c>
    </row>
    <row r="16" spans="1:18">
      <c r="A16" s="19">
        <v>10</v>
      </c>
      <c r="B16" s="16">
        <v>46772</v>
      </c>
      <c r="C16" s="16">
        <v>379</v>
      </c>
      <c r="D16" s="17">
        <v>8.0999999999999996E-3</v>
      </c>
      <c r="E16" s="17">
        <v>0.9919</v>
      </c>
      <c r="F16" s="16">
        <v>46578</v>
      </c>
      <c r="G16" s="16">
        <v>2085580</v>
      </c>
      <c r="H16" s="18">
        <v>44.59</v>
      </c>
      <c r="I16" s="18">
        <v>47.9</v>
      </c>
      <c r="J16" s="18"/>
      <c r="K16" s="16">
        <v>51412</v>
      </c>
      <c r="L16" s="16">
        <v>361</v>
      </c>
      <c r="M16" s="17">
        <v>7.0200000000000002E-3</v>
      </c>
      <c r="N16" s="17">
        <v>0.99297999999999997</v>
      </c>
      <c r="O16" s="16">
        <v>51228</v>
      </c>
      <c r="P16" s="16">
        <v>2314959</v>
      </c>
      <c r="Q16" s="18">
        <v>45.03</v>
      </c>
      <c r="R16" s="18">
        <v>48.62</v>
      </c>
    </row>
    <row r="17" spans="1:18">
      <c r="A17" s="19">
        <v>11</v>
      </c>
      <c r="B17" s="16">
        <v>46393</v>
      </c>
      <c r="C17" s="16">
        <v>330</v>
      </c>
      <c r="D17" s="17">
        <v>7.11E-3</v>
      </c>
      <c r="E17" s="17">
        <v>0.99289000000000005</v>
      </c>
      <c r="F17" s="16">
        <v>46225</v>
      </c>
      <c r="G17" s="16">
        <v>2039002</v>
      </c>
      <c r="H17" s="18">
        <v>43.95</v>
      </c>
      <c r="I17" s="18">
        <v>47.1</v>
      </c>
      <c r="J17" s="18"/>
      <c r="K17" s="16">
        <v>51051</v>
      </c>
      <c r="L17" s="16">
        <v>319</v>
      </c>
      <c r="M17" s="17">
        <v>6.2500000000000003E-3</v>
      </c>
      <c r="N17" s="17">
        <v>0.99375000000000002</v>
      </c>
      <c r="O17" s="16">
        <v>50889</v>
      </c>
      <c r="P17" s="16">
        <v>2263731</v>
      </c>
      <c r="Q17" s="18">
        <v>44.34</v>
      </c>
      <c r="R17" s="18">
        <v>47.78</v>
      </c>
    </row>
    <row r="18" spans="1:18">
      <c r="A18" s="19">
        <v>12</v>
      </c>
      <c r="B18" s="16">
        <v>46063</v>
      </c>
      <c r="C18" s="16">
        <v>297</v>
      </c>
      <c r="D18" s="17">
        <v>6.45E-3</v>
      </c>
      <c r="E18" s="17">
        <v>0.99355000000000004</v>
      </c>
      <c r="F18" s="16">
        <v>45912</v>
      </c>
      <c r="G18" s="16">
        <v>1992777</v>
      </c>
      <c r="H18" s="18">
        <v>43.26</v>
      </c>
      <c r="I18" s="18">
        <v>46.27</v>
      </c>
      <c r="J18" s="18"/>
      <c r="K18" s="16">
        <v>50732</v>
      </c>
      <c r="L18" s="16">
        <v>295</v>
      </c>
      <c r="M18" s="17">
        <v>5.8100000000000001E-3</v>
      </c>
      <c r="N18" s="17">
        <v>0.99419000000000002</v>
      </c>
      <c r="O18" s="16">
        <v>50583</v>
      </c>
      <c r="P18" s="16">
        <v>2212842</v>
      </c>
      <c r="Q18" s="18">
        <v>43.62</v>
      </c>
      <c r="R18" s="18">
        <v>46.93</v>
      </c>
    </row>
    <row r="19" spans="1:18">
      <c r="A19" s="19">
        <v>13</v>
      </c>
      <c r="B19" s="16">
        <v>45766</v>
      </c>
      <c r="C19" s="16">
        <v>275</v>
      </c>
      <c r="D19" s="17">
        <v>6.0099999999999997E-3</v>
      </c>
      <c r="E19" s="17">
        <v>0.99399000000000004</v>
      </c>
      <c r="F19" s="16">
        <v>45627</v>
      </c>
      <c r="G19" s="16">
        <v>1946865</v>
      </c>
      <c r="H19" s="18">
        <v>42.54</v>
      </c>
      <c r="I19" s="18">
        <v>45.43</v>
      </c>
      <c r="J19" s="18"/>
      <c r="K19" s="16">
        <v>50437</v>
      </c>
      <c r="L19" s="16">
        <v>286</v>
      </c>
      <c r="M19" s="17">
        <v>5.6699999999999997E-3</v>
      </c>
      <c r="N19" s="17">
        <v>0.99433000000000005</v>
      </c>
      <c r="O19" s="16">
        <v>50294</v>
      </c>
      <c r="P19" s="16">
        <v>2162259</v>
      </c>
      <c r="Q19" s="18">
        <v>42.87</v>
      </c>
      <c r="R19" s="18">
        <v>46.06</v>
      </c>
    </row>
    <row r="20" spans="1:18">
      <c r="A20" s="19">
        <v>14</v>
      </c>
      <c r="B20" s="16">
        <v>45491</v>
      </c>
      <c r="C20" s="16">
        <v>269</v>
      </c>
      <c r="D20" s="17">
        <v>5.8900000000000003E-3</v>
      </c>
      <c r="E20" s="17">
        <v>0.99411000000000005</v>
      </c>
      <c r="F20" s="16">
        <v>45357</v>
      </c>
      <c r="G20" s="16">
        <v>1901238</v>
      </c>
      <c r="H20" s="18">
        <v>41.79</v>
      </c>
      <c r="I20" s="18">
        <v>44.57</v>
      </c>
      <c r="J20" s="18"/>
      <c r="K20" s="16">
        <v>50151</v>
      </c>
      <c r="L20" s="16">
        <v>291</v>
      </c>
      <c r="M20" s="17">
        <v>5.7999999999999996E-3</v>
      </c>
      <c r="N20" s="17">
        <v>0.99419999999999997</v>
      </c>
      <c r="O20" s="16">
        <v>50006</v>
      </c>
      <c r="P20" s="16">
        <v>2111965</v>
      </c>
      <c r="Q20" s="18">
        <v>42.11</v>
      </c>
      <c r="R20" s="18">
        <v>45.18</v>
      </c>
    </row>
    <row r="21" spans="1:18">
      <c r="A21" s="19">
        <v>15</v>
      </c>
      <c r="B21" s="16">
        <v>45222</v>
      </c>
      <c r="C21" s="16">
        <v>275</v>
      </c>
      <c r="D21" s="17">
        <v>6.0800000000000003E-3</v>
      </c>
      <c r="E21" s="17">
        <v>0.99392000000000003</v>
      </c>
      <c r="F21" s="16">
        <v>45085</v>
      </c>
      <c r="G21" s="16">
        <v>1855881</v>
      </c>
      <c r="H21" s="18">
        <v>41.04</v>
      </c>
      <c r="I21" s="18">
        <v>43.71</v>
      </c>
      <c r="J21" s="18"/>
      <c r="K21" s="16">
        <v>49860</v>
      </c>
      <c r="L21" s="16">
        <v>301</v>
      </c>
      <c r="M21" s="17">
        <v>6.0400000000000002E-3</v>
      </c>
      <c r="N21" s="17">
        <v>0.99395999999999995</v>
      </c>
      <c r="O21" s="16">
        <v>49710</v>
      </c>
      <c r="P21" s="16">
        <v>2061959</v>
      </c>
      <c r="Q21" s="18">
        <v>41.35</v>
      </c>
      <c r="R21" s="18">
        <v>44.31</v>
      </c>
    </row>
    <row r="22" spans="1:18">
      <c r="A22" s="19">
        <v>16</v>
      </c>
      <c r="B22" s="16">
        <v>44947</v>
      </c>
      <c r="C22" s="16">
        <v>288</v>
      </c>
      <c r="D22" s="17">
        <v>6.4099999999999999E-3</v>
      </c>
      <c r="E22" s="17">
        <v>0.99358999999999997</v>
      </c>
      <c r="F22" s="16">
        <v>44804</v>
      </c>
      <c r="G22" s="16">
        <v>1810796</v>
      </c>
      <c r="H22" s="18">
        <v>40.29</v>
      </c>
      <c r="I22" s="18">
        <v>42.85</v>
      </c>
      <c r="J22" s="18"/>
      <c r="K22" s="16">
        <v>49559</v>
      </c>
      <c r="L22" s="16">
        <v>312</v>
      </c>
      <c r="M22" s="17">
        <v>6.3E-3</v>
      </c>
      <c r="N22" s="17">
        <v>0.99370000000000003</v>
      </c>
      <c r="O22" s="16">
        <v>49404</v>
      </c>
      <c r="P22" s="16">
        <v>2012249</v>
      </c>
      <c r="Q22" s="18">
        <v>40.6</v>
      </c>
      <c r="R22" s="18">
        <v>43.44</v>
      </c>
    </row>
    <row r="23" spans="1:18">
      <c r="A23" s="19">
        <v>17</v>
      </c>
      <c r="B23" s="16">
        <v>44659</v>
      </c>
      <c r="C23" s="16">
        <v>304</v>
      </c>
      <c r="D23" s="17">
        <v>6.8100000000000001E-3</v>
      </c>
      <c r="E23" s="17">
        <v>0.99319000000000002</v>
      </c>
      <c r="F23" s="16">
        <v>44508</v>
      </c>
      <c r="G23" s="16">
        <v>1765992</v>
      </c>
      <c r="H23" s="18">
        <v>39.54</v>
      </c>
      <c r="I23" s="18">
        <v>42</v>
      </c>
      <c r="J23" s="18"/>
      <c r="K23" s="16">
        <v>49247</v>
      </c>
      <c r="L23" s="16">
        <v>323</v>
      </c>
      <c r="M23" s="17">
        <v>6.5599999999999999E-3</v>
      </c>
      <c r="N23" s="17">
        <v>0.99343999999999999</v>
      </c>
      <c r="O23" s="16">
        <v>49086</v>
      </c>
      <c r="P23" s="16">
        <v>1962845</v>
      </c>
      <c r="Q23" s="18">
        <v>39.86</v>
      </c>
      <c r="R23" s="18">
        <v>42.58</v>
      </c>
    </row>
    <row r="24" spans="1:18">
      <c r="A24" s="19">
        <v>18</v>
      </c>
      <c r="B24" s="16">
        <v>44355</v>
      </c>
      <c r="C24" s="16">
        <v>318</v>
      </c>
      <c r="D24" s="17">
        <v>7.1700000000000002E-3</v>
      </c>
      <c r="E24" s="17">
        <v>0.99282999999999999</v>
      </c>
      <c r="F24" s="16">
        <v>44197</v>
      </c>
      <c r="G24" s="16">
        <v>1721484</v>
      </c>
      <c r="H24" s="18">
        <v>38.81</v>
      </c>
      <c r="I24" s="18">
        <v>41.16</v>
      </c>
      <c r="J24" s="18"/>
      <c r="K24" s="16">
        <v>48924</v>
      </c>
      <c r="L24" s="16">
        <v>332</v>
      </c>
      <c r="M24" s="17">
        <v>6.79E-3</v>
      </c>
      <c r="N24" s="17">
        <v>0.99321000000000004</v>
      </c>
      <c r="O24" s="16">
        <v>48759</v>
      </c>
      <c r="P24" s="16">
        <v>1913759</v>
      </c>
      <c r="Q24" s="18">
        <v>39.119999999999997</v>
      </c>
      <c r="R24" s="18">
        <v>41.72</v>
      </c>
    </row>
    <row r="25" spans="1:18">
      <c r="A25" s="19">
        <v>19</v>
      </c>
      <c r="B25" s="16">
        <v>44037</v>
      </c>
      <c r="C25" s="16">
        <v>331</v>
      </c>
      <c r="D25" s="17">
        <v>7.5199999999999998E-3</v>
      </c>
      <c r="E25" s="17">
        <v>0.99248000000000003</v>
      </c>
      <c r="F25" s="16">
        <v>43873</v>
      </c>
      <c r="G25" s="16">
        <v>1677287</v>
      </c>
      <c r="H25" s="18">
        <v>38.090000000000003</v>
      </c>
      <c r="I25" s="18">
        <v>40.32</v>
      </c>
      <c r="J25" s="18"/>
      <c r="K25" s="16">
        <v>48592</v>
      </c>
      <c r="L25" s="16">
        <v>343</v>
      </c>
      <c r="M25" s="17">
        <v>7.0600000000000003E-3</v>
      </c>
      <c r="N25" s="17">
        <v>0.99294000000000004</v>
      </c>
      <c r="O25" s="16">
        <v>48422</v>
      </c>
      <c r="P25" s="16">
        <v>1865000</v>
      </c>
      <c r="Q25" s="18">
        <v>38.380000000000003</v>
      </c>
      <c r="R25" s="18">
        <v>40.86</v>
      </c>
    </row>
    <row r="26" spans="1:18">
      <c r="A26" s="19">
        <v>20</v>
      </c>
      <c r="B26" s="16">
        <v>43706</v>
      </c>
      <c r="C26" s="16">
        <v>344</v>
      </c>
      <c r="D26" s="17">
        <v>7.8700000000000003E-3</v>
      </c>
      <c r="E26" s="17">
        <v>0.99212999999999996</v>
      </c>
      <c r="F26" s="16">
        <v>43535</v>
      </c>
      <c r="G26" s="16">
        <v>1633414</v>
      </c>
      <c r="H26" s="18">
        <v>37.369999999999997</v>
      </c>
      <c r="I26" s="18">
        <v>39.49</v>
      </c>
      <c r="J26" s="18"/>
      <c r="K26" s="16">
        <v>48249</v>
      </c>
      <c r="L26" s="16">
        <v>356</v>
      </c>
      <c r="M26" s="17">
        <v>7.3800000000000003E-3</v>
      </c>
      <c r="N26" s="17">
        <v>0.99261999999999995</v>
      </c>
      <c r="O26" s="16">
        <v>48072</v>
      </c>
      <c r="P26" s="16">
        <v>1816578</v>
      </c>
      <c r="Q26" s="18">
        <v>37.65</v>
      </c>
      <c r="R26" s="18">
        <v>40.01</v>
      </c>
    </row>
    <row r="27" spans="1:18">
      <c r="A27" s="19">
        <v>21</v>
      </c>
      <c r="B27" s="16">
        <v>43362</v>
      </c>
      <c r="C27" s="16">
        <v>357</v>
      </c>
      <c r="D27" s="17">
        <v>8.2299999999999995E-3</v>
      </c>
      <c r="E27" s="17">
        <v>0.99177000000000004</v>
      </c>
      <c r="F27" s="16">
        <v>43185</v>
      </c>
      <c r="G27" s="16">
        <v>1589879</v>
      </c>
      <c r="H27" s="18">
        <v>36.67</v>
      </c>
      <c r="I27" s="18">
        <v>38.659999999999997</v>
      </c>
      <c r="J27" s="18"/>
      <c r="K27" s="16">
        <v>47893</v>
      </c>
      <c r="L27" s="16">
        <v>369</v>
      </c>
      <c r="M27" s="17">
        <v>7.7000000000000002E-3</v>
      </c>
      <c r="N27" s="17">
        <v>0.99229999999999996</v>
      </c>
      <c r="O27" s="16">
        <v>47710</v>
      </c>
      <c r="P27" s="16">
        <v>1768506</v>
      </c>
      <c r="Q27" s="18">
        <v>36.93</v>
      </c>
      <c r="R27" s="18">
        <v>39.159999999999997</v>
      </c>
    </row>
    <row r="28" spans="1:18">
      <c r="A28" s="19">
        <v>22</v>
      </c>
      <c r="B28" s="16">
        <v>43005</v>
      </c>
      <c r="C28" s="16">
        <v>368</v>
      </c>
      <c r="D28" s="17">
        <v>8.5599999999999999E-3</v>
      </c>
      <c r="E28" s="17">
        <v>0.99143999999999999</v>
      </c>
      <c r="F28" s="16">
        <v>42822</v>
      </c>
      <c r="G28" s="16">
        <v>1546694</v>
      </c>
      <c r="H28" s="18">
        <v>35.97</v>
      </c>
      <c r="I28" s="18">
        <v>37.840000000000003</v>
      </c>
      <c r="J28" s="18"/>
      <c r="K28" s="16">
        <v>47524</v>
      </c>
      <c r="L28" s="16">
        <v>381</v>
      </c>
      <c r="M28" s="17">
        <v>8.0199999999999994E-3</v>
      </c>
      <c r="N28" s="17">
        <v>0.99197999999999997</v>
      </c>
      <c r="O28" s="16">
        <v>47335</v>
      </c>
      <c r="P28" s="16">
        <v>1720796</v>
      </c>
      <c r="Q28" s="18">
        <v>36.21</v>
      </c>
      <c r="R28" s="18">
        <v>38.32</v>
      </c>
    </row>
    <row r="29" spans="1:18">
      <c r="A29" s="19">
        <v>23</v>
      </c>
      <c r="B29" s="16">
        <v>42637</v>
      </c>
      <c r="C29" s="16">
        <v>376</v>
      </c>
      <c r="D29" s="17">
        <v>8.8199999999999997E-3</v>
      </c>
      <c r="E29" s="17">
        <v>0.99117999999999995</v>
      </c>
      <c r="F29" s="16">
        <v>42450</v>
      </c>
      <c r="G29" s="16">
        <v>1503872</v>
      </c>
      <c r="H29" s="18">
        <v>35.270000000000003</v>
      </c>
      <c r="I29" s="18">
        <v>37.020000000000003</v>
      </c>
      <c r="J29" s="18"/>
      <c r="K29" s="16">
        <v>47143</v>
      </c>
      <c r="L29" s="16">
        <v>393</v>
      </c>
      <c r="M29" s="17">
        <v>8.3400000000000002E-3</v>
      </c>
      <c r="N29" s="17">
        <v>0.99165999999999999</v>
      </c>
      <c r="O29" s="16">
        <v>46947</v>
      </c>
      <c r="P29" s="16">
        <v>1673461</v>
      </c>
      <c r="Q29" s="18">
        <v>35.5</v>
      </c>
      <c r="R29" s="18">
        <v>37.479999999999997</v>
      </c>
    </row>
    <row r="30" spans="1:18">
      <c r="A30" s="19">
        <v>24</v>
      </c>
      <c r="B30" s="16">
        <v>42261</v>
      </c>
      <c r="C30" s="16">
        <v>381</v>
      </c>
      <c r="D30" s="17">
        <v>9.0200000000000002E-3</v>
      </c>
      <c r="E30" s="17">
        <v>0.99097999999999997</v>
      </c>
      <c r="F30" s="16">
        <v>42071</v>
      </c>
      <c r="G30" s="16">
        <v>1461422</v>
      </c>
      <c r="H30" s="18">
        <v>34.58</v>
      </c>
      <c r="I30" s="18">
        <v>36.21</v>
      </c>
      <c r="J30" s="18"/>
      <c r="K30" s="16">
        <v>46750</v>
      </c>
      <c r="L30" s="16">
        <v>404</v>
      </c>
      <c r="M30" s="17">
        <v>8.6400000000000001E-3</v>
      </c>
      <c r="N30" s="17">
        <v>0.99136000000000002</v>
      </c>
      <c r="O30" s="16">
        <v>46549</v>
      </c>
      <c r="P30" s="16">
        <v>1626514</v>
      </c>
      <c r="Q30" s="18">
        <v>34.79</v>
      </c>
      <c r="R30" s="18">
        <v>36.64</v>
      </c>
    </row>
    <row r="31" spans="1:18">
      <c r="A31" s="19">
        <v>25</v>
      </c>
      <c r="B31" s="16">
        <v>41880</v>
      </c>
      <c r="C31" s="16">
        <v>383</v>
      </c>
      <c r="D31" s="17">
        <v>9.1500000000000001E-3</v>
      </c>
      <c r="E31" s="17">
        <v>0.99085000000000001</v>
      </c>
      <c r="F31" s="16">
        <v>41689</v>
      </c>
      <c r="G31" s="16">
        <v>1419351</v>
      </c>
      <c r="H31" s="18">
        <v>33.89</v>
      </c>
      <c r="I31" s="18">
        <v>35.4</v>
      </c>
      <c r="J31" s="18"/>
      <c r="K31" s="16">
        <v>46346</v>
      </c>
      <c r="L31" s="16">
        <v>412</v>
      </c>
      <c r="M31" s="17">
        <v>8.8900000000000003E-3</v>
      </c>
      <c r="N31" s="17">
        <v>0.99111000000000005</v>
      </c>
      <c r="O31" s="16">
        <v>46141</v>
      </c>
      <c r="P31" s="16">
        <v>1579965</v>
      </c>
      <c r="Q31" s="18">
        <v>34.090000000000003</v>
      </c>
      <c r="R31" s="18">
        <v>35.81</v>
      </c>
    </row>
    <row r="32" spans="1:18">
      <c r="A32" s="19">
        <v>26</v>
      </c>
      <c r="B32" s="16">
        <v>41497</v>
      </c>
      <c r="C32" s="16">
        <v>382</v>
      </c>
      <c r="D32" s="17">
        <v>9.2099999999999994E-3</v>
      </c>
      <c r="E32" s="17">
        <v>0.99078999999999995</v>
      </c>
      <c r="F32" s="16">
        <v>41306</v>
      </c>
      <c r="G32" s="16">
        <v>1377662</v>
      </c>
      <c r="H32" s="18">
        <v>33.200000000000003</v>
      </c>
      <c r="I32" s="18">
        <v>34.58</v>
      </c>
      <c r="J32" s="18"/>
      <c r="K32" s="16">
        <v>45934</v>
      </c>
      <c r="L32" s="16">
        <v>419</v>
      </c>
      <c r="M32" s="17">
        <v>9.1199999999999996E-3</v>
      </c>
      <c r="N32" s="17">
        <v>0.99087999999999998</v>
      </c>
      <c r="O32" s="16">
        <v>45725</v>
      </c>
      <c r="P32" s="16">
        <v>1533824</v>
      </c>
      <c r="Q32" s="18">
        <v>33.39</v>
      </c>
      <c r="R32" s="18">
        <v>34.99</v>
      </c>
    </row>
    <row r="33" spans="1:18">
      <c r="A33" s="19">
        <v>27</v>
      </c>
      <c r="B33" s="16">
        <v>41115</v>
      </c>
      <c r="C33" s="16">
        <v>381</v>
      </c>
      <c r="D33" s="17">
        <v>9.2700000000000005E-3</v>
      </c>
      <c r="E33" s="17">
        <v>0.99073</v>
      </c>
      <c r="F33" s="16">
        <v>40924</v>
      </c>
      <c r="G33" s="16">
        <v>1336356</v>
      </c>
      <c r="H33" s="18">
        <v>32.5</v>
      </c>
      <c r="I33" s="18">
        <v>33.770000000000003</v>
      </c>
      <c r="J33" s="18"/>
      <c r="K33" s="16">
        <v>45515</v>
      </c>
      <c r="L33" s="16">
        <v>423</v>
      </c>
      <c r="M33" s="17">
        <v>9.2899999999999996E-3</v>
      </c>
      <c r="N33" s="17">
        <v>0.99070999999999998</v>
      </c>
      <c r="O33" s="16">
        <v>45304</v>
      </c>
      <c r="P33" s="16">
        <v>1488099</v>
      </c>
      <c r="Q33" s="18">
        <v>32.69</v>
      </c>
      <c r="R33" s="18">
        <v>34.159999999999997</v>
      </c>
    </row>
    <row r="34" spans="1:18">
      <c r="A34" s="19">
        <v>28</v>
      </c>
      <c r="B34" s="16">
        <v>40734</v>
      </c>
      <c r="C34" s="16">
        <v>380</v>
      </c>
      <c r="D34" s="17">
        <v>9.3299999999999998E-3</v>
      </c>
      <c r="E34" s="17">
        <v>0.99067000000000005</v>
      </c>
      <c r="F34" s="16">
        <v>40544</v>
      </c>
      <c r="G34" s="16">
        <v>1295432</v>
      </c>
      <c r="H34" s="18">
        <v>31.8</v>
      </c>
      <c r="I34" s="18">
        <v>32.96</v>
      </c>
      <c r="J34" s="18"/>
      <c r="K34" s="16">
        <v>45092</v>
      </c>
      <c r="L34" s="16">
        <v>427</v>
      </c>
      <c r="M34" s="17">
        <v>9.4699999999999993E-3</v>
      </c>
      <c r="N34" s="17">
        <v>0.99053000000000002</v>
      </c>
      <c r="O34" s="16">
        <v>44879</v>
      </c>
      <c r="P34" s="16">
        <v>1442795</v>
      </c>
      <c r="Q34" s="18">
        <v>32</v>
      </c>
      <c r="R34" s="18">
        <v>33.33</v>
      </c>
    </row>
    <row r="35" spans="1:18">
      <c r="A35" s="19">
        <v>29</v>
      </c>
      <c r="B35" s="16">
        <v>40354</v>
      </c>
      <c r="C35" s="16">
        <v>380</v>
      </c>
      <c r="D35" s="17">
        <v>9.4199999999999996E-3</v>
      </c>
      <c r="E35" s="17">
        <v>0.99058000000000002</v>
      </c>
      <c r="F35" s="16">
        <v>40164</v>
      </c>
      <c r="G35" s="16">
        <v>1254888</v>
      </c>
      <c r="H35" s="18">
        <v>31.1</v>
      </c>
      <c r="I35" s="18">
        <v>32.14</v>
      </c>
      <c r="J35" s="18"/>
      <c r="K35" s="16">
        <v>44665</v>
      </c>
      <c r="L35" s="16">
        <v>430</v>
      </c>
      <c r="M35" s="17">
        <v>9.6299999999999997E-3</v>
      </c>
      <c r="N35" s="17">
        <v>0.99036999999999997</v>
      </c>
      <c r="O35" s="16">
        <v>44450</v>
      </c>
      <c r="P35" s="16">
        <v>1397916</v>
      </c>
      <c r="Q35" s="18">
        <v>31.3</v>
      </c>
      <c r="R35" s="18">
        <v>32.51</v>
      </c>
    </row>
    <row r="36" spans="1:18">
      <c r="A36" s="19">
        <v>30</v>
      </c>
      <c r="B36" s="16">
        <v>39974</v>
      </c>
      <c r="C36" s="16">
        <v>383</v>
      </c>
      <c r="D36" s="17">
        <v>9.58E-3</v>
      </c>
      <c r="E36" s="17">
        <v>0.99041999999999997</v>
      </c>
      <c r="F36" s="16">
        <v>39783</v>
      </c>
      <c r="G36" s="16">
        <v>1214724</v>
      </c>
      <c r="H36" s="18">
        <v>30.39</v>
      </c>
      <c r="I36" s="18">
        <v>31.33</v>
      </c>
      <c r="J36" s="18"/>
      <c r="K36" s="16">
        <v>44235</v>
      </c>
      <c r="L36" s="16">
        <v>434</v>
      </c>
      <c r="M36" s="17">
        <v>9.8099999999999993E-3</v>
      </c>
      <c r="N36" s="17">
        <v>0.99019000000000001</v>
      </c>
      <c r="O36" s="16">
        <v>44018</v>
      </c>
      <c r="P36" s="16">
        <v>1353466</v>
      </c>
      <c r="Q36" s="18">
        <v>30.6</v>
      </c>
      <c r="R36" s="18">
        <v>31.69</v>
      </c>
    </row>
    <row r="37" spans="1:18">
      <c r="A37" s="19">
        <v>31</v>
      </c>
      <c r="B37" s="16">
        <v>39591</v>
      </c>
      <c r="C37" s="16">
        <v>388</v>
      </c>
      <c r="D37" s="17">
        <v>9.7999999999999997E-3</v>
      </c>
      <c r="E37" s="17">
        <v>0.99019999999999997</v>
      </c>
      <c r="F37" s="16">
        <v>39398</v>
      </c>
      <c r="G37" s="16">
        <v>1174941</v>
      </c>
      <c r="H37" s="18">
        <v>29.68</v>
      </c>
      <c r="I37" s="18">
        <v>30.51</v>
      </c>
      <c r="J37" s="18"/>
      <c r="K37" s="16">
        <v>43801</v>
      </c>
      <c r="L37" s="16">
        <v>440</v>
      </c>
      <c r="M37" s="17">
        <v>1.005E-2</v>
      </c>
      <c r="N37" s="17">
        <v>0.98995</v>
      </c>
      <c r="O37" s="16">
        <v>43582</v>
      </c>
      <c r="P37" s="16">
        <v>1309448</v>
      </c>
      <c r="Q37" s="18">
        <v>29.9</v>
      </c>
      <c r="R37" s="18">
        <v>30.87</v>
      </c>
    </row>
    <row r="38" spans="1:18">
      <c r="A38" s="19">
        <v>32</v>
      </c>
      <c r="B38" s="16">
        <v>39203</v>
      </c>
      <c r="C38" s="16">
        <v>395</v>
      </c>
      <c r="D38" s="17">
        <v>1.008E-2</v>
      </c>
      <c r="E38" s="17">
        <v>0.98992000000000002</v>
      </c>
      <c r="F38" s="16">
        <v>39006</v>
      </c>
      <c r="G38" s="16">
        <v>1135543</v>
      </c>
      <c r="H38" s="18">
        <v>28.97</v>
      </c>
      <c r="I38" s="18">
        <v>29.7</v>
      </c>
      <c r="J38" s="18"/>
      <c r="K38" s="16">
        <v>43361</v>
      </c>
      <c r="L38" s="16">
        <v>448</v>
      </c>
      <c r="M38" s="17">
        <v>1.0330000000000001E-2</v>
      </c>
      <c r="N38" s="17">
        <v>0.98967000000000005</v>
      </c>
      <c r="O38" s="16">
        <v>43138</v>
      </c>
      <c r="P38" s="16">
        <v>1265866</v>
      </c>
      <c r="Q38" s="18">
        <v>29.19</v>
      </c>
      <c r="R38" s="18">
        <v>30.05</v>
      </c>
    </row>
    <row r="39" spans="1:18">
      <c r="A39" s="19">
        <v>33</v>
      </c>
      <c r="B39" s="16">
        <v>38808</v>
      </c>
      <c r="C39" s="16">
        <v>404</v>
      </c>
      <c r="D39" s="17">
        <v>1.0410000000000001E-2</v>
      </c>
      <c r="E39" s="17">
        <v>0.98958999999999997</v>
      </c>
      <c r="F39" s="16">
        <v>38607</v>
      </c>
      <c r="G39" s="16">
        <v>1096537</v>
      </c>
      <c r="H39" s="18">
        <v>28.26</v>
      </c>
      <c r="I39" s="18">
        <v>28.89</v>
      </c>
      <c r="J39" s="18"/>
      <c r="K39" s="16">
        <v>42913</v>
      </c>
      <c r="L39" s="16">
        <v>457</v>
      </c>
      <c r="M39" s="17">
        <v>1.065E-2</v>
      </c>
      <c r="N39" s="17">
        <v>0.98934999999999995</v>
      </c>
      <c r="O39" s="16">
        <v>42685</v>
      </c>
      <c r="P39" s="16">
        <v>1222728</v>
      </c>
      <c r="Q39" s="18">
        <v>28.49</v>
      </c>
      <c r="R39" s="18">
        <v>29.23</v>
      </c>
    </row>
    <row r="40" spans="1:18">
      <c r="A40" s="19">
        <v>34</v>
      </c>
      <c r="B40" s="16">
        <v>38404</v>
      </c>
      <c r="C40" s="16">
        <v>416</v>
      </c>
      <c r="D40" s="17">
        <v>1.0829999999999999E-2</v>
      </c>
      <c r="E40" s="17">
        <v>0.98916999999999999</v>
      </c>
      <c r="F40" s="16">
        <v>38197</v>
      </c>
      <c r="G40" s="16">
        <v>1057930</v>
      </c>
      <c r="H40" s="18">
        <v>27.55</v>
      </c>
      <c r="I40" s="18">
        <v>28.08</v>
      </c>
      <c r="J40" s="18"/>
      <c r="K40" s="16">
        <v>42456</v>
      </c>
      <c r="L40" s="16">
        <v>467</v>
      </c>
      <c r="M40" s="17">
        <v>1.0999999999999999E-2</v>
      </c>
      <c r="N40" s="17">
        <v>0.98899999999999999</v>
      </c>
      <c r="O40" s="16">
        <v>42223</v>
      </c>
      <c r="P40" s="16">
        <v>1180043</v>
      </c>
      <c r="Q40" s="18">
        <v>27.79</v>
      </c>
      <c r="R40" s="18">
        <v>28.42</v>
      </c>
    </row>
    <row r="41" spans="1:18">
      <c r="A41" s="19">
        <v>35</v>
      </c>
      <c r="B41" s="16">
        <v>37988</v>
      </c>
      <c r="C41" s="16">
        <v>429</v>
      </c>
      <c r="D41" s="17">
        <v>1.129E-2</v>
      </c>
      <c r="E41" s="17">
        <v>0.98870999999999998</v>
      </c>
      <c r="F41" s="16">
        <v>37775</v>
      </c>
      <c r="G41" s="16">
        <v>1019733</v>
      </c>
      <c r="H41" s="18">
        <v>26.84</v>
      </c>
      <c r="I41" s="18">
        <v>27.28</v>
      </c>
      <c r="J41" s="18"/>
      <c r="K41" s="16">
        <v>41989</v>
      </c>
      <c r="L41" s="16">
        <v>477</v>
      </c>
      <c r="M41" s="17">
        <v>1.136E-2</v>
      </c>
      <c r="N41" s="17">
        <v>0.98863999999999996</v>
      </c>
      <c r="O41" s="16">
        <v>41751</v>
      </c>
      <c r="P41" s="16">
        <v>1137820</v>
      </c>
      <c r="Q41" s="18">
        <v>27.1</v>
      </c>
      <c r="R41" s="18">
        <v>27.61</v>
      </c>
    </row>
    <row r="42" spans="1:18">
      <c r="A42" s="19">
        <v>36</v>
      </c>
      <c r="B42" s="16">
        <v>37559</v>
      </c>
      <c r="C42" s="16">
        <v>444</v>
      </c>
      <c r="D42" s="17">
        <v>1.1820000000000001E-2</v>
      </c>
      <c r="E42" s="17">
        <v>0.98817999999999995</v>
      </c>
      <c r="F42" s="16">
        <v>37338</v>
      </c>
      <c r="G42" s="16">
        <v>981958</v>
      </c>
      <c r="H42" s="18">
        <v>26.14</v>
      </c>
      <c r="I42" s="18">
        <v>26.48</v>
      </c>
      <c r="J42" s="18"/>
      <c r="K42" s="16">
        <v>41512</v>
      </c>
      <c r="L42" s="16">
        <v>488</v>
      </c>
      <c r="M42" s="17">
        <v>1.176E-2</v>
      </c>
      <c r="N42" s="17">
        <v>0.98824000000000001</v>
      </c>
      <c r="O42" s="16">
        <v>41269</v>
      </c>
      <c r="P42" s="16">
        <v>1096069</v>
      </c>
      <c r="Q42" s="18">
        <v>26.4</v>
      </c>
      <c r="R42" s="18">
        <v>26.8</v>
      </c>
    </row>
    <row r="43" spans="1:18">
      <c r="A43" s="19">
        <v>37</v>
      </c>
      <c r="B43" s="16">
        <v>37115</v>
      </c>
      <c r="C43" s="16">
        <v>460</v>
      </c>
      <c r="D43" s="17">
        <v>1.24E-2</v>
      </c>
      <c r="E43" s="17">
        <v>0.98760000000000003</v>
      </c>
      <c r="F43" s="16">
        <v>36886</v>
      </c>
      <c r="G43" s="16">
        <v>944620</v>
      </c>
      <c r="H43" s="18">
        <v>25.45</v>
      </c>
      <c r="I43" s="18">
        <v>25.69</v>
      </c>
      <c r="J43" s="18"/>
      <c r="K43" s="16">
        <v>41024</v>
      </c>
      <c r="L43" s="16">
        <v>499</v>
      </c>
      <c r="M43" s="17">
        <v>1.2160000000000001E-2</v>
      </c>
      <c r="N43" s="17">
        <v>0.98784000000000005</v>
      </c>
      <c r="O43" s="16">
        <v>40775</v>
      </c>
      <c r="P43" s="16">
        <v>1054800</v>
      </c>
      <c r="Q43" s="18">
        <v>25.71</v>
      </c>
      <c r="R43" s="18">
        <v>26</v>
      </c>
    </row>
    <row r="44" spans="1:18">
      <c r="A44" s="19">
        <v>38</v>
      </c>
      <c r="B44" s="16">
        <v>36655</v>
      </c>
      <c r="C44" s="16">
        <v>478</v>
      </c>
      <c r="D44" s="17">
        <v>1.304E-2</v>
      </c>
      <c r="E44" s="17">
        <v>0.98695999999999995</v>
      </c>
      <c r="F44" s="16">
        <v>36418</v>
      </c>
      <c r="G44" s="16">
        <v>907734</v>
      </c>
      <c r="H44" s="18">
        <v>24.76</v>
      </c>
      <c r="I44" s="18">
        <v>24.91</v>
      </c>
      <c r="J44" s="18"/>
      <c r="K44" s="16">
        <v>40525</v>
      </c>
      <c r="L44" s="16">
        <v>511</v>
      </c>
      <c r="M44" s="17">
        <v>1.261E-2</v>
      </c>
      <c r="N44" s="17">
        <v>0.98738999999999999</v>
      </c>
      <c r="O44" s="16">
        <v>40270</v>
      </c>
      <c r="P44" s="16">
        <v>1014025</v>
      </c>
      <c r="Q44" s="18">
        <v>25.02</v>
      </c>
      <c r="R44" s="18">
        <v>25.2</v>
      </c>
    </row>
    <row r="45" spans="1:18">
      <c r="A45" s="19">
        <v>39</v>
      </c>
      <c r="B45" s="16">
        <v>36177</v>
      </c>
      <c r="C45" s="16">
        <v>496</v>
      </c>
      <c r="D45" s="17">
        <v>1.371E-2</v>
      </c>
      <c r="E45" s="17">
        <v>0.98629</v>
      </c>
      <c r="F45" s="16">
        <v>35931</v>
      </c>
      <c r="G45" s="16">
        <v>871316</v>
      </c>
      <c r="H45" s="18">
        <v>24.08</v>
      </c>
      <c r="I45" s="18">
        <v>24.14</v>
      </c>
      <c r="J45" s="18"/>
      <c r="K45" s="16">
        <v>40014</v>
      </c>
      <c r="L45" s="16">
        <v>522</v>
      </c>
      <c r="M45" s="17">
        <v>1.3050000000000001E-2</v>
      </c>
      <c r="N45" s="17">
        <v>0.98694999999999999</v>
      </c>
      <c r="O45" s="16">
        <v>39754</v>
      </c>
      <c r="P45" s="16">
        <v>973755</v>
      </c>
      <c r="Q45" s="18">
        <v>24.34</v>
      </c>
      <c r="R45" s="18">
        <v>24.41</v>
      </c>
    </row>
    <row r="46" spans="1:18">
      <c r="A46" s="19">
        <v>40</v>
      </c>
      <c r="B46" s="16">
        <v>35681</v>
      </c>
      <c r="C46" s="16">
        <v>515</v>
      </c>
      <c r="D46" s="17">
        <v>1.443E-2</v>
      </c>
      <c r="E46" s="17">
        <v>0.98556999999999995</v>
      </c>
      <c r="F46" s="16">
        <v>35425</v>
      </c>
      <c r="G46" s="16">
        <v>835385</v>
      </c>
      <c r="H46" s="18">
        <v>23.41</v>
      </c>
      <c r="I46" s="18">
        <v>23.37</v>
      </c>
      <c r="J46" s="18"/>
      <c r="K46" s="16">
        <v>39492</v>
      </c>
      <c r="L46" s="16">
        <v>533</v>
      </c>
      <c r="M46" s="17">
        <v>1.35E-2</v>
      </c>
      <c r="N46" s="17">
        <v>0.98650000000000004</v>
      </c>
      <c r="O46" s="16">
        <v>39226</v>
      </c>
      <c r="P46" s="16">
        <v>934001</v>
      </c>
      <c r="Q46" s="18">
        <v>23.65</v>
      </c>
      <c r="R46" s="18">
        <v>23.62</v>
      </c>
    </row>
    <row r="47" spans="1:18">
      <c r="A47" s="19">
        <v>41</v>
      </c>
      <c r="B47" s="16">
        <v>35166</v>
      </c>
      <c r="C47" s="16">
        <v>535</v>
      </c>
      <c r="D47" s="17">
        <v>1.521E-2</v>
      </c>
      <c r="E47" s="17">
        <v>0.98479000000000005</v>
      </c>
      <c r="F47" s="16">
        <v>34900</v>
      </c>
      <c r="G47" s="16">
        <v>799960</v>
      </c>
      <c r="H47" s="18">
        <v>22.75</v>
      </c>
      <c r="I47" s="18">
        <v>22.61</v>
      </c>
      <c r="J47" s="18"/>
      <c r="K47" s="16">
        <v>38959</v>
      </c>
      <c r="L47" s="16">
        <v>544</v>
      </c>
      <c r="M47" s="17">
        <v>1.396E-2</v>
      </c>
      <c r="N47" s="17">
        <v>0.98604000000000003</v>
      </c>
      <c r="O47" s="16">
        <v>38688</v>
      </c>
      <c r="P47" s="16">
        <v>894775</v>
      </c>
      <c r="Q47" s="18">
        <v>22.97</v>
      </c>
      <c r="R47" s="18">
        <v>22.83</v>
      </c>
    </row>
    <row r="48" spans="1:18">
      <c r="A48" s="19">
        <v>42</v>
      </c>
      <c r="B48" s="16">
        <v>34631</v>
      </c>
      <c r="C48" s="16">
        <v>554</v>
      </c>
      <c r="D48" s="17">
        <v>1.6E-2</v>
      </c>
      <c r="E48" s="17">
        <v>0.98399999999999999</v>
      </c>
      <c r="F48" s="16">
        <v>34356</v>
      </c>
      <c r="G48" s="16">
        <v>765060</v>
      </c>
      <c r="H48" s="18">
        <v>22.09</v>
      </c>
      <c r="I48" s="18">
        <v>21.87</v>
      </c>
      <c r="J48" s="18"/>
      <c r="K48" s="16">
        <v>38415</v>
      </c>
      <c r="L48" s="16">
        <v>556</v>
      </c>
      <c r="M48" s="17">
        <v>1.447E-2</v>
      </c>
      <c r="N48" s="17">
        <v>0.98553000000000002</v>
      </c>
      <c r="O48" s="16">
        <v>38138</v>
      </c>
      <c r="P48" s="16">
        <v>856087</v>
      </c>
      <c r="Q48" s="18">
        <v>22.29</v>
      </c>
      <c r="R48" s="18">
        <v>22.05</v>
      </c>
    </row>
    <row r="49" spans="1:18">
      <c r="A49" s="19">
        <v>43</v>
      </c>
      <c r="B49" s="16">
        <v>34077</v>
      </c>
      <c r="C49" s="16">
        <v>573</v>
      </c>
      <c r="D49" s="17">
        <v>1.6809999999999999E-2</v>
      </c>
      <c r="E49" s="17">
        <v>0.98319000000000001</v>
      </c>
      <c r="F49" s="16">
        <v>33792</v>
      </c>
      <c r="G49" s="16">
        <v>730704</v>
      </c>
      <c r="H49" s="18">
        <v>21.44</v>
      </c>
      <c r="I49" s="18">
        <v>21.13</v>
      </c>
      <c r="J49" s="18"/>
      <c r="K49" s="16">
        <v>37859</v>
      </c>
      <c r="L49" s="16">
        <v>571</v>
      </c>
      <c r="M49" s="17">
        <v>1.508E-2</v>
      </c>
      <c r="N49" s="17">
        <v>0.98492000000000002</v>
      </c>
      <c r="O49" s="16">
        <v>37575</v>
      </c>
      <c r="P49" s="16">
        <v>817949</v>
      </c>
      <c r="Q49" s="18">
        <v>21.61</v>
      </c>
      <c r="R49" s="18">
        <v>21.28</v>
      </c>
    </row>
    <row r="50" spans="1:18">
      <c r="A50" s="19">
        <v>44</v>
      </c>
      <c r="B50" s="16">
        <v>33504</v>
      </c>
      <c r="C50" s="16">
        <v>591</v>
      </c>
      <c r="D50" s="17">
        <v>1.7639999999999999E-2</v>
      </c>
      <c r="E50" s="17">
        <v>0.98236000000000001</v>
      </c>
      <c r="F50" s="16">
        <v>33210</v>
      </c>
      <c r="G50" s="16">
        <v>696912</v>
      </c>
      <c r="H50" s="18">
        <v>20.8</v>
      </c>
      <c r="I50" s="18">
        <v>20.399999999999999</v>
      </c>
      <c r="J50" s="18"/>
      <c r="K50" s="16">
        <v>37288</v>
      </c>
      <c r="L50" s="16">
        <v>586</v>
      </c>
      <c r="M50" s="17">
        <v>1.5720000000000001E-2</v>
      </c>
      <c r="N50" s="17">
        <v>0.98428000000000004</v>
      </c>
      <c r="O50" s="16">
        <v>36996</v>
      </c>
      <c r="P50" s="16">
        <v>780374</v>
      </c>
      <c r="Q50" s="18">
        <v>20.93</v>
      </c>
      <c r="R50" s="18">
        <v>20.51</v>
      </c>
    </row>
    <row r="51" spans="1:18">
      <c r="A51" s="19">
        <v>45</v>
      </c>
      <c r="B51" s="16">
        <v>32913</v>
      </c>
      <c r="C51" s="16">
        <v>610</v>
      </c>
      <c r="D51" s="17">
        <v>1.8530000000000001E-2</v>
      </c>
      <c r="E51" s="17">
        <v>0.98146999999999995</v>
      </c>
      <c r="F51" s="16">
        <v>32610</v>
      </c>
      <c r="G51" s="16">
        <v>663702</v>
      </c>
      <c r="H51" s="18">
        <v>20.170000000000002</v>
      </c>
      <c r="I51" s="18">
        <v>19.68</v>
      </c>
      <c r="J51" s="18"/>
      <c r="K51" s="16">
        <v>36702</v>
      </c>
      <c r="L51" s="16">
        <v>604</v>
      </c>
      <c r="M51" s="17">
        <v>1.6459999999999999E-2</v>
      </c>
      <c r="N51" s="17">
        <v>0.98353999999999997</v>
      </c>
      <c r="O51" s="16">
        <v>36402</v>
      </c>
      <c r="P51" s="16">
        <v>743378</v>
      </c>
      <c r="Q51" s="18">
        <v>20.25</v>
      </c>
      <c r="R51" s="18">
        <v>19.739999999999998</v>
      </c>
    </row>
    <row r="52" spans="1:18">
      <c r="A52" s="19">
        <v>46</v>
      </c>
      <c r="B52" s="16">
        <v>32303</v>
      </c>
      <c r="C52" s="16">
        <v>628</v>
      </c>
      <c r="D52" s="17">
        <v>1.9439999999999999E-2</v>
      </c>
      <c r="E52" s="17">
        <v>0.98055999999999999</v>
      </c>
      <c r="F52" s="16">
        <v>31990</v>
      </c>
      <c r="G52" s="16">
        <v>631092</v>
      </c>
      <c r="H52" s="18">
        <v>19.54</v>
      </c>
      <c r="I52" s="18">
        <v>18.97</v>
      </c>
      <c r="J52" s="18"/>
      <c r="K52" s="16">
        <v>36098</v>
      </c>
      <c r="L52" s="16">
        <v>625</v>
      </c>
      <c r="M52" s="17">
        <v>1.7309999999999999E-2</v>
      </c>
      <c r="N52" s="17">
        <v>0.98268999999999995</v>
      </c>
      <c r="O52" s="16">
        <v>35787</v>
      </c>
      <c r="P52" s="16">
        <v>706976</v>
      </c>
      <c r="Q52" s="18">
        <v>19.579999999999998</v>
      </c>
      <c r="R52" s="18">
        <v>18.989999999999998</v>
      </c>
    </row>
    <row r="53" spans="1:18">
      <c r="A53" s="19">
        <v>47</v>
      </c>
      <c r="B53" s="16">
        <v>31675</v>
      </c>
      <c r="C53" s="16">
        <v>645</v>
      </c>
      <c r="D53" s="17">
        <v>2.036E-2</v>
      </c>
      <c r="E53" s="17">
        <v>0.97963999999999996</v>
      </c>
      <c r="F53" s="16">
        <v>31354</v>
      </c>
      <c r="G53" s="16">
        <v>599102</v>
      </c>
      <c r="H53" s="18">
        <v>18.91</v>
      </c>
      <c r="I53" s="18">
        <v>18.260000000000002</v>
      </c>
      <c r="J53" s="18"/>
      <c r="K53" s="16">
        <v>35473</v>
      </c>
      <c r="L53" s="16">
        <v>646</v>
      </c>
      <c r="M53" s="17">
        <v>1.821E-2</v>
      </c>
      <c r="N53" s="17">
        <v>0.98179000000000005</v>
      </c>
      <c r="O53" s="16">
        <v>35152</v>
      </c>
      <c r="P53" s="16">
        <v>671189</v>
      </c>
      <c r="Q53" s="18">
        <v>18.920000000000002</v>
      </c>
      <c r="R53" s="18">
        <v>18.239999999999998</v>
      </c>
    </row>
    <row r="54" spans="1:18">
      <c r="A54" s="19">
        <v>48</v>
      </c>
      <c r="B54" s="16">
        <v>31030</v>
      </c>
      <c r="C54" s="16">
        <v>662</v>
      </c>
      <c r="D54" s="17">
        <v>2.1350000000000001E-2</v>
      </c>
      <c r="E54" s="17">
        <v>0.97865000000000002</v>
      </c>
      <c r="F54" s="16">
        <v>30670</v>
      </c>
      <c r="G54" s="16">
        <v>567748</v>
      </c>
      <c r="H54" s="18">
        <v>18.3</v>
      </c>
      <c r="I54" s="18">
        <v>17.57</v>
      </c>
      <c r="J54" s="18"/>
      <c r="K54" s="16">
        <v>34827</v>
      </c>
      <c r="L54" s="16">
        <v>670</v>
      </c>
      <c r="M54" s="17">
        <v>1.924E-2</v>
      </c>
      <c r="N54" s="17">
        <v>0.98075999999999997</v>
      </c>
      <c r="O54" s="16">
        <v>34494</v>
      </c>
      <c r="P54" s="16">
        <v>636037</v>
      </c>
      <c r="Q54" s="18">
        <v>18.260000000000002</v>
      </c>
      <c r="R54" s="18">
        <v>17.5</v>
      </c>
    </row>
    <row r="55" spans="1:18">
      <c r="A55" s="19">
        <v>49</v>
      </c>
      <c r="B55" s="16">
        <v>30368</v>
      </c>
      <c r="C55" s="16">
        <v>680</v>
      </c>
      <c r="D55" s="17">
        <v>2.239E-2</v>
      </c>
      <c r="E55" s="17">
        <v>0.97760999999999998</v>
      </c>
      <c r="F55" s="16">
        <v>30030</v>
      </c>
      <c r="G55" s="16">
        <v>537078</v>
      </c>
      <c r="H55" s="18">
        <v>17.690000000000001</v>
      </c>
      <c r="I55" s="18">
        <v>16.88</v>
      </c>
      <c r="J55" s="18"/>
      <c r="K55" s="16">
        <v>34157</v>
      </c>
      <c r="L55" s="16">
        <v>698</v>
      </c>
      <c r="M55" s="17">
        <v>2.044E-2</v>
      </c>
      <c r="N55" s="17">
        <v>0.97955999999999999</v>
      </c>
      <c r="O55" s="16">
        <v>33810</v>
      </c>
      <c r="P55" s="16">
        <v>601543</v>
      </c>
      <c r="Q55" s="18">
        <v>17.61</v>
      </c>
      <c r="R55" s="18">
        <v>16.78</v>
      </c>
    </row>
    <row r="56" spans="1:18">
      <c r="A56" s="19">
        <v>50</v>
      </c>
      <c r="B56" s="16">
        <v>29688</v>
      </c>
      <c r="C56" s="16">
        <v>699</v>
      </c>
      <c r="D56" s="17">
        <v>2.3550000000000001E-2</v>
      </c>
      <c r="E56" s="17">
        <v>0.97645000000000004</v>
      </c>
      <c r="F56" s="16">
        <v>29340</v>
      </c>
      <c r="G56" s="16">
        <v>507048</v>
      </c>
      <c r="H56" s="18">
        <v>17.079999999999998</v>
      </c>
      <c r="I56" s="18">
        <v>16.21</v>
      </c>
      <c r="J56" s="18"/>
      <c r="K56" s="16">
        <v>33459</v>
      </c>
      <c r="L56" s="16">
        <v>729</v>
      </c>
      <c r="M56" s="17">
        <v>2.179E-2</v>
      </c>
      <c r="N56" s="17">
        <v>0.97821000000000002</v>
      </c>
      <c r="O56" s="16">
        <v>33097</v>
      </c>
      <c r="P56" s="16">
        <v>567733</v>
      </c>
      <c r="Q56" s="18">
        <v>16.97</v>
      </c>
      <c r="R56" s="18">
        <v>16.059999999999999</v>
      </c>
    </row>
    <row r="57" spans="1:18">
      <c r="A57" s="19">
        <v>51</v>
      </c>
      <c r="B57" s="16">
        <v>28989</v>
      </c>
      <c r="C57" s="16">
        <v>720</v>
      </c>
      <c r="D57" s="17">
        <v>2.4840000000000001E-2</v>
      </c>
      <c r="E57" s="17">
        <v>0.97516000000000003</v>
      </c>
      <c r="F57" s="16">
        <v>28631</v>
      </c>
      <c r="G57" s="16">
        <v>477708</v>
      </c>
      <c r="H57" s="18">
        <v>16.48</v>
      </c>
      <c r="I57" s="18">
        <v>15.55</v>
      </c>
      <c r="J57" s="18"/>
      <c r="K57" s="16">
        <v>32730</v>
      </c>
      <c r="L57" s="16">
        <v>764</v>
      </c>
      <c r="M57" s="17">
        <v>2.334E-2</v>
      </c>
      <c r="N57" s="17">
        <v>0.97665999999999997</v>
      </c>
      <c r="O57" s="16">
        <v>32351</v>
      </c>
      <c r="P57" s="16">
        <v>534636</v>
      </c>
      <c r="Q57" s="18">
        <v>16.329999999999998</v>
      </c>
      <c r="R57" s="18">
        <v>15.36</v>
      </c>
    </row>
    <row r="58" spans="1:18">
      <c r="A58" s="19">
        <v>52</v>
      </c>
      <c r="B58" s="16">
        <v>28269</v>
      </c>
      <c r="C58" s="16">
        <v>745</v>
      </c>
      <c r="D58" s="17">
        <v>2.6349999999999998E-2</v>
      </c>
      <c r="E58" s="17">
        <v>0.97365000000000002</v>
      </c>
      <c r="F58" s="16">
        <v>27899</v>
      </c>
      <c r="G58" s="16">
        <v>449077</v>
      </c>
      <c r="H58" s="18">
        <v>15.89</v>
      </c>
      <c r="I58" s="18">
        <v>14.89</v>
      </c>
      <c r="J58" s="18"/>
      <c r="K58" s="16">
        <v>31966</v>
      </c>
      <c r="L58" s="16">
        <v>804</v>
      </c>
      <c r="M58" s="17">
        <v>2.5149999999999999E-2</v>
      </c>
      <c r="N58" s="17">
        <v>0.97484999999999999</v>
      </c>
      <c r="O58" s="16">
        <v>31568</v>
      </c>
      <c r="P58" s="16">
        <v>502285</v>
      </c>
      <c r="Q58" s="18">
        <v>15.71</v>
      </c>
      <c r="R58" s="18">
        <v>14.67</v>
      </c>
    </row>
    <row r="59" spans="1:18">
      <c r="A59" s="19">
        <v>53</v>
      </c>
      <c r="B59" s="16">
        <v>27524</v>
      </c>
      <c r="C59" s="16">
        <v>774</v>
      </c>
      <c r="D59" s="17">
        <v>2.8119999999999999E-2</v>
      </c>
      <c r="E59" s="17">
        <v>0.97187999999999997</v>
      </c>
      <c r="F59" s="16">
        <v>27140</v>
      </c>
      <c r="G59" s="16">
        <v>421178</v>
      </c>
      <c r="H59" s="18">
        <v>15.3</v>
      </c>
      <c r="I59" s="18">
        <v>14.26</v>
      </c>
      <c r="J59" s="18"/>
      <c r="K59" s="16">
        <v>31162</v>
      </c>
      <c r="L59" s="16">
        <v>850</v>
      </c>
      <c r="M59" s="17">
        <v>2.7279999999999999E-2</v>
      </c>
      <c r="N59" s="17">
        <v>0.97272000000000003</v>
      </c>
      <c r="O59" s="16">
        <v>30741</v>
      </c>
      <c r="P59" s="16">
        <v>470717</v>
      </c>
      <c r="Q59" s="18">
        <v>15.11</v>
      </c>
      <c r="R59" s="18">
        <v>14.01</v>
      </c>
    </row>
    <row r="60" spans="1:18">
      <c r="A60" s="19">
        <v>54</v>
      </c>
      <c r="B60" s="16">
        <v>26750</v>
      </c>
      <c r="C60" s="16">
        <v>808</v>
      </c>
      <c r="D60" s="17">
        <v>3.0210000000000001E-2</v>
      </c>
      <c r="E60" s="17">
        <v>0.96979000000000004</v>
      </c>
      <c r="F60" s="16">
        <v>26349</v>
      </c>
      <c r="G60" s="16">
        <v>394038</v>
      </c>
      <c r="H60" s="18">
        <v>14.73</v>
      </c>
      <c r="I60" s="18">
        <v>13.64</v>
      </c>
      <c r="J60" s="18"/>
      <c r="K60" s="16">
        <v>30312</v>
      </c>
      <c r="L60" s="16">
        <v>900</v>
      </c>
      <c r="M60" s="17">
        <v>2.9690000000000001E-2</v>
      </c>
      <c r="N60" s="17">
        <v>0.97031000000000001</v>
      </c>
      <c r="O60" s="16">
        <v>29866</v>
      </c>
      <c r="P60" s="16">
        <v>439976</v>
      </c>
      <c r="Q60" s="18">
        <v>14.51</v>
      </c>
      <c r="R60" s="18">
        <v>13.36</v>
      </c>
    </row>
    <row r="61" spans="1:18">
      <c r="A61" s="19">
        <v>55</v>
      </c>
      <c r="B61" s="16">
        <v>25942</v>
      </c>
      <c r="C61" s="16">
        <v>844</v>
      </c>
      <c r="D61" s="17">
        <v>3.2550000000000003E-2</v>
      </c>
      <c r="E61" s="17">
        <v>0.96745000000000003</v>
      </c>
      <c r="F61" s="16">
        <v>25523</v>
      </c>
      <c r="G61" s="16">
        <v>367689</v>
      </c>
      <c r="H61" s="18">
        <v>14.17</v>
      </c>
      <c r="I61" s="18">
        <v>13.04</v>
      </c>
      <c r="J61" s="18"/>
      <c r="K61" s="16">
        <v>29412</v>
      </c>
      <c r="L61" s="16">
        <v>953</v>
      </c>
      <c r="M61" s="17">
        <v>3.2399999999999998E-2</v>
      </c>
      <c r="N61" s="17">
        <v>0.96760000000000002</v>
      </c>
      <c r="O61" s="16">
        <v>28940</v>
      </c>
      <c r="P61" s="16">
        <v>410110</v>
      </c>
      <c r="Q61" s="18">
        <v>13.94</v>
      </c>
      <c r="R61" s="18">
        <v>12.74</v>
      </c>
    </row>
    <row r="62" spans="1:18">
      <c r="A62" s="19">
        <v>56</v>
      </c>
      <c r="B62" s="16">
        <v>25098</v>
      </c>
      <c r="C62" s="16">
        <v>883</v>
      </c>
      <c r="D62" s="17">
        <v>3.5180000000000003E-2</v>
      </c>
      <c r="E62" s="17">
        <v>0.96482000000000001</v>
      </c>
      <c r="F62" s="16">
        <v>24660</v>
      </c>
      <c r="G62" s="16">
        <v>342166</v>
      </c>
      <c r="H62" s="18">
        <v>13.63</v>
      </c>
      <c r="I62" s="18">
        <v>12.46</v>
      </c>
      <c r="J62" s="18"/>
      <c r="K62" s="16">
        <v>28459</v>
      </c>
      <c r="L62" s="16">
        <v>1006</v>
      </c>
      <c r="M62" s="17">
        <v>3.5349999999999999E-2</v>
      </c>
      <c r="N62" s="17">
        <v>0.96465000000000001</v>
      </c>
      <c r="O62" s="16">
        <v>27960</v>
      </c>
      <c r="P62" s="16">
        <v>381170</v>
      </c>
      <c r="Q62" s="18">
        <v>13.39</v>
      </c>
      <c r="R62" s="18">
        <v>12.14</v>
      </c>
    </row>
    <row r="63" spans="1:18">
      <c r="A63" s="19">
        <v>57</v>
      </c>
      <c r="B63" s="16">
        <v>24215</v>
      </c>
      <c r="C63" s="16">
        <v>922</v>
      </c>
      <c r="D63" s="17">
        <v>3.8080000000000003E-2</v>
      </c>
      <c r="E63" s="17">
        <v>0.96192</v>
      </c>
      <c r="F63" s="16">
        <v>23757</v>
      </c>
      <c r="G63" s="16">
        <v>317506</v>
      </c>
      <c r="H63" s="18">
        <v>13.11</v>
      </c>
      <c r="I63" s="18">
        <v>11.91</v>
      </c>
      <c r="J63" s="18"/>
      <c r="K63" s="16">
        <v>27453</v>
      </c>
      <c r="L63" s="16">
        <v>1059</v>
      </c>
      <c r="M63" s="17">
        <v>3.8580000000000003E-2</v>
      </c>
      <c r="N63" s="17">
        <v>0.96142000000000005</v>
      </c>
      <c r="O63" s="16">
        <v>26928</v>
      </c>
      <c r="P63" s="16">
        <v>353210</v>
      </c>
      <c r="Q63" s="18">
        <v>12.87</v>
      </c>
      <c r="R63" s="18">
        <v>11.58</v>
      </c>
    </row>
    <row r="64" spans="1:18">
      <c r="A64" s="19">
        <v>58</v>
      </c>
      <c r="B64" s="16">
        <v>23293</v>
      </c>
      <c r="C64" s="16">
        <v>959</v>
      </c>
      <c r="D64" s="17">
        <v>4.1169999999999998E-2</v>
      </c>
      <c r="E64" s="17">
        <v>0.95882999999999996</v>
      </c>
      <c r="F64" s="16">
        <v>22816</v>
      </c>
      <c r="G64" s="16">
        <v>293749</v>
      </c>
      <c r="H64" s="18">
        <v>12.61</v>
      </c>
      <c r="I64" s="18">
        <v>11.39</v>
      </c>
      <c r="J64" s="18"/>
      <c r="K64" s="16">
        <v>26394</v>
      </c>
      <c r="L64" s="16">
        <v>1108</v>
      </c>
      <c r="M64" s="17">
        <v>4.1980000000000003E-2</v>
      </c>
      <c r="N64" s="17">
        <v>0.95801999999999998</v>
      </c>
      <c r="O64" s="16">
        <v>25844</v>
      </c>
      <c r="P64" s="16">
        <v>326282</v>
      </c>
      <c r="Q64" s="18">
        <v>12.36</v>
      </c>
      <c r="R64" s="18">
        <v>11.04</v>
      </c>
    </row>
    <row r="65" spans="1:18">
      <c r="A65" s="19">
        <v>59</v>
      </c>
      <c r="B65" s="16">
        <v>22334</v>
      </c>
      <c r="C65" s="16">
        <v>991</v>
      </c>
      <c r="D65" s="17">
        <v>4.437E-2</v>
      </c>
      <c r="E65" s="17">
        <v>0.95562999999999998</v>
      </c>
      <c r="F65" s="16">
        <v>21841</v>
      </c>
      <c r="G65" s="16">
        <v>270933</v>
      </c>
      <c r="H65" s="18">
        <v>12.13</v>
      </c>
      <c r="I65" s="18">
        <v>10.89</v>
      </c>
      <c r="J65" s="18"/>
      <c r="K65" s="16">
        <v>25286</v>
      </c>
      <c r="L65" s="16">
        <v>1150</v>
      </c>
      <c r="M65" s="17">
        <v>4.548E-2</v>
      </c>
      <c r="N65" s="17">
        <v>0.95452000000000004</v>
      </c>
      <c r="O65" s="16">
        <v>24714</v>
      </c>
      <c r="P65" s="16">
        <v>300438</v>
      </c>
      <c r="Q65" s="18">
        <v>11.88</v>
      </c>
      <c r="R65" s="18">
        <v>10.53</v>
      </c>
    </row>
    <row r="66" spans="1:18">
      <c r="A66" s="19">
        <v>60</v>
      </c>
      <c r="B66" s="16">
        <v>21343</v>
      </c>
      <c r="C66" s="16">
        <v>1018</v>
      </c>
      <c r="D66" s="17">
        <v>4.7699999999999999E-2</v>
      </c>
      <c r="E66" s="17">
        <v>0.95230000000000004</v>
      </c>
      <c r="F66" s="16">
        <v>20836</v>
      </c>
      <c r="G66" s="16">
        <v>249092</v>
      </c>
      <c r="H66" s="18">
        <v>11.67</v>
      </c>
      <c r="I66" s="18">
        <v>10.42</v>
      </c>
      <c r="J66" s="18"/>
      <c r="K66" s="16">
        <v>24136</v>
      </c>
      <c r="L66" s="16">
        <v>1185</v>
      </c>
      <c r="M66" s="17">
        <v>4.9099999999999998E-2</v>
      </c>
      <c r="N66" s="17">
        <v>0.95089999999999997</v>
      </c>
      <c r="O66" s="16">
        <v>23546</v>
      </c>
      <c r="P66" s="16">
        <v>275724</v>
      </c>
      <c r="Q66" s="18">
        <v>11.42</v>
      </c>
      <c r="R66" s="18">
        <v>10.050000000000001</v>
      </c>
    </row>
    <row r="67" spans="1:18">
      <c r="A67" s="19">
        <v>61</v>
      </c>
      <c r="B67" s="16">
        <v>20325</v>
      </c>
      <c r="C67" s="16">
        <v>1039</v>
      </c>
      <c r="D67" s="17">
        <v>5.1119999999999999E-2</v>
      </c>
      <c r="E67" s="17">
        <v>0.94887999999999995</v>
      </c>
      <c r="F67" s="16">
        <v>19807</v>
      </c>
      <c r="G67" s="16">
        <v>228256</v>
      </c>
      <c r="H67" s="18">
        <v>11.23</v>
      </c>
      <c r="I67" s="18">
        <v>9.9700000000000006</v>
      </c>
      <c r="J67" s="18"/>
      <c r="K67" s="16">
        <v>22951</v>
      </c>
      <c r="L67" s="16">
        <v>1212</v>
      </c>
      <c r="M67" s="17">
        <v>5.2810000000000003E-2</v>
      </c>
      <c r="N67" s="17">
        <v>0.94718999999999998</v>
      </c>
      <c r="O67" s="16">
        <v>22347</v>
      </c>
      <c r="P67" s="16">
        <v>252178</v>
      </c>
      <c r="Q67" s="18">
        <v>10.99</v>
      </c>
      <c r="R67" s="18">
        <v>9.61</v>
      </c>
    </row>
    <row r="68" spans="1:18">
      <c r="A68" s="19">
        <v>62</v>
      </c>
      <c r="B68" s="16">
        <v>19286</v>
      </c>
      <c r="C68" s="16">
        <v>1053</v>
      </c>
      <c r="D68" s="17">
        <v>5.4600000000000003E-2</v>
      </c>
      <c r="E68" s="17">
        <v>0.94540000000000002</v>
      </c>
      <c r="F68" s="16">
        <v>18760</v>
      </c>
      <c r="G68" s="16">
        <v>208449</v>
      </c>
      <c r="H68" s="18">
        <v>10.81</v>
      </c>
      <c r="I68" s="18">
        <v>9.5500000000000007</v>
      </c>
      <c r="J68" s="18"/>
      <c r="K68" s="16">
        <v>21739</v>
      </c>
      <c r="L68" s="16">
        <v>1229</v>
      </c>
      <c r="M68" s="17">
        <v>5.6529999999999997E-2</v>
      </c>
      <c r="N68" s="17">
        <v>0.94347000000000003</v>
      </c>
      <c r="O68" s="16">
        <v>21126</v>
      </c>
      <c r="P68" s="16">
        <v>229831</v>
      </c>
      <c r="Q68" s="18">
        <v>10.57</v>
      </c>
      <c r="R68" s="18">
        <v>9.18</v>
      </c>
    </row>
    <row r="69" spans="1:18">
      <c r="A69" s="19">
        <v>63</v>
      </c>
      <c r="B69" s="16">
        <v>18233</v>
      </c>
      <c r="C69" s="16">
        <v>1059</v>
      </c>
      <c r="D69" s="17">
        <v>5.808E-2</v>
      </c>
      <c r="E69" s="17">
        <v>0.94191999999999998</v>
      </c>
      <c r="F69" s="16">
        <v>17704</v>
      </c>
      <c r="G69" s="16">
        <v>189689</v>
      </c>
      <c r="H69" s="18">
        <v>10.4</v>
      </c>
      <c r="I69" s="18">
        <v>9.15</v>
      </c>
      <c r="J69" s="18"/>
      <c r="K69" s="16">
        <v>20510</v>
      </c>
      <c r="L69" s="16">
        <v>1238</v>
      </c>
      <c r="M69" s="17">
        <v>6.0359999999999997E-2</v>
      </c>
      <c r="N69" s="17">
        <v>0.93964000000000003</v>
      </c>
      <c r="O69" s="16">
        <v>19891</v>
      </c>
      <c r="P69" s="16">
        <v>208705</v>
      </c>
      <c r="Q69" s="18">
        <v>10.18</v>
      </c>
      <c r="R69" s="18">
        <v>8.7799999999999994</v>
      </c>
    </row>
    <row r="70" spans="1:18">
      <c r="A70" s="19">
        <v>64</v>
      </c>
      <c r="B70" s="16">
        <v>17174</v>
      </c>
      <c r="C70" s="16">
        <v>1059</v>
      </c>
      <c r="D70" s="17">
        <v>6.1670000000000003E-2</v>
      </c>
      <c r="E70" s="17">
        <v>0.93833</v>
      </c>
      <c r="F70" s="16">
        <v>16644</v>
      </c>
      <c r="G70" s="16">
        <v>171985</v>
      </c>
      <c r="H70" s="18">
        <v>10.01</v>
      </c>
      <c r="I70" s="18">
        <v>8.76</v>
      </c>
      <c r="J70" s="18"/>
      <c r="K70" s="16">
        <v>19272</v>
      </c>
      <c r="L70" s="16">
        <v>1239</v>
      </c>
      <c r="M70" s="17">
        <v>6.429E-2</v>
      </c>
      <c r="N70" s="17">
        <v>0.93571000000000004</v>
      </c>
      <c r="O70" s="16">
        <v>18652</v>
      </c>
      <c r="P70" s="16">
        <v>188814</v>
      </c>
      <c r="Q70" s="18">
        <v>9.8000000000000007</v>
      </c>
      <c r="R70" s="18">
        <v>8.4</v>
      </c>
    </row>
    <row r="71" spans="1:18">
      <c r="A71" s="19">
        <v>65</v>
      </c>
      <c r="B71" s="16">
        <v>16115</v>
      </c>
      <c r="C71" s="16">
        <v>1053</v>
      </c>
      <c r="D71" s="17">
        <v>6.5339999999999995E-2</v>
      </c>
      <c r="E71" s="17">
        <v>0.93466000000000005</v>
      </c>
      <c r="F71" s="16">
        <v>15588</v>
      </c>
      <c r="G71" s="16">
        <v>155341</v>
      </c>
      <c r="H71" s="18">
        <v>9.64</v>
      </c>
      <c r="I71" s="18">
        <v>8.39</v>
      </c>
      <c r="J71" s="18"/>
      <c r="K71" s="16">
        <v>18033</v>
      </c>
      <c r="L71" s="16">
        <v>1231</v>
      </c>
      <c r="M71" s="17">
        <v>6.8260000000000001E-2</v>
      </c>
      <c r="N71" s="17">
        <v>0.93174000000000001</v>
      </c>
      <c r="O71" s="16">
        <v>17417</v>
      </c>
      <c r="P71" s="16">
        <v>170162</v>
      </c>
      <c r="Q71" s="18">
        <v>9.44</v>
      </c>
      <c r="R71" s="18">
        <v>8.0299999999999994</v>
      </c>
    </row>
    <row r="72" spans="1:18">
      <c r="A72" s="19">
        <v>66</v>
      </c>
      <c r="B72" s="16">
        <v>15062</v>
      </c>
      <c r="C72" s="16">
        <v>1039</v>
      </c>
      <c r="D72" s="17">
        <v>6.898E-2</v>
      </c>
      <c r="E72" s="17">
        <v>0.93101999999999996</v>
      </c>
      <c r="F72" s="16">
        <v>14541</v>
      </c>
      <c r="G72" s="16">
        <v>139753</v>
      </c>
      <c r="H72" s="18">
        <v>9.2799999999999994</v>
      </c>
      <c r="I72" s="18">
        <v>8.02</v>
      </c>
      <c r="J72" s="18"/>
      <c r="K72" s="16">
        <v>16802</v>
      </c>
      <c r="L72" s="16">
        <v>1215</v>
      </c>
      <c r="M72" s="17">
        <v>7.2309999999999999E-2</v>
      </c>
      <c r="N72" s="17">
        <v>0.92769000000000001</v>
      </c>
      <c r="O72" s="16">
        <v>16193</v>
      </c>
      <c r="P72" s="16">
        <v>152745</v>
      </c>
      <c r="Q72" s="18">
        <v>9.09</v>
      </c>
      <c r="R72" s="18">
        <v>7.69</v>
      </c>
    </row>
    <row r="73" spans="1:18">
      <c r="A73" s="19">
        <v>67</v>
      </c>
      <c r="B73" s="16">
        <v>14023</v>
      </c>
      <c r="C73" s="16">
        <v>1016</v>
      </c>
      <c r="D73" s="17">
        <v>7.2450000000000001E-2</v>
      </c>
      <c r="E73" s="17">
        <v>0.92754999999999999</v>
      </c>
      <c r="F73" s="16">
        <v>13513</v>
      </c>
      <c r="G73" s="16">
        <v>125212</v>
      </c>
      <c r="H73" s="18">
        <v>8.93</v>
      </c>
      <c r="I73" s="18">
        <v>7.66</v>
      </c>
      <c r="J73" s="18"/>
      <c r="K73" s="16">
        <v>15587</v>
      </c>
      <c r="L73" s="16">
        <v>1190</v>
      </c>
      <c r="M73" s="17">
        <v>7.6350000000000001E-2</v>
      </c>
      <c r="N73" s="17">
        <v>0.92364999999999997</v>
      </c>
      <c r="O73" s="16">
        <v>14990</v>
      </c>
      <c r="P73" s="16">
        <v>136552</v>
      </c>
      <c r="Q73" s="18">
        <v>8.76</v>
      </c>
      <c r="R73" s="18">
        <v>7.36</v>
      </c>
    </row>
    <row r="74" spans="1:18">
      <c r="A74" s="19">
        <v>68</v>
      </c>
      <c r="B74" s="16">
        <v>13007</v>
      </c>
      <c r="C74" s="16">
        <v>989</v>
      </c>
      <c r="D74" s="17">
        <v>7.6039999999999996E-2</v>
      </c>
      <c r="E74" s="17">
        <v>0.92396</v>
      </c>
      <c r="F74" s="16">
        <v>12510</v>
      </c>
      <c r="G74" s="16">
        <v>111699</v>
      </c>
      <c r="H74" s="18">
        <v>8.59</v>
      </c>
      <c r="I74" s="18">
        <v>7.31</v>
      </c>
      <c r="J74" s="18"/>
      <c r="K74" s="16">
        <v>14397</v>
      </c>
      <c r="L74" s="16">
        <v>1157</v>
      </c>
      <c r="M74" s="17">
        <v>8.0360000000000001E-2</v>
      </c>
      <c r="N74" s="17">
        <v>0.91964000000000001</v>
      </c>
      <c r="O74" s="16">
        <v>13815</v>
      </c>
      <c r="P74" s="16">
        <v>121562</v>
      </c>
      <c r="Q74" s="18">
        <v>8.44</v>
      </c>
      <c r="R74" s="18">
        <v>7.04</v>
      </c>
    </row>
    <row r="75" spans="1:18">
      <c r="A75" s="19">
        <v>69</v>
      </c>
      <c r="B75" s="16">
        <v>12018</v>
      </c>
      <c r="C75" s="16">
        <v>957</v>
      </c>
      <c r="D75" s="17">
        <v>7.9630000000000006E-2</v>
      </c>
      <c r="E75" s="17">
        <v>0.92037000000000002</v>
      </c>
      <c r="F75" s="16">
        <v>11537</v>
      </c>
      <c r="G75" s="16">
        <v>99189</v>
      </c>
      <c r="H75" s="18">
        <v>8.25</v>
      </c>
      <c r="I75" s="18">
        <v>6.95</v>
      </c>
      <c r="J75" s="18"/>
      <c r="K75" s="16">
        <v>13240</v>
      </c>
      <c r="L75" s="16">
        <v>1116</v>
      </c>
      <c r="M75" s="17">
        <v>8.4290000000000004E-2</v>
      </c>
      <c r="N75" s="17">
        <v>0.91571000000000002</v>
      </c>
      <c r="O75" s="16">
        <v>12678</v>
      </c>
      <c r="P75" s="16">
        <v>107747</v>
      </c>
      <c r="Q75" s="18">
        <v>8.14</v>
      </c>
      <c r="R75" s="18">
        <v>6.73</v>
      </c>
    </row>
    <row r="76" spans="1:18">
      <c r="A76" s="19">
        <v>70</v>
      </c>
      <c r="B76" s="16">
        <v>11061</v>
      </c>
      <c r="C76" s="16">
        <v>924</v>
      </c>
      <c r="D76" s="17">
        <v>8.3540000000000003E-2</v>
      </c>
      <c r="E76" s="17">
        <v>0.91646000000000005</v>
      </c>
      <c r="F76" s="16">
        <v>10596</v>
      </c>
      <c r="G76" s="16">
        <v>87652</v>
      </c>
      <c r="H76" s="18">
        <v>7.92</v>
      </c>
      <c r="I76" s="18">
        <v>6.6</v>
      </c>
      <c r="J76" s="18"/>
      <c r="K76" s="16">
        <v>12124</v>
      </c>
      <c r="L76" s="16">
        <v>1071</v>
      </c>
      <c r="M76" s="17">
        <v>8.8340000000000002E-2</v>
      </c>
      <c r="N76" s="17">
        <v>0.91166000000000003</v>
      </c>
      <c r="O76" s="16">
        <v>11585</v>
      </c>
      <c r="P76" s="16">
        <v>95069</v>
      </c>
      <c r="Q76" s="18">
        <v>7.84</v>
      </c>
      <c r="R76" s="18">
        <v>6.42</v>
      </c>
    </row>
    <row r="77" spans="1:18">
      <c r="A77" s="19">
        <v>71</v>
      </c>
      <c r="B77" s="16">
        <v>10137</v>
      </c>
      <c r="C77" s="16">
        <v>892</v>
      </c>
      <c r="D77" s="17">
        <v>8.7989999999999999E-2</v>
      </c>
      <c r="E77" s="17">
        <v>0.91200999999999999</v>
      </c>
      <c r="F77" s="16">
        <v>9688</v>
      </c>
      <c r="G77" s="16">
        <v>77056</v>
      </c>
      <c r="H77" s="18">
        <v>7.6</v>
      </c>
      <c r="I77" s="18">
        <v>6.24</v>
      </c>
      <c r="J77" s="18"/>
      <c r="K77" s="16">
        <v>11053</v>
      </c>
      <c r="L77" s="16">
        <v>1025</v>
      </c>
      <c r="M77" s="17">
        <v>9.2730000000000007E-2</v>
      </c>
      <c r="N77" s="17">
        <v>0.90727000000000002</v>
      </c>
      <c r="O77" s="16">
        <v>10537</v>
      </c>
      <c r="P77" s="16">
        <v>83484</v>
      </c>
      <c r="Q77" s="18">
        <v>7.55</v>
      </c>
      <c r="R77" s="18">
        <v>6.11</v>
      </c>
    </row>
    <row r="78" spans="1:18">
      <c r="A78" s="19">
        <v>72</v>
      </c>
      <c r="B78" s="16">
        <v>9245</v>
      </c>
      <c r="C78" s="16">
        <v>863</v>
      </c>
      <c r="D78" s="17">
        <v>9.3350000000000002E-2</v>
      </c>
      <c r="E78" s="17">
        <v>0.90664999999999996</v>
      </c>
      <c r="F78" s="16">
        <v>8811</v>
      </c>
      <c r="G78" s="16">
        <v>67368</v>
      </c>
      <c r="H78" s="18">
        <v>7.29</v>
      </c>
      <c r="I78" s="18">
        <v>5.89</v>
      </c>
      <c r="J78" s="18"/>
      <c r="K78" s="16">
        <v>10028</v>
      </c>
      <c r="L78" s="16">
        <v>979</v>
      </c>
      <c r="M78" s="17">
        <v>9.7629999999999995E-2</v>
      </c>
      <c r="N78" s="17">
        <v>0.90237000000000001</v>
      </c>
      <c r="O78" s="16">
        <v>9535</v>
      </c>
      <c r="P78" s="16">
        <v>72947</v>
      </c>
      <c r="Q78" s="18">
        <v>7.27</v>
      </c>
      <c r="R78" s="18">
        <v>5.81</v>
      </c>
    </row>
    <row r="79" spans="1:18">
      <c r="A79" s="19">
        <v>73</v>
      </c>
      <c r="B79" s="16">
        <v>8382</v>
      </c>
      <c r="C79" s="16">
        <v>835</v>
      </c>
      <c r="D79" s="17">
        <v>9.962E-2</v>
      </c>
      <c r="E79" s="17">
        <v>0.90037999999999996</v>
      </c>
      <c r="F79" s="16">
        <v>7962</v>
      </c>
      <c r="G79" s="16">
        <v>58557</v>
      </c>
      <c r="H79" s="18">
        <v>6.99</v>
      </c>
      <c r="I79" s="18">
        <v>5.57</v>
      </c>
      <c r="J79" s="18"/>
      <c r="K79" s="16">
        <v>9049</v>
      </c>
      <c r="L79" s="16">
        <v>933</v>
      </c>
      <c r="M79" s="17">
        <v>0.10310999999999999</v>
      </c>
      <c r="N79" s="17">
        <v>0.89688999999999997</v>
      </c>
      <c r="O79" s="16">
        <v>8579</v>
      </c>
      <c r="P79" s="16">
        <v>63412</v>
      </c>
      <c r="Q79" s="18">
        <v>7.01</v>
      </c>
      <c r="R79" s="18">
        <v>5.53</v>
      </c>
    </row>
    <row r="80" spans="1:18">
      <c r="A80" s="19">
        <v>74</v>
      </c>
      <c r="B80" s="16">
        <v>7547</v>
      </c>
      <c r="C80" s="16">
        <v>806</v>
      </c>
      <c r="D80" s="17">
        <v>0.10680000000000001</v>
      </c>
      <c r="E80" s="17">
        <v>0.89319999999999999</v>
      </c>
      <c r="F80" s="16">
        <v>7141</v>
      </c>
      <c r="G80" s="16">
        <v>50595</v>
      </c>
      <c r="H80" s="18">
        <v>6.7</v>
      </c>
      <c r="I80" s="18">
        <v>5.26</v>
      </c>
      <c r="J80" s="18"/>
      <c r="K80" s="16">
        <v>8116</v>
      </c>
      <c r="L80" s="16">
        <v>887</v>
      </c>
      <c r="M80" s="17">
        <v>0.10929</v>
      </c>
      <c r="N80" s="17">
        <v>0.89071</v>
      </c>
      <c r="O80" s="16">
        <v>7669</v>
      </c>
      <c r="P80" s="16">
        <v>54833</v>
      </c>
      <c r="Q80" s="18">
        <v>6.76</v>
      </c>
      <c r="R80" s="18">
        <v>5.26</v>
      </c>
    </row>
    <row r="81" spans="1:18">
      <c r="A81" s="19">
        <v>75</v>
      </c>
      <c r="B81" s="16">
        <v>6741</v>
      </c>
      <c r="C81" s="16">
        <v>773</v>
      </c>
      <c r="D81" s="17">
        <v>0.11466999999999999</v>
      </c>
      <c r="E81" s="17">
        <v>0.88532999999999995</v>
      </c>
      <c r="F81" s="16">
        <v>6351</v>
      </c>
      <c r="G81" s="16">
        <v>43454</v>
      </c>
      <c r="H81" s="18">
        <v>6.45</v>
      </c>
      <c r="I81" s="18">
        <v>4.97</v>
      </c>
      <c r="J81" s="18"/>
      <c r="K81" s="16">
        <v>7229</v>
      </c>
      <c r="L81" s="16">
        <v>838</v>
      </c>
      <c r="M81" s="17">
        <v>0.11592</v>
      </c>
      <c r="N81" s="17">
        <v>0.88407999999999998</v>
      </c>
      <c r="O81" s="16">
        <v>6806</v>
      </c>
      <c r="P81" s="16">
        <v>47164</v>
      </c>
      <c r="Q81" s="18">
        <v>6.52</v>
      </c>
      <c r="R81" s="18">
        <v>5.01</v>
      </c>
    </row>
    <row r="82" spans="1:18">
      <c r="A82" s="19">
        <v>76</v>
      </c>
      <c r="B82" s="16">
        <v>5968</v>
      </c>
      <c r="C82" s="16">
        <v>733</v>
      </c>
      <c r="D82" s="17">
        <v>0.12282</v>
      </c>
      <c r="E82" s="17">
        <v>0.87717999999999996</v>
      </c>
      <c r="F82" s="16">
        <v>5598</v>
      </c>
      <c r="G82" s="16">
        <v>37103</v>
      </c>
      <c r="H82" s="18">
        <v>6.22</v>
      </c>
      <c r="I82" s="18">
        <v>4.7300000000000004</v>
      </c>
      <c r="J82" s="18"/>
      <c r="K82" s="16">
        <v>6391</v>
      </c>
      <c r="L82" s="16">
        <v>785</v>
      </c>
      <c r="M82" s="17">
        <v>0.12282999999999999</v>
      </c>
      <c r="N82" s="17">
        <v>0.87717000000000001</v>
      </c>
      <c r="O82" s="16">
        <v>5994</v>
      </c>
      <c r="P82" s="16">
        <v>40358</v>
      </c>
      <c r="Q82" s="18">
        <v>6.31</v>
      </c>
      <c r="R82" s="18">
        <v>4.8</v>
      </c>
    </row>
    <row r="83" spans="1:18">
      <c r="A83" s="19">
        <v>77</v>
      </c>
      <c r="B83" s="16">
        <v>5235</v>
      </c>
      <c r="C83" s="16">
        <v>687</v>
      </c>
      <c r="D83" s="17">
        <v>0.13123000000000001</v>
      </c>
      <c r="E83" s="17">
        <v>0.86877000000000004</v>
      </c>
      <c r="F83" s="16">
        <v>4887</v>
      </c>
      <c r="G83" s="16">
        <v>31505</v>
      </c>
      <c r="H83" s="18">
        <v>6.02</v>
      </c>
      <c r="I83" s="18">
        <v>4.53</v>
      </c>
      <c r="J83" s="18"/>
      <c r="K83" s="16">
        <v>5606</v>
      </c>
      <c r="L83" s="16">
        <v>727</v>
      </c>
      <c r="M83" s="17">
        <v>0.12967999999999999</v>
      </c>
      <c r="N83" s="17">
        <v>0.87031999999999998</v>
      </c>
      <c r="O83" s="16">
        <v>5237</v>
      </c>
      <c r="P83" s="16">
        <v>34364</v>
      </c>
      <c r="Q83" s="18">
        <v>6.13</v>
      </c>
      <c r="R83" s="18">
        <v>4.62</v>
      </c>
    </row>
    <row r="84" spans="1:18">
      <c r="A84" s="19">
        <v>78</v>
      </c>
      <c r="B84" s="16">
        <v>4548</v>
      </c>
      <c r="C84" s="16">
        <v>628</v>
      </c>
      <c r="D84" s="17">
        <v>0.13808000000000001</v>
      </c>
      <c r="E84" s="17">
        <v>0.86192000000000002</v>
      </c>
      <c r="F84" s="16">
        <v>4229</v>
      </c>
      <c r="G84" s="16">
        <v>26618</v>
      </c>
      <c r="H84" s="18">
        <v>5.85</v>
      </c>
      <c r="I84" s="18">
        <v>4.3600000000000003</v>
      </c>
      <c r="J84" s="18"/>
      <c r="K84" s="16">
        <v>4879</v>
      </c>
      <c r="L84" s="16">
        <v>663</v>
      </c>
      <c r="M84" s="17">
        <v>0.13589000000000001</v>
      </c>
      <c r="N84" s="17">
        <v>0.86411000000000004</v>
      </c>
      <c r="O84" s="16">
        <v>4542</v>
      </c>
      <c r="P84" s="16">
        <v>29127</v>
      </c>
      <c r="Q84" s="18">
        <v>5.97</v>
      </c>
      <c r="R84" s="18">
        <v>4.46</v>
      </c>
    </row>
    <row r="85" spans="1:18">
      <c r="A85" s="19">
        <v>79</v>
      </c>
      <c r="B85" s="16">
        <v>3920</v>
      </c>
      <c r="C85" s="16">
        <v>567</v>
      </c>
      <c r="D85" s="17">
        <v>0.14463999999999999</v>
      </c>
      <c r="E85" s="17">
        <v>0.85536000000000001</v>
      </c>
      <c r="F85" s="16">
        <v>3631</v>
      </c>
      <c r="G85" s="16">
        <v>22389</v>
      </c>
      <c r="H85" s="18">
        <v>5.71</v>
      </c>
      <c r="I85" s="18">
        <v>4.21</v>
      </c>
      <c r="J85" s="18"/>
      <c r="K85" s="16">
        <v>4216</v>
      </c>
      <c r="L85" s="16">
        <v>597</v>
      </c>
      <c r="M85" s="17">
        <v>0.1416</v>
      </c>
      <c r="N85" s="17">
        <v>0.85840000000000005</v>
      </c>
      <c r="O85" s="16">
        <v>3912</v>
      </c>
      <c r="P85" s="16">
        <v>24585</v>
      </c>
      <c r="Q85" s="18">
        <v>5.83</v>
      </c>
      <c r="R85" s="18">
        <v>4.32</v>
      </c>
    </row>
    <row r="86" spans="1:18">
      <c r="A86" s="19">
        <v>80</v>
      </c>
      <c r="B86" s="16">
        <v>3353</v>
      </c>
      <c r="C86" s="16">
        <v>503</v>
      </c>
      <c r="D86" s="17">
        <v>0.15001999999999999</v>
      </c>
      <c r="E86" s="17">
        <v>0.84997999999999996</v>
      </c>
      <c r="F86" s="16">
        <v>3096</v>
      </c>
      <c r="G86" s="16">
        <v>18758</v>
      </c>
      <c r="H86" s="18">
        <v>5.59</v>
      </c>
      <c r="I86" s="18">
        <v>4.09</v>
      </c>
      <c r="J86" s="18"/>
      <c r="K86" s="16">
        <v>3619</v>
      </c>
      <c r="L86" s="16">
        <v>530</v>
      </c>
      <c r="M86" s="17">
        <v>0.14645</v>
      </c>
      <c r="N86" s="17">
        <v>0.85355000000000003</v>
      </c>
      <c r="O86" s="16">
        <v>3348</v>
      </c>
      <c r="P86" s="16">
        <v>20673</v>
      </c>
      <c r="Q86" s="18">
        <v>5.71</v>
      </c>
      <c r="R86" s="18">
        <v>4.2</v>
      </c>
    </row>
    <row r="87" spans="1:18">
      <c r="A87" s="19">
        <v>81</v>
      </c>
      <c r="B87" s="16">
        <v>2850</v>
      </c>
      <c r="C87" s="16">
        <v>440</v>
      </c>
      <c r="D87" s="17">
        <v>0.15439</v>
      </c>
      <c r="E87" s="17">
        <v>0.84560999999999997</v>
      </c>
      <c r="F87" s="16">
        <v>2624</v>
      </c>
      <c r="G87" s="16">
        <v>15662</v>
      </c>
      <c r="H87" s="18">
        <v>5.5</v>
      </c>
      <c r="I87" s="18">
        <v>3.98</v>
      </c>
      <c r="J87" s="18"/>
      <c r="K87" s="16">
        <v>3089</v>
      </c>
      <c r="L87" s="16">
        <v>465</v>
      </c>
      <c r="M87" s="17">
        <v>0.15053</v>
      </c>
      <c r="N87" s="17">
        <v>0.84946999999999995</v>
      </c>
      <c r="O87" s="16">
        <v>2851</v>
      </c>
      <c r="P87" s="16">
        <v>17325</v>
      </c>
      <c r="Q87" s="18">
        <v>5.61</v>
      </c>
      <c r="R87" s="18">
        <v>4.1100000000000003</v>
      </c>
    </row>
    <row r="88" spans="1:18">
      <c r="A88" s="19">
        <v>82</v>
      </c>
      <c r="B88" s="16">
        <v>2410</v>
      </c>
      <c r="C88" s="16">
        <v>381</v>
      </c>
      <c r="D88" s="17">
        <v>0.15809000000000001</v>
      </c>
      <c r="E88" s="17">
        <v>0.84191000000000005</v>
      </c>
      <c r="F88" s="16">
        <v>2214</v>
      </c>
      <c r="G88" s="16">
        <v>13038</v>
      </c>
      <c r="H88" s="18">
        <v>5.41</v>
      </c>
      <c r="I88" s="18">
        <v>3.9</v>
      </c>
      <c r="J88" s="18"/>
      <c r="K88" s="16">
        <v>2624</v>
      </c>
      <c r="L88" s="16">
        <v>404</v>
      </c>
      <c r="M88" s="17">
        <v>0.15396000000000001</v>
      </c>
      <c r="N88" s="17">
        <v>0.84604000000000001</v>
      </c>
      <c r="O88" s="16">
        <v>2417</v>
      </c>
      <c r="P88" s="16">
        <v>14474</v>
      </c>
      <c r="Q88" s="18">
        <v>5.52</v>
      </c>
      <c r="R88" s="18">
        <v>4</v>
      </c>
    </row>
    <row r="89" spans="1:18">
      <c r="A89" s="19">
        <v>83</v>
      </c>
      <c r="B89" s="16">
        <v>2029</v>
      </c>
      <c r="C89" s="16">
        <v>328</v>
      </c>
      <c r="D89" s="17">
        <v>0.16166</v>
      </c>
      <c r="E89" s="17">
        <v>0.83833999999999997</v>
      </c>
      <c r="F89" s="16">
        <v>1861</v>
      </c>
      <c r="G89" s="16">
        <v>10824</v>
      </c>
      <c r="H89" s="18">
        <v>5.33</v>
      </c>
      <c r="I89" s="18">
        <v>3.83</v>
      </c>
      <c r="J89" s="18"/>
      <c r="K89" s="16">
        <v>2220</v>
      </c>
      <c r="L89" s="16">
        <v>349</v>
      </c>
      <c r="M89" s="17">
        <v>0.15720999999999999</v>
      </c>
      <c r="N89" s="17">
        <v>0.84279000000000004</v>
      </c>
      <c r="O89" s="16">
        <v>2042</v>
      </c>
      <c r="P89" s="16">
        <v>12057</v>
      </c>
      <c r="Q89" s="18">
        <v>5.43</v>
      </c>
      <c r="R89" s="18">
        <v>3.94</v>
      </c>
    </row>
    <row r="90" spans="1:18">
      <c r="A90" s="19">
        <v>84</v>
      </c>
      <c r="B90" s="16">
        <v>1701</v>
      </c>
      <c r="C90" s="16">
        <v>281</v>
      </c>
      <c r="D90" s="17">
        <v>0.16520000000000001</v>
      </c>
      <c r="E90" s="17">
        <v>0.83479999999999999</v>
      </c>
      <c r="F90" s="16">
        <v>1557</v>
      </c>
      <c r="G90" s="16">
        <v>8963</v>
      </c>
      <c r="H90" s="18">
        <v>5.27</v>
      </c>
      <c r="I90" s="18">
        <v>3.76</v>
      </c>
      <c r="J90" s="18"/>
      <c r="K90" s="16">
        <v>1871</v>
      </c>
      <c r="L90" s="16">
        <v>300</v>
      </c>
      <c r="M90" s="17">
        <v>0.16034000000000001</v>
      </c>
      <c r="N90" s="17">
        <v>0.83965999999999996</v>
      </c>
      <c r="O90" s="16">
        <v>1717</v>
      </c>
      <c r="P90" s="16">
        <v>10015</v>
      </c>
      <c r="Q90" s="18">
        <v>5.35</v>
      </c>
      <c r="R90" s="18">
        <v>3.86</v>
      </c>
    </row>
    <row r="91" spans="1:18">
      <c r="A91" s="19">
        <v>85</v>
      </c>
      <c r="B91" s="16">
        <v>1420</v>
      </c>
      <c r="C91" s="16">
        <v>239</v>
      </c>
      <c r="D91" s="17">
        <v>0.16830999999999999</v>
      </c>
      <c r="E91" s="17">
        <v>0.83169000000000004</v>
      </c>
      <c r="F91" s="16">
        <v>1297</v>
      </c>
      <c r="G91" s="16">
        <v>7406</v>
      </c>
      <c r="H91" s="18">
        <v>5.22</v>
      </c>
      <c r="I91" s="18">
        <v>3.71</v>
      </c>
      <c r="J91" s="18"/>
      <c r="K91" s="16">
        <v>1571</v>
      </c>
      <c r="L91" s="16">
        <v>257</v>
      </c>
      <c r="M91" s="17">
        <v>0.16359000000000001</v>
      </c>
      <c r="N91" s="17">
        <v>0.83640999999999999</v>
      </c>
      <c r="O91" s="16">
        <v>1439</v>
      </c>
      <c r="P91" s="16">
        <v>8298</v>
      </c>
      <c r="Q91" s="18">
        <v>5.28</v>
      </c>
      <c r="R91" s="18">
        <v>3.81</v>
      </c>
    </row>
    <row r="92" spans="1:18">
      <c r="A92" s="19">
        <v>86</v>
      </c>
      <c r="B92" s="16">
        <v>1181</v>
      </c>
      <c r="C92" s="16">
        <v>202</v>
      </c>
      <c r="D92" s="17">
        <v>0.17104</v>
      </c>
      <c r="E92" s="17">
        <v>0.82896000000000003</v>
      </c>
      <c r="F92" s="16">
        <v>1077</v>
      </c>
      <c r="G92" s="16">
        <v>6109</v>
      </c>
      <c r="H92" s="18">
        <v>5.17</v>
      </c>
      <c r="I92" s="18">
        <v>3.69</v>
      </c>
      <c r="J92" s="18"/>
      <c r="K92" s="16">
        <v>1314</v>
      </c>
      <c r="L92" s="16">
        <v>218</v>
      </c>
      <c r="M92" s="17">
        <v>0.16591</v>
      </c>
      <c r="N92" s="17">
        <v>0.83409</v>
      </c>
      <c r="O92" s="16">
        <v>1202</v>
      </c>
      <c r="P92" s="16">
        <v>6859</v>
      </c>
      <c r="Q92" s="18">
        <v>5.22</v>
      </c>
      <c r="R92" s="18">
        <v>3.78</v>
      </c>
    </row>
    <row r="93" spans="1:18">
      <c r="A93" s="19">
        <v>87</v>
      </c>
      <c r="B93" s="16">
        <v>979</v>
      </c>
      <c r="C93" s="16">
        <v>170</v>
      </c>
      <c r="D93" s="17">
        <v>0.17365</v>
      </c>
      <c r="E93" s="17">
        <v>0.82635000000000003</v>
      </c>
      <c r="F93" s="16">
        <v>891</v>
      </c>
      <c r="G93" s="16">
        <v>5032</v>
      </c>
      <c r="H93" s="18">
        <v>5.14</v>
      </c>
      <c r="I93" s="18">
        <v>3.69</v>
      </c>
      <c r="J93" s="18"/>
      <c r="K93" s="16">
        <v>1096</v>
      </c>
      <c r="L93" s="16">
        <v>185</v>
      </c>
      <c r="M93" s="17">
        <v>0.16880000000000001</v>
      </c>
      <c r="N93" s="17">
        <v>0.83120000000000005</v>
      </c>
      <c r="O93" s="16">
        <v>1001</v>
      </c>
      <c r="P93" s="16">
        <v>5657</v>
      </c>
      <c r="Q93" s="18">
        <v>5.16</v>
      </c>
      <c r="R93" s="18">
        <v>3.76</v>
      </c>
    </row>
    <row r="94" spans="1:18">
      <c r="A94" s="19">
        <v>88</v>
      </c>
      <c r="B94" s="16">
        <v>809</v>
      </c>
      <c r="C94" s="16">
        <v>140</v>
      </c>
      <c r="D94" s="17">
        <v>0.17305000000000001</v>
      </c>
      <c r="E94" s="17">
        <v>0.82694999999999996</v>
      </c>
      <c r="F94" s="16">
        <v>737</v>
      </c>
      <c r="G94" s="16">
        <v>4141</v>
      </c>
      <c r="H94" s="18">
        <v>5.12</v>
      </c>
      <c r="I94" s="18">
        <v>3.75</v>
      </c>
      <c r="J94" s="18"/>
      <c r="K94" s="16">
        <v>911</v>
      </c>
      <c r="L94" s="16">
        <v>154</v>
      </c>
      <c r="M94" s="17">
        <v>0.16904</v>
      </c>
      <c r="N94" s="17">
        <v>0.83096000000000003</v>
      </c>
      <c r="O94" s="16">
        <v>832</v>
      </c>
      <c r="P94" s="16">
        <v>4656</v>
      </c>
      <c r="Q94" s="18">
        <v>5.1100000000000003</v>
      </c>
      <c r="R94" s="18">
        <v>3.77</v>
      </c>
    </row>
    <row r="95" spans="1:18">
      <c r="A95" s="19">
        <v>89</v>
      </c>
      <c r="B95" s="16">
        <v>669</v>
      </c>
      <c r="C95" s="16">
        <v>115</v>
      </c>
      <c r="D95" s="17">
        <v>0.1719</v>
      </c>
      <c r="E95" s="17">
        <v>0.82809999999999995</v>
      </c>
      <c r="F95" s="16">
        <v>610</v>
      </c>
      <c r="G95" s="16">
        <v>3404</v>
      </c>
      <c r="H95" s="18">
        <v>5.09</v>
      </c>
      <c r="I95" s="18">
        <v>3.82</v>
      </c>
      <c r="J95" s="18"/>
      <c r="K95" s="16">
        <v>757</v>
      </c>
      <c r="L95" s="16">
        <v>128</v>
      </c>
      <c r="M95" s="17">
        <v>0.16908999999999999</v>
      </c>
      <c r="N95" s="17">
        <v>0.83091000000000004</v>
      </c>
      <c r="O95" s="16">
        <v>691</v>
      </c>
      <c r="P95" s="16">
        <v>3824</v>
      </c>
      <c r="Q95" s="18">
        <v>5.05</v>
      </c>
      <c r="R95" s="18">
        <v>3.81</v>
      </c>
    </row>
    <row r="96" spans="1:18">
      <c r="A96" s="19">
        <v>90</v>
      </c>
      <c r="B96" s="16">
        <v>554</v>
      </c>
      <c r="C96" s="16">
        <v>93</v>
      </c>
      <c r="D96" s="17">
        <v>0.16786999999999999</v>
      </c>
      <c r="E96" s="17">
        <v>0.83213000000000004</v>
      </c>
      <c r="F96" s="16">
        <v>506</v>
      </c>
      <c r="G96" s="16">
        <v>2794</v>
      </c>
      <c r="H96" s="18">
        <v>5.04</v>
      </c>
      <c r="I96" s="18">
        <v>3.88</v>
      </c>
      <c r="J96" s="18"/>
      <c r="K96" s="16">
        <v>629</v>
      </c>
      <c r="L96" s="16">
        <v>106</v>
      </c>
      <c r="M96" s="17">
        <v>0.16852</v>
      </c>
      <c r="N96" s="17">
        <v>0.83148</v>
      </c>
      <c r="O96" s="16">
        <v>574</v>
      </c>
      <c r="P96" s="16">
        <v>3133</v>
      </c>
      <c r="Q96" s="18">
        <v>4.9800000000000004</v>
      </c>
      <c r="R96" s="18">
        <v>3.82</v>
      </c>
    </row>
    <row r="97" spans="1:18">
      <c r="A97" s="19">
        <v>91</v>
      </c>
      <c r="B97" s="16">
        <v>461</v>
      </c>
      <c r="C97" s="16">
        <v>76</v>
      </c>
      <c r="D97" s="17">
        <v>0.16486000000000001</v>
      </c>
      <c r="E97" s="17">
        <v>0.83513999999999999</v>
      </c>
      <c r="F97" s="16">
        <v>422</v>
      </c>
      <c r="G97" s="16">
        <v>2288</v>
      </c>
      <c r="H97" s="18">
        <v>4.96</v>
      </c>
      <c r="I97" s="18">
        <v>3.91</v>
      </c>
      <c r="J97" s="18"/>
      <c r="K97" s="16">
        <v>523</v>
      </c>
      <c r="L97" s="16">
        <v>87</v>
      </c>
      <c r="M97" s="17">
        <v>0.16635</v>
      </c>
      <c r="N97" s="17">
        <v>0.83365</v>
      </c>
      <c r="O97" s="16">
        <v>478</v>
      </c>
      <c r="P97" s="16">
        <v>2559</v>
      </c>
      <c r="Q97" s="18">
        <v>4.8899999999999997</v>
      </c>
      <c r="R97" s="18">
        <v>3.77</v>
      </c>
    </row>
    <row r="98" spans="1:18">
      <c r="A98" s="19">
        <v>92</v>
      </c>
      <c r="B98" s="16">
        <v>385</v>
      </c>
      <c r="C98" s="16">
        <v>62</v>
      </c>
      <c r="D98" s="17">
        <v>0.16103999999999999</v>
      </c>
      <c r="E98" s="17">
        <v>0.83896000000000004</v>
      </c>
      <c r="F98" s="16">
        <v>353</v>
      </c>
      <c r="G98" s="16">
        <v>1866</v>
      </c>
      <c r="H98" s="18">
        <v>4.8499999999999996</v>
      </c>
      <c r="I98" s="18">
        <v>3.81</v>
      </c>
      <c r="J98" s="18"/>
      <c r="K98" s="16">
        <v>436</v>
      </c>
      <c r="L98" s="16">
        <v>72</v>
      </c>
      <c r="M98" s="17">
        <v>0.16514000000000001</v>
      </c>
      <c r="N98" s="17">
        <v>0.83486000000000005</v>
      </c>
      <c r="O98" s="16">
        <v>399</v>
      </c>
      <c r="P98" s="16">
        <v>2081</v>
      </c>
      <c r="Q98" s="18">
        <v>4.7699999999999996</v>
      </c>
      <c r="R98" s="18">
        <v>3.7</v>
      </c>
    </row>
    <row r="99" spans="1:18">
      <c r="A99" s="19">
        <v>93</v>
      </c>
      <c r="B99" s="16">
        <v>323</v>
      </c>
      <c r="C99" s="16">
        <v>52</v>
      </c>
      <c r="D99" s="17">
        <v>0.16098999999999999</v>
      </c>
      <c r="E99" s="17">
        <v>0.83901000000000003</v>
      </c>
      <c r="F99" s="16">
        <v>296</v>
      </c>
      <c r="G99" s="16">
        <v>1513</v>
      </c>
      <c r="H99" s="18">
        <v>4.68</v>
      </c>
      <c r="I99" s="18">
        <v>3.61</v>
      </c>
      <c r="J99" s="18"/>
      <c r="K99" s="16">
        <v>364</v>
      </c>
      <c r="L99" s="16">
        <v>61</v>
      </c>
      <c r="M99" s="17">
        <v>0.16758000000000001</v>
      </c>
      <c r="N99" s="17">
        <v>0.83242000000000005</v>
      </c>
      <c r="O99" s="16">
        <v>333</v>
      </c>
      <c r="P99" s="16">
        <v>1682</v>
      </c>
      <c r="Q99" s="18">
        <v>4.62</v>
      </c>
      <c r="R99" s="18">
        <v>3.54</v>
      </c>
    </row>
    <row r="100" spans="1:18">
      <c r="A100" s="19">
        <v>94</v>
      </c>
      <c r="B100" s="16">
        <v>271</v>
      </c>
      <c r="C100" s="16">
        <v>45</v>
      </c>
      <c r="D100" s="17">
        <v>0.16605</v>
      </c>
      <c r="E100" s="17">
        <v>0.83394999999999997</v>
      </c>
      <c r="F100" s="16">
        <v>248</v>
      </c>
      <c r="G100" s="16">
        <v>1217</v>
      </c>
      <c r="H100" s="18">
        <v>4.49</v>
      </c>
      <c r="I100" s="18">
        <v>3.58</v>
      </c>
      <c r="J100" s="18"/>
      <c r="K100" s="16">
        <v>303</v>
      </c>
      <c r="L100" s="16">
        <v>53</v>
      </c>
      <c r="M100" s="17">
        <v>0.17491999999999999</v>
      </c>
      <c r="N100" s="17">
        <v>0.82508000000000004</v>
      </c>
      <c r="O100" s="16">
        <v>276</v>
      </c>
      <c r="P100" s="16">
        <v>1349</v>
      </c>
      <c r="Q100" s="18">
        <v>4.45</v>
      </c>
      <c r="R100" s="18">
        <v>3.31</v>
      </c>
    </row>
    <row r="101" spans="1:18">
      <c r="A101" s="19">
        <v>95</v>
      </c>
      <c r="B101" s="16">
        <v>226</v>
      </c>
      <c r="C101" s="16">
        <v>42</v>
      </c>
      <c r="D101" s="17">
        <v>0.18584000000000001</v>
      </c>
      <c r="E101" s="17">
        <v>0.81415999999999999</v>
      </c>
      <c r="F101" s="16">
        <v>205</v>
      </c>
      <c r="G101" s="16">
        <v>969</v>
      </c>
      <c r="H101" s="18">
        <v>4.29</v>
      </c>
      <c r="I101" s="18">
        <v>3.11</v>
      </c>
      <c r="J101" s="18"/>
      <c r="K101" s="16">
        <v>250</v>
      </c>
      <c r="L101" s="16">
        <v>46</v>
      </c>
      <c r="M101" s="17">
        <v>0.184</v>
      </c>
      <c r="N101" s="17">
        <v>0.81599999999999995</v>
      </c>
      <c r="O101" s="16">
        <v>227</v>
      </c>
      <c r="P101" s="16">
        <v>1073</v>
      </c>
      <c r="Q101" s="18">
        <v>4.29</v>
      </c>
      <c r="R101" s="18">
        <v>3.06</v>
      </c>
    </row>
    <row r="102" spans="1:18">
      <c r="A102" s="19">
        <v>96</v>
      </c>
      <c r="B102" s="16">
        <v>184</v>
      </c>
      <c r="C102" s="16">
        <v>36</v>
      </c>
      <c r="D102" s="17">
        <v>0.19564999999999999</v>
      </c>
      <c r="E102" s="17">
        <v>0.80435000000000001</v>
      </c>
      <c r="F102" s="16">
        <v>166</v>
      </c>
      <c r="G102" s="16">
        <v>764</v>
      </c>
      <c r="H102" s="18">
        <v>4.1500000000000004</v>
      </c>
      <c r="I102" s="18">
        <v>2.86</v>
      </c>
      <c r="J102" s="18"/>
      <c r="K102" s="16">
        <v>204</v>
      </c>
      <c r="L102" s="16">
        <v>41</v>
      </c>
      <c r="M102" s="17">
        <v>0.20307</v>
      </c>
      <c r="N102" s="17">
        <v>0.79693000000000003</v>
      </c>
      <c r="O102" s="16">
        <v>183</v>
      </c>
      <c r="P102" s="16">
        <v>846</v>
      </c>
      <c r="Q102" s="18">
        <v>4.1500000000000004</v>
      </c>
      <c r="R102" s="18">
        <v>2.81</v>
      </c>
    </row>
    <row r="103" spans="1:18">
      <c r="A103" s="19">
        <v>97</v>
      </c>
      <c r="B103" s="16">
        <v>148</v>
      </c>
      <c r="C103" s="16">
        <v>32</v>
      </c>
      <c r="D103" s="17">
        <v>0.21622</v>
      </c>
      <c r="E103" s="17">
        <v>0.78378000000000003</v>
      </c>
      <c r="F103" s="16">
        <v>132</v>
      </c>
      <c r="G103" s="16">
        <v>598</v>
      </c>
      <c r="H103" s="18">
        <v>4.04</v>
      </c>
      <c r="I103" s="18">
        <v>2.64</v>
      </c>
      <c r="J103" s="18"/>
      <c r="K103" s="16">
        <v>163</v>
      </c>
      <c r="L103" s="16">
        <v>36</v>
      </c>
      <c r="M103" s="17">
        <v>0.22086</v>
      </c>
      <c r="N103" s="17">
        <v>0.77914000000000005</v>
      </c>
      <c r="O103" s="16">
        <v>145</v>
      </c>
      <c r="P103" s="16">
        <v>663</v>
      </c>
      <c r="Q103" s="18">
        <v>4.07</v>
      </c>
      <c r="R103" s="18">
        <v>2.56</v>
      </c>
    </row>
    <row r="104" spans="1:18">
      <c r="A104" s="19">
        <v>98</v>
      </c>
      <c r="B104" s="16">
        <v>116</v>
      </c>
      <c r="C104" s="16">
        <v>28</v>
      </c>
      <c r="D104" s="17">
        <v>0.24138000000000001</v>
      </c>
      <c r="E104" s="17">
        <v>0.75861999999999996</v>
      </c>
      <c r="F104" s="16">
        <v>102</v>
      </c>
      <c r="G104" s="16">
        <v>466</v>
      </c>
      <c r="H104" s="18">
        <v>4.0199999999999996</v>
      </c>
      <c r="I104" s="18">
        <v>2.44</v>
      </c>
      <c r="J104" s="18"/>
      <c r="K104" s="16">
        <v>127</v>
      </c>
      <c r="L104" s="16">
        <v>31</v>
      </c>
      <c r="M104" s="17">
        <v>0.24410000000000001</v>
      </c>
      <c r="N104" s="17">
        <v>0.75590000000000002</v>
      </c>
      <c r="O104" s="16">
        <v>111</v>
      </c>
      <c r="P104" s="16">
        <v>518</v>
      </c>
      <c r="Q104" s="18">
        <v>4.08</v>
      </c>
      <c r="R104" s="18">
        <v>2.38</v>
      </c>
    </row>
    <row r="105" spans="1:18">
      <c r="A105" s="19">
        <v>99</v>
      </c>
      <c r="B105" s="16">
        <v>88</v>
      </c>
      <c r="C105" s="16">
        <v>22</v>
      </c>
      <c r="D105" s="17">
        <v>0.25</v>
      </c>
      <c r="E105" s="17">
        <v>0.75</v>
      </c>
      <c r="F105" s="16">
        <v>76</v>
      </c>
      <c r="G105" s="16">
        <v>364</v>
      </c>
      <c r="H105" s="18">
        <v>4.1399999999999997</v>
      </c>
      <c r="I105" s="18">
        <v>2.29</v>
      </c>
      <c r="J105" s="18"/>
      <c r="K105" s="16">
        <v>96</v>
      </c>
      <c r="L105" s="16">
        <v>25</v>
      </c>
      <c r="M105" s="17">
        <v>0.26041999999999998</v>
      </c>
      <c r="N105" s="17">
        <v>0.73958000000000002</v>
      </c>
      <c r="O105" s="16">
        <v>83</v>
      </c>
      <c r="P105" s="16">
        <v>407</v>
      </c>
      <c r="Q105" s="18">
        <v>4.24</v>
      </c>
      <c r="R105" s="18">
        <v>2.19</v>
      </c>
    </row>
    <row r="106" spans="1:18">
      <c r="A106" s="19">
        <v>100</v>
      </c>
      <c r="B106" s="16">
        <v>66</v>
      </c>
      <c r="C106" s="16">
        <v>18</v>
      </c>
      <c r="D106" s="17">
        <v>0.27272999999999997</v>
      </c>
      <c r="E106" s="17">
        <v>0.72726999999999997</v>
      </c>
      <c r="F106" s="16">
        <v>57</v>
      </c>
      <c r="G106" s="16">
        <v>288</v>
      </c>
      <c r="H106" s="18">
        <v>4.3600000000000003</v>
      </c>
      <c r="I106" s="18">
        <v>2.09</v>
      </c>
      <c r="J106" s="18"/>
      <c r="K106" s="16">
        <v>71</v>
      </c>
      <c r="L106" s="16">
        <v>20</v>
      </c>
      <c r="M106" s="17">
        <v>0.28169</v>
      </c>
      <c r="N106" s="17">
        <v>0.71831</v>
      </c>
      <c r="O106" s="16">
        <v>61</v>
      </c>
      <c r="P106" s="16">
        <v>324</v>
      </c>
      <c r="Q106" s="18">
        <v>4.5599999999999996</v>
      </c>
      <c r="R106" s="18">
        <v>1.97</v>
      </c>
    </row>
    <row r="108" spans="1:18">
      <c r="A108" s="30" t="s">
        <v>54</v>
      </c>
      <c r="B108" s="20"/>
      <c r="C108" s="20"/>
      <c r="D108" s="20"/>
      <c r="E108" s="20"/>
      <c r="F108" s="20"/>
      <c r="G108" s="20"/>
      <c r="H108" s="20"/>
      <c r="I108" s="20"/>
      <c r="J108" s="20"/>
      <c r="K108" s="20"/>
      <c r="L108" s="20"/>
      <c r="M108" s="20"/>
      <c r="N108" s="20"/>
      <c r="O108" s="20"/>
      <c r="P108" s="20"/>
      <c r="Q108" s="20"/>
      <c r="R108" s="20"/>
    </row>
  </sheetData>
  <mergeCells count="4">
    <mergeCell ref="A1:R1"/>
    <mergeCell ref="A2:R2"/>
    <mergeCell ref="B4:I4"/>
    <mergeCell ref="K4:R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8"/>
  <sheetViews>
    <sheetView topLeftCell="A64" workbookViewId="0">
      <selection activeCell="B106" sqref="B106"/>
    </sheetView>
  </sheetViews>
  <sheetFormatPr defaultRowHeight="14.25"/>
  <cols>
    <col min="1" max="1" width="13.5" customWidth="1"/>
    <col min="2" max="2" width="10" customWidth="1"/>
    <col min="3" max="3" width="8" customWidth="1"/>
    <col min="4" max="5" width="9" customWidth="1"/>
    <col min="6" max="6" width="10" customWidth="1"/>
    <col min="7" max="7" width="12" customWidth="1"/>
    <col min="8" max="10" width="8" customWidth="1"/>
    <col min="11" max="11" width="10" customWidth="1"/>
    <col min="12" max="12" width="8" customWidth="1"/>
    <col min="13" max="14" width="9" customWidth="1"/>
    <col min="15" max="15" width="10" customWidth="1"/>
    <col min="16" max="16" width="12" customWidth="1"/>
    <col min="17" max="18" width="8" customWidth="1"/>
  </cols>
  <sheetData>
    <row r="1" spans="1:18">
      <c r="A1" s="47" t="s">
        <v>48</v>
      </c>
      <c r="B1" s="48"/>
      <c r="C1" s="48"/>
      <c r="D1" s="48"/>
      <c r="E1" s="48"/>
      <c r="F1" s="48"/>
      <c r="G1" s="48"/>
      <c r="H1" s="48"/>
      <c r="I1" s="48"/>
      <c r="J1" s="48"/>
      <c r="K1" s="48"/>
      <c r="L1" s="48"/>
      <c r="M1" s="48"/>
      <c r="N1" s="48"/>
      <c r="O1" s="48"/>
      <c r="P1" s="48"/>
      <c r="Q1" s="48"/>
      <c r="R1" s="48"/>
    </row>
    <row r="2" spans="1:18">
      <c r="A2" s="49" t="s">
        <v>15</v>
      </c>
      <c r="B2" s="48"/>
      <c r="C2" s="48"/>
      <c r="D2" s="48"/>
      <c r="E2" s="48"/>
      <c r="F2" s="48"/>
      <c r="G2" s="48"/>
      <c r="H2" s="48"/>
      <c r="I2" s="48"/>
      <c r="J2" s="48"/>
      <c r="K2" s="48"/>
      <c r="L2" s="48"/>
      <c r="M2" s="48"/>
      <c r="N2" s="48"/>
      <c r="O2" s="48"/>
      <c r="P2" s="48"/>
      <c r="Q2" s="48"/>
      <c r="R2" s="48"/>
    </row>
    <row r="3" spans="1:18">
      <c r="A3" s="4"/>
      <c r="B3" s="4"/>
      <c r="C3" s="4"/>
      <c r="D3" s="4"/>
      <c r="E3" s="4"/>
      <c r="F3" s="4"/>
      <c r="G3" s="4"/>
      <c r="H3" s="4"/>
      <c r="I3" s="4"/>
      <c r="J3" s="4"/>
      <c r="K3" s="4"/>
      <c r="L3" s="4"/>
      <c r="M3" s="4"/>
      <c r="N3" s="4"/>
      <c r="O3" s="4"/>
      <c r="P3" s="4"/>
      <c r="Q3" s="4"/>
      <c r="R3" s="4"/>
    </row>
    <row r="4" spans="1:18" ht="10.5" customHeight="1">
      <c r="A4" s="4"/>
      <c r="B4" s="50" t="s">
        <v>16</v>
      </c>
      <c r="C4" s="50"/>
      <c r="D4" s="50"/>
      <c r="E4" s="50"/>
      <c r="F4" s="50"/>
      <c r="G4" s="50"/>
      <c r="H4" s="50"/>
      <c r="I4" s="50"/>
      <c r="J4" s="21"/>
      <c r="K4" s="50" t="s">
        <v>17</v>
      </c>
      <c r="L4" s="50"/>
      <c r="M4" s="50"/>
      <c r="N4" s="50"/>
      <c r="O4" s="50"/>
      <c r="P4" s="50"/>
      <c r="Q4" s="50"/>
      <c r="R4" s="50"/>
    </row>
    <row r="5" spans="1:18" ht="40.5">
      <c r="A5" s="24" t="s">
        <v>18</v>
      </c>
      <c r="B5" s="24" t="s">
        <v>19</v>
      </c>
      <c r="C5" s="24" t="s">
        <v>20</v>
      </c>
      <c r="D5" s="24" t="s">
        <v>21</v>
      </c>
      <c r="E5" s="24" t="s">
        <v>22</v>
      </c>
      <c r="F5" s="24" t="s">
        <v>23</v>
      </c>
      <c r="G5" s="24" t="s">
        <v>24</v>
      </c>
      <c r="H5" s="24" t="s">
        <v>25</v>
      </c>
      <c r="I5" s="24" t="s">
        <v>26</v>
      </c>
      <c r="J5" s="25"/>
      <c r="K5" s="24" t="s">
        <v>19</v>
      </c>
      <c r="L5" s="24" t="s">
        <v>20</v>
      </c>
      <c r="M5" s="24" t="s">
        <v>21</v>
      </c>
      <c r="N5" s="24" t="s">
        <v>22</v>
      </c>
      <c r="O5" s="24" t="s">
        <v>23</v>
      </c>
      <c r="P5" s="24" t="s">
        <v>24</v>
      </c>
      <c r="Q5" s="24" t="s">
        <v>25</v>
      </c>
      <c r="R5" s="24" t="s">
        <v>26</v>
      </c>
    </row>
    <row r="6" spans="1:18">
      <c r="A6" s="7">
        <v>0</v>
      </c>
      <c r="B6" s="8">
        <v>100000</v>
      </c>
      <c r="C6" s="8">
        <v>30303</v>
      </c>
      <c r="D6" s="9">
        <v>0.30303000000000002</v>
      </c>
      <c r="E6" s="9">
        <v>0.69696999999999998</v>
      </c>
      <c r="F6" s="8">
        <v>79552</v>
      </c>
      <c r="G6" s="8">
        <v>3076963</v>
      </c>
      <c r="H6" s="10">
        <v>30.77</v>
      </c>
      <c r="I6" s="10">
        <v>15.89</v>
      </c>
      <c r="J6" s="10"/>
      <c r="K6" s="8">
        <v>100000</v>
      </c>
      <c r="L6" s="8">
        <v>26528</v>
      </c>
      <c r="M6" s="9">
        <v>0.26528000000000002</v>
      </c>
      <c r="N6" s="9">
        <v>0.73472000000000004</v>
      </c>
      <c r="O6" s="8">
        <v>82529</v>
      </c>
      <c r="P6" s="8">
        <v>3288277</v>
      </c>
      <c r="Q6" s="10">
        <v>32.880000000000003</v>
      </c>
      <c r="R6" s="10">
        <v>24.84</v>
      </c>
    </row>
    <row r="7" spans="1:18">
      <c r="A7" s="7">
        <v>1</v>
      </c>
      <c r="B7" s="8">
        <v>69697</v>
      </c>
      <c r="C7" s="8">
        <v>6995</v>
      </c>
      <c r="D7" s="9">
        <v>0.10036</v>
      </c>
      <c r="E7" s="9">
        <v>0.89964</v>
      </c>
      <c r="F7" s="8">
        <v>65448</v>
      </c>
      <c r="G7" s="8">
        <v>2997411</v>
      </c>
      <c r="H7" s="10">
        <v>43.01</v>
      </c>
      <c r="I7" s="10">
        <v>49.66</v>
      </c>
      <c r="J7" s="10"/>
      <c r="K7" s="8">
        <v>73472</v>
      </c>
      <c r="L7" s="8">
        <v>7000</v>
      </c>
      <c r="M7" s="9">
        <v>9.5280000000000004E-2</v>
      </c>
      <c r="N7" s="9">
        <v>0.90471999999999997</v>
      </c>
      <c r="O7" s="8">
        <v>69287</v>
      </c>
      <c r="P7" s="8">
        <v>3205748</v>
      </c>
      <c r="Q7" s="10">
        <v>43.63</v>
      </c>
      <c r="R7" s="10">
        <v>50.53</v>
      </c>
    </row>
    <row r="8" spans="1:18">
      <c r="A8" s="7">
        <v>2</v>
      </c>
      <c r="B8" s="8">
        <v>62702</v>
      </c>
      <c r="C8" s="8">
        <v>3568</v>
      </c>
      <c r="D8" s="9">
        <v>5.6899999999999999E-2</v>
      </c>
      <c r="E8" s="9">
        <v>0.94310000000000005</v>
      </c>
      <c r="F8" s="8">
        <v>60717</v>
      </c>
      <c r="G8" s="8">
        <v>2931963</v>
      </c>
      <c r="H8" s="10">
        <v>46.76</v>
      </c>
      <c r="I8" s="10">
        <v>53.36</v>
      </c>
      <c r="J8" s="10"/>
      <c r="K8" s="8">
        <v>66472</v>
      </c>
      <c r="L8" s="8">
        <v>3688</v>
      </c>
      <c r="M8" s="9">
        <v>5.5480000000000002E-2</v>
      </c>
      <c r="N8" s="9">
        <v>0.94452000000000003</v>
      </c>
      <c r="O8" s="8">
        <v>64432</v>
      </c>
      <c r="P8" s="8">
        <v>3136461</v>
      </c>
      <c r="Q8" s="10">
        <v>47.18</v>
      </c>
      <c r="R8" s="10">
        <v>54.18</v>
      </c>
    </row>
    <row r="9" spans="1:18">
      <c r="A9" s="7">
        <v>3</v>
      </c>
      <c r="B9" s="8">
        <v>59134</v>
      </c>
      <c r="C9" s="8">
        <v>2174</v>
      </c>
      <c r="D9" s="9">
        <v>3.6760000000000001E-2</v>
      </c>
      <c r="E9" s="9">
        <v>0.96323999999999999</v>
      </c>
      <c r="F9" s="8">
        <v>57963</v>
      </c>
      <c r="G9" s="8">
        <v>2871246</v>
      </c>
      <c r="H9" s="10">
        <v>48.55</v>
      </c>
      <c r="I9" s="10">
        <v>54.48</v>
      </c>
      <c r="J9" s="10"/>
      <c r="K9" s="8">
        <v>62784</v>
      </c>
      <c r="L9" s="8">
        <v>2292</v>
      </c>
      <c r="M9" s="9">
        <v>3.6510000000000001E-2</v>
      </c>
      <c r="N9" s="9">
        <v>0.96348999999999996</v>
      </c>
      <c r="O9" s="8">
        <v>61553</v>
      </c>
      <c r="P9" s="8">
        <v>3072029</v>
      </c>
      <c r="Q9" s="10">
        <v>48.93</v>
      </c>
      <c r="R9" s="10">
        <v>55.23</v>
      </c>
    </row>
    <row r="10" spans="1:18">
      <c r="A10" s="7">
        <v>4</v>
      </c>
      <c r="B10" s="8">
        <v>56960</v>
      </c>
      <c r="C10" s="8">
        <v>1553</v>
      </c>
      <c r="D10" s="9">
        <v>2.725E-2</v>
      </c>
      <c r="E10" s="9">
        <v>0.97275</v>
      </c>
      <c r="F10" s="8">
        <v>56139</v>
      </c>
      <c r="G10" s="8">
        <v>2813283</v>
      </c>
      <c r="H10" s="10">
        <v>49.39</v>
      </c>
      <c r="I10" s="10">
        <v>54.7</v>
      </c>
      <c r="J10" s="10"/>
      <c r="K10" s="8">
        <v>60492</v>
      </c>
      <c r="L10" s="8">
        <v>1655</v>
      </c>
      <c r="M10" s="9">
        <v>2.7359999999999999E-2</v>
      </c>
      <c r="N10" s="9">
        <v>0.97263999999999995</v>
      </c>
      <c r="O10" s="8">
        <v>59575</v>
      </c>
      <c r="P10" s="8">
        <v>3010476</v>
      </c>
      <c r="Q10" s="10">
        <v>49.77</v>
      </c>
      <c r="R10" s="10">
        <v>55.42</v>
      </c>
    </row>
    <row r="11" spans="1:18">
      <c r="A11" s="7">
        <v>5</v>
      </c>
      <c r="B11" s="8">
        <v>55407</v>
      </c>
      <c r="C11" s="8">
        <v>1099</v>
      </c>
      <c r="D11" s="9">
        <v>1.983E-2</v>
      </c>
      <c r="E11" s="9">
        <v>0.98016999999999999</v>
      </c>
      <c r="F11" s="8">
        <v>54830</v>
      </c>
      <c r="G11" s="8">
        <v>2757144</v>
      </c>
      <c r="H11" s="10">
        <v>49.76</v>
      </c>
      <c r="I11" s="10">
        <v>54.55</v>
      </c>
      <c r="J11" s="10"/>
      <c r="K11" s="8">
        <v>58837</v>
      </c>
      <c r="L11" s="8">
        <v>1128</v>
      </c>
      <c r="M11" s="9">
        <v>1.917E-2</v>
      </c>
      <c r="N11" s="9">
        <v>0.98082999999999998</v>
      </c>
      <c r="O11" s="8">
        <v>58240</v>
      </c>
      <c r="P11" s="8">
        <v>2950901</v>
      </c>
      <c r="Q11" s="10">
        <v>50.15</v>
      </c>
      <c r="R11" s="10">
        <v>55.24</v>
      </c>
    </row>
    <row r="12" spans="1:18">
      <c r="A12" s="7">
        <v>6</v>
      </c>
      <c r="B12" s="8">
        <v>54308</v>
      </c>
      <c r="C12" s="8">
        <v>880</v>
      </c>
      <c r="D12" s="9">
        <v>1.6209999999999999E-2</v>
      </c>
      <c r="E12" s="9">
        <v>0.98379000000000005</v>
      </c>
      <c r="F12" s="8">
        <v>53852</v>
      </c>
      <c r="G12" s="8">
        <v>2702314</v>
      </c>
      <c r="H12" s="10">
        <v>49.76</v>
      </c>
      <c r="I12" s="10">
        <v>54.14</v>
      </c>
      <c r="J12" s="10"/>
      <c r="K12" s="8">
        <v>57709</v>
      </c>
      <c r="L12" s="8">
        <v>893</v>
      </c>
      <c r="M12" s="9">
        <v>1.5469999999999999E-2</v>
      </c>
      <c r="N12" s="9">
        <v>0.98453000000000002</v>
      </c>
      <c r="O12" s="8">
        <v>57244</v>
      </c>
      <c r="P12" s="8">
        <v>2892661</v>
      </c>
      <c r="Q12" s="10">
        <v>50.12</v>
      </c>
      <c r="R12" s="10">
        <v>54.78</v>
      </c>
    </row>
    <row r="13" spans="1:18">
      <c r="A13" s="7">
        <v>7</v>
      </c>
      <c r="B13" s="8">
        <v>53428</v>
      </c>
      <c r="C13" s="8">
        <v>705</v>
      </c>
      <c r="D13" s="9">
        <v>1.32E-2</v>
      </c>
      <c r="E13" s="9">
        <v>0.98680000000000001</v>
      </c>
      <c r="F13" s="8">
        <v>53063</v>
      </c>
      <c r="G13" s="8">
        <v>2648462</v>
      </c>
      <c r="H13" s="10">
        <v>49.57</v>
      </c>
      <c r="I13" s="10">
        <v>53.6</v>
      </c>
      <c r="J13" s="10"/>
      <c r="K13" s="8">
        <v>56816</v>
      </c>
      <c r="L13" s="8">
        <v>705</v>
      </c>
      <c r="M13" s="9">
        <v>1.2409999999999999E-2</v>
      </c>
      <c r="N13" s="9">
        <v>0.98758999999999997</v>
      </c>
      <c r="O13" s="8">
        <v>56450</v>
      </c>
      <c r="P13" s="8">
        <v>2835417</v>
      </c>
      <c r="Q13" s="10">
        <v>49.91</v>
      </c>
      <c r="R13" s="10">
        <v>54.2</v>
      </c>
    </row>
    <row r="14" spans="1:18">
      <c r="A14" s="7">
        <v>8</v>
      </c>
      <c r="B14" s="8">
        <v>52723</v>
      </c>
      <c r="C14" s="8">
        <v>566</v>
      </c>
      <c r="D14" s="9">
        <v>1.073E-2</v>
      </c>
      <c r="E14" s="9">
        <v>0.98926999999999998</v>
      </c>
      <c r="F14" s="8">
        <v>52430</v>
      </c>
      <c r="G14" s="8">
        <v>2595399</v>
      </c>
      <c r="H14" s="10">
        <v>49.23</v>
      </c>
      <c r="I14" s="10">
        <v>52.98</v>
      </c>
      <c r="J14" s="10"/>
      <c r="K14" s="8">
        <v>56111</v>
      </c>
      <c r="L14" s="8">
        <v>560</v>
      </c>
      <c r="M14" s="9">
        <v>9.9799999999999993E-3</v>
      </c>
      <c r="N14" s="9">
        <v>0.99002000000000001</v>
      </c>
      <c r="O14" s="8">
        <v>55821</v>
      </c>
      <c r="P14" s="8">
        <v>2778967</v>
      </c>
      <c r="Q14" s="10">
        <v>49.53</v>
      </c>
      <c r="R14" s="10">
        <v>53.53</v>
      </c>
    </row>
    <row r="15" spans="1:18">
      <c r="A15" s="7">
        <v>9</v>
      </c>
      <c r="B15" s="8">
        <v>52157</v>
      </c>
      <c r="C15" s="8">
        <v>457</v>
      </c>
      <c r="D15" s="9">
        <v>8.77E-3</v>
      </c>
      <c r="E15" s="9">
        <v>0.99123000000000006</v>
      </c>
      <c r="F15" s="8">
        <v>51920</v>
      </c>
      <c r="G15" s="8">
        <v>2542969</v>
      </c>
      <c r="H15" s="10">
        <v>48.76</v>
      </c>
      <c r="I15" s="10">
        <v>52.27</v>
      </c>
      <c r="J15" s="10"/>
      <c r="K15" s="8">
        <v>55551</v>
      </c>
      <c r="L15" s="8">
        <v>450</v>
      </c>
      <c r="M15" s="9">
        <v>8.0999999999999996E-3</v>
      </c>
      <c r="N15" s="9">
        <v>0.9919</v>
      </c>
      <c r="O15" s="8">
        <v>55319</v>
      </c>
      <c r="P15" s="8">
        <v>2723146</v>
      </c>
      <c r="Q15" s="10">
        <v>49.02</v>
      </c>
      <c r="R15" s="10">
        <v>52.79</v>
      </c>
    </row>
    <row r="16" spans="1:18">
      <c r="A16" s="7">
        <v>10</v>
      </c>
      <c r="B16" s="8">
        <v>51700</v>
      </c>
      <c r="C16" s="8">
        <v>376</v>
      </c>
      <c r="D16" s="9">
        <v>7.2500000000000004E-3</v>
      </c>
      <c r="E16" s="9">
        <v>0.99275000000000002</v>
      </c>
      <c r="F16" s="8">
        <v>51506</v>
      </c>
      <c r="G16" s="8">
        <v>2491049</v>
      </c>
      <c r="H16" s="10">
        <v>48.18</v>
      </c>
      <c r="I16" s="10">
        <v>51.5</v>
      </c>
      <c r="J16" s="10"/>
      <c r="K16" s="8">
        <v>55101</v>
      </c>
      <c r="L16" s="8">
        <v>370</v>
      </c>
      <c r="M16" s="9">
        <v>6.7200000000000003E-3</v>
      </c>
      <c r="N16" s="9">
        <v>0.99328000000000005</v>
      </c>
      <c r="O16" s="8">
        <v>54911</v>
      </c>
      <c r="P16" s="8">
        <v>2667827</v>
      </c>
      <c r="Q16" s="10">
        <v>48.42</v>
      </c>
      <c r="R16" s="10">
        <v>52</v>
      </c>
    </row>
    <row r="17" spans="1:18">
      <c r="A17" s="7">
        <v>11</v>
      </c>
      <c r="B17" s="8">
        <v>51324</v>
      </c>
      <c r="C17" s="8">
        <v>317</v>
      </c>
      <c r="D17" s="9">
        <v>6.1799999999999997E-3</v>
      </c>
      <c r="E17" s="9">
        <v>0.99382000000000004</v>
      </c>
      <c r="F17" s="8">
        <v>51162</v>
      </c>
      <c r="G17" s="8">
        <v>2439543</v>
      </c>
      <c r="H17" s="10">
        <v>47.53</v>
      </c>
      <c r="I17" s="10">
        <v>50.7</v>
      </c>
      <c r="J17" s="10"/>
      <c r="K17" s="8">
        <v>54731</v>
      </c>
      <c r="L17" s="8">
        <v>316</v>
      </c>
      <c r="M17" s="9">
        <v>5.7800000000000004E-3</v>
      </c>
      <c r="N17" s="9">
        <v>0.99421999999999999</v>
      </c>
      <c r="O17" s="8">
        <v>54570</v>
      </c>
      <c r="P17" s="8">
        <v>2612916</v>
      </c>
      <c r="Q17" s="10">
        <v>47.74</v>
      </c>
      <c r="R17" s="10">
        <v>51.17</v>
      </c>
    </row>
    <row r="18" spans="1:18">
      <c r="A18" s="7">
        <v>12</v>
      </c>
      <c r="B18" s="8">
        <v>51007</v>
      </c>
      <c r="C18" s="8">
        <v>278</v>
      </c>
      <c r="D18" s="9">
        <v>5.4599999999999996E-3</v>
      </c>
      <c r="E18" s="9">
        <v>0.99453999999999998</v>
      </c>
      <c r="F18" s="8">
        <v>50865</v>
      </c>
      <c r="G18" s="8">
        <v>2388381</v>
      </c>
      <c r="H18" s="10">
        <v>46.82</v>
      </c>
      <c r="I18" s="10">
        <v>49.86</v>
      </c>
      <c r="J18" s="10"/>
      <c r="K18" s="8">
        <v>54415</v>
      </c>
      <c r="L18" s="8">
        <v>285</v>
      </c>
      <c r="M18" s="9">
        <v>5.2399999999999999E-3</v>
      </c>
      <c r="N18" s="9">
        <v>0.99475999999999998</v>
      </c>
      <c r="O18" s="8">
        <v>54271</v>
      </c>
      <c r="P18" s="8">
        <v>2558346</v>
      </c>
      <c r="Q18" s="10">
        <v>47.02</v>
      </c>
      <c r="R18" s="10">
        <v>50.31</v>
      </c>
    </row>
    <row r="19" spans="1:18">
      <c r="A19" s="7">
        <v>13</v>
      </c>
      <c r="B19" s="8">
        <v>50729</v>
      </c>
      <c r="C19" s="8">
        <v>256</v>
      </c>
      <c r="D19" s="9">
        <v>5.0499999999999998E-3</v>
      </c>
      <c r="E19" s="9">
        <v>0.99495</v>
      </c>
      <c r="F19" s="8">
        <v>50600</v>
      </c>
      <c r="G19" s="8">
        <v>2337516</v>
      </c>
      <c r="H19" s="10">
        <v>46.08</v>
      </c>
      <c r="I19" s="10">
        <v>49</v>
      </c>
      <c r="J19" s="10"/>
      <c r="K19" s="8">
        <v>54130</v>
      </c>
      <c r="L19" s="8">
        <v>272</v>
      </c>
      <c r="M19" s="9">
        <v>5.0200000000000002E-3</v>
      </c>
      <c r="N19" s="9">
        <v>0.99497999999999998</v>
      </c>
      <c r="O19" s="8">
        <v>53993</v>
      </c>
      <c r="P19" s="8">
        <v>2504075</v>
      </c>
      <c r="Q19" s="10">
        <v>46.26</v>
      </c>
      <c r="R19" s="10">
        <v>49.44</v>
      </c>
    </row>
    <row r="20" spans="1:18">
      <c r="A20" s="7">
        <v>14</v>
      </c>
      <c r="B20" s="8">
        <v>50473</v>
      </c>
      <c r="C20" s="8">
        <v>248</v>
      </c>
      <c r="D20" s="9">
        <v>4.9100000000000003E-3</v>
      </c>
      <c r="E20" s="9">
        <v>0.99509000000000003</v>
      </c>
      <c r="F20" s="8">
        <v>50349</v>
      </c>
      <c r="G20" s="8">
        <v>2286916</v>
      </c>
      <c r="H20" s="10">
        <v>45.31</v>
      </c>
      <c r="I20" s="10">
        <v>48.13</v>
      </c>
      <c r="J20" s="10"/>
      <c r="K20" s="8">
        <v>53858</v>
      </c>
      <c r="L20" s="8">
        <v>273</v>
      </c>
      <c r="M20" s="9">
        <v>5.0499999999999998E-3</v>
      </c>
      <c r="N20" s="9">
        <v>0.99495</v>
      </c>
      <c r="O20" s="8">
        <v>53722</v>
      </c>
      <c r="P20" s="8">
        <v>2450082</v>
      </c>
      <c r="Q20" s="10">
        <v>45.49</v>
      </c>
      <c r="R20" s="10">
        <v>48.56</v>
      </c>
    </row>
    <row r="21" spans="1:18">
      <c r="A21" s="7">
        <v>15</v>
      </c>
      <c r="B21" s="8">
        <v>50225</v>
      </c>
      <c r="C21" s="8">
        <v>252</v>
      </c>
      <c r="D21" s="9">
        <v>5.0099999999999997E-3</v>
      </c>
      <c r="E21" s="9">
        <v>0.99499000000000004</v>
      </c>
      <c r="F21" s="8">
        <v>50100</v>
      </c>
      <c r="G21" s="8">
        <v>2236567</v>
      </c>
      <c r="H21" s="10">
        <v>44.53</v>
      </c>
      <c r="I21" s="10">
        <v>47.25</v>
      </c>
      <c r="J21" s="10"/>
      <c r="K21" s="8">
        <v>53585</v>
      </c>
      <c r="L21" s="8">
        <v>288</v>
      </c>
      <c r="M21" s="9">
        <v>5.3800000000000002E-3</v>
      </c>
      <c r="N21" s="9">
        <v>0.99461999999999995</v>
      </c>
      <c r="O21" s="8">
        <v>53442</v>
      </c>
      <c r="P21" s="8">
        <v>2396360</v>
      </c>
      <c r="Q21" s="10">
        <v>44.72</v>
      </c>
      <c r="R21" s="10">
        <v>47.68</v>
      </c>
    </row>
    <row r="22" spans="1:18">
      <c r="A22" s="7">
        <v>16</v>
      </c>
      <c r="B22" s="8">
        <v>49973</v>
      </c>
      <c r="C22" s="8">
        <v>267</v>
      </c>
      <c r="D22" s="9">
        <v>5.3400000000000001E-3</v>
      </c>
      <c r="E22" s="9">
        <v>0.99465999999999999</v>
      </c>
      <c r="F22" s="8">
        <v>49841</v>
      </c>
      <c r="G22" s="8">
        <v>2186467</v>
      </c>
      <c r="H22" s="10">
        <v>43.75</v>
      </c>
      <c r="I22" s="10">
        <v>46.38</v>
      </c>
      <c r="J22" s="10"/>
      <c r="K22" s="8">
        <v>53297</v>
      </c>
      <c r="L22" s="8">
        <v>316</v>
      </c>
      <c r="M22" s="9">
        <v>5.9199999999999999E-3</v>
      </c>
      <c r="N22" s="9">
        <v>0.99407999999999996</v>
      </c>
      <c r="O22" s="8">
        <v>53141</v>
      </c>
      <c r="P22" s="8">
        <v>2342918</v>
      </c>
      <c r="Q22" s="10">
        <v>43.96</v>
      </c>
      <c r="R22" s="10">
        <v>46.81</v>
      </c>
    </row>
    <row r="23" spans="1:18">
      <c r="A23" s="7">
        <v>17</v>
      </c>
      <c r="B23" s="8">
        <v>49706</v>
      </c>
      <c r="C23" s="8">
        <v>283</v>
      </c>
      <c r="D23" s="9">
        <v>5.7000000000000002E-3</v>
      </c>
      <c r="E23" s="9">
        <v>0.99429999999999996</v>
      </c>
      <c r="F23" s="8">
        <v>49565</v>
      </c>
      <c r="G23" s="8">
        <v>2136626</v>
      </c>
      <c r="H23" s="10">
        <v>42.99</v>
      </c>
      <c r="I23" s="10">
        <v>45.51</v>
      </c>
      <c r="J23" s="10"/>
      <c r="K23" s="8">
        <v>52981</v>
      </c>
      <c r="L23" s="8">
        <v>341</v>
      </c>
      <c r="M23" s="9">
        <v>6.43E-3</v>
      </c>
      <c r="N23" s="9">
        <v>0.99356999999999995</v>
      </c>
      <c r="O23" s="8">
        <v>52813</v>
      </c>
      <c r="P23" s="8">
        <v>2289777</v>
      </c>
      <c r="Q23" s="10">
        <v>43.22</v>
      </c>
      <c r="R23" s="10">
        <v>45.96</v>
      </c>
    </row>
    <row r="24" spans="1:18">
      <c r="A24" s="7">
        <v>18</v>
      </c>
      <c r="B24" s="8">
        <v>49423</v>
      </c>
      <c r="C24" s="8">
        <v>297</v>
      </c>
      <c r="D24" s="9">
        <v>6.0099999999999997E-3</v>
      </c>
      <c r="E24" s="9">
        <v>0.99399000000000004</v>
      </c>
      <c r="F24" s="8">
        <v>49275</v>
      </c>
      <c r="G24" s="8">
        <v>2087061</v>
      </c>
      <c r="H24" s="10">
        <v>42.23</v>
      </c>
      <c r="I24" s="10">
        <v>44.66</v>
      </c>
      <c r="J24" s="10"/>
      <c r="K24" s="8">
        <v>52640</v>
      </c>
      <c r="L24" s="8">
        <v>354</v>
      </c>
      <c r="M24" s="9">
        <v>6.7299999999999999E-3</v>
      </c>
      <c r="N24" s="9">
        <v>0.99326999999999999</v>
      </c>
      <c r="O24" s="8">
        <v>52464</v>
      </c>
      <c r="P24" s="8">
        <v>2236964</v>
      </c>
      <c r="Q24" s="10">
        <v>42.5</v>
      </c>
      <c r="R24" s="10">
        <v>45.11</v>
      </c>
    </row>
    <row r="25" spans="1:18">
      <c r="A25" s="7">
        <v>19</v>
      </c>
      <c r="B25" s="8">
        <v>49126</v>
      </c>
      <c r="C25" s="8">
        <v>309</v>
      </c>
      <c r="D25" s="9">
        <v>6.3E-3</v>
      </c>
      <c r="E25" s="9">
        <v>0.99370000000000003</v>
      </c>
      <c r="F25" s="8">
        <v>48973</v>
      </c>
      <c r="G25" s="8">
        <v>2037786</v>
      </c>
      <c r="H25" s="10">
        <v>41.48</v>
      </c>
      <c r="I25" s="10">
        <v>43.8</v>
      </c>
      <c r="J25" s="10"/>
      <c r="K25" s="8">
        <v>52286</v>
      </c>
      <c r="L25" s="8">
        <v>361</v>
      </c>
      <c r="M25" s="9">
        <v>6.8999999999999999E-3</v>
      </c>
      <c r="N25" s="9">
        <v>0.99309999999999998</v>
      </c>
      <c r="O25" s="8">
        <v>52106</v>
      </c>
      <c r="P25" s="8">
        <v>2184500</v>
      </c>
      <c r="Q25" s="10">
        <v>41.78</v>
      </c>
      <c r="R25" s="10">
        <v>44.26</v>
      </c>
    </row>
    <row r="26" spans="1:18">
      <c r="A26" s="7">
        <v>20</v>
      </c>
      <c r="B26" s="8">
        <v>48817</v>
      </c>
      <c r="C26" s="8">
        <v>327</v>
      </c>
      <c r="D26" s="9">
        <v>6.6899999999999998E-3</v>
      </c>
      <c r="E26" s="9">
        <v>0.99331000000000003</v>
      </c>
      <c r="F26" s="8">
        <v>48656</v>
      </c>
      <c r="G26" s="8">
        <v>1988813</v>
      </c>
      <c r="H26" s="10">
        <v>40.74</v>
      </c>
      <c r="I26" s="10">
        <v>42.96</v>
      </c>
      <c r="J26" s="10"/>
      <c r="K26" s="8">
        <v>51925</v>
      </c>
      <c r="L26" s="8">
        <v>373</v>
      </c>
      <c r="M26" s="9">
        <v>7.1900000000000002E-3</v>
      </c>
      <c r="N26" s="9">
        <v>0.99280999999999997</v>
      </c>
      <c r="O26" s="8">
        <v>51739</v>
      </c>
      <c r="P26" s="8">
        <v>2132394</v>
      </c>
      <c r="Q26" s="10">
        <v>41.07</v>
      </c>
      <c r="R26" s="10">
        <v>43.42</v>
      </c>
    </row>
    <row r="27" spans="1:18">
      <c r="A27" s="7">
        <v>21</v>
      </c>
      <c r="B27" s="8">
        <v>48490</v>
      </c>
      <c r="C27" s="8">
        <v>347</v>
      </c>
      <c r="D27" s="9">
        <v>7.1599999999999997E-3</v>
      </c>
      <c r="E27" s="9">
        <v>0.99283999999999994</v>
      </c>
      <c r="F27" s="8">
        <v>48318</v>
      </c>
      <c r="G27" s="8">
        <v>1940157</v>
      </c>
      <c r="H27" s="10">
        <v>40.01</v>
      </c>
      <c r="I27" s="10">
        <v>42.12</v>
      </c>
      <c r="J27" s="10"/>
      <c r="K27" s="8">
        <v>51552</v>
      </c>
      <c r="L27" s="8">
        <v>390</v>
      </c>
      <c r="M27" s="9">
        <v>7.5599999999999999E-3</v>
      </c>
      <c r="N27" s="9">
        <v>0.99243999999999999</v>
      </c>
      <c r="O27" s="8">
        <v>51358</v>
      </c>
      <c r="P27" s="8">
        <v>2080655</v>
      </c>
      <c r="Q27" s="10">
        <v>40.36</v>
      </c>
      <c r="R27" s="10">
        <v>42.59</v>
      </c>
    </row>
    <row r="28" spans="1:18">
      <c r="A28" s="7">
        <v>22</v>
      </c>
      <c r="B28" s="8">
        <v>48143</v>
      </c>
      <c r="C28" s="8">
        <v>363</v>
      </c>
      <c r="D28" s="9">
        <v>7.5399999999999998E-3</v>
      </c>
      <c r="E28" s="9">
        <v>0.99246000000000001</v>
      </c>
      <c r="F28" s="8">
        <v>47963</v>
      </c>
      <c r="G28" s="8">
        <v>1891839</v>
      </c>
      <c r="H28" s="10">
        <v>39.299999999999997</v>
      </c>
      <c r="I28" s="10">
        <v>41.29</v>
      </c>
      <c r="J28" s="10"/>
      <c r="K28" s="8">
        <v>51162</v>
      </c>
      <c r="L28" s="8">
        <v>403</v>
      </c>
      <c r="M28" s="9">
        <v>7.8700000000000003E-3</v>
      </c>
      <c r="N28" s="9">
        <v>0.99212999999999996</v>
      </c>
      <c r="O28" s="8">
        <v>50962</v>
      </c>
      <c r="P28" s="8">
        <v>2029297</v>
      </c>
      <c r="Q28" s="10">
        <v>39.659999999999997</v>
      </c>
      <c r="R28" s="10">
        <v>41.76</v>
      </c>
    </row>
    <row r="29" spans="1:18">
      <c r="A29" s="7">
        <v>23</v>
      </c>
      <c r="B29" s="8">
        <v>47780</v>
      </c>
      <c r="C29" s="8">
        <v>369</v>
      </c>
      <c r="D29" s="9">
        <v>7.7299999999999999E-3</v>
      </c>
      <c r="E29" s="9">
        <v>0.99226999999999999</v>
      </c>
      <c r="F29" s="8">
        <v>47596</v>
      </c>
      <c r="G29" s="8">
        <v>1843876</v>
      </c>
      <c r="H29" s="10">
        <v>38.590000000000003</v>
      </c>
      <c r="I29" s="10">
        <v>40.47</v>
      </c>
      <c r="J29" s="10"/>
      <c r="K29" s="8">
        <v>50759</v>
      </c>
      <c r="L29" s="8">
        <v>411</v>
      </c>
      <c r="M29" s="9">
        <v>8.09E-3</v>
      </c>
      <c r="N29" s="9">
        <v>0.99190999999999996</v>
      </c>
      <c r="O29" s="8">
        <v>50555</v>
      </c>
      <c r="P29" s="8">
        <v>1978335</v>
      </c>
      <c r="Q29" s="10">
        <v>38.979999999999997</v>
      </c>
      <c r="R29" s="10">
        <v>40.93</v>
      </c>
    </row>
    <row r="30" spans="1:18">
      <c r="A30" s="7">
        <v>24</v>
      </c>
      <c r="B30" s="8">
        <v>47411</v>
      </c>
      <c r="C30" s="8">
        <v>370</v>
      </c>
      <c r="D30" s="9">
        <v>7.7999999999999996E-3</v>
      </c>
      <c r="E30" s="9">
        <v>0.99219999999999997</v>
      </c>
      <c r="F30" s="8">
        <v>47226</v>
      </c>
      <c r="G30" s="8">
        <v>1796280</v>
      </c>
      <c r="H30" s="10">
        <v>37.89</v>
      </c>
      <c r="I30" s="10">
        <v>39.65</v>
      </c>
      <c r="J30" s="10"/>
      <c r="K30" s="8">
        <v>50348</v>
      </c>
      <c r="L30" s="8">
        <v>415</v>
      </c>
      <c r="M30" s="9">
        <v>8.2400000000000008E-3</v>
      </c>
      <c r="N30" s="9">
        <v>0.99175999999999997</v>
      </c>
      <c r="O30" s="8">
        <v>50141</v>
      </c>
      <c r="P30" s="8">
        <v>1927780</v>
      </c>
      <c r="Q30" s="10">
        <v>38.29</v>
      </c>
      <c r="R30" s="10">
        <v>40.11</v>
      </c>
    </row>
    <row r="31" spans="1:18">
      <c r="A31" s="7">
        <v>25</v>
      </c>
      <c r="B31" s="8">
        <v>47041</v>
      </c>
      <c r="C31" s="8">
        <v>372</v>
      </c>
      <c r="D31" s="9">
        <v>7.9000000000000008E-3</v>
      </c>
      <c r="E31" s="9">
        <v>0.99209999999999998</v>
      </c>
      <c r="F31" s="8">
        <v>46855</v>
      </c>
      <c r="G31" s="8">
        <v>1749054</v>
      </c>
      <c r="H31" s="10">
        <v>37.18</v>
      </c>
      <c r="I31" s="10">
        <v>38.83</v>
      </c>
      <c r="J31" s="10"/>
      <c r="K31" s="8">
        <v>49933</v>
      </c>
      <c r="L31" s="8">
        <v>419</v>
      </c>
      <c r="M31" s="9">
        <v>8.3899999999999999E-3</v>
      </c>
      <c r="N31" s="9">
        <v>0.99160999999999999</v>
      </c>
      <c r="O31" s="8">
        <v>49723</v>
      </c>
      <c r="P31" s="8">
        <v>1877639</v>
      </c>
      <c r="Q31" s="10">
        <v>37.6</v>
      </c>
      <c r="R31" s="10">
        <v>39.29</v>
      </c>
    </row>
    <row r="32" spans="1:18">
      <c r="A32" s="7">
        <v>26</v>
      </c>
      <c r="B32" s="8">
        <v>46669</v>
      </c>
      <c r="C32" s="8">
        <v>375</v>
      </c>
      <c r="D32" s="9">
        <v>8.0300000000000007E-3</v>
      </c>
      <c r="E32" s="9">
        <v>0.99197000000000002</v>
      </c>
      <c r="F32" s="8">
        <v>46482</v>
      </c>
      <c r="G32" s="8">
        <v>1702199</v>
      </c>
      <c r="H32" s="10">
        <v>36.47</v>
      </c>
      <c r="I32" s="10">
        <v>38.020000000000003</v>
      </c>
      <c r="J32" s="10"/>
      <c r="K32" s="8">
        <v>49514</v>
      </c>
      <c r="L32" s="8">
        <v>424</v>
      </c>
      <c r="M32" s="9">
        <v>8.5699999999999995E-3</v>
      </c>
      <c r="N32" s="9">
        <v>0.99143000000000003</v>
      </c>
      <c r="O32" s="8">
        <v>49302</v>
      </c>
      <c r="P32" s="8">
        <v>1827916</v>
      </c>
      <c r="Q32" s="10">
        <v>36.92</v>
      </c>
      <c r="R32" s="10">
        <v>38.47</v>
      </c>
    </row>
    <row r="33" spans="1:18">
      <c r="A33" s="7">
        <v>27</v>
      </c>
      <c r="B33" s="8">
        <v>46294</v>
      </c>
      <c r="C33" s="8">
        <v>376</v>
      </c>
      <c r="D33" s="9">
        <v>8.1300000000000001E-3</v>
      </c>
      <c r="E33" s="9">
        <v>0.99187000000000003</v>
      </c>
      <c r="F33" s="8">
        <v>46106</v>
      </c>
      <c r="G33" s="8">
        <v>1655717</v>
      </c>
      <c r="H33" s="10">
        <v>35.770000000000003</v>
      </c>
      <c r="I33" s="10">
        <v>37.200000000000003</v>
      </c>
      <c r="J33" s="10"/>
      <c r="K33" s="8">
        <v>49090</v>
      </c>
      <c r="L33" s="8">
        <v>428</v>
      </c>
      <c r="M33" s="9">
        <v>8.7100000000000007E-3</v>
      </c>
      <c r="N33" s="9">
        <v>0.99129</v>
      </c>
      <c r="O33" s="8">
        <v>48876</v>
      </c>
      <c r="P33" s="8">
        <v>1778614</v>
      </c>
      <c r="Q33" s="10">
        <v>36.229999999999997</v>
      </c>
      <c r="R33" s="10">
        <v>37.659999999999997</v>
      </c>
    </row>
    <row r="34" spans="1:18">
      <c r="A34" s="7">
        <v>28</v>
      </c>
      <c r="B34" s="8">
        <v>45918</v>
      </c>
      <c r="C34" s="8">
        <v>376</v>
      </c>
      <c r="D34" s="9">
        <v>8.1899999999999994E-3</v>
      </c>
      <c r="E34" s="9">
        <v>0.99180999999999997</v>
      </c>
      <c r="F34" s="8">
        <v>45730</v>
      </c>
      <c r="G34" s="8">
        <v>1609611</v>
      </c>
      <c r="H34" s="10">
        <v>35.049999999999997</v>
      </c>
      <c r="I34" s="10">
        <v>36.380000000000003</v>
      </c>
      <c r="J34" s="10"/>
      <c r="K34" s="8">
        <v>48662</v>
      </c>
      <c r="L34" s="8">
        <v>429</v>
      </c>
      <c r="M34" s="9">
        <v>8.8199999999999997E-3</v>
      </c>
      <c r="N34" s="9">
        <v>0.99117999999999995</v>
      </c>
      <c r="O34" s="8">
        <v>48447</v>
      </c>
      <c r="P34" s="8">
        <v>1729738</v>
      </c>
      <c r="Q34" s="10">
        <v>35.549999999999997</v>
      </c>
      <c r="R34" s="10">
        <v>36.840000000000003</v>
      </c>
    </row>
    <row r="35" spans="1:18">
      <c r="A35" s="7">
        <v>29</v>
      </c>
      <c r="B35" s="8">
        <v>45542</v>
      </c>
      <c r="C35" s="8">
        <v>376</v>
      </c>
      <c r="D35" s="9">
        <v>8.2500000000000004E-3</v>
      </c>
      <c r="E35" s="9">
        <v>0.99175000000000002</v>
      </c>
      <c r="F35" s="8">
        <v>45354</v>
      </c>
      <c r="G35" s="8">
        <v>1563881</v>
      </c>
      <c r="H35" s="10">
        <v>34.340000000000003</v>
      </c>
      <c r="I35" s="10">
        <v>35.56</v>
      </c>
      <c r="J35" s="10"/>
      <c r="K35" s="8">
        <v>48233</v>
      </c>
      <c r="L35" s="8">
        <v>430</v>
      </c>
      <c r="M35" s="9">
        <v>8.9099999999999995E-3</v>
      </c>
      <c r="N35" s="9">
        <v>0.99109000000000003</v>
      </c>
      <c r="O35" s="8">
        <v>48018</v>
      </c>
      <c r="P35" s="8">
        <v>1681291</v>
      </c>
      <c r="Q35" s="10">
        <v>34.86</v>
      </c>
      <c r="R35" s="10">
        <v>36.03</v>
      </c>
    </row>
    <row r="36" spans="1:18">
      <c r="A36" s="7">
        <v>30</v>
      </c>
      <c r="B36" s="8">
        <v>45166</v>
      </c>
      <c r="C36" s="8">
        <v>375</v>
      </c>
      <c r="D36" s="9">
        <v>8.3099999999999997E-3</v>
      </c>
      <c r="E36" s="9">
        <v>0.99168999999999996</v>
      </c>
      <c r="F36" s="8">
        <v>44978</v>
      </c>
      <c r="G36" s="8">
        <v>1518527</v>
      </c>
      <c r="H36" s="10">
        <v>33.619999999999997</v>
      </c>
      <c r="I36" s="10">
        <v>34.74</v>
      </c>
      <c r="J36" s="10"/>
      <c r="K36" s="8">
        <v>47803</v>
      </c>
      <c r="L36" s="8">
        <v>431</v>
      </c>
      <c r="M36" s="9">
        <v>9.0100000000000006E-3</v>
      </c>
      <c r="N36" s="9">
        <v>0.99099000000000004</v>
      </c>
      <c r="O36" s="8">
        <v>47588</v>
      </c>
      <c r="P36" s="8">
        <v>1633273</v>
      </c>
      <c r="Q36" s="10">
        <v>34.17</v>
      </c>
      <c r="R36" s="10">
        <v>35.21</v>
      </c>
    </row>
    <row r="37" spans="1:18">
      <c r="A37" s="7">
        <v>31</v>
      </c>
      <c r="B37" s="8">
        <v>44791</v>
      </c>
      <c r="C37" s="8">
        <v>375</v>
      </c>
      <c r="D37" s="9">
        <v>8.3700000000000007E-3</v>
      </c>
      <c r="E37" s="9">
        <v>0.99163000000000001</v>
      </c>
      <c r="F37" s="8">
        <v>44604</v>
      </c>
      <c r="G37" s="8">
        <v>1473549</v>
      </c>
      <c r="H37" s="10">
        <v>32.9</v>
      </c>
      <c r="I37" s="10">
        <v>33.92</v>
      </c>
      <c r="J37" s="10"/>
      <c r="K37" s="8">
        <v>47372</v>
      </c>
      <c r="L37" s="8">
        <v>431</v>
      </c>
      <c r="M37" s="9">
        <v>9.0900000000000009E-3</v>
      </c>
      <c r="N37" s="9">
        <v>0.99090999999999996</v>
      </c>
      <c r="O37" s="8">
        <v>47157</v>
      </c>
      <c r="P37" s="8">
        <v>1585685</v>
      </c>
      <c r="Q37" s="10">
        <v>33.47</v>
      </c>
      <c r="R37" s="10">
        <v>34.39</v>
      </c>
    </row>
    <row r="38" spans="1:18">
      <c r="A38" s="7">
        <v>32</v>
      </c>
      <c r="B38" s="8">
        <v>44416</v>
      </c>
      <c r="C38" s="8">
        <v>378</v>
      </c>
      <c r="D38" s="9">
        <v>8.5199999999999998E-3</v>
      </c>
      <c r="E38" s="9">
        <v>0.99148000000000003</v>
      </c>
      <c r="F38" s="8">
        <v>44228</v>
      </c>
      <c r="G38" s="8">
        <v>1428945</v>
      </c>
      <c r="H38" s="10">
        <v>32.17</v>
      </c>
      <c r="I38" s="10">
        <v>33.1</v>
      </c>
      <c r="J38" s="10"/>
      <c r="K38" s="8">
        <v>46941</v>
      </c>
      <c r="L38" s="8">
        <v>434</v>
      </c>
      <c r="M38" s="9">
        <v>9.2499999999999995E-3</v>
      </c>
      <c r="N38" s="9">
        <v>0.99075000000000002</v>
      </c>
      <c r="O38" s="8">
        <v>46726</v>
      </c>
      <c r="P38" s="8">
        <v>1538528</v>
      </c>
      <c r="Q38" s="10">
        <v>32.78</v>
      </c>
      <c r="R38" s="10">
        <v>33.57</v>
      </c>
    </row>
    <row r="39" spans="1:18">
      <c r="A39" s="7">
        <v>33</v>
      </c>
      <c r="B39" s="8">
        <v>44038</v>
      </c>
      <c r="C39" s="8">
        <v>388</v>
      </c>
      <c r="D39" s="9">
        <v>8.8100000000000001E-3</v>
      </c>
      <c r="E39" s="9">
        <v>0.99119000000000002</v>
      </c>
      <c r="F39" s="8">
        <v>43845</v>
      </c>
      <c r="G39" s="8">
        <v>1384717</v>
      </c>
      <c r="H39" s="10">
        <v>31.44</v>
      </c>
      <c r="I39" s="10">
        <v>32.28</v>
      </c>
      <c r="J39" s="10"/>
      <c r="K39" s="8">
        <v>46507</v>
      </c>
      <c r="L39" s="8">
        <v>443</v>
      </c>
      <c r="M39" s="9">
        <v>9.5200000000000007E-3</v>
      </c>
      <c r="N39" s="9">
        <v>0.99048000000000003</v>
      </c>
      <c r="O39" s="8">
        <v>46287</v>
      </c>
      <c r="P39" s="8">
        <v>1491802</v>
      </c>
      <c r="Q39" s="10">
        <v>32.08</v>
      </c>
      <c r="R39" s="10">
        <v>32.76</v>
      </c>
    </row>
    <row r="40" spans="1:18">
      <c r="A40" s="7">
        <v>34</v>
      </c>
      <c r="B40" s="8">
        <v>43650</v>
      </c>
      <c r="C40" s="8">
        <v>402</v>
      </c>
      <c r="D40" s="9">
        <v>9.1999999999999998E-3</v>
      </c>
      <c r="E40" s="9">
        <v>0.99080000000000001</v>
      </c>
      <c r="F40" s="8">
        <v>43450</v>
      </c>
      <c r="G40" s="8">
        <v>1340872</v>
      </c>
      <c r="H40" s="10">
        <v>30.72</v>
      </c>
      <c r="I40" s="10">
        <v>31.47</v>
      </c>
      <c r="J40" s="10"/>
      <c r="K40" s="8">
        <v>46064</v>
      </c>
      <c r="L40" s="8">
        <v>455</v>
      </c>
      <c r="M40" s="9">
        <v>9.8700000000000003E-3</v>
      </c>
      <c r="N40" s="9">
        <v>0.99012999999999995</v>
      </c>
      <c r="O40" s="8">
        <v>45837</v>
      </c>
      <c r="P40" s="8">
        <v>1445515</v>
      </c>
      <c r="Q40" s="10">
        <v>31.38</v>
      </c>
      <c r="R40" s="10">
        <v>31.95</v>
      </c>
    </row>
    <row r="41" spans="1:18">
      <c r="A41" s="7">
        <v>35</v>
      </c>
      <c r="B41" s="8">
        <v>43248</v>
      </c>
      <c r="C41" s="8">
        <v>415</v>
      </c>
      <c r="D41" s="9">
        <v>9.5899999999999996E-3</v>
      </c>
      <c r="E41" s="9">
        <v>0.99041000000000001</v>
      </c>
      <c r="F41" s="8">
        <v>43041</v>
      </c>
      <c r="G41" s="8">
        <v>1297422</v>
      </c>
      <c r="H41" s="10">
        <v>30</v>
      </c>
      <c r="I41" s="10">
        <v>30.66</v>
      </c>
      <c r="J41" s="10"/>
      <c r="K41" s="8">
        <v>45609</v>
      </c>
      <c r="L41" s="8">
        <v>466</v>
      </c>
      <c r="M41" s="9">
        <v>1.022E-2</v>
      </c>
      <c r="N41" s="9">
        <v>0.98977999999999999</v>
      </c>
      <c r="O41" s="8">
        <v>45377</v>
      </c>
      <c r="P41" s="8">
        <v>1399678</v>
      </c>
      <c r="Q41" s="10">
        <v>30.69</v>
      </c>
      <c r="R41" s="10">
        <v>31.14</v>
      </c>
    </row>
    <row r="42" spans="1:18">
      <c r="A42" s="7">
        <v>36</v>
      </c>
      <c r="B42" s="8">
        <v>42833</v>
      </c>
      <c r="C42" s="8">
        <v>430</v>
      </c>
      <c r="D42" s="9">
        <v>1.0030000000000001E-2</v>
      </c>
      <c r="E42" s="9">
        <v>0.98997000000000002</v>
      </c>
      <c r="F42" s="8">
        <v>42619</v>
      </c>
      <c r="G42" s="8">
        <v>1254381</v>
      </c>
      <c r="H42" s="10">
        <v>29.29</v>
      </c>
      <c r="I42" s="10">
        <v>29.86</v>
      </c>
      <c r="J42" s="10"/>
      <c r="K42" s="8">
        <v>45143</v>
      </c>
      <c r="L42" s="8">
        <v>479</v>
      </c>
      <c r="M42" s="9">
        <v>1.06E-2</v>
      </c>
      <c r="N42" s="9">
        <v>0.98939999999999995</v>
      </c>
      <c r="O42" s="8">
        <v>44905</v>
      </c>
      <c r="P42" s="8">
        <v>1354301</v>
      </c>
      <c r="Q42" s="10">
        <v>30</v>
      </c>
      <c r="R42" s="10">
        <v>30.34</v>
      </c>
    </row>
    <row r="43" spans="1:18">
      <c r="A43" s="7">
        <v>37</v>
      </c>
      <c r="B43" s="8">
        <v>42403</v>
      </c>
      <c r="C43" s="8">
        <v>444</v>
      </c>
      <c r="D43" s="9">
        <v>1.048E-2</v>
      </c>
      <c r="E43" s="9">
        <v>0.98951999999999996</v>
      </c>
      <c r="F43" s="8">
        <v>42182</v>
      </c>
      <c r="G43" s="8">
        <v>1211762</v>
      </c>
      <c r="H43" s="10">
        <v>28.58</v>
      </c>
      <c r="I43" s="10">
        <v>29.06</v>
      </c>
      <c r="J43" s="10"/>
      <c r="K43" s="8">
        <v>44664</v>
      </c>
      <c r="L43" s="8">
        <v>488</v>
      </c>
      <c r="M43" s="9">
        <v>1.093E-2</v>
      </c>
      <c r="N43" s="9">
        <v>0.98907</v>
      </c>
      <c r="O43" s="8">
        <v>44421</v>
      </c>
      <c r="P43" s="8">
        <v>1309396</v>
      </c>
      <c r="Q43" s="10">
        <v>29.32</v>
      </c>
      <c r="R43" s="10">
        <v>29.54</v>
      </c>
    </row>
    <row r="44" spans="1:18">
      <c r="A44" s="7">
        <v>38</v>
      </c>
      <c r="B44" s="8">
        <v>41959</v>
      </c>
      <c r="C44" s="8">
        <v>459</v>
      </c>
      <c r="D44" s="9">
        <v>1.094E-2</v>
      </c>
      <c r="E44" s="9">
        <v>0.98906000000000005</v>
      </c>
      <c r="F44" s="8">
        <v>41731</v>
      </c>
      <c r="G44" s="8">
        <v>1169580</v>
      </c>
      <c r="H44" s="10">
        <v>27.87</v>
      </c>
      <c r="I44" s="10">
        <v>28.27</v>
      </c>
      <c r="J44" s="10"/>
      <c r="K44" s="8">
        <v>44176</v>
      </c>
      <c r="L44" s="8">
        <v>493</v>
      </c>
      <c r="M44" s="9">
        <v>1.116E-2</v>
      </c>
      <c r="N44" s="9">
        <v>0.98884000000000005</v>
      </c>
      <c r="O44" s="8">
        <v>43930</v>
      </c>
      <c r="P44" s="8">
        <v>1264975</v>
      </c>
      <c r="Q44" s="10">
        <v>28.63</v>
      </c>
      <c r="R44" s="10">
        <v>28.74</v>
      </c>
    </row>
    <row r="45" spans="1:18">
      <c r="A45" s="7">
        <v>39</v>
      </c>
      <c r="B45" s="8">
        <v>41500</v>
      </c>
      <c r="C45" s="8">
        <v>474</v>
      </c>
      <c r="D45" s="9">
        <v>1.142E-2</v>
      </c>
      <c r="E45" s="9">
        <v>0.98858000000000001</v>
      </c>
      <c r="F45" s="8">
        <v>41264</v>
      </c>
      <c r="G45" s="8">
        <v>1127849</v>
      </c>
      <c r="H45" s="10">
        <v>27.18</v>
      </c>
      <c r="I45" s="10">
        <v>27.49</v>
      </c>
      <c r="J45" s="10"/>
      <c r="K45" s="8">
        <v>43683</v>
      </c>
      <c r="L45" s="8">
        <v>495</v>
      </c>
      <c r="M45" s="9">
        <v>1.1339999999999999E-2</v>
      </c>
      <c r="N45" s="9">
        <v>0.98865999999999998</v>
      </c>
      <c r="O45" s="8">
        <v>43436</v>
      </c>
      <c r="P45" s="8">
        <v>1221045</v>
      </c>
      <c r="Q45" s="10">
        <v>27.95</v>
      </c>
      <c r="R45" s="10">
        <v>27.95</v>
      </c>
    </row>
    <row r="46" spans="1:18">
      <c r="A46" s="7">
        <v>40</v>
      </c>
      <c r="B46" s="8">
        <v>41026</v>
      </c>
      <c r="C46" s="8">
        <v>491</v>
      </c>
      <c r="D46" s="9">
        <v>1.196E-2</v>
      </c>
      <c r="E46" s="9">
        <v>0.98804000000000003</v>
      </c>
      <c r="F46" s="8">
        <v>40781</v>
      </c>
      <c r="G46" s="8">
        <v>1086585</v>
      </c>
      <c r="H46" s="10">
        <v>26.49</v>
      </c>
      <c r="I46" s="10">
        <v>26.72</v>
      </c>
      <c r="J46" s="10"/>
      <c r="K46" s="8">
        <v>43188</v>
      </c>
      <c r="L46" s="8">
        <v>499</v>
      </c>
      <c r="M46" s="9">
        <v>1.1560000000000001E-2</v>
      </c>
      <c r="N46" s="9">
        <v>0.98843999999999999</v>
      </c>
      <c r="O46" s="8">
        <v>42938</v>
      </c>
      <c r="P46" s="8">
        <v>1177609</v>
      </c>
      <c r="Q46" s="10">
        <v>27.27</v>
      </c>
      <c r="R46" s="10">
        <v>27.16</v>
      </c>
    </row>
    <row r="47" spans="1:18">
      <c r="A47" s="7">
        <v>41</v>
      </c>
      <c r="B47" s="8">
        <v>40535</v>
      </c>
      <c r="C47" s="8">
        <v>508</v>
      </c>
      <c r="D47" s="9">
        <v>1.2529999999999999E-2</v>
      </c>
      <c r="E47" s="9">
        <v>0.98746999999999996</v>
      </c>
      <c r="F47" s="8">
        <v>40282</v>
      </c>
      <c r="G47" s="8">
        <v>1045804</v>
      </c>
      <c r="H47" s="10">
        <v>25.8</v>
      </c>
      <c r="I47" s="10">
        <v>25.95</v>
      </c>
      <c r="J47" s="10"/>
      <c r="K47" s="8">
        <v>42689</v>
      </c>
      <c r="L47" s="8">
        <v>505</v>
      </c>
      <c r="M47" s="9">
        <v>1.183E-2</v>
      </c>
      <c r="N47" s="9">
        <v>0.98816999999999999</v>
      </c>
      <c r="O47" s="8">
        <v>42437</v>
      </c>
      <c r="P47" s="8">
        <v>1134671</v>
      </c>
      <c r="Q47" s="10">
        <v>26.58</v>
      </c>
      <c r="R47" s="10">
        <v>26.37</v>
      </c>
    </row>
    <row r="48" spans="1:18">
      <c r="A48" s="7">
        <v>42</v>
      </c>
      <c r="B48" s="8">
        <v>40027</v>
      </c>
      <c r="C48" s="8">
        <v>526</v>
      </c>
      <c r="D48" s="9">
        <v>1.3129999999999999E-2</v>
      </c>
      <c r="E48" s="9">
        <v>0.98687000000000002</v>
      </c>
      <c r="F48" s="8">
        <v>39765</v>
      </c>
      <c r="G48" s="8">
        <v>1005522</v>
      </c>
      <c r="H48" s="10">
        <v>25.12</v>
      </c>
      <c r="I48" s="10">
        <v>25.18</v>
      </c>
      <c r="J48" s="10"/>
      <c r="K48" s="8">
        <v>42184</v>
      </c>
      <c r="L48" s="8">
        <v>512</v>
      </c>
      <c r="M48" s="9">
        <v>1.214E-2</v>
      </c>
      <c r="N48" s="9">
        <v>0.98785999999999996</v>
      </c>
      <c r="O48" s="8">
        <v>41929</v>
      </c>
      <c r="P48" s="8">
        <v>1092234</v>
      </c>
      <c r="Q48" s="10">
        <v>25.89</v>
      </c>
      <c r="R48" s="10">
        <v>25.58</v>
      </c>
    </row>
    <row r="49" spans="1:18">
      <c r="A49" s="7">
        <v>43</v>
      </c>
      <c r="B49" s="8">
        <v>39501</v>
      </c>
      <c r="C49" s="8">
        <v>543</v>
      </c>
      <c r="D49" s="9">
        <v>1.374E-2</v>
      </c>
      <c r="E49" s="9">
        <v>0.98626000000000003</v>
      </c>
      <c r="F49" s="8">
        <v>39231</v>
      </c>
      <c r="G49" s="8">
        <v>965757</v>
      </c>
      <c r="H49" s="10">
        <v>24.45</v>
      </c>
      <c r="I49" s="10">
        <v>24.43</v>
      </c>
      <c r="J49" s="10"/>
      <c r="K49" s="8">
        <v>41672</v>
      </c>
      <c r="L49" s="8">
        <v>520</v>
      </c>
      <c r="M49" s="9">
        <v>1.2489999999999999E-2</v>
      </c>
      <c r="N49" s="9">
        <v>0.98751</v>
      </c>
      <c r="O49" s="8">
        <v>41413</v>
      </c>
      <c r="P49" s="8">
        <v>1050305</v>
      </c>
      <c r="Q49" s="10">
        <v>25.2</v>
      </c>
      <c r="R49" s="10">
        <v>24.79</v>
      </c>
    </row>
    <row r="50" spans="1:18">
      <c r="A50" s="7">
        <v>44</v>
      </c>
      <c r="B50" s="8">
        <v>38958</v>
      </c>
      <c r="C50" s="8">
        <v>561</v>
      </c>
      <c r="D50" s="9">
        <v>1.44E-2</v>
      </c>
      <c r="E50" s="9">
        <v>0.98560000000000003</v>
      </c>
      <c r="F50" s="8">
        <v>38680</v>
      </c>
      <c r="G50" s="8">
        <v>926526</v>
      </c>
      <c r="H50" s="10">
        <v>23.78</v>
      </c>
      <c r="I50" s="10">
        <v>23.68</v>
      </c>
      <c r="J50" s="10"/>
      <c r="K50" s="8">
        <v>41152</v>
      </c>
      <c r="L50" s="8">
        <v>531</v>
      </c>
      <c r="M50" s="9">
        <v>1.291E-2</v>
      </c>
      <c r="N50" s="9">
        <v>0.98709000000000002</v>
      </c>
      <c r="O50" s="8">
        <v>40888</v>
      </c>
      <c r="P50" s="8">
        <v>1008892</v>
      </c>
      <c r="Q50" s="10">
        <v>24.52</v>
      </c>
      <c r="R50" s="10">
        <v>24.01</v>
      </c>
    </row>
    <row r="51" spans="1:18">
      <c r="A51" s="7">
        <v>45</v>
      </c>
      <c r="B51" s="8">
        <v>38397</v>
      </c>
      <c r="C51" s="8">
        <v>580</v>
      </c>
      <c r="D51" s="9">
        <v>1.511E-2</v>
      </c>
      <c r="E51" s="9">
        <v>0.98489000000000004</v>
      </c>
      <c r="F51" s="8">
        <v>38109</v>
      </c>
      <c r="G51" s="8">
        <v>887846</v>
      </c>
      <c r="H51" s="10">
        <v>23.12</v>
      </c>
      <c r="I51" s="10">
        <v>22.94</v>
      </c>
      <c r="J51" s="10"/>
      <c r="K51" s="8">
        <v>40621</v>
      </c>
      <c r="L51" s="8">
        <v>544</v>
      </c>
      <c r="M51" s="9">
        <v>1.3390000000000001E-2</v>
      </c>
      <c r="N51" s="9">
        <v>0.98660999999999999</v>
      </c>
      <c r="O51" s="8">
        <v>40350</v>
      </c>
      <c r="P51" s="8">
        <v>968004</v>
      </c>
      <c r="Q51" s="10">
        <v>23.83</v>
      </c>
      <c r="R51" s="10">
        <v>23.23</v>
      </c>
    </row>
    <row r="52" spans="1:18">
      <c r="A52" s="7">
        <v>46</v>
      </c>
      <c r="B52" s="8">
        <v>37817</v>
      </c>
      <c r="C52" s="8">
        <v>600</v>
      </c>
      <c r="D52" s="9">
        <v>1.5869999999999999E-2</v>
      </c>
      <c r="E52" s="9">
        <v>0.98412999999999995</v>
      </c>
      <c r="F52" s="8">
        <v>37519</v>
      </c>
      <c r="G52" s="8">
        <v>849737</v>
      </c>
      <c r="H52" s="10">
        <v>22.47</v>
      </c>
      <c r="I52" s="10">
        <v>22.21</v>
      </c>
      <c r="J52" s="10"/>
      <c r="K52" s="8">
        <v>40077</v>
      </c>
      <c r="L52" s="8">
        <v>559</v>
      </c>
      <c r="M52" s="9">
        <v>1.3950000000000001E-2</v>
      </c>
      <c r="N52" s="9">
        <v>0.98604999999999998</v>
      </c>
      <c r="O52" s="8">
        <v>39798</v>
      </c>
      <c r="P52" s="8">
        <v>927654</v>
      </c>
      <c r="Q52" s="10">
        <v>23.15</v>
      </c>
      <c r="R52" s="10">
        <v>22.45</v>
      </c>
    </row>
    <row r="53" spans="1:18">
      <c r="A53" s="7">
        <v>47</v>
      </c>
      <c r="B53" s="8">
        <v>37217</v>
      </c>
      <c r="C53" s="8">
        <v>620</v>
      </c>
      <c r="D53" s="9">
        <v>1.6670000000000001E-2</v>
      </c>
      <c r="E53" s="9">
        <v>0.98333000000000004</v>
      </c>
      <c r="F53" s="8">
        <v>36909</v>
      </c>
      <c r="G53" s="8">
        <v>812218</v>
      </c>
      <c r="H53" s="10">
        <v>21.82</v>
      </c>
      <c r="I53" s="10">
        <v>21.48</v>
      </c>
      <c r="J53" s="10"/>
      <c r="K53" s="8">
        <v>39518</v>
      </c>
      <c r="L53" s="8">
        <v>576</v>
      </c>
      <c r="M53" s="9">
        <v>1.4579999999999999E-2</v>
      </c>
      <c r="N53" s="9">
        <v>0.98541999999999996</v>
      </c>
      <c r="O53" s="8">
        <v>39232</v>
      </c>
      <c r="P53" s="8">
        <v>887856</v>
      </c>
      <c r="Q53" s="10">
        <v>22.47</v>
      </c>
      <c r="R53" s="10">
        <v>21.69</v>
      </c>
    </row>
    <row r="54" spans="1:18">
      <c r="A54" s="7">
        <v>48</v>
      </c>
      <c r="B54" s="8">
        <v>36597</v>
      </c>
      <c r="C54" s="8">
        <v>640</v>
      </c>
      <c r="D54" s="9">
        <v>1.7500000000000002E-2</v>
      </c>
      <c r="E54" s="9">
        <v>0.98250000000000004</v>
      </c>
      <c r="F54" s="8">
        <v>36279</v>
      </c>
      <c r="G54" s="8">
        <v>775309</v>
      </c>
      <c r="H54" s="10">
        <v>21.19</v>
      </c>
      <c r="I54" s="10">
        <v>20.76</v>
      </c>
      <c r="J54" s="10"/>
      <c r="K54" s="8">
        <v>38942</v>
      </c>
      <c r="L54" s="8">
        <v>595</v>
      </c>
      <c r="M54" s="9">
        <v>1.5270000000000001E-2</v>
      </c>
      <c r="N54" s="9">
        <v>0.98472999999999999</v>
      </c>
      <c r="O54" s="8">
        <v>38627</v>
      </c>
      <c r="P54" s="8">
        <v>848624</v>
      </c>
      <c r="Q54" s="10">
        <v>21.79</v>
      </c>
      <c r="R54" s="10">
        <v>20.92</v>
      </c>
    </row>
    <row r="55" spans="1:18">
      <c r="A55" s="7">
        <v>49</v>
      </c>
      <c r="B55" s="8">
        <v>35957</v>
      </c>
      <c r="C55" s="8">
        <v>660</v>
      </c>
      <c r="D55" s="9">
        <v>1.8360000000000001E-2</v>
      </c>
      <c r="E55" s="9">
        <v>0.98163999999999996</v>
      </c>
      <c r="F55" s="8">
        <v>35629</v>
      </c>
      <c r="G55" s="8">
        <v>739030</v>
      </c>
      <c r="H55" s="10">
        <v>20.55</v>
      </c>
      <c r="I55" s="10">
        <v>20.05</v>
      </c>
      <c r="J55" s="10"/>
      <c r="K55" s="8">
        <v>38347</v>
      </c>
      <c r="L55" s="8">
        <v>616</v>
      </c>
      <c r="M55" s="9">
        <v>1.6060000000000001E-2</v>
      </c>
      <c r="N55" s="9">
        <v>0.98394000000000004</v>
      </c>
      <c r="O55" s="8">
        <v>38062</v>
      </c>
      <c r="P55" s="8">
        <v>809997</v>
      </c>
      <c r="Q55" s="10">
        <v>21.12</v>
      </c>
      <c r="R55" s="10">
        <v>20.170000000000002</v>
      </c>
    </row>
    <row r="56" spans="1:18">
      <c r="A56" s="7">
        <v>50</v>
      </c>
      <c r="B56" s="8">
        <v>35297</v>
      </c>
      <c r="C56" s="8">
        <v>681</v>
      </c>
      <c r="D56" s="9">
        <v>1.9300000000000001E-2</v>
      </c>
      <c r="E56" s="9">
        <v>0.98070000000000002</v>
      </c>
      <c r="F56" s="8">
        <v>34958</v>
      </c>
      <c r="G56" s="8">
        <v>703401</v>
      </c>
      <c r="H56" s="10">
        <v>19.93</v>
      </c>
      <c r="I56" s="10">
        <v>19.34</v>
      </c>
      <c r="J56" s="10"/>
      <c r="K56" s="8">
        <v>37731</v>
      </c>
      <c r="L56" s="8">
        <v>640</v>
      </c>
      <c r="M56" s="9">
        <v>1.6959999999999999E-2</v>
      </c>
      <c r="N56" s="9">
        <v>0.98304000000000002</v>
      </c>
      <c r="O56" s="8">
        <v>37414</v>
      </c>
      <c r="P56" s="8">
        <v>771935</v>
      </c>
      <c r="Q56" s="10">
        <v>20.46</v>
      </c>
      <c r="R56" s="10">
        <v>19.420000000000002</v>
      </c>
    </row>
    <row r="57" spans="1:18">
      <c r="A57" s="7">
        <v>51</v>
      </c>
      <c r="B57" s="8">
        <v>34616</v>
      </c>
      <c r="C57" s="8">
        <v>703</v>
      </c>
      <c r="D57" s="9">
        <v>2.0320000000000001E-2</v>
      </c>
      <c r="E57" s="9">
        <v>0.97968</v>
      </c>
      <c r="F57" s="8">
        <v>34266</v>
      </c>
      <c r="G57" s="8">
        <v>668443</v>
      </c>
      <c r="H57" s="10">
        <v>19.309999999999999</v>
      </c>
      <c r="I57" s="10">
        <v>18.649999999999999</v>
      </c>
      <c r="J57" s="10"/>
      <c r="K57" s="8">
        <v>37091</v>
      </c>
      <c r="L57" s="8">
        <v>666</v>
      </c>
      <c r="M57" s="9">
        <v>1.7950000000000001E-2</v>
      </c>
      <c r="N57" s="9">
        <v>0.98204999999999998</v>
      </c>
      <c r="O57" s="8">
        <v>36760</v>
      </c>
      <c r="P57" s="8">
        <v>734521</v>
      </c>
      <c r="Q57" s="10">
        <v>19.8</v>
      </c>
      <c r="R57" s="10">
        <v>18.68</v>
      </c>
    </row>
    <row r="58" spans="1:18">
      <c r="A58" s="7">
        <v>52</v>
      </c>
      <c r="B58" s="8">
        <v>33913</v>
      </c>
      <c r="C58" s="8">
        <v>728</v>
      </c>
      <c r="D58" s="9">
        <v>2.147E-2</v>
      </c>
      <c r="E58" s="9">
        <v>0.97853000000000001</v>
      </c>
      <c r="F58" s="8">
        <v>33551</v>
      </c>
      <c r="G58" s="8">
        <v>634177</v>
      </c>
      <c r="H58" s="10">
        <v>18.7</v>
      </c>
      <c r="I58" s="10">
        <v>17.96</v>
      </c>
      <c r="J58" s="10"/>
      <c r="K58" s="8">
        <v>36425</v>
      </c>
      <c r="L58" s="8">
        <v>698</v>
      </c>
      <c r="M58" s="9">
        <v>1.915E-2</v>
      </c>
      <c r="N58" s="9">
        <v>0.98085</v>
      </c>
      <c r="O58" s="8">
        <v>36079</v>
      </c>
      <c r="P58" s="8">
        <v>697761</v>
      </c>
      <c r="Q58" s="10">
        <v>19.16</v>
      </c>
      <c r="R58" s="10">
        <v>17.95</v>
      </c>
    </row>
    <row r="59" spans="1:18">
      <c r="A59" s="7">
        <v>53</v>
      </c>
      <c r="B59" s="8">
        <v>33185</v>
      </c>
      <c r="C59" s="8">
        <v>756</v>
      </c>
      <c r="D59" s="9">
        <v>2.2769999999999999E-2</v>
      </c>
      <c r="E59" s="9">
        <v>0.97723000000000004</v>
      </c>
      <c r="F59" s="8">
        <v>32809</v>
      </c>
      <c r="G59" s="8">
        <v>600626</v>
      </c>
      <c r="H59" s="10">
        <v>18.100000000000001</v>
      </c>
      <c r="I59" s="10">
        <v>17.28</v>
      </c>
      <c r="J59" s="10"/>
      <c r="K59" s="8">
        <v>35727</v>
      </c>
      <c r="L59" s="8">
        <v>736</v>
      </c>
      <c r="M59" s="9">
        <v>2.06E-2</v>
      </c>
      <c r="N59" s="9">
        <v>0.97940000000000005</v>
      </c>
      <c r="O59" s="8">
        <v>35363</v>
      </c>
      <c r="P59" s="8">
        <v>661682</v>
      </c>
      <c r="Q59" s="10">
        <v>18.52</v>
      </c>
      <c r="R59" s="10">
        <v>17.23</v>
      </c>
    </row>
    <row r="60" spans="1:18">
      <c r="A60" s="7">
        <v>54</v>
      </c>
      <c r="B60" s="8">
        <v>32429</v>
      </c>
      <c r="C60" s="8">
        <v>785</v>
      </c>
      <c r="D60" s="9">
        <v>2.4209999999999999E-2</v>
      </c>
      <c r="E60" s="9">
        <v>0.97579000000000005</v>
      </c>
      <c r="F60" s="8">
        <v>32038</v>
      </c>
      <c r="G60" s="8">
        <v>567817</v>
      </c>
      <c r="H60" s="10">
        <v>17.510000000000002</v>
      </c>
      <c r="I60" s="10">
        <v>16.61</v>
      </c>
      <c r="J60" s="10"/>
      <c r="K60" s="8">
        <v>34991</v>
      </c>
      <c r="L60" s="8">
        <v>779</v>
      </c>
      <c r="M60" s="9">
        <v>2.2259999999999999E-2</v>
      </c>
      <c r="N60" s="9">
        <v>0.97774000000000005</v>
      </c>
      <c r="O60" s="8">
        <v>34606</v>
      </c>
      <c r="P60" s="8">
        <v>626319</v>
      </c>
      <c r="Q60" s="10">
        <v>17.899999999999999</v>
      </c>
      <c r="R60" s="10">
        <v>16.53</v>
      </c>
    </row>
    <row r="61" spans="1:18">
      <c r="A61" s="7">
        <v>55</v>
      </c>
      <c r="B61" s="8">
        <v>31644</v>
      </c>
      <c r="C61" s="8">
        <v>815</v>
      </c>
      <c r="D61" s="9">
        <v>2.5749999999999999E-2</v>
      </c>
      <c r="E61" s="9">
        <v>0.97424999999999995</v>
      </c>
      <c r="F61" s="8">
        <v>31238</v>
      </c>
      <c r="G61" s="8">
        <v>535779</v>
      </c>
      <c r="H61" s="10">
        <v>16.93</v>
      </c>
      <c r="I61" s="10">
        <v>15.95</v>
      </c>
      <c r="J61" s="10"/>
      <c r="K61" s="8">
        <v>34212</v>
      </c>
      <c r="L61" s="8">
        <v>822</v>
      </c>
      <c r="M61" s="9">
        <v>2.4039999999999999E-2</v>
      </c>
      <c r="N61" s="9">
        <v>0.97596000000000005</v>
      </c>
      <c r="O61" s="8">
        <v>33805</v>
      </c>
      <c r="P61" s="8">
        <v>591713</v>
      </c>
      <c r="Q61" s="10">
        <v>17.3</v>
      </c>
      <c r="R61" s="10">
        <v>15.85</v>
      </c>
    </row>
    <row r="62" spans="1:18">
      <c r="A62" s="7">
        <v>56</v>
      </c>
      <c r="B62" s="8">
        <v>30829</v>
      </c>
      <c r="C62" s="8">
        <v>845</v>
      </c>
      <c r="D62" s="9">
        <v>2.742E-2</v>
      </c>
      <c r="E62" s="9">
        <v>0.97258</v>
      </c>
      <c r="F62" s="8">
        <v>30408</v>
      </c>
      <c r="G62" s="8">
        <v>504541</v>
      </c>
      <c r="H62" s="10">
        <v>16.37</v>
      </c>
      <c r="I62" s="10">
        <v>15.31</v>
      </c>
      <c r="J62" s="10"/>
      <c r="K62" s="8">
        <v>33390</v>
      </c>
      <c r="L62" s="8">
        <v>866</v>
      </c>
      <c r="M62" s="9">
        <v>2.5940000000000001E-2</v>
      </c>
      <c r="N62" s="9">
        <v>0.97406000000000004</v>
      </c>
      <c r="O62" s="8">
        <v>32961</v>
      </c>
      <c r="P62" s="8">
        <v>557908</v>
      </c>
      <c r="Q62" s="10">
        <v>16.71</v>
      </c>
      <c r="R62" s="10">
        <v>15.19</v>
      </c>
    </row>
    <row r="63" spans="1:18">
      <c r="A63" s="7">
        <v>57</v>
      </c>
      <c r="B63" s="8">
        <v>29984</v>
      </c>
      <c r="C63" s="8">
        <v>874</v>
      </c>
      <c r="D63" s="9">
        <v>2.9149999999999999E-2</v>
      </c>
      <c r="E63" s="9">
        <v>0.97084999999999999</v>
      </c>
      <c r="F63" s="8">
        <v>29549</v>
      </c>
      <c r="G63" s="8">
        <v>474133</v>
      </c>
      <c r="H63" s="10">
        <v>15.81</v>
      </c>
      <c r="I63" s="10">
        <v>14.68</v>
      </c>
      <c r="J63" s="10"/>
      <c r="K63" s="8">
        <v>32524</v>
      </c>
      <c r="L63" s="8">
        <v>910</v>
      </c>
      <c r="M63" s="9">
        <v>2.7990000000000001E-2</v>
      </c>
      <c r="N63" s="9">
        <v>0.97201000000000004</v>
      </c>
      <c r="O63" s="8">
        <v>32073</v>
      </c>
      <c r="P63" s="8">
        <v>524947</v>
      </c>
      <c r="Q63" s="10">
        <v>16.14</v>
      </c>
      <c r="R63" s="10">
        <v>14.54</v>
      </c>
    </row>
    <row r="64" spans="1:18">
      <c r="A64" s="7">
        <v>58</v>
      </c>
      <c r="B64" s="8">
        <v>29110</v>
      </c>
      <c r="C64" s="8">
        <v>899</v>
      </c>
      <c r="D64" s="9">
        <v>3.09E-2</v>
      </c>
      <c r="E64" s="9">
        <v>0.96909999999999996</v>
      </c>
      <c r="F64" s="8">
        <v>28662</v>
      </c>
      <c r="G64" s="8">
        <v>444584</v>
      </c>
      <c r="H64" s="10">
        <v>15.27</v>
      </c>
      <c r="I64" s="10">
        <v>14.07</v>
      </c>
      <c r="J64" s="10"/>
      <c r="K64" s="8">
        <v>31614</v>
      </c>
      <c r="L64" s="8">
        <v>954</v>
      </c>
      <c r="M64" s="9">
        <v>3.0169999999999999E-2</v>
      </c>
      <c r="N64" s="9">
        <v>0.96982999999999997</v>
      </c>
      <c r="O64" s="8">
        <v>31141</v>
      </c>
      <c r="P64" s="8">
        <v>492874</v>
      </c>
      <c r="Q64" s="10">
        <v>15.59</v>
      </c>
      <c r="R64" s="10">
        <v>13.92</v>
      </c>
    </row>
    <row r="65" spans="1:18">
      <c r="A65" s="7">
        <v>59</v>
      </c>
      <c r="B65" s="8">
        <v>28211</v>
      </c>
      <c r="C65" s="8">
        <v>924</v>
      </c>
      <c r="D65" s="9">
        <v>3.2739999999999998E-2</v>
      </c>
      <c r="E65" s="9">
        <v>0.96726000000000001</v>
      </c>
      <c r="F65" s="8">
        <v>27751</v>
      </c>
      <c r="G65" s="8">
        <v>415922</v>
      </c>
      <c r="H65" s="10">
        <v>14.74</v>
      </c>
      <c r="I65" s="10">
        <v>13.47</v>
      </c>
      <c r="J65" s="10"/>
      <c r="K65" s="8">
        <v>30660</v>
      </c>
      <c r="L65" s="8">
        <v>996</v>
      </c>
      <c r="M65" s="9">
        <v>3.2480000000000002E-2</v>
      </c>
      <c r="N65" s="9">
        <v>0.96752000000000005</v>
      </c>
      <c r="O65" s="8">
        <v>30165</v>
      </c>
      <c r="P65" s="8">
        <v>461733</v>
      </c>
      <c r="Q65" s="10">
        <v>15.06</v>
      </c>
      <c r="R65" s="10">
        <v>13.32</v>
      </c>
    </row>
    <row r="66" spans="1:18">
      <c r="A66" s="7">
        <v>60</v>
      </c>
      <c r="B66" s="8">
        <v>27287</v>
      </c>
      <c r="C66" s="8">
        <v>948</v>
      </c>
      <c r="D66" s="9">
        <v>3.4759999999999999E-2</v>
      </c>
      <c r="E66" s="9">
        <v>0.96523999999999999</v>
      </c>
      <c r="F66" s="8">
        <v>26815</v>
      </c>
      <c r="G66" s="8">
        <v>388171</v>
      </c>
      <c r="H66" s="10">
        <v>14.23</v>
      </c>
      <c r="I66" s="10">
        <v>12.88</v>
      </c>
      <c r="J66" s="10"/>
      <c r="K66" s="8">
        <v>29664</v>
      </c>
      <c r="L66" s="8">
        <v>1037</v>
      </c>
      <c r="M66" s="9">
        <v>3.4950000000000002E-2</v>
      </c>
      <c r="N66" s="9">
        <v>0.96504999999999996</v>
      </c>
      <c r="O66" s="8">
        <v>29149</v>
      </c>
      <c r="P66" s="8">
        <v>431568</v>
      </c>
      <c r="Q66" s="10">
        <v>14.55</v>
      </c>
      <c r="R66" s="10">
        <v>12.74</v>
      </c>
    </row>
    <row r="67" spans="1:18">
      <c r="A67" s="7">
        <v>61</v>
      </c>
      <c r="B67" s="8">
        <v>26339</v>
      </c>
      <c r="C67" s="8">
        <v>974</v>
      </c>
      <c r="D67" s="9">
        <v>3.6990000000000002E-2</v>
      </c>
      <c r="E67" s="9">
        <v>0.96301000000000003</v>
      </c>
      <c r="F67" s="8">
        <v>25854</v>
      </c>
      <c r="G67" s="8">
        <v>361356</v>
      </c>
      <c r="H67" s="10">
        <v>13.72</v>
      </c>
      <c r="I67" s="10">
        <v>12.31</v>
      </c>
      <c r="J67" s="10"/>
      <c r="K67" s="8">
        <v>28627</v>
      </c>
      <c r="L67" s="8">
        <v>1076</v>
      </c>
      <c r="M67" s="9">
        <v>3.7569999999999999E-2</v>
      </c>
      <c r="N67" s="9">
        <v>0.96243000000000001</v>
      </c>
      <c r="O67" s="8">
        <v>28093</v>
      </c>
      <c r="P67" s="8">
        <v>402419</v>
      </c>
      <c r="Q67" s="10">
        <v>14.06</v>
      </c>
      <c r="R67" s="10">
        <v>12.18</v>
      </c>
    </row>
    <row r="68" spans="1:18">
      <c r="A68" s="7">
        <v>62</v>
      </c>
      <c r="B68" s="8">
        <v>25365</v>
      </c>
      <c r="C68" s="8">
        <v>997</v>
      </c>
      <c r="D68" s="9">
        <v>3.9320000000000001E-2</v>
      </c>
      <c r="E68" s="9">
        <v>0.96067999999999998</v>
      </c>
      <c r="F68" s="8">
        <v>24868</v>
      </c>
      <c r="G68" s="8">
        <v>335502</v>
      </c>
      <c r="H68" s="10">
        <v>13.23</v>
      </c>
      <c r="I68" s="10">
        <v>11.75</v>
      </c>
      <c r="J68" s="10"/>
      <c r="K68" s="8">
        <v>27551</v>
      </c>
      <c r="L68" s="8">
        <v>1109</v>
      </c>
      <c r="M68" s="9">
        <v>4.0259999999999997E-2</v>
      </c>
      <c r="N68" s="9">
        <v>0.95974000000000004</v>
      </c>
      <c r="O68" s="8">
        <v>27000</v>
      </c>
      <c r="P68" s="8">
        <v>374326</v>
      </c>
      <c r="Q68" s="10">
        <v>13.59</v>
      </c>
      <c r="R68" s="10">
        <v>11.66</v>
      </c>
    </row>
    <row r="69" spans="1:18">
      <c r="A69" s="7">
        <v>63</v>
      </c>
      <c r="B69" s="8">
        <v>24368</v>
      </c>
      <c r="C69" s="8">
        <v>1017</v>
      </c>
      <c r="D69" s="9">
        <v>4.172E-2</v>
      </c>
      <c r="E69" s="9">
        <v>0.95828000000000002</v>
      </c>
      <c r="F69" s="8">
        <v>23862</v>
      </c>
      <c r="G69" s="8">
        <v>310634</v>
      </c>
      <c r="H69" s="10">
        <v>12.75</v>
      </c>
      <c r="I69" s="10">
        <v>11.22</v>
      </c>
      <c r="J69" s="10"/>
      <c r="K69" s="8">
        <v>26442</v>
      </c>
      <c r="L69" s="8">
        <v>1137</v>
      </c>
      <c r="M69" s="9">
        <v>4.2999999999999997E-2</v>
      </c>
      <c r="N69" s="9">
        <v>0.95699999999999996</v>
      </c>
      <c r="O69" s="8">
        <v>25875</v>
      </c>
      <c r="P69" s="8">
        <v>347326</v>
      </c>
      <c r="Q69" s="10">
        <v>13.14</v>
      </c>
      <c r="R69" s="10">
        <v>11.15</v>
      </c>
    </row>
    <row r="70" spans="1:18">
      <c r="A70" s="7">
        <v>64</v>
      </c>
      <c r="B70" s="8">
        <v>23351</v>
      </c>
      <c r="C70" s="8">
        <v>1034</v>
      </c>
      <c r="D70" s="9">
        <v>4.4260000000000001E-2</v>
      </c>
      <c r="E70" s="9">
        <v>0.95574000000000003</v>
      </c>
      <c r="F70" s="8">
        <v>22835</v>
      </c>
      <c r="G70" s="8">
        <v>286772</v>
      </c>
      <c r="H70" s="10">
        <v>12.28</v>
      </c>
      <c r="I70" s="10">
        <v>10.7</v>
      </c>
      <c r="J70" s="10"/>
      <c r="K70" s="8">
        <v>25305</v>
      </c>
      <c r="L70" s="8">
        <v>1159</v>
      </c>
      <c r="M70" s="9">
        <v>4.582E-2</v>
      </c>
      <c r="N70" s="9">
        <v>0.95418000000000003</v>
      </c>
      <c r="O70" s="8">
        <v>24727</v>
      </c>
      <c r="P70" s="8">
        <v>321451</v>
      </c>
      <c r="Q70" s="10">
        <v>12.7</v>
      </c>
      <c r="R70" s="10">
        <v>10.67</v>
      </c>
    </row>
    <row r="71" spans="1:18">
      <c r="A71" s="7">
        <v>65</v>
      </c>
      <c r="B71" s="8">
        <v>22317</v>
      </c>
      <c r="C71" s="8">
        <v>1048</v>
      </c>
      <c r="D71" s="9">
        <v>4.6949999999999999E-2</v>
      </c>
      <c r="E71" s="9">
        <v>0.95304999999999995</v>
      </c>
      <c r="F71" s="8">
        <v>21794</v>
      </c>
      <c r="G71" s="8">
        <v>263937</v>
      </c>
      <c r="H71" s="10">
        <v>11.83</v>
      </c>
      <c r="I71" s="10">
        <v>10.199999999999999</v>
      </c>
      <c r="J71" s="10"/>
      <c r="K71" s="8">
        <v>24146</v>
      </c>
      <c r="L71" s="8">
        <v>1176</v>
      </c>
      <c r="M71" s="9">
        <v>4.8710000000000003E-2</v>
      </c>
      <c r="N71" s="9">
        <v>0.95128999999999997</v>
      </c>
      <c r="O71" s="8">
        <v>23559</v>
      </c>
      <c r="P71" s="8">
        <v>296724</v>
      </c>
      <c r="Q71" s="10">
        <v>12.29</v>
      </c>
      <c r="R71" s="10">
        <v>10.220000000000001</v>
      </c>
    </row>
    <row r="72" spans="1:18">
      <c r="A72" s="7">
        <v>66</v>
      </c>
      <c r="B72" s="8">
        <v>21269</v>
      </c>
      <c r="C72" s="8">
        <v>1057</v>
      </c>
      <c r="D72" s="9">
        <v>4.9689999999999998E-2</v>
      </c>
      <c r="E72" s="9">
        <v>0.95030999999999999</v>
      </c>
      <c r="F72" s="8">
        <v>20741</v>
      </c>
      <c r="G72" s="8">
        <v>242143</v>
      </c>
      <c r="H72" s="10">
        <v>11.38</v>
      </c>
      <c r="I72" s="10">
        <v>9.7200000000000006</v>
      </c>
      <c r="J72" s="10"/>
      <c r="K72" s="8">
        <v>22970</v>
      </c>
      <c r="L72" s="8">
        <v>1184</v>
      </c>
      <c r="M72" s="9">
        <v>5.1549999999999999E-2</v>
      </c>
      <c r="N72" s="9">
        <v>0.94845000000000002</v>
      </c>
      <c r="O72" s="8">
        <v>22379</v>
      </c>
      <c r="P72" s="8">
        <v>273165</v>
      </c>
      <c r="Q72" s="10">
        <v>11.89</v>
      </c>
      <c r="R72" s="10">
        <v>9.7899999999999991</v>
      </c>
    </row>
    <row r="73" spans="1:18">
      <c r="A73" s="7">
        <v>67</v>
      </c>
      <c r="B73" s="8">
        <v>20212</v>
      </c>
      <c r="C73" s="8">
        <v>1074</v>
      </c>
      <c r="D73" s="9">
        <v>5.3129999999999997E-2</v>
      </c>
      <c r="E73" s="9">
        <v>0.94686999999999999</v>
      </c>
      <c r="F73" s="8">
        <v>19677</v>
      </c>
      <c r="G73" s="8">
        <v>221402</v>
      </c>
      <c r="H73" s="10">
        <v>10.95</v>
      </c>
      <c r="I73" s="10">
        <v>9.26</v>
      </c>
      <c r="J73" s="10"/>
      <c r="K73" s="8">
        <v>21786</v>
      </c>
      <c r="L73" s="8">
        <v>1196</v>
      </c>
      <c r="M73" s="9">
        <v>5.4890000000000001E-2</v>
      </c>
      <c r="N73" s="9">
        <v>0.94511000000000001</v>
      </c>
      <c r="O73" s="8">
        <v>21189</v>
      </c>
      <c r="P73" s="8">
        <v>250786</v>
      </c>
      <c r="Q73" s="10">
        <v>11.51</v>
      </c>
      <c r="R73" s="10">
        <v>9.39</v>
      </c>
    </row>
    <row r="74" spans="1:18">
      <c r="A74" s="7">
        <v>68</v>
      </c>
      <c r="B74" s="8">
        <v>19138</v>
      </c>
      <c r="C74" s="8">
        <v>1101</v>
      </c>
      <c r="D74" s="9">
        <v>5.7549999999999997E-2</v>
      </c>
      <c r="E74" s="9">
        <v>0.94245000000000001</v>
      </c>
      <c r="F74" s="8">
        <v>18590</v>
      </c>
      <c r="G74" s="8">
        <v>201725</v>
      </c>
      <c r="H74" s="10">
        <v>10.54</v>
      </c>
      <c r="I74" s="10">
        <v>8.82</v>
      </c>
      <c r="J74" s="10"/>
      <c r="K74" s="8">
        <v>20590</v>
      </c>
      <c r="L74" s="8">
        <v>1213</v>
      </c>
      <c r="M74" s="9">
        <v>5.8909999999999997E-2</v>
      </c>
      <c r="N74" s="9">
        <v>0.94108999999999998</v>
      </c>
      <c r="O74" s="8">
        <v>19984</v>
      </c>
      <c r="P74" s="8">
        <v>229597</v>
      </c>
      <c r="Q74" s="10">
        <v>11.15</v>
      </c>
      <c r="R74" s="10">
        <v>9.02</v>
      </c>
    </row>
    <row r="75" spans="1:18">
      <c r="A75" s="7">
        <v>69</v>
      </c>
      <c r="B75" s="8">
        <v>18037</v>
      </c>
      <c r="C75" s="8">
        <v>1129</v>
      </c>
      <c r="D75" s="9">
        <v>6.2590000000000007E-2</v>
      </c>
      <c r="E75" s="9">
        <v>0.93740999999999997</v>
      </c>
      <c r="F75" s="8">
        <v>17474</v>
      </c>
      <c r="G75" s="8">
        <v>183135</v>
      </c>
      <c r="H75" s="10">
        <v>10.15</v>
      </c>
      <c r="I75" s="10">
        <v>8.42</v>
      </c>
      <c r="J75" s="10"/>
      <c r="K75" s="8">
        <v>19377</v>
      </c>
      <c r="L75" s="8">
        <v>1227</v>
      </c>
      <c r="M75" s="9">
        <v>6.3320000000000001E-2</v>
      </c>
      <c r="N75" s="9">
        <v>0.93667999999999996</v>
      </c>
      <c r="O75" s="8">
        <v>18714</v>
      </c>
      <c r="P75" s="8">
        <v>209613</v>
      </c>
      <c r="Q75" s="10">
        <v>10.82</v>
      </c>
      <c r="R75" s="10">
        <v>8.69</v>
      </c>
    </row>
    <row r="76" spans="1:18">
      <c r="A76" s="7">
        <v>70</v>
      </c>
      <c r="B76" s="8">
        <v>16908</v>
      </c>
      <c r="C76" s="8">
        <v>1141</v>
      </c>
      <c r="D76" s="9">
        <v>6.7479999999999998E-2</v>
      </c>
      <c r="E76" s="9">
        <v>0.93252000000000002</v>
      </c>
      <c r="F76" s="8">
        <v>16338</v>
      </c>
      <c r="G76" s="8">
        <v>165661</v>
      </c>
      <c r="H76" s="10">
        <v>9.8000000000000007</v>
      </c>
      <c r="I76" s="10">
        <v>8.0500000000000007</v>
      </c>
      <c r="J76" s="10"/>
      <c r="K76" s="8">
        <v>18150</v>
      </c>
      <c r="L76" s="8">
        <v>1227</v>
      </c>
      <c r="M76" s="9">
        <v>6.7580000000000001E-2</v>
      </c>
      <c r="N76" s="9">
        <v>0.93242000000000003</v>
      </c>
      <c r="O76" s="8">
        <v>17486</v>
      </c>
      <c r="P76" s="8">
        <v>190899</v>
      </c>
      <c r="Q76" s="10">
        <v>10.52</v>
      </c>
      <c r="R76" s="10">
        <v>8.41</v>
      </c>
    </row>
    <row r="77" spans="1:18">
      <c r="A77" s="7">
        <v>71</v>
      </c>
      <c r="B77" s="8">
        <v>15767</v>
      </c>
      <c r="C77" s="8">
        <v>1139</v>
      </c>
      <c r="D77" s="9">
        <v>7.2230000000000003E-2</v>
      </c>
      <c r="E77" s="9">
        <v>0.92776999999999998</v>
      </c>
      <c r="F77" s="8">
        <v>15197</v>
      </c>
      <c r="G77" s="8">
        <v>149323</v>
      </c>
      <c r="H77" s="10">
        <v>9.4700000000000006</v>
      </c>
      <c r="I77" s="10">
        <v>7.73</v>
      </c>
      <c r="J77" s="10"/>
      <c r="K77" s="8">
        <v>16923</v>
      </c>
      <c r="L77" s="8">
        <v>1215</v>
      </c>
      <c r="M77" s="9">
        <v>7.1779999999999997E-2</v>
      </c>
      <c r="N77" s="9">
        <v>0.92822000000000005</v>
      </c>
      <c r="O77" s="8">
        <v>16314</v>
      </c>
      <c r="P77" s="8">
        <v>173413</v>
      </c>
      <c r="Q77" s="10">
        <v>10.25</v>
      </c>
      <c r="R77" s="10">
        <v>8.15</v>
      </c>
    </row>
    <row r="78" spans="1:18">
      <c r="A78" s="7">
        <v>72</v>
      </c>
      <c r="B78" s="8">
        <v>14628</v>
      </c>
      <c r="C78" s="8">
        <v>1122</v>
      </c>
      <c r="D78" s="9">
        <v>7.6689999999999994E-2</v>
      </c>
      <c r="E78" s="9">
        <v>0.92330999999999996</v>
      </c>
      <c r="F78" s="8">
        <v>14065</v>
      </c>
      <c r="G78" s="8">
        <v>134126</v>
      </c>
      <c r="H78" s="10">
        <v>9.17</v>
      </c>
      <c r="I78" s="10">
        <v>7.44</v>
      </c>
      <c r="J78" s="10"/>
      <c r="K78" s="8">
        <v>15708</v>
      </c>
      <c r="L78" s="8">
        <v>1184</v>
      </c>
      <c r="M78" s="9">
        <v>7.5399999999999995E-2</v>
      </c>
      <c r="N78" s="9">
        <v>0.92459999999999998</v>
      </c>
      <c r="O78" s="8">
        <v>15113</v>
      </c>
      <c r="P78" s="8">
        <v>157099</v>
      </c>
      <c r="Q78" s="10">
        <v>10</v>
      </c>
      <c r="R78" s="10">
        <v>7.94</v>
      </c>
    </row>
    <row r="79" spans="1:18">
      <c r="A79" s="7">
        <v>73</v>
      </c>
      <c r="B79" s="8">
        <v>13506</v>
      </c>
      <c r="C79" s="8">
        <v>1093</v>
      </c>
      <c r="D79" s="9">
        <v>8.0890000000000004E-2</v>
      </c>
      <c r="E79" s="9">
        <v>0.91910999999999998</v>
      </c>
      <c r="F79" s="8">
        <v>12957</v>
      </c>
      <c r="G79" s="8">
        <v>120061</v>
      </c>
      <c r="H79" s="10">
        <v>8.89</v>
      </c>
      <c r="I79" s="10">
        <v>7.16</v>
      </c>
      <c r="J79" s="10"/>
      <c r="K79" s="8">
        <v>14524</v>
      </c>
      <c r="L79" s="8">
        <v>1140</v>
      </c>
      <c r="M79" s="9">
        <v>7.8479999999999994E-2</v>
      </c>
      <c r="N79" s="9">
        <v>0.92152000000000001</v>
      </c>
      <c r="O79" s="8">
        <v>13950</v>
      </c>
      <c r="P79" s="8">
        <v>141986</v>
      </c>
      <c r="Q79" s="10">
        <v>9.7799999999999994</v>
      </c>
      <c r="R79" s="10">
        <v>7.76</v>
      </c>
    </row>
    <row r="80" spans="1:18">
      <c r="A80" s="7">
        <v>74</v>
      </c>
      <c r="B80" s="8">
        <v>12413</v>
      </c>
      <c r="C80" s="8">
        <v>1053</v>
      </c>
      <c r="D80" s="9">
        <v>8.4860000000000005E-2</v>
      </c>
      <c r="E80" s="9">
        <v>0.91513999999999995</v>
      </c>
      <c r="F80" s="8">
        <v>11882</v>
      </c>
      <c r="G80" s="8">
        <v>107104</v>
      </c>
      <c r="H80" s="10">
        <v>8.6300000000000008</v>
      </c>
      <c r="I80" s="10">
        <v>6.92</v>
      </c>
      <c r="J80" s="10"/>
      <c r="K80" s="8">
        <v>13384</v>
      </c>
      <c r="L80" s="8">
        <v>1086</v>
      </c>
      <c r="M80" s="9">
        <v>8.1119999999999998E-2</v>
      </c>
      <c r="N80" s="9">
        <v>0.91888000000000003</v>
      </c>
      <c r="O80" s="8">
        <v>12836</v>
      </c>
      <c r="P80" s="8">
        <v>128036</v>
      </c>
      <c r="Q80" s="10">
        <v>9.57</v>
      </c>
      <c r="R80" s="10">
        <v>7.61</v>
      </c>
    </row>
    <row r="81" spans="1:18">
      <c r="A81" s="7">
        <v>75</v>
      </c>
      <c r="B81" s="8">
        <v>11360</v>
      </c>
      <c r="C81" s="8">
        <v>1007</v>
      </c>
      <c r="D81" s="9">
        <v>8.8650000000000007E-2</v>
      </c>
      <c r="E81" s="9">
        <v>0.91134999999999999</v>
      </c>
      <c r="F81" s="8">
        <v>10852</v>
      </c>
      <c r="G81" s="8">
        <v>95222</v>
      </c>
      <c r="H81" s="10">
        <v>8.3800000000000008</v>
      </c>
      <c r="I81" s="10">
        <v>6.7</v>
      </c>
      <c r="J81" s="10"/>
      <c r="K81" s="8">
        <v>12298</v>
      </c>
      <c r="L81" s="8">
        <v>1026</v>
      </c>
      <c r="M81" s="9">
        <v>8.3390000000000006E-2</v>
      </c>
      <c r="N81" s="9">
        <v>0.91661000000000004</v>
      </c>
      <c r="O81" s="8">
        <v>11780</v>
      </c>
      <c r="P81" s="8">
        <v>115200</v>
      </c>
      <c r="Q81" s="10">
        <v>9.3699999999999992</v>
      </c>
      <c r="R81" s="10">
        <v>7.47</v>
      </c>
    </row>
    <row r="82" spans="1:18">
      <c r="A82" s="7">
        <v>76</v>
      </c>
      <c r="B82" s="8">
        <v>10353</v>
      </c>
      <c r="C82" s="8">
        <v>955</v>
      </c>
      <c r="D82" s="9">
        <v>9.2270000000000005E-2</v>
      </c>
      <c r="E82" s="9">
        <v>0.90773000000000004</v>
      </c>
      <c r="F82" s="8">
        <v>9872</v>
      </c>
      <c r="G82" s="8">
        <v>84370</v>
      </c>
      <c r="H82" s="10">
        <v>8.15</v>
      </c>
      <c r="I82" s="10">
        <v>6.49</v>
      </c>
      <c r="J82" s="10"/>
      <c r="K82" s="8">
        <v>11272</v>
      </c>
      <c r="L82" s="8">
        <v>962</v>
      </c>
      <c r="M82" s="9">
        <v>8.5330000000000003E-2</v>
      </c>
      <c r="N82" s="9">
        <v>0.91466999999999998</v>
      </c>
      <c r="O82" s="8">
        <v>10786</v>
      </c>
      <c r="P82" s="8">
        <v>103420</v>
      </c>
      <c r="Q82" s="10">
        <v>9.17</v>
      </c>
      <c r="R82" s="10">
        <v>7.35</v>
      </c>
    </row>
    <row r="83" spans="1:18">
      <c r="A83" s="7">
        <v>77</v>
      </c>
      <c r="B83" s="8">
        <v>9398</v>
      </c>
      <c r="C83" s="8">
        <v>900</v>
      </c>
      <c r="D83" s="9">
        <v>9.5759999999999998E-2</v>
      </c>
      <c r="E83" s="9">
        <v>0.90424000000000004</v>
      </c>
      <c r="F83" s="8">
        <v>8943</v>
      </c>
      <c r="G83" s="8">
        <v>74498</v>
      </c>
      <c r="H83" s="10">
        <v>7.93</v>
      </c>
      <c r="I83" s="10">
        <v>6.29</v>
      </c>
      <c r="J83" s="10"/>
      <c r="K83" s="8">
        <v>10310</v>
      </c>
      <c r="L83" s="8">
        <v>897</v>
      </c>
      <c r="M83" s="9">
        <v>8.7040000000000006E-2</v>
      </c>
      <c r="N83" s="9">
        <v>0.91295999999999999</v>
      </c>
      <c r="O83" s="8">
        <v>9856</v>
      </c>
      <c r="P83" s="8">
        <v>92634</v>
      </c>
      <c r="Q83" s="10">
        <v>8.98</v>
      </c>
      <c r="R83" s="10">
        <v>7.22</v>
      </c>
    </row>
    <row r="84" spans="1:18">
      <c r="A84" s="7">
        <v>78</v>
      </c>
      <c r="B84" s="8">
        <v>8498</v>
      </c>
      <c r="C84" s="8">
        <v>842</v>
      </c>
      <c r="D84" s="9">
        <v>9.9140000000000006E-2</v>
      </c>
      <c r="E84" s="9">
        <v>0.90085999999999999</v>
      </c>
      <c r="F84" s="8">
        <v>8072</v>
      </c>
      <c r="G84" s="8">
        <v>65555</v>
      </c>
      <c r="H84" s="10">
        <v>7.71</v>
      </c>
      <c r="I84" s="10">
        <v>6.1</v>
      </c>
      <c r="J84" s="10"/>
      <c r="K84" s="8">
        <v>9413</v>
      </c>
      <c r="L84" s="8">
        <v>834</v>
      </c>
      <c r="M84" s="9">
        <v>8.8569999999999996E-2</v>
      </c>
      <c r="N84" s="9">
        <v>0.91142999999999996</v>
      </c>
      <c r="O84" s="8">
        <v>8991</v>
      </c>
      <c r="P84" s="8">
        <v>82778</v>
      </c>
      <c r="Q84" s="10">
        <v>8.7899999999999991</v>
      </c>
      <c r="R84" s="10">
        <v>7.1</v>
      </c>
    </row>
    <row r="85" spans="1:18">
      <c r="A85" s="7">
        <v>79</v>
      </c>
      <c r="B85" s="8">
        <v>7656</v>
      </c>
      <c r="C85" s="8">
        <v>784</v>
      </c>
      <c r="D85" s="9">
        <v>0.10245</v>
      </c>
      <c r="E85" s="9">
        <v>0.89754999999999996</v>
      </c>
      <c r="F85" s="8">
        <v>7259</v>
      </c>
      <c r="G85" s="8">
        <v>57483</v>
      </c>
      <c r="H85" s="10">
        <v>7.51</v>
      </c>
      <c r="I85" s="10">
        <v>5.92</v>
      </c>
      <c r="J85" s="10"/>
      <c r="K85" s="8">
        <v>8579</v>
      </c>
      <c r="L85" s="8">
        <v>772</v>
      </c>
      <c r="M85" s="9">
        <v>9.0010000000000007E-2</v>
      </c>
      <c r="N85" s="9">
        <v>0.90998999999999997</v>
      </c>
      <c r="O85" s="8">
        <v>8189</v>
      </c>
      <c r="P85" s="8">
        <v>73787</v>
      </c>
      <c r="Q85" s="10">
        <v>8.6</v>
      </c>
      <c r="R85" s="10">
        <v>6.98</v>
      </c>
    </row>
    <row r="86" spans="1:18">
      <c r="A86" s="7">
        <v>80</v>
      </c>
      <c r="B86" s="8">
        <v>6872</v>
      </c>
      <c r="C86" s="8">
        <v>726</v>
      </c>
      <c r="D86" s="9">
        <v>0.10571</v>
      </c>
      <c r="E86" s="9">
        <v>0.89429000000000003</v>
      </c>
      <c r="F86" s="8">
        <v>6504</v>
      </c>
      <c r="G86" s="8">
        <v>50224</v>
      </c>
      <c r="H86" s="10">
        <v>7.31</v>
      </c>
      <c r="I86" s="10">
        <v>5.76</v>
      </c>
      <c r="J86" s="10"/>
      <c r="K86" s="8">
        <v>7807</v>
      </c>
      <c r="L86" s="8">
        <v>713</v>
      </c>
      <c r="M86" s="9">
        <v>9.1389999999999999E-2</v>
      </c>
      <c r="N86" s="9">
        <v>0.90861000000000003</v>
      </c>
      <c r="O86" s="8">
        <v>7446</v>
      </c>
      <c r="P86" s="8">
        <v>65598</v>
      </c>
      <c r="Q86" s="10">
        <v>8.4</v>
      </c>
      <c r="R86" s="10">
        <v>6.86</v>
      </c>
    </row>
    <row r="87" spans="1:18">
      <c r="A87" s="7">
        <v>81</v>
      </c>
      <c r="B87" s="8">
        <v>6146</v>
      </c>
      <c r="C87" s="8">
        <v>670</v>
      </c>
      <c r="D87" s="9">
        <v>0.10894</v>
      </c>
      <c r="E87" s="9">
        <v>0.89105999999999996</v>
      </c>
      <c r="F87" s="8">
        <v>5806</v>
      </c>
      <c r="G87" s="8">
        <v>43720</v>
      </c>
      <c r="H87" s="10">
        <v>7.11</v>
      </c>
      <c r="I87" s="10">
        <v>5.61</v>
      </c>
      <c r="J87" s="10"/>
      <c r="K87" s="8">
        <v>7094</v>
      </c>
      <c r="L87" s="8">
        <v>658</v>
      </c>
      <c r="M87" s="9">
        <v>9.2799999999999994E-2</v>
      </c>
      <c r="N87" s="9">
        <v>0.90720000000000001</v>
      </c>
      <c r="O87" s="8">
        <v>6761</v>
      </c>
      <c r="P87" s="8">
        <v>58152</v>
      </c>
      <c r="Q87" s="10">
        <v>8.1999999999999993</v>
      </c>
      <c r="R87" s="10">
        <v>6.72</v>
      </c>
    </row>
    <row r="88" spans="1:18">
      <c r="A88" s="7">
        <v>82</v>
      </c>
      <c r="B88" s="8">
        <v>5476</v>
      </c>
      <c r="C88" s="8">
        <v>614</v>
      </c>
      <c r="D88" s="9">
        <v>0.11219999999999999</v>
      </c>
      <c r="E88" s="9">
        <v>0.88780000000000003</v>
      </c>
      <c r="F88" s="8">
        <v>5164</v>
      </c>
      <c r="G88" s="8">
        <v>37914</v>
      </c>
      <c r="H88" s="10">
        <v>6.92</v>
      </c>
      <c r="I88" s="10">
        <v>5.45</v>
      </c>
      <c r="J88" s="10"/>
      <c r="K88" s="8">
        <v>6436</v>
      </c>
      <c r="L88" s="8">
        <v>607</v>
      </c>
      <c r="M88" s="9">
        <v>9.4299999999999995E-2</v>
      </c>
      <c r="N88" s="9">
        <v>0.90569999999999995</v>
      </c>
      <c r="O88" s="8">
        <v>6128</v>
      </c>
      <c r="P88" s="8">
        <v>51391</v>
      </c>
      <c r="Q88" s="10">
        <v>7.98</v>
      </c>
      <c r="R88" s="10">
        <v>6.58</v>
      </c>
    </row>
    <row r="89" spans="1:18">
      <c r="A89" s="7">
        <v>83</v>
      </c>
      <c r="B89" s="8">
        <v>4862</v>
      </c>
      <c r="C89" s="8">
        <v>562</v>
      </c>
      <c r="D89" s="9">
        <v>0.11549</v>
      </c>
      <c r="E89" s="9">
        <v>0.88451000000000002</v>
      </c>
      <c r="F89" s="8">
        <v>4577</v>
      </c>
      <c r="G89" s="8">
        <v>32750</v>
      </c>
      <c r="H89" s="10">
        <v>6.74</v>
      </c>
      <c r="I89" s="10">
        <v>5.3</v>
      </c>
      <c r="J89" s="10"/>
      <c r="K89" s="8">
        <v>5829</v>
      </c>
      <c r="L89" s="8">
        <v>559</v>
      </c>
      <c r="M89" s="9">
        <v>9.597E-2</v>
      </c>
      <c r="N89" s="9">
        <v>0.90403</v>
      </c>
      <c r="O89" s="8">
        <v>5545</v>
      </c>
      <c r="P89" s="8">
        <v>45263</v>
      </c>
      <c r="Q89" s="10">
        <v>7.77</v>
      </c>
      <c r="R89" s="10">
        <v>6.42</v>
      </c>
    </row>
    <row r="90" spans="1:18">
      <c r="A90" s="7">
        <v>84</v>
      </c>
      <c r="B90" s="8">
        <v>4300</v>
      </c>
      <c r="C90" s="8">
        <v>511</v>
      </c>
      <c r="D90" s="9">
        <v>0.11883000000000001</v>
      </c>
      <c r="E90" s="9">
        <v>0.88117000000000001</v>
      </c>
      <c r="F90" s="8">
        <v>4040</v>
      </c>
      <c r="G90" s="8">
        <v>28173</v>
      </c>
      <c r="H90" s="10">
        <v>6.55</v>
      </c>
      <c r="I90" s="10">
        <v>5.15</v>
      </c>
      <c r="J90" s="10"/>
      <c r="K90" s="8">
        <v>5270</v>
      </c>
      <c r="L90" s="8">
        <v>516</v>
      </c>
      <c r="M90" s="9">
        <v>9.7850000000000006E-2</v>
      </c>
      <c r="N90" s="9">
        <v>0.90215000000000001</v>
      </c>
      <c r="O90" s="8">
        <v>5008</v>
      </c>
      <c r="P90" s="8">
        <v>39718</v>
      </c>
      <c r="Q90" s="10">
        <v>7.54</v>
      </c>
      <c r="R90" s="10">
        <v>6.25</v>
      </c>
    </row>
    <row r="91" spans="1:18">
      <c r="A91" s="7">
        <v>85</v>
      </c>
      <c r="B91" s="8">
        <v>3789</v>
      </c>
      <c r="C91" s="8">
        <v>463</v>
      </c>
      <c r="D91" s="9">
        <v>0.12225</v>
      </c>
      <c r="E91" s="9">
        <v>0.87775000000000003</v>
      </c>
      <c r="F91" s="8">
        <v>3554</v>
      </c>
      <c r="G91" s="8">
        <v>24133</v>
      </c>
      <c r="H91" s="10">
        <v>6.37</v>
      </c>
      <c r="I91" s="10">
        <v>5</v>
      </c>
      <c r="J91" s="10"/>
      <c r="K91" s="8">
        <v>4754</v>
      </c>
      <c r="L91" s="8">
        <v>475</v>
      </c>
      <c r="M91" s="9">
        <v>0.10002</v>
      </c>
      <c r="N91" s="9">
        <v>0.89998</v>
      </c>
      <c r="O91" s="8">
        <v>4514</v>
      </c>
      <c r="P91" s="8">
        <v>34710</v>
      </c>
      <c r="Q91" s="10">
        <v>7.3</v>
      </c>
      <c r="R91" s="10">
        <v>6.07</v>
      </c>
    </row>
    <row r="92" spans="1:18">
      <c r="A92" s="7">
        <v>86</v>
      </c>
      <c r="B92" s="8">
        <v>3326</v>
      </c>
      <c r="C92" s="8">
        <v>418</v>
      </c>
      <c r="D92" s="9">
        <v>0.1258</v>
      </c>
      <c r="E92" s="9">
        <v>0.87419999999999998</v>
      </c>
      <c r="F92" s="8">
        <v>3113</v>
      </c>
      <c r="G92" s="8">
        <v>20579</v>
      </c>
      <c r="H92" s="10">
        <v>6.19</v>
      </c>
      <c r="I92" s="10">
        <v>4.8600000000000003</v>
      </c>
      <c r="J92" s="10"/>
      <c r="K92" s="8">
        <v>4279</v>
      </c>
      <c r="L92" s="8">
        <v>439</v>
      </c>
      <c r="M92" s="9">
        <v>0.10253</v>
      </c>
      <c r="N92" s="9">
        <v>0.89746999999999999</v>
      </c>
      <c r="O92" s="8">
        <v>4057</v>
      </c>
      <c r="P92" s="8">
        <v>30196</v>
      </c>
      <c r="Q92" s="10">
        <v>7.06</v>
      </c>
      <c r="R92" s="10">
        <v>5.88</v>
      </c>
    </row>
    <row r="93" spans="1:18">
      <c r="A93" s="7">
        <v>87</v>
      </c>
      <c r="B93" s="8">
        <v>2908</v>
      </c>
      <c r="C93" s="8">
        <v>377</v>
      </c>
      <c r="D93" s="9">
        <v>0.12948000000000001</v>
      </c>
      <c r="E93" s="9">
        <v>0.87051999999999996</v>
      </c>
      <c r="F93" s="8">
        <v>2717</v>
      </c>
      <c r="G93" s="8">
        <v>17466</v>
      </c>
      <c r="H93" s="10">
        <v>6.01</v>
      </c>
      <c r="I93" s="10">
        <v>4.72</v>
      </c>
      <c r="J93" s="10"/>
      <c r="K93" s="8">
        <v>3840</v>
      </c>
      <c r="L93" s="8">
        <v>405</v>
      </c>
      <c r="M93" s="9">
        <v>0.10546999999999999</v>
      </c>
      <c r="N93" s="9">
        <v>0.89453000000000005</v>
      </c>
      <c r="O93" s="8">
        <v>3635</v>
      </c>
      <c r="P93" s="8">
        <v>26139</v>
      </c>
      <c r="Q93" s="10">
        <v>6.81</v>
      </c>
      <c r="R93" s="10">
        <v>5.68</v>
      </c>
    </row>
    <row r="94" spans="1:18">
      <c r="A94" s="7">
        <v>88</v>
      </c>
      <c r="B94" s="8">
        <v>2531</v>
      </c>
      <c r="C94" s="8">
        <v>337</v>
      </c>
      <c r="D94" s="9">
        <v>0.13331999999999999</v>
      </c>
      <c r="E94" s="9">
        <v>0.86668000000000001</v>
      </c>
      <c r="F94" s="8">
        <v>2359</v>
      </c>
      <c r="G94" s="8">
        <v>14749</v>
      </c>
      <c r="H94" s="10">
        <v>5.83</v>
      </c>
      <c r="I94" s="10">
        <v>4.59</v>
      </c>
      <c r="J94" s="10"/>
      <c r="K94" s="8">
        <v>3435</v>
      </c>
      <c r="L94" s="8">
        <v>374</v>
      </c>
      <c r="M94" s="9">
        <v>0.10886999999999999</v>
      </c>
      <c r="N94" s="9">
        <v>0.89112999999999998</v>
      </c>
      <c r="O94" s="8">
        <v>3246</v>
      </c>
      <c r="P94" s="8">
        <v>22504</v>
      </c>
      <c r="Q94" s="10">
        <v>6.55</v>
      </c>
      <c r="R94" s="10">
        <v>5.47</v>
      </c>
    </row>
    <row r="95" spans="1:18">
      <c r="A95" s="7">
        <v>89</v>
      </c>
      <c r="B95" s="8">
        <v>2194</v>
      </c>
      <c r="C95" s="8">
        <v>301</v>
      </c>
      <c r="D95" s="9">
        <v>0.13733999999999999</v>
      </c>
      <c r="E95" s="9">
        <v>0.86265999999999998</v>
      </c>
      <c r="F95" s="8">
        <v>2041</v>
      </c>
      <c r="G95" s="8">
        <v>12390</v>
      </c>
      <c r="H95" s="10">
        <v>5.65</v>
      </c>
      <c r="I95" s="10">
        <v>4.45</v>
      </c>
      <c r="J95" s="10"/>
      <c r="K95" s="8">
        <v>3061</v>
      </c>
      <c r="L95" s="8">
        <v>345</v>
      </c>
      <c r="M95" s="9">
        <v>0.1128</v>
      </c>
      <c r="N95" s="9">
        <v>0.88719999999999999</v>
      </c>
      <c r="O95" s="8">
        <v>2887</v>
      </c>
      <c r="P95" s="8">
        <v>19258</v>
      </c>
      <c r="Q95" s="10">
        <v>6.29</v>
      </c>
      <c r="R95" s="10">
        <v>5.25</v>
      </c>
    </row>
    <row r="96" spans="1:18">
      <c r="A96" s="7">
        <v>90</v>
      </c>
      <c r="B96" s="8">
        <v>1893</v>
      </c>
      <c r="C96" s="8">
        <v>268</v>
      </c>
      <c r="D96" s="9">
        <v>0.14158000000000001</v>
      </c>
      <c r="E96" s="9">
        <v>0.85841999999999996</v>
      </c>
      <c r="F96" s="8">
        <v>1756</v>
      </c>
      <c r="G96" s="8">
        <v>10349</v>
      </c>
      <c r="H96" s="10">
        <v>5.47</v>
      </c>
      <c r="I96" s="10">
        <v>4.3</v>
      </c>
      <c r="J96" s="10"/>
      <c r="K96" s="8">
        <v>2716</v>
      </c>
      <c r="L96" s="8">
        <v>319</v>
      </c>
      <c r="M96" s="9">
        <v>0.11731</v>
      </c>
      <c r="N96" s="9">
        <v>0.88268999999999997</v>
      </c>
      <c r="O96" s="8">
        <v>2554</v>
      </c>
      <c r="P96" s="8">
        <v>16371</v>
      </c>
      <c r="Q96" s="10">
        <v>6.03</v>
      </c>
      <c r="R96" s="10">
        <v>5.01</v>
      </c>
    </row>
    <row r="97" spans="1:18">
      <c r="A97" s="7">
        <v>91</v>
      </c>
      <c r="B97" s="8">
        <v>1625</v>
      </c>
      <c r="C97" s="8">
        <v>237</v>
      </c>
      <c r="D97" s="9">
        <v>0.14605000000000001</v>
      </c>
      <c r="E97" s="9">
        <v>0.85394999999999999</v>
      </c>
      <c r="F97" s="8">
        <v>1504</v>
      </c>
      <c r="G97" s="8">
        <v>8593</v>
      </c>
      <c r="H97" s="10">
        <v>5.29</v>
      </c>
      <c r="I97" s="10">
        <v>4.16</v>
      </c>
      <c r="J97" s="10"/>
      <c r="K97" s="8">
        <v>2397</v>
      </c>
      <c r="L97" s="8">
        <v>294</v>
      </c>
      <c r="M97" s="9">
        <v>0.12250999999999999</v>
      </c>
      <c r="N97" s="9">
        <v>0.87748999999999999</v>
      </c>
      <c r="O97" s="8">
        <v>2248</v>
      </c>
      <c r="P97" s="8">
        <v>13817</v>
      </c>
      <c r="Q97" s="10">
        <v>5.76</v>
      </c>
      <c r="R97" s="10">
        <v>4.78</v>
      </c>
    </row>
    <row r="98" spans="1:18">
      <c r="A98" s="7">
        <v>92</v>
      </c>
      <c r="B98" s="8">
        <v>1388</v>
      </c>
      <c r="C98" s="8">
        <v>209</v>
      </c>
      <c r="D98" s="9">
        <v>0.15076999999999999</v>
      </c>
      <c r="E98" s="9">
        <v>0.84923000000000004</v>
      </c>
      <c r="F98" s="8">
        <v>1282</v>
      </c>
      <c r="G98" s="8">
        <v>7089</v>
      </c>
      <c r="H98" s="10">
        <v>5.1100000000000003</v>
      </c>
      <c r="I98" s="10">
        <v>4.0199999999999996</v>
      </c>
      <c r="J98" s="10"/>
      <c r="K98" s="8">
        <v>2103</v>
      </c>
      <c r="L98" s="8">
        <v>270</v>
      </c>
      <c r="M98" s="9">
        <v>0.12831999999999999</v>
      </c>
      <c r="N98" s="9">
        <v>0.87168000000000001</v>
      </c>
      <c r="O98" s="8">
        <v>1966</v>
      </c>
      <c r="P98" s="8">
        <v>11569</v>
      </c>
      <c r="Q98" s="10">
        <v>5.5</v>
      </c>
      <c r="R98" s="10">
        <v>4.5599999999999996</v>
      </c>
    </row>
    <row r="99" spans="1:18">
      <c r="A99" s="7">
        <v>93</v>
      </c>
      <c r="B99" s="8">
        <v>1179</v>
      </c>
      <c r="C99" s="8">
        <v>184</v>
      </c>
      <c r="D99" s="9">
        <v>0.15576000000000001</v>
      </c>
      <c r="E99" s="9">
        <v>0.84423999999999999</v>
      </c>
      <c r="F99" s="8">
        <v>1085</v>
      </c>
      <c r="G99" s="8">
        <v>5807</v>
      </c>
      <c r="H99" s="10">
        <v>4.93</v>
      </c>
      <c r="I99" s="10">
        <v>3.89</v>
      </c>
      <c r="J99" s="10"/>
      <c r="K99" s="8">
        <v>1833</v>
      </c>
      <c r="L99" s="8">
        <v>247</v>
      </c>
      <c r="M99" s="9">
        <v>0.13492000000000001</v>
      </c>
      <c r="N99" s="9">
        <v>0.86507999999999996</v>
      </c>
      <c r="O99" s="8">
        <v>1707</v>
      </c>
      <c r="P99" s="8">
        <v>9603</v>
      </c>
      <c r="Q99" s="10">
        <v>5.24</v>
      </c>
      <c r="R99" s="10">
        <v>4.33</v>
      </c>
    </row>
    <row r="100" spans="1:18">
      <c r="A100" s="7">
        <v>94</v>
      </c>
      <c r="B100" s="8">
        <v>995</v>
      </c>
      <c r="C100" s="8">
        <v>160</v>
      </c>
      <c r="D100" s="9">
        <v>0.16106000000000001</v>
      </c>
      <c r="E100" s="9">
        <v>0.83894000000000002</v>
      </c>
      <c r="F100" s="8">
        <v>913</v>
      </c>
      <c r="G100" s="8">
        <v>4722</v>
      </c>
      <c r="H100" s="10">
        <v>4.75</v>
      </c>
      <c r="I100" s="10">
        <v>3.76</v>
      </c>
      <c r="J100" s="10"/>
      <c r="K100" s="8">
        <v>1586</v>
      </c>
      <c r="L100" s="8">
        <v>226</v>
      </c>
      <c r="M100" s="9">
        <v>0.14230000000000001</v>
      </c>
      <c r="N100" s="9">
        <v>0.85770000000000002</v>
      </c>
      <c r="O100" s="8">
        <v>1471</v>
      </c>
      <c r="P100" s="8">
        <v>7896</v>
      </c>
      <c r="Q100" s="10">
        <v>4.9800000000000004</v>
      </c>
      <c r="R100" s="10">
        <v>4.09</v>
      </c>
    </row>
    <row r="101" spans="1:18">
      <c r="A101" s="7">
        <v>95</v>
      </c>
      <c r="B101" s="8">
        <v>835</v>
      </c>
      <c r="C101" s="8">
        <v>139</v>
      </c>
      <c r="D101" s="9">
        <v>0.16667000000000001</v>
      </c>
      <c r="E101" s="9">
        <v>0.83333000000000002</v>
      </c>
      <c r="F101" s="8">
        <v>764</v>
      </c>
      <c r="G101" s="8">
        <v>3809</v>
      </c>
      <c r="H101" s="10">
        <v>4.5599999999999996</v>
      </c>
      <c r="I101" s="10">
        <v>3.63</v>
      </c>
      <c r="J101" s="10"/>
      <c r="K101" s="8">
        <v>1360</v>
      </c>
      <c r="L101" s="8">
        <v>206</v>
      </c>
      <c r="M101" s="9">
        <v>0.15131</v>
      </c>
      <c r="N101" s="9">
        <v>0.84869000000000006</v>
      </c>
      <c r="O101" s="8">
        <v>1255</v>
      </c>
      <c r="P101" s="8">
        <v>6425</v>
      </c>
      <c r="Q101" s="10">
        <v>4.72</v>
      </c>
      <c r="R101" s="10">
        <v>3.87</v>
      </c>
    </row>
    <row r="102" spans="1:18">
      <c r="A102" s="7">
        <v>96</v>
      </c>
      <c r="B102" s="8">
        <v>696</v>
      </c>
      <c r="C102" s="8">
        <v>120</v>
      </c>
      <c r="D102" s="9">
        <v>0.17262</v>
      </c>
      <c r="E102" s="9">
        <v>0.82738</v>
      </c>
      <c r="F102" s="8">
        <v>635</v>
      </c>
      <c r="G102" s="8">
        <v>3045</v>
      </c>
      <c r="H102" s="10">
        <v>4.38</v>
      </c>
      <c r="I102" s="10">
        <v>3.5</v>
      </c>
      <c r="J102" s="10"/>
      <c r="K102" s="8">
        <v>1154</v>
      </c>
      <c r="L102" s="8">
        <v>184</v>
      </c>
      <c r="M102" s="9">
        <v>0.15959000000000001</v>
      </c>
      <c r="N102" s="9">
        <v>0.84040999999999999</v>
      </c>
      <c r="O102" s="8">
        <v>1060</v>
      </c>
      <c r="P102" s="8">
        <v>5170</v>
      </c>
      <c r="Q102" s="10">
        <v>4.4800000000000004</v>
      </c>
      <c r="R102" s="10">
        <v>3.66</v>
      </c>
    </row>
    <row r="103" spans="1:18">
      <c r="A103" s="7">
        <v>97</v>
      </c>
      <c r="B103" s="8">
        <v>576</v>
      </c>
      <c r="C103" s="8">
        <v>103</v>
      </c>
      <c r="D103" s="9">
        <v>0.17892</v>
      </c>
      <c r="E103" s="9">
        <v>0.82108000000000003</v>
      </c>
      <c r="F103" s="8">
        <v>523</v>
      </c>
      <c r="G103" s="8">
        <v>2410</v>
      </c>
      <c r="H103" s="10">
        <v>4.18</v>
      </c>
      <c r="I103" s="10">
        <v>3.37</v>
      </c>
      <c r="J103" s="10"/>
      <c r="K103" s="8">
        <v>970</v>
      </c>
      <c r="L103" s="8">
        <v>164</v>
      </c>
      <c r="M103" s="9">
        <v>0.16955999999999999</v>
      </c>
      <c r="N103" s="9">
        <v>0.83043999999999996</v>
      </c>
      <c r="O103" s="8">
        <v>886</v>
      </c>
      <c r="P103" s="8">
        <v>4110</v>
      </c>
      <c r="Q103" s="10">
        <v>4.24</v>
      </c>
      <c r="R103" s="10">
        <v>3.45</v>
      </c>
    </row>
    <row r="104" spans="1:18">
      <c r="A104" s="7">
        <v>98</v>
      </c>
      <c r="B104" s="8">
        <v>473</v>
      </c>
      <c r="C104" s="8">
        <v>88</v>
      </c>
      <c r="D104" s="9">
        <v>0.18557999999999999</v>
      </c>
      <c r="E104" s="9">
        <v>0.81442000000000003</v>
      </c>
      <c r="F104" s="8">
        <v>428</v>
      </c>
      <c r="G104" s="8">
        <v>1887</v>
      </c>
      <c r="H104" s="10">
        <v>3.99</v>
      </c>
      <c r="I104" s="10">
        <v>3.23</v>
      </c>
      <c r="J104" s="10"/>
      <c r="K104" s="8">
        <v>806</v>
      </c>
      <c r="L104" s="8">
        <v>145</v>
      </c>
      <c r="M104" s="9">
        <v>0.18043999999999999</v>
      </c>
      <c r="N104" s="9">
        <v>0.81955999999999996</v>
      </c>
      <c r="O104" s="8">
        <v>732</v>
      </c>
      <c r="P104" s="8">
        <v>3224</v>
      </c>
      <c r="Q104" s="10">
        <v>4</v>
      </c>
      <c r="R104" s="10">
        <v>3.23</v>
      </c>
    </row>
    <row r="105" spans="1:18">
      <c r="A105" s="7">
        <v>99</v>
      </c>
      <c r="B105" s="8">
        <v>385</v>
      </c>
      <c r="C105" s="8">
        <v>74</v>
      </c>
      <c r="D105" s="9">
        <v>0.19263</v>
      </c>
      <c r="E105" s="9">
        <v>0.80737000000000003</v>
      </c>
      <c r="F105" s="8">
        <v>347</v>
      </c>
      <c r="G105" s="8">
        <v>1459</v>
      </c>
      <c r="H105" s="10">
        <v>3.79</v>
      </c>
      <c r="I105" s="10">
        <v>3.07</v>
      </c>
      <c r="J105" s="10"/>
      <c r="K105" s="8">
        <v>661</v>
      </c>
      <c r="L105" s="8">
        <v>127</v>
      </c>
      <c r="M105" s="9">
        <v>0.19227</v>
      </c>
      <c r="N105" s="9">
        <v>0.80772999999999995</v>
      </c>
      <c r="O105" s="8">
        <v>597</v>
      </c>
      <c r="P105" s="8">
        <v>2492</v>
      </c>
      <c r="Q105" s="10">
        <v>3.77</v>
      </c>
      <c r="R105" s="10">
        <v>3</v>
      </c>
    </row>
    <row r="106" spans="1:18">
      <c r="A106" s="7">
        <v>100</v>
      </c>
      <c r="B106" s="8">
        <v>311</v>
      </c>
      <c r="C106" s="8">
        <v>62</v>
      </c>
      <c r="D106" s="9">
        <v>0.20008000000000001</v>
      </c>
      <c r="E106" s="9">
        <v>0.79991999999999996</v>
      </c>
      <c r="F106" s="8">
        <v>279</v>
      </c>
      <c r="G106" s="8">
        <v>1112</v>
      </c>
      <c r="H106" s="10">
        <v>3.58</v>
      </c>
      <c r="I106" s="10">
        <v>2.89</v>
      </c>
      <c r="J106" s="10"/>
      <c r="K106" s="8">
        <v>534</v>
      </c>
      <c r="L106" s="8">
        <v>110</v>
      </c>
      <c r="M106" s="9">
        <v>0.20505999999999999</v>
      </c>
      <c r="N106" s="9">
        <v>0.79493999999999998</v>
      </c>
      <c r="O106" s="8">
        <v>478</v>
      </c>
      <c r="P106" s="8">
        <v>1895</v>
      </c>
      <c r="Q106" s="10">
        <v>3.55</v>
      </c>
      <c r="R106" s="10">
        <v>2.83</v>
      </c>
    </row>
    <row r="108" spans="1:18">
      <c r="A108" s="51" t="s">
        <v>53</v>
      </c>
      <c r="B108" s="52"/>
      <c r="C108" s="52"/>
      <c r="D108" s="52"/>
      <c r="E108" s="52"/>
      <c r="F108" s="52"/>
      <c r="G108" s="52"/>
      <c r="H108" s="52"/>
      <c r="I108" s="52"/>
      <c r="J108" s="52"/>
      <c r="K108" s="52"/>
      <c r="L108" s="52"/>
      <c r="M108" s="52"/>
      <c r="N108" s="52"/>
      <c r="O108" s="52"/>
      <c r="P108" s="52"/>
      <c r="Q108" s="52"/>
      <c r="R108" s="52"/>
    </row>
  </sheetData>
  <mergeCells count="5">
    <mergeCell ref="A1:R1"/>
    <mergeCell ref="A2:R2"/>
    <mergeCell ref="B4:I4"/>
    <mergeCell ref="K4:R4"/>
    <mergeCell ref="A108:R10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6"/>
  <sheetViews>
    <sheetView topLeftCell="A64" workbookViewId="0">
      <selection activeCell="B5" sqref="B5:R5"/>
    </sheetView>
  </sheetViews>
  <sheetFormatPr defaultRowHeight="14.25"/>
  <cols>
    <col min="1" max="3" width="12" customWidth="1"/>
    <col min="4" max="5" width="9" customWidth="1"/>
    <col min="6" max="7" width="12" customWidth="1"/>
    <col min="8" max="10" width="9" customWidth="1"/>
    <col min="11" max="12" width="12" customWidth="1"/>
    <col min="13" max="14" width="9" customWidth="1"/>
    <col min="15" max="16" width="12" customWidth="1"/>
    <col min="17" max="18" width="9" customWidth="1"/>
  </cols>
  <sheetData>
    <row r="1" spans="1:18" ht="16.5">
      <c r="A1" s="53" t="s">
        <v>52</v>
      </c>
      <c r="B1" s="54"/>
      <c r="C1" s="54"/>
      <c r="D1" s="54"/>
      <c r="E1" s="54"/>
      <c r="F1" s="54"/>
      <c r="G1" s="54"/>
      <c r="H1" s="54"/>
      <c r="I1" s="54"/>
      <c r="J1" s="54"/>
      <c r="K1" s="54"/>
      <c r="L1" s="54"/>
      <c r="M1" s="54"/>
      <c r="N1" s="54"/>
      <c r="O1" s="54"/>
      <c r="P1" s="54"/>
      <c r="Q1" s="54"/>
      <c r="R1" s="54"/>
    </row>
    <row r="2" spans="1:18">
      <c r="A2" s="55" t="s">
        <v>27</v>
      </c>
      <c r="B2" s="55"/>
      <c r="C2" s="55"/>
      <c r="D2" s="55"/>
      <c r="E2" s="55"/>
      <c r="F2" s="55"/>
      <c r="G2" s="55"/>
      <c r="H2" s="55"/>
      <c r="I2" s="55"/>
      <c r="J2" s="55"/>
      <c r="K2" s="55"/>
      <c r="L2" s="55"/>
      <c r="M2" s="55"/>
      <c r="N2" s="55"/>
      <c r="O2" s="55"/>
      <c r="P2" s="55"/>
      <c r="Q2" s="55"/>
      <c r="R2" s="55"/>
    </row>
    <row r="3" spans="1:18">
      <c r="A3" s="5"/>
      <c r="B3" s="5"/>
      <c r="C3" s="5"/>
      <c r="D3" s="5"/>
      <c r="E3" s="5"/>
      <c r="F3" s="5"/>
      <c r="G3" s="5"/>
      <c r="H3" s="5"/>
      <c r="I3" s="5"/>
      <c r="J3" s="5"/>
      <c r="K3" s="5"/>
      <c r="L3" s="5"/>
      <c r="M3" s="5"/>
      <c r="N3" s="5"/>
      <c r="O3" s="5"/>
      <c r="P3" s="5"/>
      <c r="Q3" s="5"/>
      <c r="R3" s="5"/>
    </row>
    <row r="4" spans="1:18" ht="15">
      <c r="A4" s="22"/>
      <c r="B4" s="56" t="s">
        <v>28</v>
      </c>
      <c r="C4" s="56" t="s">
        <v>28</v>
      </c>
      <c r="D4" s="56" t="s">
        <v>28</v>
      </c>
      <c r="E4" s="56" t="s">
        <v>28</v>
      </c>
      <c r="F4" s="56" t="s">
        <v>28</v>
      </c>
      <c r="G4" s="56" t="s">
        <v>28</v>
      </c>
      <c r="H4" s="56" t="s">
        <v>28</v>
      </c>
      <c r="I4" s="56" t="s">
        <v>28</v>
      </c>
      <c r="J4" s="22"/>
      <c r="K4" s="56" t="s">
        <v>29</v>
      </c>
      <c r="L4" s="56" t="s">
        <v>29</v>
      </c>
      <c r="M4" s="56" t="s">
        <v>29</v>
      </c>
      <c r="N4" s="56" t="s">
        <v>29</v>
      </c>
      <c r="O4" s="56" t="s">
        <v>29</v>
      </c>
      <c r="P4" s="56" t="s">
        <v>29</v>
      </c>
      <c r="Q4" s="56" t="s">
        <v>29</v>
      </c>
      <c r="R4" s="56" t="s">
        <v>29</v>
      </c>
    </row>
    <row r="5" spans="1:18" ht="30.4" customHeight="1">
      <c r="A5" s="26" t="s">
        <v>18</v>
      </c>
      <c r="B5" s="26" t="s">
        <v>19</v>
      </c>
      <c r="C5" s="26" t="s">
        <v>20</v>
      </c>
      <c r="D5" s="26" t="s">
        <v>21</v>
      </c>
      <c r="E5" s="26" t="s">
        <v>22</v>
      </c>
      <c r="F5" s="26" t="s">
        <v>23</v>
      </c>
      <c r="G5" s="26" t="s">
        <v>24</v>
      </c>
      <c r="H5" s="26" t="s">
        <v>25</v>
      </c>
      <c r="I5" s="26" t="s">
        <v>26</v>
      </c>
      <c r="J5" s="27"/>
      <c r="K5" s="26" t="s">
        <v>19</v>
      </c>
      <c r="L5" s="26" t="s">
        <v>20</v>
      </c>
      <c r="M5" s="26" t="s">
        <v>21</v>
      </c>
      <c r="N5" s="26" t="s">
        <v>22</v>
      </c>
      <c r="O5" s="26" t="s">
        <v>23</v>
      </c>
      <c r="P5" s="26" t="s">
        <v>24</v>
      </c>
      <c r="Q5" s="26" t="s">
        <v>25</v>
      </c>
      <c r="R5" s="26" t="s">
        <v>26</v>
      </c>
    </row>
    <row r="6" spans="1:18">
      <c r="A6" s="7">
        <v>0</v>
      </c>
      <c r="B6" s="8">
        <v>100000</v>
      </c>
      <c r="C6" s="8">
        <v>35427</v>
      </c>
      <c r="D6" s="9">
        <v>0.35426999999999997</v>
      </c>
      <c r="E6" s="9">
        <v>0.64573000000000003</v>
      </c>
      <c r="F6" s="8">
        <v>79839</v>
      </c>
      <c r="G6" s="8">
        <v>2547009</v>
      </c>
      <c r="H6" s="10">
        <v>25.47</v>
      </c>
      <c r="I6" s="10">
        <v>3.94</v>
      </c>
      <c r="J6" s="10"/>
      <c r="K6" s="8">
        <v>100000</v>
      </c>
      <c r="L6" s="8">
        <v>30435</v>
      </c>
      <c r="M6" s="9">
        <v>0.30435000000000001</v>
      </c>
      <c r="N6" s="9">
        <v>0.69564999999999999</v>
      </c>
      <c r="O6" s="8">
        <v>82765</v>
      </c>
      <c r="P6" s="8">
        <v>2816844</v>
      </c>
      <c r="Q6" s="10">
        <v>28.17</v>
      </c>
      <c r="R6" s="10">
        <v>8.02</v>
      </c>
    </row>
    <row r="7" spans="1:18">
      <c r="A7" s="7">
        <v>1</v>
      </c>
      <c r="B7" s="8">
        <v>64573</v>
      </c>
      <c r="C7" s="8">
        <v>8063</v>
      </c>
      <c r="D7" s="9">
        <v>0.12486999999999999</v>
      </c>
      <c r="E7" s="9">
        <v>0.87512999999999996</v>
      </c>
      <c r="F7" s="8">
        <v>60113</v>
      </c>
      <c r="G7" s="8">
        <v>2467170</v>
      </c>
      <c r="H7" s="10">
        <v>38.21</v>
      </c>
      <c r="I7" s="10">
        <v>42.04</v>
      </c>
      <c r="J7" s="10"/>
      <c r="K7" s="8">
        <v>69565</v>
      </c>
      <c r="L7" s="8">
        <v>7938</v>
      </c>
      <c r="M7" s="9">
        <v>0.11411</v>
      </c>
      <c r="N7" s="9">
        <v>0.88588999999999996</v>
      </c>
      <c r="O7" s="8">
        <v>65190</v>
      </c>
      <c r="P7" s="8">
        <v>2734079</v>
      </c>
      <c r="Q7" s="10">
        <v>39.299999999999997</v>
      </c>
      <c r="R7" s="10">
        <v>43.47</v>
      </c>
    </row>
    <row r="8" spans="1:18">
      <c r="A8" s="7">
        <v>2</v>
      </c>
      <c r="B8" s="8">
        <v>56510</v>
      </c>
      <c r="C8" s="8">
        <v>4112</v>
      </c>
      <c r="D8" s="9">
        <v>7.2770000000000001E-2</v>
      </c>
      <c r="E8" s="9">
        <v>0.92723</v>
      </c>
      <c r="F8" s="8">
        <v>54224</v>
      </c>
      <c r="G8" s="8">
        <v>2407057</v>
      </c>
      <c r="H8" s="10">
        <v>42.6</v>
      </c>
      <c r="I8" s="10">
        <v>48.51</v>
      </c>
      <c r="J8" s="10"/>
      <c r="K8" s="8">
        <v>61627</v>
      </c>
      <c r="L8" s="8">
        <v>4173</v>
      </c>
      <c r="M8" s="9">
        <v>6.7710000000000006E-2</v>
      </c>
      <c r="N8" s="9">
        <v>0.93228999999999995</v>
      </c>
      <c r="O8" s="8">
        <v>59319</v>
      </c>
      <c r="P8" s="8">
        <v>2668889</v>
      </c>
      <c r="Q8" s="10">
        <v>43.31</v>
      </c>
      <c r="R8" s="10">
        <v>49.98</v>
      </c>
    </row>
    <row r="9" spans="1:18">
      <c r="A9" s="7">
        <v>3</v>
      </c>
      <c r="B9" s="8">
        <v>52398</v>
      </c>
      <c r="C9" s="8">
        <v>2554</v>
      </c>
      <c r="D9" s="9">
        <v>4.8739999999999999E-2</v>
      </c>
      <c r="E9" s="9">
        <v>0.95125999999999999</v>
      </c>
      <c r="F9" s="8">
        <v>51024</v>
      </c>
      <c r="G9" s="8">
        <v>2352833</v>
      </c>
      <c r="H9" s="10">
        <v>44.9</v>
      </c>
      <c r="I9" s="10">
        <v>50.87</v>
      </c>
      <c r="J9" s="10"/>
      <c r="K9" s="8">
        <v>57454</v>
      </c>
      <c r="L9" s="8">
        <v>2633</v>
      </c>
      <c r="M9" s="9">
        <v>4.5830000000000003E-2</v>
      </c>
      <c r="N9" s="9">
        <v>0.95416999999999996</v>
      </c>
      <c r="O9" s="8">
        <v>56041</v>
      </c>
      <c r="P9" s="8">
        <v>2609570</v>
      </c>
      <c r="Q9" s="10">
        <v>45.42</v>
      </c>
      <c r="R9" s="10">
        <v>52.21</v>
      </c>
    </row>
    <row r="10" spans="1:18">
      <c r="A10" s="7">
        <v>4</v>
      </c>
      <c r="B10" s="8">
        <v>49844</v>
      </c>
      <c r="C10" s="8">
        <v>1773</v>
      </c>
      <c r="D10" s="9">
        <v>3.5569999999999997E-2</v>
      </c>
      <c r="E10" s="9">
        <v>0.96443000000000001</v>
      </c>
      <c r="F10" s="8">
        <v>48906</v>
      </c>
      <c r="G10" s="8">
        <v>2301809</v>
      </c>
      <c r="H10" s="10">
        <v>46.18</v>
      </c>
      <c r="I10" s="10">
        <v>51.78</v>
      </c>
      <c r="J10" s="10"/>
      <c r="K10" s="8">
        <v>54821</v>
      </c>
      <c r="L10" s="8">
        <v>1854</v>
      </c>
      <c r="M10" s="9">
        <v>3.3820000000000003E-2</v>
      </c>
      <c r="N10" s="9">
        <v>0.96618000000000004</v>
      </c>
      <c r="O10" s="8">
        <v>53842</v>
      </c>
      <c r="P10" s="8">
        <v>2553529</v>
      </c>
      <c r="Q10" s="10">
        <v>46.58</v>
      </c>
      <c r="R10" s="10">
        <v>53</v>
      </c>
    </row>
    <row r="11" spans="1:18">
      <c r="A11" s="7">
        <v>5</v>
      </c>
      <c r="B11" s="8">
        <v>48071</v>
      </c>
      <c r="C11" s="8">
        <v>1301</v>
      </c>
      <c r="D11" s="9">
        <v>2.7060000000000001E-2</v>
      </c>
      <c r="E11" s="9">
        <v>0.97294000000000003</v>
      </c>
      <c r="F11" s="8">
        <v>47385</v>
      </c>
      <c r="G11" s="8">
        <v>2252903</v>
      </c>
      <c r="H11" s="10">
        <v>46.87</v>
      </c>
      <c r="I11" s="10">
        <v>52.05</v>
      </c>
      <c r="J11" s="10"/>
      <c r="K11" s="8">
        <v>52967</v>
      </c>
      <c r="L11" s="8">
        <v>1374</v>
      </c>
      <c r="M11" s="9">
        <v>2.5940000000000001E-2</v>
      </c>
      <c r="N11" s="9">
        <v>0.97406000000000004</v>
      </c>
      <c r="O11" s="8">
        <v>52239</v>
      </c>
      <c r="P11" s="8">
        <v>2499687</v>
      </c>
      <c r="Q11" s="10">
        <v>47.19</v>
      </c>
      <c r="R11" s="10">
        <v>53.17</v>
      </c>
    </row>
    <row r="12" spans="1:18">
      <c r="A12" s="7">
        <v>6</v>
      </c>
      <c r="B12" s="8">
        <v>46770</v>
      </c>
      <c r="C12" s="8">
        <v>911</v>
      </c>
      <c r="D12" s="9">
        <v>1.9480000000000001E-2</v>
      </c>
      <c r="E12" s="9">
        <v>0.98051999999999995</v>
      </c>
      <c r="F12" s="8">
        <v>46288</v>
      </c>
      <c r="G12" s="8">
        <v>2205518</v>
      </c>
      <c r="H12" s="10">
        <v>47.16</v>
      </c>
      <c r="I12" s="10">
        <v>51.95</v>
      </c>
      <c r="J12" s="10"/>
      <c r="K12" s="8">
        <v>51593</v>
      </c>
      <c r="L12" s="8">
        <v>866</v>
      </c>
      <c r="M12" s="9">
        <v>1.6789999999999999E-2</v>
      </c>
      <c r="N12" s="9">
        <v>0.98321000000000003</v>
      </c>
      <c r="O12" s="8">
        <v>51133</v>
      </c>
      <c r="P12" s="8">
        <v>2447448</v>
      </c>
      <c r="Q12" s="10">
        <v>47.44</v>
      </c>
      <c r="R12" s="10">
        <v>53</v>
      </c>
    </row>
    <row r="13" spans="1:18">
      <c r="A13" s="7">
        <v>7</v>
      </c>
      <c r="B13" s="8">
        <v>45859</v>
      </c>
      <c r="C13" s="8">
        <v>663</v>
      </c>
      <c r="D13" s="9">
        <v>1.4460000000000001E-2</v>
      </c>
      <c r="E13" s="9">
        <v>0.98553999999999997</v>
      </c>
      <c r="F13" s="8">
        <v>45512</v>
      </c>
      <c r="G13" s="8">
        <v>2159230</v>
      </c>
      <c r="H13" s="10">
        <v>47.08</v>
      </c>
      <c r="I13" s="10">
        <v>51.56</v>
      </c>
      <c r="J13" s="10"/>
      <c r="K13" s="8">
        <v>50727</v>
      </c>
      <c r="L13" s="8">
        <v>718</v>
      </c>
      <c r="M13" s="9">
        <v>1.4149999999999999E-2</v>
      </c>
      <c r="N13" s="9">
        <v>0.98585</v>
      </c>
      <c r="O13" s="8">
        <v>50355</v>
      </c>
      <c r="P13" s="8">
        <v>2396315</v>
      </c>
      <c r="Q13" s="10">
        <v>47.24</v>
      </c>
      <c r="R13" s="10">
        <v>52.49</v>
      </c>
    </row>
    <row r="14" spans="1:18">
      <c r="A14" s="7">
        <v>8</v>
      </c>
      <c r="B14" s="8">
        <v>45196</v>
      </c>
      <c r="C14" s="8">
        <v>522</v>
      </c>
      <c r="D14" s="9">
        <v>1.155E-2</v>
      </c>
      <c r="E14" s="9">
        <v>0.98845000000000005</v>
      </c>
      <c r="F14" s="8">
        <v>44926</v>
      </c>
      <c r="G14" s="8">
        <v>2113718</v>
      </c>
      <c r="H14" s="10">
        <v>46.77</v>
      </c>
      <c r="I14" s="10">
        <v>51</v>
      </c>
      <c r="J14" s="10"/>
      <c r="K14" s="8">
        <v>50009</v>
      </c>
      <c r="L14" s="8">
        <v>547</v>
      </c>
      <c r="M14" s="9">
        <v>1.094E-2</v>
      </c>
      <c r="N14" s="9">
        <v>0.98906000000000005</v>
      </c>
      <c r="O14" s="8">
        <v>49725</v>
      </c>
      <c r="P14" s="8">
        <v>2345960</v>
      </c>
      <c r="Q14" s="10">
        <v>46.91</v>
      </c>
      <c r="R14" s="10">
        <v>51.9</v>
      </c>
    </row>
    <row r="15" spans="1:18">
      <c r="A15" s="7">
        <v>9</v>
      </c>
      <c r="B15" s="8">
        <v>44674</v>
      </c>
      <c r="C15" s="8">
        <v>445</v>
      </c>
      <c r="D15" s="9">
        <v>9.9600000000000001E-3</v>
      </c>
      <c r="E15" s="9">
        <v>0.99004000000000003</v>
      </c>
      <c r="F15" s="8">
        <v>44446</v>
      </c>
      <c r="G15" s="8">
        <v>2068792</v>
      </c>
      <c r="H15" s="10">
        <v>46.31</v>
      </c>
      <c r="I15" s="10">
        <v>50.33</v>
      </c>
      <c r="J15" s="10"/>
      <c r="K15" s="8">
        <v>49462</v>
      </c>
      <c r="L15" s="8">
        <v>457</v>
      </c>
      <c r="M15" s="9">
        <v>9.2399999999999999E-3</v>
      </c>
      <c r="N15" s="9">
        <v>0.99075999999999997</v>
      </c>
      <c r="O15" s="8">
        <v>49228</v>
      </c>
      <c r="P15" s="8">
        <v>2296235</v>
      </c>
      <c r="Q15" s="10">
        <v>46.42</v>
      </c>
      <c r="R15" s="10">
        <v>51.2</v>
      </c>
    </row>
    <row r="16" spans="1:18">
      <c r="A16" s="7">
        <v>10</v>
      </c>
      <c r="B16" s="8">
        <v>44229</v>
      </c>
      <c r="C16" s="8">
        <v>394</v>
      </c>
      <c r="D16" s="9">
        <v>8.9099999999999995E-3</v>
      </c>
      <c r="E16" s="9">
        <v>0.99109000000000003</v>
      </c>
      <c r="F16" s="8">
        <v>44028</v>
      </c>
      <c r="G16" s="8">
        <v>2024346</v>
      </c>
      <c r="H16" s="10">
        <v>45.77</v>
      </c>
      <c r="I16" s="10">
        <v>49.62</v>
      </c>
      <c r="J16" s="10"/>
      <c r="K16" s="8">
        <v>49005</v>
      </c>
      <c r="L16" s="8">
        <v>405</v>
      </c>
      <c r="M16" s="9">
        <v>8.26E-3</v>
      </c>
      <c r="N16" s="9">
        <v>0.99173999999999995</v>
      </c>
      <c r="O16" s="8">
        <v>48798</v>
      </c>
      <c r="P16" s="8">
        <v>2247007</v>
      </c>
      <c r="Q16" s="10">
        <v>45.85</v>
      </c>
      <c r="R16" s="10">
        <v>50.45</v>
      </c>
    </row>
    <row r="17" spans="1:18">
      <c r="A17" s="7">
        <v>11</v>
      </c>
      <c r="B17" s="8">
        <v>43835</v>
      </c>
      <c r="C17" s="8">
        <v>346</v>
      </c>
      <c r="D17" s="9">
        <v>7.8899999999999994E-3</v>
      </c>
      <c r="E17" s="9">
        <v>0.99211000000000005</v>
      </c>
      <c r="F17" s="8">
        <v>43658</v>
      </c>
      <c r="G17" s="8">
        <v>1980318</v>
      </c>
      <c r="H17" s="10">
        <v>45.18</v>
      </c>
      <c r="I17" s="10">
        <v>48.87</v>
      </c>
      <c r="J17" s="10"/>
      <c r="K17" s="8">
        <v>48600</v>
      </c>
      <c r="L17" s="8">
        <v>359</v>
      </c>
      <c r="M17" s="9">
        <v>7.3899999999999999E-3</v>
      </c>
      <c r="N17" s="9">
        <v>0.99260999999999999</v>
      </c>
      <c r="O17" s="8">
        <v>48417</v>
      </c>
      <c r="P17" s="8">
        <v>2198209</v>
      </c>
      <c r="Q17" s="10">
        <v>45.23</v>
      </c>
      <c r="R17" s="10">
        <v>49.66</v>
      </c>
    </row>
    <row r="18" spans="1:18">
      <c r="A18" s="7">
        <v>12</v>
      </c>
      <c r="B18" s="8">
        <v>43489</v>
      </c>
      <c r="C18" s="8">
        <v>301</v>
      </c>
      <c r="D18" s="9">
        <v>6.9199999999999999E-3</v>
      </c>
      <c r="E18" s="9">
        <v>0.99307999999999996</v>
      </c>
      <c r="F18" s="8">
        <v>43335</v>
      </c>
      <c r="G18" s="8">
        <v>1936660</v>
      </c>
      <c r="H18" s="10">
        <v>44.53</v>
      </c>
      <c r="I18" s="10">
        <v>48.09</v>
      </c>
      <c r="J18" s="10"/>
      <c r="K18" s="8">
        <v>48241</v>
      </c>
      <c r="L18" s="8">
        <v>327</v>
      </c>
      <c r="M18" s="9">
        <v>6.7799999999999996E-3</v>
      </c>
      <c r="N18" s="9">
        <v>0.99321999999999999</v>
      </c>
      <c r="O18" s="8">
        <v>48076</v>
      </c>
      <c r="P18" s="8">
        <v>2149792</v>
      </c>
      <c r="Q18" s="10">
        <v>44.56</v>
      </c>
      <c r="R18" s="10">
        <v>48.86</v>
      </c>
    </row>
    <row r="19" spans="1:18">
      <c r="A19" s="7">
        <v>13</v>
      </c>
      <c r="B19" s="8">
        <v>43188</v>
      </c>
      <c r="C19" s="8">
        <v>272</v>
      </c>
      <c r="D19" s="9">
        <v>6.3E-3</v>
      </c>
      <c r="E19" s="9">
        <v>0.99370000000000003</v>
      </c>
      <c r="F19" s="8">
        <v>43050</v>
      </c>
      <c r="G19" s="8">
        <v>1893325</v>
      </c>
      <c r="H19" s="10">
        <v>43.84</v>
      </c>
      <c r="I19" s="10">
        <v>47.27</v>
      </c>
      <c r="J19" s="10"/>
      <c r="K19" s="8">
        <v>47914</v>
      </c>
      <c r="L19" s="8">
        <v>314</v>
      </c>
      <c r="M19" s="9">
        <v>6.5500000000000003E-3</v>
      </c>
      <c r="N19" s="9">
        <v>0.99345000000000006</v>
      </c>
      <c r="O19" s="8">
        <v>47757</v>
      </c>
      <c r="P19" s="8">
        <v>2101716</v>
      </c>
      <c r="Q19" s="10">
        <v>43.86</v>
      </c>
      <c r="R19" s="10">
        <v>48.03</v>
      </c>
    </row>
    <row r="20" spans="1:18">
      <c r="A20" s="7">
        <v>14</v>
      </c>
      <c r="B20" s="8">
        <v>42916</v>
      </c>
      <c r="C20" s="8">
        <v>261</v>
      </c>
      <c r="D20" s="9">
        <v>6.0800000000000003E-3</v>
      </c>
      <c r="E20" s="9">
        <v>0.99392000000000003</v>
      </c>
      <c r="F20" s="8">
        <v>42786</v>
      </c>
      <c r="G20" s="8">
        <v>1850275</v>
      </c>
      <c r="H20" s="10">
        <v>43.11</v>
      </c>
      <c r="I20" s="10">
        <v>46.44</v>
      </c>
      <c r="J20" s="10"/>
      <c r="K20" s="8">
        <v>47600</v>
      </c>
      <c r="L20" s="8">
        <v>316</v>
      </c>
      <c r="M20" s="9">
        <v>6.6400000000000001E-3</v>
      </c>
      <c r="N20" s="9">
        <v>0.99336000000000002</v>
      </c>
      <c r="O20" s="8">
        <v>47443</v>
      </c>
      <c r="P20" s="8">
        <v>2053959</v>
      </c>
      <c r="Q20" s="10">
        <v>43.15</v>
      </c>
      <c r="R20" s="10">
        <v>47.19</v>
      </c>
    </row>
    <row r="21" spans="1:18">
      <c r="A21" s="7">
        <v>15</v>
      </c>
      <c r="B21" s="8">
        <v>42655</v>
      </c>
      <c r="C21" s="8">
        <v>270</v>
      </c>
      <c r="D21" s="9">
        <v>6.3299999999999997E-3</v>
      </c>
      <c r="E21" s="9">
        <v>0.99367000000000005</v>
      </c>
      <c r="F21" s="8">
        <v>42521</v>
      </c>
      <c r="G21" s="8">
        <v>1807489</v>
      </c>
      <c r="H21" s="10">
        <v>42.37</v>
      </c>
      <c r="I21" s="10">
        <v>45.6</v>
      </c>
      <c r="J21" s="10"/>
      <c r="K21" s="8">
        <v>47284</v>
      </c>
      <c r="L21" s="8">
        <v>331</v>
      </c>
      <c r="M21" s="9">
        <v>7.0000000000000001E-3</v>
      </c>
      <c r="N21" s="9">
        <v>0.99299999999999999</v>
      </c>
      <c r="O21" s="8">
        <v>47120</v>
      </c>
      <c r="P21" s="8">
        <v>2006516</v>
      </c>
      <c r="Q21" s="10">
        <v>42.44</v>
      </c>
      <c r="R21" s="10">
        <v>46.35</v>
      </c>
    </row>
    <row r="22" spans="1:18">
      <c r="A22" s="7">
        <v>16</v>
      </c>
      <c r="B22" s="8">
        <v>42385</v>
      </c>
      <c r="C22" s="8">
        <v>290</v>
      </c>
      <c r="D22" s="9">
        <v>6.8399999999999997E-3</v>
      </c>
      <c r="E22" s="9">
        <v>0.99316000000000004</v>
      </c>
      <c r="F22" s="8">
        <v>42242</v>
      </c>
      <c r="G22" s="8">
        <v>1764968</v>
      </c>
      <c r="H22" s="10">
        <v>41.64</v>
      </c>
      <c r="I22" s="10">
        <v>44.76</v>
      </c>
      <c r="J22" s="10"/>
      <c r="K22" s="8">
        <v>46953</v>
      </c>
      <c r="L22" s="8">
        <v>353</v>
      </c>
      <c r="M22" s="9">
        <v>7.5199999999999998E-3</v>
      </c>
      <c r="N22" s="9">
        <v>0.99248000000000003</v>
      </c>
      <c r="O22" s="8">
        <v>46778</v>
      </c>
      <c r="P22" s="8">
        <v>1959396</v>
      </c>
      <c r="Q22" s="10">
        <v>41.73</v>
      </c>
      <c r="R22" s="10">
        <v>45.52</v>
      </c>
    </row>
    <row r="23" spans="1:18">
      <c r="A23" s="7">
        <v>17</v>
      </c>
      <c r="B23" s="8">
        <v>42095</v>
      </c>
      <c r="C23" s="8">
        <v>310</v>
      </c>
      <c r="D23" s="9">
        <v>7.3600000000000002E-3</v>
      </c>
      <c r="E23" s="9">
        <v>0.99263999999999997</v>
      </c>
      <c r="F23" s="8">
        <v>41942</v>
      </c>
      <c r="G23" s="8">
        <v>1722726</v>
      </c>
      <c r="H23" s="10">
        <v>40.92</v>
      </c>
      <c r="I23" s="10">
        <v>43.94</v>
      </c>
      <c r="J23" s="10"/>
      <c r="K23" s="8">
        <v>46600</v>
      </c>
      <c r="L23" s="8">
        <v>369</v>
      </c>
      <c r="M23" s="9">
        <v>7.92E-3</v>
      </c>
      <c r="N23" s="9">
        <v>0.99207999999999996</v>
      </c>
      <c r="O23" s="8">
        <v>46417</v>
      </c>
      <c r="P23" s="8">
        <v>1912618</v>
      </c>
      <c r="Q23" s="10">
        <v>41.04</v>
      </c>
      <c r="R23" s="10">
        <v>44.7</v>
      </c>
    </row>
    <row r="24" spans="1:18">
      <c r="A24" s="7">
        <v>18</v>
      </c>
      <c r="B24" s="8">
        <v>41785</v>
      </c>
      <c r="C24" s="8">
        <v>327</v>
      </c>
      <c r="D24" s="9">
        <v>7.8300000000000002E-3</v>
      </c>
      <c r="E24" s="9">
        <v>0.99217</v>
      </c>
      <c r="F24" s="8">
        <v>41622</v>
      </c>
      <c r="G24" s="8">
        <v>1680784</v>
      </c>
      <c r="H24" s="10">
        <v>40.22</v>
      </c>
      <c r="I24" s="10">
        <v>43.12</v>
      </c>
      <c r="J24" s="10"/>
      <c r="K24" s="8">
        <v>46231</v>
      </c>
      <c r="L24" s="8">
        <v>378</v>
      </c>
      <c r="M24" s="9">
        <v>8.1799999999999998E-3</v>
      </c>
      <c r="N24" s="9">
        <v>0.99182000000000003</v>
      </c>
      <c r="O24" s="8">
        <v>46043</v>
      </c>
      <c r="P24" s="8">
        <v>1866201</v>
      </c>
      <c r="Q24" s="10">
        <v>40.369999999999997</v>
      </c>
      <c r="R24" s="10">
        <v>43.89</v>
      </c>
    </row>
    <row r="25" spans="1:18">
      <c r="A25" s="7">
        <v>19</v>
      </c>
      <c r="B25" s="8">
        <v>41458</v>
      </c>
      <c r="C25" s="8">
        <v>328</v>
      </c>
      <c r="D25" s="9">
        <v>7.9100000000000004E-3</v>
      </c>
      <c r="E25" s="9">
        <v>0.99209000000000003</v>
      </c>
      <c r="F25" s="8">
        <v>41294</v>
      </c>
      <c r="G25" s="8">
        <v>1639162</v>
      </c>
      <c r="H25" s="10">
        <v>39.54</v>
      </c>
      <c r="I25" s="10">
        <v>42.32</v>
      </c>
      <c r="J25" s="10"/>
      <c r="K25" s="8">
        <v>45853</v>
      </c>
      <c r="L25" s="8">
        <v>384</v>
      </c>
      <c r="M25" s="9">
        <v>8.3700000000000007E-3</v>
      </c>
      <c r="N25" s="9">
        <v>0.99163000000000001</v>
      </c>
      <c r="O25" s="8">
        <v>45661</v>
      </c>
      <c r="P25" s="8">
        <v>1820158</v>
      </c>
      <c r="Q25" s="10">
        <v>39.700000000000003</v>
      </c>
      <c r="R25" s="10">
        <v>43.08</v>
      </c>
    </row>
    <row r="26" spans="1:18">
      <c r="A26" s="7">
        <v>20</v>
      </c>
      <c r="B26" s="8">
        <v>41130</v>
      </c>
      <c r="C26" s="8">
        <v>337</v>
      </c>
      <c r="D26" s="9">
        <v>8.1899999999999994E-3</v>
      </c>
      <c r="E26" s="9">
        <v>0.99180999999999997</v>
      </c>
      <c r="F26" s="8">
        <v>40962</v>
      </c>
      <c r="G26" s="8">
        <v>1597868</v>
      </c>
      <c r="H26" s="10">
        <v>38.85</v>
      </c>
      <c r="I26" s="10">
        <v>41.51</v>
      </c>
      <c r="J26" s="10"/>
      <c r="K26" s="8">
        <v>45469</v>
      </c>
      <c r="L26" s="8">
        <v>389</v>
      </c>
      <c r="M26" s="9">
        <v>8.5599999999999999E-3</v>
      </c>
      <c r="N26" s="9">
        <v>0.99143999999999999</v>
      </c>
      <c r="O26" s="8">
        <v>45275</v>
      </c>
      <c r="P26" s="8">
        <v>1774497</v>
      </c>
      <c r="Q26" s="10">
        <v>39.03</v>
      </c>
      <c r="R26" s="10">
        <v>42.27</v>
      </c>
    </row>
    <row r="27" spans="1:18">
      <c r="A27" s="7">
        <v>21</v>
      </c>
      <c r="B27" s="8">
        <v>40793</v>
      </c>
      <c r="C27" s="8">
        <v>344</v>
      </c>
      <c r="D27" s="9">
        <v>8.43E-3</v>
      </c>
      <c r="E27" s="9">
        <v>0.99156999999999995</v>
      </c>
      <c r="F27" s="8">
        <v>40621</v>
      </c>
      <c r="G27" s="8">
        <v>1556906</v>
      </c>
      <c r="H27" s="10">
        <v>38.17</v>
      </c>
      <c r="I27" s="10">
        <v>40.71</v>
      </c>
      <c r="J27" s="10"/>
      <c r="K27" s="8">
        <v>45080</v>
      </c>
      <c r="L27" s="8">
        <v>398</v>
      </c>
      <c r="M27" s="9">
        <v>8.8299999999999993E-3</v>
      </c>
      <c r="N27" s="9">
        <v>0.99117</v>
      </c>
      <c r="O27" s="8">
        <v>44882</v>
      </c>
      <c r="P27" s="8">
        <v>1729222</v>
      </c>
      <c r="Q27" s="10">
        <v>38.36</v>
      </c>
      <c r="R27" s="10">
        <v>41.46</v>
      </c>
    </row>
    <row r="28" spans="1:18">
      <c r="A28" s="7">
        <v>22</v>
      </c>
      <c r="B28" s="8">
        <v>40449</v>
      </c>
      <c r="C28" s="8">
        <v>349</v>
      </c>
      <c r="D28" s="9">
        <v>8.6300000000000005E-3</v>
      </c>
      <c r="E28" s="9">
        <v>0.99136999999999997</v>
      </c>
      <c r="F28" s="8">
        <v>40274</v>
      </c>
      <c r="G28" s="8">
        <v>1516285</v>
      </c>
      <c r="H28" s="10">
        <v>37.49</v>
      </c>
      <c r="I28" s="10">
        <v>39.909999999999997</v>
      </c>
      <c r="J28" s="10"/>
      <c r="K28" s="8">
        <v>44682</v>
      </c>
      <c r="L28" s="8">
        <v>404</v>
      </c>
      <c r="M28" s="9">
        <v>9.0399999999999994E-3</v>
      </c>
      <c r="N28" s="9">
        <v>0.99095999999999995</v>
      </c>
      <c r="O28" s="8">
        <v>44481</v>
      </c>
      <c r="P28" s="8">
        <v>1684340</v>
      </c>
      <c r="Q28" s="10">
        <v>37.700000000000003</v>
      </c>
      <c r="R28" s="10">
        <v>40.659999999999997</v>
      </c>
    </row>
    <row r="29" spans="1:18">
      <c r="A29" s="7">
        <v>23</v>
      </c>
      <c r="B29" s="8">
        <v>40100</v>
      </c>
      <c r="C29" s="8">
        <v>353</v>
      </c>
      <c r="D29" s="9">
        <v>8.8000000000000005E-3</v>
      </c>
      <c r="E29" s="9">
        <v>0.99119999999999997</v>
      </c>
      <c r="F29" s="8">
        <v>39924</v>
      </c>
      <c r="G29" s="8">
        <v>1476011</v>
      </c>
      <c r="H29" s="10">
        <v>36.81</v>
      </c>
      <c r="I29" s="10">
        <v>39.11</v>
      </c>
      <c r="J29" s="10"/>
      <c r="K29" s="8">
        <v>44278</v>
      </c>
      <c r="L29" s="8">
        <v>410</v>
      </c>
      <c r="M29" s="9">
        <v>9.2599999999999991E-3</v>
      </c>
      <c r="N29" s="9">
        <v>0.99073999999999995</v>
      </c>
      <c r="O29" s="8">
        <v>44074</v>
      </c>
      <c r="P29" s="8">
        <v>1639859</v>
      </c>
      <c r="Q29" s="10">
        <v>37.04</v>
      </c>
      <c r="R29" s="10">
        <v>39.85</v>
      </c>
    </row>
    <row r="30" spans="1:18">
      <c r="A30" s="7">
        <v>24</v>
      </c>
      <c r="B30" s="8">
        <v>39747</v>
      </c>
      <c r="C30" s="8">
        <v>357</v>
      </c>
      <c r="D30" s="9">
        <v>8.9800000000000001E-3</v>
      </c>
      <c r="E30" s="9">
        <v>0.99102000000000001</v>
      </c>
      <c r="F30" s="8">
        <v>39569</v>
      </c>
      <c r="G30" s="8">
        <v>1436087</v>
      </c>
      <c r="H30" s="10">
        <v>36.130000000000003</v>
      </c>
      <c r="I30" s="10">
        <v>38.32</v>
      </c>
      <c r="J30" s="10"/>
      <c r="K30" s="8">
        <v>43868</v>
      </c>
      <c r="L30" s="8">
        <v>416</v>
      </c>
      <c r="M30" s="9">
        <v>9.4800000000000006E-3</v>
      </c>
      <c r="N30" s="9">
        <v>0.99051999999999996</v>
      </c>
      <c r="O30" s="8">
        <v>43660</v>
      </c>
      <c r="P30" s="8">
        <v>1595785</v>
      </c>
      <c r="Q30" s="10">
        <v>36.380000000000003</v>
      </c>
      <c r="R30" s="10">
        <v>39.049999999999997</v>
      </c>
    </row>
    <row r="31" spans="1:18">
      <c r="A31" s="7">
        <v>25</v>
      </c>
      <c r="B31" s="8">
        <v>39390</v>
      </c>
      <c r="C31" s="8">
        <v>361</v>
      </c>
      <c r="D31" s="9">
        <v>9.1599999999999997E-3</v>
      </c>
      <c r="E31" s="9">
        <v>0.99084000000000005</v>
      </c>
      <c r="F31" s="8">
        <v>39209</v>
      </c>
      <c r="G31" s="8">
        <v>1396518</v>
      </c>
      <c r="H31" s="10">
        <v>35.450000000000003</v>
      </c>
      <c r="I31" s="10">
        <v>37.520000000000003</v>
      </c>
      <c r="J31" s="10"/>
      <c r="K31" s="8">
        <v>43452</v>
      </c>
      <c r="L31" s="8">
        <v>421</v>
      </c>
      <c r="M31" s="9">
        <v>9.6900000000000007E-3</v>
      </c>
      <c r="N31" s="9">
        <v>0.99031000000000002</v>
      </c>
      <c r="O31" s="8">
        <v>43242</v>
      </c>
      <c r="P31" s="8">
        <v>1552125</v>
      </c>
      <c r="Q31" s="10">
        <v>35.72</v>
      </c>
      <c r="R31" s="10">
        <v>38.25</v>
      </c>
    </row>
    <row r="32" spans="1:18">
      <c r="A32" s="7">
        <v>26</v>
      </c>
      <c r="B32" s="8">
        <v>39029</v>
      </c>
      <c r="C32" s="8">
        <v>362</v>
      </c>
      <c r="D32" s="9">
        <v>9.2800000000000001E-3</v>
      </c>
      <c r="E32" s="9">
        <v>0.99072000000000005</v>
      </c>
      <c r="F32" s="8">
        <v>38848</v>
      </c>
      <c r="G32" s="8">
        <v>1357309</v>
      </c>
      <c r="H32" s="10">
        <v>34.78</v>
      </c>
      <c r="I32" s="10">
        <v>36.729999999999997</v>
      </c>
      <c r="J32" s="10"/>
      <c r="K32" s="8">
        <v>43031</v>
      </c>
      <c r="L32" s="8">
        <v>426</v>
      </c>
      <c r="M32" s="9">
        <v>9.9000000000000008E-3</v>
      </c>
      <c r="N32" s="9">
        <v>0.99009999999999998</v>
      </c>
      <c r="O32" s="8">
        <v>42818</v>
      </c>
      <c r="P32" s="8">
        <v>1508883</v>
      </c>
      <c r="Q32" s="10">
        <v>35.07</v>
      </c>
      <c r="R32" s="10">
        <v>37.450000000000003</v>
      </c>
    </row>
    <row r="33" spans="1:18">
      <c r="A33" s="7">
        <v>27</v>
      </c>
      <c r="B33" s="8">
        <v>38667</v>
      </c>
      <c r="C33" s="8">
        <v>362</v>
      </c>
      <c r="D33" s="9">
        <v>9.3600000000000003E-3</v>
      </c>
      <c r="E33" s="9">
        <v>0.99063999999999997</v>
      </c>
      <c r="F33" s="8">
        <v>38486</v>
      </c>
      <c r="G33" s="8">
        <v>1318461</v>
      </c>
      <c r="H33" s="10">
        <v>34.1</v>
      </c>
      <c r="I33" s="10">
        <v>35.93</v>
      </c>
      <c r="J33" s="10"/>
      <c r="K33" s="8">
        <v>42605</v>
      </c>
      <c r="L33" s="8">
        <v>428</v>
      </c>
      <c r="M33" s="9">
        <v>1.005E-2</v>
      </c>
      <c r="N33" s="9">
        <v>0.98995</v>
      </c>
      <c r="O33" s="8">
        <v>42391</v>
      </c>
      <c r="P33" s="8">
        <v>1466065</v>
      </c>
      <c r="Q33" s="10">
        <v>34.409999999999997</v>
      </c>
      <c r="R33" s="10">
        <v>36.65</v>
      </c>
    </row>
    <row r="34" spans="1:18">
      <c r="A34" s="7">
        <v>28</v>
      </c>
      <c r="B34" s="8">
        <v>38305</v>
      </c>
      <c r="C34" s="8">
        <v>362</v>
      </c>
      <c r="D34" s="9">
        <v>9.4500000000000001E-3</v>
      </c>
      <c r="E34" s="9">
        <v>0.99055000000000004</v>
      </c>
      <c r="F34" s="8">
        <v>38124</v>
      </c>
      <c r="G34" s="8">
        <v>1279975</v>
      </c>
      <c r="H34" s="10">
        <v>33.42</v>
      </c>
      <c r="I34" s="10">
        <v>35.14</v>
      </c>
      <c r="J34" s="10"/>
      <c r="K34" s="8">
        <v>42177</v>
      </c>
      <c r="L34" s="8">
        <v>428</v>
      </c>
      <c r="M34" s="9">
        <v>1.0149999999999999E-2</v>
      </c>
      <c r="N34" s="9">
        <v>0.98985000000000001</v>
      </c>
      <c r="O34" s="8">
        <v>41963</v>
      </c>
      <c r="P34" s="8">
        <v>1423674</v>
      </c>
      <c r="Q34" s="10">
        <v>33.75</v>
      </c>
      <c r="R34" s="10">
        <v>35.86</v>
      </c>
    </row>
    <row r="35" spans="1:18">
      <c r="A35" s="7">
        <v>29</v>
      </c>
      <c r="B35" s="8">
        <v>37943</v>
      </c>
      <c r="C35" s="8">
        <v>361</v>
      </c>
      <c r="D35" s="9">
        <v>9.5099999999999994E-3</v>
      </c>
      <c r="E35" s="9">
        <v>0.99048999999999998</v>
      </c>
      <c r="F35" s="8">
        <v>37763</v>
      </c>
      <c r="G35" s="8">
        <v>1241851</v>
      </c>
      <c r="H35" s="10">
        <v>32.729999999999997</v>
      </c>
      <c r="I35" s="10">
        <v>34.340000000000003</v>
      </c>
      <c r="J35" s="10"/>
      <c r="K35" s="8">
        <v>41749</v>
      </c>
      <c r="L35" s="8">
        <v>427</v>
      </c>
      <c r="M35" s="9">
        <v>1.023E-2</v>
      </c>
      <c r="N35" s="9">
        <v>0.98977000000000004</v>
      </c>
      <c r="O35" s="8">
        <v>41536</v>
      </c>
      <c r="P35" s="8">
        <v>1381711</v>
      </c>
      <c r="Q35" s="10">
        <v>33.1</v>
      </c>
      <c r="R35" s="10">
        <v>35.06</v>
      </c>
    </row>
    <row r="36" spans="1:18">
      <c r="A36" s="7">
        <v>30</v>
      </c>
      <c r="B36" s="8">
        <v>37582</v>
      </c>
      <c r="C36" s="8">
        <v>358</v>
      </c>
      <c r="D36" s="9">
        <v>9.5300000000000003E-3</v>
      </c>
      <c r="E36" s="9">
        <v>0.99046999999999996</v>
      </c>
      <c r="F36" s="8">
        <v>37403</v>
      </c>
      <c r="G36" s="8">
        <v>1204088</v>
      </c>
      <c r="H36" s="10">
        <v>32.04</v>
      </c>
      <c r="I36" s="10">
        <v>33.54</v>
      </c>
      <c r="J36" s="10"/>
      <c r="K36" s="8">
        <v>41322</v>
      </c>
      <c r="L36" s="8">
        <v>425</v>
      </c>
      <c r="M36" s="9">
        <v>1.0290000000000001E-2</v>
      </c>
      <c r="N36" s="9">
        <v>0.98970999999999998</v>
      </c>
      <c r="O36" s="8">
        <v>41110</v>
      </c>
      <c r="P36" s="8">
        <v>1340175</v>
      </c>
      <c r="Q36" s="10">
        <v>32.43</v>
      </c>
      <c r="R36" s="10">
        <v>34.26</v>
      </c>
    </row>
    <row r="37" spans="1:18">
      <c r="A37" s="7">
        <v>31</v>
      </c>
      <c r="B37" s="8">
        <v>37224</v>
      </c>
      <c r="C37" s="8">
        <v>357</v>
      </c>
      <c r="D37" s="9">
        <v>9.5899999999999996E-3</v>
      </c>
      <c r="E37" s="9">
        <v>0.99041000000000001</v>
      </c>
      <c r="F37" s="8">
        <v>37046</v>
      </c>
      <c r="G37" s="8">
        <v>1166685</v>
      </c>
      <c r="H37" s="10">
        <v>31.34</v>
      </c>
      <c r="I37" s="10">
        <v>32.74</v>
      </c>
      <c r="J37" s="10"/>
      <c r="K37" s="8">
        <v>40897</v>
      </c>
      <c r="L37" s="8">
        <v>423</v>
      </c>
      <c r="M37" s="9">
        <v>1.034E-2</v>
      </c>
      <c r="N37" s="9">
        <v>0.98965999999999998</v>
      </c>
      <c r="O37" s="8">
        <v>40686</v>
      </c>
      <c r="P37" s="8">
        <v>1299065</v>
      </c>
      <c r="Q37" s="10">
        <v>31.76</v>
      </c>
      <c r="R37" s="10">
        <v>33.450000000000003</v>
      </c>
    </row>
    <row r="38" spans="1:18">
      <c r="A38" s="7">
        <v>32</v>
      </c>
      <c r="B38" s="8">
        <v>36867</v>
      </c>
      <c r="C38" s="8">
        <v>358</v>
      </c>
      <c r="D38" s="9">
        <v>9.7099999999999999E-3</v>
      </c>
      <c r="E38" s="9">
        <v>0.99029</v>
      </c>
      <c r="F38" s="8">
        <v>36688</v>
      </c>
      <c r="G38" s="8">
        <v>1129639</v>
      </c>
      <c r="H38" s="10">
        <v>30.64</v>
      </c>
      <c r="I38" s="10">
        <v>31.94</v>
      </c>
      <c r="J38" s="10"/>
      <c r="K38" s="8">
        <v>40474</v>
      </c>
      <c r="L38" s="8">
        <v>423</v>
      </c>
      <c r="M38" s="9">
        <v>1.0449999999999999E-2</v>
      </c>
      <c r="N38" s="9">
        <v>0.98955000000000004</v>
      </c>
      <c r="O38" s="8">
        <v>40262</v>
      </c>
      <c r="P38" s="8">
        <v>1258379</v>
      </c>
      <c r="Q38" s="10">
        <v>31.09</v>
      </c>
      <c r="R38" s="10">
        <v>32.65</v>
      </c>
    </row>
    <row r="39" spans="1:18">
      <c r="A39" s="7">
        <v>33</v>
      </c>
      <c r="B39" s="8">
        <v>36509</v>
      </c>
      <c r="C39" s="8">
        <v>360</v>
      </c>
      <c r="D39" s="9">
        <v>9.8600000000000007E-3</v>
      </c>
      <c r="E39" s="9">
        <v>0.99014000000000002</v>
      </c>
      <c r="F39" s="8">
        <v>36328</v>
      </c>
      <c r="G39" s="8">
        <v>1092951</v>
      </c>
      <c r="H39" s="10">
        <v>29.94</v>
      </c>
      <c r="I39" s="10">
        <v>31.13</v>
      </c>
      <c r="J39" s="10"/>
      <c r="K39" s="8">
        <v>40051</v>
      </c>
      <c r="L39" s="8">
        <v>423</v>
      </c>
      <c r="M39" s="9">
        <v>1.056E-2</v>
      </c>
      <c r="N39" s="9">
        <v>0.98943999999999999</v>
      </c>
      <c r="O39" s="8">
        <v>39840</v>
      </c>
      <c r="P39" s="8">
        <v>1218117</v>
      </c>
      <c r="Q39" s="10">
        <v>30.41</v>
      </c>
      <c r="R39" s="10">
        <v>31.85</v>
      </c>
    </row>
    <row r="40" spans="1:18">
      <c r="A40" s="7">
        <v>34</v>
      </c>
      <c r="B40" s="8">
        <v>36149</v>
      </c>
      <c r="C40" s="8">
        <v>367</v>
      </c>
      <c r="D40" s="9">
        <v>1.0149999999999999E-2</v>
      </c>
      <c r="E40" s="9">
        <v>0.98985000000000001</v>
      </c>
      <c r="F40" s="8">
        <v>35966</v>
      </c>
      <c r="G40" s="8">
        <v>1056623</v>
      </c>
      <c r="H40" s="10">
        <v>29.23</v>
      </c>
      <c r="I40" s="10">
        <v>30.33</v>
      </c>
      <c r="J40" s="10"/>
      <c r="K40" s="8">
        <v>39628</v>
      </c>
      <c r="L40" s="8">
        <v>428</v>
      </c>
      <c r="M40" s="9">
        <v>1.0800000000000001E-2</v>
      </c>
      <c r="N40" s="9">
        <v>0.98919999999999997</v>
      </c>
      <c r="O40" s="8">
        <v>39415</v>
      </c>
      <c r="P40" s="8">
        <v>1178277</v>
      </c>
      <c r="Q40" s="10">
        <v>29.73</v>
      </c>
      <c r="R40" s="10">
        <v>31.04</v>
      </c>
    </row>
    <row r="41" spans="1:18">
      <c r="A41" s="7">
        <v>35</v>
      </c>
      <c r="B41" s="8">
        <v>35782</v>
      </c>
      <c r="C41" s="8">
        <v>378</v>
      </c>
      <c r="D41" s="9">
        <v>1.056E-2</v>
      </c>
      <c r="E41" s="9">
        <v>0.98943999999999999</v>
      </c>
      <c r="F41" s="8">
        <v>35594</v>
      </c>
      <c r="G41" s="8">
        <v>1020657</v>
      </c>
      <c r="H41" s="10">
        <v>28.52</v>
      </c>
      <c r="I41" s="10">
        <v>29.53</v>
      </c>
      <c r="J41" s="10"/>
      <c r="K41" s="8">
        <v>39200</v>
      </c>
      <c r="L41" s="8">
        <v>435</v>
      </c>
      <c r="M41" s="9">
        <v>1.11E-2</v>
      </c>
      <c r="N41" s="9">
        <v>0.9889</v>
      </c>
      <c r="O41" s="8">
        <v>38983</v>
      </c>
      <c r="P41" s="8">
        <v>1138862</v>
      </c>
      <c r="Q41" s="10">
        <v>29.05</v>
      </c>
      <c r="R41" s="10">
        <v>30.24</v>
      </c>
    </row>
    <row r="42" spans="1:18">
      <c r="A42" s="7">
        <v>36</v>
      </c>
      <c r="B42" s="8">
        <v>35404</v>
      </c>
      <c r="C42" s="8">
        <v>391</v>
      </c>
      <c r="D42" s="9">
        <v>1.1039999999999999E-2</v>
      </c>
      <c r="E42" s="9">
        <v>0.98895999999999995</v>
      </c>
      <c r="F42" s="8">
        <v>35209</v>
      </c>
      <c r="G42" s="8">
        <v>985063</v>
      </c>
      <c r="H42" s="10">
        <v>27.82</v>
      </c>
      <c r="I42" s="10">
        <v>28.74</v>
      </c>
      <c r="J42" s="10"/>
      <c r="K42" s="8">
        <v>38765</v>
      </c>
      <c r="L42" s="8">
        <v>443</v>
      </c>
      <c r="M42" s="9">
        <v>1.1429999999999999E-2</v>
      </c>
      <c r="N42" s="9">
        <v>0.98856999999999995</v>
      </c>
      <c r="O42" s="8">
        <v>38545</v>
      </c>
      <c r="P42" s="8">
        <v>1099879</v>
      </c>
      <c r="Q42" s="10">
        <v>28.37</v>
      </c>
      <c r="R42" s="10">
        <v>29.44</v>
      </c>
    </row>
    <row r="43" spans="1:18">
      <c r="A43" s="7">
        <v>37</v>
      </c>
      <c r="B43" s="8">
        <v>35013</v>
      </c>
      <c r="C43" s="8">
        <v>408</v>
      </c>
      <c r="D43" s="9">
        <v>1.1650000000000001E-2</v>
      </c>
      <c r="E43" s="9">
        <v>0.98834999999999995</v>
      </c>
      <c r="F43" s="8">
        <v>34810</v>
      </c>
      <c r="G43" s="8">
        <v>949854</v>
      </c>
      <c r="H43" s="10">
        <v>27.13</v>
      </c>
      <c r="I43" s="10">
        <v>27.95</v>
      </c>
      <c r="J43" s="10"/>
      <c r="K43" s="8">
        <v>38322</v>
      </c>
      <c r="L43" s="8">
        <v>454</v>
      </c>
      <c r="M43" s="9">
        <v>1.1849999999999999E-2</v>
      </c>
      <c r="N43" s="9">
        <v>0.98814999999999997</v>
      </c>
      <c r="O43" s="8">
        <v>38096</v>
      </c>
      <c r="P43" s="8">
        <v>1061334</v>
      </c>
      <c r="Q43" s="10">
        <v>27.7</v>
      </c>
      <c r="R43" s="10">
        <v>28.64</v>
      </c>
    </row>
    <row r="44" spans="1:18">
      <c r="A44" s="7">
        <v>38</v>
      </c>
      <c r="B44" s="8">
        <v>34605</v>
      </c>
      <c r="C44" s="8">
        <v>427</v>
      </c>
      <c r="D44" s="9">
        <v>1.234E-2</v>
      </c>
      <c r="E44" s="9">
        <v>0.98765999999999998</v>
      </c>
      <c r="F44" s="8">
        <v>34393</v>
      </c>
      <c r="G44" s="8">
        <v>915044</v>
      </c>
      <c r="H44" s="10">
        <v>26.44</v>
      </c>
      <c r="I44" s="10">
        <v>27.17</v>
      </c>
      <c r="J44" s="10"/>
      <c r="K44" s="8">
        <v>37868</v>
      </c>
      <c r="L44" s="8">
        <v>464</v>
      </c>
      <c r="M44" s="9">
        <v>1.225E-2</v>
      </c>
      <c r="N44" s="9">
        <v>0.98775000000000002</v>
      </c>
      <c r="O44" s="8">
        <v>37637</v>
      </c>
      <c r="P44" s="8">
        <v>1023238</v>
      </c>
      <c r="Q44" s="10">
        <v>27.02</v>
      </c>
      <c r="R44" s="10">
        <v>27.85</v>
      </c>
    </row>
    <row r="45" spans="1:18">
      <c r="A45" s="7">
        <v>39</v>
      </c>
      <c r="B45" s="8">
        <v>34178</v>
      </c>
      <c r="C45" s="8">
        <v>446</v>
      </c>
      <c r="D45" s="9">
        <v>1.3050000000000001E-2</v>
      </c>
      <c r="E45" s="9">
        <v>0.98694999999999999</v>
      </c>
      <c r="F45" s="8">
        <v>33956</v>
      </c>
      <c r="G45" s="8">
        <v>880651</v>
      </c>
      <c r="H45" s="10">
        <v>25.77</v>
      </c>
      <c r="I45" s="10">
        <v>26.41</v>
      </c>
      <c r="J45" s="10"/>
      <c r="K45" s="8">
        <v>37404</v>
      </c>
      <c r="L45" s="8">
        <v>472</v>
      </c>
      <c r="M45" s="9">
        <v>1.2619999999999999E-2</v>
      </c>
      <c r="N45" s="9">
        <v>0.98738000000000004</v>
      </c>
      <c r="O45" s="8">
        <v>37169</v>
      </c>
      <c r="P45" s="8">
        <v>985601</v>
      </c>
      <c r="Q45" s="10">
        <v>26.35</v>
      </c>
      <c r="R45" s="10">
        <v>27.06</v>
      </c>
    </row>
    <row r="46" spans="1:18">
      <c r="A46" s="7">
        <v>40</v>
      </c>
      <c r="B46" s="8">
        <v>33732</v>
      </c>
      <c r="C46" s="8">
        <v>461</v>
      </c>
      <c r="D46" s="9">
        <v>1.367E-2</v>
      </c>
      <c r="E46" s="9">
        <v>0.98633000000000004</v>
      </c>
      <c r="F46" s="8">
        <v>33503</v>
      </c>
      <c r="G46" s="8">
        <v>846695</v>
      </c>
      <c r="H46" s="10">
        <v>25.1</v>
      </c>
      <c r="I46" s="10">
        <v>25.65</v>
      </c>
      <c r="J46" s="10"/>
      <c r="K46" s="8">
        <v>36932</v>
      </c>
      <c r="L46" s="8">
        <v>477</v>
      </c>
      <c r="M46" s="9">
        <v>1.2919999999999999E-2</v>
      </c>
      <c r="N46" s="9">
        <v>0.98707999999999996</v>
      </c>
      <c r="O46" s="8">
        <v>36694</v>
      </c>
      <c r="P46" s="8">
        <v>948432</v>
      </c>
      <c r="Q46" s="10">
        <v>25.68</v>
      </c>
      <c r="R46" s="10">
        <v>26.28</v>
      </c>
    </row>
    <row r="47" spans="1:18">
      <c r="A47" s="7">
        <v>41</v>
      </c>
      <c r="B47" s="8">
        <v>33271</v>
      </c>
      <c r="C47" s="8">
        <v>476</v>
      </c>
      <c r="D47" s="9">
        <v>1.431E-2</v>
      </c>
      <c r="E47" s="9">
        <v>0.98568999999999996</v>
      </c>
      <c r="F47" s="8">
        <v>33035</v>
      </c>
      <c r="G47" s="8">
        <v>813192</v>
      </c>
      <c r="H47" s="10">
        <v>24.44</v>
      </c>
      <c r="I47" s="10">
        <v>24.9</v>
      </c>
      <c r="J47" s="10"/>
      <c r="K47" s="8">
        <v>36455</v>
      </c>
      <c r="L47" s="8">
        <v>480</v>
      </c>
      <c r="M47" s="9">
        <v>1.3169999999999999E-2</v>
      </c>
      <c r="N47" s="9">
        <v>0.98682999999999998</v>
      </c>
      <c r="O47" s="8">
        <v>36215</v>
      </c>
      <c r="P47" s="8">
        <v>911738</v>
      </c>
      <c r="Q47" s="10">
        <v>25.01</v>
      </c>
      <c r="R47" s="10">
        <v>25.49</v>
      </c>
    </row>
    <row r="48" spans="1:18">
      <c r="A48" s="7">
        <v>42</v>
      </c>
      <c r="B48" s="8">
        <v>32795</v>
      </c>
      <c r="C48" s="8">
        <v>488</v>
      </c>
      <c r="D48" s="9">
        <v>1.4880000000000001E-2</v>
      </c>
      <c r="E48" s="9">
        <v>0.98512</v>
      </c>
      <c r="F48" s="8">
        <v>32553</v>
      </c>
      <c r="G48" s="8">
        <v>780157</v>
      </c>
      <c r="H48" s="10">
        <v>23.79</v>
      </c>
      <c r="I48" s="10">
        <v>24.16</v>
      </c>
      <c r="J48" s="10"/>
      <c r="K48" s="8">
        <v>35975</v>
      </c>
      <c r="L48" s="8">
        <v>482</v>
      </c>
      <c r="M48" s="9">
        <v>1.34E-2</v>
      </c>
      <c r="N48" s="9">
        <v>0.98660000000000003</v>
      </c>
      <c r="O48" s="8">
        <v>35734</v>
      </c>
      <c r="P48" s="8">
        <v>875523</v>
      </c>
      <c r="Q48" s="10">
        <v>24.34</v>
      </c>
      <c r="R48" s="10">
        <v>24.71</v>
      </c>
    </row>
    <row r="49" spans="1:18">
      <c r="A49" s="7">
        <v>43</v>
      </c>
      <c r="B49" s="8">
        <v>32307</v>
      </c>
      <c r="C49" s="8">
        <v>499</v>
      </c>
      <c r="D49" s="9">
        <v>1.545E-2</v>
      </c>
      <c r="E49" s="9">
        <v>0.98455000000000004</v>
      </c>
      <c r="F49" s="8">
        <v>32059</v>
      </c>
      <c r="G49" s="8">
        <v>747604</v>
      </c>
      <c r="H49" s="10">
        <v>23.14</v>
      </c>
      <c r="I49" s="10">
        <v>23.42</v>
      </c>
      <c r="J49" s="10"/>
      <c r="K49" s="8">
        <v>35493</v>
      </c>
      <c r="L49" s="8">
        <v>483</v>
      </c>
      <c r="M49" s="9">
        <v>1.3610000000000001E-2</v>
      </c>
      <c r="N49" s="9">
        <v>0.98638999999999999</v>
      </c>
      <c r="O49" s="8">
        <v>35252</v>
      </c>
      <c r="P49" s="8">
        <v>839789</v>
      </c>
      <c r="Q49" s="10">
        <v>23.66</v>
      </c>
      <c r="R49" s="10">
        <v>23.93</v>
      </c>
    </row>
    <row r="50" spans="1:18">
      <c r="A50" s="7">
        <v>44</v>
      </c>
      <c r="B50" s="8">
        <v>31808</v>
      </c>
      <c r="C50" s="8">
        <v>511</v>
      </c>
      <c r="D50" s="9">
        <v>1.6070000000000001E-2</v>
      </c>
      <c r="E50" s="9">
        <v>0.98392999999999997</v>
      </c>
      <c r="F50" s="8">
        <v>31553</v>
      </c>
      <c r="G50" s="8">
        <v>715545</v>
      </c>
      <c r="H50" s="10">
        <v>22.5</v>
      </c>
      <c r="I50" s="10">
        <v>22.69</v>
      </c>
      <c r="J50" s="10"/>
      <c r="K50" s="8">
        <v>35010</v>
      </c>
      <c r="L50" s="8">
        <v>486</v>
      </c>
      <c r="M50" s="9">
        <v>1.388E-2</v>
      </c>
      <c r="N50" s="9">
        <v>0.98612</v>
      </c>
      <c r="O50" s="8">
        <v>34767</v>
      </c>
      <c r="P50" s="8">
        <v>804537</v>
      </c>
      <c r="Q50" s="10">
        <v>22.98</v>
      </c>
      <c r="R50" s="10">
        <v>23.15</v>
      </c>
    </row>
    <row r="51" spans="1:18">
      <c r="A51" s="7">
        <v>45</v>
      </c>
      <c r="B51" s="8">
        <v>31297</v>
      </c>
      <c r="C51" s="8">
        <v>523</v>
      </c>
      <c r="D51" s="9">
        <v>1.6709999999999999E-2</v>
      </c>
      <c r="E51" s="9">
        <v>0.98329</v>
      </c>
      <c r="F51" s="8">
        <v>31036</v>
      </c>
      <c r="G51" s="8">
        <v>683992</v>
      </c>
      <c r="H51" s="10">
        <v>21.85</v>
      </c>
      <c r="I51" s="10">
        <v>21.97</v>
      </c>
      <c r="J51" s="10"/>
      <c r="K51" s="8">
        <v>34524</v>
      </c>
      <c r="L51" s="8">
        <v>493</v>
      </c>
      <c r="M51" s="9">
        <v>1.4279999999999999E-2</v>
      </c>
      <c r="N51" s="9">
        <v>0.98572000000000004</v>
      </c>
      <c r="O51" s="8">
        <v>34279</v>
      </c>
      <c r="P51" s="8">
        <v>769770</v>
      </c>
      <c r="Q51" s="10">
        <v>22.3</v>
      </c>
      <c r="R51" s="10">
        <v>22.37</v>
      </c>
    </row>
    <row r="52" spans="1:18">
      <c r="A52" s="7">
        <v>46</v>
      </c>
      <c r="B52" s="8">
        <v>30774</v>
      </c>
      <c r="C52" s="8">
        <v>536</v>
      </c>
      <c r="D52" s="9">
        <v>1.7420000000000001E-2</v>
      </c>
      <c r="E52" s="9">
        <v>0.98258000000000001</v>
      </c>
      <c r="F52" s="8">
        <v>30507</v>
      </c>
      <c r="G52" s="8">
        <v>652956</v>
      </c>
      <c r="H52" s="10">
        <v>21.22</v>
      </c>
      <c r="I52" s="10">
        <v>21.25</v>
      </c>
      <c r="J52" s="10"/>
      <c r="K52" s="8">
        <v>34031</v>
      </c>
      <c r="L52" s="8">
        <v>503</v>
      </c>
      <c r="M52" s="9">
        <v>1.478E-2</v>
      </c>
      <c r="N52" s="9">
        <v>0.98521999999999998</v>
      </c>
      <c r="O52" s="8">
        <v>33781</v>
      </c>
      <c r="P52" s="8">
        <v>735491</v>
      </c>
      <c r="Q52" s="10">
        <v>21.61</v>
      </c>
      <c r="R52" s="10">
        <v>21.59</v>
      </c>
    </row>
    <row r="53" spans="1:18">
      <c r="A53" s="7">
        <v>47</v>
      </c>
      <c r="B53" s="8">
        <v>30238</v>
      </c>
      <c r="C53" s="8">
        <v>549</v>
      </c>
      <c r="D53" s="9">
        <v>1.8159999999999999E-2</v>
      </c>
      <c r="E53" s="9">
        <v>0.98184000000000005</v>
      </c>
      <c r="F53" s="8">
        <v>29964</v>
      </c>
      <c r="G53" s="8">
        <v>622449</v>
      </c>
      <c r="H53" s="10">
        <v>20.58</v>
      </c>
      <c r="I53" s="10">
        <v>20.54</v>
      </c>
      <c r="J53" s="10"/>
      <c r="K53" s="8">
        <v>33528</v>
      </c>
      <c r="L53" s="8">
        <v>514</v>
      </c>
      <c r="M53" s="9">
        <v>1.533E-2</v>
      </c>
      <c r="N53" s="9">
        <v>0.98467000000000005</v>
      </c>
      <c r="O53" s="8">
        <v>33272</v>
      </c>
      <c r="P53" s="8">
        <v>701710</v>
      </c>
      <c r="Q53" s="10">
        <v>20.93</v>
      </c>
      <c r="R53" s="10">
        <v>20.82</v>
      </c>
    </row>
    <row r="54" spans="1:18">
      <c r="A54" s="7">
        <v>48</v>
      </c>
      <c r="B54" s="8">
        <v>29689</v>
      </c>
      <c r="C54" s="8">
        <v>561</v>
      </c>
      <c r="D54" s="9">
        <v>1.89E-2</v>
      </c>
      <c r="E54" s="9">
        <v>0.98109999999999997</v>
      </c>
      <c r="F54" s="8">
        <v>29409</v>
      </c>
      <c r="G54" s="8">
        <v>592485</v>
      </c>
      <c r="H54" s="10">
        <v>19.96</v>
      </c>
      <c r="I54" s="10">
        <v>19.829999999999998</v>
      </c>
      <c r="J54" s="10"/>
      <c r="K54" s="8">
        <v>33014</v>
      </c>
      <c r="L54" s="8">
        <v>527</v>
      </c>
      <c r="M54" s="9">
        <v>1.5959999999999998E-2</v>
      </c>
      <c r="N54" s="9">
        <v>0.98404000000000003</v>
      </c>
      <c r="O54" s="8">
        <v>32751</v>
      </c>
      <c r="P54" s="8">
        <v>668438</v>
      </c>
      <c r="Q54" s="10">
        <v>20.25</v>
      </c>
      <c r="R54" s="10">
        <v>20.05</v>
      </c>
    </row>
    <row r="55" spans="1:18">
      <c r="A55" s="7">
        <v>49</v>
      </c>
      <c r="B55" s="8">
        <v>29128</v>
      </c>
      <c r="C55" s="8">
        <v>572</v>
      </c>
      <c r="D55" s="9">
        <v>1.9640000000000001E-2</v>
      </c>
      <c r="E55" s="9">
        <v>0.98036000000000001</v>
      </c>
      <c r="F55" s="8">
        <v>28843</v>
      </c>
      <c r="G55" s="8">
        <v>563076</v>
      </c>
      <c r="H55" s="10">
        <v>19.329999999999998</v>
      </c>
      <c r="I55" s="10">
        <v>19.13</v>
      </c>
      <c r="J55" s="10"/>
      <c r="K55" s="8">
        <v>32487</v>
      </c>
      <c r="L55" s="8">
        <v>541</v>
      </c>
      <c r="M55" s="9">
        <v>1.6650000000000002E-2</v>
      </c>
      <c r="N55" s="9">
        <v>0.98334999999999995</v>
      </c>
      <c r="O55" s="8">
        <v>32217</v>
      </c>
      <c r="P55" s="8">
        <v>635687</v>
      </c>
      <c r="Q55" s="10">
        <v>19.57</v>
      </c>
      <c r="R55" s="10">
        <v>19.29</v>
      </c>
    </row>
    <row r="56" spans="1:18">
      <c r="A56" s="7">
        <v>50</v>
      </c>
      <c r="B56" s="8">
        <v>28556</v>
      </c>
      <c r="C56" s="8">
        <v>585</v>
      </c>
      <c r="D56" s="9">
        <v>2.0490000000000001E-2</v>
      </c>
      <c r="E56" s="9">
        <v>0.97950999999999999</v>
      </c>
      <c r="F56" s="8">
        <v>28265</v>
      </c>
      <c r="G56" s="8">
        <v>534233</v>
      </c>
      <c r="H56" s="10">
        <v>18.71</v>
      </c>
      <c r="I56" s="10">
        <v>18.440000000000001</v>
      </c>
      <c r="J56" s="10"/>
      <c r="K56" s="8">
        <v>31946</v>
      </c>
      <c r="L56" s="8">
        <v>560</v>
      </c>
      <c r="M56" s="9">
        <v>1.753E-2</v>
      </c>
      <c r="N56" s="9">
        <v>0.98246999999999995</v>
      </c>
      <c r="O56" s="8">
        <v>31668</v>
      </c>
      <c r="P56" s="8">
        <v>603470</v>
      </c>
      <c r="Q56" s="10">
        <v>18.89</v>
      </c>
      <c r="R56" s="10">
        <v>18.53</v>
      </c>
    </row>
    <row r="57" spans="1:18">
      <c r="A57" s="7">
        <v>51</v>
      </c>
      <c r="B57" s="8">
        <v>27971</v>
      </c>
      <c r="C57" s="8">
        <v>601</v>
      </c>
      <c r="D57" s="9">
        <v>2.1489999999999999E-2</v>
      </c>
      <c r="E57" s="9">
        <v>0.97850999999999999</v>
      </c>
      <c r="F57" s="8">
        <v>27672</v>
      </c>
      <c r="G57" s="8">
        <v>505968</v>
      </c>
      <c r="H57" s="10">
        <v>18.09</v>
      </c>
      <c r="I57" s="10">
        <v>17.75</v>
      </c>
      <c r="J57" s="10"/>
      <c r="K57" s="8">
        <v>31386</v>
      </c>
      <c r="L57" s="8">
        <v>583</v>
      </c>
      <c r="M57" s="9">
        <v>1.8579999999999999E-2</v>
      </c>
      <c r="N57" s="9">
        <v>0.98141999999999996</v>
      </c>
      <c r="O57" s="8">
        <v>31096</v>
      </c>
      <c r="P57" s="8">
        <v>571802</v>
      </c>
      <c r="Q57" s="10">
        <v>18.22</v>
      </c>
      <c r="R57" s="10">
        <v>17.78</v>
      </c>
    </row>
    <row r="58" spans="1:18">
      <c r="A58" s="7">
        <v>52</v>
      </c>
      <c r="B58" s="8">
        <v>27370</v>
      </c>
      <c r="C58" s="8">
        <v>618</v>
      </c>
      <c r="D58" s="9">
        <v>2.2579999999999999E-2</v>
      </c>
      <c r="E58" s="9">
        <v>0.97741999999999996</v>
      </c>
      <c r="F58" s="8">
        <v>27063</v>
      </c>
      <c r="G58" s="8">
        <v>478296</v>
      </c>
      <c r="H58" s="10">
        <v>17.48</v>
      </c>
      <c r="I58" s="10">
        <v>17.07</v>
      </c>
      <c r="J58" s="10"/>
      <c r="K58" s="8">
        <v>30803</v>
      </c>
      <c r="L58" s="8">
        <v>611</v>
      </c>
      <c r="M58" s="9">
        <v>1.984E-2</v>
      </c>
      <c r="N58" s="9">
        <v>0.98016000000000003</v>
      </c>
      <c r="O58" s="8">
        <v>30500</v>
      </c>
      <c r="P58" s="8">
        <v>540706</v>
      </c>
      <c r="Q58" s="10">
        <v>17.55</v>
      </c>
      <c r="R58" s="10">
        <v>17.04</v>
      </c>
    </row>
    <row r="59" spans="1:18">
      <c r="A59" s="7">
        <v>53</v>
      </c>
      <c r="B59" s="8">
        <v>26752</v>
      </c>
      <c r="C59" s="8">
        <v>638</v>
      </c>
      <c r="D59" s="9">
        <v>2.385E-2</v>
      </c>
      <c r="E59" s="9">
        <v>0.97614999999999996</v>
      </c>
      <c r="F59" s="8">
        <v>26435</v>
      </c>
      <c r="G59" s="8">
        <v>451233</v>
      </c>
      <c r="H59" s="10">
        <v>16.87</v>
      </c>
      <c r="I59" s="10">
        <v>16.399999999999999</v>
      </c>
      <c r="J59" s="10"/>
      <c r="K59" s="8">
        <v>30192</v>
      </c>
      <c r="L59" s="8">
        <v>642</v>
      </c>
      <c r="M59" s="9">
        <v>2.1260000000000001E-2</v>
      </c>
      <c r="N59" s="9">
        <v>0.97874000000000005</v>
      </c>
      <c r="O59" s="8">
        <v>29874</v>
      </c>
      <c r="P59" s="8">
        <v>510206</v>
      </c>
      <c r="Q59" s="10">
        <v>16.899999999999999</v>
      </c>
      <c r="R59" s="10">
        <v>16.309999999999999</v>
      </c>
    </row>
    <row r="60" spans="1:18">
      <c r="A60" s="7">
        <v>54</v>
      </c>
      <c r="B60" s="8">
        <v>26114</v>
      </c>
      <c r="C60" s="8">
        <v>660</v>
      </c>
      <c r="D60" s="9">
        <v>2.5270000000000001E-2</v>
      </c>
      <c r="E60" s="9">
        <v>0.97472999999999999</v>
      </c>
      <c r="F60" s="8">
        <v>25786</v>
      </c>
      <c r="G60" s="8">
        <v>424798</v>
      </c>
      <c r="H60" s="10">
        <v>16.27</v>
      </c>
      <c r="I60" s="10">
        <v>15.74</v>
      </c>
      <c r="J60" s="10"/>
      <c r="K60" s="8">
        <v>29550</v>
      </c>
      <c r="L60" s="8">
        <v>677</v>
      </c>
      <c r="M60" s="9">
        <v>2.291E-2</v>
      </c>
      <c r="N60" s="9">
        <v>0.97709000000000001</v>
      </c>
      <c r="O60" s="8">
        <v>29215</v>
      </c>
      <c r="P60" s="8">
        <v>480332</v>
      </c>
      <c r="Q60" s="10">
        <v>16.25</v>
      </c>
      <c r="R60" s="10">
        <v>15.6</v>
      </c>
    </row>
    <row r="61" spans="1:18">
      <c r="A61" s="7">
        <v>55</v>
      </c>
      <c r="B61" s="8">
        <v>25454</v>
      </c>
      <c r="C61" s="8">
        <v>680</v>
      </c>
      <c r="D61" s="9">
        <v>2.6710000000000001E-2</v>
      </c>
      <c r="E61" s="9">
        <v>0.97328999999999999</v>
      </c>
      <c r="F61" s="8">
        <v>25116</v>
      </c>
      <c r="G61" s="8">
        <v>399012</v>
      </c>
      <c r="H61" s="10">
        <v>15.68</v>
      </c>
      <c r="I61" s="10">
        <v>15.09</v>
      </c>
      <c r="J61" s="10"/>
      <c r="K61" s="8">
        <v>28873</v>
      </c>
      <c r="L61" s="8">
        <v>711</v>
      </c>
      <c r="M61" s="9">
        <v>2.4629999999999999E-2</v>
      </c>
      <c r="N61" s="9">
        <v>0.97536999999999996</v>
      </c>
      <c r="O61" s="8">
        <v>28521</v>
      </c>
      <c r="P61" s="8">
        <v>451117</v>
      </c>
      <c r="Q61" s="10">
        <v>15.62</v>
      </c>
      <c r="R61" s="10">
        <v>14.9</v>
      </c>
    </row>
    <row r="62" spans="1:18">
      <c r="A62" s="7">
        <v>56</v>
      </c>
      <c r="B62" s="8">
        <v>24774</v>
      </c>
      <c r="C62" s="8">
        <v>702</v>
      </c>
      <c r="D62" s="9">
        <v>2.8340000000000001E-2</v>
      </c>
      <c r="E62" s="9">
        <v>0.97165999999999997</v>
      </c>
      <c r="F62" s="8">
        <v>24425</v>
      </c>
      <c r="G62" s="8">
        <v>373896</v>
      </c>
      <c r="H62" s="10">
        <v>15.09</v>
      </c>
      <c r="I62" s="10">
        <v>14.45</v>
      </c>
      <c r="J62" s="10"/>
      <c r="K62" s="8">
        <v>28162</v>
      </c>
      <c r="L62" s="8">
        <v>748</v>
      </c>
      <c r="M62" s="9">
        <v>2.656E-2</v>
      </c>
      <c r="N62" s="9">
        <v>0.97343999999999997</v>
      </c>
      <c r="O62" s="8">
        <v>27791</v>
      </c>
      <c r="P62" s="8">
        <v>422596</v>
      </c>
      <c r="Q62" s="10">
        <v>15.01</v>
      </c>
      <c r="R62" s="10">
        <v>14.22</v>
      </c>
    </row>
    <row r="63" spans="1:18">
      <c r="A63" s="7">
        <v>57</v>
      </c>
      <c r="B63" s="8">
        <v>24072</v>
      </c>
      <c r="C63" s="8">
        <v>725</v>
      </c>
      <c r="D63" s="9">
        <v>3.0120000000000001E-2</v>
      </c>
      <c r="E63" s="9">
        <v>0.96987999999999996</v>
      </c>
      <c r="F63" s="8">
        <v>23712</v>
      </c>
      <c r="G63" s="8">
        <v>349471</v>
      </c>
      <c r="H63" s="10">
        <v>14.52</v>
      </c>
      <c r="I63" s="10">
        <v>13.82</v>
      </c>
      <c r="J63" s="10"/>
      <c r="K63" s="8">
        <v>27414</v>
      </c>
      <c r="L63" s="8">
        <v>787</v>
      </c>
      <c r="M63" s="9">
        <v>2.8709999999999999E-2</v>
      </c>
      <c r="N63" s="9">
        <v>0.97128999999999999</v>
      </c>
      <c r="O63" s="8">
        <v>27023</v>
      </c>
      <c r="P63" s="8">
        <v>394805</v>
      </c>
      <c r="Q63" s="10">
        <v>14.4</v>
      </c>
      <c r="R63" s="10">
        <v>13.56</v>
      </c>
    </row>
    <row r="64" spans="1:18">
      <c r="A64" s="7">
        <v>58</v>
      </c>
      <c r="B64" s="8">
        <v>23347</v>
      </c>
      <c r="C64" s="8">
        <v>751</v>
      </c>
      <c r="D64" s="9">
        <v>3.2169999999999997E-2</v>
      </c>
      <c r="E64" s="9">
        <v>0.96782999999999997</v>
      </c>
      <c r="F64" s="8">
        <v>22974</v>
      </c>
      <c r="G64" s="8">
        <v>325759</v>
      </c>
      <c r="H64" s="10">
        <v>13.95</v>
      </c>
      <c r="I64" s="10">
        <v>13.2</v>
      </c>
      <c r="J64" s="10"/>
      <c r="K64" s="8">
        <v>26627</v>
      </c>
      <c r="L64" s="8">
        <v>831</v>
      </c>
      <c r="M64" s="9">
        <v>3.1210000000000002E-2</v>
      </c>
      <c r="N64" s="9">
        <v>0.96879000000000004</v>
      </c>
      <c r="O64" s="8">
        <v>26216</v>
      </c>
      <c r="P64" s="8">
        <v>367782</v>
      </c>
      <c r="Q64" s="10">
        <v>13.81</v>
      </c>
      <c r="R64" s="10">
        <v>12.91</v>
      </c>
    </row>
    <row r="65" spans="1:18">
      <c r="A65" s="7">
        <v>59</v>
      </c>
      <c r="B65" s="8">
        <v>22596</v>
      </c>
      <c r="C65" s="8">
        <v>782</v>
      </c>
      <c r="D65" s="9">
        <v>3.4610000000000002E-2</v>
      </c>
      <c r="E65" s="9">
        <v>0.96538999999999997</v>
      </c>
      <c r="F65" s="8">
        <v>22208</v>
      </c>
      <c r="G65" s="8">
        <v>302785</v>
      </c>
      <c r="H65" s="10">
        <v>13.4</v>
      </c>
      <c r="I65" s="10">
        <v>12.6</v>
      </c>
      <c r="J65" s="10"/>
      <c r="K65" s="8">
        <v>25796</v>
      </c>
      <c r="L65" s="8">
        <v>880</v>
      </c>
      <c r="M65" s="9">
        <v>3.4110000000000001E-2</v>
      </c>
      <c r="N65" s="9">
        <v>0.96589000000000003</v>
      </c>
      <c r="O65" s="8">
        <v>25360</v>
      </c>
      <c r="P65" s="8">
        <v>341566</v>
      </c>
      <c r="Q65" s="10">
        <v>13.24</v>
      </c>
      <c r="R65" s="10">
        <v>12.28</v>
      </c>
    </row>
    <row r="66" spans="1:18">
      <c r="A66" s="7">
        <v>60</v>
      </c>
      <c r="B66" s="8">
        <v>21814</v>
      </c>
      <c r="C66" s="8">
        <v>816</v>
      </c>
      <c r="D66" s="9">
        <v>3.7409999999999999E-2</v>
      </c>
      <c r="E66" s="9">
        <v>0.96258999999999995</v>
      </c>
      <c r="F66" s="8">
        <v>21409</v>
      </c>
      <c r="G66" s="8">
        <v>280577</v>
      </c>
      <c r="H66" s="10">
        <v>12.86</v>
      </c>
      <c r="I66" s="10">
        <v>12.01</v>
      </c>
      <c r="J66" s="10"/>
      <c r="K66" s="8">
        <v>24916</v>
      </c>
      <c r="L66" s="8">
        <v>929</v>
      </c>
      <c r="M66" s="9">
        <v>3.7289999999999997E-2</v>
      </c>
      <c r="N66" s="9">
        <v>0.96270999999999995</v>
      </c>
      <c r="O66" s="8">
        <v>24456</v>
      </c>
      <c r="P66" s="8">
        <v>316206</v>
      </c>
      <c r="Q66" s="10">
        <v>12.69</v>
      </c>
      <c r="R66" s="10">
        <v>11.67</v>
      </c>
    </row>
    <row r="67" spans="1:18">
      <c r="A67" s="7">
        <v>61</v>
      </c>
      <c r="B67" s="8">
        <v>20998</v>
      </c>
      <c r="C67" s="8">
        <v>848</v>
      </c>
      <c r="D67" s="9">
        <v>4.0379999999999999E-2</v>
      </c>
      <c r="E67" s="9">
        <v>0.95962000000000003</v>
      </c>
      <c r="F67" s="8">
        <v>20577</v>
      </c>
      <c r="G67" s="8">
        <v>259168</v>
      </c>
      <c r="H67" s="10">
        <v>12.34</v>
      </c>
      <c r="I67" s="10">
        <v>11.44</v>
      </c>
      <c r="J67" s="10"/>
      <c r="K67" s="8">
        <v>23987</v>
      </c>
      <c r="L67" s="8">
        <v>977</v>
      </c>
      <c r="M67" s="9">
        <v>4.0730000000000002E-2</v>
      </c>
      <c r="N67" s="9">
        <v>0.95926999999999996</v>
      </c>
      <c r="O67" s="8">
        <v>23502</v>
      </c>
      <c r="P67" s="8">
        <v>291750</v>
      </c>
      <c r="Q67" s="10">
        <v>12.16</v>
      </c>
      <c r="R67" s="10">
        <v>11.09</v>
      </c>
    </row>
    <row r="68" spans="1:18">
      <c r="A68" s="7">
        <v>62</v>
      </c>
      <c r="B68" s="8">
        <v>20150</v>
      </c>
      <c r="C68" s="8">
        <v>876</v>
      </c>
      <c r="D68" s="9">
        <v>4.3470000000000002E-2</v>
      </c>
      <c r="E68" s="9">
        <v>0.95652999999999999</v>
      </c>
      <c r="F68" s="8">
        <v>19714</v>
      </c>
      <c r="G68" s="8">
        <v>238591</v>
      </c>
      <c r="H68" s="10">
        <v>11.84</v>
      </c>
      <c r="I68" s="10">
        <v>10.89</v>
      </c>
      <c r="J68" s="10"/>
      <c r="K68" s="8">
        <v>23010</v>
      </c>
      <c r="L68" s="8">
        <v>1020</v>
      </c>
      <c r="M68" s="9">
        <v>4.4330000000000001E-2</v>
      </c>
      <c r="N68" s="9">
        <v>0.95567000000000002</v>
      </c>
      <c r="O68" s="8">
        <v>22503</v>
      </c>
      <c r="P68" s="8">
        <v>268248</v>
      </c>
      <c r="Q68" s="10">
        <v>11.66</v>
      </c>
      <c r="R68" s="10">
        <v>10.53</v>
      </c>
    </row>
    <row r="69" spans="1:18">
      <c r="A69" s="7">
        <v>63</v>
      </c>
      <c r="B69" s="8">
        <v>19274</v>
      </c>
      <c r="C69" s="8">
        <v>898</v>
      </c>
      <c r="D69" s="9">
        <v>4.6589999999999999E-2</v>
      </c>
      <c r="E69" s="9">
        <v>0.95340999999999998</v>
      </c>
      <c r="F69" s="8">
        <v>18827</v>
      </c>
      <c r="G69" s="8">
        <v>218877</v>
      </c>
      <c r="H69" s="10">
        <v>11.36</v>
      </c>
      <c r="I69" s="10">
        <v>10.35</v>
      </c>
      <c r="J69" s="10"/>
      <c r="K69" s="8">
        <v>21990</v>
      </c>
      <c r="L69" s="8">
        <v>1052</v>
      </c>
      <c r="M69" s="9">
        <v>4.7840000000000001E-2</v>
      </c>
      <c r="N69" s="9">
        <v>0.95216000000000001</v>
      </c>
      <c r="O69" s="8">
        <v>21466</v>
      </c>
      <c r="P69" s="8">
        <v>245745</v>
      </c>
      <c r="Q69" s="10">
        <v>11.18</v>
      </c>
      <c r="R69" s="10">
        <v>10</v>
      </c>
    </row>
    <row r="70" spans="1:18">
      <c r="A70" s="7">
        <v>64</v>
      </c>
      <c r="B70" s="8">
        <v>18376</v>
      </c>
      <c r="C70" s="8">
        <v>913</v>
      </c>
      <c r="D70" s="9">
        <v>4.9680000000000002E-2</v>
      </c>
      <c r="E70" s="9">
        <v>0.95032000000000005</v>
      </c>
      <c r="F70" s="8">
        <v>17921</v>
      </c>
      <c r="G70" s="8">
        <v>200050</v>
      </c>
      <c r="H70" s="10">
        <v>10.89</v>
      </c>
      <c r="I70" s="10">
        <v>9.83</v>
      </c>
      <c r="J70" s="10"/>
      <c r="K70" s="8">
        <v>20938</v>
      </c>
      <c r="L70" s="8">
        <v>1076</v>
      </c>
      <c r="M70" s="9">
        <v>5.1389999999999998E-2</v>
      </c>
      <c r="N70" s="9">
        <v>0.94860999999999995</v>
      </c>
      <c r="O70" s="8">
        <v>20402</v>
      </c>
      <c r="P70" s="8">
        <v>224279</v>
      </c>
      <c r="Q70" s="10">
        <v>10.71</v>
      </c>
      <c r="R70" s="10">
        <v>9.49</v>
      </c>
    </row>
    <row r="71" spans="1:18">
      <c r="A71" s="7">
        <v>65</v>
      </c>
      <c r="B71" s="8">
        <v>17463</v>
      </c>
      <c r="C71" s="8">
        <v>920</v>
      </c>
      <c r="D71" s="9">
        <v>5.2679999999999998E-2</v>
      </c>
      <c r="E71" s="9">
        <v>0.94732000000000005</v>
      </c>
      <c r="F71" s="8">
        <v>17005</v>
      </c>
      <c r="G71" s="8">
        <v>182129</v>
      </c>
      <c r="H71" s="10">
        <v>10.43</v>
      </c>
      <c r="I71" s="10">
        <v>9.33</v>
      </c>
      <c r="J71" s="10"/>
      <c r="K71" s="8">
        <v>19862</v>
      </c>
      <c r="L71" s="8">
        <v>1092</v>
      </c>
      <c r="M71" s="9">
        <v>5.4980000000000001E-2</v>
      </c>
      <c r="N71" s="9">
        <v>0.94501999999999997</v>
      </c>
      <c r="O71" s="8">
        <v>19317</v>
      </c>
      <c r="P71" s="8">
        <v>203877</v>
      </c>
      <c r="Q71" s="10">
        <v>10.26</v>
      </c>
      <c r="R71" s="10">
        <v>8.99</v>
      </c>
    </row>
    <row r="72" spans="1:18">
      <c r="A72" s="7">
        <v>66</v>
      </c>
      <c r="B72" s="8">
        <v>16543</v>
      </c>
      <c r="C72" s="8">
        <v>926</v>
      </c>
      <c r="D72" s="9">
        <v>5.5980000000000002E-2</v>
      </c>
      <c r="E72" s="9">
        <v>0.94401999999999997</v>
      </c>
      <c r="F72" s="8">
        <v>16080</v>
      </c>
      <c r="G72" s="8">
        <v>165124</v>
      </c>
      <c r="H72" s="10">
        <v>9.98</v>
      </c>
      <c r="I72" s="10">
        <v>8.83</v>
      </c>
      <c r="J72" s="10"/>
      <c r="K72" s="8">
        <v>18770</v>
      </c>
      <c r="L72" s="8">
        <v>1101</v>
      </c>
      <c r="M72" s="9">
        <v>5.8659999999999997E-2</v>
      </c>
      <c r="N72" s="9">
        <v>0.94133999999999995</v>
      </c>
      <c r="O72" s="8">
        <v>18221</v>
      </c>
      <c r="P72" s="8">
        <v>184560</v>
      </c>
      <c r="Q72" s="10">
        <v>9.83</v>
      </c>
      <c r="R72" s="10">
        <v>8.51</v>
      </c>
    </row>
    <row r="73" spans="1:18">
      <c r="A73" s="7">
        <v>67</v>
      </c>
      <c r="B73" s="8">
        <v>15617</v>
      </c>
      <c r="C73" s="8">
        <v>929</v>
      </c>
      <c r="D73" s="9">
        <v>5.9490000000000001E-2</v>
      </c>
      <c r="E73" s="9">
        <v>0.94050999999999996</v>
      </c>
      <c r="F73" s="8">
        <v>15152</v>
      </c>
      <c r="G73" s="8">
        <v>149044</v>
      </c>
      <c r="H73" s="10">
        <v>9.5399999999999991</v>
      </c>
      <c r="I73" s="10">
        <v>8.35</v>
      </c>
      <c r="J73" s="10"/>
      <c r="K73" s="8">
        <v>17669</v>
      </c>
      <c r="L73" s="8">
        <v>1107</v>
      </c>
      <c r="M73" s="9">
        <v>6.2649999999999997E-2</v>
      </c>
      <c r="N73" s="9">
        <v>0.93735000000000002</v>
      </c>
      <c r="O73" s="8">
        <v>17117</v>
      </c>
      <c r="P73" s="8">
        <v>166339</v>
      </c>
      <c r="Q73" s="10">
        <v>9.41</v>
      </c>
      <c r="R73" s="10">
        <v>8.0500000000000007</v>
      </c>
    </row>
    <row r="74" spans="1:18">
      <c r="A74" s="7">
        <v>68</v>
      </c>
      <c r="B74" s="8">
        <v>14688</v>
      </c>
      <c r="C74" s="8">
        <v>935</v>
      </c>
      <c r="D74" s="9">
        <v>6.3659999999999994E-2</v>
      </c>
      <c r="E74" s="9">
        <v>0.93633999999999995</v>
      </c>
      <c r="F74" s="8">
        <v>14220</v>
      </c>
      <c r="G74" s="8">
        <v>133892</v>
      </c>
      <c r="H74" s="10">
        <v>9.1199999999999992</v>
      </c>
      <c r="I74" s="10">
        <v>7.88</v>
      </c>
      <c r="J74" s="10"/>
      <c r="K74" s="8">
        <v>16562</v>
      </c>
      <c r="L74" s="8">
        <v>1114</v>
      </c>
      <c r="M74" s="9">
        <v>6.726E-2</v>
      </c>
      <c r="N74" s="9">
        <v>0.93274000000000001</v>
      </c>
      <c r="O74" s="8">
        <v>16006</v>
      </c>
      <c r="P74" s="8">
        <v>149222</v>
      </c>
      <c r="Q74" s="10">
        <v>9.01</v>
      </c>
      <c r="R74" s="10">
        <v>7.61</v>
      </c>
    </row>
    <row r="75" spans="1:18">
      <c r="A75" s="7">
        <v>69</v>
      </c>
      <c r="B75" s="8">
        <v>13753</v>
      </c>
      <c r="C75" s="8">
        <v>940</v>
      </c>
      <c r="D75" s="9">
        <v>6.8349999999999994E-2</v>
      </c>
      <c r="E75" s="9">
        <v>0.93164999999999998</v>
      </c>
      <c r="F75" s="8">
        <v>13283</v>
      </c>
      <c r="G75" s="8">
        <v>119672</v>
      </c>
      <c r="H75" s="10">
        <v>8.6999999999999993</v>
      </c>
      <c r="I75" s="10">
        <v>7.43</v>
      </c>
      <c r="J75" s="10"/>
      <c r="K75" s="8">
        <v>15448</v>
      </c>
      <c r="L75" s="8">
        <v>1119</v>
      </c>
      <c r="M75" s="9">
        <v>7.2440000000000004E-2</v>
      </c>
      <c r="N75" s="9">
        <v>0.92756000000000005</v>
      </c>
      <c r="O75" s="8">
        <v>14888</v>
      </c>
      <c r="P75" s="8">
        <v>133216</v>
      </c>
      <c r="Q75" s="10">
        <v>8.6199999999999992</v>
      </c>
      <c r="R75" s="10">
        <v>7.19</v>
      </c>
    </row>
    <row r="76" spans="1:18">
      <c r="A76" s="7">
        <v>70</v>
      </c>
      <c r="B76" s="8">
        <v>12813</v>
      </c>
      <c r="C76" s="8">
        <v>947</v>
      </c>
      <c r="D76" s="9">
        <v>7.3910000000000003E-2</v>
      </c>
      <c r="E76" s="9">
        <v>0.92608999999999997</v>
      </c>
      <c r="F76" s="8">
        <v>12339</v>
      </c>
      <c r="G76" s="8">
        <v>106389</v>
      </c>
      <c r="H76" s="10">
        <v>8.3000000000000007</v>
      </c>
      <c r="I76" s="10">
        <v>6.99</v>
      </c>
      <c r="J76" s="10"/>
      <c r="K76" s="8">
        <v>14329</v>
      </c>
      <c r="L76" s="8">
        <v>1120</v>
      </c>
      <c r="M76" s="9">
        <v>7.8159999999999993E-2</v>
      </c>
      <c r="N76" s="9">
        <v>0.92183999999999999</v>
      </c>
      <c r="O76" s="8">
        <v>13769</v>
      </c>
      <c r="P76" s="8">
        <v>118328</v>
      </c>
      <c r="Q76" s="10">
        <v>8.26</v>
      </c>
      <c r="R76" s="10">
        <v>6.8</v>
      </c>
    </row>
    <row r="77" spans="1:18">
      <c r="A77" s="7">
        <v>71</v>
      </c>
      <c r="B77" s="8">
        <v>11866</v>
      </c>
      <c r="C77" s="8">
        <v>949</v>
      </c>
      <c r="D77" s="9">
        <v>7.9979999999999996E-2</v>
      </c>
      <c r="E77" s="9">
        <v>0.92001999999999995</v>
      </c>
      <c r="F77" s="8">
        <v>11391</v>
      </c>
      <c r="G77" s="8">
        <v>94050</v>
      </c>
      <c r="H77" s="10">
        <v>7.93</v>
      </c>
      <c r="I77" s="10">
        <v>6.59</v>
      </c>
      <c r="J77" s="10"/>
      <c r="K77" s="8">
        <v>13209</v>
      </c>
      <c r="L77" s="8">
        <v>1115</v>
      </c>
      <c r="M77" s="9">
        <v>8.4409999999999999E-2</v>
      </c>
      <c r="N77" s="9">
        <v>0.91559000000000001</v>
      </c>
      <c r="O77" s="8">
        <v>12651</v>
      </c>
      <c r="P77" s="8">
        <v>104559</v>
      </c>
      <c r="Q77" s="10">
        <v>7.92</v>
      </c>
      <c r="R77" s="10">
        <v>6.44</v>
      </c>
    </row>
    <row r="78" spans="1:18">
      <c r="A78" s="7">
        <v>72</v>
      </c>
      <c r="B78" s="8">
        <v>10917</v>
      </c>
      <c r="C78" s="8">
        <v>949</v>
      </c>
      <c r="D78" s="9">
        <v>8.6929999999999993E-2</v>
      </c>
      <c r="E78" s="9">
        <v>0.91307000000000005</v>
      </c>
      <c r="F78" s="8">
        <v>10441</v>
      </c>
      <c r="G78" s="8">
        <v>82659</v>
      </c>
      <c r="H78" s="10">
        <v>7.57</v>
      </c>
      <c r="I78" s="10">
        <v>6.21</v>
      </c>
      <c r="J78" s="10"/>
      <c r="K78" s="8">
        <v>12094</v>
      </c>
      <c r="L78" s="8">
        <v>1103</v>
      </c>
      <c r="M78" s="9">
        <v>9.1200000000000003E-2</v>
      </c>
      <c r="N78" s="9">
        <v>0.90880000000000005</v>
      </c>
      <c r="O78" s="8">
        <v>11540</v>
      </c>
      <c r="P78" s="8">
        <v>91908</v>
      </c>
      <c r="Q78" s="10">
        <v>7.6</v>
      </c>
      <c r="R78" s="10">
        <v>6.1</v>
      </c>
    </row>
    <row r="79" spans="1:18">
      <c r="A79" s="7">
        <v>73</v>
      </c>
      <c r="B79" s="8">
        <v>9968</v>
      </c>
      <c r="C79" s="8">
        <v>937</v>
      </c>
      <c r="D79" s="9">
        <v>9.4E-2</v>
      </c>
      <c r="E79" s="9">
        <v>0.90600000000000003</v>
      </c>
      <c r="F79" s="8">
        <v>9499</v>
      </c>
      <c r="G79" s="8">
        <v>72218</v>
      </c>
      <c r="H79" s="10">
        <v>7.24</v>
      </c>
      <c r="I79" s="10">
        <v>5.87</v>
      </c>
      <c r="J79" s="10"/>
      <c r="K79" s="8">
        <v>10991</v>
      </c>
      <c r="L79" s="8">
        <v>1076</v>
      </c>
      <c r="M79" s="9">
        <v>9.7900000000000001E-2</v>
      </c>
      <c r="N79" s="9">
        <v>0.90210000000000001</v>
      </c>
      <c r="O79" s="8">
        <v>10450</v>
      </c>
      <c r="P79" s="8">
        <v>80368</v>
      </c>
      <c r="Q79" s="10">
        <v>7.31</v>
      </c>
      <c r="R79" s="10">
        <v>5.81</v>
      </c>
    </row>
    <row r="80" spans="1:18">
      <c r="A80" s="7">
        <v>74</v>
      </c>
      <c r="B80" s="8">
        <v>9031</v>
      </c>
      <c r="C80" s="8">
        <v>915</v>
      </c>
      <c r="D80" s="9">
        <v>0.10131999999999999</v>
      </c>
      <c r="E80" s="9">
        <v>0.89868000000000003</v>
      </c>
      <c r="F80" s="8">
        <v>8572</v>
      </c>
      <c r="G80" s="8">
        <v>62719</v>
      </c>
      <c r="H80" s="10">
        <v>6.94</v>
      </c>
      <c r="I80" s="10">
        <v>5.56</v>
      </c>
      <c r="J80" s="10"/>
      <c r="K80" s="8">
        <v>9915</v>
      </c>
      <c r="L80" s="8">
        <v>1035</v>
      </c>
      <c r="M80" s="9">
        <v>0.10439</v>
      </c>
      <c r="N80" s="9">
        <v>0.89561000000000002</v>
      </c>
      <c r="O80" s="8">
        <v>9394</v>
      </c>
      <c r="P80" s="8">
        <v>69918</v>
      </c>
      <c r="Q80" s="10">
        <v>7.05</v>
      </c>
      <c r="R80" s="10">
        <v>5.56</v>
      </c>
    </row>
    <row r="81" spans="1:18">
      <c r="A81" s="7">
        <v>75</v>
      </c>
      <c r="B81" s="8">
        <v>8116</v>
      </c>
      <c r="C81" s="8">
        <v>882</v>
      </c>
      <c r="D81" s="9">
        <v>0.10867</v>
      </c>
      <c r="E81" s="9">
        <v>0.89132999999999996</v>
      </c>
      <c r="F81" s="8">
        <v>7672</v>
      </c>
      <c r="G81" s="8">
        <v>54147</v>
      </c>
      <c r="H81" s="10">
        <v>6.67</v>
      </c>
      <c r="I81" s="10">
        <v>5.27</v>
      </c>
      <c r="J81" s="10"/>
      <c r="K81" s="8">
        <v>8880</v>
      </c>
      <c r="L81" s="8">
        <v>983</v>
      </c>
      <c r="M81" s="9">
        <v>0.11070000000000001</v>
      </c>
      <c r="N81" s="9">
        <v>0.88929999999999998</v>
      </c>
      <c r="O81" s="8">
        <v>8383</v>
      </c>
      <c r="P81" s="8">
        <v>60524</v>
      </c>
      <c r="Q81" s="10">
        <v>6.82</v>
      </c>
      <c r="R81" s="10">
        <v>5.32</v>
      </c>
    </row>
    <row r="82" spans="1:18">
      <c r="A82" s="7">
        <v>76</v>
      </c>
      <c r="B82" s="8">
        <v>7234</v>
      </c>
      <c r="C82" s="8">
        <v>837</v>
      </c>
      <c r="D82" s="9">
        <v>0.1157</v>
      </c>
      <c r="E82" s="9">
        <v>0.88429999999999997</v>
      </c>
      <c r="F82" s="8">
        <v>6811</v>
      </c>
      <c r="G82" s="8">
        <v>46475</v>
      </c>
      <c r="H82" s="10">
        <v>6.42</v>
      </c>
      <c r="I82" s="10">
        <v>4.99</v>
      </c>
      <c r="J82" s="10"/>
      <c r="K82" s="8">
        <v>7897</v>
      </c>
      <c r="L82" s="8">
        <v>921</v>
      </c>
      <c r="M82" s="9">
        <v>0.11663</v>
      </c>
      <c r="N82" s="9">
        <v>0.88336999999999999</v>
      </c>
      <c r="O82" s="8">
        <v>7430</v>
      </c>
      <c r="P82" s="8">
        <v>52141</v>
      </c>
      <c r="Q82" s="10">
        <v>6.6</v>
      </c>
      <c r="R82" s="10">
        <v>5.0999999999999996</v>
      </c>
    </row>
    <row r="83" spans="1:18">
      <c r="A83" s="7">
        <v>77</v>
      </c>
      <c r="B83" s="8">
        <v>6397</v>
      </c>
      <c r="C83" s="8">
        <v>784</v>
      </c>
      <c r="D83" s="9">
        <v>0.12256</v>
      </c>
      <c r="E83" s="9">
        <v>0.87744</v>
      </c>
      <c r="F83" s="8">
        <v>5999</v>
      </c>
      <c r="G83" s="8">
        <v>39664</v>
      </c>
      <c r="H83" s="10">
        <v>6.2</v>
      </c>
      <c r="I83" s="10">
        <v>4.75</v>
      </c>
      <c r="J83" s="10"/>
      <c r="K83" s="8">
        <v>6976</v>
      </c>
      <c r="L83" s="8">
        <v>850</v>
      </c>
      <c r="M83" s="9">
        <v>0.12185</v>
      </c>
      <c r="N83" s="9">
        <v>0.87814999999999999</v>
      </c>
      <c r="O83" s="8">
        <v>6545</v>
      </c>
      <c r="P83" s="8">
        <v>44711</v>
      </c>
      <c r="Q83" s="10">
        <v>6.41</v>
      </c>
      <c r="R83" s="10">
        <v>4.91</v>
      </c>
    </row>
    <row r="84" spans="1:18">
      <c r="A84" s="7">
        <v>78</v>
      </c>
      <c r="B84" s="8">
        <v>5613</v>
      </c>
      <c r="C84" s="8">
        <v>725</v>
      </c>
      <c r="D84" s="9">
        <v>0.12916</v>
      </c>
      <c r="E84" s="9">
        <v>0.87083999999999995</v>
      </c>
      <c r="F84" s="8">
        <v>5245</v>
      </c>
      <c r="G84" s="8">
        <v>33665</v>
      </c>
      <c r="H84" s="10">
        <v>6</v>
      </c>
      <c r="I84" s="10">
        <v>4.5199999999999996</v>
      </c>
      <c r="J84" s="10"/>
      <c r="K84" s="8">
        <v>6126</v>
      </c>
      <c r="L84" s="8">
        <v>776</v>
      </c>
      <c r="M84" s="9">
        <v>0.12667</v>
      </c>
      <c r="N84" s="9">
        <v>0.87333000000000005</v>
      </c>
      <c r="O84" s="8">
        <v>5732</v>
      </c>
      <c r="P84" s="8">
        <v>38166</v>
      </c>
      <c r="Q84" s="10">
        <v>6.23</v>
      </c>
      <c r="R84" s="10">
        <v>4.7300000000000004</v>
      </c>
    </row>
    <row r="85" spans="1:18">
      <c r="A85" s="7">
        <v>79</v>
      </c>
      <c r="B85" s="8">
        <v>4888</v>
      </c>
      <c r="C85" s="8">
        <v>668</v>
      </c>
      <c r="D85" s="9">
        <v>0.13666</v>
      </c>
      <c r="E85" s="9">
        <v>0.86334</v>
      </c>
      <c r="F85" s="8">
        <v>4549</v>
      </c>
      <c r="G85" s="8">
        <v>28420</v>
      </c>
      <c r="H85" s="10">
        <v>5.81</v>
      </c>
      <c r="I85" s="10">
        <v>4.3</v>
      </c>
      <c r="J85" s="10"/>
      <c r="K85" s="8">
        <v>5350</v>
      </c>
      <c r="L85" s="8">
        <v>705</v>
      </c>
      <c r="M85" s="9">
        <v>0.13178000000000001</v>
      </c>
      <c r="N85" s="9">
        <v>0.86821999999999999</v>
      </c>
      <c r="O85" s="8">
        <v>4992</v>
      </c>
      <c r="P85" s="8">
        <v>32434</v>
      </c>
      <c r="Q85" s="10">
        <v>6.06</v>
      </c>
      <c r="R85" s="10">
        <v>4.5599999999999996</v>
      </c>
    </row>
    <row r="86" spans="1:18">
      <c r="A86" s="7">
        <v>80</v>
      </c>
      <c r="B86" s="8">
        <v>4220</v>
      </c>
      <c r="C86" s="8">
        <v>609</v>
      </c>
      <c r="D86" s="9">
        <v>0.14430999999999999</v>
      </c>
      <c r="E86" s="9">
        <v>0.85568999999999995</v>
      </c>
      <c r="F86" s="8">
        <v>3911</v>
      </c>
      <c r="G86" s="8">
        <v>23871</v>
      </c>
      <c r="H86" s="10">
        <v>5.66</v>
      </c>
      <c r="I86" s="10">
        <v>4.0999999999999996</v>
      </c>
      <c r="J86" s="10"/>
      <c r="K86" s="8">
        <v>4645</v>
      </c>
      <c r="L86" s="8">
        <v>638</v>
      </c>
      <c r="M86" s="9">
        <v>0.13735</v>
      </c>
      <c r="N86" s="9">
        <v>0.86265000000000003</v>
      </c>
      <c r="O86" s="8">
        <v>4320</v>
      </c>
      <c r="P86" s="8">
        <v>27442</v>
      </c>
      <c r="Q86" s="10">
        <v>5.91</v>
      </c>
      <c r="R86" s="10">
        <v>4.4000000000000004</v>
      </c>
    </row>
    <row r="87" spans="1:18">
      <c r="A87" s="7">
        <v>81</v>
      </c>
      <c r="B87" s="8">
        <v>3611</v>
      </c>
      <c r="C87" s="8">
        <v>548</v>
      </c>
      <c r="D87" s="9">
        <v>0.15176000000000001</v>
      </c>
      <c r="E87" s="9">
        <v>0.84823999999999999</v>
      </c>
      <c r="F87" s="8">
        <v>3333</v>
      </c>
      <c r="G87" s="8">
        <v>19960</v>
      </c>
      <c r="H87" s="10">
        <v>5.53</v>
      </c>
      <c r="I87" s="10">
        <v>3.94</v>
      </c>
      <c r="J87" s="10"/>
      <c r="K87" s="8">
        <v>4007</v>
      </c>
      <c r="L87" s="8">
        <v>571</v>
      </c>
      <c r="M87" s="9">
        <v>0.14249999999999999</v>
      </c>
      <c r="N87" s="9">
        <v>0.85750000000000004</v>
      </c>
      <c r="O87" s="8">
        <v>3717</v>
      </c>
      <c r="P87" s="8">
        <v>23122</v>
      </c>
      <c r="Q87" s="10">
        <v>5.77</v>
      </c>
      <c r="R87" s="10">
        <v>4.25</v>
      </c>
    </row>
    <row r="88" spans="1:18">
      <c r="A88" s="7">
        <v>82</v>
      </c>
      <c r="B88" s="8">
        <v>3063</v>
      </c>
      <c r="C88" s="8">
        <v>489</v>
      </c>
      <c r="D88" s="9">
        <v>0.15964999999999999</v>
      </c>
      <c r="E88" s="9">
        <v>0.84035000000000004</v>
      </c>
      <c r="F88" s="8">
        <v>2814</v>
      </c>
      <c r="G88" s="8">
        <v>16627</v>
      </c>
      <c r="H88" s="10">
        <v>5.43</v>
      </c>
      <c r="I88" s="10">
        <v>3.82</v>
      </c>
      <c r="J88" s="10"/>
      <c r="K88" s="8">
        <v>3436</v>
      </c>
      <c r="L88" s="8">
        <v>508</v>
      </c>
      <c r="M88" s="9">
        <v>0.14785000000000001</v>
      </c>
      <c r="N88" s="9">
        <v>0.85214999999999996</v>
      </c>
      <c r="O88" s="8">
        <v>3177</v>
      </c>
      <c r="P88" s="8">
        <v>19405</v>
      </c>
      <c r="Q88" s="10">
        <v>5.65</v>
      </c>
      <c r="R88" s="10">
        <v>4.12</v>
      </c>
    </row>
    <row r="89" spans="1:18">
      <c r="A89" s="7">
        <v>83</v>
      </c>
      <c r="B89" s="8">
        <v>2574</v>
      </c>
      <c r="C89" s="8">
        <v>427</v>
      </c>
      <c r="D89" s="9">
        <v>0.16589000000000001</v>
      </c>
      <c r="E89" s="9">
        <v>0.83411000000000002</v>
      </c>
      <c r="F89" s="8">
        <v>2356</v>
      </c>
      <c r="G89" s="8">
        <v>13813</v>
      </c>
      <c r="H89" s="10">
        <v>5.37</v>
      </c>
      <c r="I89" s="10">
        <v>3.75</v>
      </c>
      <c r="J89" s="10"/>
      <c r="K89" s="8">
        <v>2928</v>
      </c>
      <c r="L89" s="8">
        <v>449</v>
      </c>
      <c r="M89" s="9">
        <v>0.15334999999999999</v>
      </c>
      <c r="N89" s="9">
        <v>0.84665000000000001</v>
      </c>
      <c r="O89" s="8">
        <v>2699</v>
      </c>
      <c r="P89" s="8">
        <v>16228</v>
      </c>
      <c r="Q89" s="10">
        <v>5.54</v>
      </c>
      <c r="R89" s="10">
        <v>4.0199999999999996</v>
      </c>
    </row>
    <row r="90" spans="1:18">
      <c r="A90" s="7">
        <v>84</v>
      </c>
      <c r="B90" s="8">
        <v>2147</v>
      </c>
      <c r="C90" s="8">
        <v>365</v>
      </c>
      <c r="D90" s="9">
        <v>0.17</v>
      </c>
      <c r="E90" s="9">
        <v>0.83</v>
      </c>
      <c r="F90" s="8">
        <v>1960</v>
      </c>
      <c r="G90" s="8">
        <v>11457</v>
      </c>
      <c r="H90" s="10">
        <v>5.34</v>
      </c>
      <c r="I90" s="10">
        <v>3.74</v>
      </c>
      <c r="J90" s="10"/>
      <c r="K90" s="8">
        <v>2479</v>
      </c>
      <c r="L90" s="8">
        <v>391</v>
      </c>
      <c r="M90" s="9">
        <v>0.15772</v>
      </c>
      <c r="N90" s="9">
        <v>0.84228000000000003</v>
      </c>
      <c r="O90" s="8">
        <v>2279</v>
      </c>
      <c r="P90" s="8">
        <v>13529</v>
      </c>
      <c r="Q90" s="10">
        <v>5.46</v>
      </c>
      <c r="R90" s="10">
        <v>3.96</v>
      </c>
    </row>
    <row r="91" spans="1:18">
      <c r="A91" s="7">
        <v>85</v>
      </c>
      <c r="B91" s="8">
        <v>1782</v>
      </c>
      <c r="C91" s="8">
        <v>305</v>
      </c>
      <c r="D91" s="9">
        <v>0.17116000000000001</v>
      </c>
      <c r="E91" s="9">
        <v>0.82884000000000002</v>
      </c>
      <c r="F91" s="8">
        <v>1624</v>
      </c>
      <c r="G91" s="8">
        <v>9497</v>
      </c>
      <c r="H91" s="10">
        <v>5.33</v>
      </c>
      <c r="I91" s="10">
        <v>3.76</v>
      </c>
      <c r="J91" s="10"/>
      <c r="K91" s="8">
        <v>2088</v>
      </c>
      <c r="L91" s="8">
        <v>335</v>
      </c>
      <c r="M91" s="9">
        <v>0.16044</v>
      </c>
      <c r="N91" s="9">
        <v>0.83955999999999997</v>
      </c>
      <c r="O91" s="8">
        <v>1916</v>
      </c>
      <c r="P91" s="8">
        <v>11250</v>
      </c>
      <c r="Q91" s="10">
        <v>5.39</v>
      </c>
      <c r="R91" s="10">
        <v>3.92</v>
      </c>
    </row>
    <row r="92" spans="1:18">
      <c r="A92" s="7">
        <v>86</v>
      </c>
      <c r="B92" s="8">
        <v>1477</v>
      </c>
      <c r="C92" s="8">
        <v>252</v>
      </c>
      <c r="D92" s="9">
        <v>0.17061999999999999</v>
      </c>
      <c r="E92" s="9">
        <v>0.82938000000000001</v>
      </c>
      <c r="F92" s="8">
        <v>1346</v>
      </c>
      <c r="G92" s="8">
        <v>7873</v>
      </c>
      <c r="H92" s="10">
        <v>5.33</v>
      </c>
      <c r="I92" s="10">
        <v>3.83</v>
      </c>
      <c r="J92" s="10"/>
      <c r="K92" s="8">
        <v>1753</v>
      </c>
      <c r="L92" s="8">
        <v>284</v>
      </c>
      <c r="M92" s="9">
        <v>0.16200999999999999</v>
      </c>
      <c r="N92" s="9">
        <v>0.83799000000000001</v>
      </c>
      <c r="O92" s="8">
        <v>1607</v>
      </c>
      <c r="P92" s="8">
        <v>9334</v>
      </c>
      <c r="Q92" s="10">
        <v>5.32</v>
      </c>
      <c r="R92" s="10">
        <v>3.92</v>
      </c>
    </row>
    <row r="93" spans="1:18">
      <c r="A93" s="7">
        <v>87</v>
      </c>
      <c r="B93" s="8">
        <v>1225</v>
      </c>
      <c r="C93" s="8">
        <v>206</v>
      </c>
      <c r="D93" s="9">
        <v>0.16816</v>
      </c>
      <c r="E93" s="9">
        <v>0.83184000000000002</v>
      </c>
      <c r="F93" s="8">
        <v>1118</v>
      </c>
      <c r="G93" s="8">
        <v>6527</v>
      </c>
      <c r="H93" s="10">
        <v>5.33</v>
      </c>
      <c r="I93" s="10">
        <v>3.94</v>
      </c>
      <c r="J93" s="10"/>
      <c r="K93" s="8">
        <v>1469</v>
      </c>
      <c r="L93" s="8">
        <v>240</v>
      </c>
      <c r="M93" s="9">
        <v>0.16338</v>
      </c>
      <c r="N93" s="9">
        <v>0.83662000000000003</v>
      </c>
      <c r="O93" s="8">
        <v>1345</v>
      </c>
      <c r="P93" s="8">
        <v>7727</v>
      </c>
      <c r="Q93" s="10">
        <v>5.26</v>
      </c>
      <c r="R93" s="10">
        <v>3.96</v>
      </c>
    </row>
    <row r="94" spans="1:18">
      <c r="A94" s="7">
        <v>88</v>
      </c>
      <c r="B94" s="8">
        <v>1019</v>
      </c>
      <c r="C94" s="8">
        <v>168</v>
      </c>
      <c r="D94" s="9">
        <v>0.16486999999999999</v>
      </c>
      <c r="E94" s="9">
        <v>0.83513000000000004</v>
      </c>
      <c r="F94" s="8">
        <v>933</v>
      </c>
      <c r="G94" s="8">
        <v>5409</v>
      </c>
      <c r="H94" s="10">
        <v>5.31</v>
      </c>
      <c r="I94" s="10">
        <v>4.07</v>
      </c>
      <c r="J94" s="10"/>
      <c r="K94" s="8">
        <v>1229</v>
      </c>
      <c r="L94" s="8">
        <v>200</v>
      </c>
      <c r="M94" s="9">
        <v>0.16273000000000001</v>
      </c>
      <c r="N94" s="9">
        <v>0.83726999999999996</v>
      </c>
      <c r="O94" s="8">
        <v>1126</v>
      </c>
      <c r="P94" s="8">
        <v>6382</v>
      </c>
      <c r="Q94" s="10">
        <v>5.19</v>
      </c>
      <c r="R94" s="10">
        <v>4.03</v>
      </c>
    </row>
    <row r="95" spans="1:18">
      <c r="A95" s="7">
        <v>89</v>
      </c>
      <c r="B95" s="8">
        <v>851</v>
      </c>
      <c r="C95" s="8">
        <v>135</v>
      </c>
      <c r="D95" s="9">
        <v>0.15864</v>
      </c>
      <c r="E95" s="9">
        <v>0.84136</v>
      </c>
      <c r="F95" s="8">
        <v>782</v>
      </c>
      <c r="G95" s="8">
        <v>4476</v>
      </c>
      <c r="H95" s="10">
        <v>5.26</v>
      </c>
      <c r="I95" s="10">
        <v>4.22</v>
      </c>
      <c r="J95" s="10"/>
      <c r="K95" s="8">
        <v>1029</v>
      </c>
      <c r="L95" s="8">
        <v>165</v>
      </c>
      <c r="M95" s="9">
        <v>0.16034999999999999</v>
      </c>
      <c r="N95" s="9">
        <v>0.83965000000000001</v>
      </c>
      <c r="O95" s="8">
        <v>943</v>
      </c>
      <c r="P95" s="8">
        <v>5256</v>
      </c>
      <c r="Q95" s="10">
        <v>5.1100000000000003</v>
      </c>
      <c r="R95" s="10">
        <v>4.12</v>
      </c>
    </row>
    <row r="96" spans="1:18">
      <c r="A96" s="7">
        <v>90</v>
      </c>
      <c r="B96" s="8">
        <v>716</v>
      </c>
      <c r="C96" s="8">
        <v>110</v>
      </c>
      <c r="D96" s="9">
        <v>0.15362999999999999</v>
      </c>
      <c r="E96" s="9">
        <v>0.84636999999999996</v>
      </c>
      <c r="F96" s="8">
        <v>659</v>
      </c>
      <c r="G96" s="8">
        <v>3694</v>
      </c>
      <c r="H96" s="10">
        <v>5.16</v>
      </c>
      <c r="I96" s="10">
        <v>4.2699999999999996</v>
      </c>
      <c r="J96" s="10"/>
      <c r="K96" s="8">
        <v>864</v>
      </c>
      <c r="L96" s="8">
        <v>135</v>
      </c>
      <c r="M96" s="9">
        <v>0.15625</v>
      </c>
      <c r="N96" s="9">
        <v>0.84375</v>
      </c>
      <c r="O96" s="8">
        <v>794</v>
      </c>
      <c r="P96" s="8">
        <v>4313</v>
      </c>
      <c r="Q96" s="10">
        <v>4.99</v>
      </c>
      <c r="R96" s="10">
        <v>4.1500000000000004</v>
      </c>
    </row>
    <row r="97" spans="1:18">
      <c r="A97" s="7">
        <v>91</v>
      </c>
      <c r="B97" s="8">
        <v>606</v>
      </c>
      <c r="C97" s="8">
        <v>91</v>
      </c>
      <c r="D97" s="9">
        <v>0.15017</v>
      </c>
      <c r="E97" s="9">
        <v>0.84982999999999997</v>
      </c>
      <c r="F97" s="8">
        <v>560</v>
      </c>
      <c r="G97" s="8">
        <v>3035</v>
      </c>
      <c r="H97" s="10">
        <v>5.01</v>
      </c>
      <c r="I97" s="10">
        <v>4.22</v>
      </c>
      <c r="J97" s="10"/>
      <c r="K97" s="8">
        <v>729</v>
      </c>
      <c r="L97" s="8">
        <v>112</v>
      </c>
      <c r="M97" s="9">
        <v>0.15364</v>
      </c>
      <c r="N97" s="9">
        <v>0.84636</v>
      </c>
      <c r="O97" s="8">
        <v>671</v>
      </c>
      <c r="P97" s="8">
        <v>3519</v>
      </c>
      <c r="Q97" s="10">
        <v>4.83</v>
      </c>
      <c r="R97" s="10">
        <v>4.0999999999999996</v>
      </c>
    </row>
    <row r="98" spans="1:18">
      <c r="A98" s="7">
        <v>92</v>
      </c>
      <c r="B98" s="8">
        <v>515</v>
      </c>
      <c r="C98" s="8">
        <v>75</v>
      </c>
      <c r="D98" s="9">
        <v>0.14563000000000001</v>
      </c>
      <c r="E98" s="9">
        <v>0.85436999999999996</v>
      </c>
      <c r="F98" s="8">
        <v>477</v>
      </c>
      <c r="G98" s="8">
        <v>2475</v>
      </c>
      <c r="H98" s="10">
        <v>4.8099999999999996</v>
      </c>
      <c r="I98" s="10">
        <v>4.05</v>
      </c>
      <c r="J98" s="10"/>
      <c r="K98" s="8">
        <v>617</v>
      </c>
      <c r="L98" s="8">
        <v>93</v>
      </c>
      <c r="M98" s="9">
        <v>0.15073</v>
      </c>
      <c r="N98" s="9">
        <v>0.84926999999999997</v>
      </c>
      <c r="O98" s="8">
        <v>569</v>
      </c>
      <c r="P98" s="8">
        <v>2848</v>
      </c>
      <c r="Q98" s="10">
        <v>4.62</v>
      </c>
      <c r="R98" s="10">
        <v>3.95</v>
      </c>
    </row>
    <row r="99" spans="1:18">
      <c r="A99" s="7">
        <v>93</v>
      </c>
      <c r="B99" s="8">
        <v>440</v>
      </c>
      <c r="C99" s="8">
        <v>66</v>
      </c>
      <c r="D99" s="9">
        <v>0.15</v>
      </c>
      <c r="E99" s="9">
        <v>0.85</v>
      </c>
      <c r="F99" s="8">
        <v>406</v>
      </c>
      <c r="G99" s="8">
        <v>1998</v>
      </c>
      <c r="H99" s="10">
        <v>4.54</v>
      </c>
      <c r="I99" s="10">
        <v>3.78</v>
      </c>
      <c r="J99" s="10"/>
      <c r="K99" s="8">
        <v>524</v>
      </c>
      <c r="L99" s="8">
        <v>81</v>
      </c>
      <c r="M99" s="9">
        <v>0.15458</v>
      </c>
      <c r="N99" s="9">
        <v>0.84541999999999995</v>
      </c>
      <c r="O99" s="8">
        <v>483</v>
      </c>
      <c r="P99" s="8">
        <v>2279</v>
      </c>
      <c r="Q99" s="10">
        <v>4.3499999999999996</v>
      </c>
      <c r="R99" s="10">
        <v>3.68</v>
      </c>
    </row>
    <row r="100" spans="1:18">
      <c r="A100" s="7">
        <v>94</v>
      </c>
      <c r="B100" s="8">
        <v>374</v>
      </c>
      <c r="C100" s="8">
        <v>59</v>
      </c>
      <c r="D100" s="9">
        <v>0.15775</v>
      </c>
      <c r="E100" s="9">
        <v>0.84225000000000005</v>
      </c>
      <c r="F100" s="8">
        <v>345</v>
      </c>
      <c r="G100" s="8">
        <v>1592</v>
      </c>
      <c r="H100" s="10">
        <v>4.26</v>
      </c>
      <c r="I100" s="10">
        <v>3.46</v>
      </c>
      <c r="J100" s="10"/>
      <c r="K100" s="8">
        <v>443</v>
      </c>
      <c r="L100" s="8">
        <v>72</v>
      </c>
      <c r="M100" s="9">
        <v>0.16253000000000001</v>
      </c>
      <c r="N100" s="9">
        <v>0.83747000000000005</v>
      </c>
      <c r="O100" s="8">
        <v>406</v>
      </c>
      <c r="P100" s="8">
        <v>1796</v>
      </c>
      <c r="Q100" s="10">
        <v>4.05</v>
      </c>
      <c r="R100" s="10">
        <v>3.36</v>
      </c>
    </row>
    <row r="101" spans="1:18">
      <c r="A101" s="7">
        <v>95</v>
      </c>
      <c r="B101" s="8">
        <v>315</v>
      </c>
      <c r="C101" s="8">
        <v>55</v>
      </c>
      <c r="D101" s="9">
        <v>0.17460000000000001</v>
      </c>
      <c r="E101" s="9">
        <v>0.82540000000000002</v>
      </c>
      <c r="F101" s="8">
        <v>288</v>
      </c>
      <c r="G101" s="8">
        <v>1247</v>
      </c>
      <c r="H101" s="10">
        <v>3.96</v>
      </c>
      <c r="I101" s="10">
        <v>3.09</v>
      </c>
      <c r="J101" s="10"/>
      <c r="K101" s="8">
        <v>371</v>
      </c>
      <c r="L101" s="8">
        <v>66</v>
      </c>
      <c r="M101" s="9">
        <v>0.1779</v>
      </c>
      <c r="N101" s="9">
        <v>0.82210000000000005</v>
      </c>
      <c r="O101" s="8">
        <v>338</v>
      </c>
      <c r="P101" s="8">
        <v>1390</v>
      </c>
      <c r="Q101" s="10">
        <v>3.75</v>
      </c>
      <c r="R101" s="10">
        <v>2.99</v>
      </c>
    </row>
    <row r="102" spans="1:18">
      <c r="A102" s="7">
        <v>96</v>
      </c>
      <c r="B102" s="8">
        <v>260</v>
      </c>
      <c r="C102" s="8">
        <v>51</v>
      </c>
      <c r="D102" s="9">
        <v>0.19614999999999999</v>
      </c>
      <c r="E102" s="9">
        <v>0.80384999999999995</v>
      </c>
      <c r="F102" s="8">
        <v>234</v>
      </c>
      <c r="G102" s="8">
        <v>959</v>
      </c>
      <c r="H102" s="10">
        <v>3.69</v>
      </c>
      <c r="I102" s="10">
        <v>2.76</v>
      </c>
      <c r="J102" s="10"/>
      <c r="K102" s="8">
        <v>305</v>
      </c>
      <c r="L102" s="8">
        <v>63</v>
      </c>
      <c r="M102" s="9">
        <v>0.20655999999999999</v>
      </c>
      <c r="N102" s="9">
        <v>0.79344000000000003</v>
      </c>
      <c r="O102" s="8">
        <v>274</v>
      </c>
      <c r="P102" s="8">
        <v>1052</v>
      </c>
      <c r="Q102" s="10">
        <v>3.45</v>
      </c>
      <c r="R102" s="10">
        <v>2.65</v>
      </c>
    </row>
    <row r="103" spans="1:18">
      <c r="A103" s="7">
        <v>97</v>
      </c>
      <c r="B103" s="8">
        <v>209</v>
      </c>
      <c r="C103" s="8">
        <v>48</v>
      </c>
      <c r="D103" s="9">
        <v>0.22967000000000001</v>
      </c>
      <c r="E103" s="9">
        <v>0.77032999999999996</v>
      </c>
      <c r="F103" s="8">
        <v>184</v>
      </c>
      <c r="G103" s="8">
        <v>725</v>
      </c>
      <c r="H103" s="10">
        <v>3.47</v>
      </c>
      <c r="I103" s="10">
        <v>2.46</v>
      </c>
      <c r="J103" s="10"/>
      <c r="K103" s="8">
        <v>242</v>
      </c>
      <c r="L103" s="8">
        <v>57</v>
      </c>
      <c r="M103" s="9">
        <v>0.23554</v>
      </c>
      <c r="N103" s="9">
        <v>0.76446000000000003</v>
      </c>
      <c r="O103" s="8">
        <v>213</v>
      </c>
      <c r="P103" s="8">
        <v>778</v>
      </c>
      <c r="Q103" s="10">
        <v>3.21</v>
      </c>
      <c r="R103" s="10">
        <v>2.35</v>
      </c>
    </row>
    <row r="104" spans="1:18">
      <c r="A104" s="7">
        <v>98</v>
      </c>
      <c r="B104" s="8">
        <v>161</v>
      </c>
      <c r="C104" s="8">
        <v>41</v>
      </c>
      <c r="D104" s="9">
        <v>0.25466</v>
      </c>
      <c r="E104" s="9">
        <v>0.74534</v>
      </c>
      <c r="F104" s="8">
        <v>139</v>
      </c>
      <c r="G104" s="8">
        <v>541</v>
      </c>
      <c r="H104" s="10">
        <v>3.36</v>
      </c>
      <c r="I104" s="10">
        <v>2.1800000000000002</v>
      </c>
      <c r="J104" s="10"/>
      <c r="K104" s="8">
        <v>185</v>
      </c>
      <c r="L104" s="8">
        <v>50</v>
      </c>
      <c r="M104" s="9">
        <v>0.27027000000000001</v>
      </c>
      <c r="N104" s="9">
        <v>0.72972999999999999</v>
      </c>
      <c r="O104" s="8">
        <v>159</v>
      </c>
      <c r="P104" s="8">
        <v>565</v>
      </c>
      <c r="Q104" s="10">
        <v>3.05</v>
      </c>
      <c r="R104" s="10">
        <v>2.0699999999999998</v>
      </c>
    </row>
    <row r="105" spans="1:18">
      <c r="A105" s="7">
        <v>99</v>
      </c>
      <c r="B105" s="8">
        <v>120</v>
      </c>
      <c r="C105" s="8">
        <v>34</v>
      </c>
      <c r="D105" s="9">
        <v>0.28333000000000003</v>
      </c>
      <c r="E105" s="9">
        <v>0.71667000000000003</v>
      </c>
      <c r="F105" s="8">
        <v>103</v>
      </c>
      <c r="G105" s="8">
        <v>402</v>
      </c>
      <c r="H105" s="10">
        <v>3.35</v>
      </c>
      <c r="I105" s="10">
        <v>1.87</v>
      </c>
      <c r="J105" s="10"/>
      <c r="K105" s="8">
        <v>135</v>
      </c>
      <c r="L105" s="8">
        <v>40</v>
      </c>
      <c r="M105" s="9">
        <v>0.29630000000000001</v>
      </c>
      <c r="N105" s="9">
        <v>0.70369999999999999</v>
      </c>
      <c r="O105" s="8">
        <v>114</v>
      </c>
      <c r="P105" s="8">
        <v>406</v>
      </c>
      <c r="Q105" s="10">
        <v>3.01</v>
      </c>
      <c r="R105" s="10">
        <v>1.76</v>
      </c>
    </row>
    <row r="106" spans="1:18">
      <c r="A106" s="7">
        <v>100</v>
      </c>
      <c r="B106" s="8">
        <v>86</v>
      </c>
      <c r="C106" s="8">
        <v>30</v>
      </c>
      <c r="D106" s="9">
        <v>0.34883999999999998</v>
      </c>
      <c r="E106" s="9">
        <v>0.65115999999999996</v>
      </c>
      <c r="F106" s="8">
        <v>70</v>
      </c>
      <c r="G106" s="8">
        <v>299</v>
      </c>
      <c r="H106" s="10">
        <v>3.48</v>
      </c>
      <c r="I106" s="10">
        <v>1.81</v>
      </c>
      <c r="J106" s="10"/>
      <c r="K106" s="8">
        <v>95</v>
      </c>
      <c r="L106" s="8">
        <v>36</v>
      </c>
      <c r="M106" s="9">
        <v>0.37895000000000001</v>
      </c>
      <c r="N106" s="9">
        <v>0.62104999999999999</v>
      </c>
      <c r="O106" s="8">
        <v>76</v>
      </c>
      <c r="P106" s="8">
        <v>292</v>
      </c>
      <c r="Q106" s="10">
        <v>3.07</v>
      </c>
      <c r="R106" s="10">
        <v>1.61</v>
      </c>
    </row>
  </sheetData>
  <mergeCells count="4">
    <mergeCell ref="A1:R1"/>
    <mergeCell ref="A2:R2"/>
    <mergeCell ref="B4:I4"/>
    <mergeCell ref="K4:R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06"/>
  <sheetViews>
    <sheetView topLeftCell="A19" workbookViewId="0">
      <selection activeCell="F37" sqref="F37"/>
    </sheetView>
  </sheetViews>
  <sheetFormatPr defaultRowHeight="14.25"/>
  <cols>
    <col min="1" max="1" width="13.875" customWidth="1"/>
    <col min="2" max="2" width="10" customWidth="1"/>
    <col min="3" max="3" width="8" customWidth="1"/>
    <col min="4" max="6" width="10" customWidth="1"/>
    <col min="7" max="7" width="12" customWidth="1"/>
    <col min="8" max="10" width="8" customWidth="1"/>
    <col min="11" max="11" width="10" customWidth="1"/>
    <col min="12" max="12" width="8" customWidth="1"/>
    <col min="13" max="15" width="10" customWidth="1"/>
    <col min="16" max="16" width="12" customWidth="1"/>
    <col min="17" max="18" width="8" customWidth="1"/>
  </cols>
  <sheetData>
    <row r="1" spans="1:18" ht="15.75">
      <c r="A1" s="57" t="s">
        <v>51</v>
      </c>
      <c r="B1" s="58"/>
      <c r="C1" s="58"/>
      <c r="D1" s="58"/>
      <c r="E1" s="58"/>
      <c r="F1" s="58"/>
      <c r="G1" s="58"/>
      <c r="H1" s="58"/>
      <c r="I1" s="58"/>
      <c r="J1" s="58"/>
      <c r="K1" s="58"/>
      <c r="L1" s="58"/>
      <c r="M1" s="58"/>
      <c r="N1" s="58"/>
      <c r="O1" s="58"/>
      <c r="P1" s="58"/>
      <c r="Q1" s="58"/>
      <c r="R1" s="58"/>
    </row>
    <row r="2" spans="1:18">
      <c r="A2" s="55" t="s">
        <v>30</v>
      </c>
      <c r="B2" s="55"/>
      <c r="C2" s="55"/>
      <c r="D2" s="55"/>
      <c r="E2" s="55"/>
      <c r="F2" s="55"/>
      <c r="G2" s="55"/>
      <c r="H2" s="55"/>
      <c r="I2" s="55"/>
      <c r="J2" s="55"/>
      <c r="K2" s="55"/>
      <c r="L2" s="55"/>
      <c r="M2" s="55"/>
      <c r="N2" s="55"/>
      <c r="O2" s="55"/>
      <c r="P2" s="55"/>
      <c r="Q2" s="55"/>
      <c r="R2" s="55"/>
    </row>
    <row r="4" spans="1:18" ht="15">
      <c r="A4" s="22"/>
      <c r="B4" s="59" t="s">
        <v>28</v>
      </c>
      <c r="C4" s="59" t="s">
        <v>28</v>
      </c>
      <c r="D4" s="59" t="s">
        <v>28</v>
      </c>
      <c r="E4" s="59" t="s">
        <v>28</v>
      </c>
      <c r="F4" s="59" t="s">
        <v>28</v>
      </c>
      <c r="G4" s="59" t="s">
        <v>28</v>
      </c>
      <c r="H4" s="59" t="s">
        <v>28</v>
      </c>
      <c r="I4" s="59" t="s">
        <v>28</v>
      </c>
      <c r="J4" s="22"/>
      <c r="K4" s="59" t="s">
        <v>29</v>
      </c>
      <c r="L4" s="59" t="s">
        <v>29</v>
      </c>
      <c r="M4" s="59" t="s">
        <v>29</v>
      </c>
      <c r="N4" s="59" t="s">
        <v>29</v>
      </c>
      <c r="O4" s="59" t="s">
        <v>29</v>
      </c>
      <c r="P4" s="59" t="s">
        <v>29</v>
      </c>
      <c r="Q4" s="59" t="s">
        <v>29</v>
      </c>
      <c r="R4" s="59" t="s">
        <v>29</v>
      </c>
    </row>
    <row r="5" spans="1:18" ht="40.5">
      <c r="A5" s="28" t="s">
        <v>18</v>
      </c>
      <c r="B5" s="28" t="s">
        <v>19</v>
      </c>
      <c r="C5" s="28" t="s">
        <v>20</v>
      </c>
      <c r="D5" s="28" t="s">
        <v>21</v>
      </c>
      <c r="E5" s="28" t="s">
        <v>22</v>
      </c>
      <c r="F5" s="28" t="s">
        <v>23</v>
      </c>
      <c r="G5" s="28" t="s">
        <v>24</v>
      </c>
      <c r="H5" s="28" t="s">
        <v>25</v>
      </c>
      <c r="I5" s="28" t="s">
        <v>26</v>
      </c>
      <c r="J5" s="29"/>
      <c r="K5" s="28" t="s">
        <v>19</v>
      </c>
      <c r="L5" s="28" t="s">
        <v>20</v>
      </c>
      <c r="M5" s="28" t="s">
        <v>21</v>
      </c>
      <c r="N5" s="28" t="s">
        <v>22</v>
      </c>
      <c r="O5" s="28" t="s">
        <v>23</v>
      </c>
      <c r="P5" s="28" t="s">
        <v>24</v>
      </c>
      <c r="Q5" s="28" t="s">
        <v>25</v>
      </c>
      <c r="R5" s="28" t="s">
        <v>26</v>
      </c>
    </row>
    <row r="6" spans="1:18">
      <c r="A6" s="7">
        <v>0</v>
      </c>
      <c r="B6" s="13">
        <v>100000</v>
      </c>
      <c r="C6" s="13">
        <v>30292</v>
      </c>
      <c r="D6" s="14">
        <v>0.30292000000000002</v>
      </c>
      <c r="E6" s="14">
        <v>0.69708000000000003</v>
      </c>
      <c r="F6" s="13">
        <v>79839</v>
      </c>
      <c r="G6" s="13">
        <v>3006579</v>
      </c>
      <c r="H6" s="15">
        <v>30.07</v>
      </c>
      <c r="I6" s="15">
        <v>17.82</v>
      </c>
      <c r="J6" s="15"/>
      <c r="K6" s="13">
        <v>100000</v>
      </c>
      <c r="L6" s="13">
        <v>26514</v>
      </c>
      <c r="M6" s="14">
        <v>0.26513999999999999</v>
      </c>
      <c r="N6" s="14">
        <v>0.73485999999999996</v>
      </c>
      <c r="O6" s="13">
        <v>82765</v>
      </c>
      <c r="P6" s="13">
        <v>3190299</v>
      </c>
      <c r="Q6" s="15">
        <v>31.9</v>
      </c>
      <c r="R6" s="15">
        <v>24.35</v>
      </c>
    </row>
    <row r="7" spans="1:18">
      <c r="A7" s="7">
        <v>1</v>
      </c>
      <c r="B7" s="13">
        <v>69708</v>
      </c>
      <c r="C7" s="13">
        <v>6894</v>
      </c>
      <c r="D7" s="14">
        <v>9.8900000000000002E-2</v>
      </c>
      <c r="E7" s="14">
        <v>0.90110000000000001</v>
      </c>
      <c r="F7" s="13">
        <v>65685</v>
      </c>
      <c r="G7" s="13">
        <v>2926740</v>
      </c>
      <c r="H7" s="15">
        <v>41.99</v>
      </c>
      <c r="I7" s="15">
        <v>48</v>
      </c>
      <c r="J7" s="15"/>
      <c r="K7" s="13">
        <v>73486</v>
      </c>
      <c r="L7" s="13">
        <v>6915</v>
      </c>
      <c r="M7" s="14">
        <v>9.4100000000000003E-2</v>
      </c>
      <c r="N7" s="14">
        <v>0.90590000000000004</v>
      </c>
      <c r="O7" s="13">
        <v>69674</v>
      </c>
      <c r="P7" s="13">
        <v>3107534</v>
      </c>
      <c r="Q7" s="15">
        <v>42.29</v>
      </c>
      <c r="R7" s="15">
        <v>48.66</v>
      </c>
    </row>
    <row r="8" spans="1:18">
      <c r="A8" s="7">
        <v>2</v>
      </c>
      <c r="B8" s="13">
        <v>62814</v>
      </c>
      <c r="C8" s="13">
        <v>3516</v>
      </c>
      <c r="D8" s="14">
        <v>5.5969999999999999E-2</v>
      </c>
      <c r="E8" s="14">
        <v>0.94403000000000004</v>
      </c>
      <c r="F8" s="13">
        <v>60858</v>
      </c>
      <c r="G8" s="13">
        <v>2861055</v>
      </c>
      <c r="H8" s="15">
        <v>45.55</v>
      </c>
      <c r="I8" s="15">
        <v>51.74</v>
      </c>
      <c r="J8" s="15"/>
      <c r="K8" s="13">
        <v>66571</v>
      </c>
      <c r="L8" s="13">
        <v>3635</v>
      </c>
      <c r="M8" s="14">
        <v>5.4600000000000003E-2</v>
      </c>
      <c r="N8" s="14">
        <v>0.94540000000000002</v>
      </c>
      <c r="O8" s="13">
        <v>64561</v>
      </c>
      <c r="P8" s="13">
        <v>3037860</v>
      </c>
      <c r="Q8" s="15">
        <v>45.63</v>
      </c>
      <c r="R8" s="15">
        <v>52.65</v>
      </c>
    </row>
    <row r="9" spans="1:18">
      <c r="A9" s="7">
        <v>3</v>
      </c>
      <c r="B9" s="13">
        <v>59298</v>
      </c>
      <c r="C9" s="13">
        <v>2184</v>
      </c>
      <c r="D9" s="14">
        <v>3.6830000000000002E-2</v>
      </c>
      <c r="E9" s="14">
        <v>0.96316999999999997</v>
      </c>
      <c r="F9" s="13">
        <v>58122</v>
      </c>
      <c r="G9" s="13">
        <v>2800197</v>
      </c>
      <c r="H9" s="15">
        <v>47.22</v>
      </c>
      <c r="I9" s="15">
        <v>52.95</v>
      </c>
      <c r="J9" s="15"/>
      <c r="K9" s="13">
        <v>62936</v>
      </c>
      <c r="L9" s="13">
        <v>2294</v>
      </c>
      <c r="M9" s="14">
        <v>3.6450000000000003E-2</v>
      </c>
      <c r="N9" s="14">
        <v>0.96355000000000002</v>
      </c>
      <c r="O9" s="13">
        <v>61705</v>
      </c>
      <c r="P9" s="13">
        <v>2973299</v>
      </c>
      <c r="Q9" s="15">
        <v>47.24</v>
      </c>
      <c r="R9" s="15">
        <v>53.86</v>
      </c>
    </row>
    <row r="10" spans="1:18">
      <c r="A10" s="7">
        <v>4</v>
      </c>
      <c r="B10" s="13">
        <v>57114</v>
      </c>
      <c r="C10" s="13">
        <v>1516</v>
      </c>
      <c r="D10" s="14">
        <v>2.6540000000000001E-2</v>
      </c>
      <c r="E10" s="14">
        <v>0.97345999999999999</v>
      </c>
      <c r="F10" s="13">
        <v>56311</v>
      </c>
      <c r="G10" s="13">
        <v>2742075</v>
      </c>
      <c r="H10" s="15">
        <v>48.01</v>
      </c>
      <c r="I10" s="15">
        <v>53.24</v>
      </c>
      <c r="J10" s="15"/>
      <c r="K10" s="13">
        <v>60642</v>
      </c>
      <c r="L10" s="13">
        <v>1616</v>
      </c>
      <c r="M10" s="14">
        <v>2.665E-2</v>
      </c>
      <c r="N10" s="14">
        <v>0.97335000000000005</v>
      </c>
      <c r="O10" s="13">
        <v>58788</v>
      </c>
      <c r="P10" s="13">
        <v>2911594</v>
      </c>
      <c r="Q10" s="15">
        <v>48.01</v>
      </c>
      <c r="R10" s="15">
        <v>54.13</v>
      </c>
    </row>
    <row r="11" spans="1:18">
      <c r="A11" s="7">
        <v>5</v>
      </c>
      <c r="B11" s="13">
        <v>55598</v>
      </c>
      <c r="C11" s="13">
        <v>1113</v>
      </c>
      <c r="D11" s="14">
        <v>2.002E-2</v>
      </c>
      <c r="E11" s="14">
        <v>0.97997999999999996</v>
      </c>
      <c r="F11" s="13">
        <v>55010</v>
      </c>
      <c r="G11" s="13">
        <v>2685764</v>
      </c>
      <c r="H11" s="15">
        <v>48.31</v>
      </c>
      <c r="I11" s="15">
        <v>53.11</v>
      </c>
      <c r="J11" s="15"/>
      <c r="K11" s="13">
        <v>59026</v>
      </c>
      <c r="L11" s="13">
        <v>1184</v>
      </c>
      <c r="M11" s="14">
        <v>2.0060000000000001E-2</v>
      </c>
      <c r="N11" s="14">
        <v>0.97994000000000003</v>
      </c>
      <c r="O11" s="13">
        <v>58402</v>
      </c>
      <c r="P11" s="13">
        <v>2852806</v>
      </c>
      <c r="Q11" s="15">
        <v>48.33</v>
      </c>
      <c r="R11" s="15">
        <v>53.98</v>
      </c>
    </row>
    <row r="12" spans="1:18">
      <c r="A12" s="7">
        <v>6</v>
      </c>
      <c r="B12" s="13">
        <v>54485</v>
      </c>
      <c r="C12" s="13">
        <v>777</v>
      </c>
      <c r="D12" s="14">
        <v>1.426E-2</v>
      </c>
      <c r="E12" s="14">
        <v>0.98573999999999995</v>
      </c>
      <c r="F12" s="13">
        <v>54073</v>
      </c>
      <c r="G12" s="13">
        <v>2630754</v>
      </c>
      <c r="H12" s="15">
        <v>48.28</v>
      </c>
      <c r="I12" s="15">
        <v>52.73</v>
      </c>
      <c r="J12" s="15"/>
      <c r="K12" s="13">
        <v>57842</v>
      </c>
      <c r="L12" s="13">
        <v>839</v>
      </c>
      <c r="M12" s="14">
        <v>1.451E-2</v>
      </c>
      <c r="N12" s="14">
        <v>0.98548999999999998</v>
      </c>
      <c r="O12" s="13">
        <v>57399</v>
      </c>
      <c r="P12" s="13">
        <v>2794404</v>
      </c>
      <c r="Q12" s="15">
        <v>48.31</v>
      </c>
      <c r="R12" s="15">
        <v>53.57</v>
      </c>
    </row>
    <row r="13" spans="1:18">
      <c r="A13" s="7">
        <v>7</v>
      </c>
      <c r="B13" s="13">
        <v>53708</v>
      </c>
      <c r="C13" s="13">
        <v>567</v>
      </c>
      <c r="D13" s="14">
        <v>1.056E-2</v>
      </c>
      <c r="E13" s="14">
        <v>0.98943999999999999</v>
      </c>
      <c r="F13" s="13">
        <v>53410</v>
      </c>
      <c r="G13" s="13">
        <v>2576681</v>
      </c>
      <c r="H13" s="15">
        <v>47.98</v>
      </c>
      <c r="I13" s="15">
        <v>52.16</v>
      </c>
      <c r="J13" s="15"/>
      <c r="K13" s="13">
        <v>57003</v>
      </c>
      <c r="L13" s="13">
        <v>600</v>
      </c>
      <c r="M13" s="14">
        <v>1.0529999999999999E-2</v>
      </c>
      <c r="N13" s="14">
        <v>0.98946999999999996</v>
      </c>
      <c r="O13" s="13">
        <v>56688</v>
      </c>
      <c r="P13" s="13">
        <v>2737005</v>
      </c>
      <c r="Q13" s="15">
        <v>48.02</v>
      </c>
      <c r="R13" s="15">
        <v>52.99</v>
      </c>
    </row>
    <row r="14" spans="1:18">
      <c r="A14" s="7">
        <v>8</v>
      </c>
      <c r="B14" s="13">
        <v>53141</v>
      </c>
      <c r="C14" s="13">
        <v>447</v>
      </c>
      <c r="D14" s="14">
        <v>8.4100000000000008E-3</v>
      </c>
      <c r="E14" s="14">
        <v>0.99158999999999997</v>
      </c>
      <c r="F14" s="13">
        <v>52910</v>
      </c>
      <c r="G14" s="13">
        <v>2523271</v>
      </c>
      <c r="H14" s="15">
        <v>47.48</v>
      </c>
      <c r="I14" s="15">
        <v>51.46</v>
      </c>
      <c r="J14" s="15"/>
      <c r="K14" s="13">
        <v>56403</v>
      </c>
      <c r="L14" s="13">
        <v>463</v>
      </c>
      <c r="M14" s="14">
        <v>8.2100000000000003E-3</v>
      </c>
      <c r="N14" s="14">
        <v>0.99178999999999995</v>
      </c>
      <c r="O14" s="13">
        <v>56163</v>
      </c>
      <c r="P14" s="13">
        <v>2680317</v>
      </c>
      <c r="Q14" s="15">
        <v>47.52</v>
      </c>
      <c r="R14" s="15">
        <v>52.27</v>
      </c>
    </row>
    <row r="15" spans="1:18">
      <c r="A15" s="7">
        <v>9</v>
      </c>
      <c r="B15" s="13">
        <v>52694</v>
      </c>
      <c r="C15" s="13">
        <v>380</v>
      </c>
      <c r="D15" s="14">
        <v>7.2100000000000003E-3</v>
      </c>
      <c r="E15" s="14">
        <v>0.99278999999999995</v>
      </c>
      <c r="F15" s="13">
        <v>52499</v>
      </c>
      <c r="G15" s="13">
        <v>2470361</v>
      </c>
      <c r="H15" s="15">
        <v>46.88</v>
      </c>
      <c r="I15" s="15">
        <v>50.7</v>
      </c>
      <c r="J15" s="15"/>
      <c r="K15" s="13">
        <v>55940</v>
      </c>
      <c r="L15" s="13">
        <v>386</v>
      </c>
      <c r="M15" s="14">
        <v>6.8999999999999999E-3</v>
      </c>
      <c r="N15" s="14">
        <v>0.99309999999999998</v>
      </c>
      <c r="O15" s="13">
        <v>55742</v>
      </c>
      <c r="P15" s="13">
        <v>2624154</v>
      </c>
      <c r="Q15" s="15">
        <v>46.91</v>
      </c>
      <c r="R15" s="15">
        <v>51.49</v>
      </c>
    </row>
    <row r="16" spans="1:18">
      <c r="A16" s="7">
        <v>10</v>
      </c>
      <c r="B16" s="13">
        <v>52314</v>
      </c>
      <c r="C16" s="13">
        <v>336</v>
      </c>
      <c r="D16" s="14">
        <v>6.4200000000000004E-3</v>
      </c>
      <c r="E16" s="14">
        <v>0.99358000000000002</v>
      </c>
      <c r="F16" s="13">
        <v>52142</v>
      </c>
      <c r="G16" s="13">
        <v>2417862</v>
      </c>
      <c r="H16" s="15">
        <v>46.22</v>
      </c>
      <c r="I16" s="15">
        <v>49.9</v>
      </c>
      <c r="J16" s="15"/>
      <c r="K16" s="13">
        <v>55554</v>
      </c>
      <c r="L16" s="13">
        <v>342</v>
      </c>
      <c r="M16" s="14">
        <v>6.1599999999999997E-3</v>
      </c>
      <c r="N16" s="14">
        <v>0.99383999999999995</v>
      </c>
      <c r="O16" s="13">
        <v>55380</v>
      </c>
      <c r="P16" s="13">
        <v>2568412</v>
      </c>
      <c r="Q16" s="15">
        <v>46.23</v>
      </c>
      <c r="R16" s="15">
        <v>50.67</v>
      </c>
    </row>
    <row r="17" spans="1:18">
      <c r="A17" s="7">
        <v>11</v>
      </c>
      <c r="B17" s="13">
        <v>51978</v>
      </c>
      <c r="C17" s="13">
        <v>294</v>
      </c>
      <c r="D17" s="14">
        <v>5.6600000000000001E-3</v>
      </c>
      <c r="E17" s="14">
        <v>0.99434</v>
      </c>
      <c r="F17" s="13">
        <v>51828</v>
      </c>
      <c r="G17" s="13">
        <v>2365720</v>
      </c>
      <c r="H17" s="15">
        <v>45.51</v>
      </c>
      <c r="I17" s="15">
        <v>49.08</v>
      </c>
      <c r="J17" s="15"/>
      <c r="K17" s="13">
        <v>55212</v>
      </c>
      <c r="L17" s="13">
        <v>306</v>
      </c>
      <c r="M17" s="14">
        <v>5.5399999999999998E-3</v>
      </c>
      <c r="N17" s="14">
        <v>0.99446000000000001</v>
      </c>
      <c r="O17" s="13">
        <v>55056</v>
      </c>
      <c r="P17" s="13">
        <v>2513032</v>
      </c>
      <c r="Q17" s="15">
        <v>45.52</v>
      </c>
      <c r="R17" s="15">
        <v>49.85</v>
      </c>
    </row>
    <row r="18" spans="1:18">
      <c r="A18" s="7">
        <v>12</v>
      </c>
      <c r="B18" s="13">
        <v>51684</v>
      </c>
      <c r="C18" s="13">
        <v>255</v>
      </c>
      <c r="D18" s="14">
        <v>4.9300000000000004E-3</v>
      </c>
      <c r="E18" s="14">
        <v>0.99507000000000001</v>
      </c>
      <c r="F18" s="13">
        <v>51554</v>
      </c>
      <c r="G18" s="13">
        <v>2313892</v>
      </c>
      <c r="H18" s="15">
        <v>44.77</v>
      </c>
      <c r="I18" s="15">
        <v>48.23</v>
      </c>
      <c r="J18" s="15"/>
      <c r="K18" s="13">
        <v>54906</v>
      </c>
      <c r="L18" s="13">
        <v>281</v>
      </c>
      <c r="M18" s="14">
        <v>5.1200000000000004E-3</v>
      </c>
      <c r="N18" s="14">
        <v>0.99487999999999999</v>
      </c>
      <c r="O18" s="13">
        <v>54764</v>
      </c>
      <c r="P18" s="13">
        <v>2457976</v>
      </c>
      <c r="Q18" s="15">
        <v>44.77</v>
      </c>
      <c r="R18" s="15">
        <v>48.98</v>
      </c>
    </row>
    <row r="19" spans="1:18">
      <c r="A19" s="7">
        <v>13</v>
      </c>
      <c r="B19" s="13">
        <v>51429</v>
      </c>
      <c r="C19" s="13">
        <v>235</v>
      </c>
      <c r="D19" s="14">
        <v>4.5700000000000003E-3</v>
      </c>
      <c r="E19" s="14">
        <v>0.99543000000000004</v>
      </c>
      <c r="F19" s="13">
        <v>51312</v>
      </c>
      <c r="G19" s="13">
        <v>2262338</v>
      </c>
      <c r="H19" s="15">
        <v>43.99</v>
      </c>
      <c r="I19" s="15">
        <v>47.36</v>
      </c>
      <c r="J19" s="15"/>
      <c r="K19" s="13">
        <v>54625</v>
      </c>
      <c r="L19" s="13">
        <v>275</v>
      </c>
      <c r="M19" s="14">
        <v>5.0299999999999997E-3</v>
      </c>
      <c r="N19" s="14">
        <v>0.99497000000000002</v>
      </c>
      <c r="O19" s="13">
        <v>54488</v>
      </c>
      <c r="P19" s="13">
        <v>2403212</v>
      </c>
      <c r="Q19" s="15">
        <v>43.99</v>
      </c>
      <c r="R19" s="15">
        <v>48.1</v>
      </c>
    </row>
    <row r="20" spans="1:18">
      <c r="A20" s="7">
        <v>14</v>
      </c>
      <c r="B20" s="13">
        <v>51194</v>
      </c>
      <c r="C20" s="13">
        <v>250</v>
      </c>
      <c r="D20" s="14">
        <v>4.8799999999999998E-3</v>
      </c>
      <c r="E20" s="14">
        <v>0.99512</v>
      </c>
      <c r="F20" s="13">
        <v>51071</v>
      </c>
      <c r="G20" s="13">
        <v>2211026</v>
      </c>
      <c r="H20" s="15">
        <v>43.19</v>
      </c>
      <c r="I20" s="15">
        <v>46.48</v>
      </c>
      <c r="J20" s="15"/>
      <c r="K20" s="13">
        <v>54350</v>
      </c>
      <c r="L20" s="13">
        <v>298</v>
      </c>
      <c r="M20" s="14">
        <v>5.4799999999999996E-3</v>
      </c>
      <c r="N20" s="14">
        <v>0.99451999999999996</v>
      </c>
      <c r="O20" s="13">
        <v>54204</v>
      </c>
      <c r="P20" s="13">
        <v>2348724</v>
      </c>
      <c r="Q20" s="15">
        <v>43.21</v>
      </c>
      <c r="R20" s="15">
        <v>47.23</v>
      </c>
    </row>
    <row r="21" spans="1:18">
      <c r="A21" s="7">
        <v>15</v>
      </c>
      <c r="B21" s="13">
        <v>50944</v>
      </c>
      <c r="C21" s="13">
        <v>291</v>
      </c>
      <c r="D21" s="14">
        <v>5.7099999999999998E-3</v>
      </c>
      <c r="E21" s="14">
        <v>0.99429000000000001</v>
      </c>
      <c r="F21" s="13">
        <v>50802</v>
      </c>
      <c r="G21" s="13">
        <v>2159955</v>
      </c>
      <c r="H21" s="15">
        <v>42.4</v>
      </c>
      <c r="I21" s="15">
        <v>45.61</v>
      </c>
      <c r="J21" s="15"/>
      <c r="K21" s="13">
        <v>54052</v>
      </c>
      <c r="L21" s="13">
        <v>346</v>
      </c>
      <c r="M21" s="14">
        <v>6.4000000000000003E-3</v>
      </c>
      <c r="N21" s="14">
        <v>0.99360000000000004</v>
      </c>
      <c r="O21" s="13">
        <v>53883</v>
      </c>
      <c r="P21" s="13">
        <v>2294520</v>
      </c>
      <c r="Q21" s="15">
        <v>42.45</v>
      </c>
      <c r="R21" s="15">
        <v>46.36</v>
      </c>
    </row>
    <row r="22" spans="1:18">
      <c r="A22" s="7">
        <v>16</v>
      </c>
      <c r="B22" s="13">
        <v>50653</v>
      </c>
      <c r="C22" s="13">
        <v>342</v>
      </c>
      <c r="D22" s="14">
        <v>6.7499999999999999E-3</v>
      </c>
      <c r="E22" s="14">
        <v>0.99324999999999997</v>
      </c>
      <c r="F22" s="13">
        <v>50486</v>
      </c>
      <c r="G22" s="13">
        <v>2109153</v>
      </c>
      <c r="H22" s="15">
        <v>41.64</v>
      </c>
      <c r="I22" s="15">
        <v>44.76</v>
      </c>
      <c r="J22" s="15"/>
      <c r="K22" s="13">
        <v>53706</v>
      </c>
      <c r="L22" s="13">
        <v>396</v>
      </c>
      <c r="M22" s="14">
        <v>7.3699999999999998E-3</v>
      </c>
      <c r="N22" s="14">
        <v>0.99263000000000001</v>
      </c>
      <c r="O22" s="13">
        <v>53511</v>
      </c>
      <c r="P22" s="13">
        <v>2240637</v>
      </c>
      <c r="Q22" s="15">
        <v>41.72</v>
      </c>
      <c r="R22" s="15">
        <v>45.52</v>
      </c>
    </row>
    <row r="23" spans="1:18">
      <c r="A23" s="7">
        <v>17</v>
      </c>
      <c r="B23" s="13">
        <v>50311</v>
      </c>
      <c r="C23" s="13">
        <v>377</v>
      </c>
      <c r="D23" s="14">
        <v>7.4900000000000001E-3</v>
      </c>
      <c r="E23" s="14">
        <v>0.99251</v>
      </c>
      <c r="F23" s="13">
        <v>50124</v>
      </c>
      <c r="G23" s="13">
        <v>2058667</v>
      </c>
      <c r="H23" s="15">
        <v>40.92</v>
      </c>
      <c r="I23" s="15">
        <v>43.93</v>
      </c>
      <c r="J23" s="15"/>
      <c r="K23" s="13">
        <v>53310</v>
      </c>
      <c r="L23" s="13">
        <v>429</v>
      </c>
      <c r="M23" s="14">
        <v>8.0499999999999999E-3</v>
      </c>
      <c r="N23" s="14">
        <v>0.99195</v>
      </c>
      <c r="O23" s="13">
        <v>53098</v>
      </c>
      <c r="P23" s="13">
        <v>2187126</v>
      </c>
      <c r="Q23" s="15">
        <v>41.03</v>
      </c>
      <c r="R23" s="15">
        <v>44.69</v>
      </c>
    </row>
    <row r="24" spans="1:18">
      <c r="A24" s="7">
        <v>18</v>
      </c>
      <c r="B24" s="13">
        <v>49934</v>
      </c>
      <c r="C24" s="13">
        <v>390</v>
      </c>
      <c r="D24" s="14">
        <v>7.8100000000000001E-3</v>
      </c>
      <c r="E24" s="14">
        <v>0.99219000000000002</v>
      </c>
      <c r="F24" s="13">
        <v>49740</v>
      </c>
      <c r="G24" s="13">
        <v>2008543</v>
      </c>
      <c r="H24" s="15">
        <v>40.22</v>
      </c>
      <c r="I24" s="15">
        <v>43.12</v>
      </c>
      <c r="J24" s="15"/>
      <c r="K24" s="13">
        <v>52881</v>
      </c>
      <c r="L24" s="13">
        <v>437</v>
      </c>
      <c r="M24" s="14">
        <v>8.26E-3</v>
      </c>
      <c r="N24" s="14">
        <v>0.99173999999999995</v>
      </c>
      <c r="O24" s="13">
        <v>52664</v>
      </c>
      <c r="P24" s="13">
        <v>2134028</v>
      </c>
      <c r="Q24" s="15">
        <v>40.36</v>
      </c>
      <c r="R24" s="15">
        <v>43.88</v>
      </c>
    </row>
    <row r="25" spans="1:18">
      <c r="A25" s="7">
        <v>19</v>
      </c>
      <c r="B25" s="13">
        <v>49544</v>
      </c>
      <c r="C25" s="13">
        <v>396</v>
      </c>
      <c r="D25" s="14">
        <v>7.9900000000000006E-3</v>
      </c>
      <c r="E25" s="14">
        <v>0.99200999999999995</v>
      </c>
      <c r="F25" s="13">
        <v>49347</v>
      </c>
      <c r="G25" s="13">
        <v>1958803</v>
      </c>
      <c r="H25" s="15">
        <v>39.54</v>
      </c>
      <c r="I25" s="15">
        <v>42.32</v>
      </c>
      <c r="J25" s="15"/>
      <c r="K25" s="13">
        <v>52444</v>
      </c>
      <c r="L25" s="13">
        <v>442</v>
      </c>
      <c r="M25" s="14">
        <v>8.43E-3</v>
      </c>
      <c r="N25" s="14">
        <v>0.99156999999999995</v>
      </c>
      <c r="O25" s="13">
        <v>52223</v>
      </c>
      <c r="P25" s="13">
        <v>2081364</v>
      </c>
      <c r="Q25" s="15">
        <v>39.69</v>
      </c>
      <c r="R25" s="15">
        <v>43.08</v>
      </c>
    </row>
    <row r="26" spans="1:18">
      <c r="A26" s="7">
        <v>20</v>
      </c>
      <c r="B26" s="13">
        <v>49148</v>
      </c>
      <c r="C26" s="13">
        <v>403</v>
      </c>
      <c r="D26" s="14">
        <v>8.2000000000000007E-3</v>
      </c>
      <c r="E26" s="14">
        <v>0.99180000000000001</v>
      </c>
      <c r="F26" s="13">
        <v>48947</v>
      </c>
      <c r="G26" s="13">
        <v>1909456</v>
      </c>
      <c r="H26" s="15">
        <v>38.85</v>
      </c>
      <c r="I26" s="15">
        <v>41.51</v>
      </c>
      <c r="J26" s="15"/>
      <c r="K26" s="13">
        <v>52002</v>
      </c>
      <c r="L26" s="13">
        <v>446</v>
      </c>
      <c r="M26" s="14">
        <v>8.5800000000000008E-3</v>
      </c>
      <c r="N26" s="14">
        <v>0.99141999999999997</v>
      </c>
      <c r="O26" s="13">
        <v>51580</v>
      </c>
      <c r="P26" s="13">
        <v>2029141</v>
      </c>
      <c r="Q26" s="15">
        <v>39.020000000000003</v>
      </c>
      <c r="R26" s="15">
        <v>42.27</v>
      </c>
    </row>
    <row r="27" spans="1:18">
      <c r="A27" s="7">
        <v>21</v>
      </c>
      <c r="B27" s="13">
        <v>48745</v>
      </c>
      <c r="C27" s="13">
        <v>413</v>
      </c>
      <c r="D27" s="14">
        <v>8.4700000000000001E-3</v>
      </c>
      <c r="E27" s="14">
        <v>0.99153000000000002</v>
      </c>
      <c r="F27" s="13">
        <v>48539</v>
      </c>
      <c r="G27" s="13">
        <v>1860509</v>
      </c>
      <c r="H27" s="15">
        <v>38.17</v>
      </c>
      <c r="I27" s="15">
        <v>40.71</v>
      </c>
      <c r="J27" s="15"/>
      <c r="K27" s="13">
        <v>51556</v>
      </c>
      <c r="L27" s="13">
        <v>458</v>
      </c>
      <c r="M27" s="14">
        <v>8.8800000000000007E-3</v>
      </c>
      <c r="N27" s="14">
        <v>0.99112</v>
      </c>
      <c r="O27" s="13">
        <v>51528</v>
      </c>
      <c r="P27" s="13">
        <v>1977561</v>
      </c>
      <c r="Q27" s="15">
        <v>38.36</v>
      </c>
      <c r="R27" s="15">
        <v>41.46</v>
      </c>
    </row>
    <row r="28" spans="1:18">
      <c r="A28" s="7">
        <v>22</v>
      </c>
      <c r="B28" s="13">
        <v>48332</v>
      </c>
      <c r="C28" s="13">
        <v>417</v>
      </c>
      <c r="D28" s="14">
        <v>8.6300000000000005E-3</v>
      </c>
      <c r="E28" s="14">
        <v>0.99136999999999997</v>
      </c>
      <c r="F28" s="13">
        <v>48124</v>
      </c>
      <c r="G28" s="13">
        <v>1811970</v>
      </c>
      <c r="H28" s="15">
        <v>37.49</v>
      </c>
      <c r="I28" s="15">
        <v>39.909999999999997</v>
      </c>
      <c r="J28" s="15"/>
      <c r="K28" s="13">
        <v>51098</v>
      </c>
      <c r="L28" s="13">
        <v>462</v>
      </c>
      <c r="M28" s="14">
        <v>9.0399999999999994E-3</v>
      </c>
      <c r="N28" s="14">
        <v>0.99095999999999995</v>
      </c>
      <c r="O28" s="13">
        <v>50867</v>
      </c>
      <c r="P28" s="13">
        <v>1926033</v>
      </c>
      <c r="Q28" s="15">
        <v>37.69</v>
      </c>
      <c r="R28" s="15">
        <v>40.65</v>
      </c>
    </row>
    <row r="29" spans="1:18">
      <c r="A29" s="7">
        <v>23</v>
      </c>
      <c r="B29" s="13">
        <v>47915</v>
      </c>
      <c r="C29" s="13">
        <v>422</v>
      </c>
      <c r="D29" s="14">
        <v>8.8100000000000001E-3</v>
      </c>
      <c r="E29" s="14">
        <v>0.99119000000000002</v>
      </c>
      <c r="F29" s="13">
        <v>47704</v>
      </c>
      <c r="G29" s="13">
        <v>1763846</v>
      </c>
      <c r="H29" s="15">
        <v>36.81</v>
      </c>
      <c r="I29" s="15">
        <v>39.119999999999997</v>
      </c>
      <c r="J29" s="15"/>
      <c r="K29" s="13">
        <v>50636</v>
      </c>
      <c r="L29" s="13">
        <v>469</v>
      </c>
      <c r="M29" s="14">
        <v>9.2599999999999991E-3</v>
      </c>
      <c r="N29" s="14">
        <v>0.99073999999999995</v>
      </c>
      <c r="O29" s="13">
        <v>50403</v>
      </c>
      <c r="P29" s="13">
        <v>1875166</v>
      </c>
      <c r="Q29" s="15">
        <v>37.03</v>
      </c>
      <c r="R29" s="15">
        <v>39.85</v>
      </c>
    </row>
    <row r="30" spans="1:18">
      <c r="A30" s="7">
        <v>24</v>
      </c>
      <c r="B30" s="13">
        <v>47493</v>
      </c>
      <c r="C30" s="13">
        <v>426</v>
      </c>
      <c r="D30" s="14">
        <v>8.9700000000000005E-3</v>
      </c>
      <c r="E30" s="14">
        <v>0.99102999999999997</v>
      </c>
      <c r="F30" s="13">
        <v>47280</v>
      </c>
      <c r="G30" s="13">
        <v>1716142</v>
      </c>
      <c r="H30" s="15">
        <v>36.130000000000003</v>
      </c>
      <c r="I30" s="15">
        <v>38.32</v>
      </c>
      <c r="J30" s="15"/>
      <c r="K30" s="13">
        <v>50167</v>
      </c>
      <c r="L30" s="13">
        <v>476</v>
      </c>
      <c r="M30" s="14">
        <v>9.4900000000000002E-3</v>
      </c>
      <c r="N30" s="14">
        <v>0.99051</v>
      </c>
      <c r="O30" s="13">
        <v>49931</v>
      </c>
      <c r="P30" s="13">
        <v>1824763</v>
      </c>
      <c r="Q30" s="15">
        <v>36.369999999999997</v>
      </c>
      <c r="R30" s="15">
        <v>39.049999999999997</v>
      </c>
    </row>
    <row r="31" spans="1:18">
      <c r="A31" s="7">
        <v>25</v>
      </c>
      <c r="B31" s="13">
        <v>47067</v>
      </c>
      <c r="C31" s="13">
        <v>430</v>
      </c>
      <c r="D31" s="14">
        <v>9.1400000000000006E-3</v>
      </c>
      <c r="E31" s="14">
        <v>0.99085999999999996</v>
      </c>
      <c r="F31" s="13">
        <v>46852</v>
      </c>
      <c r="G31" s="13">
        <v>1668862</v>
      </c>
      <c r="H31" s="15">
        <v>35.46</v>
      </c>
      <c r="I31" s="15">
        <v>37.520000000000003</v>
      </c>
      <c r="J31" s="15"/>
      <c r="K31" s="13">
        <v>49691</v>
      </c>
      <c r="L31" s="13">
        <v>482</v>
      </c>
      <c r="M31" s="14">
        <v>9.7000000000000003E-3</v>
      </c>
      <c r="N31" s="14">
        <v>0.99029999999999996</v>
      </c>
      <c r="O31" s="13">
        <v>49450</v>
      </c>
      <c r="P31" s="13">
        <v>1774832</v>
      </c>
      <c r="Q31" s="15">
        <v>35.72</v>
      </c>
      <c r="R31" s="15">
        <v>38.25</v>
      </c>
    </row>
    <row r="32" spans="1:18">
      <c r="A32" s="7">
        <v>26</v>
      </c>
      <c r="B32" s="13">
        <v>46637</v>
      </c>
      <c r="C32" s="13">
        <v>432</v>
      </c>
      <c r="D32" s="14">
        <v>9.2599999999999991E-3</v>
      </c>
      <c r="E32" s="14">
        <v>0.99073999999999995</v>
      </c>
      <c r="F32" s="13">
        <v>46421</v>
      </c>
      <c r="G32" s="13">
        <v>1622010</v>
      </c>
      <c r="H32" s="15">
        <v>34.78</v>
      </c>
      <c r="I32" s="15">
        <v>36.729999999999997</v>
      </c>
      <c r="J32" s="15"/>
      <c r="K32" s="13">
        <v>49209</v>
      </c>
      <c r="L32" s="13">
        <v>486</v>
      </c>
      <c r="M32" s="14">
        <v>9.8799999999999999E-3</v>
      </c>
      <c r="N32" s="14">
        <v>0.99012</v>
      </c>
      <c r="O32" s="13">
        <v>48966</v>
      </c>
      <c r="P32" s="13">
        <v>1725382</v>
      </c>
      <c r="Q32" s="15">
        <v>35.06</v>
      </c>
      <c r="R32" s="15">
        <v>37.450000000000003</v>
      </c>
    </row>
    <row r="33" spans="1:18">
      <c r="A33" s="7">
        <v>27</v>
      </c>
      <c r="B33" s="13">
        <v>46205</v>
      </c>
      <c r="C33" s="13">
        <v>433</v>
      </c>
      <c r="D33" s="14">
        <v>9.3699999999999999E-3</v>
      </c>
      <c r="E33" s="14">
        <v>0.99063000000000001</v>
      </c>
      <c r="F33" s="13">
        <v>45988</v>
      </c>
      <c r="G33" s="13">
        <v>1575589</v>
      </c>
      <c r="H33" s="15">
        <v>34.1</v>
      </c>
      <c r="I33" s="15">
        <v>35.93</v>
      </c>
      <c r="J33" s="15"/>
      <c r="K33" s="13">
        <v>48723</v>
      </c>
      <c r="L33" s="13">
        <v>490</v>
      </c>
      <c r="M33" s="14">
        <v>1.0059999999999999E-2</v>
      </c>
      <c r="N33" s="14">
        <v>0.98994000000000004</v>
      </c>
      <c r="O33" s="13">
        <v>48478</v>
      </c>
      <c r="P33" s="13">
        <v>1676416</v>
      </c>
      <c r="Q33" s="15">
        <v>34.409999999999997</v>
      </c>
      <c r="R33" s="15">
        <v>36.65</v>
      </c>
    </row>
    <row r="34" spans="1:18">
      <c r="A34" s="7">
        <v>28</v>
      </c>
      <c r="B34" s="13">
        <v>45772</v>
      </c>
      <c r="C34" s="13">
        <v>432</v>
      </c>
      <c r="D34" s="14">
        <v>9.4400000000000005E-3</v>
      </c>
      <c r="E34" s="14">
        <v>0.99056</v>
      </c>
      <c r="F34" s="13">
        <v>45556</v>
      </c>
      <c r="G34" s="13">
        <v>1529601</v>
      </c>
      <c r="H34" s="15">
        <v>33.42</v>
      </c>
      <c r="I34" s="15">
        <v>35.14</v>
      </c>
      <c r="J34" s="15"/>
      <c r="K34" s="13">
        <v>48233</v>
      </c>
      <c r="L34" s="13">
        <v>489</v>
      </c>
      <c r="M34" s="14">
        <v>1.014E-2</v>
      </c>
      <c r="N34" s="14">
        <v>0.98985999999999996</v>
      </c>
      <c r="O34" s="13">
        <v>47988</v>
      </c>
      <c r="P34" s="13">
        <v>1627938</v>
      </c>
      <c r="Q34" s="15">
        <v>33.75</v>
      </c>
      <c r="R34" s="15">
        <v>35.85</v>
      </c>
    </row>
    <row r="35" spans="1:18">
      <c r="A35" s="7">
        <v>29</v>
      </c>
      <c r="B35" s="13">
        <v>45340</v>
      </c>
      <c r="C35" s="13">
        <v>430</v>
      </c>
      <c r="D35" s="14">
        <v>9.4800000000000006E-3</v>
      </c>
      <c r="E35" s="14">
        <v>0.99051999999999996</v>
      </c>
      <c r="F35" s="13">
        <v>45125</v>
      </c>
      <c r="G35" s="13">
        <v>1484045</v>
      </c>
      <c r="H35" s="15">
        <v>32.729999999999997</v>
      </c>
      <c r="I35" s="15">
        <v>34.340000000000003</v>
      </c>
      <c r="J35" s="15"/>
      <c r="K35" s="13">
        <v>47744</v>
      </c>
      <c r="L35" s="13">
        <v>488</v>
      </c>
      <c r="M35" s="14">
        <v>1.022E-2</v>
      </c>
      <c r="N35" s="14">
        <v>0.98977999999999999</v>
      </c>
      <c r="O35" s="13">
        <v>47500</v>
      </c>
      <c r="P35" s="13">
        <v>1579950</v>
      </c>
      <c r="Q35" s="15">
        <v>33.090000000000003</v>
      </c>
      <c r="R35" s="15">
        <v>35.06</v>
      </c>
    </row>
    <row r="36" spans="1:18">
      <c r="A36" s="7">
        <v>30</v>
      </c>
      <c r="B36" s="13">
        <v>44910</v>
      </c>
      <c r="C36" s="13">
        <v>428</v>
      </c>
      <c r="D36" s="14">
        <v>9.5300000000000003E-3</v>
      </c>
      <c r="E36" s="14">
        <v>0.99046999999999996</v>
      </c>
      <c r="F36" s="13">
        <v>44696</v>
      </c>
      <c r="G36" s="13">
        <v>1438920</v>
      </c>
      <c r="H36" s="15">
        <v>32.04</v>
      </c>
      <c r="I36" s="15">
        <v>33.54</v>
      </c>
      <c r="J36" s="15"/>
      <c r="K36" s="13">
        <v>47256</v>
      </c>
      <c r="L36" s="13">
        <v>486</v>
      </c>
      <c r="M36" s="14">
        <v>1.0279999999999999E-2</v>
      </c>
      <c r="N36" s="14">
        <v>0.98972000000000004</v>
      </c>
      <c r="O36" s="13">
        <v>47013</v>
      </c>
      <c r="P36" s="13">
        <v>1532450</v>
      </c>
      <c r="Q36" s="15">
        <v>32.43</v>
      </c>
      <c r="R36" s="15">
        <v>34.25</v>
      </c>
    </row>
    <row r="37" spans="1:18">
      <c r="A37" s="7">
        <v>31</v>
      </c>
      <c r="B37" s="13">
        <v>44482</v>
      </c>
      <c r="C37" s="13">
        <v>427</v>
      </c>
      <c r="D37" s="14">
        <v>9.5999999999999992E-3</v>
      </c>
      <c r="E37" s="14">
        <v>0.99039999999999995</v>
      </c>
      <c r="F37" s="13">
        <v>44268</v>
      </c>
      <c r="G37" s="13">
        <v>1394224</v>
      </c>
      <c r="H37" s="15">
        <v>31.34</v>
      </c>
      <c r="I37" s="15">
        <v>32.74</v>
      </c>
      <c r="J37" s="15"/>
      <c r="K37" s="13">
        <v>46770</v>
      </c>
      <c r="L37" s="13">
        <v>484</v>
      </c>
      <c r="M37" s="14">
        <v>1.035E-2</v>
      </c>
      <c r="N37" s="14">
        <v>0.98965000000000003</v>
      </c>
      <c r="O37" s="13">
        <v>46528</v>
      </c>
      <c r="P37" s="13">
        <v>1485437</v>
      </c>
      <c r="Q37" s="15">
        <v>31.76</v>
      </c>
      <c r="R37" s="15">
        <v>33.450000000000003</v>
      </c>
    </row>
    <row r="38" spans="1:18">
      <c r="A38" s="7">
        <v>32</v>
      </c>
      <c r="B38" s="13">
        <v>44055</v>
      </c>
      <c r="C38" s="13">
        <v>428</v>
      </c>
      <c r="D38" s="14">
        <v>9.7199999999999995E-3</v>
      </c>
      <c r="E38" s="14">
        <v>0.99028000000000005</v>
      </c>
      <c r="F38" s="13">
        <v>43841</v>
      </c>
      <c r="G38" s="13">
        <v>1349956</v>
      </c>
      <c r="H38" s="15">
        <v>30.64</v>
      </c>
      <c r="I38" s="15">
        <v>31.93</v>
      </c>
      <c r="J38" s="15"/>
      <c r="K38" s="13">
        <v>46286</v>
      </c>
      <c r="L38" s="13">
        <v>483</v>
      </c>
      <c r="M38" s="14">
        <v>1.044E-2</v>
      </c>
      <c r="N38" s="14">
        <v>0.98956</v>
      </c>
      <c r="O38" s="13">
        <v>46045</v>
      </c>
      <c r="P38" s="13">
        <v>1438909</v>
      </c>
      <c r="Q38" s="15">
        <v>31.09</v>
      </c>
      <c r="R38" s="15">
        <v>32.65</v>
      </c>
    </row>
    <row r="39" spans="1:18">
      <c r="A39" s="7">
        <v>33</v>
      </c>
      <c r="B39" s="13">
        <v>43627</v>
      </c>
      <c r="C39" s="13">
        <v>430</v>
      </c>
      <c r="D39" s="14">
        <v>9.8600000000000007E-3</v>
      </c>
      <c r="E39" s="14">
        <v>0.99014000000000002</v>
      </c>
      <c r="F39" s="13">
        <v>43412</v>
      </c>
      <c r="G39" s="13">
        <v>1306115</v>
      </c>
      <c r="H39" s="15">
        <v>29.94</v>
      </c>
      <c r="I39" s="15">
        <v>31.13</v>
      </c>
      <c r="J39" s="15"/>
      <c r="K39" s="13">
        <v>45803</v>
      </c>
      <c r="L39" s="13">
        <v>484</v>
      </c>
      <c r="M39" s="14">
        <v>1.057E-2</v>
      </c>
      <c r="N39" s="14">
        <v>0.98943000000000003</v>
      </c>
      <c r="O39" s="13">
        <v>45562</v>
      </c>
      <c r="P39" s="13">
        <v>1392864</v>
      </c>
      <c r="Q39" s="15">
        <v>30.41</v>
      </c>
      <c r="R39" s="15">
        <v>31.84</v>
      </c>
    </row>
    <row r="40" spans="1:18">
      <c r="A40" s="7">
        <v>34</v>
      </c>
      <c r="B40" s="13">
        <v>43197</v>
      </c>
      <c r="C40" s="13">
        <v>438</v>
      </c>
      <c r="D40" s="14">
        <v>1.014E-2</v>
      </c>
      <c r="E40" s="14">
        <v>0.98985999999999996</v>
      </c>
      <c r="F40" s="13">
        <v>42979</v>
      </c>
      <c r="G40" s="13">
        <v>1262703</v>
      </c>
      <c r="H40" s="15">
        <v>29.23</v>
      </c>
      <c r="I40" s="15">
        <v>30.33</v>
      </c>
      <c r="J40" s="15"/>
      <c r="K40" s="13">
        <v>45319</v>
      </c>
      <c r="L40" s="13">
        <v>490</v>
      </c>
      <c r="M40" s="14">
        <v>1.081E-2</v>
      </c>
      <c r="N40" s="14">
        <v>0.98919000000000001</v>
      </c>
      <c r="O40" s="13">
        <v>45075</v>
      </c>
      <c r="P40" s="13">
        <v>1347302</v>
      </c>
      <c r="Q40" s="15">
        <v>29.73</v>
      </c>
      <c r="R40" s="15">
        <v>31.04</v>
      </c>
    </row>
    <row r="41" spans="1:18">
      <c r="A41" s="7">
        <v>35</v>
      </c>
      <c r="B41" s="13">
        <v>42759</v>
      </c>
      <c r="C41" s="13">
        <v>451</v>
      </c>
      <c r="D41" s="14">
        <v>1.055E-2</v>
      </c>
      <c r="E41" s="14">
        <v>0.98945000000000005</v>
      </c>
      <c r="F41" s="13">
        <v>42535</v>
      </c>
      <c r="G41" s="13">
        <v>1219724</v>
      </c>
      <c r="H41" s="15">
        <v>28.53</v>
      </c>
      <c r="I41" s="15">
        <v>29.53</v>
      </c>
      <c r="J41" s="15"/>
      <c r="K41" s="13">
        <v>44829</v>
      </c>
      <c r="L41" s="13">
        <v>497</v>
      </c>
      <c r="M41" s="14">
        <v>1.1089999999999999E-2</v>
      </c>
      <c r="N41" s="14">
        <v>0.98890999999999996</v>
      </c>
      <c r="O41" s="13">
        <v>44581</v>
      </c>
      <c r="P41" s="13">
        <v>1302227</v>
      </c>
      <c r="Q41" s="15">
        <v>29.05</v>
      </c>
      <c r="R41" s="15">
        <v>30.24</v>
      </c>
    </row>
    <row r="42" spans="1:18">
      <c r="A42" s="7">
        <v>36</v>
      </c>
      <c r="B42" s="13">
        <v>42308</v>
      </c>
      <c r="C42" s="13">
        <v>467</v>
      </c>
      <c r="D42" s="14">
        <v>1.1039999999999999E-2</v>
      </c>
      <c r="E42" s="14">
        <v>0.98895999999999995</v>
      </c>
      <c r="F42" s="13">
        <v>42076</v>
      </c>
      <c r="G42" s="13">
        <v>1177189</v>
      </c>
      <c r="H42" s="15">
        <v>27.82</v>
      </c>
      <c r="I42" s="15">
        <v>28.74</v>
      </c>
      <c r="J42" s="15"/>
      <c r="K42" s="13">
        <v>44332</v>
      </c>
      <c r="L42" s="13">
        <v>507</v>
      </c>
      <c r="M42" s="14">
        <v>1.1440000000000001E-2</v>
      </c>
      <c r="N42" s="14">
        <v>0.98855999999999999</v>
      </c>
      <c r="O42" s="13">
        <v>44079</v>
      </c>
      <c r="P42" s="13">
        <v>1257646</v>
      </c>
      <c r="Q42" s="15">
        <v>28.37</v>
      </c>
      <c r="R42" s="15">
        <v>29.44</v>
      </c>
    </row>
    <row r="43" spans="1:18">
      <c r="A43" s="7">
        <v>37</v>
      </c>
      <c r="B43" s="13">
        <v>41841</v>
      </c>
      <c r="C43" s="13">
        <v>488</v>
      </c>
      <c r="D43" s="14">
        <v>1.166E-2</v>
      </c>
      <c r="E43" s="14">
        <v>0.98834</v>
      </c>
      <c r="F43" s="13">
        <v>41599</v>
      </c>
      <c r="G43" s="13">
        <v>1135113</v>
      </c>
      <c r="H43" s="15">
        <v>27.13</v>
      </c>
      <c r="I43" s="15">
        <v>27.95</v>
      </c>
      <c r="J43" s="15"/>
      <c r="K43" s="13">
        <v>43825</v>
      </c>
      <c r="L43" s="13">
        <v>519</v>
      </c>
      <c r="M43" s="14">
        <v>1.184E-2</v>
      </c>
      <c r="N43" s="14">
        <v>0.98816000000000004</v>
      </c>
      <c r="O43" s="13">
        <v>43566</v>
      </c>
      <c r="P43" s="13">
        <v>1213567</v>
      </c>
      <c r="Q43" s="15">
        <v>27.69</v>
      </c>
      <c r="R43" s="15">
        <v>28.64</v>
      </c>
    </row>
    <row r="44" spans="1:18">
      <c r="A44" s="7">
        <v>38</v>
      </c>
      <c r="B44" s="13">
        <v>41353</v>
      </c>
      <c r="C44" s="13">
        <v>511</v>
      </c>
      <c r="D44" s="14">
        <v>1.2359999999999999E-2</v>
      </c>
      <c r="E44" s="14">
        <v>0.98763999999999996</v>
      </c>
      <c r="F44" s="13">
        <v>41100</v>
      </c>
      <c r="G44" s="13">
        <v>1093514</v>
      </c>
      <c r="H44" s="15">
        <v>26.44</v>
      </c>
      <c r="I44" s="15">
        <v>27.17</v>
      </c>
      <c r="J44" s="15"/>
      <c r="K44" s="13">
        <v>43306</v>
      </c>
      <c r="L44" s="13">
        <v>531</v>
      </c>
      <c r="M44" s="14">
        <v>1.226E-2</v>
      </c>
      <c r="N44" s="14">
        <v>0.98773999999999995</v>
      </c>
      <c r="O44" s="13">
        <v>43042</v>
      </c>
      <c r="P44" s="13">
        <v>1170001</v>
      </c>
      <c r="Q44" s="15">
        <v>27.02</v>
      </c>
      <c r="R44" s="15">
        <v>27.85</v>
      </c>
    </row>
    <row r="45" spans="1:18">
      <c r="A45" s="7">
        <v>39</v>
      </c>
      <c r="B45" s="13">
        <v>40842</v>
      </c>
      <c r="C45" s="13">
        <v>532</v>
      </c>
      <c r="D45" s="14">
        <v>1.303E-2</v>
      </c>
      <c r="E45" s="14">
        <v>0.98697000000000001</v>
      </c>
      <c r="F45" s="13">
        <v>40578</v>
      </c>
      <c r="G45" s="13">
        <v>1052414</v>
      </c>
      <c r="H45" s="15">
        <v>25.77</v>
      </c>
      <c r="I45" s="15">
        <v>26.41</v>
      </c>
      <c r="J45" s="15"/>
      <c r="K45" s="13">
        <v>42775</v>
      </c>
      <c r="L45" s="13">
        <v>540</v>
      </c>
      <c r="M45" s="14">
        <v>1.2619999999999999E-2</v>
      </c>
      <c r="N45" s="14">
        <v>0.98738000000000004</v>
      </c>
      <c r="O45" s="13">
        <v>42507</v>
      </c>
      <c r="P45" s="13">
        <v>1126959</v>
      </c>
      <c r="Q45" s="15">
        <v>26.35</v>
      </c>
      <c r="R45" s="15">
        <v>27.06</v>
      </c>
    </row>
    <row r="46" spans="1:18">
      <c r="A46" s="7">
        <v>40</v>
      </c>
      <c r="B46" s="13">
        <v>40310</v>
      </c>
      <c r="C46" s="13">
        <v>552</v>
      </c>
      <c r="D46" s="14">
        <v>1.3690000000000001E-2</v>
      </c>
      <c r="E46" s="14">
        <v>0.98631000000000002</v>
      </c>
      <c r="F46" s="13">
        <v>40036</v>
      </c>
      <c r="G46" s="13">
        <v>1011836</v>
      </c>
      <c r="H46" s="15">
        <v>25.1</v>
      </c>
      <c r="I46" s="15">
        <v>25.64</v>
      </c>
      <c r="J46" s="15"/>
      <c r="K46" s="13">
        <v>42235</v>
      </c>
      <c r="L46" s="13">
        <v>546</v>
      </c>
      <c r="M46" s="14">
        <v>1.2930000000000001E-2</v>
      </c>
      <c r="N46" s="14">
        <v>0.98707</v>
      </c>
      <c r="O46" s="13">
        <v>41962</v>
      </c>
      <c r="P46" s="13">
        <v>1084452</v>
      </c>
      <c r="Q46" s="15">
        <v>25.68</v>
      </c>
      <c r="R46" s="15">
        <v>26.27</v>
      </c>
    </row>
    <row r="47" spans="1:18">
      <c r="A47" s="7">
        <v>41</v>
      </c>
      <c r="B47" s="13">
        <v>39758</v>
      </c>
      <c r="C47" s="13">
        <v>569</v>
      </c>
      <c r="D47" s="14">
        <v>1.431E-2</v>
      </c>
      <c r="E47" s="14">
        <v>0.98568999999999996</v>
      </c>
      <c r="F47" s="13">
        <v>39475</v>
      </c>
      <c r="G47" s="13">
        <v>971800</v>
      </c>
      <c r="H47" s="15">
        <v>24.44</v>
      </c>
      <c r="I47" s="15">
        <v>24.9</v>
      </c>
      <c r="J47" s="15"/>
      <c r="K47" s="13">
        <v>41689</v>
      </c>
      <c r="L47" s="13">
        <v>549</v>
      </c>
      <c r="M47" s="14">
        <v>1.3169999999999999E-2</v>
      </c>
      <c r="N47" s="14">
        <v>0.98682999999999998</v>
      </c>
      <c r="O47" s="13">
        <v>41414</v>
      </c>
      <c r="P47" s="13">
        <v>1042490</v>
      </c>
      <c r="Q47" s="15">
        <v>25.01</v>
      </c>
      <c r="R47" s="15">
        <v>25.49</v>
      </c>
    </row>
    <row r="48" spans="1:18">
      <c r="A48" s="7">
        <v>42</v>
      </c>
      <c r="B48" s="13">
        <v>39189</v>
      </c>
      <c r="C48" s="13">
        <v>583</v>
      </c>
      <c r="D48" s="14">
        <v>1.4880000000000001E-2</v>
      </c>
      <c r="E48" s="14">
        <v>0.98512</v>
      </c>
      <c r="F48" s="13">
        <v>38899</v>
      </c>
      <c r="G48" s="13">
        <v>932325</v>
      </c>
      <c r="H48" s="15">
        <v>23.79</v>
      </c>
      <c r="I48" s="15">
        <v>24.16</v>
      </c>
      <c r="J48" s="15"/>
      <c r="K48" s="13">
        <v>41140</v>
      </c>
      <c r="L48" s="13">
        <v>551</v>
      </c>
      <c r="M48" s="14">
        <v>1.3390000000000001E-2</v>
      </c>
      <c r="N48" s="14">
        <v>0.98660999999999999</v>
      </c>
      <c r="O48" s="13">
        <v>40864</v>
      </c>
      <c r="P48" s="13">
        <v>1001076</v>
      </c>
      <c r="Q48" s="15">
        <v>24.33</v>
      </c>
      <c r="R48" s="15">
        <v>24.71</v>
      </c>
    </row>
    <row r="49" spans="1:18">
      <c r="A49" s="7">
        <v>43</v>
      </c>
      <c r="B49" s="13">
        <v>38606</v>
      </c>
      <c r="C49" s="13">
        <v>597</v>
      </c>
      <c r="D49" s="14">
        <v>1.546E-2</v>
      </c>
      <c r="E49" s="14">
        <v>0.98453999999999997</v>
      </c>
      <c r="F49" s="13">
        <v>38309</v>
      </c>
      <c r="G49" s="13">
        <v>893426</v>
      </c>
      <c r="H49" s="15">
        <v>23.14</v>
      </c>
      <c r="I49" s="15">
        <v>23.42</v>
      </c>
      <c r="J49" s="15"/>
      <c r="K49" s="13">
        <v>40589</v>
      </c>
      <c r="L49" s="13">
        <v>552</v>
      </c>
      <c r="M49" s="14">
        <v>1.3599999999999999E-2</v>
      </c>
      <c r="N49" s="14">
        <v>0.98640000000000005</v>
      </c>
      <c r="O49" s="13">
        <v>40312</v>
      </c>
      <c r="P49" s="13">
        <v>960212</v>
      </c>
      <c r="Q49" s="15">
        <v>23.66</v>
      </c>
      <c r="R49" s="15">
        <v>23.93</v>
      </c>
    </row>
    <row r="50" spans="1:18">
      <c r="A50" s="7">
        <v>44</v>
      </c>
      <c r="B50" s="13">
        <v>38009</v>
      </c>
      <c r="C50" s="13">
        <v>610</v>
      </c>
      <c r="D50" s="14">
        <v>1.6049999999999998E-2</v>
      </c>
      <c r="E50" s="14">
        <v>0.98394999999999999</v>
      </c>
      <c r="F50" s="13">
        <v>37705</v>
      </c>
      <c r="G50" s="13">
        <v>855117</v>
      </c>
      <c r="H50" s="15">
        <v>22.5</v>
      </c>
      <c r="I50" s="15">
        <v>22.69</v>
      </c>
      <c r="J50" s="15"/>
      <c r="K50" s="13">
        <v>40037</v>
      </c>
      <c r="L50" s="13">
        <v>556</v>
      </c>
      <c r="M50" s="14">
        <v>1.389E-2</v>
      </c>
      <c r="N50" s="14">
        <v>0.98611000000000004</v>
      </c>
      <c r="O50" s="13">
        <v>39760</v>
      </c>
      <c r="P50" s="13">
        <v>919900</v>
      </c>
      <c r="Q50" s="15">
        <v>22.98</v>
      </c>
      <c r="R50" s="15">
        <v>23.15</v>
      </c>
    </row>
    <row r="51" spans="1:18">
      <c r="A51" s="7">
        <v>45</v>
      </c>
      <c r="B51" s="13">
        <v>37399</v>
      </c>
      <c r="C51" s="13">
        <v>626</v>
      </c>
      <c r="D51" s="14">
        <v>1.6740000000000001E-2</v>
      </c>
      <c r="E51" s="14">
        <v>0.98326000000000002</v>
      </c>
      <c r="F51" s="13">
        <v>37087</v>
      </c>
      <c r="G51" s="13">
        <v>817412</v>
      </c>
      <c r="H51" s="15">
        <v>21.86</v>
      </c>
      <c r="I51" s="15">
        <v>21.97</v>
      </c>
      <c r="J51" s="15"/>
      <c r="K51" s="13">
        <v>39481</v>
      </c>
      <c r="L51" s="13">
        <v>564</v>
      </c>
      <c r="M51" s="14">
        <v>1.4290000000000001E-2</v>
      </c>
      <c r="N51" s="14">
        <v>0.98570999999999998</v>
      </c>
      <c r="O51" s="13">
        <v>39200</v>
      </c>
      <c r="P51" s="13">
        <v>880140</v>
      </c>
      <c r="Q51" s="15">
        <v>22.29</v>
      </c>
      <c r="R51" s="15">
        <v>22.37</v>
      </c>
    </row>
    <row r="52" spans="1:18">
      <c r="A52" s="7">
        <v>46</v>
      </c>
      <c r="B52" s="13">
        <v>36773</v>
      </c>
      <c r="C52" s="13">
        <v>641</v>
      </c>
      <c r="D52" s="14">
        <v>1.7430000000000001E-2</v>
      </c>
      <c r="E52" s="14">
        <v>0.98257000000000005</v>
      </c>
      <c r="F52" s="13">
        <v>36453</v>
      </c>
      <c r="G52" s="13">
        <v>780325</v>
      </c>
      <c r="H52" s="15">
        <v>21.22</v>
      </c>
      <c r="I52" s="15">
        <v>21.25</v>
      </c>
      <c r="J52" s="15"/>
      <c r="K52" s="13">
        <v>38917</v>
      </c>
      <c r="L52" s="13">
        <v>575</v>
      </c>
      <c r="M52" s="14">
        <v>1.478E-2</v>
      </c>
      <c r="N52" s="14">
        <v>0.98521999999999998</v>
      </c>
      <c r="O52" s="13">
        <v>38630</v>
      </c>
      <c r="P52" s="13">
        <v>840940</v>
      </c>
      <c r="Q52" s="15">
        <v>21.61</v>
      </c>
      <c r="R52" s="15">
        <v>21.59</v>
      </c>
    </row>
    <row r="53" spans="1:18">
      <c r="A53" s="7">
        <v>47</v>
      </c>
      <c r="B53" s="13">
        <v>36132</v>
      </c>
      <c r="C53" s="13">
        <v>656</v>
      </c>
      <c r="D53" s="14">
        <v>1.8159999999999999E-2</v>
      </c>
      <c r="E53" s="14">
        <v>0.98184000000000005</v>
      </c>
      <c r="F53" s="13">
        <v>35805</v>
      </c>
      <c r="G53" s="13">
        <v>743872</v>
      </c>
      <c r="H53" s="15">
        <v>20.59</v>
      </c>
      <c r="I53" s="15">
        <v>20.54</v>
      </c>
      <c r="J53" s="15"/>
      <c r="K53" s="13">
        <v>38342</v>
      </c>
      <c r="L53" s="13">
        <v>588</v>
      </c>
      <c r="M53" s="14">
        <v>1.5339999999999999E-2</v>
      </c>
      <c r="N53" s="14">
        <v>0.98465999999999998</v>
      </c>
      <c r="O53" s="13">
        <v>38049</v>
      </c>
      <c r="P53" s="13">
        <v>802310</v>
      </c>
      <c r="Q53" s="15">
        <v>20.93</v>
      </c>
      <c r="R53" s="15">
        <v>20.82</v>
      </c>
    </row>
    <row r="54" spans="1:18">
      <c r="A54" s="7">
        <v>48</v>
      </c>
      <c r="B54" s="13">
        <v>35476</v>
      </c>
      <c r="C54" s="13">
        <v>670</v>
      </c>
      <c r="D54" s="14">
        <v>1.8890000000000001E-2</v>
      </c>
      <c r="E54" s="14">
        <v>0.98111000000000004</v>
      </c>
      <c r="F54" s="13">
        <v>35142</v>
      </c>
      <c r="G54" s="13">
        <v>708067</v>
      </c>
      <c r="H54" s="15">
        <v>19.96</v>
      </c>
      <c r="I54" s="15">
        <v>19.829999999999998</v>
      </c>
      <c r="J54" s="15"/>
      <c r="K54" s="13">
        <v>37754</v>
      </c>
      <c r="L54" s="13">
        <v>602</v>
      </c>
      <c r="M54" s="14">
        <v>1.5949999999999999E-2</v>
      </c>
      <c r="N54" s="14">
        <v>0.98404999999999998</v>
      </c>
      <c r="O54" s="13">
        <v>37454</v>
      </c>
      <c r="P54" s="13">
        <v>764261</v>
      </c>
      <c r="Q54" s="15">
        <v>20.239999999999998</v>
      </c>
      <c r="R54" s="15">
        <v>20.05</v>
      </c>
    </row>
    <row r="55" spans="1:18">
      <c r="A55" s="35">
        <v>49</v>
      </c>
      <c r="B55" s="36">
        <v>34806</v>
      </c>
      <c r="C55" s="36">
        <v>684</v>
      </c>
      <c r="D55" s="37">
        <v>1.9650000000000001E-2</v>
      </c>
      <c r="E55" s="37">
        <f>1-D55</f>
        <v>0.98035000000000005</v>
      </c>
      <c r="F55" s="36">
        <v>34465</v>
      </c>
      <c r="G55" s="36">
        <v>672925</v>
      </c>
      <c r="H55" s="38">
        <v>19.329999999999998</v>
      </c>
      <c r="I55" s="38">
        <v>19.13</v>
      </c>
      <c r="J55" s="38"/>
      <c r="K55" s="36">
        <v>37152</v>
      </c>
      <c r="L55" s="36">
        <v>620</v>
      </c>
      <c r="M55" s="37">
        <v>1.669E-2</v>
      </c>
      <c r="N55" s="37">
        <f>1-M55</f>
        <v>0.98331000000000002</v>
      </c>
      <c r="O55" s="36">
        <v>36844</v>
      </c>
      <c r="P55" s="36">
        <v>726807</v>
      </c>
      <c r="Q55" s="38">
        <v>19.559999999999999</v>
      </c>
      <c r="R55" s="38">
        <v>19.28</v>
      </c>
    </row>
    <row r="56" spans="1:18">
      <c r="A56" s="35">
        <v>50</v>
      </c>
      <c r="B56" s="36">
        <v>34122</v>
      </c>
      <c r="C56" s="36">
        <v>699</v>
      </c>
      <c r="D56" s="37">
        <v>2.0490000000000001E-2</v>
      </c>
      <c r="E56" s="37">
        <f>1-D56</f>
        <v>0.97950999999999999</v>
      </c>
      <c r="F56" s="36">
        <v>33774</v>
      </c>
      <c r="G56" s="36">
        <v>638460</v>
      </c>
      <c r="H56" s="38">
        <v>18.71</v>
      </c>
      <c r="I56" s="38">
        <v>18.440000000000001</v>
      </c>
      <c r="J56" s="38"/>
      <c r="K56" s="36">
        <v>36532</v>
      </c>
      <c r="L56" s="36">
        <v>640</v>
      </c>
      <c r="M56" s="37">
        <v>1.7520000000000001E-2</v>
      </c>
      <c r="N56" s="37">
        <f>1-M56</f>
        <v>0.98248000000000002</v>
      </c>
      <c r="O56" s="36">
        <v>36214</v>
      </c>
      <c r="P56" s="36">
        <v>689963</v>
      </c>
      <c r="Q56" s="38">
        <v>18.89</v>
      </c>
      <c r="R56" s="38">
        <v>18.53</v>
      </c>
    </row>
    <row r="57" spans="1:18">
      <c r="A57" s="7">
        <v>51</v>
      </c>
      <c r="B57" s="13">
        <v>33423</v>
      </c>
      <c r="C57" s="13">
        <v>717</v>
      </c>
      <c r="D57" s="14">
        <v>2.145E-2</v>
      </c>
      <c r="E57" s="14">
        <v>0.97855000000000003</v>
      </c>
      <c r="F57" s="13">
        <v>33066</v>
      </c>
      <c r="G57" s="13">
        <v>604686</v>
      </c>
      <c r="H57" s="15">
        <v>18.09</v>
      </c>
      <c r="I57" s="15">
        <v>17.75</v>
      </c>
      <c r="J57" s="15"/>
      <c r="K57" s="13">
        <v>35892</v>
      </c>
      <c r="L57" s="13">
        <v>667</v>
      </c>
      <c r="M57" s="14">
        <v>1.8579999999999999E-2</v>
      </c>
      <c r="N57" s="14">
        <v>0.98141999999999996</v>
      </c>
      <c r="O57" s="13">
        <v>35560</v>
      </c>
      <c r="P57" s="13">
        <v>653749</v>
      </c>
      <c r="Q57" s="15">
        <v>18.21</v>
      </c>
      <c r="R57" s="15">
        <v>17.78</v>
      </c>
    </row>
    <row r="58" spans="1:18">
      <c r="A58" s="7">
        <v>52</v>
      </c>
      <c r="B58" s="13">
        <v>32706</v>
      </c>
      <c r="C58" s="13">
        <v>738</v>
      </c>
      <c r="D58" s="14">
        <v>2.256E-2</v>
      </c>
      <c r="E58" s="14">
        <v>0.97743999999999998</v>
      </c>
      <c r="F58" s="13">
        <v>32339</v>
      </c>
      <c r="G58" s="13">
        <v>571620</v>
      </c>
      <c r="H58" s="15">
        <v>17.48</v>
      </c>
      <c r="I58" s="15">
        <v>17.07</v>
      </c>
      <c r="J58" s="15"/>
      <c r="K58" s="13">
        <v>35225</v>
      </c>
      <c r="L58" s="13">
        <v>699</v>
      </c>
      <c r="M58" s="14">
        <v>1.984E-2</v>
      </c>
      <c r="N58" s="14">
        <v>0.98016000000000003</v>
      </c>
      <c r="O58" s="13">
        <v>34878</v>
      </c>
      <c r="P58" s="13">
        <v>618189</v>
      </c>
      <c r="Q58" s="15">
        <v>17.55</v>
      </c>
      <c r="R58" s="15">
        <v>17.04</v>
      </c>
    </row>
    <row r="59" spans="1:18">
      <c r="A59" s="7">
        <v>53</v>
      </c>
      <c r="B59" s="13">
        <v>31968</v>
      </c>
      <c r="C59" s="13">
        <v>762</v>
      </c>
      <c r="D59" s="14">
        <v>2.384E-2</v>
      </c>
      <c r="E59" s="14">
        <v>0.97616000000000003</v>
      </c>
      <c r="F59" s="13">
        <v>31589</v>
      </c>
      <c r="G59" s="13">
        <v>539281</v>
      </c>
      <c r="H59" s="15">
        <v>16.87</v>
      </c>
      <c r="I59" s="15">
        <v>16.399999999999999</v>
      </c>
      <c r="J59" s="15"/>
      <c r="K59" s="13">
        <v>34526</v>
      </c>
      <c r="L59" s="13">
        <v>735</v>
      </c>
      <c r="M59" s="14">
        <v>2.129E-2</v>
      </c>
      <c r="N59" s="14">
        <v>0.97870999999999997</v>
      </c>
      <c r="O59" s="13">
        <v>34162</v>
      </c>
      <c r="P59" s="13">
        <v>583311</v>
      </c>
      <c r="Q59" s="15">
        <v>16.89</v>
      </c>
      <c r="R59" s="15">
        <v>16.309999999999999</v>
      </c>
    </row>
    <row r="60" spans="1:18">
      <c r="A60" s="7">
        <v>54</v>
      </c>
      <c r="B60" s="13">
        <v>31206</v>
      </c>
      <c r="C60" s="13">
        <v>788</v>
      </c>
      <c r="D60" s="14">
        <v>2.5250000000000002E-2</v>
      </c>
      <c r="E60" s="14">
        <v>0.97475000000000001</v>
      </c>
      <c r="F60" s="13">
        <v>30814</v>
      </c>
      <c r="G60" s="13">
        <v>507692</v>
      </c>
      <c r="H60" s="15">
        <v>16.27</v>
      </c>
      <c r="I60" s="15">
        <v>15.74</v>
      </c>
      <c r="J60" s="15"/>
      <c r="K60" s="13">
        <v>33791</v>
      </c>
      <c r="L60" s="13">
        <v>774</v>
      </c>
      <c r="M60" s="14">
        <v>2.291E-2</v>
      </c>
      <c r="N60" s="14">
        <v>0.97709000000000001</v>
      </c>
      <c r="O60" s="13">
        <v>33407</v>
      </c>
      <c r="P60" s="13">
        <v>549149</v>
      </c>
      <c r="Q60" s="15">
        <v>16.25</v>
      </c>
      <c r="R60" s="15">
        <v>15.6</v>
      </c>
    </row>
    <row r="61" spans="1:18">
      <c r="A61" s="7">
        <v>55</v>
      </c>
      <c r="B61" s="13">
        <v>30418</v>
      </c>
      <c r="C61" s="13">
        <v>813</v>
      </c>
      <c r="D61" s="14">
        <v>2.673E-2</v>
      </c>
      <c r="E61" s="14">
        <v>0.97326999999999997</v>
      </c>
      <c r="F61" s="13">
        <v>30014</v>
      </c>
      <c r="G61" s="13">
        <v>476878</v>
      </c>
      <c r="H61" s="15">
        <v>15.68</v>
      </c>
      <c r="I61" s="15">
        <v>15.09</v>
      </c>
      <c r="J61" s="15"/>
      <c r="K61" s="13">
        <v>33017</v>
      </c>
      <c r="L61" s="13">
        <v>813</v>
      </c>
      <c r="M61" s="14">
        <v>2.462E-2</v>
      </c>
      <c r="N61" s="14">
        <v>0.97538000000000002</v>
      </c>
      <c r="O61" s="13">
        <v>32613</v>
      </c>
      <c r="P61" s="13">
        <v>515742</v>
      </c>
      <c r="Q61" s="15">
        <v>15.62</v>
      </c>
      <c r="R61" s="15">
        <v>14.9</v>
      </c>
    </row>
    <row r="62" spans="1:18">
      <c r="A62" s="7">
        <v>56</v>
      </c>
      <c r="B62" s="13">
        <v>29605</v>
      </c>
      <c r="C62" s="13">
        <v>838</v>
      </c>
      <c r="D62" s="14">
        <v>2.8309999999999998E-2</v>
      </c>
      <c r="E62" s="14">
        <v>0.97169000000000005</v>
      </c>
      <c r="F62" s="13">
        <v>29188</v>
      </c>
      <c r="G62" s="13">
        <v>446864</v>
      </c>
      <c r="H62" s="15">
        <v>15.09</v>
      </c>
      <c r="I62" s="15">
        <v>14.45</v>
      </c>
      <c r="J62" s="15"/>
      <c r="K62" s="13">
        <v>32204</v>
      </c>
      <c r="L62" s="13">
        <v>856</v>
      </c>
      <c r="M62" s="14">
        <v>2.6579999999999999E-2</v>
      </c>
      <c r="N62" s="14">
        <v>0.97341999999999995</v>
      </c>
      <c r="O62" s="13">
        <v>31780</v>
      </c>
      <c r="P62" s="13">
        <v>483129</v>
      </c>
      <c r="Q62" s="15">
        <v>15</v>
      </c>
      <c r="R62" s="15">
        <v>14.22</v>
      </c>
    </row>
    <row r="63" spans="1:18">
      <c r="A63" s="7">
        <v>57</v>
      </c>
      <c r="B63" s="13">
        <v>28767</v>
      </c>
      <c r="C63" s="13">
        <v>867</v>
      </c>
      <c r="D63" s="14">
        <v>3.014E-2</v>
      </c>
      <c r="E63" s="14">
        <v>0.96986000000000006</v>
      </c>
      <c r="F63" s="13">
        <v>28337</v>
      </c>
      <c r="G63" s="13">
        <v>417676</v>
      </c>
      <c r="H63" s="15">
        <v>14.52</v>
      </c>
      <c r="I63" s="15">
        <v>13.82</v>
      </c>
      <c r="J63" s="15"/>
      <c r="K63" s="13">
        <v>31348</v>
      </c>
      <c r="L63" s="13">
        <v>901</v>
      </c>
      <c r="M63" s="14">
        <v>2.8740000000000002E-2</v>
      </c>
      <c r="N63" s="14">
        <v>0.97126000000000001</v>
      </c>
      <c r="O63" s="13">
        <v>30902</v>
      </c>
      <c r="P63" s="13">
        <v>451349</v>
      </c>
      <c r="Q63" s="15">
        <v>14.4</v>
      </c>
      <c r="R63" s="15">
        <v>13.55</v>
      </c>
    </row>
    <row r="64" spans="1:18">
      <c r="A64" s="7">
        <v>58</v>
      </c>
      <c r="B64" s="13">
        <v>27900</v>
      </c>
      <c r="C64" s="13">
        <v>899</v>
      </c>
      <c r="D64" s="14">
        <v>3.2219999999999999E-2</v>
      </c>
      <c r="E64" s="14">
        <v>0.96777999999999997</v>
      </c>
      <c r="F64" s="13">
        <v>27453</v>
      </c>
      <c r="G64" s="13">
        <v>389339</v>
      </c>
      <c r="H64" s="15">
        <v>13.95</v>
      </c>
      <c r="I64" s="15">
        <v>13.2</v>
      </c>
      <c r="J64" s="15"/>
      <c r="K64" s="13">
        <v>30447</v>
      </c>
      <c r="L64" s="13">
        <v>950</v>
      </c>
      <c r="M64" s="14">
        <v>3.1199999999999999E-2</v>
      </c>
      <c r="N64" s="14">
        <v>0.96879999999999999</v>
      </c>
      <c r="O64" s="13">
        <v>29976</v>
      </c>
      <c r="P64" s="13">
        <v>420447</v>
      </c>
      <c r="Q64" s="15">
        <v>13.81</v>
      </c>
      <c r="R64" s="15">
        <v>12.91</v>
      </c>
    </row>
    <row r="65" spans="1:18">
      <c r="A65" s="7">
        <v>59</v>
      </c>
      <c r="B65" s="13">
        <v>27001</v>
      </c>
      <c r="C65" s="13">
        <v>934</v>
      </c>
      <c r="D65" s="14">
        <v>3.4590000000000003E-2</v>
      </c>
      <c r="E65" s="14">
        <v>0.96540999999999999</v>
      </c>
      <c r="F65" s="13">
        <v>26537</v>
      </c>
      <c r="G65" s="13">
        <v>361886</v>
      </c>
      <c r="H65" s="15">
        <v>13.4</v>
      </c>
      <c r="I65" s="15">
        <v>12.6</v>
      </c>
      <c r="J65" s="15"/>
      <c r="K65" s="13">
        <v>29497</v>
      </c>
      <c r="L65" s="13">
        <v>1006</v>
      </c>
      <c r="M65" s="14">
        <v>3.4110000000000001E-2</v>
      </c>
      <c r="N65" s="14">
        <v>0.96589000000000003</v>
      </c>
      <c r="O65" s="13">
        <v>28999</v>
      </c>
      <c r="P65" s="13">
        <v>390471</v>
      </c>
      <c r="Q65" s="15">
        <v>13.24</v>
      </c>
      <c r="R65" s="15">
        <v>12.28</v>
      </c>
    </row>
    <row r="66" spans="1:18">
      <c r="A66" s="7">
        <v>60</v>
      </c>
      <c r="B66" s="13">
        <v>26067</v>
      </c>
      <c r="C66" s="13">
        <v>975</v>
      </c>
      <c r="D66" s="14">
        <v>3.7400000000000003E-2</v>
      </c>
      <c r="E66" s="14">
        <v>0.96260000000000001</v>
      </c>
      <c r="F66" s="13">
        <v>25583</v>
      </c>
      <c r="G66" s="13">
        <v>335349</v>
      </c>
      <c r="H66" s="15">
        <v>12.86</v>
      </c>
      <c r="I66" s="15">
        <v>12.01</v>
      </c>
      <c r="J66" s="15"/>
      <c r="K66" s="13">
        <v>28491</v>
      </c>
      <c r="L66" s="13">
        <v>1062</v>
      </c>
      <c r="M66" s="14">
        <v>3.7269999999999998E-2</v>
      </c>
      <c r="N66" s="14">
        <v>0.96272999999999997</v>
      </c>
      <c r="O66" s="13">
        <v>27965</v>
      </c>
      <c r="P66" s="13">
        <v>361472</v>
      </c>
      <c r="Q66" s="15">
        <v>12.69</v>
      </c>
      <c r="R66" s="15">
        <v>11.67</v>
      </c>
    </row>
    <row r="67" spans="1:18">
      <c r="A67" s="7">
        <v>61</v>
      </c>
      <c r="B67" s="13">
        <v>25092</v>
      </c>
      <c r="C67" s="13">
        <v>1013</v>
      </c>
      <c r="D67" s="14">
        <v>4.0370000000000003E-2</v>
      </c>
      <c r="E67" s="14">
        <v>0.95962999999999998</v>
      </c>
      <c r="F67" s="13">
        <v>24589</v>
      </c>
      <c r="G67" s="13">
        <v>309766</v>
      </c>
      <c r="H67" s="15">
        <v>12.35</v>
      </c>
      <c r="I67" s="15">
        <v>11.44</v>
      </c>
      <c r="J67" s="15"/>
      <c r="K67" s="13">
        <v>27429</v>
      </c>
      <c r="L67" s="13">
        <v>1118</v>
      </c>
      <c r="M67" s="14">
        <v>4.0759999999999998E-2</v>
      </c>
      <c r="N67" s="14">
        <v>0.95923999999999998</v>
      </c>
      <c r="O67" s="13">
        <v>26874</v>
      </c>
      <c r="P67" s="13">
        <v>333507</v>
      </c>
      <c r="Q67" s="15">
        <v>12.16</v>
      </c>
      <c r="R67" s="15">
        <v>11.09</v>
      </c>
    </row>
    <row r="68" spans="1:18">
      <c r="A68" s="7">
        <v>62</v>
      </c>
      <c r="B68" s="13">
        <v>24079</v>
      </c>
      <c r="C68" s="13">
        <v>1047</v>
      </c>
      <c r="D68" s="14">
        <v>4.3479999999999998E-2</v>
      </c>
      <c r="E68" s="14">
        <v>0.95652000000000004</v>
      </c>
      <c r="F68" s="13">
        <v>23559</v>
      </c>
      <c r="G68" s="13">
        <v>285177</v>
      </c>
      <c r="H68" s="15">
        <v>11.84</v>
      </c>
      <c r="I68" s="15">
        <v>10.89</v>
      </c>
      <c r="J68" s="15"/>
      <c r="K68" s="13">
        <v>26311</v>
      </c>
      <c r="L68" s="13">
        <v>1166</v>
      </c>
      <c r="M68" s="14">
        <v>4.4319999999999998E-2</v>
      </c>
      <c r="N68" s="14">
        <v>0.95567999999999997</v>
      </c>
      <c r="O68" s="13">
        <v>25732</v>
      </c>
      <c r="P68" s="13">
        <v>306633</v>
      </c>
      <c r="Q68" s="15">
        <v>11.65</v>
      </c>
      <c r="R68" s="15">
        <v>10.53</v>
      </c>
    </row>
    <row r="69" spans="1:18">
      <c r="A69" s="7">
        <v>63</v>
      </c>
      <c r="B69" s="13">
        <v>23032</v>
      </c>
      <c r="C69" s="13">
        <v>1074</v>
      </c>
      <c r="D69" s="14">
        <v>4.6629999999999998E-2</v>
      </c>
      <c r="E69" s="14">
        <v>0.95337000000000005</v>
      </c>
      <c r="F69" s="13">
        <v>22497</v>
      </c>
      <c r="G69" s="13">
        <v>261618</v>
      </c>
      <c r="H69" s="15">
        <v>11.36</v>
      </c>
      <c r="I69" s="15">
        <v>10.36</v>
      </c>
      <c r="J69" s="15"/>
      <c r="K69" s="13">
        <v>25145</v>
      </c>
      <c r="L69" s="13">
        <v>1204</v>
      </c>
      <c r="M69" s="14">
        <v>4.7879999999999999E-2</v>
      </c>
      <c r="N69" s="14">
        <v>0.95211999999999997</v>
      </c>
      <c r="O69" s="13">
        <v>24546</v>
      </c>
      <c r="P69" s="13">
        <v>280901</v>
      </c>
      <c r="Q69" s="15">
        <v>11.17</v>
      </c>
      <c r="R69" s="15">
        <v>10</v>
      </c>
    </row>
    <row r="70" spans="1:18">
      <c r="A70" s="7">
        <v>64</v>
      </c>
      <c r="B70" s="13">
        <v>21958</v>
      </c>
      <c r="C70" s="13">
        <v>1090</v>
      </c>
      <c r="D70" s="14">
        <v>4.9639999999999997E-2</v>
      </c>
      <c r="E70" s="14">
        <v>0.95035999999999998</v>
      </c>
      <c r="F70" s="13">
        <v>21414</v>
      </c>
      <c r="G70" s="13">
        <v>239121</v>
      </c>
      <c r="H70" s="15">
        <v>10.89</v>
      </c>
      <c r="I70" s="15">
        <v>9.83</v>
      </c>
      <c r="J70" s="15"/>
      <c r="K70" s="13">
        <v>23941</v>
      </c>
      <c r="L70" s="13">
        <v>1230</v>
      </c>
      <c r="M70" s="14">
        <v>5.1380000000000002E-2</v>
      </c>
      <c r="N70" s="14">
        <v>0.94862000000000002</v>
      </c>
      <c r="O70" s="13">
        <v>23329</v>
      </c>
      <c r="P70" s="13">
        <v>256355</v>
      </c>
      <c r="Q70" s="15">
        <v>10.71</v>
      </c>
      <c r="R70" s="15">
        <v>9.48</v>
      </c>
    </row>
    <row r="71" spans="1:18">
      <c r="A71" s="7">
        <v>65</v>
      </c>
      <c r="B71" s="13">
        <v>20868</v>
      </c>
      <c r="C71" s="13">
        <v>1100</v>
      </c>
      <c r="D71" s="14">
        <v>5.271E-2</v>
      </c>
      <c r="E71" s="14">
        <v>0.94728999999999997</v>
      </c>
      <c r="F71" s="13">
        <v>20319</v>
      </c>
      <c r="G71" s="13">
        <v>217707</v>
      </c>
      <c r="H71" s="15">
        <v>10.43</v>
      </c>
      <c r="I71" s="15">
        <v>9.33</v>
      </c>
      <c r="J71" s="15"/>
      <c r="K71" s="13">
        <v>22711</v>
      </c>
      <c r="L71" s="13">
        <v>1248</v>
      </c>
      <c r="M71" s="14">
        <v>5.4949999999999999E-2</v>
      </c>
      <c r="N71" s="14">
        <v>0.94504999999999995</v>
      </c>
      <c r="O71" s="13">
        <v>22089</v>
      </c>
      <c r="P71" s="13">
        <v>233026</v>
      </c>
      <c r="Q71" s="15">
        <v>10.26</v>
      </c>
      <c r="R71" s="15">
        <v>8.98</v>
      </c>
    </row>
    <row r="72" spans="1:18">
      <c r="A72" s="7">
        <v>66</v>
      </c>
      <c r="B72" s="13">
        <v>19768</v>
      </c>
      <c r="C72" s="13">
        <v>1106</v>
      </c>
      <c r="D72" s="14">
        <v>5.595E-2</v>
      </c>
      <c r="E72" s="14">
        <v>0.94404999999999994</v>
      </c>
      <c r="F72" s="13">
        <v>19215</v>
      </c>
      <c r="G72" s="13">
        <v>197388</v>
      </c>
      <c r="H72" s="15">
        <v>9.99</v>
      </c>
      <c r="I72" s="15">
        <v>8.83</v>
      </c>
      <c r="J72" s="15"/>
      <c r="K72" s="13">
        <v>21463</v>
      </c>
      <c r="L72" s="13">
        <v>1259</v>
      </c>
      <c r="M72" s="14">
        <v>5.8659999999999997E-2</v>
      </c>
      <c r="N72" s="14">
        <v>0.94133999999999995</v>
      </c>
      <c r="O72" s="13">
        <v>20835</v>
      </c>
      <c r="P72" s="13">
        <v>210937</v>
      </c>
      <c r="Q72" s="15">
        <v>9.83</v>
      </c>
      <c r="R72" s="15">
        <v>8.51</v>
      </c>
    </row>
    <row r="73" spans="1:18">
      <c r="A73" s="7">
        <v>67</v>
      </c>
      <c r="B73" s="13">
        <v>18662</v>
      </c>
      <c r="C73" s="13">
        <v>1110</v>
      </c>
      <c r="D73" s="14">
        <v>5.9479999999999998E-2</v>
      </c>
      <c r="E73" s="14">
        <v>0.94052000000000002</v>
      </c>
      <c r="F73" s="13">
        <v>18107</v>
      </c>
      <c r="G73" s="13">
        <v>178173</v>
      </c>
      <c r="H73" s="15">
        <v>9.5500000000000007</v>
      </c>
      <c r="I73" s="15">
        <v>8.35</v>
      </c>
      <c r="J73" s="15"/>
      <c r="K73" s="13">
        <v>20204</v>
      </c>
      <c r="L73" s="13">
        <v>1267</v>
      </c>
      <c r="M73" s="14">
        <v>6.2710000000000002E-2</v>
      </c>
      <c r="N73" s="14">
        <v>0.93728999999999996</v>
      </c>
      <c r="O73" s="13">
        <v>19571</v>
      </c>
      <c r="P73" s="13">
        <v>190102</v>
      </c>
      <c r="Q73" s="15">
        <v>9.41</v>
      </c>
      <c r="R73" s="15">
        <v>8.0399999999999991</v>
      </c>
    </row>
    <row r="74" spans="1:18">
      <c r="A74" s="7">
        <v>68</v>
      </c>
      <c r="B74" s="13">
        <v>17552</v>
      </c>
      <c r="C74" s="13">
        <v>1117</v>
      </c>
      <c r="D74" s="14">
        <v>6.3640000000000002E-2</v>
      </c>
      <c r="E74" s="14">
        <v>0.93635999999999997</v>
      </c>
      <c r="F74" s="13">
        <v>16995</v>
      </c>
      <c r="G74" s="13">
        <v>160066</v>
      </c>
      <c r="H74" s="15">
        <v>9.1199999999999992</v>
      </c>
      <c r="I74" s="15">
        <v>7.88</v>
      </c>
      <c r="J74" s="15"/>
      <c r="K74" s="13">
        <v>18937</v>
      </c>
      <c r="L74" s="13">
        <v>1273</v>
      </c>
      <c r="M74" s="14">
        <v>6.7220000000000002E-2</v>
      </c>
      <c r="N74" s="14">
        <v>0.93278000000000005</v>
      </c>
      <c r="O74" s="13">
        <v>18301</v>
      </c>
      <c r="P74" s="13">
        <v>170531</v>
      </c>
      <c r="Q74" s="15">
        <v>9.01</v>
      </c>
      <c r="R74" s="15">
        <v>7.61</v>
      </c>
    </row>
    <row r="75" spans="1:18">
      <c r="A75" s="7">
        <v>69</v>
      </c>
      <c r="B75" s="13">
        <v>16435</v>
      </c>
      <c r="C75" s="13">
        <v>1124</v>
      </c>
      <c r="D75" s="14">
        <v>6.8390000000000006E-2</v>
      </c>
      <c r="E75" s="14">
        <v>0.93161000000000005</v>
      </c>
      <c r="F75" s="13">
        <v>15874</v>
      </c>
      <c r="G75" s="13">
        <v>143071</v>
      </c>
      <c r="H75" s="15">
        <v>8.7100000000000009</v>
      </c>
      <c r="I75" s="15">
        <v>7.43</v>
      </c>
      <c r="J75" s="15"/>
      <c r="K75" s="13">
        <v>17664</v>
      </c>
      <c r="L75" s="13">
        <v>1280</v>
      </c>
      <c r="M75" s="14">
        <v>7.2459999999999997E-2</v>
      </c>
      <c r="N75" s="14">
        <v>0.92754000000000003</v>
      </c>
      <c r="O75" s="13">
        <v>17024</v>
      </c>
      <c r="P75" s="13">
        <v>152230</v>
      </c>
      <c r="Q75" s="15">
        <v>8.6199999999999992</v>
      </c>
      <c r="R75" s="15">
        <v>7.19</v>
      </c>
    </row>
    <row r="76" spans="1:18">
      <c r="A76" s="7">
        <v>70</v>
      </c>
      <c r="B76" s="13">
        <v>15311</v>
      </c>
      <c r="C76" s="13">
        <v>1130</v>
      </c>
      <c r="D76" s="14">
        <v>7.3800000000000004E-2</v>
      </c>
      <c r="E76" s="14">
        <v>0.92620000000000002</v>
      </c>
      <c r="F76" s="13">
        <v>14746</v>
      </c>
      <c r="G76" s="13">
        <v>127197</v>
      </c>
      <c r="H76" s="15">
        <v>8.31</v>
      </c>
      <c r="I76" s="15">
        <v>6.99</v>
      </c>
      <c r="J76" s="15"/>
      <c r="K76" s="13">
        <v>16384</v>
      </c>
      <c r="L76" s="13">
        <v>1280</v>
      </c>
      <c r="M76" s="14">
        <v>7.8119999999999995E-2</v>
      </c>
      <c r="N76" s="14">
        <v>0.92188000000000003</v>
      </c>
      <c r="O76" s="13">
        <v>15744</v>
      </c>
      <c r="P76" s="13">
        <v>135206</v>
      </c>
      <c r="Q76" s="15">
        <v>8.25</v>
      </c>
      <c r="R76" s="15">
        <v>6.79</v>
      </c>
    </row>
    <row r="77" spans="1:18">
      <c r="A77" s="7">
        <v>71</v>
      </c>
      <c r="B77" s="13">
        <v>14181</v>
      </c>
      <c r="C77" s="13">
        <v>1134</v>
      </c>
      <c r="D77" s="14">
        <v>7.9969999999999999E-2</v>
      </c>
      <c r="E77" s="14">
        <v>0.92003000000000001</v>
      </c>
      <c r="F77" s="13">
        <v>13614</v>
      </c>
      <c r="G77" s="13">
        <v>112451</v>
      </c>
      <c r="H77" s="15">
        <v>7.93</v>
      </c>
      <c r="I77" s="15">
        <v>6.6</v>
      </c>
      <c r="J77" s="15"/>
      <c r="K77" s="13">
        <v>15104</v>
      </c>
      <c r="L77" s="13">
        <v>1275</v>
      </c>
      <c r="M77" s="14">
        <v>8.4409999999999999E-2</v>
      </c>
      <c r="N77" s="14">
        <v>0.91559000000000001</v>
      </c>
      <c r="O77" s="13">
        <v>14465</v>
      </c>
      <c r="P77" s="13">
        <v>119462</v>
      </c>
      <c r="Q77" s="15">
        <v>7.91</v>
      </c>
      <c r="R77" s="15">
        <v>6.43</v>
      </c>
    </row>
    <row r="78" spans="1:18">
      <c r="A78" s="7">
        <v>72</v>
      </c>
      <c r="B78" s="13">
        <v>13047</v>
      </c>
      <c r="C78" s="13">
        <v>1133</v>
      </c>
      <c r="D78" s="14">
        <v>8.6840000000000001E-2</v>
      </c>
      <c r="E78" s="14">
        <v>0.91315999999999997</v>
      </c>
      <c r="F78" s="13">
        <v>12479</v>
      </c>
      <c r="G78" s="13">
        <v>98837</v>
      </c>
      <c r="H78" s="15">
        <v>7.58</v>
      </c>
      <c r="I78" s="15">
        <v>6.22</v>
      </c>
      <c r="J78" s="15"/>
      <c r="K78" s="13">
        <v>13829</v>
      </c>
      <c r="L78" s="13">
        <v>1261</v>
      </c>
      <c r="M78" s="14">
        <v>9.1189999999999993E-2</v>
      </c>
      <c r="N78" s="14">
        <v>0.90881000000000001</v>
      </c>
      <c r="O78" s="13">
        <v>13196</v>
      </c>
      <c r="P78" s="13">
        <v>104997</v>
      </c>
      <c r="Q78" s="15">
        <v>7.59</v>
      </c>
      <c r="R78" s="15">
        <v>6.1</v>
      </c>
    </row>
    <row r="79" spans="1:18">
      <c r="A79" s="7">
        <v>73</v>
      </c>
      <c r="B79" s="13">
        <v>11914</v>
      </c>
      <c r="C79" s="13">
        <v>1120</v>
      </c>
      <c r="D79" s="14">
        <v>9.4009999999999996E-2</v>
      </c>
      <c r="E79" s="14">
        <v>0.90598999999999996</v>
      </c>
      <c r="F79" s="13">
        <v>11352</v>
      </c>
      <c r="G79" s="13">
        <v>86358</v>
      </c>
      <c r="H79" s="15">
        <v>7.25</v>
      </c>
      <c r="I79" s="15">
        <v>5.87</v>
      </c>
      <c r="J79" s="15"/>
      <c r="K79" s="13">
        <v>12568</v>
      </c>
      <c r="L79" s="13">
        <v>1231</v>
      </c>
      <c r="M79" s="14">
        <v>9.7949999999999995E-2</v>
      </c>
      <c r="N79" s="14">
        <v>0.90205000000000002</v>
      </c>
      <c r="O79" s="13">
        <v>11949</v>
      </c>
      <c r="P79" s="13">
        <v>91801</v>
      </c>
      <c r="Q79" s="15">
        <v>7.3</v>
      </c>
      <c r="R79" s="15">
        <v>5.81</v>
      </c>
    </row>
    <row r="80" spans="1:18">
      <c r="A80" s="7">
        <v>74</v>
      </c>
      <c r="B80" s="13">
        <v>10794</v>
      </c>
      <c r="C80" s="13">
        <v>1093</v>
      </c>
      <c r="D80" s="14">
        <v>0.10126</v>
      </c>
      <c r="E80" s="14">
        <v>0.89873999999999998</v>
      </c>
      <c r="F80" s="13">
        <v>10245</v>
      </c>
      <c r="G80" s="13">
        <v>75006</v>
      </c>
      <c r="H80" s="15">
        <v>6.95</v>
      </c>
      <c r="I80" s="15">
        <v>5.56</v>
      </c>
      <c r="J80" s="15"/>
      <c r="K80" s="13">
        <v>11337</v>
      </c>
      <c r="L80" s="13">
        <v>1185</v>
      </c>
      <c r="M80" s="14">
        <v>0.10453</v>
      </c>
      <c r="N80" s="14">
        <v>0.89546999999999999</v>
      </c>
      <c r="O80" s="13">
        <v>10740</v>
      </c>
      <c r="P80" s="13">
        <v>79852</v>
      </c>
      <c r="Q80" s="15">
        <v>7.04</v>
      </c>
      <c r="R80" s="15">
        <v>5.55</v>
      </c>
    </row>
    <row r="81" spans="1:18">
      <c r="A81" s="7">
        <v>75</v>
      </c>
      <c r="B81" s="13">
        <v>9701</v>
      </c>
      <c r="C81" s="13">
        <v>1053</v>
      </c>
      <c r="D81" s="14">
        <v>0.10854999999999999</v>
      </c>
      <c r="E81" s="14">
        <v>0.89144999999999996</v>
      </c>
      <c r="F81" s="13">
        <v>9170</v>
      </c>
      <c r="G81" s="13">
        <v>64761</v>
      </c>
      <c r="H81" s="15">
        <v>6.68</v>
      </c>
      <c r="I81" s="15">
        <v>5.27</v>
      </c>
      <c r="J81" s="15"/>
      <c r="K81" s="13">
        <v>10152</v>
      </c>
      <c r="L81" s="13">
        <v>1124</v>
      </c>
      <c r="M81" s="14">
        <v>0.11072</v>
      </c>
      <c r="N81" s="14">
        <v>0.88927999999999996</v>
      </c>
      <c r="O81" s="13">
        <v>9585</v>
      </c>
      <c r="P81" s="13">
        <v>69112</v>
      </c>
      <c r="Q81" s="15">
        <v>6.81</v>
      </c>
      <c r="R81" s="15">
        <v>5.32</v>
      </c>
    </row>
    <row r="82" spans="1:18">
      <c r="A82" s="7">
        <v>76</v>
      </c>
      <c r="B82" s="13">
        <v>8648</v>
      </c>
      <c r="C82" s="13">
        <v>1001</v>
      </c>
      <c r="D82" s="14">
        <v>0.11575000000000001</v>
      </c>
      <c r="E82" s="14">
        <v>0.88424999999999998</v>
      </c>
      <c r="F82" s="13">
        <v>8143</v>
      </c>
      <c r="G82" s="13">
        <v>55591</v>
      </c>
      <c r="H82" s="15">
        <v>6.43</v>
      </c>
      <c r="I82" s="15">
        <v>4.99</v>
      </c>
      <c r="J82" s="15"/>
      <c r="K82" s="13">
        <v>9028</v>
      </c>
      <c r="L82" s="13">
        <v>1054</v>
      </c>
      <c r="M82" s="14">
        <v>0.11675000000000001</v>
      </c>
      <c r="N82" s="14">
        <v>0.88324999999999998</v>
      </c>
      <c r="O82" s="13">
        <v>8495</v>
      </c>
      <c r="P82" s="13">
        <v>59527</v>
      </c>
      <c r="Q82" s="15">
        <v>6.59</v>
      </c>
      <c r="R82" s="15">
        <v>5.0999999999999996</v>
      </c>
    </row>
    <row r="83" spans="1:18">
      <c r="A83" s="7">
        <v>77</v>
      </c>
      <c r="B83" s="13">
        <v>7647</v>
      </c>
      <c r="C83" s="13">
        <v>936</v>
      </c>
      <c r="D83" s="14">
        <v>0.12239999999999999</v>
      </c>
      <c r="E83" s="14">
        <v>0.87760000000000005</v>
      </c>
      <c r="F83" s="13">
        <v>7173</v>
      </c>
      <c r="G83" s="13">
        <v>47448</v>
      </c>
      <c r="H83" s="15">
        <v>6.2</v>
      </c>
      <c r="I83" s="15">
        <v>4.75</v>
      </c>
      <c r="J83" s="15"/>
      <c r="K83" s="13">
        <v>7974</v>
      </c>
      <c r="L83" s="13">
        <v>972</v>
      </c>
      <c r="M83" s="14">
        <v>0.12189999999999999</v>
      </c>
      <c r="N83" s="14">
        <v>0.87809999999999999</v>
      </c>
      <c r="O83" s="13">
        <v>7481</v>
      </c>
      <c r="P83" s="13">
        <v>51032</v>
      </c>
      <c r="Q83" s="15">
        <v>6.4</v>
      </c>
      <c r="R83" s="15">
        <v>4.91</v>
      </c>
    </row>
    <row r="84" spans="1:18">
      <c r="A84" s="7">
        <v>78</v>
      </c>
      <c r="B84" s="13">
        <v>6711</v>
      </c>
      <c r="C84" s="13">
        <v>867</v>
      </c>
      <c r="D84" s="14">
        <v>0.12919</v>
      </c>
      <c r="E84" s="14">
        <v>0.87080999999999997</v>
      </c>
      <c r="F84" s="13">
        <v>6272</v>
      </c>
      <c r="G84" s="13">
        <v>40275</v>
      </c>
      <c r="H84" s="15">
        <v>6</v>
      </c>
      <c r="I84" s="15">
        <v>4.53</v>
      </c>
      <c r="J84" s="15"/>
      <c r="K84" s="13">
        <v>7002</v>
      </c>
      <c r="L84" s="13">
        <v>888</v>
      </c>
      <c r="M84" s="14">
        <v>0.12681999999999999</v>
      </c>
      <c r="N84" s="14">
        <v>0.87317999999999996</v>
      </c>
      <c r="O84" s="13">
        <v>6551</v>
      </c>
      <c r="P84" s="13">
        <v>43551</v>
      </c>
      <c r="Q84" s="15">
        <v>6.22</v>
      </c>
      <c r="R84" s="15">
        <v>4.7300000000000004</v>
      </c>
    </row>
    <row r="85" spans="1:18">
      <c r="A85" s="7">
        <v>79</v>
      </c>
      <c r="B85" s="13">
        <v>5844</v>
      </c>
      <c r="C85" s="13">
        <v>798</v>
      </c>
      <c r="D85" s="14">
        <v>0.13655</v>
      </c>
      <c r="E85" s="14">
        <v>0.86345000000000005</v>
      </c>
      <c r="F85" s="13">
        <v>5439</v>
      </c>
      <c r="G85" s="13">
        <v>34003</v>
      </c>
      <c r="H85" s="15">
        <v>5.82</v>
      </c>
      <c r="I85" s="15">
        <v>4.3</v>
      </c>
      <c r="J85" s="15"/>
      <c r="K85" s="13">
        <v>6114</v>
      </c>
      <c r="L85" s="13">
        <v>806</v>
      </c>
      <c r="M85" s="14">
        <v>0.13183</v>
      </c>
      <c r="N85" s="14">
        <v>0.86817</v>
      </c>
      <c r="O85" s="13">
        <v>5704</v>
      </c>
      <c r="P85" s="13">
        <v>37000</v>
      </c>
      <c r="Q85" s="15">
        <v>6.05</v>
      </c>
      <c r="R85" s="15">
        <v>4.5599999999999996</v>
      </c>
    </row>
    <row r="86" spans="1:18">
      <c r="A86" s="7">
        <v>80</v>
      </c>
      <c r="B86" s="13">
        <v>5046</v>
      </c>
      <c r="C86" s="13">
        <v>728</v>
      </c>
      <c r="D86" s="14">
        <v>0.14427000000000001</v>
      </c>
      <c r="E86" s="14">
        <v>0.85572999999999999</v>
      </c>
      <c r="F86" s="13">
        <v>4676</v>
      </c>
      <c r="G86" s="13">
        <v>28564</v>
      </c>
      <c r="H86" s="15">
        <v>5.66</v>
      </c>
      <c r="I86" s="15">
        <v>4</v>
      </c>
      <c r="J86" s="15"/>
      <c r="K86" s="13">
        <v>5308</v>
      </c>
      <c r="L86" s="13">
        <v>729</v>
      </c>
      <c r="M86" s="14">
        <v>0.13733999999999999</v>
      </c>
      <c r="N86" s="14">
        <v>0.86265999999999998</v>
      </c>
      <c r="O86" s="13">
        <v>4938</v>
      </c>
      <c r="P86" s="13">
        <v>31296</v>
      </c>
      <c r="Q86" s="15">
        <v>5.9</v>
      </c>
      <c r="R86" s="15">
        <v>4.4000000000000004</v>
      </c>
    </row>
    <row r="87" spans="1:18">
      <c r="A87" s="7">
        <v>81</v>
      </c>
      <c r="B87" s="13">
        <v>4318</v>
      </c>
      <c r="C87" s="13">
        <v>655</v>
      </c>
      <c r="D87" s="14">
        <v>0.15168999999999999</v>
      </c>
      <c r="E87" s="14">
        <v>0.84831000000000001</v>
      </c>
      <c r="F87" s="13">
        <v>3984</v>
      </c>
      <c r="G87" s="13">
        <v>23888</v>
      </c>
      <c r="H87" s="15">
        <v>5.53</v>
      </c>
      <c r="I87" s="15">
        <v>3.94</v>
      </c>
      <c r="J87" s="15"/>
      <c r="K87" s="13">
        <v>4579</v>
      </c>
      <c r="L87" s="13">
        <v>653</v>
      </c>
      <c r="M87" s="14">
        <v>0.14260999999999999</v>
      </c>
      <c r="N87" s="14">
        <v>0.85738999999999999</v>
      </c>
      <c r="O87" s="13">
        <v>4247</v>
      </c>
      <c r="P87" s="13">
        <v>26358</v>
      </c>
      <c r="Q87" s="15">
        <v>5.76</v>
      </c>
      <c r="R87" s="15">
        <v>4.25</v>
      </c>
    </row>
    <row r="88" spans="1:18">
      <c r="A88" s="7">
        <v>82</v>
      </c>
      <c r="B88" s="13">
        <v>3663</v>
      </c>
      <c r="C88" s="13">
        <v>584</v>
      </c>
      <c r="D88" s="14">
        <v>0.15942999999999999</v>
      </c>
      <c r="E88" s="14">
        <v>0.84057000000000004</v>
      </c>
      <c r="F88" s="13">
        <v>3365</v>
      </c>
      <c r="G88" s="13">
        <v>19904</v>
      </c>
      <c r="H88" s="15">
        <v>5.43</v>
      </c>
      <c r="I88" s="15">
        <v>3.82</v>
      </c>
      <c r="J88" s="15"/>
      <c r="K88" s="13">
        <v>3926</v>
      </c>
      <c r="L88" s="13">
        <v>581</v>
      </c>
      <c r="M88" s="14">
        <v>0.14799000000000001</v>
      </c>
      <c r="N88" s="14">
        <v>0.85201000000000005</v>
      </c>
      <c r="O88" s="13">
        <v>3629</v>
      </c>
      <c r="P88" s="13">
        <v>22111</v>
      </c>
      <c r="Q88" s="15">
        <v>5.63</v>
      </c>
      <c r="R88" s="15">
        <v>4.12</v>
      </c>
    </row>
    <row r="89" spans="1:18">
      <c r="A89" s="7">
        <v>83</v>
      </c>
      <c r="B89" s="13">
        <v>3079</v>
      </c>
      <c r="C89" s="13">
        <v>510</v>
      </c>
      <c r="D89" s="14">
        <v>0.16564000000000001</v>
      </c>
      <c r="E89" s="14">
        <v>0.83435999999999999</v>
      </c>
      <c r="F89" s="13">
        <v>2818</v>
      </c>
      <c r="G89" s="13">
        <v>16539</v>
      </c>
      <c r="H89" s="15">
        <v>5.37</v>
      </c>
      <c r="I89" s="15">
        <v>3.75</v>
      </c>
      <c r="J89" s="15"/>
      <c r="K89" s="13">
        <v>3345</v>
      </c>
      <c r="L89" s="13">
        <v>514</v>
      </c>
      <c r="M89" s="14">
        <v>0.15365999999999999</v>
      </c>
      <c r="N89" s="14">
        <v>0.84633999999999998</v>
      </c>
      <c r="O89" s="13">
        <v>3082</v>
      </c>
      <c r="P89" s="13">
        <v>18482</v>
      </c>
      <c r="Q89" s="15">
        <v>5.53</v>
      </c>
      <c r="R89" s="15">
        <v>4.01</v>
      </c>
    </row>
    <row r="90" spans="1:18">
      <c r="A90" s="7">
        <v>84</v>
      </c>
      <c r="B90" s="13">
        <v>2569</v>
      </c>
      <c r="C90" s="13">
        <v>437</v>
      </c>
      <c r="D90" s="14">
        <v>0.17011000000000001</v>
      </c>
      <c r="E90" s="14">
        <v>0.82989000000000002</v>
      </c>
      <c r="F90" s="13">
        <v>2344</v>
      </c>
      <c r="G90" s="13">
        <v>13721</v>
      </c>
      <c r="H90" s="15">
        <v>5.34</v>
      </c>
      <c r="I90" s="15">
        <v>3.74</v>
      </c>
      <c r="J90" s="15"/>
      <c r="K90" s="13">
        <v>2831</v>
      </c>
      <c r="L90" s="13">
        <v>447</v>
      </c>
      <c r="M90" s="14">
        <v>0.15789</v>
      </c>
      <c r="N90" s="14">
        <v>0.84211000000000003</v>
      </c>
      <c r="O90" s="13">
        <v>2603</v>
      </c>
      <c r="P90" s="13">
        <v>15400</v>
      </c>
      <c r="Q90" s="15">
        <v>5.44</v>
      </c>
      <c r="R90" s="15">
        <v>3.94</v>
      </c>
    </row>
    <row r="91" spans="1:18">
      <c r="A91" s="7">
        <v>85</v>
      </c>
      <c r="B91" s="13">
        <v>2132</v>
      </c>
      <c r="C91" s="13">
        <v>365</v>
      </c>
      <c r="D91" s="14">
        <v>0.17119999999999999</v>
      </c>
      <c r="E91" s="14">
        <v>0.82879999999999998</v>
      </c>
      <c r="F91" s="13">
        <v>1944</v>
      </c>
      <c r="G91" s="13">
        <v>11377</v>
      </c>
      <c r="H91" s="15">
        <v>5.34</v>
      </c>
      <c r="I91" s="15">
        <v>3.77</v>
      </c>
      <c r="J91" s="15"/>
      <c r="K91" s="13">
        <v>2384</v>
      </c>
      <c r="L91" s="13">
        <v>383</v>
      </c>
      <c r="M91" s="14">
        <v>0.16064999999999999</v>
      </c>
      <c r="N91" s="14">
        <v>0.83935000000000004</v>
      </c>
      <c r="O91" s="13">
        <v>2188</v>
      </c>
      <c r="P91" s="13">
        <v>12797</v>
      </c>
      <c r="Q91" s="15">
        <v>5.37</v>
      </c>
      <c r="R91" s="15">
        <v>3.91</v>
      </c>
    </row>
    <row r="92" spans="1:18">
      <c r="A92" s="7">
        <v>86</v>
      </c>
      <c r="B92" s="13">
        <v>1767</v>
      </c>
      <c r="C92" s="13">
        <v>301</v>
      </c>
      <c r="D92" s="14">
        <v>0.17035</v>
      </c>
      <c r="E92" s="14">
        <v>0.82965</v>
      </c>
      <c r="F92" s="13">
        <v>1611</v>
      </c>
      <c r="G92" s="13">
        <v>9433</v>
      </c>
      <c r="H92" s="15">
        <v>5.34</v>
      </c>
      <c r="I92" s="15">
        <v>3.84</v>
      </c>
      <c r="J92" s="15"/>
      <c r="K92" s="13">
        <v>2001</v>
      </c>
      <c r="L92" s="13">
        <v>326</v>
      </c>
      <c r="M92" s="14">
        <v>0.16292000000000001</v>
      </c>
      <c r="N92" s="14">
        <v>0.83708000000000005</v>
      </c>
      <c r="O92" s="13">
        <v>1834</v>
      </c>
      <c r="P92" s="13">
        <v>10609</v>
      </c>
      <c r="Q92" s="15">
        <v>5.3</v>
      </c>
      <c r="R92" s="15">
        <v>3.91</v>
      </c>
    </row>
    <row r="93" spans="1:18">
      <c r="A93" s="7">
        <v>87</v>
      </c>
      <c r="B93" s="13">
        <v>1466</v>
      </c>
      <c r="C93" s="13">
        <v>246</v>
      </c>
      <c r="D93" s="14">
        <v>0.1678</v>
      </c>
      <c r="E93" s="14">
        <v>0.83220000000000005</v>
      </c>
      <c r="F93" s="13">
        <v>1339</v>
      </c>
      <c r="G93" s="13">
        <v>7822</v>
      </c>
      <c r="H93" s="15">
        <v>5.34</v>
      </c>
      <c r="I93" s="15">
        <v>3.95</v>
      </c>
      <c r="J93" s="15"/>
      <c r="K93" s="13">
        <v>1675</v>
      </c>
      <c r="L93" s="13">
        <v>275</v>
      </c>
      <c r="M93" s="14">
        <v>0.16417999999999999</v>
      </c>
      <c r="N93" s="14">
        <v>0.83582000000000001</v>
      </c>
      <c r="O93" s="13">
        <v>1534</v>
      </c>
      <c r="P93" s="13">
        <v>8775</v>
      </c>
      <c r="Q93" s="15">
        <v>5.24</v>
      </c>
      <c r="R93" s="15">
        <v>3.94</v>
      </c>
    </row>
    <row r="94" spans="1:18">
      <c r="A94" s="7">
        <v>88</v>
      </c>
      <c r="B94" s="13">
        <v>1220</v>
      </c>
      <c r="C94" s="13">
        <v>200</v>
      </c>
      <c r="D94" s="14">
        <v>0.16392999999999999</v>
      </c>
      <c r="E94" s="14">
        <v>0.83606999999999998</v>
      </c>
      <c r="F94" s="13">
        <v>1116</v>
      </c>
      <c r="G94" s="13">
        <v>6483</v>
      </c>
      <c r="H94" s="15">
        <v>5.31</v>
      </c>
      <c r="I94" s="15">
        <v>4.09</v>
      </c>
      <c r="J94" s="15"/>
      <c r="K94" s="13">
        <v>1400</v>
      </c>
      <c r="L94" s="13">
        <v>228</v>
      </c>
      <c r="M94" s="14">
        <v>0.16286</v>
      </c>
      <c r="N94" s="14">
        <v>0.83714</v>
      </c>
      <c r="O94" s="13">
        <v>1282</v>
      </c>
      <c r="P94" s="13">
        <v>7241</v>
      </c>
      <c r="Q94" s="15">
        <v>5.17</v>
      </c>
      <c r="R94" s="15">
        <v>4.01</v>
      </c>
    </row>
    <row r="95" spans="1:18">
      <c r="A95" s="7">
        <v>89</v>
      </c>
      <c r="B95" s="13">
        <v>1020</v>
      </c>
      <c r="C95" s="13">
        <v>162</v>
      </c>
      <c r="D95" s="14">
        <v>0.15881999999999999</v>
      </c>
      <c r="E95" s="14">
        <v>0.84118000000000004</v>
      </c>
      <c r="F95" s="13">
        <v>936</v>
      </c>
      <c r="G95" s="13">
        <v>5367</v>
      </c>
      <c r="H95" s="15">
        <v>5.26</v>
      </c>
      <c r="I95" s="15">
        <v>4.2300000000000004</v>
      </c>
      <c r="J95" s="15"/>
      <c r="K95" s="13">
        <v>1172</v>
      </c>
      <c r="L95" s="13">
        <v>188</v>
      </c>
      <c r="M95" s="14">
        <v>0.16041</v>
      </c>
      <c r="N95" s="14">
        <v>0.83958999999999995</v>
      </c>
      <c r="O95" s="13">
        <v>1075</v>
      </c>
      <c r="P95" s="13">
        <v>5959</v>
      </c>
      <c r="Q95" s="15">
        <v>5.08</v>
      </c>
      <c r="R95" s="15">
        <v>4.0999999999999996</v>
      </c>
    </row>
    <row r="96" spans="1:18">
      <c r="A96" s="7">
        <v>90</v>
      </c>
      <c r="B96" s="13">
        <v>858</v>
      </c>
      <c r="C96" s="13">
        <v>132</v>
      </c>
      <c r="D96" s="14">
        <v>0.15384999999999999</v>
      </c>
      <c r="E96" s="14">
        <v>0.84614999999999996</v>
      </c>
      <c r="F96" s="13">
        <v>790</v>
      </c>
      <c r="G96" s="13">
        <v>4431</v>
      </c>
      <c r="H96" s="15">
        <v>5.16</v>
      </c>
      <c r="I96" s="15">
        <v>4.3</v>
      </c>
      <c r="J96" s="15"/>
      <c r="K96" s="13">
        <v>984</v>
      </c>
      <c r="L96" s="13">
        <v>155</v>
      </c>
      <c r="M96" s="14">
        <v>0.15751999999999999</v>
      </c>
      <c r="N96" s="14">
        <v>0.84248000000000001</v>
      </c>
      <c r="O96" s="13">
        <v>903</v>
      </c>
      <c r="P96" s="13">
        <v>4884</v>
      </c>
      <c r="Q96" s="15">
        <v>4.96</v>
      </c>
      <c r="R96" s="15">
        <v>4.1500000000000004</v>
      </c>
    </row>
    <row r="97" spans="1:18">
      <c r="A97" s="7">
        <v>91</v>
      </c>
      <c r="B97" s="13">
        <v>726</v>
      </c>
      <c r="C97" s="13">
        <v>108</v>
      </c>
      <c r="D97" s="14">
        <v>0.14876</v>
      </c>
      <c r="E97" s="14">
        <v>0.85124</v>
      </c>
      <c r="F97" s="13">
        <v>670</v>
      </c>
      <c r="G97" s="13">
        <v>3641</v>
      </c>
      <c r="H97" s="15">
        <v>5.0199999999999996</v>
      </c>
      <c r="I97" s="15">
        <v>4.25</v>
      </c>
      <c r="J97" s="15"/>
      <c r="K97" s="13">
        <v>829</v>
      </c>
      <c r="L97" s="13">
        <v>128</v>
      </c>
      <c r="M97" s="14">
        <v>0.15440000000000001</v>
      </c>
      <c r="N97" s="14">
        <v>0.84560000000000002</v>
      </c>
      <c r="O97" s="13">
        <v>763</v>
      </c>
      <c r="P97" s="13">
        <v>3981</v>
      </c>
      <c r="Q97" s="15">
        <v>4.8</v>
      </c>
      <c r="R97" s="15">
        <v>4.1100000000000003</v>
      </c>
    </row>
    <row r="98" spans="1:18">
      <c r="A98" s="7">
        <v>92</v>
      </c>
      <c r="B98" s="13">
        <v>618</v>
      </c>
      <c r="C98" s="13">
        <v>90</v>
      </c>
      <c r="D98" s="14">
        <v>0.14563000000000001</v>
      </c>
      <c r="E98" s="14">
        <v>0.85436999999999996</v>
      </c>
      <c r="F98" s="13">
        <v>572</v>
      </c>
      <c r="G98" s="13">
        <v>2971</v>
      </c>
      <c r="H98" s="15">
        <v>4.8099999999999996</v>
      </c>
      <c r="I98" s="15">
        <v>4.08</v>
      </c>
      <c r="J98" s="15"/>
      <c r="K98" s="13">
        <v>701</v>
      </c>
      <c r="L98" s="13">
        <v>106</v>
      </c>
      <c r="M98" s="14">
        <v>0.15121000000000001</v>
      </c>
      <c r="N98" s="14">
        <v>0.84879000000000004</v>
      </c>
      <c r="O98" s="13">
        <v>647</v>
      </c>
      <c r="P98" s="13">
        <v>3218</v>
      </c>
      <c r="Q98" s="15">
        <v>4.59</v>
      </c>
      <c r="R98" s="15">
        <v>3.93</v>
      </c>
    </row>
    <row r="99" spans="1:18">
      <c r="A99" s="7">
        <v>93</v>
      </c>
      <c r="B99" s="13">
        <v>528</v>
      </c>
      <c r="C99" s="13">
        <v>78</v>
      </c>
      <c r="D99" s="14">
        <v>0.14773</v>
      </c>
      <c r="E99" s="14">
        <v>0.85226999999999997</v>
      </c>
      <c r="F99" s="13">
        <v>488</v>
      </c>
      <c r="G99" s="13">
        <v>2399</v>
      </c>
      <c r="H99" s="15">
        <v>4.54</v>
      </c>
      <c r="I99" s="15">
        <v>3.81</v>
      </c>
      <c r="J99" s="15"/>
      <c r="K99" s="13">
        <v>595</v>
      </c>
      <c r="L99" s="13">
        <v>91</v>
      </c>
      <c r="M99" s="14">
        <v>0.15293999999999999</v>
      </c>
      <c r="N99" s="14">
        <v>0.84706000000000004</v>
      </c>
      <c r="O99" s="13">
        <v>549</v>
      </c>
      <c r="P99" s="13">
        <v>2571</v>
      </c>
      <c r="Q99" s="15">
        <v>4.32</v>
      </c>
      <c r="R99" s="15">
        <v>3.69</v>
      </c>
    </row>
    <row r="100" spans="1:18">
      <c r="A100" s="7">
        <v>94</v>
      </c>
      <c r="B100" s="13">
        <v>450</v>
      </c>
      <c r="C100" s="13">
        <v>71</v>
      </c>
      <c r="D100" s="14">
        <v>0.15778</v>
      </c>
      <c r="E100" s="14">
        <v>0.84221999999999997</v>
      </c>
      <c r="F100" s="13">
        <v>413</v>
      </c>
      <c r="G100" s="13">
        <v>1911</v>
      </c>
      <c r="H100" s="15">
        <v>4.25</v>
      </c>
      <c r="I100" s="15">
        <v>3.47</v>
      </c>
      <c r="J100" s="15"/>
      <c r="K100" s="13">
        <v>504</v>
      </c>
      <c r="L100" s="13">
        <v>82</v>
      </c>
      <c r="M100" s="14">
        <v>0.16270000000000001</v>
      </c>
      <c r="N100" s="14">
        <v>0.83730000000000004</v>
      </c>
      <c r="O100" s="13">
        <v>462</v>
      </c>
      <c r="P100" s="13">
        <v>2022</v>
      </c>
      <c r="Q100" s="15">
        <v>4.01</v>
      </c>
      <c r="R100" s="15">
        <v>3.36</v>
      </c>
    </row>
    <row r="101" spans="1:18">
      <c r="A101" s="7">
        <v>95</v>
      </c>
      <c r="B101" s="13">
        <v>379</v>
      </c>
      <c r="C101" s="13">
        <v>65</v>
      </c>
      <c r="D101" s="14">
        <v>0.17150000000000001</v>
      </c>
      <c r="E101" s="14">
        <v>0.82850000000000001</v>
      </c>
      <c r="F101" s="13">
        <v>346</v>
      </c>
      <c r="G101" s="13">
        <v>1498</v>
      </c>
      <c r="H101" s="15">
        <v>3.95</v>
      </c>
      <c r="I101" s="15">
        <v>3.1</v>
      </c>
      <c r="J101" s="15"/>
      <c r="K101" s="13">
        <v>422</v>
      </c>
      <c r="L101" s="13">
        <v>76</v>
      </c>
      <c r="M101" s="14">
        <v>0.18009</v>
      </c>
      <c r="N101" s="14">
        <v>0.81991000000000003</v>
      </c>
      <c r="O101" s="13">
        <v>383</v>
      </c>
      <c r="P101" s="13">
        <v>1560</v>
      </c>
      <c r="Q101" s="15">
        <v>3.7</v>
      </c>
      <c r="R101" s="15">
        <v>2.98</v>
      </c>
    </row>
    <row r="102" spans="1:18">
      <c r="A102" s="7">
        <v>96</v>
      </c>
      <c r="B102" s="13">
        <v>314</v>
      </c>
      <c r="C102" s="13">
        <v>62</v>
      </c>
      <c r="D102" s="14">
        <v>0.19744999999999999</v>
      </c>
      <c r="E102" s="14">
        <v>0.80254999999999999</v>
      </c>
      <c r="F102" s="13">
        <v>283</v>
      </c>
      <c r="G102" s="13">
        <v>1152</v>
      </c>
      <c r="H102" s="15">
        <v>3.67</v>
      </c>
      <c r="I102" s="15">
        <v>2.76</v>
      </c>
      <c r="J102" s="15"/>
      <c r="K102" s="13">
        <v>346</v>
      </c>
      <c r="L102" s="13">
        <v>70</v>
      </c>
      <c r="M102" s="14">
        <v>0.20230999999999999</v>
      </c>
      <c r="N102" s="14">
        <v>0.79769000000000001</v>
      </c>
      <c r="O102" s="13">
        <v>311</v>
      </c>
      <c r="P102" s="13">
        <v>1177</v>
      </c>
      <c r="Q102" s="15">
        <v>3.4</v>
      </c>
      <c r="R102" s="15">
        <v>2.66</v>
      </c>
    </row>
    <row r="103" spans="1:18">
      <c r="A103" s="7">
        <v>97</v>
      </c>
      <c r="B103" s="13">
        <v>252</v>
      </c>
      <c r="C103" s="13">
        <v>57</v>
      </c>
      <c r="D103" s="14">
        <v>0.22619</v>
      </c>
      <c r="E103" s="14">
        <v>0.77381</v>
      </c>
      <c r="F103" s="13">
        <v>224</v>
      </c>
      <c r="G103" s="13">
        <v>869</v>
      </c>
      <c r="H103" s="15">
        <v>3.45</v>
      </c>
      <c r="I103" s="15">
        <v>2.46</v>
      </c>
      <c r="J103" s="15"/>
      <c r="K103" s="13">
        <v>276</v>
      </c>
      <c r="L103" s="13">
        <v>66</v>
      </c>
      <c r="M103" s="14">
        <v>0.23913000000000001</v>
      </c>
      <c r="N103" s="14">
        <v>0.76087000000000005</v>
      </c>
      <c r="O103" s="13">
        <v>242</v>
      </c>
      <c r="P103" s="13">
        <v>866</v>
      </c>
      <c r="Q103" s="15">
        <v>3.14</v>
      </c>
      <c r="R103" s="15">
        <v>2.35</v>
      </c>
    </row>
    <row r="104" spans="1:18">
      <c r="A104" s="7">
        <v>98</v>
      </c>
      <c r="B104" s="13">
        <v>195</v>
      </c>
      <c r="C104" s="13">
        <v>50</v>
      </c>
      <c r="D104" s="14">
        <v>0.25641000000000003</v>
      </c>
      <c r="E104" s="14">
        <v>0.74358999999999997</v>
      </c>
      <c r="F104" s="13">
        <v>169</v>
      </c>
      <c r="G104" s="13">
        <v>645</v>
      </c>
      <c r="H104" s="15">
        <v>3.31</v>
      </c>
      <c r="I104" s="15">
        <v>2.17</v>
      </c>
      <c r="J104" s="15"/>
      <c r="K104" s="13">
        <v>210</v>
      </c>
      <c r="L104" s="13">
        <v>56</v>
      </c>
      <c r="M104" s="14">
        <v>0.26667000000000002</v>
      </c>
      <c r="N104" s="14">
        <v>0.73333000000000004</v>
      </c>
      <c r="O104" s="13">
        <v>181</v>
      </c>
      <c r="P104" s="13">
        <v>624</v>
      </c>
      <c r="Q104" s="15">
        <v>2.97</v>
      </c>
      <c r="R104" s="15">
        <v>2.0699999999999998</v>
      </c>
    </row>
    <row r="105" spans="1:18">
      <c r="A105" s="7">
        <v>99</v>
      </c>
      <c r="B105" s="13">
        <v>145</v>
      </c>
      <c r="C105" s="13">
        <v>41</v>
      </c>
      <c r="D105" s="14">
        <v>0.28276000000000001</v>
      </c>
      <c r="E105" s="14">
        <v>0.71723999999999999</v>
      </c>
      <c r="F105" s="13">
        <v>123</v>
      </c>
      <c r="G105" s="13">
        <v>476</v>
      </c>
      <c r="H105" s="15">
        <v>3.28</v>
      </c>
      <c r="I105" s="15">
        <v>1.89</v>
      </c>
      <c r="J105" s="15"/>
      <c r="K105" s="13">
        <v>154</v>
      </c>
      <c r="L105" s="13">
        <v>46</v>
      </c>
      <c r="M105" s="14">
        <v>0.29870000000000002</v>
      </c>
      <c r="N105" s="14">
        <v>0.70130000000000003</v>
      </c>
      <c r="O105" s="13">
        <v>130</v>
      </c>
      <c r="P105" s="13">
        <v>443</v>
      </c>
      <c r="Q105" s="15">
        <v>2.88</v>
      </c>
      <c r="R105" s="15">
        <v>1.76</v>
      </c>
    </row>
    <row r="106" spans="1:18">
      <c r="A106" s="7">
        <v>100</v>
      </c>
      <c r="B106" s="13">
        <v>104</v>
      </c>
      <c r="C106" s="13">
        <v>36</v>
      </c>
      <c r="D106" s="14">
        <v>0.34615000000000001</v>
      </c>
      <c r="E106" s="14">
        <v>0.65385000000000004</v>
      </c>
      <c r="F106" s="13">
        <v>85</v>
      </c>
      <c r="G106" s="13">
        <v>353</v>
      </c>
      <c r="H106" s="15">
        <v>3.39</v>
      </c>
      <c r="I106" s="15">
        <v>1.8</v>
      </c>
      <c r="J106" s="15"/>
      <c r="K106" s="13">
        <v>108</v>
      </c>
      <c r="L106" s="13">
        <v>41</v>
      </c>
      <c r="M106" s="14">
        <v>0.37963000000000002</v>
      </c>
      <c r="N106" s="14">
        <v>0.62036999999999998</v>
      </c>
      <c r="O106" s="13">
        <v>87</v>
      </c>
      <c r="P106" s="13">
        <v>313</v>
      </c>
      <c r="Q106" s="15">
        <v>2.9</v>
      </c>
      <c r="R106" s="15">
        <v>1.62</v>
      </c>
    </row>
  </sheetData>
  <mergeCells count="4">
    <mergeCell ref="A1:R1"/>
    <mergeCell ref="A2:R2"/>
    <mergeCell ref="B4:I4"/>
    <mergeCell ref="K4:R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06"/>
  <sheetViews>
    <sheetView topLeftCell="A61" workbookViewId="0">
      <selection activeCell="V14" sqref="V14"/>
    </sheetView>
  </sheetViews>
  <sheetFormatPr defaultRowHeight="14.25"/>
  <cols>
    <col min="1" max="1" width="11.5" customWidth="1"/>
    <col min="7" max="7" width="9.5" customWidth="1"/>
    <col min="16" max="16" width="9.75" customWidth="1"/>
  </cols>
  <sheetData>
    <row r="1" spans="1:18" ht="15">
      <c r="A1" s="62" t="s">
        <v>49</v>
      </c>
      <c r="B1" s="62"/>
      <c r="C1" s="62"/>
      <c r="D1" s="62"/>
      <c r="E1" s="62"/>
      <c r="F1" s="62"/>
      <c r="G1" s="62"/>
      <c r="H1" s="62"/>
      <c r="I1" s="62"/>
      <c r="J1" s="62"/>
      <c r="K1" s="62"/>
      <c r="L1" s="62"/>
      <c r="M1" s="62"/>
      <c r="N1" s="62"/>
      <c r="O1" s="62"/>
      <c r="P1" s="62"/>
      <c r="Q1" s="62"/>
      <c r="R1" s="62"/>
    </row>
    <row r="2" spans="1:18">
      <c r="A2" s="63" t="s">
        <v>32</v>
      </c>
      <c r="B2" s="63"/>
      <c r="C2" s="63"/>
      <c r="D2" s="63"/>
      <c r="E2" s="63"/>
      <c r="F2" s="63"/>
      <c r="G2" s="63"/>
      <c r="H2" s="63"/>
      <c r="I2" s="63"/>
      <c r="J2" s="63"/>
      <c r="K2" s="63"/>
      <c r="L2" s="63"/>
      <c r="M2" s="63"/>
      <c r="N2" s="63"/>
      <c r="O2" s="63"/>
      <c r="P2" s="63"/>
      <c r="Q2" s="63"/>
      <c r="R2" s="63"/>
    </row>
    <row r="4" spans="1:18">
      <c r="B4" s="60" t="s">
        <v>16</v>
      </c>
      <c r="C4" s="60"/>
      <c r="D4" s="60"/>
      <c r="E4" s="60"/>
      <c r="F4" s="60"/>
      <c r="G4" s="60"/>
      <c r="H4" s="60"/>
      <c r="I4" s="60"/>
      <c r="K4" s="61" t="s">
        <v>17</v>
      </c>
      <c r="L4" s="61"/>
      <c r="M4" s="61"/>
      <c r="N4" s="61"/>
      <c r="O4" s="61"/>
      <c r="P4" s="61"/>
      <c r="Q4" s="61"/>
      <c r="R4" s="61"/>
    </row>
    <row r="5" spans="1:18" ht="29.45" customHeight="1">
      <c r="A5" s="32" t="s">
        <v>18</v>
      </c>
      <c r="B5" s="32" t="s">
        <v>19</v>
      </c>
      <c r="C5" s="32" t="s">
        <v>20</v>
      </c>
      <c r="D5" s="32" t="s">
        <v>21</v>
      </c>
      <c r="E5" s="32" t="s">
        <v>22</v>
      </c>
      <c r="F5" s="32" t="s">
        <v>23</v>
      </c>
      <c r="G5" s="32" t="s">
        <v>24</v>
      </c>
      <c r="H5" s="32" t="s">
        <v>25</v>
      </c>
      <c r="I5" s="32" t="s">
        <v>26</v>
      </c>
      <c r="J5" s="27"/>
      <c r="K5" s="32" t="s">
        <v>19</v>
      </c>
      <c r="L5" s="32" t="s">
        <v>20</v>
      </c>
      <c r="M5" s="32" t="s">
        <v>21</v>
      </c>
      <c r="N5" s="32" t="s">
        <v>22</v>
      </c>
      <c r="O5" s="32" t="s">
        <v>23</v>
      </c>
      <c r="P5" s="32" t="s">
        <v>24</v>
      </c>
      <c r="Q5" s="32" t="s">
        <v>25</v>
      </c>
      <c r="R5" s="32" t="s">
        <v>26</v>
      </c>
    </row>
    <row r="6" spans="1:18">
      <c r="A6" s="6">
        <v>0</v>
      </c>
      <c r="B6" s="11">
        <v>100000</v>
      </c>
      <c r="C6" s="11">
        <v>27560</v>
      </c>
      <c r="D6" s="31">
        <v>0.27560000000000001</v>
      </c>
      <c r="E6" s="31">
        <v>0.72440000000000004</v>
      </c>
      <c r="F6" s="11">
        <v>81971</v>
      </c>
      <c r="G6" s="11">
        <v>3190175</v>
      </c>
      <c r="H6" s="12">
        <v>31.9</v>
      </c>
      <c r="I6" s="12">
        <v>25.47</v>
      </c>
      <c r="K6" s="11">
        <v>100000</v>
      </c>
      <c r="L6" s="11">
        <v>24310</v>
      </c>
      <c r="M6" s="31">
        <v>0.24310000000000001</v>
      </c>
      <c r="N6" s="31">
        <v>0.75690000000000002</v>
      </c>
      <c r="O6" s="11">
        <v>84402</v>
      </c>
      <c r="P6" s="11">
        <v>3397795</v>
      </c>
      <c r="Q6" s="12">
        <v>33.979999999999997</v>
      </c>
      <c r="R6" s="12">
        <v>30</v>
      </c>
    </row>
    <row r="7" spans="1:18">
      <c r="A7" s="6">
        <v>1</v>
      </c>
      <c r="B7" s="11">
        <v>72440</v>
      </c>
      <c r="C7" s="11">
        <v>6686</v>
      </c>
      <c r="D7" s="31">
        <v>9.2299999999999993E-2</v>
      </c>
      <c r="E7" s="31">
        <v>0.90769999999999995</v>
      </c>
      <c r="F7" s="11">
        <v>68540</v>
      </c>
      <c r="G7" s="11">
        <v>3108204</v>
      </c>
      <c r="H7" s="12">
        <v>42.91</v>
      </c>
      <c r="I7" s="12">
        <v>48.67</v>
      </c>
      <c r="K7" s="11">
        <v>75690</v>
      </c>
      <c r="L7" s="11">
        <v>6595</v>
      </c>
      <c r="M7" s="31">
        <v>8.7129999999999999E-2</v>
      </c>
      <c r="N7" s="31">
        <v>0.91286999999999996</v>
      </c>
      <c r="O7" s="11">
        <v>72043</v>
      </c>
      <c r="P7" s="11">
        <v>3313393</v>
      </c>
      <c r="Q7" s="12">
        <v>43.78</v>
      </c>
      <c r="R7" s="12">
        <v>50.17</v>
      </c>
    </row>
    <row r="8" spans="1:18">
      <c r="A8" s="6">
        <v>2</v>
      </c>
      <c r="B8" s="11">
        <v>65754</v>
      </c>
      <c r="C8" s="11">
        <v>3353</v>
      </c>
      <c r="D8" s="31">
        <v>5.0990000000000001E-2</v>
      </c>
      <c r="E8" s="31">
        <v>0.94901000000000002</v>
      </c>
      <c r="F8" s="11">
        <v>63883</v>
      </c>
      <c r="G8" s="11">
        <v>3039664</v>
      </c>
      <c r="H8" s="12">
        <v>46.23</v>
      </c>
      <c r="I8" s="12">
        <v>51.72</v>
      </c>
      <c r="K8" s="11">
        <v>69095</v>
      </c>
      <c r="L8" s="11">
        <v>3379</v>
      </c>
      <c r="M8" s="31">
        <v>4.8899999999999999E-2</v>
      </c>
      <c r="N8" s="31">
        <v>0.95109999999999995</v>
      </c>
      <c r="O8" s="11">
        <v>67219</v>
      </c>
      <c r="P8" s="11">
        <v>3241350</v>
      </c>
      <c r="Q8" s="12">
        <v>46.91</v>
      </c>
      <c r="R8" s="12">
        <v>53.44</v>
      </c>
    </row>
    <row r="9" spans="1:18">
      <c r="A9" s="6">
        <v>3</v>
      </c>
      <c r="B9" s="11">
        <v>62401</v>
      </c>
      <c r="C9" s="11">
        <v>2048</v>
      </c>
      <c r="D9" s="31">
        <v>3.2820000000000002E-2</v>
      </c>
      <c r="E9" s="31">
        <v>0.96718000000000004</v>
      </c>
      <c r="F9" s="11">
        <v>61297</v>
      </c>
      <c r="G9" s="11">
        <v>2975781</v>
      </c>
      <c r="H9" s="12">
        <v>47.69</v>
      </c>
      <c r="I9" s="12">
        <v>52.58</v>
      </c>
      <c r="K9" s="11">
        <v>65716</v>
      </c>
      <c r="L9" s="11">
        <v>2099</v>
      </c>
      <c r="M9" s="31">
        <v>3.1940000000000003E-2</v>
      </c>
      <c r="N9" s="31">
        <v>0.96806000000000003</v>
      </c>
      <c r="O9" s="11">
        <v>64587</v>
      </c>
      <c r="P9" s="11">
        <v>3174131</v>
      </c>
      <c r="Q9" s="12">
        <v>48.3</v>
      </c>
      <c r="R9" s="12">
        <v>54.34</v>
      </c>
    </row>
    <row r="10" spans="1:18">
      <c r="A10" s="6">
        <v>4</v>
      </c>
      <c r="B10" s="11">
        <v>60353</v>
      </c>
      <c r="C10" s="11">
        <v>1440</v>
      </c>
      <c r="D10" s="31">
        <v>2.3859999999999999E-2</v>
      </c>
      <c r="E10" s="31">
        <v>0.97614000000000001</v>
      </c>
      <c r="F10" s="11">
        <v>59590</v>
      </c>
      <c r="G10" s="11">
        <v>2914484</v>
      </c>
      <c r="H10" s="12">
        <v>48.29</v>
      </c>
      <c r="I10" s="12">
        <v>52.69</v>
      </c>
      <c r="K10" s="11">
        <v>63617</v>
      </c>
      <c r="L10" s="11">
        <v>1491</v>
      </c>
      <c r="M10" s="31">
        <v>2.3439999999999999E-2</v>
      </c>
      <c r="N10" s="31">
        <v>0.97655999999999998</v>
      </c>
      <c r="O10" s="11">
        <v>62827</v>
      </c>
      <c r="P10" s="11">
        <v>3109544</v>
      </c>
      <c r="Q10" s="12">
        <v>48.88</v>
      </c>
      <c r="R10" s="12">
        <v>54.45</v>
      </c>
    </row>
    <row r="11" spans="1:18">
      <c r="A11" s="6">
        <v>5</v>
      </c>
      <c r="B11" s="11">
        <v>58913</v>
      </c>
      <c r="C11" s="11">
        <v>1013</v>
      </c>
      <c r="D11" s="31">
        <v>1.719E-2</v>
      </c>
      <c r="E11" s="31">
        <v>0.98280999999999996</v>
      </c>
      <c r="F11" s="11">
        <v>58377</v>
      </c>
      <c r="G11" s="11">
        <v>2854894</v>
      </c>
      <c r="H11" s="12">
        <v>48.46</v>
      </c>
      <c r="I11" s="12">
        <v>52.44</v>
      </c>
      <c r="K11" s="11">
        <v>62126</v>
      </c>
      <c r="L11" s="11">
        <v>1054</v>
      </c>
      <c r="M11" s="31">
        <v>1.6969999999999999E-2</v>
      </c>
      <c r="N11" s="31">
        <v>0.98302999999999996</v>
      </c>
      <c r="O11" s="11">
        <v>61570</v>
      </c>
      <c r="P11" s="11">
        <v>3046717</v>
      </c>
      <c r="Q11" s="12">
        <v>49.04</v>
      </c>
      <c r="R11" s="12">
        <v>54.21</v>
      </c>
    </row>
    <row r="12" spans="1:18">
      <c r="A12" s="6">
        <v>6</v>
      </c>
      <c r="B12" s="11">
        <v>57900</v>
      </c>
      <c r="C12" s="11">
        <v>758</v>
      </c>
      <c r="D12" s="31">
        <v>1.3089999999999999E-2</v>
      </c>
      <c r="E12" s="31">
        <v>0.98690999999999995</v>
      </c>
      <c r="F12" s="11">
        <v>57502</v>
      </c>
      <c r="G12" s="11">
        <v>2796517</v>
      </c>
      <c r="H12" s="12">
        <v>48.3</v>
      </c>
      <c r="I12" s="12">
        <v>51.97</v>
      </c>
      <c r="K12" s="11">
        <v>61072</v>
      </c>
      <c r="L12" s="11">
        <v>792</v>
      </c>
      <c r="M12" s="31">
        <v>1.2970000000000001E-2</v>
      </c>
      <c r="N12" s="31">
        <v>0.98702999999999996</v>
      </c>
      <c r="O12" s="11">
        <v>61656</v>
      </c>
      <c r="P12" s="11">
        <v>2985147</v>
      </c>
      <c r="Q12" s="12">
        <v>48.88</v>
      </c>
      <c r="R12" s="12">
        <v>53.73</v>
      </c>
    </row>
    <row r="13" spans="1:18">
      <c r="A13" s="6">
        <v>7</v>
      </c>
      <c r="B13" s="11">
        <v>57142</v>
      </c>
      <c r="C13" s="11">
        <v>565</v>
      </c>
      <c r="D13" s="31">
        <v>9.8899999999999995E-3</v>
      </c>
      <c r="E13" s="31">
        <v>0.99011000000000005</v>
      </c>
      <c r="F13" s="11">
        <v>56847</v>
      </c>
      <c r="G13" s="11">
        <v>2739015</v>
      </c>
      <c r="H13" s="12">
        <v>47.93</v>
      </c>
      <c r="I13" s="12">
        <v>51.36</v>
      </c>
      <c r="K13" s="11">
        <v>60280</v>
      </c>
      <c r="L13" s="11">
        <v>585</v>
      </c>
      <c r="M13" s="31">
        <v>9.7000000000000003E-3</v>
      </c>
      <c r="N13" s="31">
        <v>0.99029999999999996</v>
      </c>
      <c r="O13" s="11">
        <v>59974</v>
      </c>
      <c r="P13" s="11">
        <v>2924491</v>
      </c>
      <c r="Q13" s="12">
        <v>48.52</v>
      </c>
      <c r="R13" s="12">
        <v>53.11</v>
      </c>
    </row>
    <row r="14" spans="1:18">
      <c r="A14" s="6">
        <v>8</v>
      </c>
      <c r="B14" s="11">
        <v>56577</v>
      </c>
      <c r="C14" s="11">
        <v>455</v>
      </c>
      <c r="D14" s="31">
        <v>8.0400000000000003E-3</v>
      </c>
      <c r="E14" s="31">
        <v>0.99195999999999995</v>
      </c>
      <c r="F14" s="11">
        <v>56342</v>
      </c>
      <c r="G14" s="11">
        <v>2682168</v>
      </c>
      <c r="H14" s="12">
        <v>47.41</v>
      </c>
      <c r="I14" s="12">
        <v>50.65</v>
      </c>
      <c r="K14" s="11">
        <v>59695</v>
      </c>
      <c r="L14" s="11">
        <v>463</v>
      </c>
      <c r="M14" s="31">
        <v>7.7600000000000004E-3</v>
      </c>
      <c r="N14" s="31">
        <v>0.99224000000000001</v>
      </c>
      <c r="O14" s="11">
        <v>59456</v>
      </c>
      <c r="P14" s="11">
        <v>2864517</v>
      </c>
      <c r="Q14" s="12">
        <v>47.99</v>
      </c>
      <c r="R14" s="12">
        <v>52.39</v>
      </c>
    </row>
    <row r="15" spans="1:18">
      <c r="A15" s="6">
        <v>9</v>
      </c>
      <c r="B15" s="11">
        <v>56122</v>
      </c>
      <c r="C15" s="11">
        <v>384</v>
      </c>
      <c r="D15" s="31">
        <v>6.8399999999999997E-3</v>
      </c>
      <c r="E15" s="31">
        <v>0.99316000000000004</v>
      </c>
      <c r="F15" s="11">
        <v>55925</v>
      </c>
      <c r="G15" s="11">
        <v>2625826</v>
      </c>
      <c r="H15" s="12">
        <v>46.79</v>
      </c>
      <c r="I15" s="12">
        <v>49.88</v>
      </c>
      <c r="K15" s="11">
        <v>59232</v>
      </c>
      <c r="L15" s="11">
        <v>388</v>
      </c>
      <c r="M15" s="31">
        <v>6.5500000000000003E-3</v>
      </c>
      <c r="N15" s="31">
        <v>0.99345000000000006</v>
      </c>
      <c r="O15" s="11">
        <v>59033</v>
      </c>
      <c r="P15" s="11">
        <v>2805061</v>
      </c>
      <c r="Q15" s="12">
        <v>47.36</v>
      </c>
      <c r="R15" s="12">
        <v>51.61</v>
      </c>
    </row>
    <row r="16" spans="1:18">
      <c r="A16" s="6">
        <v>10</v>
      </c>
      <c r="B16" s="11">
        <v>55738</v>
      </c>
      <c r="C16" s="11">
        <v>331</v>
      </c>
      <c r="D16" s="31">
        <v>5.94E-3</v>
      </c>
      <c r="E16" s="31">
        <v>0.99406000000000005</v>
      </c>
      <c r="F16" s="11">
        <v>55568</v>
      </c>
      <c r="G16" s="11">
        <v>2569901</v>
      </c>
      <c r="H16" s="12">
        <v>46.11</v>
      </c>
      <c r="I16" s="12">
        <v>49.08</v>
      </c>
      <c r="K16" s="11">
        <v>58844</v>
      </c>
      <c r="L16" s="11">
        <v>335</v>
      </c>
      <c r="M16" s="31">
        <v>5.6899999999999997E-3</v>
      </c>
      <c r="N16" s="31">
        <v>0.99431000000000003</v>
      </c>
      <c r="O16" s="11">
        <v>58672</v>
      </c>
      <c r="P16" s="11">
        <v>2746028</v>
      </c>
      <c r="Q16" s="12">
        <v>46.67</v>
      </c>
      <c r="R16" s="12">
        <v>50.8</v>
      </c>
    </row>
    <row r="17" spans="1:18">
      <c r="A17" s="6">
        <v>11</v>
      </c>
      <c r="B17" s="11">
        <v>55407</v>
      </c>
      <c r="C17" s="11">
        <v>286</v>
      </c>
      <c r="D17" s="31">
        <v>5.1599999999999997E-3</v>
      </c>
      <c r="E17" s="31">
        <v>0.99483999999999995</v>
      </c>
      <c r="F17" s="11">
        <v>55261</v>
      </c>
      <c r="G17" s="11">
        <v>2514333</v>
      </c>
      <c r="H17" s="12">
        <v>45.38</v>
      </c>
      <c r="I17" s="12">
        <v>48.24</v>
      </c>
      <c r="K17" s="11">
        <v>58509</v>
      </c>
      <c r="L17" s="11">
        <v>298</v>
      </c>
      <c r="M17" s="31">
        <v>5.0899999999999999E-3</v>
      </c>
      <c r="N17" s="31">
        <v>0.99490999999999996</v>
      </c>
      <c r="O17" s="11">
        <v>58358</v>
      </c>
      <c r="P17" s="11">
        <v>2687356</v>
      </c>
      <c r="Q17" s="12">
        <v>45.93</v>
      </c>
      <c r="R17" s="12">
        <v>49.96</v>
      </c>
    </row>
    <row r="18" spans="1:18">
      <c r="A18" s="6">
        <v>12</v>
      </c>
      <c r="B18" s="11">
        <v>55121</v>
      </c>
      <c r="C18" s="11">
        <v>257</v>
      </c>
      <c r="D18" s="31">
        <v>4.6600000000000001E-3</v>
      </c>
      <c r="E18" s="31">
        <v>0.99534</v>
      </c>
      <c r="F18" s="11">
        <v>54990</v>
      </c>
      <c r="G18" s="11">
        <v>2459072</v>
      </c>
      <c r="H18" s="12">
        <v>44.61</v>
      </c>
      <c r="I18" s="12">
        <v>47.39</v>
      </c>
      <c r="K18" s="11">
        <v>58211</v>
      </c>
      <c r="L18" s="11">
        <v>277</v>
      </c>
      <c r="M18" s="31">
        <v>4.7600000000000003E-3</v>
      </c>
      <c r="N18" s="31">
        <v>0.99524000000000001</v>
      </c>
      <c r="O18" s="11">
        <v>58072</v>
      </c>
      <c r="P18" s="11">
        <v>2628998</v>
      </c>
      <c r="Q18" s="12">
        <v>45.16</v>
      </c>
      <c r="R18" s="12">
        <v>49.09</v>
      </c>
    </row>
    <row r="19" spans="1:18">
      <c r="A19" s="6">
        <v>13</v>
      </c>
      <c r="B19" s="11">
        <v>54864</v>
      </c>
      <c r="C19" s="11">
        <v>249</v>
      </c>
      <c r="D19" s="31">
        <v>4.5399999999999998E-3</v>
      </c>
      <c r="E19" s="31">
        <v>0.99546000000000001</v>
      </c>
      <c r="F19" s="11">
        <v>54741</v>
      </c>
      <c r="G19" s="11">
        <v>2404082</v>
      </c>
      <c r="H19" s="12">
        <v>43.82</v>
      </c>
      <c r="I19" s="12">
        <v>46.51</v>
      </c>
      <c r="K19" s="11">
        <v>57934</v>
      </c>
      <c r="L19" s="11">
        <v>282</v>
      </c>
      <c r="M19" s="31">
        <v>4.8700000000000002E-3</v>
      </c>
      <c r="N19" s="31">
        <v>0.99512999999999996</v>
      </c>
      <c r="O19" s="11">
        <v>57795</v>
      </c>
      <c r="P19" s="11">
        <v>2570926</v>
      </c>
      <c r="Q19" s="12">
        <v>44.38</v>
      </c>
      <c r="R19" s="12">
        <v>48.22</v>
      </c>
    </row>
    <row r="20" spans="1:18">
      <c r="A20" s="6">
        <v>14</v>
      </c>
      <c r="B20" s="11">
        <v>54615</v>
      </c>
      <c r="C20" s="11">
        <v>271</v>
      </c>
      <c r="D20" s="31">
        <v>4.96E-3</v>
      </c>
      <c r="E20" s="31">
        <v>0.99504000000000004</v>
      </c>
      <c r="F20" s="11">
        <v>54483</v>
      </c>
      <c r="G20" s="11">
        <v>2349341</v>
      </c>
      <c r="H20" s="12">
        <v>43.02</v>
      </c>
      <c r="I20" s="12">
        <v>45.64</v>
      </c>
      <c r="K20" s="11">
        <v>57652</v>
      </c>
      <c r="L20" s="11">
        <v>319</v>
      </c>
      <c r="M20" s="31">
        <v>5.5300000000000002E-3</v>
      </c>
      <c r="N20" s="31">
        <v>0.99446999999999997</v>
      </c>
      <c r="O20" s="11">
        <v>57496</v>
      </c>
      <c r="P20" s="11">
        <v>2513131</v>
      </c>
      <c r="Q20" s="12">
        <v>43.59</v>
      </c>
      <c r="R20" s="12">
        <v>47.35</v>
      </c>
    </row>
    <row r="21" spans="1:18">
      <c r="A21" s="6">
        <v>15</v>
      </c>
      <c r="B21" s="11">
        <v>54344</v>
      </c>
      <c r="C21" s="11">
        <v>323</v>
      </c>
      <c r="D21" s="31">
        <v>5.94E-3</v>
      </c>
      <c r="E21" s="31">
        <v>0.99406000000000005</v>
      </c>
      <c r="F21" s="11">
        <v>54186</v>
      </c>
      <c r="G21" s="11">
        <v>2294858</v>
      </c>
      <c r="H21" s="12">
        <v>42.23</v>
      </c>
      <c r="I21" s="12">
        <v>44.77</v>
      </c>
      <c r="K21" s="11">
        <v>57333</v>
      </c>
      <c r="L21" s="11">
        <v>380</v>
      </c>
      <c r="M21" s="31">
        <v>6.6299999999999996E-3</v>
      </c>
      <c r="N21" s="31">
        <v>0.99336999999999998</v>
      </c>
      <c r="O21" s="11">
        <v>57147</v>
      </c>
      <c r="P21" s="11">
        <v>2455635</v>
      </c>
      <c r="Q21" s="12">
        <v>42.83</v>
      </c>
      <c r="R21" s="12">
        <v>46.5</v>
      </c>
    </row>
    <row r="22" spans="1:18">
      <c r="A22" s="6">
        <v>16</v>
      </c>
      <c r="B22" s="11">
        <v>54021</v>
      </c>
      <c r="C22" s="11">
        <v>367</v>
      </c>
      <c r="D22" s="31">
        <v>6.79E-3</v>
      </c>
      <c r="E22" s="31">
        <v>0.99321000000000004</v>
      </c>
      <c r="F22" s="11">
        <v>53841</v>
      </c>
      <c r="G22" s="11">
        <v>2240672</v>
      </c>
      <c r="H22" s="12">
        <v>41.48</v>
      </c>
      <c r="I22" s="12">
        <v>43.94</v>
      </c>
      <c r="K22" s="11">
        <v>56953</v>
      </c>
      <c r="L22" s="11">
        <v>438</v>
      </c>
      <c r="M22" s="31">
        <v>7.6899999999999998E-3</v>
      </c>
      <c r="N22" s="31">
        <v>0.99231000000000003</v>
      </c>
      <c r="O22" s="11">
        <v>56738</v>
      </c>
      <c r="P22" s="11">
        <v>2398488</v>
      </c>
      <c r="Q22" s="12">
        <v>42.11</v>
      </c>
      <c r="R22" s="12">
        <v>45.67</v>
      </c>
    </row>
    <row r="23" spans="1:18">
      <c r="A23" s="6">
        <v>17</v>
      </c>
      <c r="B23" s="11">
        <v>53654</v>
      </c>
      <c r="C23" s="11">
        <v>397</v>
      </c>
      <c r="D23" s="31">
        <v>7.4000000000000003E-3</v>
      </c>
      <c r="E23" s="31">
        <v>0.99260000000000004</v>
      </c>
      <c r="F23" s="11">
        <v>53458</v>
      </c>
      <c r="G23" s="11">
        <v>2186831</v>
      </c>
      <c r="H23" s="12">
        <v>40.76</v>
      </c>
      <c r="I23" s="12">
        <v>43.12</v>
      </c>
      <c r="K23" s="11">
        <v>56515</v>
      </c>
      <c r="L23" s="11">
        <v>472</v>
      </c>
      <c r="M23" s="31">
        <v>8.3499999999999998E-3</v>
      </c>
      <c r="N23" s="31">
        <v>0.99165000000000003</v>
      </c>
      <c r="O23" s="11">
        <v>56282</v>
      </c>
      <c r="P23" s="11">
        <v>2341750</v>
      </c>
      <c r="Q23" s="12">
        <v>41.44</v>
      </c>
      <c r="R23" s="12">
        <v>44.87</v>
      </c>
    </row>
    <row r="24" spans="1:18">
      <c r="A24" s="6">
        <v>18</v>
      </c>
      <c r="B24" s="11">
        <v>53257</v>
      </c>
      <c r="C24" s="11">
        <v>411</v>
      </c>
      <c r="D24" s="31">
        <v>7.7200000000000003E-3</v>
      </c>
      <c r="E24" s="31">
        <v>0.99228000000000005</v>
      </c>
      <c r="F24" s="11">
        <v>53053</v>
      </c>
      <c r="G24" s="11">
        <v>2133373</v>
      </c>
      <c r="H24" s="12">
        <v>40.06</v>
      </c>
      <c r="I24" s="12">
        <v>42.31</v>
      </c>
      <c r="K24" s="11">
        <v>56043</v>
      </c>
      <c r="L24" s="11">
        <v>475</v>
      </c>
      <c r="M24" s="31">
        <v>8.4799999999999997E-3</v>
      </c>
      <c r="N24" s="31">
        <v>0.99151999999999996</v>
      </c>
      <c r="O24" s="11">
        <v>55806</v>
      </c>
      <c r="P24" s="11">
        <v>2285468</v>
      </c>
      <c r="Q24" s="12">
        <v>40.78</v>
      </c>
      <c r="R24" s="12">
        <v>44.09</v>
      </c>
    </row>
    <row r="25" spans="1:18">
      <c r="A25" s="6">
        <v>19</v>
      </c>
      <c r="B25" s="11">
        <v>52846</v>
      </c>
      <c r="C25" s="11">
        <v>413</v>
      </c>
      <c r="D25" s="31">
        <v>7.8200000000000006E-3</v>
      </c>
      <c r="E25" s="31">
        <v>0.99217999999999995</v>
      </c>
      <c r="F25" s="11">
        <v>52641</v>
      </c>
      <c r="G25" s="11">
        <v>2080320</v>
      </c>
      <c r="H25" s="12">
        <v>39.369999999999997</v>
      </c>
      <c r="I25" s="12">
        <v>41.52</v>
      </c>
      <c r="K25" s="11">
        <v>55568</v>
      </c>
      <c r="L25" s="11">
        <v>484</v>
      </c>
      <c r="M25" s="31">
        <v>8.7100000000000007E-3</v>
      </c>
      <c r="N25" s="31">
        <v>0.99129</v>
      </c>
      <c r="O25" s="11">
        <v>55327</v>
      </c>
      <c r="P25" s="11">
        <v>2229602</v>
      </c>
      <c r="Q25" s="12">
        <v>40.119999999999997</v>
      </c>
      <c r="R25" s="12">
        <v>43.3</v>
      </c>
    </row>
    <row r="26" spans="1:18">
      <c r="A26" s="6">
        <v>20</v>
      </c>
      <c r="B26" s="11">
        <v>52433</v>
      </c>
      <c r="C26" s="11">
        <v>433</v>
      </c>
      <c r="D26" s="31">
        <v>8.26E-3</v>
      </c>
      <c r="E26" s="31">
        <v>0.99173999999999995</v>
      </c>
      <c r="F26" s="11">
        <v>52217</v>
      </c>
      <c r="G26" s="11">
        <v>2027679</v>
      </c>
      <c r="H26" s="12">
        <v>38.67</v>
      </c>
      <c r="I26" s="12">
        <v>40.72</v>
      </c>
      <c r="K26" s="11">
        <v>55084</v>
      </c>
      <c r="L26" s="11">
        <v>492</v>
      </c>
      <c r="M26" s="31">
        <v>8.9300000000000004E-3</v>
      </c>
      <c r="N26" s="31">
        <v>0.99107000000000001</v>
      </c>
      <c r="O26" s="11">
        <v>54839</v>
      </c>
      <c r="P26" s="11">
        <v>2174335</v>
      </c>
      <c r="Q26" s="12">
        <v>39.47</v>
      </c>
      <c r="R26" s="12">
        <v>42.51</v>
      </c>
    </row>
    <row r="27" spans="1:18">
      <c r="A27" s="6">
        <v>21</v>
      </c>
      <c r="B27" s="11">
        <v>52000</v>
      </c>
      <c r="C27" s="11">
        <v>442</v>
      </c>
      <c r="D27" s="31">
        <v>8.5000000000000006E-3</v>
      </c>
      <c r="E27" s="31">
        <v>0.99150000000000005</v>
      </c>
      <c r="F27" s="11">
        <v>51780</v>
      </c>
      <c r="G27" s="11">
        <v>1975462</v>
      </c>
      <c r="H27" s="12">
        <v>37.99</v>
      </c>
      <c r="I27" s="12">
        <v>39.93</v>
      </c>
      <c r="K27" s="11">
        <v>54592</v>
      </c>
      <c r="L27" s="11">
        <v>505</v>
      </c>
      <c r="M27" s="31">
        <v>9.2499999999999995E-3</v>
      </c>
      <c r="N27" s="31">
        <v>0.99075000000000002</v>
      </c>
      <c r="O27" s="11">
        <v>54341</v>
      </c>
      <c r="P27" s="11">
        <v>2119496</v>
      </c>
      <c r="Q27" s="12">
        <v>38.82</v>
      </c>
      <c r="R27" s="12">
        <v>41.73</v>
      </c>
    </row>
    <row r="28" spans="1:18">
      <c r="A28" s="6">
        <v>22</v>
      </c>
      <c r="B28" s="11">
        <v>51558</v>
      </c>
      <c r="C28" s="11">
        <v>446</v>
      </c>
      <c r="D28" s="31">
        <v>8.6499999999999997E-3</v>
      </c>
      <c r="E28" s="31">
        <v>0.99134999999999995</v>
      </c>
      <c r="F28" s="11">
        <v>51335</v>
      </c>
      <c r="G28" s="11">
        <v>1923682</v>
      </c>
      <c r="H28" s="12">
        <v>37.31</v>
      </c>
      <c r="I28" s="12">
        <v>39.15</v>
      </c>
      <c r="K28" s="11">
        <v>54087</v>
      </c>
      <c r="L28" s="11">
        <v>507</v>
      </c>
      <c r="M28" s="31">
        <v>9.3699999999999999E-3</v>
      </c>
      <c r="N28" s="31">
        <v>0.99063000000000001</v>
      </c>
      <c r="O28" s="11">
        <v>53834</v>
      </c>
      <c r="P28" s="11">
        <v>2065155</v>
      </c>
      <c r="Q28" s="12">
        <v>38.18</v>
      </c>
      <c r="R28" s="12">
        <v>40.96</v>
      </c>
    </row>
    <row r="29" spans="1:18">
      <c r="A29" s="6">
        <v>23</v>
      </c>
      <c r="B29" s="11">
        <v>51112</v>
      </c>
      <c r="C29" s="11">
        <v>449</v>
      </c>
      <c r="D29" s="31">
        <v>8.7799999999999996E-3</v>
      </c>
      <c r="E29" s="31">
        <v>0.99121999999999999</v>
      </c>
      <c r="F29" s="11">
        <v>50888</v>
      </c>
      <c r="G29" s="11">
        <v>1872347</v>
      </c>
      <c r="H29" s="12">
        <v>36.630000000000003</v>
      </c>
      <c r="I29" s="12">
        <v>38.36</v>
      </c>
      <c r="K29" s="11">
        <v>53580</v>
      </c>
      <c r="L29" s="11">
        <v>511</v>
      </c>
      <c r="M29" s="31">
        <v>9.5399999999999999E-3</v>
      </c>
      <c r="N29" s="31">
        <v>0.99046000000000001</v>
      </c>
      <c r="O29" s="11">
        <v>53324</v>
      </c>
      <c r="P29" s="11">
        <v>2011321</v>
      </c>
      <c r="Q29" s="12">
        <v>37.54</v>
      </c>
      <c r="R29" s="12">
        <v>40.18</v>
      </c>
    </row>
    <row r="30" spans="1:18">
      <c r="A30" s="6">
        <v>24</v>
      </c>
      <c r="B30" s="11">
        <v>50663</v>
      </c>
      <c r="C30" s="11">
        <v>451</v>
      </c>
      <c r="D30" s="31">
        <v>8.8999999999999999E-3</v>
      </c>
      <c r="E30" s="31">
        <v>0.99109999999999998</v>
      </c>
      <c r="F30" s="11">
        <v>50438</v>
      </c>
      <c r="G30" s="11">
        <v>1821459</v>
      </c>
      <c r="H30" s="12">
        <v>35.950000000000003</v>
      </c>
      <c r="I30" s="12">
        <v>37.58</v>
      </c>
      <c r="K30" s="11">
        <v>53069</v>
      </c>
      <c r="L30" s="11">
        <v>512</v>
      </c>
      <c r="M30" s="31">
        <v>9.6500000000000006E-3</v>
      </c>
      <c r="N30" s="31">
        <v>0.99034999999999995</v>
      </c>
      <c r="O30" s="11">
        <v>52812</v>
      </c>
      <c r="P30" s="11">
        <v>1957997</v>
      </c>
      <c r="Q30" s="12">
        <v>36.9</v>
      </c>
      <c r="R30" s="12">
        <v>39.4</v>
      </c>
    </row>
    <row r="31" spans="1:18">
      <c r="A31" s="6">
        <v>25</v>
      </c>
      <c r="B31" s="11">
        <v>50212</v>
      </c>
      <c r="C31" s="11">
        <v>451</v>
      </c>
      <c r="D31" s="31">
        <v>8.9800000000000001E-3</v>
      </c>
      <c r="E31" s="31">
        <v>0.99102000000000001</v>
      </c>
      <c r="F31" s="11">
        <v>49986</v>
      </c>
      <c r="G31" s="11">
        <v>1771021</v>
      </c>
      <c r="H31" s="12">
        <v>35.270000000000003</v>
      </c>
      <c r="I31" s="12">
        <v>36.799999999999997</v>
      </c>
      <c r="K31" s="11">
        <v>52557</v>
      </c>
      <c r="L31" s="11">
        <v>512</v>
      </c>
      <c r="M31" s="31">
        <v>9.7400000000000004E-3</v>
      </c>
      <c r="N31" s="31">
        <v>0.99026000000000003</v>
      </c>
      <c r="O31" s="11">
        <v>52300</v>
      </c>
      <c r="P31" s="11">
        <v>1905185</v>
      </c>
      <c r="Q31" s="12">
        <v>36.25</v>
      </c>
      <c r="R31" s="12">
        <v>38.619999999999997</v>
      </c>
    </row>
    <row r="32" spans="1:18">
      <c r="A32" s="6">
        <v>26</v>
      </c>
      <c r="B32" s="11">
        <v>49761</v>
      </c>
      <c r="C32" s="11">
        <v>451</v>
      </c>
      <c r="D32" s="31">
        <v>9.0600000000000003E-3</v>
      </c>
      <c r="E32" s="31">
        <v>0.99094000000000004</v>
      </c>
      <c r="F32" s="11">
        <v>49536</v>
      </c>
      <c r="G32" s="11">
        <v>1721035</v>
      </c>
      <c r="H32" s="12">
        <v>34.590000000000003</v>
      </c>
      <c r="I32" s="12">
        <v>36.01</v>
      </c>
      <c r="K32" s="11">
        <v>52045</v>
      </c>
      <c r="L32" s="11">
        <v>511</v>
      </c>
      <c r="M32" s="31">
        <v>9.8200000000000006E-3</v>
      </c>
      <c r="N32" s="31">
        <v>0.99017999999999995</v>
      </c>
      <c r="O32" s="11">
        <v>51789</v>
      </c>
      <c r="P32" s="11">
        <v>1852885</v>
      </c>
      <c r="Q32" s="12">
        <v>35.6</v>
      </c>
      <c r="R32" s="12">
        <v>37.840000000000003</v>
      </c>
    </row>
    <row r="33" spans="1:18">
      <c r="A33" s="6">
        <v>27</v>
      </c>
      <c r="B33" s="11">
        <v>49310</v>
      </c>
      <c r="C33" s="11">
        <v>451</v>
      </c>
      <c r="D33" s="31">
        <v>9.1500000000000001E-3</v>
      </c>
      <c r="E33" s="31">
        <v>0.99085000000000001</v>
      </c>
      <c r="F33" s="11">
        <v>49084</v>
      </c>
      <c r="G33" s="11">
        <v>1671499</v>
      </c>
      <c r="H33" s="12">
        <v>33.9</v>
      </c>
      <c r="I33" s="12">
        <v>35.229999999999997</v>
      </c>
      <c r="K33" s="11">
        <v>51534</v>
      </c>
      <c r="L33" s="11">
        <v>511</v>
      </c>
      <c r="M33" s="31">
        <v>9.92E-3</v>
      </c>
      <c r="N33" s="31">
        <v>0.99007999999999996</v>
      </c>
      <c r="O33" s="11">
        <v>51279</v>
      </c>
      <c r="P33" s="11">
        <v>1801096</v>
      </c>
      <c r="Q33" s="12">
        <v>34.950000000000003</v>
      </c>
      <c r="R33" s="12">
        <v>37.06</v>
      </c>
    </row>
    <row r="34" spans="1:18">
      <c r="A34" s="6">
        <v>28</v>
      </c>
      <c r="B34" s="11">
        <v>48859</v>
      </c>
      <c r="C34" s="11">
        <v>454</v>
      </c>
      <c r="D34" s="31">
        <v>9.2899999999999996E-3</v>
      </c>
      <c r="E34" s="31">
        <v>0.99070999999999998</v>
      </c>
      <c r="F34" s="11">
        <v>48632</v>
      </c>
      <c r="G34" s="11">
        <v>1622415</v>
      </c>
      <c r="H34" s="12">
        <v>33.21</v>
      </c>
      <c r="I34" s="12">
        <v>34.44</v>
      </c>
      <c r="K34" s="11">
        <v>51023</v>
      </c>
      <c r="L34" s="11">
        <v>511</v>
      </c>
      <c r="M34" s="31">
        <v>1.0019999999999999E-2</v>
      </c>
      <c r="N34" s="31">
        <v>0.98997999999999997</v>
      </c>
      <c r="O34" s="11">
        <v>50768</v>
      </c>
      <c r="P34" s="11">
        <v>1749817</v>
      </c>
      <c r="Q34" s="12">
        <v>34.29</v>
      </c>
      <c r="R34" s="12">
        <v>36.270000000000003</v>
      </c>
    </row>
    <row r="35" spans="1:18">
      <c r="A35" s="6">
        <v>29</v>
      </c>
      <c r="B35" s="11">
        <v>48405</v>
      </c>
      <c r="C35" s="11">
        <v>457</v>
      </c>
      <c r="D35" s="31">
        <v>9.4400000000000005E-3</v>
      </c>
      <c r="E35" s="31">
        <v>0.99056</v>
      </c>
      <c r="F35" s="11">
        <v>48176</v>
      </c>
      <c r="G35" s="11">
        <v>1573783</v>
      </c>
      <c r="H35" s="12">
        <v>32.51</v>
      </c>
      <c r="I35" s="12">
        <v>33.659999999999997</v>
      </c>
      <c r="K35" s="11">
        <v>50512</v>
      </c>
      <c r="L35" s="11">
        <v>511</v>
      </c>
      <c r="M35" s="31">
        <v>1.0120000000000001E-2</v>
      </c>
      <c r="N35" s="31">
        <v>0.98987999999999998</v>
      </c>
      <c r="O35" s="11">
        <v>50257</v>
      </c>
      <c r="P35" s="11">
        <v>1699049</v>
      </c>
      <c r="Q35" s="12">
        <v>33.64</v>
      </c>
      <c r="R35" s="12">
        <v>35.49</v>
      </c>
    </row>
    <row r="36" spans="1:18">
      <c r="A36" s="6">
        <v>30</v>
      </c>
      <c r="B36" s="11">
        <v>47948</v>
      </c>
      <c r="C36" s="11">
        <v>460</v>
      </c>
      <c r="D36" s="31">
        <v>9.5899999999999996E-3</v>
      </c>
      <c r="E36" s="31">
        <v>0.99041000000000001</v>
      </c>
      <c r="F36" s="11">
        <v>47718</v>
      </c>
      <c r="G36" s="11">
        <v>1525607</v>
      </c>
      <c r="H36" s="12">
        <v>31.82</v>
      </c>
      <c r="I36" s="12">
        <v>32.869999999999997</v>
      </c>
      <c r="K36" s="11">
        <v>50001</v>
      </c>
      <c r="L36" s="11">
        <v>511</v>
      </c>
      <c r="M36" s="31">
        <v>1.022E-2</v>
      </c>
      <c r="N36" s="31">
        <v>0.98977999999999999</v>
      </c>
      <c r="O36" s="11">
        <v>49746</v>
      </c>
      <c r="P36" s="11">
        <v>1648792</v>
      </c>
      <c r="Q36" s="12">
        <v>32.979999999999997</v>
      </c>
      <c r="R36" s="12">
        <v>34.700000000000003</v>
      </c>
    </row>
    <row r="37" spans="1:18">
      <c r="A37" s="6">
        <v>31</v>
      </c>
      <c r="B37" s="11">
        <v>47488</v>
      </c>
      <c r="C37" s="11">
        <v>467</v>
      </c>
      <c r="D37" s="31">
        <v>9.8300000000000002E-3</v>
      </c>
      <c r="E37" s="31">
        <v>0.99016999999999999</v>
      </c>
      <c r="F37" s="11">
        <v>47254</v>
      </c>
      <c r="G37" s="11">
        <v>1477889</v>
      </c>
      <c r="H37" s="12">
        <v>31.12</v>
      </c>
      <c r="I37" s="12">
        <v>32.090000000000003</v>
      </c>
      <c r="K37" s="11">
        <v>49490</v>
      </c>
      <c r="L37" s="11">
        <v>512</v>
      </c>
      <c r="M37" s="31">
        <v>1.035E-2</v>
      </c>
      <c r="N37" s="31">
        <v>0.98965000000000003</v>
      </c>
      <c r="O37" s="11">
        <v>49234</v>
      </c>
      <c r="P37" s="11">
        <v>1599046</v>
      </c>
      <c r="Q37" s="12">
        <v>32.31</v>
      </c>
      <c r="R37" s="12">
        <v>33.909999999999997</v>
      </c>
    </row>
    <row r="38" spans="1:18">
      <c r="A38" s="6">
        <v>32</v>
      </c>
      <c r="B38" s="11">
        <v>47021</v>
      </c>
      <c r="C38" s="11">
        <v>472</v>
      </c>
      <c r="D38" s="31">
        <v>1.004E-2</v>
      </c>
      <c r="E38" s="31">
        <v>0.98995999999999995</v>
      </c>
      <c r="F38" s="11">
        <v>46786</v>
      </c>
      <c r="G38" s="11">
        <v>1430635</v>
      </c>
      <c r="H38" s="12">
        <v>30.43</v>
      </c>
      <c r="I38" s="12">
        <v>31.31</v>
      </c>
      <c r="K38" s="11">
        <v>48978</v>
      </c>
      <c r="L38" s="11">
        <v>513</v>
      </c>
      <c r="M38" s="31">
        <v>1.047E-2</v>
      </c>
      <c r="N38" s="31">
        <v>0.98953000000000002</v>
      </c>
      <c r="O38" s="11">
        <v>48721</v>
      </c>
      <c r="P38" s="11">
        <v>1549812</v>
      </c>
      <c r="Q38" s="12">
        <v>31.64</v>
      </c>
      <c r="R38" s="12">
        <v>33.119999999999997</v>
      </c>
    </row>
    <row r="39" spans="1:18">
      <c r="A39" s="6">
        <v>33</v>
      </c>
      <c r="B39" s="11">
        <v>46549</v>
      </c>
      <c r="C39" s="11">
        <v>482</v>
      </c>
      <c r="D39" s="31">
        <v>1.035E-2</v>
      </c>
      <c r="E39" s="31">
        <v>0.98965000000000003</v>
      </c>
      <c r="F39" s="11">
        <v>46309</v>
      </c>
      <c r="G39" s="11">
        <v>1383849</v>
      </c>
      <c r="H39" s="12">
        <v>29.73</v>
      </c>
      <c r="I39" s="12">
        <v>30.53</v>
      </c>
      <c r="K39" s="11">
        <v>48465</v>
      </c>
      <c r="L39" s="11">
        <v>518</v>
      </c>
      <c r="M39" s="31">
        <v>1.069E-2</v>
      </c>
      <c r="N39" s="31">
        <v>0.98931000000000002</v>
      </c>
      <c r="O39" s="11">
        <v>48206</v>
      </c>
      <c r="P39" s="11">
        <v>1501091</v>
      </c>
      <c r="Q39" s="12">
        <v>30.97</v>
      </c>
      <c r="R39" s="12">
        <v>32.33</v>
      </c>
    </row>
    <row r="40" spans="1:18">
      <c r="A40" s="6">
        <v>34</v>
      </c>
      <c r="B40" s="11">
        <v>46067</v>
      </c>
      <c r="C40" s="11">
        <v>495</v>
      </c>
      <c r="D40" s="31">
        <v>1.0749999999999999E-2</v>
      </c>
      <c r="E40" s="31">
        <v>0.98924999999999996</v>
      </c>
      <c r="F40" s="11">
        <v>45821</v>
      </c>
      <c r="G40" s="11">
        <v>1337540</v>
      </c>
      <c r="H40" s="12">
        <v>29.03</v>
      </c>
      <c r="I40" s="12">
        <v>29.75</v>
      </c>
      <c r="K40" s="11">
        <v>47947</v>
      </c>
      <c r="L40" s="11">
        <v>524</v>
      </c>
      <c r="M40" s="31">
        <v>1.093E-2</v>
      </c>
      <c r="N40" s="31">
        <v>0.98907</v>
      </c>
      <c r="O40" s="11">
        <v>47687</v>
      </c>
      <c r="P40" s="11">
        <v>1452885</v>
      </c>
      <c r="Q40" s="12">
        <v>30.3</v>
      </c>
      <c r="R40" s="12">
        <v>31.55</v>
      </c>
    </row>
    <row r="41" spans="1:18">
      <c r="A41" s="6">
        <v>35</v>
      </c>
      <c r="B41" s="11">
        <v>45572</v>
      </c>
      <c r="C41" s="11">
        <v>511</v>
      </c>
      <c r="D41" s="31">
        <v>1.1209999999999999E-2</v>
      </c>
      <c r="E41" s="31">
        <v>0.98878999999999995</v>
      </c>
      <c r="F41" s="11">
        <v>45318</v>
      </c>
      <c r="G41" s="11">
        <v>1291719</v>
      </c>
      <c r="H41" s="12">
        <v>28.34</v>
      </c>
      <c r="I41" s="12">
        <v>28.99</v>
      </c>
      <c r="K41" s="11">
        <v>47423</v>
      </c>
      <c r="L41" s="11">
        <v>534</v>
      </c>
      <c r="M41" s="31">
        <v>1.1259999999999999E-2</v>
      </c>
      <c r="N41" s="31">
        <v>0.98873999999999995</v>
      </c>
      <c r="O41" s="11">
        <v>47157</v>
      </c>
      <c r="P41" s="11">
        <v>1405198</v>
      </c>
      <c r="Q41" s="12">
        <v>29.63</v>
      </c>
      <c r="R41" s="12">
        <v>30.76</v>
      </c>
    </row>
    <row r="42" spans="1:18">
      <c r="A42" s="6">
        <v>36</v>
      </c>
      <c r="B42" s="11">
        <v>45061</v>
      </c>
      <c r="C42" s="11">
        <v>531</v>
      </c>
      <c r="D42" s="31">
        <v>1.1780000000000001E-2</v>
      </c>
      <c r="E42" s="31">
        <v>0.98821999999999999</v>
      </c>
      <c r="F42" s="11">
        <v>44798</v>
      </c>
      <c r="G42" s="11">
        <v>1246401</v>
      </c>
      <c r="H42" s="12">
        <v>27.66</v>
      </c>
      <c r="I42" s="12">
        <v>28.22</v>
      </c>
      <c r="K42" s="11">
        <v>46889</v>
      </c>
      <c r="L42" s="11">
        <v>546</v>
      </c>
      <c r="M42" s="31">
        <v>1.1639999999999999E-2</v>
      </c>
      <c r="N42" s="31">
        <v>0.98836000000000002</v>
      </c>
      <c r="O42" s="11">
        <v>46617</v>
      </c>
      <c r="P42" s="11">
        <v>1358041</v>
      </c>
      <c r="Q42" s="12">
        <v>28.96</v>
      </c>
      <c r="R42" s="12">
        <v>29.98</v>
      </c>
    </row>
    <row r="43" spans="1:18">
      <c r="A43" s="6">
        <v>37</v>
      </c>
      <c r="B43" s="11">
        <v>44530</v>
      </c>
      <c r="C43" s="11">
        <v>554</v>
      </c>
      <c r="D43" s="31">
        <v>1.244E-2</v>
      </c>
      <c r="E43" s="31">
        <v>0.98755999999999999</v>
      </c>
      <c r="F43" s="11">
        <v>44255</v>
      </c>
      <c r="G43" s="11">
        <v>1201603</v>
      </c>
      <c r="H43" s="12">
        <v>26.98</v>
      </c>
      <c r="I43" s="12">
        <v>27.46</v>
      </c>
      <c r="K43" s="11">
        <v>46343</v>
      </c>
      <c r="L43" s="11">
        <v>559</v>
      </c>
      <c r="M43" s="31">
        <v>1.206E-2</v>
      </c>
      <c r="N43" s="31">
        <v>0.98794000000000004</v>
      </c>
      <c r="O43" s="11">
        <v>46065</v>
      </c>
      <c r="P43" s="11">
        <v>1311424</v>
      </c>
      <c r="Q43" s="12">
        <v>28.3</v>
      </c>
      <c r="R43" s="12">
        <v>29.2</v>
      </c>
    </row>
    <row r="44" spans="1:18">
      <c r="A44" s="6">
        <v>38</v>
      </c>
      <c r="B44" s="11">
        <v>43976</v>
      </c>
      <c r="C44" s="11">
        <v>578</v>
      </c>
      <c r="D44" s="31">
        <v>1.3140000000000001E-2</v>
      </c>
      <c r="E44" s="31">
        <v>0.98685999999999996</v>
      </c>
      <c r="F44" s="11">
        <v>43689</v>
      </c>
      <c r="G44" s="11">
        <v>1157348</v>
      </c>
      <c r="H44" s="12">
        <v>26.32</v>
      </c>
      <c r="I44" s="12">
        <v>26.72</v>
      </c>
      <c r="K44" s="11">
        <v>45784</v>
      </c>
      <c r="L44" s="11">
        <v>570</v>
      </c>
      <c r="M44" s="31">
        <v>1.2449999999999999E-2</v>
      </c>
      <c r="N44" s="31">
        <v>0.98755000000000004</v>
      </c>
      <c r="O44" s="11">
        <v>45500</v>
      </c>
      <c r="P44" s="11">
        <v>1265359</v>
      </c>
      <c r="Q44" s="12">
        <v>27.64</v>
      </c>
      <c r="R44" s="12">
        <v>28.42</v>
      </c>
    </row>
    <row r="45" spans="1:18">
      <c r="A45" s="6">
        <v>39</v>
      </c>
      <c r="B45" s="11">
        <v>43398</v>
      </c>
      <c r="C45" s="11">
        <v>602</v>
      </c>
      <c r="D45" s="31">
        <v>1.387E-2</v>
      </c>
      <c r="E45" s="31">
        <v>0.98612999999999995</v>
      </c>
      <c r="F45" s="11">
        <v>43099</v>
      </c>
      <c r="G45" s="11">
        <v>1113659</v>
      </c>
      <c r="H45" s="12">
        <v>25.66</v>
      </c>
      <c r="I45" s="12">
        <v>25.98</v>
      </c>
      <c r="K45" s="11">
        <v>45214</v>
      </c>
      <c r="L45" s="11">
        <v>580</v>
      </c>
      <c r="M45" s="31">
        <v>1.2829999999999999E-2</v>
      </c>
      <c r="N45" s="31">
        <v>0.98716999999999999</v>
      </c>
      <c r="O45" s="11">
        <v>44925</v>
      </c>
      <c r="P45" s="11">
        <v>1219859</v>
      </c>
      <c r="Q45" s="12">
        <v>26.98</v>
      </c>
      <c r="R45" s="12">
        <v>27.65</v>
      </c>
    </row>
    <row r="46" spans="1:18">
      <c r="A46" s="6">
        <v>40</v>
      </c>
      <c r="B46" s="11">
        <v>42796</v>
      </c>
      <c r="C46" s="11">
        <v>621</v>
      </c>
      <c r="D46" s="31">
        <v>1.451E-2</v>
      </c>
      <c r="E46" s="31">
        <v>0.98548999999999998</v>
      </c>
      <c r="F46" s="11">
        <v>42487</v>
      </c>
      <c r="G46" s="11">
        <v>1070560</v>
      </c>
      <c r="H46" s="12">
        <v>25.02</v>
      </c>
      <c r="I46" s="12">
        <v>25.26</v>
      </c>
      <c r="K46" s="11">
        <v>44634</v>
      </c>
      <c r="L46" s="11">
        <v>585</v>
      </c>
      <c r="M46" s="31">
        <v>1.311E-2</v>
      </c>
      <c r="N46" s="31">
        <v>0.98689000000000004</v>
      </c>
      <c r="O46" s="11">
        <v>44341</v>
      </c>
      <c r="P46" s="11">
        <v>1174934</v>
      </c>
      <c r="Q46" s="12">
        <v>26.32</v>
      </c>
      <c r="R46" s="12">
        <v>26.88</v>
      </c>
    </row>
    <row r="47" spans="1:18">
      <c r="A47" s="6">
        <v>41</v>
      </c>
      <c r="B47" s="11">
        <v>42175</v>
      </c>
      <c r="C47" s="11">
        <v>637</v>
      </c>
      <c r="D47" s="31">
        <v>1.5100000000000001E-2</v>
      </c>
      <c r="E47" s="31">
        <v>0.9849</v>
      </c>
      <c r="F47" s="11">
        <v>41857</v>
      </c>
      <c r="G47" s="11">
        <v>1028073</v>
      </c>
      <c r="H47" s="12">
        <v>24.38</v>
      </c>
      <c r="I47" s="12">
        <v>24.54</v>
      </c>
      <c r="K47" s="11">
        <v>44049</v>
      </c>
      <c r="L47" s="11">
        <v>587</v>
      </c>
      <c r="M47" s="31">
        <v>1.333E-2</v>
      </c>
      <c r="N47" s="31">
        <v>0.98667000000000005</v>
      </c>
      <c r="O47" s="11">
        <v>43755</v>
      </c>
      <c r="P47" s="11">
        <v>1130593</v>
      </c>
      <c r="Q47" s="12">
        <v>25.67</v>
      </c>
      <c r="R47" s="12">
        <v>26.11</v>
      </c>
    </row>
    <row r="48" spans="1:18">
      <c r="A48" s="6">
        <v>42</v>
      </c>
      <c r="B48" s="11">
        <v>41538</v>
      </c>
      <c r="C48" s="11">
        <v>651</v>
      </c>
      <c r="D48" s="31">
        <v>1.567E-2</v>
      </c>
      <c r="E48" s="31">
        <v>0.98433000000000004</v>
      </c>
      <c r="F48" s="11">
        <v>41213</v>
      </c>
      <c r="G48" s="11">
        <v>986216</v>
      </c>
      <c r="H48" s="12">
        <v>23.74</v>
      </c>
      <c r="I48" s="12">
        <v>23.82</v>
      </c>
      <c r="K48" s="11">
        <v>43462</v>
      </c>
      <c r="L48" s="11">
        <v>588</v>
      </c>
      <c r="M48" s="31">
        <v>1.353E-2</v>
      </c>
      <c r="N48" s="31">
        <v>0.98646999999999996</v>
      </c>
      <c r="O48" s="11">
        <v>43168</v>
      </c>
      <c r="P48" s="11">
        <v>1086838</v>
      </c>
      <c r="Q48" s="12">
        <v>25.01</v>
      </c>
      <c r="R48" s="12">
        <v>25.35</v>
      </c>
    </row>
    <row r="49" spans="1:18">
      <c r="A49" s="6">
        <v>43</v>
      </c>
      <c r="B49" s="11">
        <v>40887</v>
      </c>
      <c r="C49" s="11">
        <v>660</v>
      </c>
      <c r="D49" s="31">
        <v>1.6140000000000002E-2</v>
      </c>
      <c r="E49" s="31">
        <v>0.98385999999999996</v>
      </c>
      <c r="F49" s="11">
        <v>40558</v>
      </c>
      <c r="G49" s="11">
        <v>945003</v>
      </c>
      <c r="H49" s="12">
        <v>23.11</v>
      </c>
      <c r="I49" s="12">
        <v>23.12</v>
      </c>
      <c r="K49" s="11">
        <v>42874</v>
      </c>
      <c r="L49" s="11">
        <v>586</v>
      </c>
      <c r="M49" s="31">
        <v>1.367E-2</v>
      </c>
      <c r="N49" s="31">
        <v>0.98633000000000004</v>
      </c>
      <c r="O49" s="11">
        <v>42581</v>
      </c>
      <c r="P49" s="11">
        <v>1043670</v>
      </c>
      <c r="Q49" s="12">
        <v>24.34</v>
      </c>
      <c r="R49" s="12">
        <v>24.58</v>
      </c>
    </row>
    <row r="50" spans="1:18">
      <c r="A50" s="6">
        <v>44</v>
      </c>
      <c r="B50" s="11">
        <v>40227</v>
      </c>
      <c r="C50" s="11">
        <v>670</v>
      </c>
      <c r="D50" s="31">
        <v>1.6660000000000001E-2</v>
      </c>
      <c r="E50" s="31">
        <v>0.98333999999999999</v>
      </c>
      <c r="F50" s="11">
        <v>39893</v>
      </c>
      <c r="G50" s="11">
        <v>904445</v>
      </c>
      <c r="H50" s="12">
        <v>22.48</v>
      </c>
      <c r="I50" s="12">
        <v>22.41</v>
      </c>
      <c r="K50" s="11">
        <v>42288</v>
      </c>
      <c r="L50" s="11">
        <v>585</v>
      </c>
      <c r="M50" s="31">
        <v>1.383E-2</v>
      </c>
      <c r="N50" s="31">
        <v>0.98616999999999999</v>
      </c>
      <c r="O50" s="11">
        <v>41996</v>
      </c>
      <c r="P50" s="11">
        <v>1001089</v>
      </c>
      <c r="Q50" s="12">
        <v>23.67</v>
      </c>
      <c r="R50" s="12">
        <v>23.81</v>
      </c>
    </row>
    <row r="51" spans="1:18">
      <c r="A51" s="6">
        <v>45</v>
      </c>
      <c r="B51" s="11">
        <v>39557</v>
      </c>
      <c r="C51" s="11">
        <v>680</v>
      </c>
      <c r="D51" s="31">
        <v>1.719E-2</v>
      </c>
      <c r="E51" s="31">
        <v>0.98280999999999996</v>
      </c>
      <c r="F51" s="11">
        <v>39218</v>
      </c>
      <c r="G51" s="11">
        <v>864552</v>
      </c>
      <c r="H51" s="12">
        <v>21.86</v>
      </c>
      <c r="I51" s="12">
        <v>21.71</v>
      </c>
      <c r="K51" s="11">
        <v>41703</v>
      </c>
      <c r="L51" s="11">
        <v>588</v>
      </c>
      <c r="M51" s="31">
        <v>1.41E-2</v>
      </c>
      <c r="N51" s="31">
        <v>0.9859</v>
      </c>
      <c r="O51" s="11">
        <v>41410</v>
      </c>
      <c r="P51" s="11">
        <v>959093</v>
      </c>
      <c r="Q51" s="12">
        <v>23</v>
      </c>
      <c r="R51" s="12">
        <v>23.04</v>
      </c>
    </row>
    <row r="52" spans="1:18">
      <c r="A52" s="6">
        <v>46</v>
      </c>
      <c r="B52" s="11">
        <v>38877</v>
      </c>
      <c r="C52" s="11">
        <v>694</v>
      </c>
      <c r="D52" s="31">
        <v>1.7850000000000001E-2</v>
      </c>
      <c r="E52" s="31">
        <v>0.98214999999999997</v>
      </c>
      <c r="F52" s="11">
        <v>38531</v>
      </c>
      <c r="G52" s="11">
        <v>825334</v>
      </c>
      <c r="H52" s="12">
        <v>21.23</v>
      </c>
      <c r="I52" s="12">
        <v>21.02</v>
      </c>
      <c r="K52" s="11">
        <v>41115</v>
      </c>
      <c r="L52" s="11">
        <v>594</v>
      </c>
      <c r="M52" s="31">
        <v>1.4449999999999999E-2</v>
      </c>
      <c r="N52" s="31">
        <v>0.98555000000000004</v>
      </c>
      <c r="O52" s="11">
        <v>40820</v>
      </c>
      <c r="P52" s="11">
        <v>917683</v>
      </c>
      <c r="Q52" s="12">
        <v>22.32</v>
      </c>
      <c r="R52" s="12">
        <v>22.27</v>
      </c>
    </row>
    <row r="53" spans="1:18">
      <c r="A53" s="6">
        <v>47</v>
      </c>
      <c r="B53" s="11">
        <v>38183</v>
      </c>
      <c r="C53" s="11">
        <v>713</v>
      </c>
      <c r="D53" s="31">
        <v>1.8669999999999999E-2</v>
      </c>
      <c r="E53" s="31">
        <v>0.98133000000000004</v>
      </c>
      <c r="F53" s="11">
        <v>37828</v>
      </c>
      <c r="G53" s="11">
        <v>786803</v>
      </c>
      <c r="H53" s="12">
        <v>20.61</v>
      </c>
      <c r="I53" s="12">
        <v>20.32</v>
      </c>
      <c r="K53" s="11">
        <v>40521</v>
      </c>
      <c r="L53" s="11">
        <v>607</v>
      </c>
      <c r="M53" s="31">
        <v>1.498E-2</v>
      </c>
      <c r="N53" s="31">
        <v>0.98502000000000001</v>
      </c>
      <c r="O53" s="11">
        <v>40219</v>
      </c>
      <c r="P53" s="11">
        <v>876863</v>
      </c>
      <c r="Q53" s="12">
        <v>21.64</v>
      </c>
      <c r="R53" s="12">
        <v>21.5</v>
      </c>
    </row>
    <row r="54" spans="1:18">
      <c r="A54" s="6">
        <v>48</v>
      </c>
      <c r="B54" s="11">
        <v>37470</v>
      </c>
      <c r="C54" s="11">
        <v>736</v>
      </c>
      <c r="D54" s="31">
        <v>1.9640000000000001E-2</v>
      </c>
      <c r="E54" s="31">
        <v>0.98036000000000001</v>
      </c>
      <c r="F54" s="11">
        <v>37104</v>
      </c>
      <c r="G54" s="11">
        <v>748975</v>
      </c>
      <c r="H54" s="12">
        <v>19.989999999999998</v>
      </c>
      <c r="I54" s="12">
        <v>19.64</v>
      </c>
      <c r="K54" s="11">
        <v>39914</v>
      </c>
      <c r="L54" s="11">
        <v>624</v>
      </c>
      <c r="M54" s="31">
        <v>1.5630000000000002E-2</v>
      </c>
      <c r="N54" s="31">
        <v>0.98436999999999997</v>
      </c>
      <c r="O54" s="11">
        <v>39604</v>
      </c>
      <c r="P54" s="11">
        <v>836644</v>
      </c>
      <c r="Q54" s="12">
        <v>20.96</v>
      </c>
      <c r="R54" s="12">
        <v>20.74</v>
      </c>
    </row>
    <row r="55" spans="1:18">
      <c r="A55" s="6">
        <v>49</v>
      </c>
      <c r="B55" s="11">
        <v>36734</v>
      </c>
      <c r="C55" s="11">
        <v>763</v>
      </c>
      <c r="D55" s="31">
        <v>2.077E-2</v>
      </c>
      <c r="E55" s="31">
        <v>0.97923000000000004</v>
      </c>
      <c r="F55" s="11">
        <v>36355</v>
      </c>
      <c r="G55" s="11">
        <v>711871</v>
      </c>
      <c r="H55" s="12">
        <v>19.38</v>
      </c>
      <c r="I55" s="12">
        <v>18.96</v>
      </c>
      <c r="K55" s="11">
        <v>39290</v>
      </c>
      <c r="L55" s="11">
        <v>648</v>
      </c>
      <c r="M55" s="31">
        <v>1.6490000000000001E-2</v>
      </c>
      <c r="N55" s="31">
        <v>0.98351</v>
      </c>
      <c r="O55" s="11">
        <v>38968</v>
      </c>
      <c r="P55" s="11">
        <v>797040</v>
      </c>
      <c r="Q55" s="12">
        <v>20.29</v>
      </c>
      <c r="R55" s="12">
        <v>19.989999999999998</v>
      </c>
    </row>
    <row r="56" spans="1:18">
      <c r="A56" s="6">
        <v>50</v>
      </c>
      <c r="B56" s="11">
        <v>35971</v>
      </c>
      <c r="C56" s="11">
        <v>794</v>
      </c>
      <c r="D56" s="31">
        <v>2.2069999999999999E-2</v>
      </c>
      <c r="E56" s="31">
        <v>0.97792999999999997</v>
      </c>
      <c r="F56" s="11">
        <v>35576</v>
      </c>
      <c r="G56" s="11">
        <v>675516</v>
      </c>
      <c r="H56" s="12">
        <v>18.78</v>
      </c>
      <c r="I56" s="12">
        <v>18.3</v>
      </c>
      <c r="K56" s="11">
        <v>38642</v>
      </c>
      <c r="L56" s="11">
        <v>677</v>
      </c>
      <c r="M56" s="31">
        <v>1.7520000000000001E-2</v>
      </c>
      <c r="N56" s="31">
        <v>0.98248000000000002</v>
      </c>
      <c r="O56" s="11">
        <v>38306</v>
      </c>
      <c r="P56" s="11">
        <v>758072</v>
      </c>
      <c r="Q56" s="12">
        <v>19.62</v>
      </c>
      <c r="R56" s="12">
        <v>19.239999999999998</v>
      </c>
    </row>
    <row r="57" spans="1:18">
      <c r="A57" s="6">
        <v>51</v>
      </c>
      <c r="B57" s="11">
        <v>35177</v>
      </c>
      <c r="C57" s="11">
        <v>822</v>
      </c>
      <c r="D57" s="31">
        <v>2.3369999999999998E-2</v>
      </c>
      <c r="E57" s="31">
        <v>0.97663</v>
      </c>
      <c r="F57" s="11">
        <v>34768</v>
      </c>
      <c r="G57" s="11">
        <v>639940</v>
      </c>
      <c r="H57" s="12">
        <v>18.190000000000001</v>
      </c>
      <c r="I57" s="12">
        <v>17.649999999999999</v>
      </c>
      <c r="K57" s="11">
        <v>37965</v>
      </c>
      <c r="L57" s="11">
        <v>709</v>
      </c>
      <c r="M57" s="31">
        <v>1.8679999999999999E-2</v>
      </c>
      <c r="N57" s="31">
        <v>0.98131999999999997</v>
      </c>
      <c r="O57" s="11">
        <v>37613</v>
      </c>
      <c r="P57" s="11">
        <v>719766</v>
      </c>
      <c r="Q57" s="12">
        <v>18.96</v>
      </c>
      <c r="R57" s="12">
        <v>18.510000000000002</v>
      </c>
    </row>
    <row r="58" spans="1:18">
      <c r="A58" s="6">
        <v>52</v>
      </c>
      <c r="B58" s="11">
        <v>34355</v>
      </c>
      <c r="C58" s="11">
        <v>850</v>
      </c>
      <c r="D58" s="31">
        <v>2.4740000000000002E-2</v>
      </c>
      <c r="E58" s="31">
        <v>0.97526000000000002</v>
      </c>
      <c r="F58" s="11">
        <v>33932</v>
      </c>
      <c r="G58" s="11">
        <v>605172</v>
      </c>
      <c r="H58" s="12">
        <v>17.62</v>
      </c>
      <c r="I58" s="12">
        <v>17.02</v>
      </c>
      <c r="K58" s="11">
        <v>37256</v>
      </c>
      <c r="L58" s="11">
        <v>744</v>
      </c>
      <c r="M58" s="31">
        <v>1.9970000000000002E-2</v>
      </c>
      <c r="N58" s="31">
        <v>0.98002999999999996</v>
      </c>
      <c r="O58" s="11">
        <v>36887</v>
      </c>
      <c r="P58" s="11">
        <v>682153</v>
      </c>
      <c r="Q58" s="12">
        <v>18.309999999999999</v>
      </c>
      <c r="R58" s="12">
        <v>17.78</v>
      </c>
    </row>
    <row r="59" spans="1:18">
      <c r="A59" s="6">
        <v>53</v>
      </c>
      <c r="B59" s="11">
        <v>33505</v>
      </c>
      <c r="C59" s="11">
        <v>875</v>
      </c>
      <c r="D59" s="31">
        <v>2.6120000000000001E-2</v>
      </c>
      <c r="E59" s="31">
        <v>0.97387999999999997</v>
      </c>
      <c r="F59" s="11">
        <v>33070</v>
      </c>
      <c r="G59" s="11">
        <v>571240</v>
      </c>
      <c r="H59" s="12">
        <v>17.05</v>
      </c>
      <c r="I59" s="12">
        <v>16.399999999999999</v>
      </c>
      <c r="K59" s="11">
        <v>36512</v>
      </c>
      <c r="L59" s="11">
        <v>778</v>
      </c>
      <c r="M59" s="31">
        <v>2.1309999999999999E-2</v>
      </c>
      <c r="N59" s="31">
        <v>0.97868999999999995</v>
      </c>
      <c r="O59" s="11">
        <v>36126</v>
      </c>
      <c r="P59" s="11">
        <v>645266</v>
      </c>
      <c r="Q59" s="12">
        <v>17.670000000000002</v>
      </c>
      <c r="R59" s="12">
        <v>17.07</v>
      </c>
    </row>
    <row r="60" spans="1:18">
      <c r="A60" s="6">
        <v>54</v>
      </c>
      <c r="B60" s="11">
        <v>32630</v>
      </c>
      <c r="C60" s="11">
        <v>896</v>
      </c>
      <c r="D60" s="31">
        <v>2.7459999999999998E-2</v>
      </c>
      <c r="E60" s="31">
        <v>0.97253999999999996</v>
      </c>
      <c r="F60" s="11">
        <v>32184</v>
      </c>
      <c r="G60" s="11">
        <v>538170</v>
      </c>
      <c r="H60" s="12">
        <v>16.489999999999998</v>
      </c>
      <c r="I60" s="12">
        <v>15.78</v>
      </c>
      <c r="K60" s="11">
        <v>35734</v>
      </c>
      <c r="L60" s="11">
        <v>814</v>
      </c>
      <c r="M60" s="31">
        <v>2.2780000000000002E-2</v>
      </c>
      <c r="N60" s="31">
        <v>0.97721999999999998</v>
      </c>
      <c r="O60" s="11">
        <v>35330</v>
      </c>
      <c r="P60" s="11">
        <v>609140</v>
      </c>
      <c r="Q60" s="12">
        <v>17.05</v>
      </c>
      <c r="R60" s="12">
        <v>16.38</v>
      </c>
    </row>
    <row r="61" spans="1:18">
      <c r="A61" s="6">
        <v>55</v>
      </c>
      <c r="B61" s="11">
        <v>31734</v>
      </c>
      <c r="C61" s="11">
        <v>916</v>
      </c>
      <c r="D61" s="31">
        <v>2.886E-2</v>
      </c>
      <c r="E61" s="31">
        <v>0.97114</v>
      </c>
      <c r="F61" s="11">
        <v>31278</v>
      </c>
      <c r="G61" s="11">
        <v>505986</v>
      </c>
      <c r="H61" s="12">
        <v>15.94</v>
      </c>
      <c r="I61" s="12">
        <v>15.18</v>
      </c>
      <c r="K61" s="11">
        <v>34920</v>
      </c>
      <c r="L61" s="11">
        <v>851</v>
      </c>
      <c r="M61" s="31">
        <v>2.4369999999999999E-2</v>
      </c>
      <c r="N61" s="31">
        <v>0.97563</v>
      </c>
      <c r="O61" s="11">
        <v>34497</v>
      </c>
      <c r="P61" s="11">
        <v>573810</v>
      </c>
      <c r="Q61" s="12">
        <v>16.43</v>
      </c>
      <c r="R61" s="12">
        <v>15.7</v>
      </c>
    </row>
    <row r="62" spans="1:18">
      <c r="A62" s="6">
        <v>56</v>
      </c>
      <c r="B62" s="11">
        <v>30818</v>
      </c>
      <c r="C62" s="11">
        <v>937</v>
      </c>
      <c r="D62" s="31">
        <v>3.04E-2</v>
      </c>
      <c r="E62" s="31">
        <v>0.96960000000000002</v>
      </c>
      <c r="F62" s="11">
        <v>30352</v>
      </c>
      <c r="G62" s="11">
        <v>474708</v>
      </c>
      <c r="H62" s="12">
        <v>15.4</v>
      </c>
      <c r="I62" s="12">
        <v>14.59</v>
      </c>
      <c r="K62" s="11">
        <v>34069</v>
      </c>
      <c r="L62" s="11">
        <v>891</v>
      </c>
      <c r="M62" s="31">
        <v>2.615E-2</v>
      </c>
      <c r="N62" s="31">
        <v>0.97384999999999999</v>
      </c>
      <c r="O62" s="11">
        <v>33626</v>
      </c>
      <c r="P62" s="11">
        <v>539313</v>
      </c>
      <c r="Q62" s="12">
        <v>15.83</v>
      </c>
      <c r="R62" s="12">
        <v>15.03</v>
      </c>
    </row>
    <row r="63" spans="1:18">
      <c r="A63" s="6">
        <v>57</v>
      </c>
      <c r="B63" s="11">
        <v>29881</v>
      </c>
      <c r="C63" s="11">
        <v>957</v>
      </c>
      <c r="D63" s="31">
        <v>3.2030000000000003E-2</v>
      </c>
      <c r="E63" s="31">
        <v>0.96797</v>
      </c>
      <c r="F63" s="11">
        <v>29405</v>
      </c>
      <c r="G63" s="11">
        <v>444356</v>
      </c>
      <c r="H63" s="12">
        <v>14.87</v>
      </c>
      <c r="I63" s="12">
        <v>14.01</v>
      </c>
      <c r="K63" s="11">
        <v>33178</v>
      </c>
      <c r="L63" s="11">
        <v>932</v>
      </c>
      <c r="M63" s="31">
        <v>2.809E-2</v>
      </c>
      <c r="N63" s="31">
        <v>0.97191000000000005</v>
      </c>
      <c r="O63" s="11">
        <v>32715</v>
      </c>
      <c r="P63" s="11">
        <v>505687</v>
      </c>
      <c r="Q63" s="12">
        <v>15.24</v>
      </c>
      <c r="R63" s="12">
        <v>14.38</v>
      </c>
    </row>
    <row r="64" spans="1:18">
      <c r="A64" s="6">
        <v>58</v>
      </c>
      <c r="B64" s="11">
        <v>28924</v>
      </c>
      <c r="C64" s="11">
        <v>979</v>
      </c>
      <c r="D64" s="31">
        <v>3.3849999999999998E-2</v>
      </c>
      <c r="E64" s="31">
        <v>0.96614999999999995</v>
      </c>
      <c r="F64" s="11">
        <v>28436</v>
      </c>
      <c r="G64" s="11">
        <v>414951</v>
      </c>
      <c r="H64" s="12">
        <v>14.35</v>
      </c>
      <c r="I64" s="12">
        <v>13.43</v>
      </c>
      <c r="K64" s="11">
        <v>32246</v>
      </c>
      <c r="L64" s="11">
        <v>974</v>
      </c>
      <c r="M64" s="31">
        <v>3.0210000000000001E-2</v>
      </c>
      <c r="N64" s="31">
        <v>0.96979000000000004</v>
      </c>
      <c r="O64" s="11">
        <v>31762</v>
      </c>
      <c r="P64" s="11">
        <v>472972</v>
      </c>
      <c r="Q64" s="12">
        <v>14.67</v>
      </c>
      <c r="R64" s="12">
        <v>13.75</v>
      </c>
    </row>
    <row r="65" spans="1:18">
      <c r="A65" s="6">
        <v>59</v>
      </c>
      <c r="B65" s="11">
        <v>27945</v>
      </c>
      <c r="C65" s="11">
        <v>998</v>
      </c>
      <c r="D65" s="31">
        <v>3.5709999999999999E-2</v>
      </c>
      <c r="E65" s="31">
        <v>0.96428999999999998</v>
      </c>
      <c r="F65" s="11">
        <v>27448</v>
      </c>
      <c r="G65" s="11">
        <v>386515</v>
      </c>
      <c r="H65" s="12">
        <v>13.83</v>
      </c>
      <c r="I65" s="12">
        <v>12.87</v>
      </c>
      <c r="K65" s="11">
        <v>31272</v>
      </c>
      <c r="L65" s="11">
        <v>1014</v>
      </c>
      <c r="M65" s="31">
        <v>3.243E-2</v>
      </c>
      <c r="N65" s="31">
        <v>0.96757000000000004</v>
      </c>
      <c r="O65" s="11">
        <v>30768</v>
      </c>
      <c r="P65" s="11">
        <v>441210</v>
      </c>
      <c r="Q65" s="12">
        <v>14.11</v>
      </c>
      <c r="R65" s="12">
        <v>13.13</v>
      </c>
    </row>
    <row r="66" spans="1:18">
      <c r="A66" s="6">
        <v>60</v>
      </c>
      <c r="B66" s="11">
        <v>26947</v>
      </c>
      <c r="C66" s="11">
        <v>1017</v>
      </c>
      <c r="D66" s="31">
        <v>3.7740000000000003E-2</v>
      </c>
      <c r="E66" s="31">
        <v>0.96226</v>
      </c>
      <c r="F66" s="11">
        <v>26440</v>
      </c>
      <c r="G66" s="11">
        <v>359067</v>
      </c>
      <c r="H66" s="12">
        <v>13.32</v>
      </c>
      <c r="I66" s="12">
        <v>12.31</v>
      </c>
      <c r="K66" s="11">
        <v>30258</v>
      </c>
      <c r="L66" s="11">
        <v>1051</v>
      </c>
      <c r="M66" s="31">
        <v>3.4729999999999997E-2</v>
      </c>
      <c r="N66" s="31">
        <v>0.96526999999999996</v>
      </c>
      <c r="O66" s="11">
        <v>29736</v>
      </c>
      <c r="P66" s="11">
        <v>410442</v>
      </c>
      <c r="Q66" s="12">
        <v>13.56</v>
      </c>
      <c r="R66" s="12">
        <v>12.53</v>
      </c>
    </row>
    <row r="67" spans="1:18">
      <c r="A67" s="6">
        <v>61</v>
      </c>
      <c r="B67" s="11">
        <v>25930</v>
      </c>
      <c r="C67" s="11">
        <v>1035</v>
      </c>
      <c r="D67" s="31">
        <v>3.9919999999999997E-2</v>
      </c>
      <c r="E67" s="31">
        <v>0.96008000000000004</v>
      </c>
      <c r="F67" s="11">
        <v>25414</v>
      </c>
      <c r="G67" s="11">
        <v>332627</v>
      </c>
      <c r="H67" s="12">
        <v>12.83</v>
      </c>
      <c r="I67" s="12">
        <v>11.77</v>
      </c>
      <c r="K67" s="11">
        <v>29207</v>
      </c>
      <c r="L67" s="11">
        <v>1089</v>
      </c>
      <c r="M67" s="31">
        <v>3.7289999999999997E-2</v>
      </c>
      <c r="N67" s="31">
        <v>0.96270999999999995</v>
      </c>
      <c r="O67" s="11">
        <v>28666</v>
      </c>
      <c r="P67" s="11">
        <v>380706</v>
      </c>
      <c r="Q67" s="12">
        <v>13.03</v>
      </c>
      <c r="R67" s="12">
        <v>11.94</v>
      </c>
    </row>
    <row r="68" spans="1:18">
      <c r="A68" s="6">
        <v>62</v>
      </c>
      <c r="B68" s="11">
        <v>24895</v>
      </c>
      <c r="C68" s="11">
        <v>1053</v>
      </c>
      <c r="D68" s="31">
        <v>4.2299999999999997E-2</v>
      </c>
      <c r="E68" s="31">
        <v>0.9577</v>
      </c>
      <c r="F68" s="11">
        <v>24370</v>
      </c>
      <c r="G68" s="11">
        <v>307213</v>
      </c>
      <c r="H68" s="12">
        <v>12.34</v>
      </c>
      <c r="I68" s="12">
        <v>11.23</v>
      </c>
      <c r="K68" s="11">
        <v>28118</v>
      </c>
      <c r="L68" s="11">
        <v>1124</v>
      </c>
      <c r="M68" s="31">
        <v>3.9969999999999999E-2</v>
      </c>
      <c r="N68" s="31">
        <v>0.96003000000000005</v>
      </c>
      <c r="O68" s="11">
        <v>27559</v>
      </c>
      <c r="P68" s="11">
        <v>352040</v>
      </c>
      <c r="Q68" s="12">
        <v>12.52</v>
      </c>
      <c r="R68" s="12">
        <v>11.38</v>
      </c>
    </row>
    <row r="69" spans="1:18">
      <c r="A69" s="6">
        <v>63</v>
      </c>
      <c r="B69" s="11">
        <v>23842</v>
      </c>
      <c r="C69" s="11">
        <v>1071</v>
      </c>
      <c r="D69" s="31">
        <v>4.4920000000000002E-2</v>
      </c>
      <c r="E69" s="31">
        <v>0.95508000000000004</v>
      </c>
      <c r="F69" s="11">
        <v>23508</v>
      </c>
      <c r="G69" s="11">
        <v>282843</v>
      </c>
      <c r="H69" s="12">
        <v>11.86</v>
      </c>
      <c r="I69" s="12">
        <v>10.71</v>
      </c>
      <c r="K69" s="11">
        <v>26994</v>
      </c>
      <c r="L69" s="11">
        <v>1159</v>
      </c>
      <c r="M69" s="31">
        <v>4.2939999999999999E-2</v>
      </c>
      <c r="N69" s="31">
        <v>0.95706000000000002</v>
      </c>
      <c r="O69" s="11">
        <v>26418</v>
      </c>
      <c r="P69" s="11">
        <v>324481</v>
      </c>
      <c r="Q69" s="12">
        <v>12.02</v>
      </c>
      <c r="R69" s="12">
        <v>10.82</v>
      </c>
    </row>
    <row r="70" spans="1:18">
      <c r="A70" s="6">
        <v>64</v>
      </c>
      <c r="B70" s="11">
        <v>22771</v>
      </c>
      <c r="C70" s="11">
        <v>1089</v>
      </c>
      <c r="D70" s="31">
        <v>4.7820000000000001E-2</v>
      </c>
      <c r="E70" s="31">
        <v>0.95218000000000003</v>
      </c>
      <c r="F70" s="11">
        <v>22228</v>
      </c>
      <c r="G70" s="11">
        <v>259535</v>
      </c>
      <c r="H70" s="12">
        <v>11.4</v>
      </c>
      <c r="I70" s="12">
        <v>10.199999999999999</v>
      </c>
      <c r="K70" s="11">
        <v>25835</v>
      </c>
      <c r="L70" s="11">
        <v>1193</v>
      </c>
      <c r="M70" s="31">
        <v>4.6179999999999999E-2</v>
      </c>
      <c r="N70" s="31">
        <v>0.95382</v>
      </c>
      <c r="O70" s="11">
        <v>25242</v>
      </c>
      <c r="P70" s="11">
        <v>298063</v>
      </c>
      <c r="Q70" s="12">
        <v>11.54</v>
      </c>
      <c r="R70" s="12">
        <v>10.29</v>
      </c>
    </row>
    <row r="71" spans="1:18">
      <c r="A71" s="6">
        <v>65</v>
      </c>
      <c r="B71" s="11">
        <v>21682</v>
      </c>
      <c r="C71" s="11">
        <v>1108</v>
      </c>
      <c r="D71" s="31">
        <v>5.11E-2</v>
      </c>
      <c r="E71" s="31">
        <v>0.94889999999999997</v>
      </c>
      <c r="F71" s="11">
        <v>21129</v>
      </c>
      <c r="G71" s="11">
        <v>237307</v>
      </c>
      <c r="H71" s="12">
        <v>10.94</v>
      </c>
      <c r="I71" s="12">
        <v>9.6999999999999993</v>
      </c>
      <c r="K71" s="11">
        <v>24642</v>
      </c>
      <c r="L71" s="11">
        <v>1225</v>
      </c>
      <c r="M71" s="31">
        <v>4.9709999999999997E-2</v>
      </c>
      <c r="N71" s="31">
        <v>0.95028999999999997</v>
      </c>
      <c r="O71" s="11">
        <v>24031</v>
      </c>
      <c r="P71" s="11">
        <v>272821</v>
      </c>
      <c r="Q71" s="12">
        <v>11.07</v>
      </c>
      <c r="R71" s="12">
        <v>9.7799999999999994</v>
      </c>
    </row>
    <row r="72" spans="1:18">
      <c r="A72" s="6">
        <v>66</v>
      </c>
      <c r="B72" s="11">
        <v>20574</v>
      </c>
      <c r="C72" s="11">
        <v>1119</v>
      </c>
      <c r="D72" s="31">
        <v>5.4390000000000001E-2</v>
      </c>
      <c r="E72" s="31">
        <v>0.94560999999999995</v>
      </c>
      <c r="F72" s="11">
        <v>20015</v>
      </c>
      <c r="G72" s="11">
        <v>216178</v>
      </c>
      <c r="H72" s="12">
        <v>10.51</v>
      </c>
      <c r="I72" s="12">
        <v>9.2100000000000009</v>
      </c>
      <c r="K72" s="11">
        <v>23417</v>
      </c>
      <c r="L72" s="11">
        <v>1248</v>
      </c>
      <c r="M72" s="31">
        <v>5.3289999999999997E-2</v>
      </c>
      <c r="N72" s="31">
        <v>0.94671000000000005</v>
      </c>
      <c r="O72" s="11">
        <v>22794</v>
      </c>
      <c r="P72" s="11">
        <v>248790</v>
      </c>
      <c r="Q72" s="12">
        <v>10.62</v>
      </c>
      <c r="R72" s="12">
        <v>9.2799999999999994</v>
      </c>
    </row>
    <row r="73" spans="1:18">
      <c r="A73" s="6">
        <v>67</v>
      </c>
      <c r="B73" s="11">
        <v>19455</v>
      </c>
      <c r="C73" s="11">
        <v>1128</v>
      </c>
      <c r="D73" s="31">
        <v>5.7979999999999997E-2</v>
      </c>
      <c r="E73" s="31">
        <v>0.94201999999999997</v>
      </c>
      <c r="F73" s="11">
        <v>18891</v>
      </c>
      <c r="G73" s="11">
        <v>196163</v>
      </c>
      <c r="H73" s="12">
        <v>10.08</v>
      </c>
      <c r="I73" s="12">
        <v>8.74</v>
      </c>
      <c r="K73" s="11">
        <v>22169</v>
      </c>
      <c r="L73" s="11">
        <v>1266</v>
      </c>
      <c r="M73" s="31">
        <v>5.7110000000000001E-2</v>
      </c>
      <c r="N73" s="31">
        <v>0.94289000000000001</v>
      </c>
      <c r="O73" s="11">
        <v>21537</v>
      </c>
      <c r="P73" s="11">
        <v>225996</v>
      </c>
      <c r="Q73" s="12">
        <v>10.19</v>
      </c>
      <c r="R73" s="12">
        <v>8.81</v>
      </c>
    </row>
    <row r="74" spans="1:18">
      <c r="A74" s="6">
        <v>68</v>
      </c>
      <c r="B74" s="11">
        <v>18327</v>
      </c>
      <c r="C74" s="11">
        <v>1129</v>
      </c>
      <c r="D74" s="31">
        <v>6.1600000000000002E-2</v>
      </c>
      <c r="E74" s="31">
        <v>0.93840000000000001</v>
      </c>
      <c r="F74" s="11">
        <v>17762</v>
      </c>
      <c r="G74" s="11">
        <v>177272</v>
      </c>
      <c r="H74" s="12">
        <v>9.67</v>
      </c>
      <c r="I74" s="12">
        <v>8.2899999999999991</v>
      </c>
      <c r="K74" s="11">
        <v>20903</v>
      </c>
      <c r="L74" s="11">
        <v>1275</v>
      </c>
      <c r="M74" s="31">
        <v>6.0999999999999999E-2</v>
      </c>
      <c r="N74" s="31">
        <v>0.93899999999999995</v>
      </c>
      <c r="O74" s="11">
        <v>20266</v>
      </c>
      <c r="P74" s="11">
        <v>204459</v>
      </c>
      <c r="Q74" s="12">
        <v>9.7799999999999994</v>
      </c>
      <c r="R74" s="12">
        <v>8.36</v>
      </c>
    </row>
    <row r="75" spans="1:18">
      <c r="A75" s="6">
        <v>69</v>
      </c>
      <c r="B75" s="11">
        <v>17198</v>
      </c>
      <c r="C75" s="11">
        <v>1128</v>
      </c>
      <c r="D75" s="31">
        <v>6.5589999999999996E-2</v>
      </c>
      <c r="E75" s="31">
        <v>0.93440999999999996</v>
      </c>
      <c r="F75" s="11">
        <v>16634</v>
      </c>
      <c r="G75" s="11">
        <v>159510</v>
      </c>
      <c r="H75" s="12">
        <v>9.27</v>
      </c>
      <c r="I75" s="12">
        <v>7.86</v>
      </c>
      <c r="K75" s="11">
        <v>19628</v>
      </c>
      <c r="L75" s="11">
        <v>1278</v>
      </c>
      <c r="M75" s="31">
        <v>6.5110000000000001E-2</v>
      </c>
      <c r="N75" s="31">
        <v>0.93489</v>
      </c>
      <c r="O75" s="11">
        <v>18989</v>
      </c>
      <c r="P75" s="11">
        <v>184193</v>
      </c>
      <c r="Q75" s="12">
        <v>9.3800000000000008</v>
      </c>
      <c r="R75" s="12">
        <v>7.92</v>
      </c>
    </row>
    <row r="76" spans="1:18">
      <c r="A76" s="6">
        <v>70</v>
      </c>
      <c r="B76" s="11">
        <v>16070</v>
      </c>
      <c r="C76" s="11">
        <v>1124</v>
      </c>
      <c r="D76" s="31">
        <v>6.9940000000000002E-2</v>
      </c>
      <c r="E76" s="31">
        <v>0.93006</v>
      </c>
      <c r="F76" s="11">
        <v>15508</v>
      </c>
      <c r="G76" s="11">
        <v>142876</v>
      </c>
      <c r="H76" s="12">
        <v>8.89</v>
      </c>
      <c r="I76" s="12">
        <v>7.45</v>
      </c>
      <c r="K76" s="11">
        <v>18350</v>
      </c>
      <c r="L76" s="11">
        <v>1277</v>
      </c>
      <c r="M76" s="31">
        <v>6.9589999999999999E-2</v>
      </c>
      <c r="N76" s="31">
        <v>0.93040999999999996</v>
      </c>
      <c r="O76" s="11">
        <v>17711</v>
      </c>
      <c r="P76" s="11">
        <v>165204</v>
      </c>
      <c r="Q76" s="12">
        <v>9</v>
      </c>
      <c r="R76" s="12">
        <v>7.52</v>
      </c>
    </row>
    <row r="77" spans="1:18">
      <c r="A77" s="6">
        <v>71</v>
      </c>
      <c r="B77" s="11">
        <v>14946</v>
      </c>
      <c r="C77" s="11">
        <v>1122</v>
      </c>
      <c r="D77" s="31">
        <v>7.5069999999999998E-2</v>
      </c>
      <c r="E77" s="31">
        <v>0.92493000000000003</v>
      </c>
      <c r="F77" s="11">
        <v>14385</v>
      </c>
      <c r="G77" s="11">
        <v>127368</v>
      </c>
      <c r="H77" s="12">
        <v>8.52</v>
      </c>
      <c r="I77" s="12">
        <v>7.05</v>
      </c>
      <c r="K77" s="11">
        <v>17073</v>
      </c>
      <c r="L77" s="11">
        <v>1275</v>
      </c>
      <c r="M77" s="31">
        <v>7.4679999999999996E-2</v>
      </c>
      <c r="N77" s="31">
        <v>0.92532000000000003</v>
      </c>
      <c r="O77" s="11">
        <v>16435</v>
      </c>
      <c r="P77" s="11">
        <v>147493</v>
      </c>
      <c r="Q77" s="12">
        <v>8.64</v>
      </c>
      <c r="R77" s="12">
        <v>7.13</v>
      </c>
    </row>
    <row r="78" spans="1:18">
      <c r="A78" s="6">
        <v>72</v>
      </c>
      <c r="B78" s="11">
        <v>13824</v>
      </c>
      <c r="C78" s="11">
        <v>1118</v>
      </c>
      <c r="D78" s="31">
        <v>8.0869999999999997E-2</v>
      </c>
      <c r="E78" s="31">
        <v>0.91913</v>
      </c>
      <c r="F78" s="11">
        <v>13264</v>
      </c>
      <c r="G78" s="11">
        <v>112983</v>
      </c>
      <c r="H78" s="12">
        <v>8.17</v>
      </c>
      <c r="I78" s="12">
        <v>6.69</v>
      </c>
      <c r="K78" s="11">
        <v>15798</v>
      </c>
      <c r="L78" s="11">
        <v>1268</v>
      </c>
      <c r="M78" s="31">
        <v>8.0259999999999998E-2</v>
      </c>
      <c r="N78" s="31">
        <v>0.91974</v>
      </c>
      <c r="O78" s="11">
        <v>15163</v>
      </c>
      <c r="P78" s="11">
        <v>131058</v>
      </c>
      <c r="Q78" s="12">
        <v>8.3000000000000007</v>
      </c>
      <c r="R78" s="12">
        <v>6.78</v>
      </c>
    </row>
    <row r="79" spans="1:18">
      <c r="A79" s="6">
        <v>73</v>
      </c>
      <c r="B79" s="11">
        <v>12706</v>
      </c>
      <c r="C79" s="11">
        <v>1107</v>
      </c>
      <c r="D79" s="31">
        <v>8.7120000000000003E-2</v>
      </c>
      <c r="E79" s="31">
        <v>0.91288000000000002</v>
      </c>
      <c r="F79" s="11">
        <v>12151</v>
      </c>
      <c r="G79" s="11">
        <v>99719</v>
      </c>
      <c r="H79" s="12">
        <v>7.85</v>
      </c>
      <c r="I79" s="12">
        <v>6.37</v>
      </c>
      <c r="K79" s="11">
        <v>14530</v>
      </c>
      <c r="L79" s="11">
        <v>1255</v>
      </c>
      <c r="M79" s="31">
        <v>8.6370000000000002E-2</v>
      </c>
      <c r="N79" s="31">
        <v>0.91363000000000005</v>
      </c>
      <c r="O79" s="11">
        <v>13901</v>
      </c>
      <c r="P79" s="11">
        <v>115895</v>
      </c>
      <c r="Q79" s="12">
        <v>7.98</v>
      </c>
      <c r="R79" s="12">
        <v>6.47</v>
      </c>
    </row>
    <row r="80" spans="1:18">
      <c r="A80" s="6">
        <v>74</v>
      </c>
      <c r="B80" s="11">
        <v>11599</v>
      </c>
      <c r="C80" s="11">
        <v>1088</v>
      </c>
      <c r="D80" s="31">
        <v>9.3799999999999994E-2</v>
      </c>
      <c r="E80" s="31">
        <v>0.90620000000000001</v>
      </c>
      <c r="F80" s="11">
        <v>11053</v>
      </c>
      <c r="G80" s="11">
        <v>87568</v>
      </c>
      <c r="H80" s="12">
        <v>7.55</v>
      </c>
      <c r="I80" s="12">
        <v>6.08</v>
      </c>
      <c r="K80" s="11">
        <v>13275</v>
      </c>
      <c r="L80" s="11">
        <v>1230</v>
      </c>
      <c r="M80" s="31">
        <v>9.2660000000000006E-2</v>
      </c>
      <c r="N80" s="31">
        <v>0.90734000000000004</v>
      </c>
      <c r="O80" s="11">
        <v>12657</v>
      </c>
      <c r="P80" s="11">
        <v>101994</v>
      </c>
      <c r="Q80" s="12">
        <v>7.68</v>
      </c>
      <c r="R80" s="12">
        <v>6.19</v>
      </c>
    </row>
    <row r="81" spans="1:18">
      <c r="A81" s="6">
        <v>75</v>
      </c>
      <c r="B81" s="11">
        <v>10511</v>
      </c>
      <c r="C81" s="11">
        <v>1053</v>
      </c>
      <c r="D81" s="31">
        <v>0.10018000000000001</v>
      </c>
      <c r="E81" s="31">
        <v>0.89981999999999995</v>
      </c>
      <c r="F81" s="11">
        <v>9980</v>
      </c>
      <c r="G81" s="11">
        <v>76515</v>
      </c>
      <c r="H81" s="12">
        <v>7.28</v>
      </c>
      <c r="I81" s="12">
        <v>5.83</v>
      </c>
      <c r="K81" s="11">
        <v>12045</v>
      </c>
      <c r="L81" s="11">
        <v>1188</v>
      </c>
      <c r="M81" s="31">
        <v>9.8629999999999995E-2</v>
      </c>
      <c r="N81" s="31">
        <v>0.90137</v>
      </c>
      <c r="O81" s="11">
        <v>11446</v>
      </c>
      <c r="P81" s="11">
        <v>89337</v>
      </c>
      <c r="Q81" s="12">
        <v>7.42</v>
      </c>
      <c r="R81" s="12">
        <v>5.95</v>
      </c>
    </row>
    <row r="82" spans="1:18">
      <c r="A82" s="6">
        <v>76</v>
      </c>
      <c r="B82" s="11">
        <v>9458</v>
      </c>
      <c r="C82" s="11">
        <v>1003</v>
      </c>
      <c r="D82" s="31">
        <v>0.10605000000000001</v>
      </c>
      <c r="E82" s="31">
        <v>0.89395000000000002</v>
      </c>
      <c r="F82" s="11">
        <v>8951</v>
      </c>
      <c r="G82" s="11">
        <v>66535</v>
      </c>
      <c r="H82" s="12">
        <v>7.03</v>
      </c>
      <c r="I82" s="12">
        <v>5.62</v>
      </c>
      <c r="K82" s="11">
        <v>10857</v>
      </c>
      <c r="L82" s="11">
        <v>1131</v>
      </c>
      <c r="M82" s="31">
        <v>0.10417</v>
      </c>
      <c r="N82" s="31">
        <v>0.89583000000000002</v>
      </c>
      <c r="O82" s="11">
        <v>10286</v>
      </c>
      <c r="P82" s="11">
        <v>77891</v>
      </c>
      <c r="Q82" s="12">
        <v>7.17</v>
      </c>
      <c r="R82" s="12">
        <v>5.75</v>
      </c>
    </row>
    <row r="83" spans="1:18">
      <c r="A83" s="6">
        <v>77</v>
      </c>
      <c r="B83" s="11">
        <v>8455</v>
      </c>
      <c r="C83" s="11">
        <v>941</v>
      </c>
      <c r="D83" s="31">
        <v>0.1113</v>
      </c>
      <c r="E83" s="31">
        <v>0.88870000000000005</v>
      </c>
      <c r="F83" s="11">
        <v>7978</v>
      </c>
      <c r="G83" s="11">
        <v>57584</v>
      </c>
      <c r="H83" s="12">
        <v>6.81</v>
      </c>
      <c r="I83" s="12">
        <v>5.44</v>
      </c>
      <c r="K83" s="11">
        <v>9726</v>
      </c>
      <c r="L83" s="11">
        <v>1060</v>
      </c>
      <c r="M83" s="31">
        <v>0.10899</v>
      </c>
      <c r="N83" s="31">
        <v>0.89100999999999997</v>
      </c>
      <c r="O83" s="11">
        <v>9190</v>
      </c>
      <c r="P83" s="11">
        <v>67605</v>
      </c>
      <c r="Q83" s="12">
        <v>6.95</v>
      </c>
      <c r="R83" s="12">
        <v>5.56</v>
      </c>
    </row>
    <row r="84" spans="1:18">
      <c r="A84" s="6">
        <v>78</v>
      </c>
      <c r="B84" s="11">
        <v>7514</v>
      </c>
      <c r="C84" s="11">
        <v>868</v>
      </c>
      <c r="D84" s="31">
        <v>0.11552</v>
      </c>
      <c r="E84" s="31">
        <v>0.88448000000000004</v>
      </c>
      <c r="F84" s="11">
        <v>7074</v>
      </c>
      <c r="G84" s="11">
        <v>49606</v>
      </c>
      <c r="H84" s="12">
        <v>6.6</v>
      </c>
      <c r="I84" s="12">
        <v>5.27</v>
      </c>
      <c r="K84" s="11">
        <v>8666</v>
      </c>
      <c r="L84" s="11">
        <v>978</v>
      </c>
      <c r="M84" s="31">
        <v>0.11285000000000001</v>
      </c>
      <c r="N84" s="31">
        <v>0.88714999999999999</v>
      </c>
      <c r="O84" s="11">
        <v>8170</v>
      </c>
      <c r="P84" s="11">
        <v>58415</v>
      </c>
      <c r="Q84" s="12">
        <v>6.74</v>
      </c>
      <c r="R84" s="12">
        <v>5.39</v>
      </c>
    </row>
    <row r="85" spans="1:18">
      <c r="A85" s="6">
        <v>79</v>
      </c>
      <c r="B85" s="11">
        <v>6646</v>
      </c>
      <c r="C85" s="11">
        <v>792</v>
      </c>
      <c r="D85" s="31">
        <v>0.11917</v>
      </c>
      <c r="E85" s="31">
        <v>0.88083</v>
      </c>
      <c r="F85" s="11">
        <v>6244</v>
      </c>
      <c r="G85" s="11">
        <v>42532</v>
      </c>
      <c r="H85" s="12">
        <v>6.4</v>
      </c>
      <c r="I85" s="12">
        <v>5.09</v>
      </c>
      <c r="K85" s="11">
        <v>7688</v>
      </c>
      <c r="L85" s="11">
        <v>895</v>
      </c>
      <c r="M85" s="31">
        <v>0.11642</v>
      </c>
      <c r="N85" s="31">
        <v>0.88358000000000003</v>
      </c>
      <c r="O85" s="11">
        <v>7233</v>
      </c>
      <c r="P85" s="11">
        <v>50245</v>
      </c>
      <c r="Q85" s="12">
        <v>6.54</v>
      </c>
      <c r="R85" s="12">
        <v>5.21</v>
      </c>
    </row>
    <row r="86" spans="1:18">
      <c r="A86" s="6">
        <v>80</v>
      </c>
      <c r="B86" s="11">
        <v>5854</v>
      </c>
      <c r="C86" s="11">
        <v>719</v>
      </c>
      <c r="D86" s="31">
        <v>0.12282</v>
      </c>
      <c r="E86" s="31">
        <v>0.87717999999999996</v>
      </c>
      <c r="F86" s="11">
        <v>5488</v>
      </c>
      <c r="G86" s="11">
        <v>36288</v>
      </c>
      <c r="H86" s="12">
        <v>6.2</v>
      </c>
      <c r="I86" s="12">
        <v>4.92</v>
      </c>
      <c r="K86" s="11">
        <v>6793</v>
      </c>
      <c r="L86" s="11">
        <v>814</v>
      </c>
      <c r="M86" s="31">
        <v>0.11983000000000001</v>
      </c>
      <c r="N86" s="31">
        <v>0.88017000000000001</v>
      </c>
      <c r="O86" s="11">
        <v>6379</v>
      </c>
      <c r="P86" s="11">
        <v>43012</v>
      </c>
      <c r="Q86" s="12">
        <v>6.33</v>
      </c>
      <c r="R86" s="12">
        <v>5.03</v>
      </c>
    </row>
    <row r="87" spans="1:18">
      <c r="A87" s="6">
        <v>81</v>
      </c>
      <c r="B87" s="11">
        <v>5135</v>
      </c>
      <c r="C87" s="11">
        <v>650</v>
      </c>
      <c r="D87" s="31">
        <v>0.12658</v>
      </c>
      <c r="E87" s="31">
        <v>0.87341999999999997</v>
      </c>
      <c r="F87" s="11">
        <v>4804</v>
      </c>
      <c r="G87" s="11">
        <v>30800</v>
      </c>
      <c r="H87" s="12">
        <v>6</v>
      </c>
      <c r="I87" s="12">
        <v>4.74</v>
      </c>
      <c r="K87" s="11">
        <v>5979</v>
      </c>
      <c r="L87" s="11">
        <v>739</v>
      </c>
      <c r="M87" s="31">
        <v>0.1236</v>
      </c>
      <c r="N87" s="31">
        <v>0.87639999999999996</v>
      </c>
      <c r="O87" s="11">
        <v>5604</v>
      </c>
      <c r="P87" s="11">
        <v>36633</v>
      </c>
      <c r="Q87" s="12">
        <v>6.13</v>
      </c>
      <c r="R87" s="12">
        <v>4.8600000000000003</v>
      </c>
    </row>
    <row r="88" spans="1:18">
      <c r="A88" s="6">
        <v>82</v>
      </c>
      <c r="B88" s="11">
        <v>4485</v>
      </c>
      <c r="C88" s="11">
        <v>587</v>
      </c>
      <c r="D88" s="31">
        <v>0.13088</v>
      </c>
      <c r="E88" s="31">
        <v>0.86912</v>
      </c>
      <c r="F88" s="11">
        <v>4187</v>
      </c>
      <c r="G88" s="11">
        <v>25996</v>
      </c>
      <c r="H88" s="12">
        <v>5.8</v>
      </c>
      <c r="I88" s="12">
        <v>4.5599999999999996</v>
      </c>
      <c r="K88" s="11">
        <v>5240</v>
      </c>
      <c r="L88" s="11">
        <v>670</v>
      </c>
      <c r="M88" s="31">
        <v>0.12786</v>
      </c>
      <c r="N88" s="31">
        <v>0.87214000000000003</v>
      </c>
      <c r="O88" s="11">
        <v>4900</v>
      </c>
      <c r="P88" s="11">
        <v>31029</v>
      </c>
      <c r="Q88" s="12">
        <v>5.92</v>
      </c>
      <c r="R88" s="12">
        <v>4.68</v>
      </c>
    </row>
    <row r="89" spans="1:18">
      <c r="A89" s="6">
        <v>83</v>
      </c>
      <c r="B89" s="11">
        <v>3898</v>
      </c>
      <c r="C89" s="11">
        <v>532</v>
      </c>
      <c r="D89" s="31">
        <v>0.13647999999999999</v>
      </c>
      <c r="E89" s="31">
        <v>0.86351999999999995</v>
      </c>
      <c r="F89" s="11">
        <v>3627</v>
      </c>
      <c r="G89" s="11">
        <v>21809</v>
      </c>
      <c r="H89" s="12">
        <v>5.59</v>
      </c>
      <c r="I89" s="12">
        <v>4.38</v>
      </c>
      <c r="K89" s="11">
        <v>4570</v>
      </c>
      <c r="L89" s="11">
        <v>608</v>
      </c>
      <c r="M89" s="31">
        <v>0.13303999999999999</v>
      </c>
      <c r="N89" s="31">
        <v>0.86695999999999995</v>
      </c>
      <c r="O89" s="11">
        <v>4261</v>
      </c>
      <c r="P89" s="11">
        <v>26129</v>
      </c>
      <c r="Q89" s="12">
        <v>5.72</v>
      </c>
      <c r="R89" s="12">
        <v>4.5</v>
      </c>
    </row>
    <row r="90" spans="1:18">
      <c r="A90" s="6">
        <v>84</v>
      </c>
      <c r="B90" s="11">
        <v>3366</v>
      </c>
      <c r="C90" s="11">
        <v>479</v>
      </c>
      <c r="D90" s="31">
        <v>0.14230999999999999</v>
      </c>
      <c r="E90" s="31">
        <v>0.85768999999999995</v>
      </c>
      <c r="F90" s="11">
        <v>3122</v>
      </c>
      <c r="G90" s="11">
        <v>18182</v>
      </c>
      <c r="H90" s="12">
        <v>5.4</v>
      </c>
      <c r="I90" s="12">
        <v>4.2</v>
      </c>
      <c r="K90" s="11">
        <v>3962</v>
      </c>
      <c r="L90" s="11">
        <v>550</v>
      </c>
      <c r="M90" s="31">
        <v>0.13882</v>
      </c>
      <c r="N90" s="31">
        <v>0.86117999999999995</v>
      </c>
      <c r="O90" s="11">
        <v>3682</v>
      </c>
      <c r="P90" s="11">
        <v>21868</v>
      </c>
      <c r="Q90" s="12">
        <v>5.52</v>
      </c>
      <c r="R90" s="12">
        <v>4.33</v>
      </c>
    </row>
    <row r="91" spans="1:18">
      <c r="A91" s="6">
        <v>85</v>
      </c>
      <c r="B91" s="11">
        <v>2887</v>
      </c>
      <c r="C91" s="11">
        <v>430</v>
      </c>
      <c r="D91" s="31">
        <v>0.14893999999999999</v>
      </c>
      <c r="E91" s="31">
        <v>0.85106000000000004</v>
      </c>
      <c r="F91" s="11">
        <v>2668</v>
      </c>
      <c r="G91" s="11">
        <v>15060</v>
      </c>
      <c r="H91" s="12">
        <v>5.22</v>
      </c>
      <c r="I91" s="12">
        <v>4.03</v>
      </c>
      <c r="K91" s="11">
        <v>3412</v>
      </c>
      <c r="L91" s="11">
        <v>493</v>
      </c>
      <c r="M91" s="31">
        <v>0.14449000000000001</v>
      </c>
      <c r="N91" s="31">
        <v>0.85550999999999999</v>
      </c>
      <c r="O91" s="11">
        <v>3161</v>
      </c>
      <c r="P91" s="11">
        <v>18186</v>
      </c>
      <c r="Q91" s="12">
        <v>5.33</v>
      </c>
      <c r="R91" s="12">
        <v>4.18</v>
      </c>
    </row>
    <row r="92" spans="1:18">
      <c r="A92" s="6">
        <v>86</v>
      </c>
      <c r="B92" s="11">
        <v>2457</v>
      </c>
      <c r="C92" s="11">
        <v>381</v>
      </c>
      <c r="D92" s="31">
        <v>0.15507000000000001</v>
      </c>
      <c r="E92" s="31">
        <v>0.84492999999999996</v>
      </c>
      <c r="F92" s="11">
        <v>2262</v>
      </c>
      <c r="G92" s="11">
        <v>12392</v>
      </c>
      <c r="H92" s="12">
        <v>5.04</v>
      </c>
      <c r="I92" s="12">
        <v>3.91</v>
      </c>
      <c r="K92" s="11">
        <v>2919</v>
      </c>
      <c r="L92" s="11">
        <v>439</v>
      </c>
      <c r="M92" s="31">
        <v>0.15039</v>
      </c>
      <c r="N92" s="31">
        <v>0.84960999999999998</v>
      </c>
      <c r="O92" s="11">
        <v>2696</v>
      </c>
      <c r="P92" s="11">
        <v>15025</v>
      </c>
      <c r="Q92" s="12">
        <v>5.15</v>
      </c>
      <c r="R92" s="12">
        <v>4.04</v>
      </c>
    </row>
    <row r="93" spans="1:18">
      <c r="A93" s="6">
        <v>87</v>
      </c>
      <c r="B93" s="11">
        <v>2076</v>
      </c>
      <c r="C93" s="11">
        <v>335</v>
      </c>
      <c r="D93" s="31">
        <v>0.16137000000000001</v>
      </c>
      <c r="E93" s="31">
        <v>0.83862999999999999</v>
      </c>
      <c r="F93" s="11">
        <v>1904</v>
      </c>
      <c r="G93" s="11">
        <v>10130</v>
      </c>
      <c r="H93" s="12">
        <v>4.88</v>
      </c>
      <c r="I93" s="12">
        <v>3.8</v>
      </c>
      <c r="K93" s="11">
        <v>2480</v>
      </c>
      <c r="L93" s="11">
        <v>387</v>
      </c>
      <c r="M93" s="31">
        <v>0.15604999999999999</v>
      </c>
      <c r="N93" s="31">
        <v>0.84394999999999998</v>
      </c>
      <c r="O93" s="11">
        <v>2282</v>
      </c>
      <c r="P93" s="11">
        <v>12329</v>
      </c>
      <c r="Q93" s="12">
        <v>4.97</v>
      </c>
      <c r="R93" s="12">
        <v>3.93</v>
      </c>
    </row>
    <row r="94" spans="1:18">
      <c r="A94" s="6">
        <v>88</v>
      </c>
      <c r="B94" s="11">
        <v>1741</v>
      </c>
      <c r="C94" s="11">
        <v>289</v>
      </c>
      <c r="D94" s="31">
        <v>0.16600000000000001</v>
      </c>
      <c r="E94" s="31">
        <v>0.83399999999999996</v>
      </c>
      <c r="F94" s="11">
        <v>1592</v>
      </c>
      <c r="G94" s="11">
        <v>8226</v>
      </c>
      <c r="H94" s="12">
        <v>4.72</v>
      </c>
      <c r="I94" s="12">
        <v>3.71</v>
      </c>
      <c r="K94" s="11">
        <v>2093</v>
      </c>
      <c r="L94" s="11">
        <v>335</v>
      </c>
      <c r="M94" s="31">
        <v>0.16006000000000001</v>
      </c>
      <c r="N94" s="31">
        <v>0.83994000000000002</v>
      </c>
      <c r="O94" s="11">
        <v>1921</v>
      </c>
      <c r="P94" s="11">
        <v>10047</v>
      </c>
      <c r="Q94" s="12">
        <v>4.8</v>
      </c>
      <c r="R94" s="12">
        <v>3.83</v>
      </c>
    </row>
    <row r="95" spans="1:18">
      <c r="A95" s="6">
        <v>89</v>
      </c>
      <c r="B95" s="11">
        <v>1452</v>
      </c>
      <c r="C95" s="11">
        <v>247</v>
      </c>
      <c r="D95" s="31">
        <v>0.17011000000000001</v>
      </c>
      <c r="E95" s="31">
        <v>0.82989000000000002</v>
      </c>
      <c r="F95" s="11">
        <v>1325</v>
      </c>
      <c r="G95" s="11">
        <v>6634</v>
      </c>
      <c r="H95" s="12">
        <v>4.57</v>
      </c>
      <c r="I95" s="12">
        <v>3.63</v>
      </c>
      <c r="K95" s="11">
        <v>1758</v>
      </c>
      <c r="L95" s="11">
        <v>289</v>
      </c>
      <c r="M95" s="31">
        <v>0.16439000000000001</v>
      </c>
      <c r="N95" s="31">
        <v>0.83560999999999996</v>
      </c>
      <c r="O95" s="11">
        <v>1609</v>
      </c>
      <c r="P95" s="11">
        <v>8126</v>
      </c>
      <c r="Q95" s="12">
        <v>4.62</v>
      </c>
      <c r="R95" s="12">
        <v>3.73</v>
      </c>
    </row>
    <row r="96" spans="1:18">
      <c r="A96" s="6">
        <v>90</v>
      </c>
      <c r="B96" s="11">
        <v>1205</v>
      </c>
      <c r="C96" s="11">
        <v>209</v>
      </c>
      <c r="D96" s="31">
        <v>0.17344000000000001</v>
      </c>
      <c r="E96" s="31">
        <v>0.82655999999999996</v>
      </c>
      <c r="F96" s="11">
        <v>1097</v>
      </c>
      <c r="G96" s="11">
        <v>5309</v>
      </c>
      <c r="H96" s="12">
        <v>4.41</v>
      </c>
      <c r="I96" s="12">
        <v>3.54</v>
      </c>
      <c r="K96" s="11">
        <v>1469</v>
      </c>
      <c r="L96" s="11">
        <v>247</v>
      </c>
      <c r="M96" s="31">
        <v>0.16814000000000001</v>
      </c>
      <c r="N96" s="31">
        <v>0.83186000000000004</v>
      </c>
      <c r="O96" s="11">
        <v>1342</v>
      </c>
      <c r="P96" s="11">
        <v>6517</v>
      </c>
      <c r="Q96" s="12">
        <v>4.4400000000000004</v>
      </c>
      <c r="R96" s="12">
        <v>3.61</v>
      </c>
    </row>
    <row r="97" spans="1:18">
      <c r="A97" s="6">
        <v>91</v>
      </c>
      <c r="B97" s="11">
        <v>996</v>
      </c>
      <c r="C97" s="11">
        <v>176</v>
      </c>
      <c r="D97" s="31">
        <v>0.17671000000000001</v>
      </c>
      <c r="E97" s="31">
        <v>0.82328999999999997</v>
      </c>
      <c r="F97" s="11">
        <v>905</v>
      </c>
      <c r="G97" s="11">
        <v>4212</v>
      </c>
      <c r="H97" s="12">
        <v>4.2300000000000004</v>
      </c>
      <c r="I97" s="12">
        <v>3.41</v>
      </c>
      <c r="K97" s="11">
        <v>1222</v>
      </c>
      <c r="L97" s="11">
        <v>211</v>
      </c>
      <c r="M97" s="31">
        <v>0.17266999999999999</v>
      </c>
      <c r="N97" s="31">
        <v>0.82733000000000001</v>
      </c>
      <c r="O97" s="11">
        <v>1114</v>
      </c>
      <c r="P97" s="11">
        <v>5175</v>
      </c>
      <c r="Q97" s="12">
        <v>4.2300000000000004</v>
      </c>
      <c r="R97" s="12">
        <v>3.46</v>
      </c>
    </row>
    <row r="98" spans="1:18">
      <c r="A98" s="6">
        <v>92</v>
      </c>
      <c r="B98" s="11">
        <v>820</v>
      </c>
      <c r="C98" s="11">
        <v>149</v>
      </c>
      <c r="D98" s="31">
        <v>0.18171000000000001</v>
      </c>
      <c r="E98" s="31">
        <v>0.81828999999999996</v>
      </c>
      <c r="F98" s="11">
        <v>744</v>
      </c>
      <c r="G98" s="11">
        <v>3307</v>
      </c>
      <c r="H98" s="12">
        <v>4.03</v>
      </c>
      <c r="I98" s="12">
        <v>3.25</v>
      </c>
      <c r="K98" s="11">
        <v>1011</v>
      </c>
      <c r="L98" s="11">
        <v>181</v>
      </c>
      <c r="M98" s="31">
        <v>0.17902999999999999</v>
      </c>
      <c r="N98" s="31">
        <v>0.82096999999999998</v>
      </c>
      <c r="O98" s="11">
        <v>919</v>
      </c>
      <c r="P98" s="11">
        <v>4061</v>
      </c>
      <c r="Q98" s="12">
        <v>4.0199999999999996</v>
      </c>
      <c r="R98" s="12">
        <v>3.26</v>
      </c>
    </row>
    <row r="99" spans="1:18">
      <c r="A99" s="6">
        <v>93</v>
      </c>
      <c r="B99" s="11">
        <v>671</v>
      </c>
      <c r="C99" s="11">
        <v>128</v>
      </c>
      <c r="D99" s="31">
        <v>0.19076000000000001</v>
      </c>
      <c r="E99" s="31">
        <v>0.80923999999999996</v>
      </c>
      <c r="F99" s="11">
        <v>605</v>
      </c>
      <c r="G99" s="11">
        <v>2563</v>
      </c>
      <c r="H99" s="12">
        <v>3.82</v>
      </c>
      <c r="I99" s="12">
        <v>3.04</v>
      </c>
      <c r="K99" s="11">
        <v>830</v>
      </c>
      <c r="L99" s="11">
        <v>157</v>
      </c>
      <c r="M99" s="31">
        <v>0.18915999999999999</v>
      </c>
      <c r="N99" s="31">
        <v>0.81084000000000001</v>
      </c>
      <c r="O99" s="11">
        <v>749</v>
      </c>
      <c r="P99" s="11">
        <v>3142</v>
      </c>
      <c r="Q99" s="12">
        <v>3.79</v>
      </c>
      <c r="R99" s="12">
        <v>3.03</v>
      </c>
    </row>
    <row r="100" spans="1:18">
      <c r="A100" s="6">
        <v>94</v>
      </c>
      <c r="B100" s="11">
        <v>543</v>
      </c>
      <c r="C100" s="11">
        <v>109</v>
      </c>
      <c r="D100" s="31">
        <v>0.20074</v>
      </c>
      <c r="E100" s="31">
        <v>0.79925999999999997</v>
      </c>
      <c r="F100" s="11">
        <v>487</v>
      </c>
      <c r="G100" s="11">
        <v>1958</v>
      </c>
      <c r="H100" s="12">
        <v>3.61</v>
      </c>
      <c r="I100" s="12">
        <v>2.83</v>
      </c>
      <c r="K100" s="11">
        <v>673</v>
      </c>
      <c r="L100" s="11">
        <v>136</v>
      </c>
      <c r="M100" s="31">
        <v>0.20208000000000001</v>
      </c>
      <c r="N100" s="31">
        <v>0.79791999999999996</v>
      </c>
      <c r="O100" s="11">
        <v>602</v>
      </c>
      <c r="P100" s="11">
        <v>2393</v>
      </c>
      <c r="Q100" s="12">
        <v>3.56</v>
      </c>
      <c r="R100" s="12">
        <v>2.81</v>
      </c>
    </row>
    <row r="101" spans="1:18">
      <c r="A101" s="6">
        <v>95</v>
      </c>
      <c r="B101" s="11">
        <v>434</v>
      </c>
      <c r="C101" s="11">
        <v>95</v>
      </c>
      <c r="D101" s="31">
        <v>0.21889</v>
      </c>
      <c r="E101" s="31">
        <v>0.78110999999999997</v>
      </c>
      <c r="F101" s="11">
        <v>385</v>
      </c>
      <c r="G101" s="11">
        <v>1471</v>
      </c>
      <c r="H101" s="12">
        <v>3.39</v>
      </c>
      <c r="I101" s="12">
        <v>2.6</v>
      </c>
      <c r="K101" s="11">
        <v>537</v>
      </c>
      <c r="L101" s="11">
        <v>119</v>
      </c>
      <c r="M101" s="31">
        <v>0.22159999999999999</v>
      </c>
      <c r="N101" s="31">
        <v>0.77839999999999998</v>
      </c>
      <c r="O101" s="11">
        <v>476</v>
      </c>
      <c r="P101" s="11">
        <v>1791</v>
      </c>
      <c r="Q101" s="12">
        <v>3.34</v>
      </c>
      <c r="R101" s="12">
        <v>2.58</v>
      </c>
    </row>
    <row r="102" spans="1:18">
      <c r="A102" s="6">
        <v>96</v>
      </c>
      <c r="B102" s="11">
        <v>339</v>
      </c>
      <c r="C102" s="11">
        <v>81</v>
      </c>
      <c r="D102" s="31">
        <v>0.23894000000000001</v>
      </c>
      <c r="E102" s="31">
        <v>0.76105999999999996</v>
      </c>
      <c r="F102" s="11">
        <v>297</v>
      </c>
      <c r="G102" s="11">
        <v>1086</v>
      </c>
      <c r="H102" s="12">
        <v>3.2</v>
      </c>
      <c r="I102" s="12">
        <v>2.36</v>
      </c>
      <c r="K102" s="11">
        <v>418</v>
      </c>
      <c r="L102" s="11">
        <v>101</v>
      </c>
      <c r="M102" s="31">
        <v>0.24163000000000001</v>
      </c>
      <c r="N102" s="31">
        <v>0.75836999999999999</v>
      </c>
      <c r="O102" s="11">
        <v>366</v>
      </c>
      <c r="P102" s="11">
        <v>1315</v>
      </c>
      <c r="Q102" s="12">
        <v>3.15</v>
      </c>
      <c r="R102" s="12">
        <v>2.34</v>
      </c>
    </row>
    <row r="103" spans="1:18">
      <c r="A103" s="6">
        <v>97</v>
      </c>
      <c r="B103" s="11">
        <v>258</v>
      </c>
      <c r="C103" s="11">
        <v>68</v>
      </c>
      <c r="D103" s="31">
        <v>0.26357000000000003</v>
      </c>
      <c r="E103" s="31">
        <v>0.73643000000000003</v>
      </c>
      <c r="F103" s="11">
        <v>223</v>
      </c>
      <c r="G103" s="11">
        <v>789</v>
      </c>
      <c r="H103" s="12">
        <v>3.06</v>
      </c>
      <c r="I103" s="12">
        <v>2.14</v>
      </c>
      <c r="K103" s="11">
        <v>317</v>
      </c>
      <c r="L103" s="11">
        <v>85</v>
      </c>
      <c r="M103" s="31">
        <v>0.26813999999999999</v>
      </c>
      <c r="N103" s="31">
        <v>0.73185999999999996</v>
      </c>
      <c r="O103" s="11">
        <v>273</v>
      </c>
      <c r="P103" s="11">
        <v>949</v>
      </c>
      <c r="Q103" s="12">
        <v>2.99</v>
      </c>
      <c r="R103" s="12">
        <v>2.12</v>
      </c>
    </row>
    <row r="104" spans="1:18">
      <c r="A104" s="6">
        <v>98</v>
      </c>
      <c r="B104" s="11">
        <v>190</v>
      </c>
      <c r="C104" s="11">
        <v>55</v>
      </c>
      <c r="D104" s="31">
        <v>0.28947000000000001</v>
      </c>
      <c r="E104" s="31">
        <v>0.71052999999999999</v>
      </c>
      <c r="F104" s="11">
        <v>161</v>
      </c>
      <c r="G104" s="11">
        <v>566</v>
      </c>
      <c r="H104" s="12">
        <v>2.98</v>
      </c>
      <c r="I104" s="12">
        <v>1.95</v>
      </c>
      <c r="K104" s="11">
        <v>232</v>
      </c>
      <c r="L104" s="11">
        <v>68</v>
      </c>
      <c r="M104" s="31">
        <v>0.29310000000000003</v>
      </c>
      <c r="N104" s="31">
        <v>0.70689999999999997</v>
      </c>
      <c r="O104" s="11">
        <v>197</v>
      </c>
      <c r="P104" s="11">
        <v>676</v>
      </c>
      <c r="Q104" s="12">
        <v>2.91</v>
      </c>
      <c r="R104" s="12">
        <v>1.92</v>
      </c>
    </row>
    <row r="105" spans="1:18">
      <c r="A105" s="6">
        <v>99</v>
      </c>
      <c r="B105" s="11">
        <v>135</v>
      </c>
      <c r="C105" s="11">
        <v>42</v>
      </c>
      <c r="D105" s="31">
        <v>0.31111</v>
      </c>
      <c r="E105" s="31">
        <v>0.68889</v>
      </c>
      <c r="F105" s="11">
        <v>113</v>
      </c>
      <c r="G105" s="11">
        <v>405</v>
      </c>
      <c r="H105" s="12">
        <v>3</v>
      </c>
      <c r="I105" s="12">
        <v>1.81</v>
      </c>
      <c r="K105" s="11">
        <v>164</v>
      </c>
      <c r="L105" s="11">
        <v>52</v>
      </c>
      <c r="M105" s="31">
        <v>0.31707000000000002</v>
      </c>
      <c r="N105" s="31">
        <v>0.68293000000000004</v>
      </c>
      <c r="O105" s="11">
        <v>137</v>
      </c>
      <c r="P105" s="11">
        <v>479</v>
      </c>
      <c r="Q105" s="12">
        <v>2.92</v>
      </c>
      <c r="R105" s="12">
        <v>1.77</v>
      </c>
    </row>
    <row r="106" spans="1:18">
      <c r="A106" s="6">
        <v>100</v>
      </c>
      <c r="B106" s="11">
        <v>93</v>
      </c>
      <c r="C106" s="11">
        <v>51</v>
      </c>
      <c r="D106" s="31">
        <v>0.54839000000000004</v>
      </c>
      <c r="E106" s="31">
        <v>0.45161000000000001</v>
      </c>
      <c r="F106" s="11">
        <v>77</v>
      </c>
      <c r="G106" s="11">
        <v>292</v>
      </c>
      <c r="H106" s="12">
        <v>3.14</v>
      </c>
      <c r="I106" s="12">
        <v>1.8</v>
      </c>
      <c r="K106" s="11">
        <v>112</v>
      </c>
      <c r="L106" s="11">
        <v>39</v>
      </c>
      <c r="M106" s="31">
        <v>0.34821000000000002</v>
      </c>
      <c r="N106" s="31">
        <v>0.65178999999999998</v>
      </c>
      <c r="O106" s="11">
        <v>91</v>
      </c>
      <c r="P106" s="11">
        <v>342</v>
      </c>
      <c r="Q106" s="12">
        <v>3.05</v>
      </c>
      <c r="R106" s="12">
        <v>1.71</v>
      </c>
    </row>
  </sheetData>
  <mergeCells count="4">
    <mergeCell ref="B4:I4"/>
    <mergeCell ref="K4:R4"/>
    <mergeCell ref="A1:R1"/>
    <mergeCell ref="A2:R2"/>
  </mergeCells>
  <pageMargins left="0.7" right="0.7" top="0.75" bottom="0.75" header="0.3" footer="0.3"/>
</worksheet>
</file>

<file path=docMetadata/LabelInfo.xml><?xml version="1.0" encoding="utf-8"?>
<clbl:labelList xmlns:clbl="http://schemas.microsoft.com/office/2020/mipLabelMetadata">
  <clbl:label id="{0cf7ac0a-4681-4823-ab0b-04ef02c5f873}" enabled="1" method="Standard" siteId="{42f7676c-f455-423c-82f6-dc2d99791af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Notes</vt:lpstr>
      <vt:lpstr>№63 1874-1883 Борткевич</vt:lpstr>
      <vt:lpstr>№62 50 губерний 1896-97</vt:lpstr>
      <vt:lpstr>№64 1896-97 I вариант</vt:lpstr>
      <vt:lpstr>№65 1896-97 II вариант</vt:lpstr>
      <vt:lpstr>№67 1907-1910 II вариант</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sergey</cp:lastModifiedBy>
  <dcterms:modified xsi:type="dcterms:W3CDTF">2026-07-02T18:08:22Z</dcterms:modified>
</cp:coreProperties>
</file>