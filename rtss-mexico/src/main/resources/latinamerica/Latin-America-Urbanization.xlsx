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16C7E500-6353-4F97-A76A-607B0626F137}" xr6:coauthVersionLast="47" xr6:coauthVersionMax="47" xr10:uidLastSave="{00000000-0000-0000-0000-000000000000}"/>
  <bookViews>
    <workbookView xWindow="58140" yWindow="1275" windowWidth="27030" windowHeight="19005" activeTab="6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Sheet7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<sst xmlns="http://schemas.openxmlformats.org/spreadsheetml/2006/main" count="382" uniqueCount="86">
  <si>
    <t>Boletín demográfico. Año 38, no. 75, Jan 2005, стр. 26</t>
  </si>
  <si>
    <t>Boletín demográfico. Año 38, no. 75, Jan 2005, стр. 30</t>
  </si>
  <si>
    <t>Boletín demográfico. Año 38, no. 75, Jan 2005, стр. 32</t>
  </si>
  <si>
    <t>https://statistics.cepal.org/portal/databank/index.html?indicator_id=269&amp;lang=en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</si>
  <si>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</si>
  <si>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</si>
  <si>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</si>
  <si>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</si>
  <si>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</si>
  <si>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</si>
  <si>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</si>
  <si>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</si>
  <si>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</si>
  <si>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</si>
  <si>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</si>
  <si>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</si>
  <si>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</si>
  <si>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</si>
  <si>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</si>
  <si>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</si>
  <si>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</si>
  <si>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</si>
  <si>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</si>
  <si>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</si>
  <si>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</si>
  <si>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</si>
  <si>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</si>
  <si>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</si>
  <si>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</si>
  <si>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</si>
  <si>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</si>
  <si>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</si>
  <si>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</si>
  <si>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</si>
  <si>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</si>
  <si>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</si>
  <si>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</si>
  <si>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</si>
  <si>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</si>
  <si>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</si>
  <si>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городского населения (1950-2000)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</si>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</sst>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Font="1"/>
    <xf numFmtId="0" fontId="2" fillId="0" borderId="0" xfId="1"/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NumberFormat="1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istics.cepal.org/portal/databank/index.html?indicator_id=269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/>
  </sheetViews>
  <sheetFormatPr defaultRowHeight="14.4" x14ac:dyDescent="0.55000000000000004"/>
  <sheetData>
    <row r="1" spans="1:1" x14ac:dyDescent="0.55000000000000004">
      <c r="A1" t="s">
        <v>5</v>
      </c>
    </row>
    <row r="2" spans="1:1" x14ac:dyDescent="0.55000000000000004">
      <c r="A2" s="4" t="s">
        <v>3</v>
      </c>
    </row>
  </sheetData>
  <hyperlinks>
    <hyperlink ref="A2" r:id="rId1" xr:uid="{AD4E1A4E-88B6-46BF-A8B9-338DB8D0BF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97" workbookViewId="0">
      <selection activeCell="B100" sqref="B100:H122"/>
    </sheetView>
  </sheetViews>
  <sheetFormatPr defaultRowHeight="14.4" x14ac:dyDescent="0.55000000000000004"/>
  <cols>
    <col min="1" max="1" width="31.3671875" customWidth="1"/>
  </cols>
  <sheetData>
    <row r="1" spans="1:7" x14ac:dyDescent="0.55000000000000004">
      <c r="A1" s="2" t="s">
        <v>40</v>
      </c>
    </row>
    <row r="2" spans="1:7" x14ac:dyDescent="0.55000000000000004">
      <c r="A2" s="3" t="s">
        <v>0</v>
      </c>
    </row>
    <row r="4" spans="1:7" x14ac:dyDescent="0.55000000000000004">
      <c r="A4" s="2" t="s">
        <v>39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 x14ac:dyDescent="0.55000000000000004">
      <c r="A5" t="s">
        <v>7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 x14ac:dyDescent="0.55000000000000004">
      <c r="A6" t="s">
        <v>20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 x14ac:dyDescent="0.55000000000000004">
      <c r="A7" t="s">
        <v>8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 x14ac:dyDescent="0.55000000000000004">
      <c r="A8" t="s">
        <v>9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 x14ac:dyDescent="0.55000000000000004">
      <c r="A9" t="s">
        <v>19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 x14ac:dyDescent="0.55000000000000004">
      <c r="A10" t="s">
        <v>25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 x14ac:dyDescent="0.55000000000000004">
      <c r="A11" t="s">
        <v>24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 x14ac:dyDescent="0.55000000000000004">
      <c r="A12" t="s">
        <v>13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 x14ac:dyDescent="0.55000000000000004">
      <c r="A13" t="s">
        <v>26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 x14ac:dyDescent="0.55000000000000004">
      <c r="A14" t="s">
        <v>31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 x14ac:dyDescent="0.55000000000000004">
      <c r="A15" t="s">
        <v>11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 x14ac:dyDescent="0.55000000000000004">
      <c r="A16" t="s">
        <v>21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 x14ac:dyDescent="0.55000000000000004">
      <c r="A17" t="s">
        <v>22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 x14ac:dyDescent="0.55000000000000004">
      <c r="A18" t="s">
        <v>28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 x14ac:dyDescent="0.55000000000000004">
      <c r="A19" t="s">
        <v>29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 x14ac:dyDescent="0.55000000000000004">
      <c r="A20" t="s">
        <v>30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 x14ac:dyDescent="0.55000000000000004">
      <c r="A21" t="s">
        <v>15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 x14ac:dyDescent="0.55000000000000004">
      <c r="A22" t="s">
        <v>16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 x14ac:dyDescent="0.55000000000000004">
      <c r="A23" t="s">
        <v>23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 x14ac:dyDescent="0.55000000000000004">
      <c r="A24" t="s">
        <v>17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 x14ac:dyDescent="0.55000000000000004">
      <c r="A25" t="s">
        <v>18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 x14ac:dyDescent="0.55000000000000004">
      <c r="A26" t="s">
        <v>14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 x14ac:dyDescent="0.55000000000000004">
      <c r="A27" t="s">
        <v>10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 x14ac:dyDescent="0.55000000000000004">
      <c r="A28" t="s">
        <v>12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 x14ac:dyDescent="0.55000000000000004">
      <c r="A29" t="s">
        <v>27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x14ac:dyDescent="0.55000000000000004">
      <c r="A31" s="2" t="s">
        <v>41</v>
      </c>
    </row>
    <row r="32" spans="1:7" x14ac:dyDescent="0.55000000000000004">
      <c r="A32" s="3" t="s">
        <v>1</v>
      </c>
    </row>
    <row r="33" spans="1:7" x14ac:dyDescent="0.55000000000000004">
      <c r="A33" s="3"/>
    </row>
    <row r="34" spans="1:7" x14ac:dyDescent="0.55000000000000004">
      <c r="A34" s="2" t="s">
        <v>39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 x14ac:dyDescent="0.55000000000000004">
      <c r="A35" t="s">
        <v>7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 x14ac:dyDescent="0.55000000000000004">
      <c r="A36" t="s">
        <v>20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 x14ac:dyDescent="0.55000000000000004">
      <c r="A37" t="s">
        <v>8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 x14ac:dyDescent="0.55000000000000004">
      <c r="A38" t="s">
        <v>9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 x14ac:dyDescent="0.55000000000000004">
      <c r="A39" t="s">
        <v>19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 x14ac:dyDescent="0.55000000000000004">
      <c r="A40" t="s">
        <v>25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 x14ac:dyDescent="0.55000000000000004">
      <c r="A41" t="s">
        <v>24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 x14ac:dyDescent="0.55000000000000004">
      <c r="A42" t="s">
        <v>13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 x14ac:dyDescent="0.55000000000000004">
      <c r="A43" t="s">
        <v>26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 x14ac:dyDescent="0.55000000000000004">
      <c r="A44" t="s">
        <v>31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 x14ac:dyDescent="0.55000000000000004">
      <c r="A45" t="s">
        <v>11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 x14ac:dyDescent="0.55000000000000004">
      <c r="A46" t="s">
        <v>21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 x14ac:dyDescent="0.55000000000000004">
      <c r="A47" t="s">
        <v>22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 x14ac:dyDescent="0.55000000000000004">
      <c r="A48" t="s">
        <v>28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 x14ac:dyDescent="0.55000000000000004">
      <c r="A49" t="s">
        <v>29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 x14ac:dyDescent="0.55000000000000004">
      <c r="A50" t="s">
        <v>30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 x14ac:dyDescent="0.55000000000000004">
      <c r="A51" t="s">
        <v>15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 x14ac:dyDescent="0.55000000000000004">
      <c r="A52" t="s">
        <v>16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 x14ac:dyDescent="0.55000000000000004">
      <c r="A53" t="s">
        <v>23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 x14ac:dyDescent="0.55000000000000004">
      <c r="A54" t="s">
        <v>17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 x14ac:dyDescent="0.55000000000000004">
      <c r="A55" t="s">
        <v>18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 x14ac:dyDescent="0.55000000000000004">
      <c r="A56" t="s">
        <v>14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 x14ac:dyDescent="0.55000000000000004">
      <c r="A57" t="s">
        <v>10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 x14ac:dyDescent="0.55000000000000004">
      <c r="A58" t="s">
        <v>12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 x14ac:dyDescent="0.55000000000000004">
      <c r="A59" t="s">
        <v>27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x14ac:dyDescent="0.55000000000000004">
      <c r="A61" s="2" t="s">
        <v>42</v>
      </c>
    </row>
    <row r="62" spans="1:15" x14ac:dyDescent="0.55000000000000004">
      <c r="A62" s="3" t="s">
        <v>2</v>
      </c>
    </row>
    <row r="63" spans="1:15" x14ac:dyDescent="0.55000000000000004">
      <c r="A63" s="5" t="s">
        <v>5</v>
      </c>
    </row>
    <row r="64" spans="1:15" x14ac:dyDescent="0.55000000000000004">
      <c r="A64" s="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55000000000000004">
      <c r="A65" s="2" t="s">
        <v>39</v>
      </c>
      <c r="B65" s="8">
        <v>1950</v>
      </c>
      <c r="C65" s="8">
        <v>1960</v>
      </c>
      <c r="D65" s="8">
        <v>1970</v>
      </c>
      <c r="E65" s="8">
        <v>1980</v>
      </c>
      <c r="F65" s="8">
        <v>1990</v>
      </c>
      <c r="G65" s="8">
        <v>2000</v>
      </c>
      <c r="H65" s="8">
        <v>2010</v>
      </c>
      <c r="I65" s="6"/>
      <c r="J65" s="6"/>
      <c r="K65" s="6"/>
      <c r="L65" s="6"/>
      <c r="M65" s="6"/>
      <c r="N65" s="6"/>
      <c r="O65" s="6"/>
    </row>
    <row r="66" spans="1:15" x14ac:dyDescent="0.55000000000000004">
      <c r="A66" s="7" t="s">
        <v>7</v>
      </c>
      <c r="B66" s="13">
        <v>50.7</v>
      </c>
      <c r="C66" s="13">
        <v>60</v>
      </c>
      <c r="D66" s="13">
        <v>66.900000000000006</v>
      </c>
      <c r="E66" s="13">
        <v>71.2</v>
      </c>
      <c r="F66" s="13">
        <v>74.900000000000006</v>
      </c>
      <c r="G66" s="13">
        <v>76.599999999999994</v>
      </c>
      <c r="H66" s="13">
        <v>79.8</v>
      </c>
      <c r="I66" s="6"/>
      <c r="J66" s="6"/>
      <c r="K66" s="6"/>
      <c r="L66" s="6"/>
      <c r="M66" s="6"/>
      <c r="N66" s="6"/>
      <c r="O66" s="6"/>
    </row>
    <row r="67" spans="1:15" x14ac:dyDescent="0.55000000000000004">
      <c r="A67" s="7" t="s">
        <v>32</v>
      </c>
      <c r="B67" s="13">
        <v>54.4</v>
      </c>
      <c r="C67" s="13">
        <v>62.1</v>
      </c>
      <c r="D67" s="13">
        <v>60.1</v>
      </c>
      <c r="E67" s="13">
        <v>64.599999999999994</v>
      </c>
      <c r="F67" s="13" t="s">
        <v>4</v>
      </c>
      <c r="G67" s="13" t="s">
        <v>4</v>
      </c>
      <c r="H67" s="13" t="s">
        <v>4</v>
      </c>
      <c r="I67" s="6"/>
      <c r="J67" s="6"/>
      <c r="K67" s="6"/>
      <c r="L67" s="6"/>
      <c r="M67" s="6"/>
      <c r="N67" s="6"/>
      <c r="O67" s="6"/>
    </row>
    <row r="68" spans="1:15" x14ac:dyDescent="0.55000000000000004">
      <c r="A68" s="7" t="s">
        <v>33</v>
      </c>
      <c r="B68" s="13">
        <v>45.5</v>
      </c>
      <c r="C68" s="13">
        <v>46.2</v>
      </c>
      <c r="D68" s="13">
        <v>47</v>
      </c>
      <c r="E68" s="13">
        <v>46.6</v>
      </c>
      <c r="F68" s="13" t="s">
        <v>4</v>
      </c>
      <c r="G68" s="13" t="s">
        <v>4</v>
      </c>
      <c r="H68" s="13" t="s">
        <v>4</v>
      </c>
      <c r="I68" s="6"/>
      <c r="J68" s="6"/>
      <c r="K68" s="6"/>
      <c r="L68" s="6"/>
      <c r="M68" s="6"/>
      <c r="N68" s="6"/>
      <c r="O68" s="6"/>
    </row>
    <row r="69" spans="1:15" x14ac:dyDescent="0.55000000000000004">
      <c r="A69" s="7" t="s">
        <v>20</v>
      </c>
      <c r="B69" s="13">
        <v>37</v>
      </c>
      <c r="C69" s="13">
        <v>44.3</v>
      </c>
      <c r="D69" s="13">
        <v>36.200000000000003</v>
      </c>
      <c r="E69" s="13">
        <v>27.9</v>
      </c>
      <c r="F69" s="13" t="s">
        <v>4</v>
      </c>
      <c r="G69" s="13" t="s">
        <v>4</v>
      </c>
      <c r="H69" s="13" t="s">
        <v>4</v>
      </c>
      <c r="I69" s="6"/>
      <c r="J69" s="6"/>
      <c r="K69" s="6"/>
      <c r="L69" s="6"/>
      <c r="M69" s="6"/>
      <c r="N69" s="6"/>
      <c r="O69" s="6"/>
    </row>
    <row r="70" spans="1:15" x14ac:dyDescent="0.55000000000000004">
      <c r="A70" s="7" t="s">
        <v>8</v>
      </c>
      <c r="B70" s="13">
        <v>19.7</v>
      </c>
      <c r="C70" s="13" t="s">
        <v>4</v>
      </c>
      <c r="D70" s="13">
        <v>34.1</v>
      </c>
      <c r="E70" s="13" t="s">
        <v>4</v>
      </c>
      <c r="F70" s="13">
        <v>49.6</v>
      </c>
      <c r="G70" s="13">
        <v>54.4</v>
      </c>
      <c r="H70" s="13">
        <v>59.4</v>
      </c>
      <c r="I70" s="6"/>
      <c r="J70" s="6"/>
      <c r="K70" s="6"/>
      <c r="L70" s="6"/>
      <c r="M70" s="6"/>
      <c r="N70" s="6"/>
      <c r="O70" s="6"/>
    </row>
    <row r="71" spans="1:15" x14ac:dyDescent="0.55000000000000004">
      <c r="A71" s="7" t="s">
        <v>9</v>
      </c>
      <c r="B71" s="13">
        <v>22</v>
      </c>
      <c r="C71" s="13">
        <v>29</v>
      </c>
      <c r="D71" s="13">
        <v>40.700000000000003</v>
      </c>
      <c r="E71" s="13">
        <v>52.3</v>
      </c>
      <c r="F71" s="13">
        <v>58.9</v>
      </c>
      <c r="G71" s="13">
        <v>64.599999999999994</v>
      </c>
      <c r="H71" s="13">
        <v>70.599999999999994</v>
      </c>
      <c r="I71" s="6"/>
      <c r="J71" s="6"/>
      <c r="K71" s="6"/>
      <c r="L71" s="6"/>
      <c r="M71" s="6"/>
      <c r="N71" s="6"/>
      <c r="O71" s="6"/>
    </row>
    <row r="72" spans="1:15" x14ac:dyDescent="0.55000000000000004">
      <c r="A72" s="7" t="s">
        <v>19</v>
      </c>
      <c r="B72" s="13">
        <v>38.700000000000003</v>
      </c>
      <c r="C72" s="13">
        <v>52.7</v>
      </c>
      <c r="D72" s="13">
        <v>63.3</v>
      </c>
      <c r="E72" s="13">
        <v>70.5</v>
      </c>
      <c r="F72" s="13">
        <v>71.7</v>
      </c>
      <c r="G72" s="13">
        <v>74.3</v>
      </c>
      <c r="H72" s="13">
        <v>78</v>
      </c>
      <c r="I72" s="6"/>
      <c r="J72" s="6"/>
      <c r="K72" s="6"/>
      <c r="L72" s="6"/>
      <c r="M72" s="6"/>
      <c r="N72" s="6"/>
      <c r="O72" s="6"/>
    </row>
    <row r="73" spans="1:15" x14ac:dyDescent="0.55000000000000004">
      <c r="A73" s="7" t="s">
        <v>35</v>
      </c>
      <c r="B73" s="13">
        <v>24.5</v>
      </c>
      <c r="C73" s="13" t="s">
        <v>4</v>
      </c>
      <c r="D73" s="13" t="s">
        <v>4</v>
      </c>
      <c r="E73" s="13" t="s">
        <v>4</v>
      </c>
      <c r="F73" s="13" t="s">
        <v>4</v>
      </c>
      <c r="G73" s="13" t="s">
        <v>4</v>
      </c>
      <c r="H73" s="13" t="s">
        <v>4</v>
      </c>
      <c r="I73" s="6"/>
      <c r="J73" s="6"/>
      <c r="K73" s="6"/>
      <c r="L73" s="6"/>
      <c r="M73" s="6"/>
      <c r="N73" s="6"/>
      <c r="O73" s="6"/>
    </row>
    <row r="74" spans="1:15" x14ac:dyDescent="0.55000000000000004">
      <c r="A74" s="7" t="s">
        <v>25</v>
      </c>
      <c r="B74" s="13">
        <v>5.5</v>
      </c>
      <c r="C74" s="13" t="s">
        <v>4</v>
      </c>
      <c r="D74" s="13">
        <v>13.7</v>
      </c>
      <c r="E74" s="13">
        <v>17.399999999999999</v>
      </c>
      <c r="F74" s="13" t="s">
        <v>4</v>
      </c>
      <c r="G74" s="13">
        <v>34.1</v>
      </c>
      <c r="H74" s="13" t="s">
        <v>4</v>
      </c>
      <c r="I74" s="6"/>
      <c r="J74" s="6"/>
      <c r="K74" s="6"/>
      <c r="L74" s="6"/>
      <c r="M74" s="6"/>
      <c r="N74" s="6"/>
      <c r="O74" s="6"/>
    </row>
    <row r="75" spans="1:15" x14ac:dyDescent="0.55000000000000004">
      <c r="A75" s="7" t="s">
        <v>24</v>
      </c>
      <c r="B75" s="13">
        <v>13.8</v>
      </c>
      <c r="C75" s="13">
        <v>19.3</v>
      </c>
      <c r="D75" s="13">
        <v>22.2</v>
      </c>
      <c r="E75" s="13">
        <v>22</v>
      </c>
      <c r="F75" s="13">
        <v>23.7</v>
      </c>
      <c r="G75" s="13">
        <v>30.7</v>
      </c>
      <c r="H75" s="13" t="s">
        <v>4</v>
      </c>
      <c r="I75" s="6"/>
      <c r="J75" s="6"/>
      <c r="K75" s="6"/>
      <c r="L75" s="6"/>
      <c r="M75" s="6"/>
      <c r="N75" s="6"/>
      <c r="O75" s="6"/>
    </row>
    <row r="76" spans="1:15" x14ac:dyDescent="0.55000000000000004">
      <c r="A76" s="7" t="s">
        <v>26</v>
      </c>
      <c r="B76" s="13">
        <v>6.8</v>
      </c>
      <c r="C76" s="13">
        <v>11.5</v>
      </c>
      <c r="D76" s="13">
        <v>20.5</v>
      </c>
      <c r="E76" s="13">
        <v>28</v>
      </c>
      <c r="F76" s="13" t="s">
        <v>4</v>
      </c>
      <c r="G76" s="13">
        <v>32.5</v>
      </c>
      <c r="H76" s="13">
        <v>42.4</v>
      </c>
      <c r="I76" s="6"/>
      <c r="J76" s="6"/>
      <c r="K76" s="6"/>
      <c r="L76" s="6"/>
      <c r="M76" s="6"/>
      <c r="N76" s="6"/>
      <c r="O76" s="6"/>
    </row>
    <row r="77" spans="1:15" x14ac:dyDescent="0.55000000000000004">
      <c r="A77" s="7" t="s">
        <v>34</v>
      </c>
      <c r="B77" s="13" t="s">
        <v>4</v>
      </c>
      <c r="C77" s="13">
        <v>30.3</v>
      </c>
      <c r="D77" s="13">
        <v>31.9</v>
      </c>
      <c r="E77" s="13">
        <v>33</v>
      </c>
      <c r="F77" s="13" t="s">
        <v>4</v>
      </c>
      <c r="G77" s="13" t="s">
        <v>4</v>
      </c>
      <c r="H77" s="13" t="s">
        <v>4</v>
      </c>
      <c r="I77" s="6"/>
      <c r="J77" s="6"/>
      <c r="K77" s="6"/>
      <c r="L77" s="6"/>
      <c r="M77" s="6"/>
      <c r="N77" s="6"/>
      <c r="O77" s="6"/>
    </row>
    <row r="78" spans="1:15" x14ac:dyDescent="0.55000000000000004">
      <c r="A78" s="7" t="s">
        <v>31</v>
      </c>
      <c r="B78" s="13">
        <v>11.1</v>
      </c>
      <c r="C78" s="13">
        <v>18.7</v>
      </c>
      <c r="D78" s="13">
        <v>30.5</v>
      </c>
      <c r="E78" s="13">
        <v>41.9</v>
      </c>
      <c r="F78" s="13">
        <v>45.2</v>
      </c>
      <c r="G78" s="13">
        <v>52.6</v>
      </c>
      <c r="H78" s="13">
        <v>64.2</v>
      </c>
      <c r="I78" s="6"/>
      <c r="J78" s="6"/>
      <c r="K78" s="6"/>
      <c r="L78" s="6"/>
      <c r="M78" s="6"/>
      <c r="N78" s="6"/>
      <c r="O78" s="6"/>
    </row>
    <row r="79" spans="1:15" x14ac:dyDescent="0.55000000000000004">
      <c r="A79" s="7" t="s">
        <v>11</v>
      </c>
      <c r="B79" s="13">
        <v>22.5</v>
      </c>
      <c r="C79" s="13">
        <v>37.200000000000003</v>
      </c>
      <c r="D79" s="13">
        <v>45.6</v>
      </c>
      <c r="E79" s="13">
        <v>55.1</v>
      </c>
      <c r="F79" s="13">
        <v>59.2</v>
      </c>
      <c r="G79" s="13">
        <v>65</v>
      </c>
      <c r="H79" s="13">
        <v>64.900000000000006</v>
      </c>
      <c r="I79" s="6"/>
      <c r="J79" s="6"/>
      <c r="K79" s="6"/>
      <c r="L79" s="6"/>
      <c r="M79" s="6"/>
      <c r="N79" s="6"/>
      <c r="O79" s="6"/>
    </row>
    <row r="80" spans="1:15" x14ac:dyDescent="0.55000000000000004">
      <c r="A80" s="7" t="s">
        <v>21</v>
      </c>
      <c r="B80" s="13">
        <v>18.399999999999999</v>
      </c>
      <c r="C80" s="13">
        <v>22.8</v>
      </c>
      <c r="D80" s="13">
        <v>30.8</v>
      </c>
      <c r="E80" s="13">
        <v>33.799999999999997</v>
      </c>
      <c r="F80" s="13" t="s">
        <v>4</v>
      </c>
      <c r="G80" s="13">
        <v>49.2</v>
      </c>
      <c r="H80" s="13">
        <v>58.7</v>
      </c>
      <c r="I80" s="6"/>
      <c r="J80" s="6"/>
      <c r="K80" s="6"/>
      <c r="L80" s="6"/>
      <c r="M80" s="6"/>
      <c r="N80" s="6"/>
      <c r="O80" s="6"/>
    </row>
    <row r="81" spans="1:15" x14ac:dyDescent="0.55000000000000004">
      <c r="A81" s="7" t="s">
        <v>22</v>
      </c>
      <c r="B81" s="13">
        <v>38.299999999999997</v>
      </c>
      <c r="C81" s="13" t="s">
        <v>4</v>
      </c>
      <c r="D81" s="13">
        <v>43.8</v>
      </c>
      <c r="E81" s="13">
        <v>47.9</v>
      </c>
      <c r="F81" s="13" t="s">
        <v>4</v>
      </c>
      <c r="G81" s="13">
        <v>54.5</v>
      </c>
      <c r="H81" s="13">
        <v>55.2</v>
      </c>
      <c r="I81" s="6"/>
      <c r="J81" s="6"/>
      <c r="K81" s="6"/>
      <c r="L81" s="6"/>
      <c r="M81" s="6"/>
      <c r="N81" s="6"/>
      <c r="O81" s="6"/>
    </row>
    <row r="82" spans="1:15" x14ac:dyDescent="0.55000000000000004">
      <c r="A82" s="7" t="s">
        <v>28</v>
      </c>
      <c r="B82" s="13">
        <v>29.3</v>
      </c>
      <c r="C82" s="13">
        <v>37</v>
      </c>
      <c r="D82" s="13">
        <v>45.7</v>
      </c>
      <c r="E82" s="13">
        <v>52.8</v>
      </c>
      <c r="F82" s="13">
        <v>57.1</v>
      </c>
      <c r="G82" s="13">
        <v>60.5</v>
      </c>
      <c r="H82" s="13">
        <v>70.2</v>
      </c>
      <c r="I82" s="6"/>
      <c r="J82" s="6"/>
      <c r="K82" s="6"/>
      <c r="L82" s="6"/>
      <c r="M82" s="6"/>
      <c r="N82" s="6"/>
      <c r="O82" s="6"/>
    </row>
    <row r="83" spans="1:15" x14ac:dyDescent="0.55000000000000004">
      <c r="A83" s="7" t="s">
        <v>29</v>
      </c>
      <c r="B83" s="13">
        <v>15.2</v>
      </c>
      <c r="C83" s="13">
        <v>23</v>
      </c>
      <c r="D83" s="13">
        <v>29.6</v>
      </c>
      <c r="E83" s="13" t="s">
        <v>4</v>
      </c>
      <c r="F83" s="13">
        <v>41</v>
      </c>
      <c r="G83" s="13">
        <v>41.4</v>
      </c>
      <c r="H83" s="13" t="s">
        <v>4</v>
      </c>
      <c r="I83" s="6"/>
      <c r="J83" s="6"/>
      <c r="K83" s="6"/>
      <c r="L83" s="6"/>
      <c r="M83" s="6"/>
      <c r="N83" s="6"/>
      <c r="O83" s="6"/>
    </row>
    <row r="84" spans="1:15" x14ac:dyDescent="0.55000000000000004">
      <c r="A84" s="7" t="s">
        <v>30</v>
      </c>
      <c r="B84" s="13">
        <v>28.2</v>
      </c>
      <c r="C84" s="13">
        <v>34.6</v>
      </c>
      <c r="D84" s="13">
        <v>39.1</v>
      </c>
      <c r="E84" s="13">
        <v>43.8</v>
      </c>
      <c r="F84" s="13">
        <v>47</v>
      </c>
      <c r="G84" s="13">
        <v>57.3</v>
      </c>
      <c r="H84" s="13">
        <v>60.1</v>
      </c>
      <c r="I84" s="6"/>
      <c r="J84" s="6"/>
      <c r="K84" s="6"/>
      <c r="L84" s="6"/>
      <c r="M84" s="6"/>
      <c r="N84" s="6"/>
      <c r="O84" s="6"/>
    </row>
    <row r="85" spans="1:15" x14ac:dyDescent="0.55000000000000004">
      <c r="A85" s="7" t="s">
        <v>15</v>
      </c>
      <c r="B85" s="13">
        <v>19.600000000000001</v>
      </c>
      <c r="C85" s="13">
        <v>23</v>
      </c>
      <c r="D85" s="13">
        <v>27.6</v>
      </c>
      <c r="E85" s="13">
        <v>33.1</v>
      </c>
      <c r="F85" s="13">
        <v>39</v>
      </c>
      <c r="G85" s="13">
        <v>44.8</v>
      </c>
      <c r="H85" s="13" t="s">
        <v>4</v>
      </c>
      <c r="I85" s="6"/>
      <c r="J85" s="6"/>
      <c r="K85" s="6"/>
      <c r="L85" s="6"/>
      <c r="M85" s="6"/>
      <c r="N85" s="6"/>
      <c r="O85" s="6"/>
    </row>
    <row r="86" spans="1:15" x14ac:dyDescent="0.55000000000000004">
      <c r="A86" s="7" t="s">
        <v>16</v>
      </c>
      <c r="B86" s="13">
        <v>15.9</v>
      </c>
      <c r="C86" s="13">
        <v>30.7</v>
      </c>
      <c r="D86" s="13">
        <v>43</v>
      </c>
      <c r="E86" s="13">
        <v>51.1</v>
      </c>
      <c r="F86" s="13">
        <v>56.8</v>
      </c>
      <c r="G86" s="13">
        <v>62.1</v>
      </c>
      <c r="H86" s="13">
        <v>69.3</v>
      </c>
      <c r="I86" s="6"/>
      <c r="J86" s="6"/>
      <c r="K86" s="6"/>
      <c r="L86" s="6"/>
      <c r="M86" s="6"/>
      <c r="N86" s="6"/>
      <c r="O86" s="6"/>
    </row>
    <row r="87" spans="1:15" x14ac:dyDescent="0.55000000000000004">
      <c r="A87" s="7" t="s">
        <v>23</v>
      </c>
      <c r="B87" s="13">
        <v>14.7</v>
      </c>
      <c r="C87" s="13">
        <v>19.5</v>
      </c>
      <c r="D87" s="13">
        <v>21.9</v>
      </c>
      <c r="E87" s="13" t="s">
        <v>4</v>
      </c>
      <c r="F87" s="13">
        <v>35.5</v>
      </c>
      <c r="G87" s="13">
        <v>44</v>
      </c>
      <c r="H87" s="13" t="s">
        <v>4</v>
      </c>
      <c r="I87" s="6"/>
      <c r="J87" s="6"/>
      <c r="K87" s="6"/>
      <c r="L87" s="6"/>
      <c r="M87" s="6"/>
      <c r="N87" s="6"/>
      <c r="O87" s="6"/>
    </row>
    <row r="88" spans="1:15" x14ac:dyDescent="0.55000000000000004">
      <c r="A88" s="7" t="s">
        <v>36</v>
      </c>
      <c r="B88" s="13" t="s">
        <v>4</v>
      </c>
      <c r="C88" s="13">
        <v>25.6</v>
      </c>
      <c r="D88" s="13">
        <v>27</v>
      </c>
      <c r="E88" s="13">
        <v>25.7</v>
      </c>
      <c r="F88" s="13" t="s">
        <v>4</v>
      </c>
      <c r="G88" s="13" t="s">
        <v>4</v>
      </c>
      <c r="H88" s="13" t="s">
        <v>4</v>
      </c>
      <c r="I88" s="6"/>
      <c r="J88" s="6"/>
      <c r="K88" s="6"/>
      <c r="L88" s="6"/>
      <c r="M88" s="6"/>
      <c r="N88" s="6"/>
      <c r="O88" s="6"/>
    </row>
    <row r="89" spans="1:15" x14ac:dyDescent="0.55000000000000004">
      <c r="A89" s="7" t="s">
        <v>37</v>
      </c>
      <c r="B89" s="13">
        <v>32</v>
      </c>
      <c r="C89" s="13">
        <v>37.6</v>
      </c>
      <c r="D89" s="13">
        <v>40.5</v>
      </c>
      <c r="E89" s="13">
        <v>37.9</v>
      </c>
      <c r="F89" s="13" t="s">
        <v>4</v>
      </c>
      <c r="G89" s="13" t="s">
        <v>4</v>
      </c>
      <c r="H89" s="13" t="s">
        <v>4</v>
      </c>
      <c r="I89" s="6"/>
      <c r="J89" s="6"/>
      <c r="K89" s="6"/>
      <c r="L89" s="6"/>
      <c r="M89" s="6"/>
      <c r="N89" s="6"/>
      <c r="O89" s="6"/>
    </row>
    <row r="90" spans="1:15" x14ac:dyDescent="0.55000000000000004">
      <c r="A90" s="7" t="s">
        <v>38</v>
      </c>
      <c r="B90" s="13">
        <v>22.1</v>
      </c>
      <c r="C90" s="13">
        <v>36.799999999999997</v>
      </c>
      <c r="D90" s="13">
        <v>37.4</v>
      </c>
      <c r="E90" s="13">
        <v>40.799999999999997</v>
      </c>
      <c r="F90" s="13" t="s">
        <v>4</v>
      </c>
      <c r="G90" s="13" t="s">
        <v>4</v>
      </c>
      <c r="H90" s="13" t="s">
        <v>4</v>
      </c>
      <c r="I90" s="6"/>
      <c r="J90" s="6"/>
      <c r="K90" s="6"/>
      <c r="L90" s="6"/>
      <c r="M90" s="6"/>
      <c r="N90" s="6"/>
      <c r="O90" s="6"/>
    </row>
    <row r="91" spans="1:15" x14ac:dyDescent="0.55000000000000004">
      <c r="A91" s="7" t="s">
        <v>18</v>
      </c>
      <c r="B91" s="13" t="s">
        <v>4</v>
      </c>
      <c r="C91" s="13">
        <v>66.900000000000006</v>
      </c>
      <c r="D91" s="13">
        <v>69.900000000000006</v>
      </c>
      <c r="E91" s="13">
        <v>71.8</v>
      </c>
      <c r="F91" s="13">
        <v>74.3</v>
      </c>
      <c r="G91" s="13">
        <v>72</v>
      </c>
      <c r="H91" s="13">
        <v>77.8</v>
      </c>
    </row>
    <row r="92" spans="1:15" x14ac:dyDescent="0.55000000000000004">
      <c r="A92" s="7" t="s">
        <v>10</v>
      </c>
      <c r="B92" s="13">
        <v>47.1</v>
      </c>
      <c r="C92" s="13">
        <v>55.1</v>
      </c>
      <c r="D92" s="13">
        <v>62</v>
      </c>
      <c r="E92" s="13">
        <v>68.599999999999994</v>
      </c>
      <c r="F92" s="13">
        <v>72.5</v>
      </c>
      <c r="G92" s="13">
        <v>76.900000000000006</v>
      </c>
      <c r="H92" s="13">
        <v>80.3</v>
      </c>
    </row>
    <row r="93" spans="1:15" x14ac:dyDescent="0.55000000000000004">
      <c r="A93" s="7" t="s">
        <v>12</v>
      </c>
      <c r="B93" s="13">
        <v>18</v>
      </c>
      <c r="C93" s="13">
        <v>27.7</v>
      </c>
      <c r="D93" s="13">
        <v>35.299999999999997</v>
      </c>
      <c r="E93" s="13">
        <v>42.5</v>
      </c>
      <c r="F93" s="13">
        <v>48</v>
      </c>
      <c r="G93" s="13">
        <v>54.3</v>
      </c>
      <c r="H93" s="13">
        <v>64.400000000000006</v>
      </c>
    </row>
    <row r="94" spans="1:15" x14ac:dyDescent="0.55000000000000004">
      <c r="A94" s="7" t="s">
        <v>27</v>
      </c>
      <c r="B94" s="13">
        <v>16.399999999999999</v>
      </c>
      <c r="C94" s="13">
        <v>24.9</v>
      </c>
      <c r="D94" s="13">
        <v>32.1</v>
      </c>
      <c r="E94" s="13">
        <v>38</v>
      </c>
      <c r="F94" s="13" t="s">
        <v>4</v>
      </c>
      <c r="G94" s="13" t="s">
        <v>4</v>
      </c>
      <c r="H94" s="13" t="s">
        <v>4</v>
      </c>
    </row>
    <row r="96" spans="1:15" s="5" customFormat="1" x14ac:dyDescent="0.55000000000000004">
      <c r="A96" s="2" t="s">
        <v>43</v>
      </c>
    </row>
    <row r="97" spans="1:8" x14ac:dyDescent="0.55000000000000004">
      <c r="A97" s="5" t="s">
        <v>6</v>
      </c>
    </row>
    <row r="98" spans="1:8" s="5" customFormat="1" x14ac:dyDescent="0.55000000000000004"/>
    <row r="99" spans="1:8" s="5" customFormat="1" x14ac:dyDescent="0.55000000000000004">
      <c r="A99" s="2" t="s">
        <v>39</v>
      </c>
      <c r="B99" s="8">
        <v>1950</v>
      </c>
      <c r="C99" s="8">
        <v>1960</v>
      </c>
      <c r="D99" s="8">
        <v>1970</v>
      </c>
      <c r="E99" s="8">
        <v>1980</v>
      </c>
      <c r="F99" s="8">
        <v>1990</v>
      </c>
      <c r="G99" s="8">
        <v>2000</v>
      </c>
      <c r="H99" s="8">
        <v>2010</v>
      </c>
    </row>
    <row r="100" spans="1:8" x14ac:dyDescent="0.55000000000000004">
      <c r="A100" s="7" t="s">
        <v>7</v>
      </c>
      <c r="B100" s="13">
        <v>43.2</v>
      </c>
      <c r="C100" s="13">
        <v>51.6</v>
      </c>
      <c r="D100" s="13">
        <v>56.2</v>
      </c>
      <c r="E100" s="13">
        <v>58.8</v>
      </c>
      <c r="F100" s="13">
        <v>61.8</v>
      </c>
      <c r="G100" s="13">
        <v>62.3</v>
      </c>
      <c r="H100" s="13">
        <v>64.7</v>
      </c>
    </row>
    <row r="101" spans="1:8" x14ac:dyDescent="0.55000000000000004">
      <c r="A101" s="7" t="s">
        <v>8</v>
      </c>
      <c r="B101" s="13">
        <v>10.6</v>
      </c>
      <c r="C101" s="13" t="s">
        <v>4</v>
      </c>
      <c r="D101" s="13">
        <v>28.5</v>
      </c>
      <c r="E101" s="13" t="s">
        <v>4</v>
      </c>
      <c r="F101" s="13">
        <v>41.3</v>
      </c>
      <c r="G101" s="13">
        <v>44.9</v>
      </c>
      <c r="H101" s="13">
        <v>52.2</v>
      </c>
    </row>
    <row r="102" spans="1:8" x14ac:dyDescent="0.55000000000000004">
      <c r="A102" s="7" t="s">
        <v>9</v>
      </c>
      <c r="B102" s="13">
        <v>16.600000000000001</v>
      </c>
      <c r="C102" s="13">
        <v>22</v>
      </c>
      <c r="D102" s="13">
        <v>32.200000000000003</v>
      </c>
      <c r="E102" s="13">
        <v>42.1</v>
      </c>
      <c r="F102" s="13">
        <v>45.6</v>
      </c>
      <c r="G102" s="13">
        <v>49.6</v>
      </c>
      <c r="H102" s="13">
        <v>56.6</v>
      </c>
    </row>
    <row r="103" spans="1:8" x14ac:dyDescent="0.55000000000000004">
      <c r="A103" s="7" t="s">
        <v>19</v>
      </c>
      <c r="B103" s="13">
        <v>24.9</v>
      </c>
      <c r="C103" s="13">
        <v>39.1</v>
      </c>
      <c r="D103" s="13">
        <v>49.7</v>
      </c>
      <c r="E103" s="13">
        <v>59.7</v>
      </c>
      <c r="F103" s="13">
        <v>59.5</v>
      </c>
      <c r="G103" s="13">
        <v>61.6</v>
      </c>
      <c r="H103" s="13">
        <v>63.5</v>
      </c>
    </row>
    <row r="104" spans="1:8" x14ac:dyDescent="0.55000000000000004">
      <c r="A104" s="7" t="s">
        <v>35</v>
      </c>
      <c r="B104" s="13" t="s">
        <v>4</v>
      </c>
      <c r="C104" s="13">
        <v>26.5</v>
      </c>
      <c r="D104" s="13">
        <v>23.4</v>
      </c>
      <c r="E104" s="13">
        <v>22.1</v>
      </c>
      <c r="F104" s="13" t="s">
        <v>4</v>
      </c>
      <c r="G104" s="13" t="s">
        <v>4</v>
      </c>
      <c r="H104" s="13" t="s">
        <v>4</v>
      </c>
    </row>
    <row r="105" spans="1:8" x14ac:dyDescent="0.55000000000000004">
      <c r="A105" s="7" t="s">
        <v>25</v>
      </c>
      <c r="B105" s="13">
        <v>4.7</v>
      </c>
      <c r="C105" s="13" t="s">
        <v>4</v>
      </c>
      <c r="D105" s="13">
        <v>11.5</v>
      </c>
      <c r="E105" s="13">
        <v>14.3</v>
      </c>
      <c r="F105" s="13" t="s">
        <v>4</v>
      </c>
      <c r="G105" s="13">
        <v>27.2</v>
      </c>
      <c r="H105" s="13" t="s">
        <v>4</v>
      </c>
    </row>
    <row r="106" spans="1:8" x14ac:dyDescent="0.55000000000000004">
      <c r="A106" s="7" t="s">
        <v>24</v>
      </c>
      <c r="B106" s="13">
        <v>12.8</v>
      </c>
      <c r="C106" s="13">
        <v>17.2</v>
      </c>
      <c r="D106" s="13">
        <v>19.600000000000001</v>
      </c>
      <c r="E106" s="13">
        <v>19.3</v>
      </c>
      <c r="F106" s="13">
        <v>19</v>
      </c>
      <c r="G106" s="13">
        <v>20.2</v>
      </c>
      <c r="H106" s="13" t="s">
        <v>4</v>
      </c>
    </row>
    <row r="107" spans="1:8" x14ac:dyDescent="0.55000000000000004">
      <c r="A107" s="7" t="s">
        <v>26</v>
      </c>
      <c r="B107" s="13">
        <v>0</v>
      </c>
      <c r="C107" s="13">
        <v>7.1</v>
      </c>
      <c r="D107" s="13">
        <v>16</v>
      </c>
      <c r="E107" s="13">
        <v>19.100000000000001</v>
      </c>
      <c r="F107" s="13" t="s">
        <v>4</v>
      </c>
      <c r="G107" s="13">
        <v>24.3</v>
      </c>
      <c r="H107" s="13">
        <v>29.3</v>
      </c>
    </row>
    <row r="108" spans="1:8" x14ac:dyDescent="0.55000000000000004">
      <c r="A108" s="7" t="s">
        <v>31</v>
      </c>
      <c r="B108" s="13">
        <v>8.5</v>
      </c>
      <c r="C108" s="13">
        <v>12.1</v>
      </c>
      <c r="D108" s="13">
        <v>20.5</v>
      </c>
      <c r="E108" s="13">
        <v>28</v>
      </c>
      <c r="F108" s="13">
        <v>32.200000000000003</v>
      </c>
      <c r="G108" s="13">
        <v>41.4</v>
      </c>
      <c r="H108" s="13">
        <v>52.9</v>
      </c>
    </row>
    <row r="109" spans="1:8" x14ac:dyDescent="0.55000000000000004">
      <c r="A109" s="7" t="s">
        <v>11</v>
      </c>
      <c r="B109" s="13">
        <v>15.5</v>
      </c>
      <c r="C109" s="13">
        <v>29.3</v>
      </c>
      <c r="D109" s="13">
        <v>37.5</v>
      </c>
      <c r="E109" s="13">
        <v>46.2</v>
      </c>
      <c r="F109" s="13">
        <v>49.3</v>
      </c>
      <c r="G109" s="13">
        <v>53.9</v>
      </c>
      <c r="H109" s="13">
        <v>53.9</v>
      </c>
    </row>
    <row r="110" spans="1:8" x14ac:dyDescent="0.55000000000000004">
      <c r="A110" s="7" t="s">
        <v>21</v>
      </c>
      <c r="B110" s="13">
        <v>18.399999999999999</v>
      </c>
      <c r="C110" s="13">
        <v>19.399999999999999</v>
      </c>
      <c r="D110" s="13">
        <v>21.8</v>
      </c>
      <c r="E110" s="13">
        <v>25.1</v>
      </c>
      <c r="F110" s="13" t="s">
        <v>4</v>
      </c>
      <c r="G110" s="13">
        <v>33.9</v>
      </c>
      <c r="H110" s="13">
        <v>46.4</v>
      </c>
    </row>
    <row r="111" spans="1:8" x14ac:dyDescent="0.55000000000000004">
      <c r="A111" s="7" t="s">
        <v>22</v>
      </c>
      <c r="B111" s="13">
        <v>25.7</v>
      </c>
      <c r="C111" s="13" t="s">
        <v>4</v>
      </c>
      <c r="D111" s="13">
        <v>31</v>
      </c>
      <c r="E111" s="13">
        <v>32.4</v>
      </c>
      <c r="F111" s="13" t="s">
        <v>4</v>
      </c>
      <c r="G111" s="13">
        <v>39.5</v>
      </c>
      <c r="H111" s="13">
        <v>40.4</v>
      </c>
    </row>
    <row r="112" spans="1:8" x14ac:dyDescent="0.55000000000000004">
      <c r="A112" s="7" t="s">
        <v>28</v>
      </c>
      <c r="B112" s="13">
        <v>21.4</v>
      </c>
      <c r="C112" s="13">
        <v>28</v>
      </c>
      <c r="D112" s="13">
        <v>37.700000000000003</v>
      </c>
      <c r="E112" s="13">
        <v>45.3</v>
      </c>
      <c r="F112" s="13">
        <v>47.5</v>
      </c>
      <c r="G112" s="13">
        <v>50.2</v>
      </c>
      <c r="H112" s="13">
        <v>60.7</v>
      </c>
    </row>
    <row r="113" spans="1:8" x14ac:dyDescent="0.55000000000000004">
      <c r="A113" s="7" t="s">
        <v>29</v>
      </c>
      <c r="B113" s="13">
        <v>10.3</v>
      </c>
      <c r="C113" s="13">
        <v>15.3</v>
      </c>
      <c r="D113" s="13">
        <v>20.5</v>
      </c>
      <c r="E113" s="13" t="s">
        <v>4</v>
      </c>
      <c r="F113" s="13">
        <v>22.7</v>
      </c>
      <c r="G113" s="13">
        <v>21.9</v>
      </c>
      <c r="H113" s="13" t="s">
        <v>4</v>
      </c>
    </row>
    <row r="114" spans="1:8" x14ac:dyDescent="0.55000000000000004">
      <c r="A114" s="7" t="s">
        <v>30</v>
      </c>
      <c r="B114" s="13">
        <v>21.7</v>
      </c>
      <c r="C114" s="13">
        <v>26.9</v>
      </c>
      <c r="D114" s="13">
        <v>31.7</v>
      </c>
      <c r="E114" s="13">
        <v>33.799999999999997</v>
      </c>
      <c r="F114" s="13">
        <v>36.299999999999997</v>
      </c>
      <c r="G114" s="13">
        <v>51.2</v>
      </c>
      <c r="H114" s="13">
        <v>52.6</v>
      </c>
    </row>
    <row r="115" spans="1:8" x14ac:dyDescent="0.55000000000000004">
      <c r="A115" s="7" t="s">
        <v>15</v>
      </c>
      <c r="B115" s="13">
        <v>19.600000000000001</v>
      </c>
      <c r="C115" s="13">
        <v>23</v>
      </c>
      <c r="D115" s="13">
        <v>24.9</v>
      </c>
      <c r="E115" s="13">
        <v>27.1</v>
      </c>
      <c r="F115" s="13">
        <v>31.6</v>
      </c>
      <c r="G115" s="13">
        <v>35.299999999999997</v>
      </c>
      <c r="H115" s="13" t="s">
        <v>4</v>
      </c>
    </row>
    <row r="116" spans="1:8" x14ac:dyDescent="0.55000000000000004">
      <c r="A116" s="7" t="s">
        <v>16</v>
      </c>
      <c r="B116" s="13">
        <v>10.4</v>
      </c>
      <c r="C116" s="13">
        <v>22.4</v>
      </c>
      <c r="D116" s="13">
        <v>34.9</v>
      </c>
      <c r="E116" s="13">
        <v>40.9</v>
      </c>
      <c r="F116" s="13">
        <v>48</v>
      </c>
      <c r="G116" s="13">
        <v>53.5</v>
      </c>
      <c r="H116" s="13">
        <v>59</v>
      </c>
    </row>
    <row r="117" spans="1:8" x14ac:dyDescent="0.55000000000000004">
      <c r="A117" s="7" t="s">
        <v>23</v>
      </c>
      <c r="B117" s="13">
        <v>10.4</v>
      </c>
      <c r="C117" s="13">
        <v>12.9</v>
      </c>
      <c r="D117" s="13" t="s">
        <v>4</v>
      </c>
      <c r="E117" s="13">
        <v>14.7</v>
      </c>
      <c r="F117" s="13">
        <v>28</v>
      </c>
      <c r="G117" s="13">
        <v>29.9</v>
      </c>
      <c r="H117" s="13" t="s">
        <v>4</v>
      </c>
    </row>
    <row r="118" spans="1:8" x14ac:dyDescent="0.55000000000000004">
      <c r="A118" s="7" t="s">
        <v>38</v>
      </c>
      <c r="B118" s="13" t="s">
        <v>4</v>
      </c>
      <c r="C118" s="13">
        <v>30.2</v>
      </c>
      <c r="D118" s="13">
        <v>30.4</v>
      </c>
      <c r="E118" s="13">
        <v>32.200000000000003</v>
      </c>
      <c r="F118" s="13" t="s">
        <v>4</v>
      </c>
      <c r="G118" s="13" t="s">
        <v>4</v>
      </c>
      <c r="H118" s="13" t="s">
        <v>4</v>
      </c>
    </row>
    <row r="119" spans="1:8" x14ac:dyDescent="0.55000000000000004">
      <c r="A119" s="7" t="s">
        <v>18</v>
      </c>
      <c r="B119" s="13" t="s">
        <v>4</v>
      </c>
      <c r="C119" s="13">
        <v>50.5</v>
      </c>
      <c r="D119" s="13">
        <v>50.3</v>
      </c>
      <c r="E119" s="13">
        <v>51.1</v>
      </c>
      <c r="F119" s="13">
        <v>50.3</v>
      </c>
      <c r="G119" s="13">
        <v>47.4</v>
      </c>
      <c r="H119" s="13">
        <v>54</v>
      </c>
    </row>
    <row r="120" spans="1:8" x14ac:dyDescent="0.55000000000000004">
      <c r="A120" s="7" t="s">
        <v>10</v>
      </c>
      <c r="B120" s="13">
        <v>32.799999999999997</v>
      </c>
      <c r="C120" s="13">
        <v>36.799999999999997</v>
      </c>
      <c r="D120" s="13">
        <v>43.3</v>
      </c>
      <c r="E120" s="13">
        <v>55.8</v>
      </c>
      <c r="F120" s="13">
        <v>60.8</v>
      </c>
      <c r="G120" s="13">
        <v>63.6</v>
      </c>
      <c r="H120" s="13">
        <v>72.5</v>
      </c>
    </row>
    <row r="121" spans="1:8" x14ac:dyDescent="0.55000000000000004">
      <c r="A121" s="7" t="s">
        <v>12</v>
      </c>
      <c r="B121" s="13">
        <v>14.8</v>
      </c>
      <c r="C121" s="13">
        <v>19.2</v>
      </c>
      <c r="D121" s="13">
        <v>23.8</v>
      </c>
      <c r="E121" s="13">
        <v>32.9</v>
      </c>
      <c r="F121" s="13">
        <v>36.4</v>
      </c>
      <c r="G121" s="13">
        <v>44.2</v>
      </c>
      <c r="H121" s="13">
        <v>52</v>
      </c>
    </row>
    <row r="122" spans="1:8" x14ac:dyDescent="0.55000000000000004">
      <c r="A122" s="7" t="s">
        <v>27</v>
      </c>
      <c r="B122" s="13">
        <v>16.399999999999999</v>
      </c>
      <c r="C122" s="13">
        <v>23.4</v>
      </c>
      <c r="D122" s="13">
        <v>26.1</v>
      </c>
      <c r="E122" s="13">
        <v>24</v>
      </c>
      <c r="F122" s="13" t="s">
        <v>4</v>
      </c>
      <c r="G122" s="13" t="s">
        <v>4</v>
      </c>
      <c r="H122" s="13" t="s">
        <v>4</v>
      </c>
    </row>
    <row r="124" spans="1:8" x14ac:dyDescent="0.55000000000000004">
      <c r="A124" s="7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>
      <selection activeCell="D16" sqref="D16"/>
    </sheetView>
  </sheetViews>
  <sheetFormatPr defaultRowHeight="14.4" x14ac:dyDescent="0.55000000000000004"/>
  <cols>
    <col min="1" max="1" width="24.9453125" bestFit="1" customWidth="1"/>
    <col min="2" max="2" width="4.68359375" bestFit="1" customWidth="1"/>
    <col min="3" max="3" width="13.47265625" bestFit="1" customWidth="1"/>
    <col min="4" max="4" width="9.41796875" bestFit="1" customWidth="1"/>
    <col min="5" max="6" width="7.20703125" bestFit="1" customWidth="1"/>
    <col min="7" max="7" width="8.734375" bestFit="1" customWidth="1"/>
    <col min="8" max="8" width="8.26171875" bestFit="1" customWidth="1"/>
    <col min="9" max="9" width="11.26171875" bestFit="1" customWidth="1"/>
    <col min="10" max="10" width="10.3125" bestFit="1" customWidth="1"/>
    <col min="12" max="12" width="8.9453125" bestFit="1" customWidth="1"/>
    <col min="13" max="13" width="9.578125" bestFit="1" customWidth="1"/>
  </cols>
  <sheetData>
    <row r="1" spans="1:13" s="5" customFormat="1" x14ac:dyDescent="0.55000000000000004">
      <c r="A1" s="2" t="s">
        <v>60</v>
      </c>
    </row>
    <row r="2" spans="1:13" s="5" customFormat="1" x14ac:dyDescent="0.55000000000000004">
      <c r="A2" s="5" t="s">
        <v>59</v>
      </c>
    </row>
    <row r="3" spans="1:13" s="5" customFormat="1" x14ac:dyDescent="0.55000000000000004"/>
    <row r="4" spans="1:13" x14ac:dyDescent="0.55000000000000004">
      <c r="D4" s="10" t="s">
        <v>57</v>
      </c>
      <c r="E4" s="10"/>
      <c r="F4" s="10"/>
      <c r="G4" s="10"/>
      <c r="H4" s="10"/>
      <c r="I4" s="10"/>
      <c r="J4" s="10"/>
      <c r="L4" s="10" t="s">
        <v>58</v>
      </c>
      <c r="M4" s="10"/>
    </row>
    <row r="5" spans="1:13" x14ac:dyDescent="0.55000000000000004">
      <c r="A5" s="2" t="s">
        <v>39</v>
      </c>
      <c r="B5" s="2" t="s">
        <v>44</v>
      </c>
      <c r="C5" s="2" t="s">
        <v>54</v>
      </c>
      <c r="D5" s="12" t="s">
        <v>48</v>
      </c>
      <c r="E5" s="12" t="s">
        <v>45</v>
      </c>
      <c r="F5" s="12" t="s">
        <v>50</v>
      </c>
      <c r="G5" s="12" t="s">
        <v>46</v>
      </c>
      <c r="H5" s="12" t="s">
        <v>47</v>
      </c>
      <c r="I5" s="12" t="s">
        <v>51</v>
      </c>
      <c r="J5" s="12" t="s">
        <v>49</v>
      </c>
      <c r="L5" s="11" t="s">
        <v>55</v>
      </c>
      <c r="M5" s="11" t="s">
        <v>56</v>
      </c>
    </row>
    <row r="6" spans="1:13" x14ac:dyDescent="0.55000000000000004">
      <c r="A6" s="5" t="s">
        <v>7</v>
      </c>
      <c r="B6">
        <v>1947</v>
      </c>
      <c r="C6" s="9">
        <v>15893827</v>
      </c>
      <c r="D6" s="9">
        <v>7798839</v>
      </c>
      <c r="E6" s="9">
        <v>834198</v>
      </c>
      <c r="F6" s="9">
        <v>607123</v>
      </c>
      <c r="G6" s="9">
        <v>1635137</v>
      </c>
      <c r="H6" s="9"/>
      <c r="I6" s="9">
        <v>4722381</v>
      </c>
      <c r="J6" s="9">
        <f>SUM(G6:I6)</f>
        <v>6357518</v>
      </c>
      <c r="L6" s="1">
        <f>100*D6/C6</f>
        <v>49.068352134448176</v>
      </c>
      <c r="M6" s="1">
        <f>100*J6/C6</f>
        <v>39.999919465588746</v>
      </c>
    </row>
    <row r="7" spans="1:13" x14ac:dyDescent="0.55000000000000004">
      <c r="A7" s="5" t="s">
        <v>7</v>
      </c>
      <c r="B7">
        <v>1914</v>
      </c>
      <c r="C7" s="9">
        <v>7885237</v>
      </c>
      <c r="D7" s="9">
        <v>3017299</v>
      </c>
      <c r="E7" s="9">
        <v>322081</v>
      </c>
      <c r="F7" s="9">
        <v>212132</v>
      </c>
      <c r="G7" s="9">
        <v>449955</v>
      </c>
      <c r="H7" s="9"/>
      <c r="I7" s="9">
        <v>2034031</v>
      </c>
      <c r="J7" s="9">
        <f>SUM(G7:I7)</f>
        <v>2483986</v>
      </c>
      <c r="L7" s="1">
        <f>100*D7/C7</f>
        <v>38.26516565069636</v>
      </c>
      <c r="M7" s="1">
        <f>100*J7/C7</f>
        <v>31.501729117336613</v>
      </c>
    </row>
    <row r="8" spans="1:13" x14ac:dyDescent="0.55000000000000004">
      <c r="A8" t="s">
        <v>53</v>
      </c>
      <c r="B8">
        <v>1940</v>
      </c>
      <c r="C8" s="9">
        <v>41236215</v>
      </c>
      <c r="D8" s="9">
        <v>6177033</v>
      </c>
      <c r="E8" s="9">
        <v>960963</v>
      </c>
      <c r="F8" s="9">
        <v>802733</v>
      </c>
      <c r="G8" s="9">
        <v>1635845</v>
      </c>
      <c r="H8" s="9"/>
      <c r="I8" s="9">
        <v>2777492</v>
      </c>
      <c r="J8" s="9">
        <f>SUM(G8:I8)</f>
        <v>4413337</v>
      </c>
      <c r="L8" s="1">
        <f>100*D8/C8</f>
        <v>14.979631374994044</v>
      </c>
      <c r="M8" s="1">
        <f>100*J8/C8</f>
        <v>10.702575393983178</v>
      </c>
    </row>
    <row r="9" spans="1:13" x14ac:dyDescent="0.55000000000000004">
      <c r="A9" t="s">
        <v>19</v>
      </c>
      <c r="B9">
        <v>1941</v>
      </c>
      <c r="C9" s="9">
        <v>3850711</v>
      </c>
      <c r="D9" s="9">
        <v>718956</v>
      </c>
      <c r="E9" s="9">
        <v>134245</v>
      </c>
      <c r="F9" s="9">
        <v>108972</v>
      </c>
      <c r="G9" s="9">
        <v>475739</v>
      </c>
      <c r="H9" s="9"/>
      <c r="I9" s="9"/>
      <c r="J9" s="9">
        <f>SUM(G9:I9)</f>
        <v>475739</v>
      </c>
      <c r="L9" s="1">
        <f>100*D9/C9</f>
        <v>18.670733794356419</v>
      </c>
      <c r="M9" s="1">
        <f>100*J9/C9</f>
        <v>12.354575557604816</v>
      </c>
    </row>
    <row r="10" spans="1:13" x14ac:dyDescent="0.55000000000000004">
      <c r="A10" t="s">
        <v>19</v>
      </c>
      <c r="B10">
        <v>1936</v>
      </c>
      <c r="C10" s="9">
        <v>3364347</v>
      </c>
      <c r="D10" s="9">
        <v>569029</v>
      </c>
      <c r="E10" s="9">
        <v>200301</v>
      </c>
      <c r="F10" s="9"/>
      <c r="G10" s="9">
        <v>368728</v>
      </c>
      <c r="H10" s="9"/>
      <c r="I10" s="9"/>
      <c r="J10" s="9">
        <f>SUM(G10:I10)</f>
        <v>368728</v>
      </c>
      <c r="L10" s="1">
        <f>100*D10/C10</f>
        <v>16.913505057593643</v>
      </c>
      <c r="M10" s="1">
        <f>100*J10/C10</f>
        <v>10.959868289448146</v>
      </c>
    </row>
    <row r="11" spans="1:13" x14ac:dyDescent="0.55000000000000004">
      <c r="A11" s="5" t="s">
        <v>24</v>
      </c>
      <c r="B11">
        <v>1940</v>
      </c>
      <c r="C11" s="9">
        <v>3283209</v>
      </c>
      <c r="D11" s="9">
        <v>189896</v>
      </c>
      <c r="E11" s="9"/>
      <c r="F11" s="9"/>
      <c r="G11" s="9">
        <v>185896</v>
      </c>
      <c r="H11" s="9"/>
      <c r="I11" s="9"/>
      <c r="J11" s="9">
        <f>SUM(G11:I11)</f>
        <v>185896</v>
      </c>
      <c r="L11" s="1">
        <f>100*D11/C11</f>
        <v>5.7838535408498206</v>
      </c>
      <c r="M11" s="1">
        <f>100*J11/C11</f>
        <v>5.6620215161447227</v>
      </c>
    </row>
    <row r="12" spans="1:13" x14ac:dyDescent="0.55000000000000004">
      <c r="A12" s="5" t="s">
        <v>52</v>
      </c>
      <c r="B12">
        <v>1935</v>
      </c>
      <c r="C12" s="9">
        <v>1479417</v>
      </c>
      <c r="D12" s="9">
        <v>105266</v>
      </c>
      <c r="E12" s="9">
        <v>34175</v>
      </c>
      <c r="F12" s="9">
        <v>71091</v>
      </c>
      <c r="G12" s="9"/>
      <c r="H12" s="9"/>
      <c r="I12" s="9"/>
      <c r="J12" s="9">
        <f>SUM(G12:I12)</f>
        <v>0</v>
      </c>
      <c r="L12" s="1">
        <f>100*D12/C12</f>
        <v>7.1153704466016006</v>
      </c>
      <c r="M12" s="1">
        <f>100*J12/C12</f>
        <v>0</v>
      </c>
    </row>
    <row r="13" spans="1:13" x14ac:dyDescent="0.55000000000000004">
      <c r="A13" t="s">
        <v>11</v>
      </c>
      <c r="B13">
        <v>1938</v>
      </c>
      <c r="C13" s="9">
        <v>8701816</v>
      </c>
      <c r="D13" s="9">
        <v>1148602</v>
      </c>
      <c r="E13" s="9">
        <v>286172</v>
      </c>
      <c r="F13" s="9">
        <v>212581</v>
      </c>
      <c r="G13" s="9">
        <v>649849</v>
      </c>
      <c r="H13" s="9"/>
      <c r="I13" s="9"/>
      <c r="J13" s="9">
        <f>SUM(G13:I13)</f>
        <v>649849</v>
      </c>
      <c r="L13" s="1">
        <f>100*D13/C13</f>
        <v>13.199566619197649</v>
      </c>
      <c r="M13" s="1">
        <f>100*J13/C13</f>
        <v>7.4679699042130974</v>
      </c>
    </row>
    <row r="14" spans="1:13" x14ac:dyDescent="0.55000000000000004">
      <c r="A14" t="s">
        <v>21</v>
      </c>
      <c r="B14">
        <v>1927</v>
      </c>
      <c r="C14" s="9">
        <v>471524</v>
      </c>
      <c r="D14" s="9">
        <v>89006</v>
      </c>
      <c r="E14" s="9"/>
      <c r="F14" s="9">
        <v>89006</v>
      </c>
      <c r="G14" s="9"/>
      <c r="H14" s="9"/>
      <c r="I14" s="9"/>
      <c r="J14" s="9">
        <f>SUM(G14:I14)</f>
        <v>0</v>
      </c>
      <c r="L14" s="1">
        <f>100*D14/C14</f>
        <v>18.87623959756025</v>
      </c>
      <c r="M14" s="1">
        <f>100*J14/C14</f>
        <v>0</v>
      </c>
    </row>
    <row r="15" spans="1:13" x14ac:dyDescent="0.55000000000000004">
      <c r="A15" s="5" t="s">
        <v>22</v>
      </c>
      <c r="B15">
        <v>1943</v>
      </c>
      <c r="C15" s="9">
        <v>4778582</v>
      </c>
      <c r="D15" s="9">
        <v>1594222</v>
      </c>
      <c r="E15" s="9">
        <v>298042</v>
      </c>
      <c r="F15" s="9">
        <v>242244</v>
      </c>
      <c r="G15" s="9">
        <v>118266</v>
      </c>
      <c r="H15" s="9">
        <v>935670</v>
      </c>
      <c r="I15" s="9"/>
      <c r="J15" s="9">
        <f>SUM(G15:I15)</f>
        <v>1053936</v>
      </c>
      <c r="L15" s="1">
        <f>100*D15/C15</f>
        <v>33.361821561291613</v>
      </c>
      <c r="M15" s="1">
        <f>100*J15/C15</f>
        <v>22.055413091163864</v>
      </c>
    </row>
    <row r="16" spans="1:13" x14ac:dyDescent="0.55000000000000004">
      <c r="A16" t="s">
        <v>22</v>
      </c>
      <c r="B16">
        <v>1931</v>
      </c>
      <c r="C16" s="9">
        <v>3962344</v>
      </c>
      <c r="D16" s="9">
        <v>1183330</v>
      </c>
      <c r="E16" s="9">
        <v>248752</v>
      </c>
      <c r="F16" s="9">
        <v>112331</v>
      </c>
      <c r="G16" s="9">
        <v>101508</v>
      </c>
      <c r="H16" s="9">
        <v>720739</v>
      </c>
      <c r="I16" s="9"/>
      <c r="J16" s="9">
        <f>SUM(G16:I16)</f>
        <v>822247</v>
      </c>
      <c r="L16" s="1">
        <f>100*D16/C16</f>
        <v>29.864393399462539</v>
      </c>
      <c r="M16" s="1">
        <f>100*J16/C16</f>
        <v>20.751529902502156</v>
      </c>
    </row>
    <row r="17" spans="1:13" x14ac:dyDescent="0.55000000000000004">
      <c r="A17" t="s">
        <v>22</v>
      </c>
      <c r="B17">
        <v>1919</v>
      </c>
      <c r="C17" s="9">
        <v>2889004</v>
      </c>
      <c r="D17" s="9">
        <v>744069</v>
      </c>
      <c r="E17" s="9">
        <v>215798</v>
      </c>
      <c r="F17" s="9">
        <v>62083</v>
      </c>
      <c r="G17" s="9">
        <v>466188</v>
      </c>
      <c r="H17" s="9"/>
      <c r="I17" s="9"/>
      <c r="J17" s="9">
        <f>SUM(G17:I17)</f>
        <v>466188</v>
      </c>
      <c r="L17" s="1">
        <f>100*D17/C17</f>
        <v>25.755208369389589</v>
      </c>
      <c r="M17" s="1">
        <f>100*J17/C17</f>
        <v>16.136633940278379</v>
      </c>
    </row>
    <row r="18" spans="1:13" x14ac:dyDescent="0.55000000000000004">
      <c r="A18" t="s">
        <v>29</v>
      </c>
      <c r="B18">
        <v>1940</v>
      </c>
      <c r="C18" s="9">
        <v>829831</v>
      </c>
      <c r="D18" s="9">
        <v>62516</v>
      </c>
      <c r="E18" s="9"/>
      <c r="F18" s="9">
        <v>62516</v>
      </c>
      <c r="G18" s="9"/>
      <c r="H18" s="9"/>
      <c r="I18" s="9"/>
      <c r="J18" s="9">
        <f>SUM(G18:I18)</f>
        <v>0</v>
      </c>
      <c r="L18" s="1">
        <f>100*D18/C18</f>
        <v>7.5335821390138475</v>
      </c>
      <c r="M18" s="1">
        <f>100*J18/C18</f>
        <v>0</v>
      </c>
    </row>
    <row r="19" spans="1:13" x14ac:dyDescent="0.55000000000000004">
      <c r="A19" t="s">
        <v>29</v>
      </c>
      <c r="B19">
        <v>1920</v>
      </c>
      <c r="C19" s="9">
        <v>633622</v>
      </c>
      <c r="D19" s="9">
        <v>27839</v>
      </c>
      <c r="E19" s="9">
        <v>27839</v>
      </c>
      <c r="F19" s="9"/>
      <c r="G19" s="9"/>
      <c r="H19" s="9"/>
      <c r="I19" s="9"/>
      <c r="J19" s="9">
        <f>SUM(G19:I19)</f>
        <v>0</v>
      </c>
      <c r="L19" s="1">
        <f>100*D19/C19</f>
        <v>4.3936290090937495</v>
      </c>
      <c r="M19" s="1">
        <f>100*J19/C19</f>
        <v>0</v>
      </c>
    </row>
    <row r="20" spans="1:13" x14ac:dyDescent="0.55000000000000004">
      <c r="A20" s="5" t="s">
        <v>30</v>
      </c>
      <c r="B20">
        <v>1940</v>
      </c>
      <c r="C20" s="9">
        <v>622576</v>
      </c>
      <c r="D20" s="9">
        <v>156286</v>
      </c>
      <c r="E20" s="9">
        <v>44393</v>
      </c>
      <c r="F20" s="9"/>
      <c r="G20" s="9">
        <v>111893</v>
      </c>
      <c r="H20" s="9"/>
      <c r="I20" s="9"/>
      <c r="J20" s="9">
        <f>SUM(G20:I20)</f>
        <v>111893</v>
      </c>
      <c r="L20" s="1">
        <f>100*D20/C20</f>
        <v>25.103119940376757</v>
      </c>
      <c r="M20" s="1">
        <f>100*J20/C20</f>
        <v>17.97258487317211</v>
      </c>
    </row>
    <row r="21" spans="1:13" x14ac:dyDescent="0.55000000000000004">
      <c r="A21" t="s">
        <v>30</v>
      </c>
      <c r="B21">
        <v>1930</v>
      </c>
      <c r="C21" s="9">
        <v>467459</v>
      </c>
      <c r="D21" s="9">
        <v>104174</v>
      </c>
      <c r="E21" s="9">
        <v>29765</v>
      </c>
      <c r="F21" s="9">
        <v>74409</v>
      </c>
      <c r="G21" s="9"/>
      <c r="H21" s="9"/>
      <c r="I21" s="9"/>
      <c r="J21" s="9">
        <f>SUM(G21:I21)</f>
        <v>0</v>
      </c>
      <c r="L21" s="1">
        <f>100*D21/C21</f>
        <v>22.285162976860004</v>
      </c>
      <c r="M21" s="1">
        <f>100*J21/C21</f>
        <v>0</v>
      </c>
    </row>
    <row r="22" spans="1:13" x14ac:dyDescent="0.55000000000000004">
      <c r="A22" s="5" t="s">
        <v>16</v>
      </c>
      <c r="B22">
        <v>1940</v>
      </c>
      <c r="C22" s="9">
        <v>6207967</v>
      </c>
      <c r="D22" s="9">
        <v>876571</v>
      </c>
      <c r="E22" s="9">
        <v>209766</v>
      </c>
      <c r="F22" s="9">
        <v>146277</v>
      </c>
      <c r="G22" s="9">
        <v>520528</v>
      </c>
      <c r="H22" s="9"/>
      <c r="I22" s="9"/>
      <c r="J22" s="9">
        <f>SUM(G22:I22)</f>
        <v>520528</v>
      </c>
      <c r="L22" s="1">
        <f>100*D22/C22</f>
        <v>14.12009761005495</v>
      </c>
      <c r="M22" s="1">
        <f>100*J22/C22</f>
        <v>8.3848383858999256</v>
      </c>
    </row>
    <row r="23" spans="1:13" x14ac:dyDescent="0.55000000000000004">
      <c r="A23" t="s">
        <v>23</v>
      </c>
      <c r="B23">
        <v>1930</v>
      </c>
      <c r="C23" s="9">
        <v>1434361</v>
      </c>
      <c r="D23" s="9">
        <v>129210</v>
      </c>
      <c r="E23" s="9">
        <v>39825</v>
      </c>
      <c r="F23" s="9">
        <v>89385</v>
      </c>
      <c r="G23" s="9"/>
      <c r="H23" s="9"/>
      <c r="I23" s="9"/>
      <c r="J23" s="9">
        <f>SUM(G23:I23)</f>
        <v>0</v>
      </c>
      <c r="L23" s="1">
        <f>100*D23/C23</f>
        <v>9.008192498262293</v>
      </c>
      <c r="M23" s="1">
        <f>100*J23/C23</f>
        <v>0</v>
      </c>
    </row>
    <row r="24" spans="1:13" x14ac:dyDescent="0.55000000000000004">
      <c r="A24" s="5" t="s">
        <v>10</v>
      </c>
      <c r="B24">
        <v>1940</v>
      </c>
      <c r="C24" s="9">
        <v>5023539</v>
      </c>
      <c r="D24" s="9">
        <v>1829505</v>
      </c>
      <c r="E24" s="9">
        <v>465292</v>
      </c>
      <c r="F24" s="9">
        <v>202193</v>
      </c>
      <c r="G24" s="9">
        <v>209945</v>
      </c>
      <c r="H24" s="9">
        <v>952075</v>
      </c>
      <c r="I24" s="9"/>
      <c r="J24" s="9">
        <f>SUM(G24:I24)</f>
        <v>1162020</v>
      </c>
      <c r="L24" s="1">
        <f>100*D24/C24</f>
        <v>36.418648287591672</v>
      </c>
      <c r="M24" s="1">
        <f>100*J24/C24</f>
        <v>23.131501517157528</v>
      </c>
    </row>
    <row r="25" spans="1:13" x14ac:dyDescent="0.55000000000000004">
      <c r="A25" s="5" t="s">
        <v>10</v>
      </c>
      <c r="B25">
        <v>1930</v>
      </c>
      <c r="C25" s="9">
        <v>4287445</v>
      </c>
      <c r="D25" s="9">
        <v>1408407</v>
      </c>
      <c r="E25" s="9">
        <v>371489</v>
      </c>
      <c r="F25" s="9">
        <v>131180</v>
      </c>
      <c r="G25" s="9">
        <v>193205</v>
      </c>
      <c r="H25" s="9">
        <v>712533</v>
      </c>
      <c r="I25" s="9"/>
      <c r="J25" s="9">
        <f>SUM(G25:I25)</f>
        <v>905738</v>
      </c>
      <c r="L25" s="1">
        <f>100*D25/C25</f>
        <v>32.849564250969983</v>
      </c>
      <c r="M25" s="1">
        <f>100*J25/C25</f>
        <v>21.125355543919515</v>
      </c>
    </row>
    <row r="26" spans="1:13" x14ac:dyDescent="0.55000000000000004">
      <c r="A26" t="s">
        <v>10</v>
      </c>
      <c r="B26">
        <v>1920</v>
      </c>
      <c r="C26" s="9">
        <v>3730235</v>
      </c>
      <c r="D26" s="9">
        <v>1043066</v>
      </c>
      <c r="E26" s="9">
        <v>237743</v>
      </c>
      <c r="F26" s="9">
        <v>115605</v>
      </c>
      <c r="G26" s="9">
        <v>182422</v>
      </c>
      <c r="H26" s="9">
        <v>507296</v>
      </c>
      <c r="I26" s="9"/>
      <c r="J26" s="9">
        <f>SUM(G26:I26)</f>
        <v>689718</v>
      </c>
      <c r="L26" s="1">
        <f>100*D26/C26</f>
        <v>27.96247421409107</v>
      </c>
      <c r="M26" s="1">
        <f>100*J26/C26</f>
        <v>18.489934280279929</v>
      </c>
    </row>
    <row r="27" spans="1:13" x14ac:dyDescent="0.55000000000000004">
      <c r="C27" s="9"/>
      <c r="D27" s="9"/>
      <c r="E27" s="9"/>
      <c r="F27" s="9"/>
      <c r="G27" s="9"/>
      <c r="H27" s="9"/>
      <c r="I27" s="9"/>
      <c r="J27" s="9"/>
    </row>
    <row r="28" spans="1:13" x14ac:dyDescent="0.55000000000000004">
      <c r="C28" s="9"/>
      <c r="D28" s="9"/>
      <c r="E28" s="9"/>
      <c r="F28" s="9"/>
      <c r="G28" s="9"/>
      <c r="H28" s="9"/>
      <c r="I28" s="9"/>
      <c r="J28" s="9"/>
    </row>
    <row r="29" spans="1:13" x14ac:dyDescent="0.55000000000000004">
      <c r="C29" s="9"/>
      <c r="D29" s="9"/>
      <c r="E29" s="9"/>
      <c r="F29" s="9"/>
      <c r="G29" s="9"/>
      <c r="H29" s="9"/>
      <c r="I29" s="9"/>
      <c r="J29" s="9"/>
    </row>
    <row r="30" spans="1:13" x14ac:dyDescent="0.55000000000000004">
      <c r="C30" s="9"/>
      <c r="D30" s="9"/>
      <c r="E30" s="9"/>
      <c r="F30" s="9"/>
      <c r="G30" s="9"/>
      <c r="H30" s="9"/>
      <c r="I30" s="9"/>
      <c r="J30" s="9"/>
    </row>
    <row r="31" spans="1:13" x14ac:dyDescent="0.55000000000000004">
      <c r="C31" s="9"/>
      <c r="D31" s="9"/>
      <c r="E31" s="9"/>
      <c r="F31" s="9"/>
      <c r="G31" s="9"/>
      <c r="H31" s="9"/>
      <c r="I31" s="9"/>
      <c r="J31" s="9"/>
    </row>
    <row r="32" spans="1:13" x14ac:dyDescent="0.55000000000000004">
      <c r="C32" s="9"/>
      <c r="D32" s="9"/>
      <c r="E32" s="9"/>
      <c r="F32" s="9"/>
      <c r="G32" s="9"/>
      <c r="H32" s="9"/>
      <c r="I32" s="9"/>
      <c r="J32" s="9"/>
    </row>
    <row r="33" spans="3:10" x14ac:dyDescent="0.55000000000000004">
      <c r="C33" s="9"/>
      <c r="D33" s="9"/>
      <c r="E33" s="9"/>
      <c r="F33" s="9"/>
      <c r="G33" s="9"/>
      <c r="H33" s="9"/>
      <c r="I33" s="9"/>
      <c r="J33" s="9"/>
    </row>
    <row r="34" spans="3:10" x14ac:dyDescent="0.55000000000000004">
      <c r="C34" s="9"/>
      <c r="D34" s="9"/>
      <c r="E34" s="9"/>
      <c r="F34" s="9"/>
      <c r="G34" s="9"/>
      <c r="H34" s="9"/>
      <c r="I34" s="9"/>
      <c r="J34" s="9"/>
    </row>
    <row r="35" spans="3:10" x14ac:dyDescent="0.55000000000000004">
      <c r="C35" s="9"/>
      <c r="D35" s="9"/>
      <c r="E35" s="9"/>
      <c r="F35" s="9"/>
      <c r="G35" s="9"/>
      <c r="H35" s="9"/>
      <c r="I35" s="9"/>
      <c r="J35" s="9"/>
    </row>
    <row r="36" spans="3:10" x14ac:dyDescent="0.55000000000000004">
      <c r="C36" s="9"/>
      <c r="D36" s="9"/>
      <c r="E36" s="9"/>
      <c r="F36" s="9"/>
      <c r="G36" s="9"/>
      <c r="H36" s="9"/>
      <c r="I36" s="9"/>
      <c r="J36" s="9"/>
    </row>
    <row r="37" spans="3:10" x14ac:dyDescent="0.55000000000000004">
      <c r="C37" s="9"/>
      <c r="D37" s="9"/>
      <c r="E37" s="9"/>
      <c r="F37" s="9"/>
      <c r="G37" s="9"/>
      <c r="H37" s="9"/>
      <c r="I37" s="9"/>
      <c r="J37" s="9"/>
    </row>
    <row r="38" spans="3:10" x14ac:dyDescent="0.55000000000000004">
      <c r="C38" s="9"/>
      <c r="D38" s="9"/>
      <c r="E38" s="9"/>
      <c r="F38" s="9"/>
      <c r="G38" s="9"/>
      <c r="H38" s="9"/>
      <c r="I38" s="9"/>
      <c r="J38" s="9"/>
    </row>
    <row r="39" spans="3:10" x14ac:dyDescent="0.55000000000000004">
      <c r="C39" s="9"/>
      <c r="D39" s="9"/>
      <c r="E39" s="9"/>
      <c r="F39" s="9"/>
      <c r="G39" s="9"/>
      <c r="H39" s="9"/>
      <c r="I39" s="9"/>
      <c r="J39" s="9"/>
    </row>
    <row r="40" spans="3:10" x14ac:dyDescent="0.55000000000000004">
      <c r="C40" s="9"/>
      <c r="D40" s="9"/>
      <c r="E40" s="9"/>
      <c r="F40" s="9"/>
      <c r="G40" s="9"/>
      <c r="H40" s="9"/>
      <c r="I40" s="9"/>
      <c r="J40" s="9"/>
    </row>
    <row r="41" spans="3:10" x14ac:dyDescent="0.55000000000000004">
      <c r="C41" s="9"/>
      <c r="D41" s="9"/>
      <c r="E41" s="9"/>
      <c r="F41" s="9"/>
      <c r="G41" s="9"/>
      <c r="H41" s="9"/>
      <c r="I41" s="9"/>
      <c r="J41" s="9"/>
    </row>
    <row r="42" spans="3:10" x14ac:dyDescent="0.55000000000000004">
      <c r="C42" s="9"/>
      <c r="D42" s="9"/>
      <c r="E42" s="9"/>
      <c r="F42" s="9"/>
      <c r="G42" s="9"/>
      <c r="H42" s="9"/>
      <c r="I42" s="9"/>
      <c r="J42" s="9"/>
    </row>
    <row r="43" spans="3:10" x14ac:dyDescent="0.55000000000000004">
      <c r="C43" s="9"/>
      <c r="D43" s="9"/>
      <c r="E43" s="9"/>
      <c r="F43" s="9"/>
      <c r="G43" s="9"/>
      <c r="H43" s="9"/>
      <c r="I43" s="9"/>
      <c r="J43" s="9"/>
    </row>
    <row r="44" spans="3:10" x14ac:dyDescent="0.55000000000000004">
      <c r="C44" s="9"/>
      <c r="D44" s="9"/>
      <c r="E44" s="9"/>
      <c r="F44" s="9"/>
      <c r="G44" s="9"/>
      <c r="H44" s="9"/>
      <c r="I44" s="9"/>
      <c r="J44" s="9"/>
    </row>
    <row r="45" spans="3:10" x14ac:dyDescent="0.55000000000000004">
      <c r="C45" s="9"/>
      <c r="D45" s="9"/>
      <c r="E45" s="9"/>
      <c r="F45" s="9"/>
      <c r="G45" s="9"/>
      <c r="H45" s="9"/>
      <c r="I45" s="9"/>
    </row>
    <row r="46" spans="3:10" x14ac:dyDescent="0.55000000000000004">
      <c r="C46" s="9"/>
      <c r="D46" s="9"/>
      <c r="E46" s="9"/>
      <c r="F46" s="9"/>
      <c r="G46" s="9"/>
      <c r="H46" s="9"/>
      <c r="I46" s="9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E5" sqref="E5"/>
    </sheetView>
  </sheetViews>
  <sheetFormatPr defaultRowHeight="14.4" x14ac:dyDescent="0.55000000000000004"/>
  <cols>
    <col min="3" max="3" width="13.83984375" customWidth="1"/>
    <col min="5" max="5" width="24.62890625" customWidth="1"/>
  </cols>
  <sheetData>
    <row r="1" spans="1:7" s="5" customFormat="1" x14ac:dyDescent="0.55000000000000004">
      <c r="A1" s="5" t="s">
        <v>62</v>
      </c>
    </row>
    <row r="2" spans="1:7" x14ac:dyDescent="0.55000000000000004">
      <c r="A2" t="s">
        <v>61</v>
      </c>
    </row>
    <row r="3" spans="1:7" x14ac:dyDescent="0.55000000000000004">
      <c r="A3" t="s">
        <v>65</v>
      </c>
    </row>
    <row r="5" spans="1:7" x14ac:dyDescent="0.55000000000000004">
      <c r="A5" s="12" t="s">
        <v>39</v>
      </c>
      <c r="B5" s="12" t="s">
        <v>44</v>
      </c>
      <c r="C5" s="12" t="s">
        <v>63</v>
      </c>
      <c r="D5" s="12" t="s">
        <v>56</v>
      </c>
      <c r="E5" s="12" t="s">
        <v>64</v>
      </c>
      <c r="F5" s="12"/>
      <c r="G5" s="12"/>
    </row>
    <row r="6" spans="1:7" x14ac:dyDescent="0.55000000000000004">
      <c r="A6" t="s">
        <v>16</v>
      </c>
      <c r="B6">
        <v>1940</v>
      </c>
      <c r="C6">
        <v>13.9</v>
      </c>
      <c r="D6">
        <v>8.4</v>
      </c>
      <c r="E6">
        <v>36.1</v>
      </c>
    </row>
    <row r="7" spans="1:7" x14ac:dyDescent="0.55000000000000004">
      <c r="A7" t="s">
        <v>66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topLeftCell="A7" workbookViewId="0">
      <selection activeCell="B36" sqref="B36"/>
    </sheetView>
  </sheetViews>
  <sheetFormatPr defaultRowHeight="14.4" x14ac:dyDescent="0.55000000000000004"/>
  <cols>
    <col min="1" max="1" width="26" customWidth="1"/>
    <col min="2" max="2" width="5.68359375" bestFit="1" customWidth="1"/>
    <col min="3" max="4" width="12.9453125" bestFit="1" customWidth="1"/>
    <col min="5" max="5" width="12.83984375" bestFit="1" customWidth="1"/>
    <col min="6" max="6" width="9.5234375" bestFit="1" customWidth="1"/>
    <col min="7" max="7" width="12.3125" bestFit="1" customWidth="1"/>
    <col min="9" max="9" width="9.20703125" customWidth="1"/>
  </cols>
  <sheetData>
    <row r="1" spans="1:10" x14ac:dyDescent="0.55000000000000004">
      <c r="A1" s="5" t="s">
        <v>62</v>
      </c>
    </row>
    <row r="2" spans="1:10" x14ac:dyDescent="0.55000000000000004">
      <c r="A2" s="5" t="s">
        <v>61</v>
      </c>
    </row>
    <row r="3" spans="1:10" x14ac:dyDescent="0.55000000000000004">
      <c r="A3" s="5" t="s">
        <v>67</v>
      </c>
    </row>
    <row r="6" spans="1:10" x14ac:dyDescent="0.55000000000000004">
      <c r="A6" s="2" t="s">
        <v>68</v>
      </c>
    </row>
    <row r="8" spans="1:10" x14ac:dyDescent="0.55000000000000004">
      <c r="A8" s="11" t="s">
        <v>39</v>
      </c>
      <c r="B8" s="11" t="s">
        <v>44</v>
      </c>
      <c r="C8" s="11" t="s">
        <v>54</v>
      </c>
      <c r="D8" s="11" t="s">
        <v>70</v>
      </c>
      <c r="E8" s="11" t="s">
        <v>72</v>
      </c>
      <c r="F8" s="11" t="s">
        <v>71</v>
      </c>
      <c r="G8" s="11" t="s">
        <v>73</v>
      </c>
      <c r="H8" s="11"/>
      <c r="I8" s="11" t="s">
        <v>63</v>
      </c>
      <c r="J8" s="11" t="s">
        <v>56</v>
      </c>
    </row>
    <row r="10" spans="1:10" x14ac:dyDescent="0.55000000000000004">
      <c r="A10" t="s">
        <v>69</v>
      </c>
      <c r="B10">
        <v>1869</v>
      </c>
      <c r="C10" s="9">
        <v>1737076</v>
      </c>
      <c r="D10" s="9">
        <v>1305841</v>
      </c>
      <c r="E10" s="9">
        <v>431235</v>
      </c>
      <c r="F10" s="9">
        <v>146142</v>
      </c>
      <c r="G10" s="9">
        <v>285093</v>
      </c>
      <c r="I10" s="1">
        <f>100*E10/C10</f>
        <v>24.82533867257391</v>
      </c>
      <c r="J10" s="1">
        <f>100*G10/C10</f>
        <v>16.412235273528619</v>
      </c>
    </row>
    <row r="11" spans="1:10" x14ac:dyDescent="0.55000000000000004">
      <c r="A11" s="5" t="s">
        <v>69</v>
      </c>
      <c r="B11">
        <v>1895</v>
      </c>
      <c r="C11" s="9">
        <v>3954911</v>
      </c>
      <c r="D11" s="9">
        <v>2695915</v>
      </c>
      <c r="E11" s="9">
        <v>1258996</v>
      </c>
      <c r="F11" s="9">
        <v>286444</v>
      </c>
      <c r="G11" s="9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 x14ac:dyDescent="0.55000000000000004">
      <c r="A12" s="5" t="s">
        <v>69</v>
      </c>
      <c r="B12">
        <v>1914</v>
      </c>
      <c r="C12" s="9">
        <v>7885237</v>
      </c>
      <c r="D12" s="9">
        <v>4694581</v>
      </c>
      <c r="E12" s="9">
        <v>3190656</v>
      </c>
      <c r="F12" s="9">
        <v>618564</v>
      </c>
      <c r="G12" s="9">
        <v>2572092</v>
      </c>
      <c r="I12" s="1">
        <f t="shared" si="0"/>
        <v>40.463666469378154</v>
      </c>
      <c r="J12" s="1">
        <f t="shared" si="1"/>
        <v>32.61908297746789</v>
      </c>
    </row>
    <row r="13" spans="1:10" x14ac:dyDescent="0.55000000000000004">
      <c r="A13" s="5" t="s">
        <v>69</v>
      </c>
      <c r="B13">
        <v>1947</v>
      </c>
      <c r="C13" s="9">
        <v>15893827</v>
      </c>
      <c r="D13" s="9">
        <v>8211936</v>
      </c>
      <c r="E13" s="9">
        <v>7681891</v>
      </c>
      <c r="F13" s="9">
        <v>1492114</v>
      </c>
      <c r="G13" s="9">
        <v>6189777</v>
      </c>
      <c r="I13" s="1">
        <f t="shared" si="0"/>
        <v>48.332544452635602</v>
      </c>
      <c r="J13" s="1">
        <f t="shared" si="1"/>
        <v>38.944534881372498</v>
      </c>
    </row>
    <row r="14" spans="1:10" x14ac:dyDescent="0.55000000000000004">
      <c r="A14" t="s">
        <v>8</v>
      </c>
      <c r="B14">
        <v>1900</v>
      </c>
      <c r="C14" s="9">
        <v>1696400</v>
      </c>
      <c r="D14" s="9">
        <v>1550556</v>
      </c>
      <c r="E14" s="9">
        <v>145844</v>
      </c>
      <c r="F14" s="9">
        <v>93147</v>
      </c>
      <c r="G14" s="9">
        <v>52697</v>
      </c>
      <c r="I14" s="1">
        <f t="shared" si="0"/>
        <v>8.5972647960386706</v>
      </c>
      <c r="J14" s="1">
        <f t="shared" si="1"/>
        <v>3.1064017920301814</v>
      </c>
    </row>
    <row r="15" spans="1:10" x14ac:dyDescent="0.55000000000000004">
      <c r="A15" s="5" t="s">
        <v>8</v>
      </c>
      <c r="B15">
        <v>1950</v>
      </c>
      <c r="C15" s="9">
        <v>3019031</v>
      </c>
      <c r="D15" s="9">
        <v>2425556</v>
      </c>
      <c r="E15" s="9">
        <v>593475</v>
      </c>
      <c r="F15" s="9">
        <v>272402</v>
      </c>
      <c r="G15" s="9">
        <v>321073</v>
      </c>
      <c r="I15" s="1">
        <f t="shared" si="0"/>
        <v>19.657797485352088</v>
      </c>
      <c r="J15" s="1">
        <f t="shared" si="1"/>
        <v>10.634968637287924</v>
      </c>
    </row>
    <row r="16" spans="1:10" x14ac:dyDescent="0.55000000000000004">
      <c r="A16" t="s">
        <v>9</v>
      </c>
      <c r="B16">
        <v>1940</v>
      </c>
      <c r="C16" s="9">
        <v>41236315</v>
      </c>
      <c r="D16" s="9">
        <v>34349908</v>
      </c>
      <c r="E16" s="9">
        <v>6886407</v>
      </c>
      <c r="F16" s="9">
        <v>2373630</v>
      </c>
      <c r="G16" s="9">
        <v>4512777</v>
      </c>
      <c r="I16" s="1">
        <f t="shared" si="0"/>
        <v>16.699860305170333</v>
      </c>
      <c r="J16" s="1">
        <f t="shared" si="1"/>
        <v>10.943696108636283</v>
      </c>
    </row>
    <row r="17" spans="1:10" x14ac:dyDescent="0.55000000000000004">
      <c r="A17" s="5" t="s">
        <v>9</v>
      </c>
      <c r="B17">
        <v>1950</v>
      </c>
      <c r="C17" s="9">
        <v>51944397</v>
      </c>
      <c r="D17" s="9">
        <v>41528119</v>
      </c>
      <c r="E17" s="9">
        <v>10416278</v>
      </c>
      <c r="F17" s="9">
        <v>3542043</v>
      </c>
      <c r="G17" s="9">
        <v>6873235</v>
      </c>
      <c r="I17" s="1">
        <f t="shared" si="0"/>
        <v>20.052746016091014</v>
      </c>
      <c r="J17" s="1">
        <f t="shared" si="1"/>
        <v>13.231908342299171</v>
      </c>
    </row>
    <row r="18" spans="1:10" x14ac:dyDescent="0.55000000000000004">
      <c r="A18" t="s">
        <v>10</v>
      </c>
      <c r="B18">
        <v>1865</v>
      </c>
      <c r="C18" s="9">
        <v>1819223</v>
      </c>
      <c r="D18" s="9">
        <v>1528621</v>
      </c>
      <c r="E18" s="9">
        <v>290602</v>
      </c>
      <c r="F18" s="9">
        <v>90829</v>
      </c>
      <c r="G18" s="9">
        <v>199773</v>
      </c>
      <c r="I18" s="1">
        <f t="shared" si="0"/>
        <v>15.973962510368438</v>
      </c>
      <c r="J18" s="1">
        <f t="shared" si="1"/>
        <v>10.981226600587174</v>
      </c>
    </row>
    <row r="19" spans="1:10" x14ac:dyDescent="0.55000000000000004">
      <c r="A19" s="5" t="s">
        <v>10</v>
      </c>
      <c r="B19">
        <v>1875</v>
      </c>
      <c r="C19" s="9">
        <v>2075971</v>
      </c>
      <c r="D19" s="9">
        <v>1717285</v>
      </c>
      <c r="E19" s="9">
        <v>358686</v>
      </c>
      <c r="F19" s="9">
        <v>112865</v>
      </c>
      <c r="G19" s="9">
        <v>245821</v>
      </c>
      <c r="I19" s="1">
        <f t="shared" si="0"/>
        <v>17.277987023903513</v>
      </c>
      <c r="J19" s="1">
        <f t="shared" si="1"/>
        <v>11.841254044492914</v>
      </c>
    </row>
    <row r="20" spans="1:10" x14ac:dyDescent="0.55000000000000004">
      <c r="A20" s="5" t="s">
        <v>10</v>
      </c>
      <c r="B20">
        <v>1885</v>
      </c>
      <c r="C20" s="9">
        <v>2497797</v>
      </c>
      <c r="D20" s="9">
        <v>2017911</v>
      </c>
      <c r="E20" s="9">
        <v>479886</v>
      </c>
      <c r="F20" s="9">
        <v>161422</v>
      </c>
      <c r="G20" s="9">
        <v>318464</v>
      </c>
      <c r="I20" s="1">
        <f t="shared" si="0"/>
        <v>19.212369940391472</v>
      </c>
      <c r="J20" s="1">
        <f t="shared" si="1"/>
        <v>12.749795119459268</v>
      </c>
    </row>
    <row r="21" spans="1:10" x14ac:dyDescent="0.55000000000000004">
      <c r="A21" s="5" t="s">
        <v>10</v>
      </c>
      <c r="B21">
        <v>1895</v>
      </c>
      <c r="C21" s="9">
        <v>2687984</v>
      </c>
      <c r="D21" s="9">
        <v>2039589</v>
      </c>
      <c r="E21" s="9">
        <v>648395</v>
      </c>
      <c r="F21" s="9">
        <v>229708</v>
      </c>
      <c r="G21" s="9">
        <v>418687</v>
      </c>
      <c r="I21" s="1">
        <f t="shared" si="0"/>
        <v>24.121981380841554</v>
      </c>
      <c r="J21" s="1">
        <f t="shared" si="1"/>
        <v>15.576245989559462</v>
      </c>
    </row>
    <row r="22" spans="1:10" x14ac:dyDescent="0.55000000000000004">
      <c r="A22" s="5" t="s">
        <v>10</v>
      </c>
      <c r="B22">
        <v>1907</v>
      </c>
      <c r="C22" s="9">
        <v>3220531</v>
      </c>
      <c r="D22" s="9">
        <v>2328479</v>
      </c>
      <c r="E22" s="9">
        <v>892052</v>
      </c>
      <c r="F22" s="9">
        <v>341551</v>
      </c>
      <c r="G22" s="9">
        <v>550501</v>
      </c>
      <c r="I22" s="1">
        <f t="shared" si="0"/>
        <v>27.698910521277391</v>
      </c>
      <c r="J22" s="1">
        <f t="shared" si="1"/>
        <v>17.093485515276829</v>
      </c>
    </row>
    <row r="23" spans="1:10" x14ac:dyDescent="0.55000000000000004">
      <c r="A23" s="5" t="s">
        <v>10</v>
      </c>
      <c r="B23">
        <v>1920</v>
      </c>
      <c r="C23" s="9">
        <v>3714887</v>
      </c>
      <c r="D23" s="9">
        <v>2521515</v>
      </c>
      <c r="E23" s="9">
        <v>1193372</v>
      </c>
      <c r="F23" s="9">
        <v>439580</v>
      </c>
      <c r="G23" s="9">
        <v>753792</v>
      </c>
      <c r="I23" s="1">
        <f t="shared" si="0"/>
        <v>32.124045765052884</v>
      </c>
      <c r="J23" s="1">
        <f t="shared" si="1"/>
        <v>20.291115180623258</v>
      </c>
    </row>
    <row r="24" spans="1:10" x14ac:dyDescent="0.55000000000000004">
      <c r="A24" s="5" t="s">
        <v>10</v>
      </c>
      <c r="B24">
        <v>1930</v>
      </c>
      <c r="C24" s="9">
        <v>4287445</v>
      </c>
      <c r="D24" s="9">
        <v>2746490</v>
      </c>
      <c r="E24" s="9">
        <v>1540955</v>
      </c>
      <c r="F24" s="9">
        <v>557628</v>
      </c>
      <c r="G24" s="9">
        <v>983327</v>
      </c>
      <c r="I24" s="1">
        <f t="shared" si="0"/>
        <v>35.941102451460019</v>
      </c>
      <c r="J24" s="1">
        <f t="shared" si="1"/>
        <v>22.93503473513946</v>
      </c>
    </row>
    <row r="25" spans="1:10" x14ac:dyDescent="0.55000000000000004">
      <c r="A25" s="5" t="s">
        <v>10</v>
      </c>
      <c r="B25">
        <v>1940</v>
      </c>
      <c r="C25" s="9">
        <v>5023539</v>
      </c>
      <c r="D25" s="9">
        <v>3128592</v>
      </c>
      <c r="E25" s="9">
        <v>1894947</v>
      </c>
      <c r="F25" s="9">
        <v>647114</v>
      </c>
      <c r="G25" s="9">
        <v>1247833</v>
      </c>
      <c r="I25" s="1">
        <f t="shared" si="0"/>
        <v>37.721355403033598</v>
      </c>
      <c r="J25" s="1">
        <f t="shared" si="1"/>
        <v>24.839719568216751</v>
      </c>
    </row>
    <row r="26" spans="1:10" x14ac:dyDescent="0.55000000000000004">
      <c r="A26" s="5" t="s">
        <v>10</v>
      </c>
      <c r="B26">
        <v>1952</v>
      </c>
      <c r="C26" s="9">
        <v>5932995</v>
      </c>
      <c r="D26" s="9">
        <v>3389177</v>
      </c>
      <c r="E26" s="9">
        <v>2543818</v>
      </c>
      <c r="F26" s="9">
        <v>851490</v>
      </c>
      <c r="G26" s="9">
        <v>1692328</v>
      </c>
      <c r="I26" s="1">
        <f t="shared" si="0"/>
        <v>42.875781961724222</v>
      </c>
      <c r="J26" s="1">
        <f t="shared" si="1"/>
        <v>28.524008531947185</v>
      </c>
    </row>
    <row r="27" spans="1:10" x14ac:dyDescent="0.55000000000000004">
      <c r="A27" t="s">
        <v>11</v>
      </c>
      <c r="B27">
        <v>1938</v>
      </c>
      <c r="C27" s="9">
        <v>8701816</v>
      </c>
      <c r="D27" s="9">
        <v>7419391</v>
      </c>
      <c r="E27" s="9">
        <v>1282425</v>
      </c>
      <c r="F27" s="9">
        <v>459150</v>
      </c>
      <c r="G27" s="9">
        <v>823275</v>
      </c>
      <c r="I27" s="1">
        <f t="shared" si="0"/>
        <v>14.737441012312832</v>
      </c>
      <c r="J27" s="1">
        <f t="shared" si="1"/>
        <v>9.4609561958101622</v>
      </c>
    </row>
    <row r="28" spans="1:10" x14ac:dyDescent="0.55000000000000004">
      <c r="A28" s="5" t="s">
        <v>11</v>
      </c>
      <c r="B28">
        <v>1951</v>
      </c>
      <c r="C28" s="9">
        <v>11548172</v>
      </c>
      <c r="D28" s="9">
        <v>8968741</v>
      </c>
      <c r="E28" s="9">
        <v>2579431</v>
      </c>
      <c r="F28" s="9">
        <v>880841</v>
      </c>
      <c r="G28" s="9">
        <v>1698590</v>
      </c>
      <c r="I28" s="1">
        <f t="shared" si="0"/>
        <v>22.336271056579346</v>
      </c>
      <c r="J28" s="1">
        <f t="shared" si="1"/>
        <v>14.708734854312873</v>
      </c>
    </row>
    <row r="29" spans="1:10" x14ac:dyDescent="0.55000000000000004">
      <c r="A29" t="s">
        <v>15</v>
      </c>
      <c r="B29">
        <v>1937</v>
      </c>
      <c r="C29" s="9">
        <v>936126</v>
      </c>
      <c r="D29" s="9">
        <v>831306</v>
      </c>
      <c r="E29" s="9">
        <v>104820</v>
      </c>
      <c r="G29" s="9">
        <v>104820</v>
      </c>
      <c r="I29" s="1">
        <f t="shared" si="0"/>
        <v>11.197210631902117</v>
      </c>
      <c r="J29" s="1">
        <f t="shared" si="1"/>
        <v>11.197210631902117</v>
      </c>
    </row>
    <row r="30" spans="1:10" x14ac:dyDescent="0.55000000000000004">
      <c r="A30" s="5" t="s">
        <v>15</v>
      </c>
      <c r="B30">
        <v>1950</v>
      </c>
      <c r="C30" s="9">
        <v>1328452</v>
      </c>
      <c r="D30" s="9">
        <v>1127112</v>
      </c>
      <c r="E30" s="9">
        <v>201340</v>
      </c>
      <c r="G30" s="9">
        <v>201340</v>
      </c>
      <c r="I30" s="1">
        <f t="shared" si="0"/>
        <v>15.155986064983907</v>
      </c>
      <c r="J30" s="1">
        <f t="shared" si="1"/>
        <v>15.155986064983907</v>
      </c>
    </row>
    <row r="31" spans="1:10" x14ac:dyDescent="0.55000000000000004">
      <c r="A31" t="s">
        <v>16</v>
      </c>
      <c r="B31">
        <v>1876</v>
      </c>
      <c r="C31" s="9">
        <v>2699106</v>
      </c>
      <c r="D31" s="9">
        <v>2497928</v>
      </c>
      <c r="E31" s="9">
        <v>201178</v>
      </c>
      <c r="F31" s="9">
        <v>99690</v>
      </c>
      <c r="G31" s="9">
        <v>101488</v>
      </c>
      <c r="I31" s="1">
        <f t="shared" si="0"/>
        <v>7.4535049753510974</v>
      </c>
      <c r="J31" s="1">
        <f t="shared" si="1"/>
        <v>3.760059812397142</v>
      </c>
    </row>
    <row r="32" spans="1:10" x14ac:dyDescent="0.55000000000000004">
      <c r="A32" s="5" t="s">
        <v>16</v>
      </c>
      <c r="B32">
        <v>1940</v>
      </c>
      <c r="C32" s="9">
        <v>6207967</v>
      </c>
      <c r="D32" s="9">
        <v>5347542</v>
      </c>
      <c r="E32" s="9">
        <v>860425</v>
      </c>
      <c r="F32" s="9">
        <v>339897</v>
      </c>
      <c r="G32" s="9">
        <v>520528</v>
      </c>
      <c r="I32" s="1">
        <f t="shared" si="0"/>
        <v>13.860012464628115</v>
      </c>
      <c r="J32" s="1">
        <f t="shared" si="1"/>
        <v>8.3848383858999256</v>
      </c>
    </row>
    <row r="33" spans="1:10" x14ac:dyDescent="0.55000000000000004">
      <c r="A33" t="s">
        <v>19</v>
      </c>
      <c r="B33">
        <v>1936</v>
      </c>
      <c r="C33" s="9">
        <v>3364347</v>
      </c>
      <c r="D33" s="9">
        <v>2722051</v>
      </c>
      <c r="E33" s="9">
        <v>642296</v>
      </c>
      <c r="F33" s="9">
        <v>292515</v>
      </c>
      <c r="G33" s="9">
        <v>349781</v>
      </c>
      <c r="I33" s="1">
        <f t="shared" si="0"/>
        <v>19.091253072290105</v>
      </c>
      <c r="J33" s="1">
        <f t="shared" si="1"/>
        <v>10.396698081381023</v>
      </c>
    </row>
    <row r="34" spans="1:10" x14ac:dyDescent="0.55000000000000004">
      <c r="A34" s="5" t="s">
        <v>19</v>
      </c>
      <c r="B34">
        <v>1941</v>
      </c>
      <c r="C34" s="9">
        <v>3850771</v>
      </c>
      <c r="D34" s="9">
        <v>3039755</v>
      </c>
      <c r="E34" s="9">
        <v>811016</v>
      </c>
      <c r="F34" s="9">
        <v>366209</v>
      </c>
      <c r="G34" s="9">
        <v>444807</v>
      </c>
      <c r="I34" s="1">
        <f t="shared" si="0"/>
        <v>21.061132952336038</v>
      </c>
      <c r="J34" s="1">
        <f t="shared" si="1"/>
        <v>11.551115348069256</v>
      </c>
    </row>
    <row r="35" spans="1:10" x14ac:dyDescent="0.55000000000000004">
      <c r="A35" s="5" t="s">
        <v>19</v>
      </c>
      <c r="B35">
        <v>1950</v>
      </c>
      <c r="C35" s="9">
        <v>5034838</v>
      </c>
      <c r="D35" s="9">
        <v>3476298</v>
      </c>
      <c r="E35" s="9">
        <v>1558540</v>
      </c>
      <c r="F35" s="9">
        <v>722618</v>
      </c>
      <c r="G35" s="9">
        <v>835922</v>
      </c>
      <c r="I35" s="1">
        <f t="shared" si="0"/>
        <v>30.955117125913485</v>
      </c>
      <c r="J35" s="1">
        <f t="shared" si="1"/>
        <v>16.602758619045936</v>
      </c>
    </row>
    <row r="36" spans="1:10" x14ac:dyDescent="0.55000000000000004">
      <c r="A36" t="s">
        <v>21</v>
      </c>
      <c r="B36">
        <v>1927</v>
      </c>
      <c r="C36" s="9">
        <v>471524</v>
      </c>
      <c r="D36" s="9">
        <v>396372</v>
      </c>
      <c r="E36" s="9">
        <v>75152</v>
      </c>
      <c r="G36" s="9">
        <v>75152</v>
      </c>
      <c r="I36" s="1">
        <f t="shared" si="0"/>
        <v>15.938107074083186</v>
      </c>
      <c r="J36" s="1">
        <f t="shared" si="1"/>
        <v>15.938107074083186</v>
      </c>
    </row>
    <row r="37" spans="1:10" x14ac:dyDescent="0.55000000000000004">
      <c r="A37" s="5" t="s">
        <v>21</v>
      </c>
      <c r="B37">
        <v>1950</v>
      </c>
      <c r="C37" s="9">
        <v>800875</v>
      </c>
      <c r="D37" s="9">
        <v>647239</v>
      </c>
      <c r="E37" s="9">
        <v>153636</v>
      </c>
      <c r="G37" s="9">
        <v>153636</v>
      </c>
      <c r="I37" s="1">
        <f t="shared" si="0"/>
        <v>19.183518027157795</v>
      </c>
      <c r="J37" s="1">
        <f t="shared" si="1"/>
        <v>19.183518027157795</v>
      </c>
    </row>
    <row r="38" spans="1:10" x14ac:dyDescent="0.55000000000000004">
      <c r="A38" t="s">
        <v>22</v>
      </c>
      <c r="B38">
        <v>1919</v>
      </c>
      <c r="C38" s="9">
        <v>2889004</v>
      </c>
      <c r="D38" s="9">
        <v>2084155</v>
      </c>
      <c r="E38" s="9">
        <v>804849</v>
      </c>
      <c r="F38" s="9">
        <v>348559</v>
      </c>
      <c r="G38" s="9">
        <v>456290</v>
      </c>
      <c r="I38" s="1">
        <f t="shared" si="0"/>
        <v>27.859047616410361</v>
      </c>
      <c r="J38" s="1">
        <f t="shared" si="1"/>
        <v>15.794024515023171</v>
      </c>
    </row>
    <row r="39" spans="1:10" x14ac:dyDescent="0.55000000000000004">
      <c r="A39" s="5" t="s">
        <v>22</v>
      </c>
      <c r="B39">
        <v>1931</v>
      </c>
      <c r="C39" s="9">
        <v>3962344</v>
      </c>
      <c r="D39" s="9">
        <v>2795023</v>
      </c>
      <c r="E39" s="9">
        <v>1167321</v>
      </c>
      <c r="F39" s="9">
        <v>473963</v>
      </c>
      <c r="G39" s="9">
        <v>693358</v>
      </c>
      <c r="I39" s="1">
        <f t="shared" si="0"/>
        <v>29.460364874932615</v>
      </c>
      <c r="J39" s="1">
        <f t="shared" si="1"/>
        <v>17.498682597977361</v>
      </c>
    </row>
    <row r="40" spans="1:10" x14ac:dyDescent="0.55000000000000004">
      <c r="A40" s="5" t="s">
        <v>22</v>
      </c>
      <c r="B40">
        <v>1943</v>
      </c>
      <c r="C40" s="9">
        <v>4778583</v>
      </c>
      <c r="D40" s="9">
        <v>3286661</v>
      </c>
      <c r="E40" s="9">
        <v>1491922</v>
      </c>
      <c r="F40" s="9">
        <v>593610</v>
      </c>
      <c r="G40" s="9">
        <v>898312</v>
      </c>
      <c r="I40" s="1">
        <f t="shared" si="0"/>
        <v>31.221012588878335</v>
      </c>
      <c r="J40" s="1">
        <f t="shared" si="1"/>
        <v>18.798710831223399</v>
      </c>
    </row>
    <row r="41" spans="1:10" x14ac:dyDescent="0.55000000000000004">
      <c r="A41" t="s">
        <v>52</v>
      </c>
      <c r="B41">
        <v>1920</v>
      </c>
      <c r="C41" s="9">
        <v>894665</v>
      </c>
      <c r="D41" s="9">
        <v>846570</v>
      </c>
      <c r="E41" s="9">
        <v>48095</v>
      </c>
      <c r="F41" s="9">
        <v>17152</v>
      </c>
      <c r="G41" s="9">
        <v>30943</v>
      </c>
      <c r="I41" s="1">
        <f t="shared" si="0"/>
        <v>5.3757551709299012</v>
      </c>
      <c r="J41" s="1">
        <f t="shared" si="1"/>
        <v>3.4586130003967965</v>
      </c>
    </row>
    <row r="42" spans="1:10" x14ac:dyDescent="0.55000000000000004">
      <c r="A42" s="5" t="s">
        <v>52</v>
      </c>
      <c r="B42">
        <v>1935</v>
      </c>
      <c r="C42" s="9">
        <v>1479417</v>
      </c>
      <c r="D42" s="9">
        <v>1375151</v>
      </c>
      <c r="E42" s="9">
        <v>104266</v>
      </c>
      <c r="F42" s="9">
        <v>34175</v>
      </c>
      <c r="G42" s="9">
        <v>70091</v>
      </c>
      <c r="I42" s="1">
        <f t="shared" si="0"/>
        <v>7.0477762524021283</v>
      </c>
      <c r="J42" s="1">
        <f t="shared" si="1"/>
        <v>4.7377446656351792</v>
      </c>
    </row>
    <row r="43" spans="1:10" x14ac:dyDescent="0.55000000000000004">
      <c r="A43" s="5" t="s">
        <v>52</v>
      </c>
      <c r="B43">
        <v>1950</v>
      </c>
      <c r="C43" s="9">
        <v>2135872</v>
      </c>
      <c r="D43" s="9">
        <v>1897761</v>
      </c>
      <c r="E43" s="9">
        <v>238111</v>
      </c>
      <c r="F43" s="9">
        <v>56558</v>
      </c>
      <c r="G43" s="9">
        <v>181553</v>
      </c>
      <c r="I43" s="1">
        <f t="shared" si="0"/>
        <v>11.148186782728553</v>
      </c>
      <c r="J43" s="1">
        <f t="shared" si="1"/>
        <v>8.5001816588259977</v>
      </c>
    </row>
    <row r="44" spans="1:10" x14ac:dyDescent="0.55000000000000004">
      <c r="A44" t="s">
        <v>23</v>
      </c>
      <c r="B44">
        <v>1930</v>
      </c>
      <c r="C44" s="9">
        <v>1434361</v>
      </c>
      <c r="D44" s="9">
        <v>1287821</v>
      </c>
      <c r="E44" s="9">
        <v>146540</v>
      </c>
      <c r="F44" s="9">
        <v>57155</v>
      </c>
      <c r="G44" s="9">
        <v>89385</v>
      </c>
      <c r="I44" s="1">
        <f t="shared" si="0"/>
        <v>10.216396011882644</v>
      </c>
      <c r="J44" s="1">
        <f t="shared" si="1"/>
        <v>6.2316948104417227</v>
      </c>
    </row>
    <row r="45" spans="1:10" x14ac:dyDescent="0.55000000000000004">
      <c r="A45" s="5" t="s">
        <v>23</v>
      </c>
      <c r="B45">
        <v>1950</v>
      </c>
      <c r="C45" s="9">
        <v>1855917</v>
      </c>
      <c r="D45" s="9">
        <v>1615562</v>
      </c>
      <c r="E45" s="9">
        <v>240355</v>
      </c>
      <c r="F45" s="9">
        <v>78404</v>
      </c>
      <c r="G45" s="9">
        <v>161951</v>
      </c>
      <c r="I45" s="1">
        <f t="shared" si="0"/>
        <v>12.950740792826403</v>
      </c>
      <c r="J45" s="1">
        <f t="shared" si="1"/>
        <v>8.7261984237441652</v>
      </c>
    </row>
    <row r="46" spans="1:10" x14ac:dyDescent="0.55000000000000004">
      <c r="A46" t="s">
        <v>29</v>
      </c>
      <c r="B46">
        <v>1920</v>
      </c>
      <c r="C46" s="9">
        <v>638119</v>
      </c>
      <c r="D46" s="9">
        <v>610280</v>
      </c>
      <c r="E46" s="9">
        <v>27839</v>
      </c>
      <c r="G46" s="9">
        <v>27839</v>
      </c>
      <c r="I46" s="1">
        <f t="shared" si="0"/>
        <v>4.3626658977400767</v>
      </c>
      <c r="J46" s="1">
        <f t="shared" si="1"/>
        <v>4.3626658977400767</v>
      </c>
    </row>
    <row r="47" spans="1:10" x14ac:dyDescent="0.55000000000000004">
      <c r="A47" s="5" t="s">
        <v>29</v>
      </c>
      <c r="B47">
        <v>1940</v>
      </c>
      <c r="C47" s="9">
        <v>835686</v>
      </c>
      <c r="D47" s="9">
        <v>773170</v>
      </c>
      <c r="E47" s="9">
        <f>C47-D47</f>
        <v>62516</v>
      </c>
      <c r="G47" s="9">
        <v>62516</v>
      </c>
      <c r="I47" s="1">
        <f t="shared" si="0"/>
        <v>7.4808002048616347</v>
      </c>
      <c r="J47" s="1">
        <f t="shared" si="1"/>
        <v>7.4808002048616347</v>
      </c>
    </row>
    <row r="48" spans="1:10" x14ac:dyDescent="0.55000000000000004">
      <c r="A48" s="5" t="s">
        <v>29</v>
      </c>
      <c r="B48">
        <v>1950</v>
      </c>
      <c r="C48" s="9">
        <v>1057023</v>
      </c>
      <c r="D48" s="9">
        <v>947671</v>
      </c>
      <c r="E48" s="9">
        <v>109352</v>
      </c>
      <c r="G48" s="9">
        <v>109352</v>
      </c>
      <c r="I48" s="1">
        <f t="shared" si="0"/>
        <v>10.345281039296212</v>
      </c>
      <c r="J48" s="1">
        <f t="shared" si="1"/>
        <v>10.345281039296212</v>
      </c>
    </row>
    <row r="49" spans="1:10" x14ac:dyDescent="0.55000000000000004">
      <c r="A49" t="s">
        <v>30</v>
      </c>
      <c r="B49">
        <v>1930</v>
      </c>
      <c r="C49" s="9">
        <v>428021</v>
      </c>
      <c r="D49" s="9">
        <v>323847</v>
      </c>
      <c r="E49" s="9">
        <v>104174</v>
      </c>
      <c r="F49" s="9">
        <v>29765</v>
      </c>
      <c r="G49" s="9">
        <v>74409</v>
      </c>
      <c r="I49" s="1">
        <f t="shared" si="0"/>
        <v>24.338525446181379</v>
      </c>
      <c r="J49" s="1">
        <f t="shared" si="1"/>
        <v>17.384427399590209</v>
      </c>
    </row>
    <row r="50" spans="1:10" x14ac:dyDescent="0.55000000000000004">
      <c r="A50" s="5" t="s">
        <v>30</v>
      </c>
      <c r="B50">
        <v>1940</v>
      </c>
      <c r="C50" s="9">
        <v>566589</v>
      </c>
      <c r="D50" s="9">
        <v>410303</v>
      </c>
      <c r="E50" s="9">
        <v>156286</v>
      </c>
      <c r="F50" s="9">
        <v>44393</v>
      </c>
      <c r="G50" s="9">
        <v>111893</v>
      </c>
      <c r="I50" s="1">
        <f t="shared" si="0"/>
        <v>27.583662937332001</v>
      </c>
      <c r="J50" s="1">
        <f t="shared" si="1"/>
        <v>19.748530239732858</v>
      </c>
    </row>
    <row r="51" spans="1:10" x14ac:dyDescent="0.55000000000000004">
      <c r="A51" s="5" t="s">
        <v>30</v>
      </c>
      <c r="B51">
        <v>1950</v>
      </c>
      <c r="C51" s="9">
        <v>756631</v>
      </c>
      <c r="D51" s="9">
        <v>576553</v>
      </c>
      <c r="E51" s="9">
        <v>180078</v>
      </c>
      <c r="F51" s="9">
        <v>52204</v>
      </c>
      <c r="G51" s="9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A5" sqref="A5:A7"/>
    </sheetView>
  </sheetViews>
  <sheetFormatPr defaultRowHeight="14.4" x14ac:dyDescent="0.55000000000000004"/>
  <cols>
    <col min="1" max="1" width="23.05078125" customWidth="1"/>
  </cols>
  <sheetData>
    <row r="1" spans="1:6" x14ac:dyDescent="0.55000000000000004">
      <c r="A1" s="2" t="s">
        <v>76</v>
      </c>
    </row>
    <row r="2" spans="1:6" x14ac:dyDescent="0.55000000000000004">
      <c r="A2" t="s">
        <v>75</v>
      </c>
    </row>
    <row r="3" spans="1:6" x14ac:dyDescent="0.55000000000000004">
      <c r="A3" t="s">
        <v>74</v>
      </c>
    </row>
    <row r="4" spans="1:6" x14ac:dyDescent="0.55000000000000004">
      <c r="A4" t="s">
        <v>77</v>
      </c>
    </row>
    <row r="6" spans="1:6" x14ac:dyDescent="0.55000000000000004">
      <c r="A6" s="11" t="s">
        <v>39</v>
      </c>
      <c r="B6" s="11">
        <v>1920</v>
      </c>
      <c r="C6" s="11">
        <v>1930</v>
      </c>
      <c r="D6" s="11">
        <v>1940</v>
      </c>
      <c r="E6" s="11">
        <v>1950</v>
      </c>
      <c r="F6" s="11">
        <v>1960</v>
      </c>
    </row>
    <row r="7" spans="1:6" x14ac:dyDescent="0.55000000000000004">
      <c r="A7" t="s">
        <v>66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 x14ac:dyDescent="0.55000000000000004">
      <c r="A8" t="s">
        <v>7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 x14ac:dyDescent="0.55000000000000004">
      <c r="A9" t="s">
        <v>9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 x14ac:dyDescent="0.55000000000000004">
      <c r="A10" t="s">
        <v>19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 x14ac:dyDescent="0.55000000000000004">
      <c r="A11" t="s">
        <v>11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 x14ac:dyDescent="0.55000000000000004">
      <c r="A12" t="s">
        <v>22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 x14ac:dyDescent="0.55000000000000004">
      <c r="A13" t="s">
        <v>28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 x14ac:dyDescent="0.55000000000000004">
      <c r="A14" t="s">
        <v>16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 x14ac:dyDescent="0.55000000000000004">
      <c r="A15" t="s">
        <v>18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 x14ac:dyDescent="0.55000000000000004">
      <c r="A16" t="s">
        <v>10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 x14ac:dyDescent="0.55000000000000004">
      <c r="A17" t="s">
        <v>12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abSelected="1" workbookViewId="0">
      <selection activeCell="D20" sqref="D20"/>
    </sheetView>
  </sheetViews>
  <sheetFormatPr defaultRowHeight="14.4" x14ac:dyDescent="0.55000000000000004"/>
  <cols>
    <col min="1" max="1" width="32" customWidth="1"/>
  </cols>
  <sheetData>
    <row r="1" spans="1:4" x14ac:dyDescent="0.55000000000000004">
      <c r="A1" s="2" t="s">
        <v>85</v>
      </c>
    </row>
    <row r="2" spans="1:4" s="5" customFormat="1" x14ac:dyDescent="0.55000000000000004">
      <c r="A2" s="5" t="s">
        <v>79</v>
      </c>
    </row>
    <row r="3" spans="1:4" s="5" customFormat="1" x14ac:dyDescent="0.55000000000000004">
      <c r="A3" s="5" t="s">
        <v>80</v>
      </c>
    </row>
    <row r="4" spans="1:4" x14ac:dyDescent="0.55000000000000004">
      <c r="A4" t="s">
        <v>81</v>
      </c>
    </row>
    <row r="5" spans="1:4" x14ac:dyDescent="0.55000000000000004">
      <c r="A5" t="s">
        <v>82</v>
      </c>
    </row>
    <row r="6" spans="1:4" x14ac:dyDescent="0.55000000000000004">
      <c r="A6" t="s">
        <v>83</v>
      </c>
    </row>
    <row r="7" spans="1:4" x14ac:dyDescent="0.55000000000000004">
      <c r="A7" t="s">
        <v>84</v>
      </c>
    </row>
    <row r="9" spans="1:4" x14ac:dyDescent="0.55000000000000004">
      <c r="A9" s="11" t="s">
        <v>39</v>
      </c>
      <c r="B9" s="11" t="s">
        <v>44</v>
      </c>
      <c r="C9" s="11" t="s">
        <v>63</v>
      </c>
      <c r="D9" s="11" t="s">
        <v>56</v>
      </c>
    </row>
    <row r="10" spans="1:4" x14ac:dyDescent="0.55000000000000004">
      <c r="A10" s="5" t="s">
        <v>7</v>
      </c>
      <c r="B10">
        <v>1947</v>
      </c>
      <c r="C10" s="1">
        <v>48.3</v>
      </c>
      <c r="D10" s="1">
        <v>36.799999999999997</v>
      </c>
    </row>
    <row r="11" spans="1:4" x14ac:dyDescent="0.55000000000000004">
      <c r="A11" s="5" t="s">
        <v>7</v>
      </c>
      <c r="B11">
        <v>1960</v>
      </c>
      <c r="C11" s="1">
        <v>57.5</v>
      </c>
      <c r="D11" s="1">
        <v>45.5</v>
      </c>
    </row>
    <row r="12" spans="1:4" x14ac:dyDescent="0.55000000000000004">
      <c r="A12" s="5" t="s">
        <v>8</v>
      </c>
      <c r="B12">
        <v>1950</v>
      </c>
      <c r="C12" s="1">
        <v>19.600000000000001</v>
      </c>
      <c r="D12" s="1">
        <v>10.6</v>
      </c>
    </row>
    <row r="13" spans="1:4" x14ac:dyDescent="0.55000000000000004">
      <c r="A13" t="s">
        <v>9</v>
      </c>
      <c r="B13">
        <v>1920</v>
      </c>
      <c r="C13" s="1">
        <v>11.3</v>
      </c>
      <c r="D13" s="1">
        <v>8.6999999999999993</v>
      </c>
    </row>
    <row r="14" spans="1:4" x14ac:dyDescent="0.55000000000000004">
      <c r="A14" s="5" t="s">
        <v>9</v>
      </c>
      <c r="B14">
        <v>1940</v>
      </c>
      <c r="C14" s="1">
        <v>15.3</v>
      </c>
      <c r="D14" s="1">
        <v>10.7</v>
      </c>
    </row>
    <row r="15" spans="1:4" x14ac:dyDescent="0.55000000000000004">
      <c r="A15" s="5" t="s">
        <v>9</v>
      </c>
      <c r="B15">
        <v>1950</v>
      </c>
      <c r="C15" s="1">
        <v>20.2</v>
      </c>
      <c r="D15" s="1">
        <v>13.2</v>
      </c>
    </row>
    <row r="16" spans="1:4" x14ac:dyDescent="0.55000000000000004">
      <c r="A16" s="5" t="s">
        <v>9</v>
      </c>
      <c r="B16">
        <v>1960</v>
      </c>
      <c r="C16" s="1">
        <v>28.1</v>
      </c>
      <c r="D16" s="1">
        <v>18.8</v>
      </c>
    </row>
    <row r="17" spans="1:4" x14ac:dyDescent="0.55000000000000004">
      <c r="A17" t="s">
        <v>19</v>
      </c>
      <c r="B17">
        <v>1936</v>
      </c>
      <c r="C17" s="1">
        <v>16.2</v>
      </c>
      <c r="D17" s="1">
        <v>10.3</v>
      </c>
    </row>
    <row r="18" spans="1:4" x14ac:dyDescent="0.55000000000000004">
      <c r="A18" s="5" t="s">
        <v>19</v>
      </c>
      <c r="B18">
        <v>1941</v>
      </c>
      <c r="C18" s="1">
        <v>18.100000000000001</v>
      </c>
      <c r="D18" s="1">
        <v>11.8</v>
      </c>
    </row>
    <row r="19" spans="1:4" x14ac:dyDescent="0.55000000000000004">
      <c r="A19" s="5" t="s">
        <v>19</v>
      </c>
      <c r="B19">
        <v>1950</v>
      </c>
      <c r="C19" s="1">
        <v>31.9</v>
      </c>
      <c r="D19" s="1">
        <v>20.3</v>
      </c>
    </row>
    <row r="20" spans="1:4" x14ac:dyDescent="0.55000000000000004">
      <c r="A20" s="5" t="s">
        <v>19</v>
      </c>
      <c r="B20">
        <v>1961</v>
      </c>
      <c r="C20" s="1">
        <v>47.2</v>
      </c>
      <c r="D20" s="1">
        <v>29.9</v>
      </c>
    </row>
    <row r="21" spans="1:4" x14ac:dyDescent="0.55000000000000004">
      <c r="A21" t="s">
        <v>25</v>
      </c>
      <c r="B21">
        <v>1950</v>
      </c>
      <c r="C21" s="1">
        <v>5.0999999999999996</v>
      </c>
      <c r="D21" s="1">
        <v>4.3</v>
      </c>
    </row>
    <row r="22" spans="1:4" x14ac:dyDescent="0.55000000000000004">
      <c r="A22" s="5" t="s">
        <v>24</v>
      </c>
      <c r="B22">
        <v>1950</v>
      </c>
      <c r="C22" s="1">
        <v>11.2</v>
      </c>
      <c r="D22" s="1">
        <v>10.199999999999999</v>
      </c>
    </row>
    <row r="23" spans="1:4" x14ac:dyDescent="0.55000000000000004">
      <c r="A23" s="5" t="s">
        <v>26</v>
      </c>
      <c r="B23">
        <v>1940</v>
      </c>
      <c r="C23" s="1">
        <v>6.1</v>
      </c>
      <c r="D23" s="1"/>
    </row>
    <row r="24" spans="1:4" x14ac:dyDescent="0.55000000000000004">
      <c r="A24" t="s">
        <v>26</v>
      </c>
      <c r="B24">
        <v>1950</v>
      </c>
      <c r="C24" s="1">
        <v>6.9</v>
      </c>
      <c r="D24" s="1"/>
    </row>
    <row r="25" spans="1:4" x14ac:dyDescent="0.55000000000000004">
      <c r="A25" t="s">
        <v>26</v>
      </c>
      <c r="B25">
        <v>1961</v>
      </c>
      <c r="C25" s="1">
        <v>11.6</v>
      </c>
      <c r="D25" s="1">
        <v>7.1</v>
      </c>
    </row>
    <row r="26" spans="1:4" x14ac:dyDescent="0.55000000000000004">
      <c r="A26" t="s">
        <v>52</v>
      </c>
      <c r="B26">
        <v>1920</v>
      </c>
      <c r="C26" s="1">
        <v>3.5</v>
      </c>
      <c r="D26" s="1"/>
    </row>
    <row r="27" spans="1:4" x14ac:dyDescent="0.55000000000000004">
      <c r="A27" s="5" t="s">
        <v>52</v>
      </c>
      <c r="B27">
        <v>1935</v>
      </c>
      <c r="C27" s="1">
        <v>7.1</v>
      </c>
      <c r="D27" s="1"/>
    </row>
    <row r="28" spans="1:4" x14ac:dyDescent="0.55000000000000004">
      <c r="A28" s="5" t="s">
        <v>52</v>
      </c>
      <c r="B28">
        <v>1950</v>
      </c>
      <c r="C28" s="1">
        <v>11.1</v>
      </c>
      <c r="D28" s="1">
        <v>8.5</v>
      </c>
    </row>
    <row r="29" spans="1:4" x14ac:dyDescent="0.55000000000000004">
      <c r="A29" t="s">
        <v>52</v>
      </c>
      <c r="B29">
        <v>1960</v>
      </c>
      <c r="C29" s="1">
        <v>18.7</v>
      </c>
      <c r="D29" s="1">
        <v>12.2</v>
      </c>
    </row>
    <row r="30" spans="1:4" x14ac:dyDescent="0.55000000000000004">
      <c r="A30" s="5" t="s">
        <v>11</v>
      </c>
      <c r="B30">
        <v>1938</v>
      </c>
      <c r="C30" s="1">
        <v>12.9</v>
      </c>
      <c r="D30" s="1">
        <v>7.1</v>
      </c>
    </row>
    <row r="31" spans="1:4" x14ac:dyDescent="0.55000000000000004">
      <c r="A31" s="5" t="s">
        <v>11</v>
      </c>
      <c r="B31">
        <v>1951</v>
      </c>
      <c r="C31" s="1">
        <v>22.2</v>
      </c>
      <c r="D31" s="1">
        <v>14.7</v>
      </c>
    </row>
    <row r="32" spans="1:4" x14ac:dyDescent="0.55000000000000004">
      <c r="A32" t="s">
        <v>21</v>
      </c>
      <c r="B32">
        <v>1927</v>
      </c>
      <c r="C32" s="1">
        <v>19.3</v>
      </c>
      <c r="D32" s="1"/>
    </row>
    <row r="33" spans="1:4" x14ac:dyDescent="0.55000000000000004">
      <c r="A33" s="5" t="s">
        <v>21</v>
      </c>
      <c r="B33">
        <v>1950</v>
      </c>
      <c r="C33" s="1">
        <v>22.3</v>
      </c>
      <c r="D33" s="1">
        <v>22.3</v>
      </c>
    </row>
    <row r="34" spans="1:4" x14ac:dyDescent="0.55000000000000004">
      <c r="A34" s="5" t="s">
        <v>21</v>
      </c>
      <c r="B34">
        <v>1963</v>
      </c>
      <c r="C34" s="1">
        <v>24</v>
      </c>
      <c r="D34" s="1">
        <v>24</v>
      </c>
    </row>
    <row r="35" spans="1:4" x14ac:dyDescent="0.55000000000000004">
      <c r="A35" t="s">
        <v>22</v>
      </c>
      <c r="B35">
        <v>1919</v>
      </c>
      <c r="C35" s="1">
        <v>24.3</v>
      </c>
      <c r="D35" s="1">
        <v>14.7</v>
      </c>
    </row>
    <row r="36" spans="1:4" x14ac:dyDescent="0.55000000000000004">
      <c r="A36" s="5" t="s">
        <v>22</v>
      </c>
      <c r="B36">
        <v>1931</v>
      </c>
      <c r="C36" s="1">
        <v>27.6</v>
      </c>
      <c r="D36" s="1">
        <v>18.5</v>
      </c>
    </row>
    <row r="37" spans="1:4" x14ac:dyDescent="0.55000000000000004">
      <c r="A37" t="s">
        <v>22</v>
      </c>
      <c r="B37">
        <v>1943</v>
      </c>
      <c r="C37" s="1">
        <v>30.7</v>
      </c>
      <c r="D37" s="1">
        <v>19.899999999999999</v>
      </c>
    </row>
    <row r="38" spans="1:4" x14ac:dyDescent="0.55000000000000004">
      <c r="A38" s="5" t="s">
        <v>22</v>
      </c>
      <c r="B38">
        <v>1953</v>
      </c>
      <c r="C38" s="1">
        <v>35.5</v>
      </c>
      <c r="D38" s="1">
        <v>22.9</v>
      </c>
    </row>
    <row r="39" spans="1:4" x14ac:dyDescent="0.55000000000000004">
      <c r="A39" s="5" t="s">
        <v>28</v>
      </c>
      <c r="B39">
        <v>1940</v>
      </c>
      <c r="C39" s="1">
        <v>18.100000000000001</v>
      </c>
      <c r="D39" s="1">
        <v>10.199999999999999</v>
      </c>
    </row>
    <row r="40" spans="1:4" x14ac:dyDescent="0.55000000000000004">
      <c r="A40" s="5" t="s">
        <v>28</v>
      </c>
      <c r="B40">
        <v>1950</v>
      </c>
      <c r="C40" s="1">
        <v>24.1</v>
      </c>
      <c r="D40" s="1">
        <v>15.1</v>
      </c>
    </row>
    <row r="41" spans="1:4" x14ac:dyDescent="0.55000000000000004">
      <c r="A41" t="s">
        <v>28</v>
      </c>
      <c r="B41">
        <v>1960</v>
      </c>
      <c r="C41" s="1">
        <v>29.6</v>
      </c>
      <c r="D41" s="1">
        <v>18.600000000000001</v>
      </c>
    </row>
    <row r="42" spans="1:4" x14ac:dyDescent="0.55000000000000004">
      <c r="A42" s="5" t="s">
        <v>29</v>
      </c>
      <c r="B42">
        <v>1950</v>
      </c>
      <c r="C42" s="1">
        <v>15.2</v>
      </c>
      <c r="D42" s="1">
        <v>10.3</v>
      </c>
    </row>
    <row r="43" spans="1:4" x14ac:dyDescent="0.55000000000000004">
      <c r="A43" s="5" t="s">
        <v>29</v>
      </c>
      <c r="B43">
        <v>1963</v>
      </c>
      <c r="C43" s="1">
        <v>23</v>
      </c>
      <c r="D43" s="1">
        <v>15.3</v>
      </c>
    </row>
    <row r="44" spans="1:4" x14ac:dyDescent="0.55000000000000004">
      <c r="A44" s="5" t="s">
        <v>30</v>
      </c>
      <c r="B44">
        <v>1930</v>
      </c>
      <c r="C44" s="1">
        <v>22.9</v>
      </c>
      <c r="D44" s="1"/>
    </row>
    <row r="45" spans="1:4" x14ac:dyDescent="0.55000000000000004">
      <c r="A45" s="5" t="s">
        <v>30</v>
      </c>
      <c r="B45">
        <v>1940</v>
      </c>
      <c r="C45" s="1">
        <v>26.6</v>
      </c>
      <c r="D45" s="1">
        <v>19.399999999999999</v>
      </c>
    </row>
    <row r="46" spans="1:4" x14ac:dyDescent="0.55000000000000004">
      <c r="A46" t="s">
        <v>30</v>
      </c>
      <c r="B46">
        <v>1950</v>
      </c>
      <c r="C46" s="1">
        <v>26.8</v>
      </c>
      <c r="D46" s="1">
        <v>20.399999999999999</v>
      </c>
    </row>
    <row r="47" spans="1:4" x14ac:dyDescent="0.55000000000000004">
      <c r="A47" s="5" t="s">
        <v>30</v>
      </c>
      <c r="B47">
        <v>1960</v>
      </c>
      <c r="C47" s="1">
        <v>33.1</v>
      </c>
      <c r="D47" s="1">
        <v>25.4</v>
      </c>
    </row>
    <row r="48" spans="1:4" x14ac:dyDescent="0.55000000000000004">
      <c r="A48" t="s">
        <v>16</v>
      </c>
      <c r="B48">
        <v>1940</v>
      </c>
      <c r="C48" s="1">
        <v>14.2</v>
      </c>
      <c r="D48" s="1">
        <v>8.4</v>
      </c>
    </row>
    <row r="49" spans="1:4" x14ac:dyDescent="0.55000000000000004">
      <c r="A49" t="s">
        <v>16</v>
      </c>
      <c r="B49">
        <v>1961</v>
      </c>
      <c r="C49" s="1">
        <v>28.9</v>
      </c>
      <c r="D49" s="1">
        <v>18.399999999999999</v>
      </c>
    </row>
    <row r="50" spans="1:4" x14ac:dyDescent="0.55000000000000004">
      <c r="A50" s="5" t="s">
        <v>78</v>
      </c>
      <c r="B50">
        <v>1920</v>
      </c>
      <c r="C50" s="1">
        <v>9.1999999999999993</v>
      </c>
      <c r="D50" s="1"/>
    </row>
    <row r="51" spans="1:4" x14ac:dyDescent="0.55000000000000004">
      <c r="A51" s="5" t="s">
        <v>78</v>
      </c>
      <c r="B51">
        <v>1930</v>
      </c>
      <c r="C51" s="1">
        <v>14.1</v>
      </c>
      <c r="D51" s="1">
        <v>8.3000000000000007</v>
      </c>
    </row>
    <row r="52" spans="1:4" x14ac:dyDescent="0.55000000000000004">
      <c r="A52" s="5" t="s">
        <v>78</v>
      </c>
      <c r="B52">
        <v>1940</v>
      </c>
      <c r="C52" s="1">
        <v>18.8</v>
      </c>
      <c r="D52" s="1">
        <v>10.1</v>
      </c>
    </row>
    <row r="53" spans="1:4" x14ac:dyDescent="0.55000000000000004">
      <c r="A53" t="s">
        <v>78</v>
      </c>
      <c r="B53">
        <v>1950</v>
      </c>
      <c r="C53" s="1">
        <v>27</v>
      </c>
      <c r="D53" s="1">
        <v>16.100000000000001</v>
      </c>
    </row>
    <row r="54" spans="1:4" x14ac:dyDescent="0.55000000000000004">
      <c r="A54" s="5" t="s">
        <v>78</v>
      </c>
      <c r="B54">
        <v>1960</v>
      </c>
      <c r="C54" s="1">
        <v>28</v>
      </c>
      <c r="D54" s="1">
        <v>23.3</v>
      </c>
    </row>
    <row r="55" spans="1:4" x14ac:dyDescent="0.55000000000000004">
      <c r="A55" s="5" t="s">
        <v>23</v>
      </c>
      <c r="B55">
        <v>1930</v>
      </c>
      <c r="C55" s="1">
        <v>9</v>
      </c>
      <c r="D55" s="1"/>
    </row>
    <row r="56" spans="1:4" x14ac:dyDescent="0.55000000000000004">
      <c r="A56" s="5" t="s">
        <v>23</v>
      </c>
      <c r="B56">
        <v>1950</v>
      </c>
      <c r="C56" s="1">
        <v>12.9</v>
      </c>
      <c r="D56" s="1">
        <v>8.6999999999999993</v>
      </c>
    </row>
    <row r="57" spans="1:4" x14ac:dyDescent="0.55000000000000004">
      <c r="A57" s="5" t="s">
        <v>23</v>
      </c>
      <c r="B57">
        <v>1961</v>
      </c>
      <c r="C57" s="1">
        <v>17.7</v>
      </c>
      <c r="D57" s="1">
        <v>10.199999999999999</v>
      </c>
    </row>
    <row r="58" spans="1:4" x14ac:dyDescent="0.55000000000000004">
      <c r="A58" t="s">
        <v>18</v>
      </c>
      <c r="B58">
        <v>1963</v>
      </c>
      <c r="C58" s="1"/>
      <c r="D58" s="1"/>
    </row>
    <row r="59" spans="1:4" x14ac:dyDescent="0.55000000000000004">
      <c r="A59" s="5" t="s">
        <v>10</v>
      </c>
      <c r="B59">
        <v>1920</v>
      </c>
      <c r="C59" s="1">
        <v>28</v>
      </c>
      <c r="D59" s="1">
        <v>18.399999999999999</v>
      </c>
    </row>
    <row r="60" spans="1:4" x14ac:dyDescent="0.55000000000000004">
      <c r="A60" t="s">
        <v>10</v>
      </c>
      <c r="B60">
        <v>1930</v>
      </c>
      <c r="C60" s="1">
        <v>32.5</v>
      </c>
      <c r="D60" s="1">
        <v>20.7</v>
      </c>
    </row>
    <row r="61" spans="1:4" x14ac:dyDescent="0.55000000000000004">
      <c r="A61" s="5" t="s">
        <v>10</v>
      </c>
      <c r="B61">
        <v>1940</v>
      </c>
      <c r="C61" s="1">
        <v>36.4</v>
      </c>
      <c r="D61" s="1">
        <v>23.1</v>
      </c>
    </row>
    <row r="62" spans="1:4" x14ac:dyDescent="0.55000000000000004">
      <c r="A62" s="5" t="s">
        <v>10</v>
      </c>
      <c r="B62">
        <v>1952</v>
      </c>
      <c r="C62" s="1">
        <v>42.8</v>
      </c>
      <c r="D62" s="1">
        <v>28.5</v>
      </c>
    </row>
    <row r="63" spans="1:4" x14ac:dyDescent="0.55000000000000004">
      <c r="A63" s="5" t="s">
        <v>10</v>
      </c>
      <c r="B63">
        <v>1960</v>
      </c>
      <c r="C63" s="1">
        <v>54.7</v>
      </c>
      <c r="D63" s="1">
        <v>33.299999999999997</v>
      </c>
    </row>
    <row r="64" spans="1:4" x14ac:dyDescent="0.55000000000000004">
      <c r="A64" t="s">
        <v>12</v>
      </c>
      <c r="B64">
        <v>1950</v>
      </c>
      <c r="C64" s="1">
        <v>17.8</v>
      </c>
      <c r="D64" s="1">
        <v>14.6</v>
      </c>
    </row>
    <row r="65" spans="1:4" x14ac:dyDescent="0.55000000000000004">
      <c r="A65" s="5" t="s">
        <v>12</v>
      </c>
      <c r="B65">
        <v>1962</v>
      </c>
      <c r="C65" s="1">
        <v>26.9</v>
      </c>
      <c r="D65" s="1">
        <v>18.899999999999999</v>
      </c>
    </row>
    <row r="66" spans="1:4" x14ac:dyDescent="0.55000000000000004">
      <c r="A66" t="s">
        <v>12</v>
      </c>
      <c r="B66">
        <v>1950</v>
      </c>
      <c r="C66" s="1">
        <v>16.5</v>
      </c>
      <c r="D66" s="1">
        <v>16.5</v>
      </c>
    </row>
    <row r="67" spans="1:4" x14ac:dyDescent="0.55000000000000004">
      <c r="A67" t="s">
        <v>12</v>
      </c>
      <c r="B67">
        <v>1962</v>
      </c>
      <c r="C67" s="1"/>
      <c r="D67" s="1">
        <v>16.8</v>
      </c>
    </row>
    <row r="68" spans="1:4" x14ac:dyDescent="0.55000000000000004">
      <c r="A68" s="5" t="s">
        <v>27</v>
      </c>
      <c r="B68">
        <v>1921</v>
      </c>
      <c r="C68" s="1">
        <v>10.3</v>
      </c>
      <c r="D68" s="1"/>
    </row>
    <row r="69" spans="1:4" x14ac:dyDescent="0.55000000000000004">
      <c r="A69" s="5" t="s">
        <v>27</v>
      </c>
      <c r="B69">
        <v>1943</v>
      </c>
      <c r="C69" s="1">
        <v>16.3</v>
      </c>
      <c r="D69" s="1">
        <v>16.3</v>
      </c>
    </row>
    <row r="70" spans="1:4" x14ac:dyDescent="0.55000000000000004">
      <c r="A70" s="5" t="s">
        <v>27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Notes</vt:lpstr>
      <vt:lpstr>Data-1</vt:lpstr>
      <vt:lpstr>Data-2</vt:lpstr>
      <vt:lpstr>Data-3</vt:lpstr>
      <vt:lpstr>Data-4</vt:lpstr>
      <vt:lpstr>Data-5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2026-06-14T23:02:20Z</dcterms:created>
  <dcterms:modified xsi:type="dcterms:W3CDTF">2026-06-15T03:29:03Z</dcterms:modified>
</cp:coreProperties>
</file>