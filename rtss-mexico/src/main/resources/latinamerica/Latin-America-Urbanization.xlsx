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05178EB2-D527-4BFD-94BA-AA50411EA849}" xr6:coauthVersionLast="45" xr6:coauthVersionMax="47" xr10:uidLastSave="{00000000-0000-0000-0000-000000000000}"/>
  <bookViews>
    <workbookView xWindow="-60" yWindow="-60" windowWidth="38520" windowHeight="23700" activeTab="9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Data-6" sheetId="7" r:id="rId7"/>
    <sheet name="Data-7" sheetId="10" r:id="rId8"/>
    <sheet name="Data-8" sheetId="11" r:id="rId9"/>
    <sheet name="Сводка-все" sheetId="9" r:id="rId10"/>
    <sheet name="Все-адм" sheetId="12" r:id="rId11"/>
    <sheet name="Все-2K" sheetId="13" r:id="rId12"/>
    <sheet name="Все-20K" sheetId="14" r:id="rId13"/>
    <sheet name="Все-100K" sheetId="15" r:id="rId1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6" i="11" l="1"/>
  <c r="O35" i="11"/>
  <c r="M38" i="11"/>
  <c r="O38" i="11" s="1"/>
  <c r="M37" i="11"/>
  <c r="O37" i="11" s="1"/>
  <c r="M36" i="11"/>
  <c r="M35" i="11"/>
  <c r="M34" i="11"/>
  <c r="O34" i="11" s="1"/>
  <c r="M32" i="11"/>
  <c r="O32" i="11" s="1"/>
  <c r="M31" i="11"/>
  <c r="O31" i="11" s="1"/>
  <c r="M30" i="11"/>
  <c r="O30" i="11" s="1"/>
  <c r="L38" i="11"/>
  <c r="N38" i="11" s="1"/>
  <c r="L37" i="11"/>
  <c r="N37" i="11" s="1"/>
  <c r="L36" i="11"/>
  <c r="N36" i="11" s="1"/>
  <c r="L35" i="11"/>
  <c r="N35" i="11" s="1"/>
  <c r="L34" i="11"/>
  <c r="N34" i="11" s="1"/>
  <c r="L32" i="11"/>
  <c r="N32" i="11" s="1"/>
  <c r="L31" i="11"/>
  <c r="N31" i="11" s="1"/>
  <c r="L30" i="11"/>
  <c r="N30" i="11" s="1"/>
  <c r="L28" i="11"/>
  <c r="N28" i="11" s="1"/>
  <c r="L27" i="11"/>
  <c r="N27" i="11" s="1"/>
  <c r="L26" i="11"/>
  <c r="N26" i="11" s="1"/>
  <c r="L25" i="11"/>
  <c r="N25" i="11" s="1"/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L10" i="3"/>
  <c r="L9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M10" i="3" s="1"/>
  <c r="J9" i="3"/>
  <c r="M9" i="3" s="1"/>
  <c r="J22" i="3"/>
  <c r="M22" i="3" s="1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<sst xmlns="http://schemas.openxmlformats.org/spreadsheetml/2006/main" count="783" uniqueCount="112">
  <si>
    <t>Boletín demográfico. Año 38, no. 75, Jan 2005, стр. 26</t>
  </si>
  <si>
    <t>Boletín demográfico. Año 38, no. 75, Jan 2005, стр. 30</t>
  </si>
  <si>
    <t>Boletín demográfico. Año 38, no. 75, Jan 2005, стр. 32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</si>
  <si>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</si>
  <si>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</si>
  <si>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</si>
  <si>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</si>
  <si>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</si>
  <si>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</si>
  <si>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</si>
  <si>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</si>
  <si>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</si>
  <si>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</si>
  <si>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</si>
  <si>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</si>
  <si>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</si>
  <si>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</si>
  <si>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</si>
  <si>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</si>
  <si>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</si>
  <si>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</si>
  <si>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</si>
  <si>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</si>
  <si>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</si>
  <si>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</si>
  <si>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</si>
  <si>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</si>
  <si>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</si>
  <si>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</si>
  <si>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</si>
  <si>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</si>
  <si>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</si>
  <si>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</si>
  <si>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</si>
  <si>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</si>
  <si>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</si>
  <si>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</si>
  <si>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</si>
  <si>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</si>
  <si>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</si>
  <si>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</si>
  <si>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</si>
  <si>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</si>
  <si>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</si>
  <si>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</si>
  <si>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</si>
  <si>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</si>
  <si>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</si>
  <si>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</si>
  <si>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</si>
  <si>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</si>
  <si>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</si>
  <si>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</si>
  <si>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</si>
  <si>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</si>
  <si>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</si>
  <si>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</si>
  <si>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</si>
  <si>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</si>
  <si>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</si>
  <si>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</si>
  <si>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</si>
  <si>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</si>
  <si>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</si>
  <si>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</si>
  <si>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</si>
  <si>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Городское населление по переписям</t>
  </si>
  <si>
    <t>Аргентинна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</si>
  <si>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</si>
  <si>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</si>
  <si>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</si>
  <si>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</si>
  <si>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</si>
  <si>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</si>
  <si>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</si>
  <si>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</si>
  <si>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</si>
  <si>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</si>
  <si>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</si>
  <si>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</si>
  <si>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</si>
  <si>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</si>
  <si>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</si>
  <si>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</si>
  <si>
    <t>CCCР</t>
  </si>
  <si>
    <t>Доля городского населения по административной классификации (1950-2000)</t>
  </si>
  <si>
    <t>UN Demographic Yearbook 1952, стр. 168-186</t>
  </si>
  <si>
    <t xml:space="preserve">страна </t>
  </si>
  <si>
    <t>%гор</t>
  </si>
  <si>
    <t>Бермуда</t>
  </si>
  <si>
    <t>UN Demographic Yearbook 1948, стр. 213-220</t>
  </si>
  <si>
    <t>Доля городского населения по административной классификации</t>
  </si>
  <si>
    <t>Доля населения живущего в пунктах с численностью более 20,000 жителей</t>
  </si>
  <si>
    <t>Доля населения живущего в пунктах с численностью более 100,000 жителей</t>
  </si>
  <si>
    <t>INEGI, "Estadísticas históricas de México 2014", табл. 1.16</t>
  </si>
  <si>
    <t>Мексика, доля городского населения по административной классфикации</t>
  </si>
  <si>
    <t>Мексика, распределение населения по численности пунктов</t>
  </si>
  <si>
    <t>INEGI, "Estadísticas históricas de México 2014", табл. 2.15</t>
  </si>
  <si>
    <t>всего</t>
  </si>
  <si>
    <t>ниже 2,500</t>
  </si>
  <si>
    <t>2500-5000</t>
  </si>
  <si>
    <t>5000-15000</t>
  </si>
  <si>
    <t>15000-20000</t>
  </si>
  <si>
    <t>20-50 тыс</t>
  </si>
  <si>
    <t>50-100 тыс</t>
  </si>
  <si>
    <t>100-500 тыс</t>
  </si>
  <si>
    <t>1м+</t>
  </si>
  <si>
    <t>500 тыс-1м</t>
  </si>
  <si>
    <t>20+ тыс.</t>
  </si>
  <si>
    <t>100+ тыс</t>
  </si>
  <si>
    <t>РСФСР</t>
  </si>
  <si>
    <t>Для СССР, РСФСР и Мексики см. urbanization-ru-mx.xlsx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</si>
</sst>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70C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name val="Arial"/>
      <family val="2"/>
    </font>
    <font>
      <sz val="11"/>
      <color theme="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7" fillId="0" borderId="0"/>
  </cellStyleXfs>
  <cellXfs count="30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3" fillId="0" borderId="0" xfId="0" applyNumberFormat="1" applyFont="1"/>
    <xf numFmtId="0" fontId="5" fillId="0" borderId="0" xfId="0" applyFont="1"/>
    <xf numFmtId="0" fontId="1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1" xfId="0" applyFont="1" applyBorder="1"/>
    <xf numFmtId="0" fontId="0" fillId="0" borderId="1" xfId="0" applyBorder="1"/>
    <xf numFmtId="3" fontId="8" fillId="0" borderId="1" xfId="0" applyNumberFormat="1" applyFont="1" applyBorder="1"/>
    <xf numFmtId="3" fontId="9" fillId="3" borderId="1" xfId="2" quotePrefix="1" applyNumberFormat="1" applyFont="1" applyFill="1" applyBorder="1" applyAlignment="1">
      <alignment horizontal="right" vertical="center"/>
    </xf>
    <xf numFmtId="3" fontId="9" fillId="0" borderId="1" xfId="2" quotePrefix="1" applyNumberFormat="1" applyFont="1" applyBorder="1" applyAlignment="1">
      <alignment horizontal="right" vertical="center"/>
    </xf>
    <xf numFmtId="3" fontId="0" fillId="0" borderId="1" xfId="0" applyNumberFormat="1" applyBorder="1"/>
    <xf numFmtId="164" fontId="0" fillId="0" borderId="1" xfId="0" applyNumberFormat="1" applyBorder="1"/>
    <xf numFmtId="0" fontId="6" fillId="0" borderId="1" xfId="0" applyFont="1" applyBorder="1" applyAlignment="1">
      <alignment horizontal="center"/>
    </xf>
    <xf numFmtId="164" fontId="10" fillId="0" borderId="0" xfId="0" applyNumberFormat="1" applyFont="1"/>
    <xf numFmtId="0" fontId="8" fillId="0" borderId="0" xfId="0" applyFont="1" applyAlignment="1">
      <alignment horizontal="right"/>
    </xf>
    <xf numFmtId="1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Normal 2 2" xfId="2" xr:uid="{32AF0234-4941-4486-9D3F-97BD60F5F6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городской местности по административной классификации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'Все-адм'!$B$3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'Все-адм'!$B$4:$B$109</c:f>
              <c:numCache>
                <c:formatCode>0.0</c:formatCode>
                <c:ptCount val="106"/>
                <c:pt idx="0">
                  <c:v>37.4</c:v>
                </c:pt>
                <c:pt idx="1">
                  <c:v>38.39</c:v>
                </c:pt>
                <c:pt idx="2">
                  <c:v>39.380000000000003</c:v>
                </c:pt>
                <c:pt idx="3">
                  <c:v>40.36</c:v>
                </c:pt>
                <c:pt idx="4">
                  <c:v>41.33</c:v>
                </c:pt>
                <c:pt idx="5">
                  <c:v>42.29</c:v>
                </c:pt>
                <c:pt idx="6">
                  <c:v>43.23</c:v>
                </c:pt>
                <c:pt idx="7">
                  <c:v>44.16</c:v>
                </c:pt>
                <c:pt idx="8">
                  <c:v>45.06</c:v>
                </c:pt>
                <c:pt idx="9">
                  <c:v>45.94</c:v>
                </c:pt>
                <c:pt idx="10">
                  <c:v>46.8</c:v>
                </c:pt>
                <c:pt idx="11">
                  <c:v>47.62</c:v>
                </c:pt>
                <c:pt idx="12">
                  <c:v>48.4</c:v>
                </c:pt>
                <c:pt idx="13">
                  <c:v>49.15</c:v>
                </c:pt>
                <c:pt idx="14">
                  <c:v>49.86</c:v>
                </c:pt>
                <c:pt idx="15">
                  <c:v>50.53</c:v>
                </c:pt>
                <c:pt idx="16">
                  <c:v>51.15</c:v>
                </c:pt>
                <c:pt idx="17">
                  <c:v>51.72</c:v>
                </c:pt>
                <c:pt idx="18">
                  <c:v>52.24</c:v>
                </c:pt>
                <c:pt idx="19">
                  <c:v>52.7</c:v>
                </c:pt>
                <c:pt idx="20">
                  <c:v>53.13</c:v>
                </c:pt>
                <c:pt idx="21">
                  <c:v>53.57</c:v>
                </c:pt>
                <c:pt idx="22">
                  <c:v>54</c:v>
                </c:pt>
                <c:pt idx="23">
                  <c:v>54.44</c:v>
                </c:pt>
                <c:pt idx="24">
                  <c:v>54.87</c:v>
                </c:pt>
                <c:pt idx="25">
                  <c:v>55.3</c:v>
                </c:pt>
                <c:pt idx="26">
                  <c:v>55.72</c:v>
                </c:pt>
                <c:pt idx="27">
                  <c:v>56.14</c:v>
                </c:pt>
                <c:pt idx="28">
                  <c:v>56.55</c:v>
                </c:pt>
                <c:pt idx="29">
                  <c:v>56.96</c:v>
                </c:pt>
                <c:pt idx="30">
                  <c:v>57.36</c:v>
                </c:pt>
                <c:pt idx="31">
                  <c:v>57.75</c:v>
                </c:pt>
                <c:pt idx="32">
                  <c:v>58.14</c:v>
                </c:pt>
                <c:pt idx="33">
                  <c:v>58.51</c:v>
                </c:pt>
                <c:pt idx="34">
                  <c:v>58.87</c:v>
                </c:pt>
                <c:pt idx="35">
                  <c:v>59.22</c:v>
                </c:pt>
                <c:pt idx="36">
                  <c:v>59.56</c:v>
                </c:pt>
                <c:pt idx="37">
                  <c:v>59.88</c:v>
                </c:pt>
                <c:pt idx="38">
                  <c:v>60.19</c:v>
                </c:pt>
                <c:pt idx="39">
                  <c:v>60.48</c:v>
                </c:pt>
                <c:pt idx="40">
                  <c:v>60.76</c:v>
                </c:pt>
                <c:pt idx="41">
                  <c:v>61.02</c:v>
                </c:pt>
                <c:pt idx="42">
                  <c:v>61.26</c:v>
                </c:pt>
                <c:pt idx="43">
                  <c:v>61.49</c:v>
                </c:pt>
                <c:pt idx="44">
                  <c:v>61.69</c:v>
                </c:pt>
                <c:pt idx="45">
                  <c:v>61.87</c:v>
                </c:pt>
                <c:pt idx="46">
                  <c:v>62.03</c:v>
                </c:pt>
                <c:pt idx="47">
                  <c:v>62.17</c:v>
                </c:pt>
                <c:pt idx="48">
                  <c:v>62.29</c:v>
                </c:pt>
                <c:pt idx="49">
                  <c:v>62.38</c:v>
                </c:pt>
                <c:pt idx="50">
                  <c:v>62.45</c:v>
                </c:pt>
                <c:pt idx="51">
                  <c:v>62.49</c:v>
                </c:pt>
                <c:pt idx="52">
                  <c:v>62.5</c:v>
                </c:pt>
                <c:pt idx="53">
                  <c:v>62.5</c:v>
                </c:pt>
                <c:pt idx="54">
                  <c:v>62.5</c:v>
                </c:pt>
                <c:pt idx="55">
                  <c:v>62.5</c:v>
                </c:pt>
                <c:pt idx="56">
                  <c:v>62.75</c:v>
                </c:pt>
                <c:pt idx="57">
                  <c:v>63.45</c:v>
                </c:pt>
                <c:pt idx="58">
                  <c:v>64.489999999999995</c:v>
                </c:pt>
                <c:pt idx="59">
                  <c:v>65.790000000000006</c:v>
                </c:pt>
                <c:pt idx="60">
                  <c:v>67.260000000000005</c:v>
                </c:pt>
                <c:pt idx="61">
                  <c:v>68.8</c:v>
                </c:pt>
                <c:pt idx="62">
                  <c:v>70.31</c:v>
                </c:pt>
                <c:pt idx="63">
                  <c:v>71.709999999999994</c:v>
                </c:pt>
                <c:pt idx="64">
                  <c:v>72.91</c:v>
                </c:pt>
                <c:pt idx="65">
                  <c:v>73.8</c:v>
                </c:pt>
                <c:pt idx="66">
                  <c:v>74.48</c:v>
                </c:pt>
                <c:pt idx="67">
                  <c:v>75.11</c:v>
                </c:pt>
                <c:pt idx="68">
                  <c:v>75.69</c:v>
                </c:pt>
                <c:pt idx="69">
                  <c:v>76.22</c:v>
                </c:pt>
                <c:pt idx="70">
                  <c:v>76.73</c:v>
                </c:pt>
                <c:pt idx="71">
                  <c:v>77.2</c:v>
                </c:pt>
                <c:pt idx="72">
                  <c:v>77.66</c:v>
                </c:pt>
                <c:pt idx="73">
                  <c:v>78.11</c:v>
                </c:pt>
                <c:pt idx="74">
                  <c:v>78.55</c:v>
                </c:pt>
                <c:pt idx="75">
                  <c:v>79</c:v>
                </c:pt>
                <c:pt idx="76">
                  <c:v>79.44</c:v>
                </c:pt>
                <c:pt idx="77">
                  <c:v>79.86</c:v>
                </c:pt>
                <c:pt idx="78">
                  <c:v>80.27</c:v>
                </c:pt>
                <c:pt idx="79">
                  <c:v>80.66</c:v>
                </c:pt>
                <c:pt idx="80">
                  <c:v>81.05</c:v>
                </c:pt>
                <c:pt idx="81">
                  <c:v>81.430000000000007</c:v>
                </c:pt>
                <c:pt idx="82">
                  <c:v>81.81</c:v>
                </c:pt>
                <c:pt idx="83">
                  <c:v>82.2</c:v>
                </c:pt>
                <c:pt idx="84">
                  <c:v>82.59</c:v>
                </c:pt>
                <c:pt idx="85">
                  <c:v>83</c:v>
                </c:pt>
                <c:pt idx="86">
                  <c:v>83.42</c:v>
                </c:pt>
                <c:pt idx="87">
                  <c:v>83.86</c:v>
                </c:pt>
                <c:pt idx="88">
                  <c:v>84.31</c:v>
                </c:pt>
                <c:pt idx="89">
                  <c:v>84.76</c:v>
                </c:pt>
                <c:pt idx="90">
                  <c:v>85.21</c:v>
                </c:pt>
                <c:pt idx="91">
                  <c:v>85.66</c:v>
                </c:pt>
                <c:pt idx="92">
                  <c:v>86.09</c:v>
                </c:pt>
                <c:pt idx="93">
                  <c:v>86.52</c:v>
                </c:pt>
                <c:pt idx="94">
                  <c:v>86.92</c:v>
                </c:pt>
                <c:pt idx="95">
                  <c:v>87.3</c:v>
                </c:pt>
                <c:pt idx="96">
                  <c:v>87.66</c:v>
                </c:pt>
                <c:pt idx="97">
                  <c:v>88.01</c:v>
                </c:pt>
                <c:pt idx="98">
                  <c:v>88.34</c:v>
                </c:pt>
                <c:pt idx="99">
                  <c:v>88.67</c:v>
                </c:pt>
                <c:pt idx="100">
                  <c:v>88.99</c:v>
                </c:pt>
                <c:pt idx="101">
                  <c:v>89.3</c:v>
                </c:pt>
                <c:pt idx="102">
                  <c:v>89.6</c:v>
                </c:pt>
                <c:pt idx="103">
                  <c:v>89.91</c:v>
                </c:pt>
                <c:pt idx="104">
                  <c:v>90.2</c:v>
                </c:pt>
                <c:pt idx="105">
                  <c:v>90.5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A0-416C-B531-3955C416C995}"/>
            </c:ext>
          </c:extLst>
        </c:ser>
        <c:ser>
          <c:idx val="2"/>
          <c:order val="2"/>
          <c:tx>
            <c:strRef>
              <c:f>'Все-адм'!$D$3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'Все-адм'!$D$4:$D$109</c:f>
              <c:numCache>
                <c:formatCode>0.0</c:formatCode>
                <c:ptCount val="106"/>
                <c:pt idx="5">
                  <c:v>26.9</c:v>
                </c:pt>
                <c:pt idx="6">
                  <c:v>27</c:v>
                </c:pt>
                <c:pt idx="7">
                  <c:v>27.1</c:v>
                </c:pt>
                <c:pt idx="8">
                  <c:v>27.2</c:v>
                </c:pt>
                <c:pt idx="9">
                  <c:v>27.3</c:v>
                </c:pt>
                <c:pt idx="10">
                  <c:v>27.4</c:v>
                </c:pt>
                <c:pt idx="11">
                  <c:v>27.5</c:v>
                </c:pt>
                <c:pt idx="12">
                  <c:v>27.6</c:v>
                </c:pt>
                <c:pt idx="13">
                  <c:v>27.7</c:v>
                </c:pt>
                <c:pt idx="14">
                  <c:v>27.8</c:v>
                </c:pt>
                <c:pt idx="15">
                  <c:v>27.9</c:v>
                </c:pt>
                <c:pt idx="16">
                  <c:v>28.01</c:v>
                </c:pt>
                <c:pt idx="17">
                  <c:v>28.11</c:v>
                </c:pt>
                <c:pt idx="18">
                  <c:v>28.22</c:v>
                </c:pt>
                <c:pt idx="19">
                  <c:v>28.33</c:v>
                </c:pt>
                <c:pt idx="20">
                  <c:v>28.44</c:v>
                </c:pt>
                <c:pt idx="21">
                  <c:v>28.55</c:v>
                </c:pt>
                <c:pt idx="22">
                  <c:v>28.66</c:v>
                </c:pt>
                <c:pt idx="23">
                  <c:v>28.77</c:v>
                </c:pt>
                <c:pt idx="24">
                  <c:v>28.89</c:v>
                </c:pt>
                <c:pt idx="25">
                  <c:v>29.01</c:v>
                </c:pt>
                <c:pt idx="26">
                  <c:v>29.13</c:v>
                </c:pt>
                <c:pt idx="27">
                  <c:v>29.25</c:v>
                </c:pt>
                <c:pt idx="28">
                  <c:v>29.37</c:v>
                </c:pt>
                <c:pt idx="29">
                  <c:v>29.5</c:v>
                </c:pt>
                <c:pt idx="30">
                  <c:v>29.63</c:v>
                </c:pt>
                <c:pt idx="31">
                  <c:v>29.76</c:v>
                </c:pt>
                <c:pt idx="32">
                  <c:v>29.89</c:v>
                </c:pt>
                <c:pt idx="33">
                  <c:v>30.03</c:v>
                </c:pt>
                <c:pt idx="34">
                  <c:v>30.17</c:v>
                </c:pt>
                <c:pt idx="35">
                  <c:v>30.31</c:v>
                </c:pt>
                <c:pt idx="36">
                  <c:v>30.45</c:v>
                </c:pt>
                <c:pt idx="37">
                  <c:v>30.6</c:v>
                </c:pt>
                <c:pt idx="38">
                  <c:v>30.75</c:v>
                </c:pt>
                <c:pt idx="39">
                  <c:v>30.91</c:v>
                </c:pt>
                <c:pt idx="40">
                  <c:v>31.07</c:v>
                </c:pt>
                <c:pt idx="41">
                  <c:v>31.23</c:v>
                </c:pt>
                <c:pt idx="42">
                  <c:v>31.39</c:v>
                </c:pt>
                <c:pt idx="43">
                  <c:v>31.56</c:v>
                </c:pt>
                <c:pt idx="44">
                  <c:v>31.73</c:v>
                </c:pt>
                <c:pt idx="45">
                  <c:v>31.91</c:v>
                </c:pt>
                <c:pt idx="46">
                  <c:v>32.090000000000003</c:v>
                </c:pt>
                <c:pt idx="47">
                  <c:v>32.270000000000003</c:v>
                </c:pt>
                <c:pt idx="48">
                  <c:v>32.46</c:v>
                </c:pt>
                <c:pt idx="49">
                  <c:v>32.65</c:v>
                </c:pt>
                <c:pt idx="50">
                  <c:v>32.85</c:v>
                </c:pt>
                <c:pt idx="51">
                  <c:v>33.049999999999997</c:v>
                </c:pt>
                <c:pt idx="52">
                  <c:v>33.25</c:v>
                </c:pt>
                <c:pt idx="53">
                  <c:v>33.47</c:v>
                </c:pt>
                <c:pt idx="54">
                  <c:v>33.68</c:v>
                </c:pt>
                <c:pt idx="55">
                  <c:v>33.9</c:v>
                </c:pt>
                <c:pt idx="56">
                  <c:v>34.200000000000003</c:v>
                </c:pt>
                <c:pt idx="57">
                  <c:v>34.64</c:v>
                </c:pt>
                <c:pt idx="58">
                  <c:v>35.18</c:v>
                </c:pt>
                <c:pt idx="59">
                  <c:v>35.799999999999997</c:v>
                </c:pt>
                <c:pt idx="60">
                  <c:v>36.46</c:v>
                </c:pt>
                <c:pt idx="61">
                  <c:v>37.130000000000003</c:v>
                </c:pt>
                <c:pt idx="62">
                  <c:v>37.79</c:v>
                </c:pt>
                <c:pt idx="63">
                  <c:v>38.380000000000003</c:v>
                </c:pt>
                <c:pt idx="64">
                  <c:v>38.9</c:v>
                </c:pt>
                <c:pt idx="65">
                  <c:v>39.299999999999997</c:v>
                </c:pt>
                <c:pt idx="66">
                  <c:v>39.6</c:v>
                </c:pt>
                <c:pt idx="67">
                  <c:v>39.85</c:v>
                </c:pt>
                <c:pt idx="68">
                  <c:v>40.07</c:v>
                </c:pt>
                <c:pt idx="69">
                  <c:v>40.26</c:v>
                </c:pt>
                <c:pt idx="70">
                  <c:v>40.44</c:v>
                </c:pt>
                <c:pt idx="71">
                  <c:v>40.630000000000003</c:v>
                </c:pt>
                <c:pt idx="72">
                  <c:v>40.840000000000003</c:v>
                </c:pt>
                <c:pt idx="73">
                  <c:v>41.07</c:v>
                </c:pt>
                <c:pt idx="74">
                  <c:v>41.36</c:v>
                </c:pt>
                <c:pt idx="75">
                  <c:v>41.7</c:v>
                </c:pt>
                <c:pt idx="76">
                  <c:v>42.18</c:v>
                </c:pt>
                <c:pt idx="77">
                  <c:v>42.85</c:v>
                </c:pt>
                <c:pt idx="78">
                  <c:v>43.66</c:v>
                </c:pt>
                <c:pt idx="79">
                  <c:v>44.59</c:v>
                </c:pt>
                <c:pt idx="80">
                  <c:v>45.6</c:v>
                </c:pt>
                <c:pt idx="81">
                  <c:v>46.64</c:v>
                </c:pt>
                <c:pt idx="82">
                  <c:v>47.69</c:v>
                </c:pt>
                <c:pt idx="83">
                  <c:v>48.71</c:v>
                </c:pt>
                <c:pt idx="84">
                  <c:v>49.66</c:v>
                </c:pt>
                <c:pt idx="85">
                  <c:v>50.5</c:v>
                </c:pt>
                <c:pt idx="86">
                  <c:v>51.28</c:v>
                </c:pt>
                <c:pt idx="87">
                  <c:v>52.04</c:v>
                </c:pt>
                <c:pt idx="88">
                  <c:v>52.8</c:v>
                </c:pt>
                <c:pt idx="89">
                  <c:v>53.53</c:v>
                </c:pt>
                <c:pt idx="90">
                  <c:v>54.25</c:v>
                </c:pt>
                <c:pt idx="91">
                  <c:v>54.95</c:v>
                </c:pt>
                <c:pt idx="92">
                  <c:v>55.63</c:v>
                </c:pt>
                <c:pt idx="93">
                  <c:v>56.28</c:v>
                </c:pt>
                <c:pt idx="94">
                  <c:v>56.91</c:v>
                </c:pt>
                <c:pt idx="95">
                  <c:v>57.5</c:v>
                </c:pt>
                <c:pt idx="96">
                  <c:v>58.06</c:v>
                </c:pt>
                <c:pt idx="97">
                  <c:v>58.6</c:v>
                </c:pt>
                <c:pt idx="98">
                  <c:v>59.12</c:v>
                </c:pt>
                <c:pt idx="99">
                  <c:v>59.63</c:v>
                </c:pt>
                <c:pt idx="100">
                  <c:v>60.11</c:v>
                </c:pt>
                <c:pt idx="101">
                  <c:v>60.59</c:v>
                </c:pt>
                <c:pt idx="102">
                  <c:v>61.05</c:v>
                </c:pt>
                <c:pt idx="103">
                  <c:v>61.5</c:v>
                </c:pt>
                <c:pt idx="104">
                  <c:v>61.95</c:v>
                </c:pt>
                <c:pt idx="105">
                  <c:v>62.4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EA0-416C-B531-3955C416C995}"/>
            </c:ext>
          </c:extLst>
        </c:ser>
        <c:ser>
          <c:idx val="3"/>
          <c:order val="3"/>
          <c:tx>
            <c:strRef>
              <c:f>'Все-адм'!$E$3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'Все-адм'!$E$4:$E$109</c:f>
              <c:numCache>
                <c:formatCode>0.0</c:formatCode>
                <c:ptCount val="106"/>
                <c:pt idx="45">
                  <c:v>31.2</c:v>
                </c:pt>
                <c:pt idx="46">
                  <c:v>31.7</c:v>
                </c:pt>
                <c:pt idx="47">
                  <c:v>32.21</c:v>
                </c:pt>
                <c:pt idx="48">
                  <c:v>32.72</c:v>
                </c:pt>
                <c:pt idx="49">
                  <c:v>33.229999999999997</c:v>
                </c:pt>
                <c:pt idx="50">
                  <c:v>33.75</c:v>
                </c:pt>
                <c:pt idx="51">
                  <c:v>34.28</c:v>
                </c:pt>
                <c:pt idx="52">
                  <c:v>34.81</c:v>
                </c:pt>
                <c:pt idx="53">
                  <c:v>35.36</c:v>
                </c:pt>
                <c:pt idx="54">
                  <c:v>35.92</c:v>
                </c:pt>
                <c:pt idx="55">
                  <c:v>36.5</c:v>
                </c:pt>
                <c:pt idx="56">
                  <c:v>37.08</c:v>
                </c:pt>
                <c:pt idx="57">
                  <c:v>37.65</c:v>
                </c:pt>
                <c:pt idx="58">
                  <c:v>38.22</c:v>
                </c:pt>
                <c:pt idx="59">
                  <c:v>38.799999999999997</c:v>
                </c:pt>
                <c:pt idx="60">
                  <c:v>39.4</c:v>
                </c:pt>
                <c:pt idx="61">
                  <c:v>40.03</c:v>
                </c:pt>
                <c:pt idx="62">
                  <c:v>40.69</c:v>
                </c:pt>
                <c:pt idx="63">
                  <c:v>41.4</c:v>
                </c:pt>
                <c:pt idx="64">
                  <c:v>42.17</c:v>
                </c:pt>
                <c:pt idx="65">
                  <c:v>43</c:v>
                </c:pt>
                <c:pt idx="66">
                  <c:v>43.95</c:v>
                </c:pt>
                <c:pt idx="67">
                  <c:v>45.06</c:v>
                </c:pt>
                <c:pt idx="68">
                  <c:v>46.28</c:v>
                </c:pt>
                <c:pt idx="69">
                  <c:v>47.61</c:v>
                </c:pt>
                <c:pt idx="70">
                  <c:v>49</c:v>
                </c:pt>
                <c:pt idx="71">
                  <c:v>50.42</c:v>
                </c:pt>
                <c:pt idx="72">
                  <c:v>51.85</c:v>
                </c:pt>
                <c:pt idx="73">
                  <c:v>53.26</c:v>
                </c:pt>
                <c:pt idx="74">
                  <c:v>54.62</c:v>
                </c:pt>
                <c:pt idx="75">
                  <c:v>55.9</c:v>
                </c:pt>
                <c:pt idx="76">
                  <c:v>57.12</c:v>
                </c:pt>
                <c:pt idx="77">
                  <c:v>58.33</c:v>
                </c:pt>
                <c:pt idx="78">
                  <c:v>59.52</c:v>
                </c:pt>
                <c:pt idx="79">
                  <c:v>60.71</c:v>
                </c:pt>
                <c:pt idx="80">
                  <c:v>61.88</c:v>
                </c:pt>
                <c:pt idx="81">
                  <c:v>63.04</c:v>
                </c:pt>
                <c:pt idx="82">
                  <c:v>64.19</c:v>
                </c:pt>
                <c:pt idx="83">
                  <c:v>65.34</c:v>
                </c:pt>
                <c:pt idx="84">
                  <c:v>66.47</c:v>
                </c:pt>
                <c:pt idx="85">
                  <c:v>67.599999999999994</c:v>
                </c:pt>
                <c:pt idx="86">
                  <c:v>68.77</c:v>
                </c:pt>
                <c:pt idx="87">
                  <c:v>70.02</c:v>
                </c:pt>
                <c:pt idx="88">
                  <c:v>71.3</c:v>
                </c:pt>
                <c:pt idx="89">
                  <c:v>72.59</c:v>
                </c:pt>
                <c:pt idx="90">
                  <c:v>73.849999999999994</c:v>
                </c:pt>
                <c:pt idx="91">
                  <c:v>75.040000000000006</c:v>
                </c:pt>
                <c:pt idx="92">
                  <c:v>76.12</c:v>
                </c:pt>
                <c:pt idx="93">
                  <c:v>77.069999999999993</c:v>
                </c:pt>
                <c:pt idx="94">
                  <c:v>77.84</c:v>
                </c:pt>
                <c:pt idx="95">
                  <c:v>78.400000000000006</c:v>
                </c:pt>
                <c:pt idx="96">
                  <c:v>78.819999999999993</c:v>
                </c:pt>
                <c:pt idx="97">
                  <c:v>79.2</c:v>
                </c:pt>
                <c:pt idx="98">
                  <c:v>79.53</c:v>
                </c:pt>
                <c:pt idx="99">
                  <c:v>79.84</c:v>
                </c:pt>
                <c:pt idx="100">
                  <c:v>80.11</c:v>
                </c:pt>
                <c:pt idx="101">
                  <c:v>80.36</c:v>
                </c:pt>
                <c:pt idx="102">
                  <c:v>80.58</c:v>
                </c:pt>
                <c:pt idx="103">
                  <c:v>80.8</c:v>
                </c:pt>
                <c:pt idx="104">
                  <c:v>81</c:v>
                </c:pt>
                <c:pt idx="105">
                  <c:v>81.2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EA0-416C-B531-3955C416C995}"/>
            </c:ext>
          </c:extLst>
        </c:ser>
        <c:ser>
          <c:idx val="4"/>
          <c:order val="4"/>
          <c:tx>
            <c:strRef>
              <c:f>'Все-адм'!$F$3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'Все-адм'!$F$4:$F$109</c:f>
              <c:numCache>
                <c:formatCode>0.0</c:formatCode>
                <c:ptCount val="106"/>
                <c:pt idx="41">
                  <c:v>35</c:v>
                </c:pt>
                <c:pt idx="42">
                  <c:v>35.67</c:v>
                </c:pt>
                <c:pt idx="43">
                  <c:v>36.369999999999997</c:v>
                </c:pt>
                <c:pt idx="44">
                  <c:v>37.14</c:v>
                </c:pt>
                <c:pt idx="45">
                  <c:v>38</c:v>
                </c:pt>
                <c:pt idx="46">
                  <c:v>39</c:v>
                </c:pt>
                <c:pt idx="47">
                  <c:v>40.21</c:v>
                </c:pt>
                <c:pt idx="48">
                  <c:v>41.64</c:v>
                </c:pt>
                <c:pt idx="49">
                  <c:v>43.25</c:v>
                </c:pt>
                <c:pt idx="50">
                  <c:v>44.98</c:v>
                </c:pt>
                <c:pt idx="51">
                  <c:v>46.79</c:v>
                </c:pt>
                <c:pt idx="52">
                  <c:v>48.62</c:v>
                </c:pt>
                <c:pt idx="53">
                  <c:v>50.41</c:v>
                </c:pt>
                <c:pt idx="54">
                  <c:v>52.12</c:v>
                </c:pt>
                <c:pt idx="55">
                  <c:v>53.7</c:v>
                </c:pt>
                <c:pt idx="56">
                  <c:v>55.19</c:v>
                </c:pt>
                <c:pt idx="57">
                  <c:v>56.67</c:v>
                </c:pt>
                <c:pt idx="58">
                  <c:v>58.13</c:v>
                </c:pt>
                <c:pt idx="59">
                  <c:v>59.57</c:v>
                </c:pt>
                <c:pt idx="60">
                  <c:v>60.98</c:v>
                </c:pt>
                <c:pt idx="61">
                  <c:v>62.36</c:v>
                </c:pt>
                <c:pt idx="62">
                  <c:v>63.7</c:v>
                </c:pt>
                <c:pt idx="63">
                  <c:v>64.989999999999995</c:v>
                </c:pt>
                <c:pt idx="64">
                  <c:v>66.22</c:v>
                </c:pt>
                <c:pt idx="65">
                  <c:v>67.400000000000006</c:v>
                </c:pt>
                <c:pt idx="66">
                  <c:v>68.53</c:v>
                </c:pt>
                <c:pt idx="67">
                  <c:v>69.62</c:v>
                </c:pt>
                <c:pt idx="68">
                  <c:v>70.69</c:v>
                </c:pt>
                <c:pt idx="69">
                  <c:v>71.72</c:v>
                </c:pt>
                <c:pt idx="70">
                  <c:v>72.72</c:v>
                </c:pt>
                <c:pt idx="71">
                  <c:v>73.69</c:v>
                </c:pt>
                <c:pt idx="72">
                  <c:v>74.62</c:v>
                </c:pt>
                <c:pt idx="73">
                  <c:v>75.52</c:v>
                </c:pt>
                <c:pt idx="74">
                  <c:v>76.38</c:v>
                </c:pt>
                <c:pt idx="75">
                  <c:v>77.2</c:v>
                </c:pt>
                <c:pt idx="76">
                  <c:v>78.03</c:v>
                </c:pt>
                <c:pt idx="77">
                  <c:v>78.91</c:v>
                </c:pt>
                <c:pt idx="78">
                  <c:v>79.8</c:v>
                </c:pt>
                <c:pt idx="79">
                  <c:v>80.680000000000007</c:v>
                </c:pt>
                <c:pt idx="80">
                  <c:v>81.510000000000005</c:v>
                </c:pt>
                <c:pt idx="81">
                  <c:v>82.27</c:v>
                </c:pt>
                <c:pt idx="82">
                  <c:v>82.93</c:v>
                </c:pt>
                <c:pt idx="83">
                  <c:v>83.45</c:v>
                </c:pt>
                <c:pt idx="84">
                  <c:v>83.82</c:v>
                </c:pt>
                <c:pt idx="85">
                  <c:v>84</c:v>
                </c:pt>
                <c:pt idx="86">
                  <c:v>84.07</c:v>
                </c:pt>
                <c:pt idx="87">
                  <c:v>84.12</c:v>
                </c:pt>
                <c:pt idx="88">
                  <c:v>84.15</c:v>
                </c:pt>
                <c:pt idx="89">
                  <c:v>84.18</c:v>
                </c:pt>
                <c:pt idx="90">
                  <c:v>84.21</c:v>
                </c:pt>
                <c:pt idx="91">
                  <c:v>84.23</c:v>
                </c:pt>
                <c:pt idx="92">
                  <c:v>84.26</c:v>
                </c:pt>
                <c:pt idx="93">
                  <c:v>84.29</c:v>
                </c:pt>
                <c:pt idx="94">
                  <c:v>84.34</c:v>
                </c:pt>
                <c:pt idx="95">
                  <c:v>84.4</c:v>
                </c:pt>
                <c:pt idx="96">
                  <c:v>84.5</c:v>
                </c:pt>
                <c:pt idx="97">
                  <c:v>84.64</c:v>
                </c:pt>
                <c:pt idx="98">
                  <c:v>84.83</c:v>
                </c:pt>
                <c:pt idx="99">
                  <c:v>85.05</c:v>
                </c:pt>
                <c:pt idx="100">
                  <c:v>85.31</c:v>
                </c:pt>
                <c:pt idx="101">
                  <c:v>85.6</c:v>
                </c:pt>
                <c:pt idx="102">
                  <c:v>85.9</c:v>
                </c:pt>
                <c:pt idx="103">
                  <c:v>86.23</c:v>
                </c:pt>
                <c:pt idx="104">
                  <c:v>86.56</c:v>
                </c:pt>
                <c:pt idx="105">
                  <c:v>86.9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EA0-416C-B531-3955C416C995}"/>
            </c:ext>
          </c:extLst>
        </c:ser>
        <c:ser>
          <c:idx val="6"/>
          <c:order val="6"/>
          <c:tx>
            <c:strRef>
              <c:f>'Все-адм'!$H$3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'Все-адм'!$H$4:$H$109</c:f>
              <c:numCache>
                <c:formatCode>0.0</c:formatCode>
                <c:ptCount val="106"/>
                <c:pt idx="26">
                  <c:v>26.6</c:v>
                </c:pt>
                <c:pt idx="27">
                  <c:v>26.61</c:v>
                </c:pt>
                <c:pt idx="28">
                  <c:v>26.62</c:v>
                </c:pt>
                <c:pt idx="29">
                  <c:v>26.62</c:v>
                </c:pt>
                <c:pt idx="30">
                  <c:v>26.63</c:v>
                </c:pt>
                <c:pt idx="31">
                  <c:v>26.64</c:v>
                </c:pt>
                <c:pt idx="32">
                  <c:v>26.65</c:v>
                </c:pt>
                <c:pt idx="33">
                  <c:v>26.65</c:v>
                </c:pt>
                <c:pt idx="34">
                  <c:v>26.66</c:v>
                </c:pt>
                <c:pt idx="35">
                  <c:v>26.67</c:v>
                </c:pt>
                <c:pt idx="36">
                  <c:v>26.67</c:v>
                </c:pt>
                <c:pt idx="37">
                  <c:v>26.68</c:v>
                </c:pt>
                <c:pt idx="38">
                  <c:v>26.68</c:v>
                </c:pt>
                <c:pt idx="39">
                  <c:v>26.69</c:v>
                </c:pt>
                <c:pt idx="40">
                  <c:v>26.69</c:v>
                </c:pt>
                <c:pt idx="41">
                  <c:v>26.69</c:v>
                </c:pt>
                <c:pt idx="42">
                  <c:v>26.7</c:v>
                </c:pt>
                <c:pt idx="43">
                  <c:v>26.7</c:v>
                </c:pt>
                <c:pt idx="44">
                  <c:v>26.7</c:v>
                </c:pt>
                <c:pt idx="45">
                  <c:v>26.7</c:v>
                </c:pt>
                <c:pt idx="46">
                  <c:v>26.65</c:v>
                </c:pt>
                <c:pt idx="47">
                  <c:v>26.52</c:v>
                </c:pt>
                <c:pt idx="48">
                  <c:v>26.33</c:v>
                </c:pt>
                <c:pt idx="49">
                  <c:v>26.1</c:v>
                </c:pt>
                <c:pt idx="50">
                  <c:v>25.85</c:v>
                </c:pt>
                <c:pt idx="51">
                  <c:v>25.6</c:v>
                </c:pt>
                <c:pt idx="52">
                  <c:v>25.37</c:v>
                </c:pt>
                <c:pt idx="53">
                  <c:v>25.18</c:v>
                </c:pt>
                <c:pt idx="54">
                  <c:v>25.05</c:v>
                </c:pt>
                <c:pt idx="55">
                  <c:v>25</c:v>
                </c:pt>
                <c:pt idx="56">
                  <c:v>25.2</c:v>
                </c:pt>
                <c:pt idx="57">
                  <c:v>25.76</c:v>
                </c:pt>
                <c:pt idx="58">
                  <c:v>26.59</c:v>
                </c:pt>
                <c:pt idx="59">
                  <c:v>27.62</c:v>
                </c:pt>
                <c:pt idx="60">
                  <c:v>28.77</c:v>
                </c:pt>
                <c:pt idx="61">
                  <c:v>29.96</c:v>
                </c:pt>
                <c:pt idx="62">
                  <c:v>31.12</c:v>
                </c:pt>
                <c:pt idx="63">
                  <c:v>32.159999999999997</c:v>
                </c:pt>
                <c:pt idx="64">
                  <c:v>33.020000000000003</c:v>
                </c:pt>
                <c:pt idx="65">
                  <c:v>33.6</c:v>
                </c:pt>
                <c:pt idx="66">
                  <c:v>34.020000000000003</c:v>
                </c:pt>
                <c:pt idx="67">
                  <c:v>34.43</c:v>
                </c:pt>
                <c:pt idx="68">
                  <c:v>34.83</c:v>
                </c:pt>
                <c:pt idx="69">
                  <c:v>35.19</c:v>
                </c:pt>
                <c:pt idx="70">
                  <c:v>35.53</c:v>
                </c:pt>
                <c:pt idx="71">
                  <c:v>35.82</c:v>
                </c:pt>
                <c:pt idx="72">
                  <c:v>36.06</c:v>
                </c:pt>
                <c:pt idx="73">
                  <c:v>36.24</c:v>
                </c:pt>
                <c:pt idx="74">
                  <c:v>36.36</c:v>
                </c:pt>
                <c:pt idx="75">
                  <c:v>36.4</c:v>
                </c:pt>
                <c:pt idx="76">
                  <c:v>36.299999999999997</c:v>
                </c:pt>
                <c:pt idx="77">
                  <c:v>36.020000000000003</c:v>
                </c:pt>
                <c:pt idx="78">
                  <c:v>35.6</c:v>
                </c:pt>
                <c:pt idx="79">
                  <c:v>35.1</c:v>
                </c:pt>
                <c:pt idx="80">
                  <c:v>34.549999999999997</c:v>
                </c:pt>
                <c:pt idx="81">
                  <c:v>34</c:v>
                </c:pt>
                <c:pt idx="82">
                  <c:v>33.5</c:v>
                </c:pt>
                <c:pt idx="83">
                  <c:v>33.08</c:v>
                </c:pt>
                <c:pt idx="84">
                  <c:v>32.799999999999997</c:v>
                </c:pt>
                <c:pt idx="85">
                  <c:v>32.700000000000003</c:v>
                </c:pt>
                <c:pt idx="86">
                  <c:v>32.729999999999997</c:v>
                </c:pt>
                <c:pt idx="87">
                  <c:v>32.82</c:v>
                </c:pt>
                <c:pt idx="88">
                  <c:v>32.96</c:v>
                </c:pt>
                <c:pt idx="89">
                  <c:v>33.14</c:v>
                </c:pt>
                <c:pt idx="90">
                  <c:v>33.369999999999997</c:v>
                </c:pt>
                <c:pt idx="91">
                  <c:v>33.64</c:v>
                </c:pt>
                <c:pt idx="92">
                  <c:v>33.94</c:v>
                </c:pt>
                <c:pt idx="93">
                  <c:v>34.270000000000003</c:v>
                </c:pt>
                <c:pt idx="94">
                  <c:v>34.630000000000003</c:v>
                </c:pt>
                <c:pt idx="95">
                  <c:v>35</c:v>
                </c:pt>
                <c:pt idx="96">
                  <c:v>35.49</c:v>
                </c:pt>
                <c:pt idx="97">
                  <c:v>36.17</c:v>
                </c:pt>
                <c:pt idx="98">
                  <c:v>37.03</c:v>
                </c:pt>
                <c:pt idx="99">
                  <c:v>38.04</c:v>
                </c:pt>
                <c:pt idx="100">
                  <c:v>39.18</c:v>
                </c:pt>
                <c:pt idx="101">
                  <c:v>40.44</c:v>
                </c:pt>
                <c:pt idx="102">
                  <c:v>41.77</c:v>
                </c:pt>
                <c:pt idx="103">
                  <c:v>43.18</c:v>
                </c:pt>
                <c:pt idx="104">
                  <c:v>44.63</c:v>
                </c:pt>
                <c:pt idx="105">
                  <c:v>46.1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EA0-416C-B531-3955C416C995}"/>
            </c:ext>
          </c:extLst>
        </c:ser>
        <c:ser>
          <c:idx val="8"/>
          <c:order val="8"/>
          <c:tx>
            <c:strRef>
              <c:f>'Все-адм'!$J$3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'Все-адм'!$J$4:$J$109</c:f>
              <c:numCache>
                <c:formatCode>0.0</c:formatCode>
                <c:ptCount val="106"/>
                <c:pt idx="50">
                  <c:v>29</c:v>
                </c:pt>
                <c:pt idx="51">
                  <c:v>29.59</c:v>
                </c:pt>
                <c:pt idx="52">
                  <c:v>30.14</c:v>
                </c:pt>
                <c:pt idx="53">
                  <c:v>30.58</c:v>
                </c:pt>
                <c:pt idx="54">
                  <c:v>30.89</c:v>
                </c:pt>
                <c:pt idx="55">
                  <c:v>31</c:v>
                </c:pt>
                <c:pt idx="56">
                  <c:v>30.98</c:v>
                </c:pt>
                <c:pt idx="57">
                  <c:v>30.94</c:v>
                </c:pt>
                <c:pt idx="58">
                  <c:v>30.87</c:v>
                </c:pt>
                <c:pt idx="59">
                  <c:v>30.79</c:v>
                </c:pt>
                <c:pt idx="60">
                  <c:v>30.7</c:v>
                </c:pt>
                <c:pt idx="61">
                  <c:v>30.61</c:v>
                </c:pt>
                <c:pt idx="62">
                  <c:v>30.53</c:v>
                </c:pt>
                <c:pt idx="63">
                  <c:v>30.46</c:v>
                </c:pt>
                <c:pt idx="64">
                  <c:v>30.42</c:v>
                </c:pt>
                <c:pt idx="65">
                  <c:v>30.4</c:v>
                </c:pt>
                <c:pt idx="66">
                  <c:v>30.57</c:v>
                </c:pt>
                <c:pt idx="67">
                  <c:v>31.03</c:v>
                </c:pt>
                <c:pt idx="68">
                  <c:v>31.71</c:v>
                </c:pt>
                <c:pt idx="69">
                  <c:v>32.56</c:v>
                </c:pt>
                <c:pt idx="70">
                  <c:v>33.49</c:v>
                </c:pt>
                <c:pt idx="71">
                  <c:v>34.450000000000003</c:v>
                </c:pt>
                <c:pt idx="72">
                  <c:v>35.369999999999997</c:v>
                </c:pt>
                <c:pt idx="73">
                  <c:v>36.18</c:v>
                </c:pt>
                <c:pt idx="74">
                  <c:v>36.81</c:v>
                </c:pt>
                <c:pt idx="75">
                  <c:v>37.200000000000003</c:v>
                </c:pt>
                <c:pt idx="76">
                  <c:v>37.42</c:v>
                </c:pt>
                <c:pt idx="77">
                  <c:v>37.590000000000003</c:v>
                </c:pt>
                <c:pt idx="78">
                  <c:v>37.72</c:v>
                </c:pt>
                <c:pt idx="79">
                  <c:v>37.840000000000003</c:v>
                </c:pt>
                <c:pt idx="80">
                  <c:v>37.94</c:v>
                </c:pt>
                <c:pt idx="81">
                  <c:v>38.04</c:v>
                </c:pt>
                <c:pt idx="82">
                  <c:v>38.15</c:v>
                </c:pt>
                <c:pt idx="83">
                  <c:v>38.29</c:v>
                </c:pt>
                <c:pt idx="84">
                  <c:v>38.47</c:v>
                </c:pt>
                <c:pt idx="85">
                  <c:v>38.700000000000003</c:v>
                </c:pt>
                <c:pt idx="86">
                  <c:v>39.15</c:v>
                </c:pt>
                <c:pt idx="87">
                  <c:v>39.94</c:v>
                </c:pt>
                <c:pt idx="88">
                  <c:v>40.98</c:v>
                </c:pt>
                <c:pt idx="89">
                  <c:v>42.17</c:v>
                </c:pt>
                <c:pt idx="90">
                  <c:v>43.42</c:v>
                </c:pt>
                <c:pt idx="91">
                  <c:v>44.65</c:v>
                </c:pt>
                <c:pt idx="92">
                  <c:v>45.76</c:v>
                </c:pt>
                <c:pt idx="93">
                  <c:v>46.67</c:v>
                </c:pt>
                <c:pt idx="94">
                  <c:v>47.28</c:v>
                </c:pt>
                <c:pt idx="95">
                  <c:v>47.5</c:v>
                </c:pt>
                <c:pt idx="96">
                  <c:v>47.47</c:v>
                </c:pt>
                <c:pt idx="97">
                  <c:v>47.39</c:v>
                </c:pt>
                <c:pt idx="98">
                  <c:v>47.26</c:v>
                </c:pt>
                <c:pt idx="99">
                  <c:v>47.08</c:v>
                </c:pt>
                <c:pt idx="100">
                  <c:v>46.88</c:v>
                </c:pt>
                <c:pt idx="101">
                  <c:v>46.64</c:v>
                </c:pt>
                <c:pt idx="102">
                  <c:v>46.37</c:v>
                </c:pt>
                <c:pt idx="103">
                  <c:v>46.09</c:v>
                </c:pt>
                <c:pt idx="104">
                  <c:v>45.8</c:v>
                </c:pt>
                <c:pt idx="105">
                  <c:v>45.5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EA0-416C-B531-3955C416C995}"/>
            </c:ext>
          </c:extLst>
        </c:ser>
        <c:ser>
          <c:idx val="9"/>
          <c:order val="9"/>
          <c:tx>
            <c:strRef>
              <c:f>'Все-адм'!$K$3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'Все-адм'!$K$4:$K$109</c:f>
              <c:numCache>
                <c:formatCode>0.0</c:formatCode>
                <c:ptCount val="106"/>
                <c:pt idx="25">
                  <c:v>16.100000000000001</c:v>
                </c:pt>
                <c:pt idx="26">
                  <c:v>16.190000000000001</c:v>
                </c:pt>
                <c:pt idx="27">
                  <c:v>16.29</c:v>
                </c:pt>
                <c:pt idx="28">
                  <c:v>16.39</c:v>
                </c:pt>
                <c:pt idx="29">
                  <c:v>16.489999999999998</c:v>
                </c:pt>
                <c:pt idx="30">
                  <c:v>16.59</c:v>
                </c:pt>
                <c:pt idx="31">
                  <c:v>16.7</c:v>
                </c:pt>
                <c:pt idx="32">
                  <c:v>16.809999999999999</c:v>
                </c:pt>
                <c:pt idx="33">
                  <c:v>16.93</c:v>
                </c:pt>
                <c:pt idx="34">
                  <c:v>17.05</c:v>
                </c:pt>
                <c:pt idx="35">
                  <c:v>17.190000000000001</c:v>
                </c:pt>
                <c:pt idx="36">
                  <c:v>17.329999999999998</c:v>
                </c:pt>
                <c:pt idx="37">
                  <c:v>17.48</c:v>
                </c:pt>
                <c:pt idx="38">
                  <c:v>17.64</c:v>
                </c:pt>
                <c:pt idx="39">
                  <c:v>17.809999999999999</c:v>
                </c:pt>
                <c:pt idx="40">
                  <c:v>18</c:v>
                </c:pt>
                <c:pt idx="41">
                  <c:v>18.21</c:v>
                </c:pt>
                <c:pt idx="42">
                  <c:v>18.46</c:v>
                </c:pt>
                <c:pt idx="43">
                  <c:v>18.739999999999998</c:v>
                </c:pt>
                <c:pt idx="44">
                  <c:v>19.059999999999999</c:v>
                </c:pt>
                <c:pt idx="45">
                  <c:v>19.41</c:v>
                </c:pt>
                <c:pt idx="46">
                  <c:v>19.78</c:v>
                </c:pt>
                <c:pt idx="47">
                  <c:v>20.18</c:v>
                </c:pt>
                <c:pt idx="48">
                  <c:v>20.6</c:v>
                </c:pt>
                <c:pt idx="49">
                  <c:v>21.03</c:v>
                </c:pt>
                <c:pt idx="50">
                  <c:v>21.49</c:v>
                </c:pt>
                <c:pt idx="51">
                  <c:v>21.95</c:v>
                </c:pt>
                <c:pt idx="52">
                  <c:v>22.43</c:v>
                </c:pt>
                <c:pt idx="53">
                  <c:v>22.92</c:v>
                </c:pt>
                <c:pt idx="54">
                  <c:v>23.41</c:v>
                </c:pt>
                <c:pt idx="55">
                  <c:v>23.9</c:v>
                </c:pt>
                <c:pt idx="56">
                  <c:v>24.41</c:v>
                </c:pt>
                <c:pt idx="57">
                  <c:v>24.97</c:v>
                </c:pt>
                <c:pt idx="58">
                  <c:v>25.57</c:v>
                </c:pt>
                <c:pt idx="59">
                  <c:v>26.2</c:v>
                </c:pt>
                <c:pt idx="60">
                  <c:v>26.86</c:v>
                </c:pt>
                <c:pt idx="61">
                  <c:v>27.54</c:v>
                </c:pt>
                <c:pt idx="62">
                  <c:v>28.26</c:v>
                </c:pt>
                <c:pt idx="63">
                  <c:v>28.99</c:v>
                </c:pt>
                <c:pt idx="64">
                  <c:v>29.74</c:v>
                </c:pt>
                <c:pt idx="65">
                  <c:v>30.5</c:v>
                </c:pt>
                <c:pt idx="66">
                  <c:v>31.29</c:v>
                </c:pt>
                <c:pt idx="67">
                  <c:v>32.1</c:v>
                </c:pt>
                <c:pt idx="68">
                  <c:v>32.950000000000003</c:v>
                </c:pt>
                <c:pt idx="69">
                  <c:v>33.83</c:v>
                </c:pt>
                <c:pt idx="70">
                  <c:v>34.74</c:v>
                </c:pt>
                <c:pt idx="71">
                  <c:v>35.68</c:v>
                </c:pt>
                <c:pt idx="72">
                  <c:v>36.65</c:v>
                </c:pt>
                <c:pt idx="73">
                  <c:v>37.64</c:v>
                </c:pt>
                <c:pt idx="74">
                  <c:v>38.659999999999997</c:v>
                </c:pt>
                <c:pt idx="75">
                  <c:v>39.700000000000003</c:v>
                </c:pt>
                <c:pt idx="76">
                  <c:v>40.840000000000003</c:v>
                </c:pt>
                <c:pt idx="77">
                  <c:v>42.13</c:v>
                </c:pt>
                <c:pt idx="78">
                  <c:v>43.52</c:v>
                </c:pt>
                <c:pt idx="79">
                  <c:v>44.96</c:v>
                </c:pt>
                <c:pt idx="80">
                  <c:v>46.4</c:v>
                </c:pt>
                <c:pt idx="81">
                  <c:v>47.8</c:v>
                </c:pt>
                <c:pt idx="82">
                  <c:v>49.1</c:v>
                </c:pt>
                <c:pt idx="83">
                  <c:v>50.27</c:v>
                </c:pt>
                <c:pt idx="84">
                  <c:v>51.25</c:v>
                </c:pt>
                <c:pt idx="85">
                  <c:v>52</c:v>
                </c:pt>
                <c:pt idx="86">
                  <c:v>52.59</c:v>
                </c:pt>
                <c:pt idx="87">
                  <c:v>53.12</c:v>
                </c:pt>
                <c:pt idx="88">
                  <c:v>53.61</c:v>
                </c:pt>
                <c:pt idx="89">
                  <c:v>54.06</c:v>
                </c:pt>
                <c:pt idx="90">
                  <c:v>54.47</c:v>
                </c:pt>
                <c:pt idx="91">
                  <c:v>54.85</c:v>
                </c:pt>
                <c:pt idx="92">
                  <c:v>55.19</c:v>
                </c:pt>
                <c:pt idx="93">
                  <c:v>55.51</c:v>
                </c:pt>
                <c:pt idx="94">
                  <c:v>55.82</c:v>
                </c:pt>
                <c:pt idx="95">
                  <c:v>56.1</c:v>
                </c:pt>
                <c:pt idx="96">
                  <c:v>56.37</c:v>
                </c:pt>
                <c:pt idx="97">
                  <c:v>56.62</c:v>
                </c:pt>
                <c:pt idx="98">
                  <c:v>56.85</c:v>
                </c:pt>
                <c:pt idx="99">
                  <c:v>57.07</c:v>
                </c:pt>
                <c:pt idx="100">
                  <c:v>57.28</c:v>
                </c:pt>
                <c:pt idx="101">
                  <c:v>57.47</c:v>
                </c:pt>
                <c:pt idx="102">
                  <c:v>57.66</c:v>
                </c:pt>
                <c:pt idx="103">
                  <c:v>57.85</c:v>
                </c:pt>
                <c:pt idx="104">
                  <c:v>58.02</c:v>
                </c:pt>
                <c:pt idx="105">
                  <c:v>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EA0-416C-B531-3955C416C995}"/>
            </c:ext>
          </c:extLst>
        </c:ser>
        <c:ser>
          <c:idx val="10"/>
          <c:order val="10"/>
          <c:tx>
            <c:strRef>
              <c:f>'Все-адм'!$L$3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'Все-адм'!$L$4:$L$109</c:f>
              <c:numCache>
                <c:formatCode>0.0</c:formatCode>
                <c:ptCount val="106"/>
                <c:pt idx="43">
                  <c:v>29.1</c:v>
                </c:pt>
                <c:pt idx="44">
                  <c:v>30.29</c:v>
                </c:pt>
                <c:pt idx="45">
                  <c:v>31.47</c:v>
                </c:pt>
                <c:pt idx="46">
                  <c:v>32.65</c:v>
                </c:pt>
                <c:pt idx="47">
                  <c:v>33.82</c:v>
                </c:pt>
                <c:pt idx="48">
                  <c:v>34.979999999999997</c:v>
                </c:pt>
                <c:pt idx="49">
                  <c:v>36.14</c:v>
                </c:pt>
                <c:pt idx="50">
                  <c:v>37.28</c:v>
                </c:pt>
                <c:pt idx="51">
                  <c:v>38.4</c:v>
                </c:pt>
                <c:pt idx="52">
                  <c:v>39.51</c:v>
                </c:pt>
                <c:pt idx="53">
                  <c:v>40.590000000000003</c:v>
                </c:pt>
                <c:pt idx="54">
                  <c:v>41.66</c:v>
                </c:pt>
                <c:pt idx="55">
                  <c:v>42.7</c:v>
                </c:pt>
                <c:pt idx="56">
                  <c:v>43.72</c:v>
                </c:pt>
                <c:pt idx="57">
                  <c:v>44.74</c:v>
                </c:pt>
                <c:pt idx="58">
                  <c:v>45.74</c:v>
                </c:pt>
                <c:pt idx="59">
                  <c:v>46.72</c:v>
                </c:pt>
                <c:pt idx="60">
                  <c:v>47.68</c:v>
                </c:pt>
                <c:pt idx="61">
                  <c:v>48.62</c:v>
                </c:pt>
                <c:pt idx="62">
                  <c:v>49.54</c:v>
                </c:pt>
                <c:pt idx="63">
                  <c:v>50.42</c:v>
                </c:pt>
                <c:pt idx="64">
                  <c:v>51.28</c:v>
                </c:pt>
                <c:pt idx="65">
                  <c:v>52.1</c:v>
                </c:pt>
                <c:pt idx="66">
                  <c:v>52.88</c:v>
                </c:pt>
                <c:pt idx="67">
                  <c:v>53.61</c:v>
                </c:pt>
                <c:pt idx="68">
                  <c:v>54.32</c:v>
                </c:pt>
                <c:pt idx="69">
                  <c:v>55</c:v>
                </c:pt>
                <c:pt idx="70">
                  <c:v>55.66</c:v>
                </c:pt>
                <c:pt idx="71">
                  <c:v>56.32</c:v>
                </c:pt>
                <c:pt idx="72">
                  <c:v>56.99</c:v>
                </c:pt>
                <c:pt idx="73">
                  <c:v>57.67</c:v>
                </c:pt>
                <c:pt idx="74">
                  <c:v>58.37</c:v>
                </c:pt>
                <c:pt idx="75">
                  <c:v>59.1</c:v>
                </c:pt>
                <c:pt idx="76">
                  <c:v>59.89</c:v>
                </c:pt>
                <c:pt idx="77">
                  <c:v>60.74</c:v>
                </c:pt>
                <c:pt idx="78">
                  <c:v>61.63</c:v>
                </c:pt>
                <c:pt idx="79">
                  <c:v>62.54</c:v>
                </c:pt>
                <c:pt idx="80">
                  <c:v>63.44</c:v>
                </c:pt>
                <c:pt idx="81">
                  <c:v>64.319999999999993</c:v>
                </c:pt>
                <c:pt idx="82">
                  <c:v>65.16</c:v>
                </c:pt>
                <c:pt idx="83">
                  <c:v>65.94</c:v>
                </c:pt>
                <c:pt idx="84">
                  <c:v>66.62</c:v>
                </c:pt>
                <c:pt idx="85">
                  <c:v>67.2</c:v>
                </c:pt>
                <c:pt idx="86">
                  <c:v>67.69</c:v>
                </c:pt>
                <c:pt idx="87">
                  <c:v>68.13</c:v>
                </c:pt>
                <c:pt idx="88">
                  <c:v>68.540000000000006</c:v>
                </c:pt>
                <c:pt idx="89">
                  <c:v>68.91</c:v>
                </c:pt>
                <c:pt idx="90">
                  <c:v>69.27</c:v>
                </c:pt>
                <c:pt idx="91">
                  <c:v>69.599999999999994</c:v>
                </c:pt>
                <c:pt idx="92">
                  <c:v>69.94</c:v>
                </c:pt>
                <c:pt idx="93">
                  <c:v>70.28</c:v>
                </c:pt>
                <c:pt idx="94">
                  <c:v>70.63</c:v>
                </c:pt>
                <c:pt idx="95">
                  <c:v>71</c:v>
                </c:pt>
                <c:pt idx="96">
                  <c:v>71.39</c:v>
                </c:pt>
                <c:pt idx="97">
                  <c:v>71.77</c:v>
                </c:pt>
                <c:pt idx="98">
                  <c:v>72.16</c:v>
                </c:pt>
                <c:pt idx="99">
                  <c:v>72.55</c:v>
                </c:pt>
                <c:pt idx="100">
                  <c:v>72.94</c:v>
                </c:pt>
                <c:pt idx="101">
                  <c:v>73.33</c:v>
                </c:pt>
                <c:pt idx="102">
                  <c:v>73.72</c:v>
                </c:pt>
                <c:pt idx="103">
                  <c:v>74.12</c:v>
                </c:pt>
                <c:pt idx="104">
                  <c:v>74.510000000000005</c:v>
                </c:pt>
                <c:pt idx="105">
                  <c:v>74.900000000000006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EA0-416C-B531-3955C416C995}"/>
            </c:ext>
          </c:extLst>
        </c:ser>
        <c:ser>
          <c:idx val="11"/>
          <c:order val="11"/>
          <c:tx>
            <c:strRef>
              <c:f>'Все-адм'!$M$3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'Все-адм'!$M$4:$M$109</c:f>
              <c:numCache>
                <c:formatCode>0.0</c:formatCode>
                <c:ptCount val="106"/>
                <c:pt idx="55">
                  <c:v>33.5</c:v>
                </c:pt>
                <c:pt idx="56">
                  <c:v>33.56</c:v>
                </c:pt>
                <c:pt idx="57">
                  <c:v>33.630000000000003</c:v>
                </c:pt>
                <c:pt idx="58">
                  <c:v>33.700000000000003</c:v>
                </c:pt>
                <c:pt idx="59">
                  <c:v>33.78</c:v>
                </c:pt>
                <c:pt idx="60">
                  <c:v>33.869999999999997</c:v>
                </c:pt>
                <c:pt idx="61">
                  <c:v>33.96</c:v>
                </c:pt>
                <c:pt idx="62">
                  <c:v>34.07</c:v>
                </c:pt>
                <c:pt idx="63">
                  <c:v>34.200000000000003</c:v>
                </c:pt>
                <c:pt idx="64">
                  <c:v>34.340000000000003</c:v>
                </c:pt>
                <c:pt idx="65">
                  <c:v>34.5</c:v>
                </c:pt>
                <c:pt idx="66">
                  <c:v>34.770000000000003</c:v>
                </c:pt>
                <c:pt idx="67">
                  <c:v>35.200000000000003</c:v>
                </c:pt>
                <c:pt idx="68">
                  <c:v>35.770000000000003</c:v>
                </c:pt>
                <c:pt idx="69">
                  <c:v>36.44</c:v>
                </c:pt>
                <c:pt idx="70">
                  <c:v>37.17</c:v>
                </c:pt>
                <c:pt idx="71">
                  <c:v>37.93</c:v>
                </c:pt>
                <c:pt idx="72">
                  <c:v>38.69</c:v>
                </c:pt>
                <c:pt idx="73">
                  <c:v>39.409999999999997</c:v>
                </c:pt>
                <c:pt idx="74">
                  <c:v>40.06</c:v>
                </c:pt>
                <c:pt idx="75">
                  <c:v>40.6</c:v>
                </c:pt>
                <c:pt idx="76">
                  <c:v>41.07</c:v>
                </c:pt>
                <c:pt idx="77">
                  <c:v>41.52</c:v>
                </c:pt>
                <c:pt idx="78">
                  <c:v>41.96</c:v>
                </c:pt>
                <c:pt idx="79">
                  <c:v>42.38</c:v>
                </c:pt>
                <c:pt idx="80">
                  <c:v>42.78</c:v>
                </c:pt>
                <c:pt idx="81">
                  <c:v>43.17</c:v>
                </c:pt>
                <c:pt idx="82">
                  <c:v>43.53</c:v>
                </c:pt>
                <c:pt idx="83">
                  <c:v>43.88</c:v>
                </c:pt>
                <c:pt idx="84">
                  <c:v>44.2</c:v>
                </c:pt>
                <c:pt idx="85">
                  <c:v>44.5</c:v>
                </c:pt>
                <c:pt idx="86">
                  <c:v>44.76</c:v>
                </c:pt>
                <c:pt idx="87">
                  <c:v>44.99</c:v>
                </c:pt>
                <c:pt idx="88">
                  <c:v>45.18</c:v>
                </c:pt>
                <c:pt idx="89">
                  <c:v>45.35</c:v>
                </c:pt>
                <c:pt idx="90">
                  <c:v>45.53</c:v>
                </c:pt>
                <c:pt idx="91">
                  <c:v>45.71</c:v>
                </c:pt>
                <c:pt idx="92">
                  <c:v>45.92</c:v>
                </c:pt>
                <c:pt idx="93">
                  <c:v>46.16</c:v>
                </c:pt>
                <c:pt idx="94">
                  <c:v>46.45</c:v>
                </c:pt>
                <c:pt idx="95">
                  <c:v>46.8</c:v>
                </c:pt>
                <c:pt idx="96">
                  <c:v>47.31</c:v>
                </c:pt>
                <c:pt idx="97">
                  <c:v>48.04</c:v>
                </c:pt>
                <c:pt idx="98">
                  <c:v>48.97</c:v>
                </c:pt>
                <c:pt idx="99">
                  <c:v>50.08</c:v>
                </c:pt>
                <c:pt idx="100">
                  <c:v>51.34</c:v>
                </c:pt>
                <c:pt idx="101">
                  <c:v>52.72</c:v>
                </c:pt>
                <c:pt idx="102">
                  <c:v>54.2</c:v>
                </c:pt>
                <c:pt idx="103">
                  <c:v>55.76</c:v>
                </c:pt>
                <c:pt idx="104">
                  <c:v>57.37</c:v>
                </c:pt>
                <c:pt idx="105">
                  <c:v>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EA0-416C-B531-3955C416C995}"/>
            </c:ext>
          </c:extLst>
        </c:ser>
        <c:ser>
          <c:idx val="12"/>
          <c:order val="12"/>
          <c:tx>
            <c:strRef>
              <c:f>'Все-адм'!$N$3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'Все-адм'!$N$4:$N$109</c:f>
              <c:numCache>
                <c:formatCode>0.0</c:formatCode>
                <c:ptCount val="106"/>
                <c:pt idx="48">
                  <c:v>54.6</c:v>
                </c:pt>
                <c:pt idx="49">
                  <c:v>54.71</c:v>
                </c:pt>
                <c:pt idx="50">
                  <c:v>54.81</c:v>
                </c:pt>
                <c:pt idx="51">
                  <c:v>54.9</c:v>
                </c:pt>
                <c:pt idx="52">
                  <c:v>54.98</c:v>
                </c:pt>
                <c:pt idx="53">
                  <c:v>55.04</c:v>
                </c:pt>
                <c:pt idx="54">
                  <c:v>55.09</c:v>
                </c:pt>
                <c:pt idx="55">
                  <c:v>55.1</c:v>
                </c:pt>
                <c:pt idx="56">
                  <c:v>55.09</c:v>
                </c:pt>
                <c:pt idx="57">
                  <c:v>55.08</c:v>
                </c:pt>
                <c:pt idx="58">
                  <c:v>55.06</c:v>
                </c:pt>
                <c:pt idx="59">
                  <c:v>55.03</c:v>
                </c:pt>
                <c:pt idx="60">
                  <c:v>55</c:v>
                </c:pt>
                <c:pt idx="61">
                  <c:v>54.97</c:v>
                </c:pt>
                <c:pt idx="62">
                  <c:v>54.94</c:v>
                </c:pt>
                <c:pt idx="63">
                  <c:v>54.92</c:v>
                </c:pt>
                <c:pt idx="64">
                  <c:v>54.91</c:v>
                </c:pt>
                <c:pt idx="65">
                  <c:v>54.9</c:v>
                </c:pt>
                <c:pt idx="66">
                  <c:v>55</c:v>
                </c:pt>
                <c:pt idx="67">
                  <c:v>55.28</c:v>
                </c:pt>
                <c:pt idx="68">
                  <c:v>55.72</c:v>
                </c:pt>
                <c:pt idx="69">
                  <c:v>56.29</c:v>
                </c:pt>
                <c:pt idx="70">
                  <c:v>56.95</c:v>
                </c:pt>
                <c:pt idx="71">
                  <c:v>57.68</c:v>
                </c:pt>
                <c:pt idx="72">
                  <c:v>58.44</c:v>
                </c:pt>
                <c:pt idx="73">
                  <c:v>59.22</c:v>
                </c:pt>
                <c:pt idx="74">
                  <c:v>59.98</c:v>
                </c:pt>
                <c:pt idx="75">
                  <c:v>60.7</c:v>
                </c:pt>
                <c:pt idx="76">
                  <c:v>61.43</c:v>
                </c:pt>
                <c:pt idx="77">
                  <c:v>62.25</c:v>
                </c:pt>
                <c:pt idx="78">
                  <c:v>63.12</c:v>
                </c:pt>
                <c:pt idx="79">
                  <c:v>64.040000000000006</c:v>
                </c:pt>
                <c:pt idx="80">
                  <c:v>64.959999999999994</c:v>
                </c:pt>
                <c:pt idx="81">
                  <c:v>65.88</c:v>
                </c:pt>
                <c:pt idx="82">
                  <c:v>66.77</c:v>
                </c:pt>
                <c:pt idx="83">
                  <c:v>67.599999999999994</c:v>
                </c:pt>
                <c:pt idx="84">
                  <c:v>68.349999999999994</c:v>
                </c:pt>
                <c:pt idx="85">
                  <c:v>69</c:v>
                </c:pt>
                <c:pt idx="86">
                  <c:v>69.59</c:v>
                </c:pt>
                <c:pt idx="87">
                  <c:v>70.16</c:v>
                </c:pt>
                <c:pt idx="88">
                  <c:v>70.709999999999994</c:v>
                </c:pt>
                <c:pt idx="89">
                  <c:v>71.239999999999995</c:v>
                </c:pt>
                <c:pt idx="90">
                  <c:v>71.739999999999995</c:v>
                </c:pt>
                <c:pt idx="91">
                  <c:v>72.209999999999994</c:v>
                </c:pt>
                <c:pt idx="92">
                  <c:v>72.63</c:v>
                </c:pt>
                <c:pt idx="93">
                  <c:v>73.010000000000005</c:v>
                </c:pt>
                <c:pt idx="94">
                  <c:v>73.33</c:v>
                </c:pt>
                <c:pt idx="95">
                  <c:v>73.599999999999994</c:v>
                </c:pt>
                <c:pt idx="96">
                  <c:v>73.83</c:v>
                </c:pt>
                <c:pt idx="97">
                  <c:v>74.03</c:v>
                </c:pt>
                <c:pt idx="98">
                  <c:v>74.22</c:v>
                </c:pt>
                <c:pt idx="99">
                  <c:v>74.39</c:v>
                </c:pt>
                <c:pt idx="100">
                  <c:v>74.55</c:v>
                </c:pt>
                <c:pt idx="101">
                  <c:v>74.69</c:v>
                </c:pt>
                <c:pt idx="102">
                  <c:v>74.83</c:v>
                </c:pt>
                <c:pt idx="103">
                  <c:v>74.95</c:v>
                </c:pt>
                <c:pt idx="104">
                  <c:v>75.08</c:v>
                </c:pt>
                <c:pt idx="105">
                  <c:v>75.2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EA0-416C-B531-3955C416C995}"/>
            </c:ext>
          </c:extLst>
        </c:ser>
        <c:ser>
          <c:idx val="13"/>
          <c:order val="13"/>
          <c:tx>
            <c:strRef>
              <c:f>'Все-адм'!$O$3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'Все-адм'!$O$4:$O$109</c:f>
              <c:numCache>
                <c:formatCode>0.0</c:formatCode>
                <c:ptCount val="106"/>
                <c:pt idx="35">
                  <c:v>33.5</c:v>
                </c:pt>
                <c:pt idx="36">
                  <c:v>33.619999999999997</c:v>
                </c:pt>
                <c:pt idx="37">
                  <c:v>33.74</c:v>
                </c:pt>
                <c:pt idx="38">
                  <c:v>33.86</c:v>
                </c:pt>
                <c:pt idx="39">
                  <c:v>33.99</c:v>
                </c:pt>
                <c:pt idx="40">
                  <c:v>34.14</c:v>
                </c:pt>
                <c:pt idx="41">
                  <c:v>34.29</c:v>
                </c:pt>
                <c:pt idx="42">
                  <c:v>34.46</c:v>
                </c:pt>
                <c:pt idx="43">
                  <c:v>34.65</c:v>
                </c:pt>
                <c:pt idx="44">
                  <c:v>34.869999999999997</c:v>
                </c:pt>
                <c:pt idx="45">
                  <c:v>35.1</c:v>
                </c:pt>
                <c:pt idx="46">
                  <c:v>35.39</c:v>
                </c:pt>
                <c:pt idx="47">
                  <c:v>35.75</c:v>
                </c:pt>
                <c:pt idx="48">
                  <c:v>36.18</c:v>
                </c:pt>
                <c:pt idx="49">
                  <c:v>36.68</c:v>
                </c:pt>
                <c:pt idx="50">
                  <c:v>37.229999999999997</c:v>
                </c:pt>
                <c:pt idx="51">
                  <c:v>37.82</c:v>
                </c:pt>
                <c:pt idx="52">
                  <c:v>38.450000000000003</c:v>
                </c:pt>
                <c:pt idx="53">
                  <c:v>39.11</c:v>
                </c:pt>
                <c:pt idx="54">
                  <c:v>39.799999999999997</c:v>
                </c:pt>
                <c:pt idx="55">
                  <c:v>40.5</c:v>
                </c:pt>
                <c:pt idx="56">
                  <c:v>41.28</c:v>
                </c:pt>
                <c:pt idx="57">
                  <c:v>42.18</c:v>
                </c:pt>
                <c:pt idx="58">
                  <c:v>43.18</c:v>
                </c:pt>
                <c:pt idx="59">
                  <c:v>44.25</c:v>
                </c:pt>
                <c:pt idx="60">
                  <c:v>45.36</c:v>
                </c:pt>
                <c:pt idx="61">
                  <c:v>46.5</c:v>
                </c:pt>
                <c:pt idx="62">
                  <c:v>47.62</c:v>
                </c:pt>
                <c:pt idx="63">
                  <c:v>48.72</c:v>
                </c:pt>
                <c:pt idx="64">
                  <c:v>49.75</c:v>
                </c:pt>
                <c:pt idx="65">
                  <c:v>50.7</c:v>
                </c:pt>
                <c:pt idx="66">
                  <c:v>51.58</c:v>
                </c:pt>
                <c:pt idx="67">
                  <c:v>52.43</c:v>
                </c:pt>
                <c:pt idx="68">
                  <c:v>53.25</c:v>
                </c:pt>
                <c:pt idx="69">
                  <c:v>54.05</c:v>
                </c:pt>
                <c:pt idx="70">
                  <c:v>54.84</c:v>
                </c:pt>
                <c:pt idx="71">
                  <c:v>55.61</c:v>
                </c:pt>
                <c:pt idx="72">
                  <c:v>56.38</c:v>
                </c:pt>
                <c:pt idx="73">
                  <c:v>57.15</c:v>
                </c:pt>
                <c:pt idx="74">
                  <c:v>57.92</c:v>
                </c:pt>
                <c:pt idx="75">
                  <c:v>58.7</c:v>
                </c:pt>
                <c:pt idx="76">
                  <c:v>59.5</c:v>
                </c:pt>
                <c:pt idx="77">
                  <c:v>60.31</c:v>
                </c:pt>
                <c:pt idx="78">
                  <c:v>61.14</c:v>
                </c:pt>
                <c:pt idx="79">
                  <c:v>61.97</c:v>
                </c:pt>
                <c:pt idx="80">
                  <c:v>62.78</c:v>
                </c:pt>
                <c:pt idx="81">
                  <c:v>63.58</c:v>
                </c:pt>
                <c:pt idx="82">
                  <c:v>64.349999999999994</c:v>
                </c:pt>
                <c:pt idx="83">
                  <c:v>65.08</c:v>
                </c:pt>
                <c:pt idx="84">
                  <c:v>65.77</c:v>
                </c:pt>
                <c:pt idx="85">
                  <c:v>66.400000000000006</c:v>
                </c:pt>
                <c:pt idx="86">
                  <c:v>67.02</c:v>
                </c:pt>
                <c:pt idx="87">
                  <c:v>67.680000000000007</c:v>
                </c:pt>
                <c:pt idx="88">
                  <c:v>68.34</c:v>
                </c:pt>
                <c:pt idx="89">
                  <c:v>68.989999999999995</c:v>
                </c:pt>
                <c:pt idx="90">
                  <c:v>69.599999999999994</c:v>
                </c:pt>
                <c:pt idx="91">
                  <c:v>70.150000000000006</c:v>
                </c:pt>
                <c:pt idx="92">
                  <c:v>70.62</c:v>
                </c:pt>
                <c:pt idx="93">
                  <c:v>70.98</c:v>
                </c:pt>
                <c:pt idx="94">
                  <c:v>71.22</c:v>
                </c:pt>
                <c:pt idx="95">
                  <c:v>71.3</c:v>
                </c:pt>
                <c:pt idx="96">
                  <c:v>71.28</c:v>
                </c:pt>
                <c:pt idx="97">
                  <c:v>71.22</c:v>
                </c:pt>
                <c:pt idx="98">
                  <c:v>71.12</c:v>
                </c:pt>
                <c:pt idx="99">
                  <c:v>70.989999999999995</c:v>
                </c:pt>
                <c:pt idx="100">
                  <c:v>70.83</c:v>
                </c:pt>
                <c:pt idx="101">
                  <c:v>70.650000000000006</c:v>
                </c:pt>
                <c:pt idx="102">
                  <c:v>70.45</c:v>
                </c:pt>
                <c:pt idx="103">
                  <c:v>70.239999999999995</c:v>
                </c:pt>
                <c:pt idx="104">
                  <c:v>70.02</c:v>
                </c:pt>
                <c:pt idx="105">
                  <c:v>69.8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EA0-416C-B531-3955C416C995}"/>
            </c:ext>
          </c:extLst>
        </c:ser>
        <c:ser>
          <c:idx val="14"/>
          <c:order val="14"/>
          <c:tx>
            <c:strRef>
              <c:f>'Все-адм'!$P$3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'Все-адм'!$P$4:$P$109</c:f>
              <c:numCache>
                <c:formatCode>0.0</c:formatCode>
                <c:ptCount val="106"/>
                <c:pt idx="11">
                  <c:v>33</c:v>
                </c:pt>
                <c:pt idx="12">
                  <c:v>33.07</c:v>
                </c:pt>
                <c:pt idx="13">
                  <c:v>33.15</c:v>
                </c:pt>
                <c:pt idx="14">
                  <c:v>33.22</c:v>
                </c:pt>
                <c:pt idx="15">
                  <c:v>33.299999999999997</c:v>
                </c:pt>
                <c:pt idx="16">
                  <c:v>33.380000000000003</c:v>
                </c:pt>
                <c:pt idx="17">
                  <c:v>33.46</c:v>
                </c:pt>
                <c:pt idx="18">
                  <c:v>33.54</c:v>
                </c:pt>
                <c:pt idx="19">
                  <c:v>33.619999999999997</c:v>
                </c:pt>
                <c:pt idx="20">
                  <c:v>33.71</c:v>
                </c:pt>
                <c:pt idx="21">
                  <c:v>33.799999999999997</c:v>
                </c:pt>
                <c:pt idx="22">
                  <c:v>33.89</c:v>
                </c:pt>
                <c:pt idx="23">
                  <c:v>33.99</c:v>
                </c:pt>
                <c:pt idx="24">
                  <c:v>34.090000000000003</c:v>
                </c:pt>
                <c:pt idx="25">
                  <c:v>34.200000000000003</c:v>
                </c:pt>
                <c:pt idx="26">
                  <c:v>34.32</c:v>
                </c:pt>
                <c:pt idx="27">
                  <c:v>34.46</c:v>
                </c:pt>
                <c:pt idx="28">
                  <c:v>34.619999999999997</c:v>
                </c:pt>
                <c:pt idx="29">
                  <c:v>34.79</c:v>
                </c:pt>
                <c:pt idx="30">
                  <c:v>34.979999999999997</c:v>
                </c:pt>
                <c:pt idx="31">
                  <c:v>35.17</c:v>
                </c:pt>
                <c:pt idx="32">
                  <c:v>35.369999999999997</c:v>
                </c:pt>
                <c:pt idx="33">
                  <c:v>35.57</c:v>
                </c:pt>
                <c:pt idx="34">
                  <c:v>35.770000000000003</c:v>
                </c:pt>
                <c:pt idx="35">
                  <c:v>35.97</c:v>
                </c:pt>
                <c:pt idx="36">
                  <c:v>36.17</c:v>
                </c:pt>
                <c:pt idx="37">
                  <c:v>36.35</c:v>
                </c:pt>
                <c:pt idx="38">
                  <c:v>36.53</c:v>
                </c:pt>
                <c:pt idx="39">
                  <c:v>36.69</c:v>
                </c:pt>
                <c:pt idx="40">
                  <c:v>36.83</c:v>
                </c:pt>
                <c:pt idx="41">
                  <c:v>36.96</c:v>
                </c:pt>
                <c:pt idx="42">
                  <c:v>37.06</c:v>
                </c:pt>
                <c:pt idx="43">
                  <c:v>37.14</c:v>
                </c:pt>
                <c:pt idx="44">
                  <c:v>37.18</c:v>
                </c:pt>
                <c:pt idx="45">
                  <c:v>37.200000000000003</c:v>
                </c:pt>
                <c:pt idx="46">
                  <c:v>37.14</c:v>
                </c:pt>
                <c:pt idx="47">
                  <c:v>36.96</c:v>
                </c:pt>
                <c:pt idx="48">
                  <c:v>36.700000000000003</c:v>
                </c:pt>
                <c:pt idx="49">
                  <c:v>36.39</c:v>
                </c:pt>
                <c:pt idx="50">
                  <c:v>36.049999999999997</c:v>
                </c:pt>
                <c:pt idx="51">
                  <c:v>35.71</c:v>
                </c:pt>
                <c:pt idx="52">
                  <c:v>35.4</c:v>
                </c:pt>
                <c:pt idx="53">
                  <c:v>35.14</c:v>
                </c:pt>
                <c:pt idx="54">
                  <c:v>34.96</c:v>
                </c:pt>
                <c:pt idx="55">
                  <c:v>34.9</c:v>
                </c:pt>
                <c:pt idx="56">
                  <c:v>35.01</c:v>
                </c:pt>
                <c:pt idx="57">
                  <c:v>35.32</c:v>
                </c:pt>
                <c:pt idx="58">
                  <c:v>35.79</c:v>
                </c:pt>
                <c:pt idx="59">
                  <c:v>36.4</c:v>
                </c:pt>
                <c:pt idx="60">
                  <c:v>37.1</c:v>
                </c:pt>
                <c:pt idx="61">
                  <c:v>37.869999999999997</c:v>
                </c:pt>
                <c:pt idx="62">
                  <c:v>38.67</c:v>
                </c:pt>
                <c:pt idx="63">
                  <c:v>39.46</c:v>
                </c:pt>
                <c:pt idx="64">
                  <c:v>40.22</c:v>
                </c:pt>
                <c:pt idx="65">
                  <c:v>40.9</c:v>
                </c:pt>
                <c:pt idx="66">
                  <c:v>41.57</c:v>
                </c:pt>
                <c:pt idx="67">
                  <c:v>42.3</c:v>
                </c:pt>
                <c:pt idx="68">
                  <c:v>43.07</c:v>
                </c:pt>
                <c:pt idx="69">
                  <c:v>43.85</c:v>
                </c:pt>
                <c:pt idx="70">
                  <c:v>44.63</c:v>
                </c:pt>
                <c:pt idx="71">
                  <c:v>45.38</c:v>
                </c:pt>
                <c:pt idx="72">
                  <c:v>46.08</c:v>
                </c:pt>
                <c:pt idx="73">
                  <c:v>46.72</c:v>
                </c:pt>
                <c:pt idx="74">
                  <c:v>47.26</c:v>
                </c:pt>
                <c:pt idx="75">
                  <c:v>47.7</c:v>
                </c:pt>
                <c:pt idx="76">
                  <c:v>48.05</c:v>
                </c:pt>
                <c:pt idx="77">
                  <c:v>48.35</c:v>
                </c:pt>
                <c:pt idx="78">
                  <c:v>48.61</c:v>
                </c:pt>
                <c:pt idx="79">
                  <c:v>48.85</c:v>
                </c:pt>
                <c:pt idx="80">
                  <c:v>49.07</c:v>
                </c:pt>
                <c:pt idx="81">
                  <c:v>49.29</c:v>
                </c:pt>
                <c:pt idx="82">
                  <c:v>49.51</c:v>
                </c:pt>
                <c:pt idx="83">
                  <c:v>49.74</c:v>
                </c:pt>
                <c:pt idx="84">
                  <c:v>50</c:v>
                </c:pt>
                <c:pt idx="85">
                  <c:v>50.3</c:v>
                </c:pt>
                <c:pt idx="86">
                  <c:v>50.65</c:v>
                </c:pt>
                <c:pt idx="87">
                  <c:v>51.06</c:v>
                </c:pt>
                <c:pt idx="88">
                  <c:v>51.5</c:v>
                </c:pt>
                <c:pt idx="89">
                  <c:v>51.97</c:v>
                </c:pt>
                <c:pt idx="90">
                  <c:v>52.45</c:v>
                </c:pt>
                <c:pt idx="91">
                  <c:v>52.92</c:v>
                </c:pt>
                <c:pt idx="92">
                  <c:v>53.36</c:v>
                </c:pt>
                <c:pt idx="93">
                  <c:v>53.77</c:v>
                </c:pt>
                <c:pt idx="94">
                  <c:v>54.12</c:v>
                </c:pt>
                <c:pt idx="95">
                  <c:v>54.4</c:v>
                </c:pt>
                <c:pt idx="96">
                  <c:v>54.63</c:v>
                </c:pt>
                <c:pt idx="97">
                  <c:v>54.84</c:v>
                </c:pt>
                <c:pt idx="98">
                  <c:v>55.04</c:v>
                </c:pt>
                <c:pt idx="99">
                  <c:v>55.22</c:v>
                </c:pt>
                <c:pt idx="100">
                  <c:v>55.38</c:v>
                </c:pt>
                <c:pt idx="101">
                  <c:v>55.54</c:v>
                </c:pt>
                <c:pt idx="102">
                  <c:v>55.69</c:v>
                </c:pt>
                <c:pt idx="103">
                  <c:v>55.83</c:v>
                </c:pt>
                <c:pt idx="104">
                  <c:v>55.96</c:v>
                </c:pt>
                <c:pt idx="105">
                  <c:v>56.1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EA0-416C-B531-3955C416C995}"/>
            </c:ext>
          </c:extLst>
        </c:ser>
        <c:ser>
          <c:idx val="15"/>
          <c:order val="15"/>
          <c:tx>
            <c:strRef>
              <c:f>'Все-адм'!$Q$3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'Все-адм'!$Q$4:$Q$109</c:f>
              <c:numCache>
                <c:formatCode>0.0</c:formatCode>
                <c:ptCount val="106"/>
                <c:pt idx="35">
                  <c:v>30.1</c:v>
                </c:pt>
                <c:pt idx="36">
                  <c:v>30.52</c:v>
                </c:pt>
                <c:pt idx="37">
                  <c:v>30.93</c:v>
                </c:pt>
                <c:pt idx="38">
                  <c:v>31.34</c:v>
                </c:pt>
                <c:pt idx="39">
                  <c:v>31.74</c:v>
                </c:pt>
                <c:pt idx="40">
                  <c:v>32.130000000000003</c:v>
                </c:pt>
                <c:pt idx="41">
                  <c:v>32.5</c:v>
                </c:pt>
                <c:pt idx="42">
                  <c:v>32.86</c:v>
                </c:pt>
                <c:pt idx="43">
                  <c:v>33.200000000000003</c:v>
                </c:pt>
                <c:pt idx="44">
                  <c:v>33.51</c:v>
                </c:pt>
                <c:pt idx="45">
                  <c:v>33.799999999999997</c:v>
                </c:pt>
                <c:pt idx="46">
                  <c:v>34.06</c:v>
                </c:pt>
                <c:pt idx="47">
                  <c:v>34.28</c:v>
                </c:pt>
                <c:pt idx="48">
                  <c:v>34.479999999999997</c:v>
                </c:pt>
                <c:pt idx="49">
                  <c:v>34.67</c:v>
                </c:pt>
                <c:pt idx="50">
                  <c:v>34.85</c:v>
                </c:pt>
                <c:pt idx="51">
                  <c:v>35.04</c:v>
                </c:pt>
                <c:pt idx="52">
                  <c:v>35.24</c:v>
                </c:pt>
                <c:pt idx="53">
                  <c:v>35.46</c:v>
                </c:pt>
                <c:pt idx="54">
                  <c:v>35.71</c:v>
                </c:pt>
                <c:pt idx="55">
                  <c:v>36</c:v>
                </c:pt>
                <c:pt idx="56">
                  <c:v>36.36</c:v>
                </c:pt>
                <c:pt idx="57">
                  <c:v>36.79</c:v>
                </c:pt>
                <c:pt idx="58">
                  <c:v>37.29</c:v>
                </c:pt>
                <c:pt idx="59">
                  <c:v>37.83</c:v>
                </c:pt>
                <c:pt idx="60">
                  <c:v>38.42</c:v>
                </c:pt>
                <c:pt idx="61">
                  <c:v>39.03</c:v>
                </c:pt>
                <c:pt idx="62">
                  <c:v>39.659999999999997</c:v>
                </c:pt>
                <c:pt idx="63">
                  <c:v>40.29</c:v>
                </c:pt>
                <c:pt idx="64">
                  <c:v>40.909999999999997</c:v>
                </c:pt>
                <c:pt idx="65">
                  <c:v>41.5</c:v>
                </c:pt>
                <c:pt idx="66">
                  <c:v>42.1</c:v>
                </c:pt>
                <c:pt idx="67">
                  <c:v>42.75</c:v>
                </c:pt>
                <c:pt idx="68">
                  <c:v>43.43</c:v>
                </c:pt>
                <c:pt idx="69">
                  <c:v>44.11</c:v>
                </c:pt>
                <c:pt idx="70">
                  <c:v>44.79</c:v>
                </c:pt>
                <c:pt idx="71">
                  <c:v>45.46</c:v>
                </c:pt>
                <c:pt idx="72">
                  <c:v>46.08</c:v>
                </c:pt>
                <c:pt idx="73">
                  <c:v>46.66</c:v>
                </c:pt>
                <c:pt idx="74">
                  <c:v>47.17</c:v>
                </c:pt>
                <c:pt idx="75">
                  <c:v>47.6</c:v>
                </c:pt>
                <c:pt idx="76">
                  <c:v>47.96</c:v>
                </c:pt>
                <c:pt idx="77">
                  <c:v>48.29</c:v>
                </c:pt>
                <c:pt idx="78">
                  <c:v>48.58</c:v>
                </c:pt>
                <c:pt idx="79">
                  <c:v>48.85</c:v>
                </c:pt>
                <c:pt idx="80">
                  <c:v>49.1</c:v>
                </c:pt>
                <c:pt idx="81">
                  <c:v>49.35</c:v>
                </c:pt>
                <c:pt idx="82">
                  <c:v>49.59</c:v>
                </c:pt>
                <c:pt idx="83">
                  <c:v>49.84</c:v>
                </c:pt>
                <c:pt idx="84">
                  <c:v>50.11</c:v>
                </c:pt>
                <c:pt idx="85">
                  <c:v>50.4</c:v>
                </c:pt>
                <c:pt idx="86">
                  <c:v>50.69</c:v>
                </c:pt>
                <c:pt idx="87">
                  <c:v>50.97</c:v>
                </c:pt>
                <c:pt idx="88">
                  <c:v>51.23</c:v>
                </c:pt>
                <c:pt idx="89">
                  <c:v>51.5</c:v>
                </c:pt>
                <c:pt idx="90">
                  <c:v>51.78</c:v>
                </c:pt>
                <c:pt idx="91">
                  <c:v>52.09</c:v>
                </c:pt>
                <c:pt idx="92">
                  <c:v>52.42</c:v>
                </c:pt>
                <c:pt idx="93">
                  <c:v>52.79</c:v>
                </c:pt>
                <c:pt idx="94">
                  <c:v>53.22</c:v>
                </c:pt>
                <c:pt idx="95">
                  <c:v>53.7</c:v>
                </c:pt>
                <c:pt idx="96">
                  <c:v>54.31</c:v>
                </c:pt>
                <c:pt idx="97">
                  <c:v>55.11</c:v>
                </c:pt>
                <c:pt idx="98">
                  <c:v>56.07</c:v>
                </c:pt>
                <c:pt idx="99">
                  <c:v>57.17</c:v>
                </c:pt>
                <c:pt idx="100">
                  <c:v>58.39</c:v>
                </c:pt>
                <c:pt idx="101">
                  <c:v>59.71</c:v>
                </c:pt>
                <c:pt idx="102">
                  <c:v>61.11</c:v>
                </c:pt>
                <c:pt idx="103">
                  <c:v>62.57</c:v>
                </c:pt>
                <c:pt idx="104">
                  <c:v>64.08</c:v>
                </c:pt>
                <c:pt idx="105">
                  <c:v>65.599999999999994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EA0-416C-B531-3955C416C995}"/>
            </c:ext>
          </c:extLst>
        </c:ser>
        <c:ser>
          <c:idx val="16"/>
          <c:order val="16"/>
          <c:tx>
            <c:strRef>
              <c:f>'Все-адм'!$R$3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'Все-адм'!$R$4:$R$109</c:f>
              <c:numCache>
                <c:formatCode>0.0</c:formatCode>
                <c:ptCount val="106"/>
                <c:pt idx="55">
                  <c:v>34.6</c:v>
                </c:pt>
                <c:pt idx="56">
                  <c:v>34.72</c:v>
                </c:pt>
                <c:pt idx="57">
                  <c:v>34.840000000000003</c:v>
                </c:pt>
                <c:pt idx="58">
                  <c:v>34.950000000000003</c:v>
                </c:pt>
                <c:pt idx="59">
                  <c:v>35.07</c:v>
                </c:pt>
                <c:pt idx="60">
                  <c:v>35.19</c:v>
                </c:pt>
                <c:pt idx="61">
                  <c:v>35.31</c:v>
                </c:pt>
                <c:pt idx="62">
                  <c:v>35.43</c:v>
                </c:pt>
                <c:pt idx="63">
                  <c:v>35.549999999999997</c:v>
                </c:pt>
                <c:pt idx="64">
                  <c:v>35.68</c:v>
                </c:pt>
                <c:pt idx="65">
                  <c:v>35.799999999999997</c:v>
                </c:pt>
                <c:pt idx="66">
                  <c:v>35.92</c:v>
                </c:pt>
                <c:pt idx="67">
                  <c:v>36.03</c:v>
                </c:pt>
                <c:pt idx="68">
                  <c:v>36.130000000000003</c:v>
                </c:pt>
                <c:pt idx="69">
                  <c:v>36.229999999999997</c:v>
                </c:pt>
                <c:pt idx="70">
                  <c:v>36.340000000000003</c:v>
                </c:pt>
                <c:pt idx="71">
                  <c:v>36.46</c:v>
                </c:pt>
                <c:pt idx="72">
                  <c:v>36.590000000000003</c:v>
                </c:pt>
                <c:pt idx="73">
                  <c:v>36.729999999999997</c:v>
                </c:pt>
                <c:pt idx="74">
                  <c:v>36.9</c:v>
                </c:pt>
                <c:pt idx="75">
                  <c:v>37.1</c:v>
                </c:pt>
                <c:pt idx="76">
                  <c:v>37.369999999999997</c:v>
                </c:pt>
                <c:pt idx="77">
                  <c:v>37.76</c:v>
                </c:pt>
                <c:pt idx="78">
                  <c:v>38.229999999999997</c:v>
                </c:pt>
                <c:pt idx="79">
                  <c:v>38.79</c:v>
                </c:pt>
                <c:pt idx="80">
                  <c:v>39.4</c:v>
                </c:pt>
                <c:pt idx="81">
                  <c:v>40.06</c:v>
                </c:pt>
                <c:pt idx="82">
                  <c:v>40.75</c:v>
                </c:pt>
                <c:pt idx="83">
                  <c:v>41.45</c:v>
                </c:pt>
                <c:pt idx="84">
                  <c:v>42.13</c:v>
                </c:pt>
                <c:pt idx="85">
                  <c:v>42.8</c:v>
                </c:pt>
                <c:pt idx="86">
                  <c:v>43.46</c:v>
                </c:pt>
                <c:pt idx="87">
                  <c:v>44.16</c:v>
                </c:pt>
                <c:pt idx="88">
                  <c:v>44.87</c:v>
                </c:pt>
                <c:pt idx="89">
                  <c:v>45.61</c:v>
                </c:pt>
                <c:pt idx="90">
                  <c:v>46.37</c:v>
                </c:pt>
                <c:pt idx="91">
                  <c:v>47.14</c:v>
                </c:pt>
                <c:pt idx="92">
                  <c:v>47.92</c:v>
                </c:pt>
                <c:pt idx="93">
                  <c:v>48.71</c:v>
                </c:pt>
                <c:pt idx="94">
                  <c:v>49.51</c:v>
                </c:pt>
                <c:pt idx="95">
                  <c:v>50.3</c:v>
                </c:pt>
                <c:pt idx="96">
                  <c:v>51.1</c:v>
                </c:pt>
                <c:pt idx="97">
                  <c:v>51.91</c:v>
                </c:pt>
                <c:pt idx="98">
                  <c:v>52.74</c:v>
                </c:pt>
                <c:pt idx="99">
                  <c:v>53.57</c:v>
                </c:pt>
                <c:pt idx="100">
                  <c:v>54.41</c:v>
                </c:pt>
                <c:pt idx="101">
                  <c:v>55.26</c:v>
                </c:pt>
                <c:pt idx="102">
                  <c:v>56.12</c:v>
                </c:pt>
                <c:pt idx="103">
                  <c:v>56.97</c:v>
                </c:pt>
                <c:pt idx="104">
                  <c:v>57.84</c:v>
                </c:pt>
                <c:pt idx="105">
                  <c:v>58.7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EA0-416C-B531-3955C416C995}"/>
            </c:ext>
          </c:extLst>
        </c:ser>
        <c:ser>
          <c:idx val="17"/>
          <c:order val="17"/>
          <c:tx>
            <c:strRef>
              <c:f>'Все-адм'!$S$3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'Все-адм'!$S$4:$S$109</c:f>
              <c:numCache>
                <c:formatCode>0.0</c:formatCode>
                <c:ptCount val="106"/>
                <c:pt idx="45">
                  <c:v>36.1</c:v>
                </c:pt>
                <c:pt idx="46">
                  <c:v>35.979999999999997</c:v>
                </c:pt>
                <c:pt idx="47">
                  <c:v>35.86</c:v>
                </c:pt>
                <c:pt idx="48">
                  <c:v>35.75</c:v>
                </c:pt>
                <c:pt idx="49">
                  <c:v>35.65</c:v>
                </c:pt>
                <c:pt idx="50">
                  <c:v>35.549999999999997</c:v>
                </c:pt>
                <c:pt idx="51">
                  <c:v>35.47</c:v>
                </c:pt>
                <c:pt idx="52">
                  <c:v>35.4</c:v>
                </c:pt>
                <c:pt idx="53">
                  <c:v>35.340000000000003</c:v>
                </c:pt>
                <c:pt idx="54">
                  <c:v>35.31</c:v>
                </c:pt>
                <c:pt idx="55">
                  <c:v>35.299999999999997</c:v>
                </c:pt>
                <c:pt idx="56">
                  <c:v>35.53</c:v>
                </c:pt>
                <c:pt idx="57">
                  <c:v>36.17</c:v>
                </c:pt>
                <c:pt idx="58">
                  <c:v>37.15</c:v>
                </c:pt>
                <c:pt idx="59">
                  <c:v>38.4</c:v>
                </c:pt>
                <c:pt idx="60">
                  <c:v>39.840000000000003</c:v>
                </c:pt>
                <c:pt idx="61">
                  <c:v>41.4</c:v>
                </c:pt>
                <c:pt idx="62">
                  <c:v>43.01</c:v>
                </c:pt>
                <c:pt idx="63">
                  <c:v>44.59</c:v>
                </c:pt>
                <c:pt idx="64">
                  <c:v>46.08</c:v>
                </c:pt>
                <c:pt idx="65">
                  <c:v>47.4</c:v>
                </c:pt>
                <c:pt idx="66">
                  <c:v>48.65</c:v>
                </c:pt>
                <c:pt idx="67">
                  <c:v>49.96</c:v>
                </c:pt>
                <c:pt idx="68">
                  <c:v>51.3</c:v>
                </c:pt>
                <c:pt idx="69">
                  <c:v>52.66</c:v>
                </c:pt>
                <c:pt idx="70">
                  <c:v>53.99</c:v>
                </c:pt>
                <c:pt idx="71">
                  <c:v>55.29</c:v>
                </c:pt>
                <c:pt idx="72">
                  <c:v>56.51</c:v>
                </c:pt>
                <c:pt idx="73">
                  <c:v>57.64</c:v>
                </c:pt>
                <c:pt idx="74">
                  <c:v>58.64</c:v>
                </c:pt>
                <c:pt idx="75">
                  <c:v>59.5</c:v>
                </c:pt>
                <c:pt idx="76">
                  <c:v>60.24</c:v>
                </c:pt>
                <c:pt idx="77">
                  <c:v>60.92</c:v>
                </c:pt>
                <c:pt idx="78">
                  <c:v>61.54</c:v>
                </c:pt>
                <c:pt idx="79">
                  <c:v>62.12</c:v>
                </c:pt>
                <c:pt idx="80">
                  <c:v>62.66</c:v>
                </c:pt>
                <c:pt idx="81">
                  <c:v>63.18</c:v>
                </c:pt>
                <c:pt idx="82">
                  <c:v>63.68</c:v>
                </c:pt>
                <c:pt idx="83">
                  <c:v>64.180000000000007</c:v>
                </c:pt>
                <c:pt idx="84">
                  <c:v>64.680000000000007</c:v>
                </c:pt>
                <c:pt idx="85">
                  <c:v>65.2</c:v>
                </c:pt>
                <c:pt idx="86">
                  <c:v>65.73</c:v>
                </c:pt>
                <c:pt idx="87">
                  <c:v>66.27</c:v>
                </c:pt>
                <c:pt idx="88">
                  <c:v>66.81</c:v>
                </c:pt>
                <c:pt idx="89">
                  <c:v>67.349999999999994</c:v>
                </c:pt>
                <c:pt idx="90">
                  <c:v>67.87</c:v>
                </c:pt>
                <c:pt idx="91">
                  <c:v>68.38</c:v>
                </c:pt>
                <c:pt idx="92">
                  <c:v>68.86</c:v>
                </c:pt>
                <c:pt idx="93">
                  <c:v>69.31</c:v>
                </c:pt>
                <c:pt idx="94">
                  <c:v>69.73</c:v>
                </c:pt>
                <c:pt idx="95">
                  <c:v>70.099999999999994</c:v>
                </c:pt>
                <c:pt idx="96">
                  <c:v>70.44</c:v>
                </c:pt>
                <c:pt idx="97">
                  <c:v>70.75</c:v>
                </c:pt>
                <c:pt idx="98">
                  <c:v>71.05</c:v>
                </c:pt>
                <c:pt idx="99">
                  <c:v>71.33</c:v>
                </c:pt>
                <c:pt idx="100">
                  <c:v>71.599999999999994</c:v>
                </c:pt>
                <c:pt idx="101">
                  <c:v>71.849999999999994</c:v>
                </c:pt>
                <c:pt idx="102">
                  <c:v>72.099999999999994</c:v>
                </c:pt>
                <c:pt idx="103">
                  <c:v>72.34</c:v>
                </c:pt>
                <c:pt idx="104">
                  <c:v>72.569999999999993</c:v>
                </c:pt>
                <c:pt idx="105">
                  <c:v>72.8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EA0-416C-B531-3955C416C995}"/>
            </c:ext>
          </c:extLst>
        </c:ser>
        <c:ser>
          <c:idx val="18"/>
          <c:order val="18"/>
          <c:tx>
            <c:strRef>
              <c:f>'Все-адм'!$T$3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'Все-адм'!$T$4:$T$109</c:f>
              <c:numCache>
                <c:formatCode>0.0</c:formatCode>
                <c:ptCount val="106"/>
                <c:pt idx="35">
                  <c:v>38.299999999999997</c:v>
                </c:pt>
                <c:pt idx="36">
                  <c:v>38.17</c:v>
                </c:pt>
                <c:pt idx="37">
                  <c:v>38.03</c:v>
                </c:pt>
                <c:pt idx="38">
                  <c:v>37.9</c:v>
                </c:pt>
                <c:pt idx="39">
                  <c:v>37.770000000000003</c:v>
                </c:pt>
                <c:pt idx="40">
                  <c:v>37.64</c:v>
                </c:pt>
                <c:pt idx="41">
                  <c:v>37.51</c:v>
                </c:pt>
                <c:pt idx="42">
                  <c:v>37.39</c:v>
                </c:pt>
                <c:pt idx="43">
                  <c:v>37.28</c:v>
                </c:pt>
                <c:pt idx="44">
                  <c:v>37.17</c:v>
                </c:pt>
                <c:pt idx="45">
                  <c:v>37.06</c:v>
                </c:pt>
                <c:pt idx="46">
                  <c:v>36.96</c:v>
                </c:pt>
                <c:pt idx="47">
                  <c:v>36.869999999999997</c:v>
                </c:pt>
                <c:pt idx="48">
                  <c:v>36.79</c:v>
                </c:pt>
                <c:pt idx="49">
                  <c:v>36.72</c:v>
                </c:pt>
                <c:pt idx="50">
                  <c:v>36.65</c:v>
                </c:pt>
                <c:pt idx="51">
                  <c:v>36.6</c:v>
                </c:pt>
                <c:pt idx="52">
                  <c:v>36.56</c:v>
                </c:pt>
                <c:pt idx="53">
                  <c:v>36.53</c:v>
                </c:pt>
                <c:pt idx="54">
                  <c:v>36.51</c:v>
                </c:pt>
                <c:pt idx="55">
                  <c:v>36.5</c:v>
                </c:pt>
                <c:pt idx="56">
                  <c:v>36.54</c:v>
                </c:pt>
                <c:pt idx="57">
                  <c:v>36.67</c:v>
                </c:pt>
                <c:pt idx="58">
                  <c:v>36.85</c:v>
                </c:pt>
                <c:pt idx="59">
                  <c:v>37.08</c:v>
                </c:pt>
                <c:pt idx="60">
                  <c:v>37.33</c:v>
                </c:pt>
                <c:pt idx="61">
                  <c:v>37.6</c:v>
                </c:pt>
                <c:pt idx="62">
                  <c:v>37.869999999999997</c:v>
                </c:pt>
                <c:pt idx="63">
                  <c:v>38.119999999999997</c:v>
                </c:pt>
                <c:pt idx="64">
                  <c:v>38.340000000000003</c:v>
                </c:pt>
                <c:pt idx="65">
                  <c:v>38.5</c:v>
                </c:pt>
                <c:pt idx="66">
                  <c:v>38.619999999999997</c:v>
                </c:pt>
                <c:pt idx="67">
                  <c:v>38.729999999999997</c:v>
                </c:pt>
                <c:pt idx="68">
                  <c:v>38.83</c:v>
                </c:pt>
                <c:pt idx="69">
                  <c:v>38.909999999999997</c:v>
                </c:pt>
                <c:pt idx="70">
                  <c:v>39</c:v>
                </c:pt>
                <c:pt idx="71">
                  <c:v>39.08</c:v>
                </c:pt>
                <c:pt idx="72">
                  <c:v>39.17</c:v>
                </c:pt>
                <c:pt idx="73">
                  <c:v>39.270000000000003</c:v>
                </c:pt>
                <c:pt idx="74">
                  <c:v>39.369999999999997</c:v>
                </c:pt>
                <c:pt idx="75">
                  <c:v>39.5</c:v>
                </c:pt>
                <c:pt idx="76">
                  <c:v>39.64</c:v>
                </c:pt>
                <c:pt idx="77">
                  <c:v>39.78</c:v>
                </c:pt>
                <c:pt idx="78">
                  <c:v>39.94</c:v>
                </c:pt>
                <c:pt idx="79">
                  <c:v>40.11</c:v>
                </c:pt>
                <c:pt idx="80">
                  <c:v>40.299999999999997</c:v>
                </c:pt>
                <c:pt idx="81">
                  <c:v>40.5</c:v>
                </c:pt>
                <c:pt idx="82">
                  <c:v>40.729999999999997</c:v>
                </c:pt>
                <c:pt idx="83">
                  <c:v>40.99</c:v>
                </c:pt>
                <c:pt idx="84">
                  <c:v>41.28</c:v>
                </c:pt>
                <c:pt idx="85">
                  <c:v>41.6</c:v>
                </c:pt>
                <c:pt idx="86">
                  <c:v>42.05</c:v>
                </c:pt>
                <c:pt idx="87">
                  <c:v>42.68</c:v>
                </c:pt>
                <c:pt idx="88">
                  <c:v>43.47</c:v>
                </c:pt>
                <c:pt idx="89">
                  <c:v>44.38</c:v>
                </c:pt>
                <c:pt idx="90">
                  <c:v>45.38</c:v>
                </c:pt>
                <c:pt idx="91">
                  <c:v>46.42</c:v>
                </c:pt>
                <c:pt idx="92">
                  <c:v>47.48</c:v>
                </c:pt>
                <c:pt idx="93">
                  <c:v>48.52</c:v>
                </c:pt>
                <c:pt idx="94">
                  <c:v>49.51</c:v>
                </c:pt>
                <c:pt idx="95">
                  <c:v>50.4</c:v>
                </c:pt>
                <c:pt idx="96">
                  <c:v>51.23</c:v>
                </c:pt>
                <c:pt idx="97">
                  <c:v>52.05</c:v>
                </c:pt>
                <c:pt idx="98">
                  <c:v>52.87</c:v>
                </c:pt>
                <c:pt idx="99">
                  <c:v>53.67</c:v>
                </c:pt>
                <c:pt idx="100">
                  <c:v>54.47</c:v>
                </c:pt>
                <c:pt idx="101">
                  <c:v>55.26</c:v>
                </c:pt>
                <c:pt idx="102">
                  <c:v>56.05</c:v>
                </c:pt>
                <c:pt idx="103">
                  <c:v>56.84</c:v>
                </c:pt>
                <c:pt idx="104">
                  <c:v>57.62</c:v>
                </c:pt>
                <c:pt idx="105">
                  <c:v>58.4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EA0-416C-B531-3955C416C995}"/>
            </c:ext>
          </c:extLst>
        </c:ser>
        <c:ser>
          <c:idx val="20"/>
          <c:order val="20"/>
          <c:tx>
            <c:strRef>
              <c:f>'Все-адм'!$V$3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'Все-адм'!$V$4:$V$109</c:f>
              <c:numCache>
                <c:formatCode>0.0</c:formatCode>
                <c:ptCount val="106"/>
                <c:pt idx="55">
                  <c:v>78</c:v>
                </c:pt>
                <c:pt idx="56">
                  <c:v>78.319999999999993</c:v>
                </c:pt>
                <c:pt idx="57">
                  <c:v>78.64</c:v>
                </c:pt>
                <c:pt idx="58">
                  <c:v>78.95</c:v>
                </c:pt>
                <c:pt idx="59">
                  <c:v>79.27</c:v>
                </c:pt>
                <c:pt idx="60">
                  <c:v>79.569999999999993</c:v>
                </c:pt>
                <c:pt idx="61">
                  <c:v>79.88</c:v>
                </c:pt>
                <c:pt idx="62">
                  <c:v>80.17</c:v>
                </c:pt>
                <c:pt idx="63">
                  <c:v>80.459999999999994</c:v>
                </c:pt>
                <c:pt idx="64">
                  <c:v>80.73</c:v>
                </c:pt>
                <c:pt idx="65">
                  <c:v>81</c:v>
                </c:pt>
                <c:pt idx="66">
                  <c:v>81.25</c:v>
                </c:pt>
                <c:pt idx="67">
                  <c:v>81.48</c:v>
                </c:pt>
                <c:pt idx="68">
                  <c:v>81.7</c:v>
                </c:pt>
                <c:pt idx="69">
                  <c:v>81.900000000000006</c:v>
                </c:pt>
                <c:pt idx="70">
                  <c:v>82.11</c:v>
                </c:pt>
                <c:pt idx="71">
                  <c:v>82.32</c:v>
                </c:pt>
                <c:pt idx="72">
                  <c:v>82.54</c:v>
                </c:pt>
                <c:pt idx="73">
                  <c:v>82.77</c:v>
                </c:pt>
                <c:pt idx="74">
                  <c:v>83.02</c:v>
                </c:pt>
                <c:pt idx="75">
                  <c:v>83.3</c:v>
                </c:pt>
                <c:pt idx="76">
                  <c:v>83.61</c:v>
                </c:pt>
                <c:pt idx="77">
                  <c:v>83.97</c:v>
                </c:pt>
                <c:pt idx="78">
                  <c:v>84.36</c:v>
                </c:pt>
                <c:pt idx="79">
                  <c:v>84.77</c:v>
                </c:pt>
                <c:pt idx="80">
                  <c:v>85.2</c:v>
                </c:pt>
                <c:pt idx="81">
                  <c:v>85.63</c:v>
                </c:pt>
                <c:pt idx="82">
                  <c:v>86.07</c:v>
                </c:pt>
                <c:pt idx="83">
                  <c:v>86.5</c:v>
                </c:pt>
                <c:pt idx="84">
                  <c:v>86.91</c:v>
                </c:pt>
                <c:pt idx="85">
                  <c:v>87.3</c:v>
                </c:pt>
                <c:pt idx="86">
                  <c:v>87.69</c:v>
                </c:pt>
                <c:pt idx="87">
                  <c:v>88.09</c:v>
                </c:pt>
                <c:pt idx="88">
                  <c:v>88.5</c:v>
                </c:pt>
                <c:pt idx="89">
                  <c:v>88.91</c:v>
                </c:pt>
                <c:pt idx="90">
                  <c:v>89.31</c:v>
                </c:pt>
                <c:pt idx="91">
                  <c:v>89.69</c:v>
                </c:pt>
                <c:pt idx="92">
                  <c:v>90.03</c:v>
                </c:pt>
                <c:pt idx="93">
                  <c:v>90.34</c:v>
                </c:pt>
                <c:pt idx="94">
                  <c:v>90.6</c:v>
                </c:pt>
                <c:pt idx="95">
                  <c:v>90.8</c:v>
                </c:pt>
                <c:pt idx="96">
                  <c:v>90.96</c:v>
                </c:pt>
                <c:pt idx="97">
                  <c:v>91.1</c:v>
                </c:pt>
                <c:pt idx="98">
                  <c:v>91.23</c:v>
                </c:pt>
                <c:pt idx="99">
                  <c:v>91.35</c:v>
                </c:pt>
                <c:pt idx="100">
                  <c:v>91.46</c:v>
                </c:pt>
                <c:pt idx="101">
                  <c:v>91.56</c:v>
                </c:pt>
                <c:pt idx="102">
                  <c:v>91.65</c:v>
                </c:pt>
                <c:pt idx="103">
                  <c:v>91.74</c:v>
                </c:pt>
                <c:pt idx="104">
                  <c:v>91.82</c:v>
                </c:pt>
                <c:pt idx="105">
                  <c:v>91.9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EA0-416C-B531-3955C416C995}"/>
            </c:ext>
          </c:extLst>
        </c:ser>
        <c:ser>
          <c:idx val="22"/>
          <c:order val="22"/>
          <c:tx>
            <c:strRef>
              <c:f>'Все-адм'!$X$3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'Все-адм'!$X$4:$X$109</c:f>
              <c:numCache>
                <c:formatCode>0.0</c:formatCode>
                <c:ptCount val="106"/>
                <c:pt idx="35">
                  <c:v>49.4</c:v>
                </c:pt>
                <c:pt idx="36">
                  <c:v>49.63</c:v>
                </c:pt>
                <c:pt idx="37">
                  <c:v>49.86</c:v>
                </c:pt>
                <c:pt idx="38">
                  <c:v>50.11</c:v>
                </c:pt>
                <c:pt idx="39">
                  <c:v>50.36</c:v>
                </c:pt>
                <c:pt idx="40">
                  <c:v>50.64</c:v>
                </c:pt>
                <c:pt idx="41">
                  <c:v>50.93</c:v>
                </c:pt>
                <c:pt idx="42">
                  <c:v>51.25</c:v>
                </c:pt>
                <c:pt idx="43">
                  <c:v>51.6</c:v>
                </c:pt>
                <c:pt idx="44">
                  <c:v>51.98</c:v>
                </c:pt>
                <c:pt idx="45">
                  <c:v>52.4</c:v>
                </c:pt>
                <c:pt idx="46">
                  <c:v>52.92</c:v>
                </c:pt>
                <c:pt idx="47">
                  <c:v>53.58</c:v>
                </c:pt>
                <c:pt idx="48">
                  <c:v>54.34</c:v>
                </c:pt>
                <c:pt idx="49">
                  <c:v>55.2</c:v>
                </c:pt>
                <c:pt idx="50">
                  <c:v>56.12</c:v>
                </c:pt>
                <c:pt idx="51">
                  <c:v>57.07</c:v>
                </c:pt>
                <c:pt idx="52">
                  <c:v>58.03</c:v>
                </c:pt>
                <c:pt idx="53">
                  <c:v>58.97</c:v>
                </c:pt>
                <c:pt idx="54">
                  <c:v>59.87</c:v>
                </c:pt>
                <c:pt idx="55">
                  <c:v>60.7</c:v>
                </c:pt>
                <c:pt idx="56">
                  <c:v>61.48</c:v>
                </c:pt>
                <c:pt idx="57">
                  <c:v>62.26</c:v>
                </c:pt>
                <c:pt idx="58">
                  <c:v>63.03</c:v>
                </c:pt>
                <c:pt idx="59">
                  <c:v>63.78</c:v>
                </c:pt>
                <c:pt idx="60">
                  <c:v>64.540000000000006</c:v>
                </c:pt>
                <c:pt idx="61">
                  <c:v>65.28</c:v>
                </c:pt>
                <c:pt idx="62">
                  <c:v>66.02</c:v>
                </c:pt>
                <c:pt idx="63">
                  <c:v>66.75</c:v>
                </c:pt>
                <c:pt idx="64">
                  <c:v>67.48</c:v>
                </c:pt>
                <c:pt idx="65">
                  <c:v>68.2</c:v>
                </c:pt>
                <c:pt idx="66">
                  <c:v>68.91</c:v>
                </c:pt>
                <c:pt idx="67">
                  <c:v>69.61</c:v>
                </c:pt>
                <c:pt idx="68">
                  <c:v>70.31</c:v>
                </c:pt>
                <c:pt idx="69">
                  <c:v>70.989999999999995</c:v>
                </c:pt>
                <c:pt idx="70">
                  <c:v>71.67</c:v>
                </c:pt>
                <c:pt idx="71">
                  <c:v>72.349999999999994</c:v>
                </c:pt>
                <c:pt idx="72">
                  <c:v>73.03</c:v>
                </c:pt>
                <c:pt idx="73">
                  <c:v>73.72</c:v>
                </c:pt>
                <c:pt idx="74">
                  <c:v>74.400000000000006</c:v>
                </c:pt>
                <c:pt idx="75">
                  <c:v>75.099999999999994</c:v>
                </c:pt>
                <c:pt idx="76">
                  <c:v>75.849999999999994</c:v>
                </c:pt>
                <c:pt idx="77">
                  <c:v>76.66</c:v>
                </c:pt>
                <c:pt idx="78">
                  <c:v>77.52</c:v>
                </c:pt>
                <c:pt idx="79">
                  <c:v>78.400000000000006</c:v>
                </c:pt>
                <c:pt idx="80">
                  <c:v>79.25</c:v>
                </c:pt>
                <c:pt idx="81">
                  <c:v>80.06</c:v>
                </c:pt>
                <c:pt idx="82">
                  <c:v>80.78</c:v>
                </c:pt>
                <c:pt idx="83">
                  <c:v>81.400000000000006</c:v>
                </c:pt>
                <c:pt idx="84">
                  <c:v>81.89</c:v>
                </c:pt>
                <c:pt idx="85">
                  <c:v>82.2</c:v>
                </c:pt>
                <c:pt idx="86">
                  <c:v>82.4</c:v>
                </c:pt>
                <c:pt idx="87">
                  <c:v>82.56</c:v>
                </c:pt>
                <c:pt idx="88">
                  <c:v>82.69</c:v>
                </c:pt>
                <c:pt idx="89">
                  <c:v>82.8</c:v>
                </c:pt>
                <c:pt idx="90">
                  <c:v>82.9</c:v>
                </c:pt>
                <c:pt idx="91">
                  <c:v>82.99</c:v>
                </c:pt>
                <c:pt idx="92">
                  <c:v>83.09</c:v>
                </c:pt>
                <c:pt idx="93">
                  <c:v>83.2</c:v>
                </c:pt>
                <c:pt idx="94">
                  <c:v>83.34</c:v>
                </c:pt>
                <c:pt idx="95">
                  <c:v>83.5</c:v>
                </c:pt>
                <c:pt idx="96">
                  <c:v>83.7</c:v>
                </c:pt>
                <c:pt idx="97">
                  <c:v>83.94</c:v>
                </c:pt>
                <c:pt idx="98">
                  <c:v>84.2</c:v>
                </c:pt>
                <c:pt idx="99">
                  <c:v>84.5</c:v>
                </c:pt>
                <c:pt idx="100">
                  <c:v>84.81</c:v>
                </c:pt>
                <c:pt idx="101">
                  <c:v>85.15</c:v>
                </c:pt>
                <c:pt idx="102">
                  <c:v>85.5</c:v>
                </c:pt>
                <c:pt idx="103">
                  <c:v>85.86</c:v>
                </c:pt>
                <c:pt idx="104">
                  <c:v>86.23</c:v>
                </c:pt>
                <c:pt idx="105">
                  <c:v>86.6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DEA0-416C-B531-3955C416C995}"/>
            </c:ext>
          </c:extLst>
        </c:ser>
        <c:ser>
          <c:idx val="23"/>
          <c:order val="23"/>
          <c:tx>
            <c:strRef>
              <c:f>'Все-адм'!$Y$3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'Все-адм'!$Y$4:$Y$109</c:f>
              <c:numCache>
                <c:formatCode>0.0</c:formatCode>
                <c:ptCount val="106"/>
                <c:pt idx="35">
                  <c:v>30.3</c:v>
                </c:pt>
                <c:pt idx="36">
                  <c:v>30.17</c:v>
                </c:pt>
                <c:pt idx="37">
                  <c:v>30.03</c:v>
                </c:pt>
                <c:pt idx="38">
                  <c:v>29.9</c:v>
                </c:pt>
                <c:pt idx="39">
                  <c:v>29.77</c:v>
                </c:pt>
                <c:pt idx="40">
                  <c:v>29.64</c:v>
                </c:pt>
                <c:pt idx="41">
                  <c:v>29.51</c:v>
                </c:pt>
                <c:pt idx="42">
                  <c:v>29.39</c:v>
                </c:pt>
                <c:pt idx="43">
                  <c:v>29.28</c:v>
                </c:pt>
                <c:pt idx="44">
                  <c:v>29.17</c:v>
                </c:pt>
                <c:pt idx="45">
                  <c:v>29.06</c:v>
                </c:pt>
                <c:pt idx="46">
                  <c:v>28.96</c:v>
                </c:pt>
                <c:pt idx="47">
                  <c:v>28.87</c:v>
                </c:pt>
                <c:pt idx="48">
                  <c:v>28.79</c:v>
                </c:pt>
                <c:pt idx="49">
                  <c:v>28.72</c:v>
                </c:pt>
                <c:pt idx="50">
                  <c:v>28.65</c:v>
                </c:pt>
                <c:pt idx="51">
                  <c:v>28.6</c:v>
                </c:pt>
                <c:pt idx="52">
                  <c:v>28.56</c:v>
                </c:pt>
                <c:pt idx="53">
                  <c:v>28.53</c:v>
                </c:pt>
                <c:pt idx="54">
                  <c:v>28.51</c:v>
                </c:pt>
                <c:pt idx="55">
                  <c:v>28.5</c:v>
                </c:pt>
                <c:pt idx="56">
                  <c:v>28.63</c:v>
                </c:pt>
                <c:pt idx="57">
                  <c:v>29</c:v>
                </c:pt>
                <c:pt idx="58">
                  <c:v>29.56</c:v>
                </c:pt>
                <c:pt idx="59">
                  <c:v>30.28</c:v>
                </c:pt>
                <c:pt idx="60">
                  <c:v>31.1</c:v>
                </c:pt>
                <c:pt idx="61">
                  <c:v>31.98</c:v>
                </c:pt>
                <c:pt idx="62">
                  <c:v>32.89</c:v>
                </c:pt>
                <c:pt idx="63">
                  <c:v>33.770000000000003</c:v>
                </c:pt>
                <c:pt idx="64">
                  <c:v>34.590000000000003</c:v>
                </c:pt>
                <c:pt idx="65">
                  <c:v>35.299999999999997</c:v>
                </c:pt>
                <c:pt idx="66">
                  <c:v>35.93</c:v>
                </c:pt>
                <c:pt idx="67">
                  <c:v>36.54</c:v>
                </c:pt>
                <c:pt idx="68">
                  <c:v>37.14</c:v>
                </c:pt>
                <c:pt idx="69">
                  <c:v>37.72</c:v>
                </c:pt>
                <c:pt idx="70">
                  <c:v>38.31</c:v>
                </c:pt>
                <c:pt idx="71">
                  <c:v>38.9</c:v>
                </c:pt>
                <c:pt idx="72">
                  <c:v>39.49</c:v>
                </c:pt>
                <c:pt idx="73">
                  <c:v>40.11</c:v>
                </c:pt>
                <c:pt idx="74">
                  <c:v>40.74</c:v>
                </c:pt>
                <c:pt idx="75">
                  <c:v>41.4</c:v>
                </c:pt>
                <c:pt idx="76">
                  <c:v>42.1</c:v>
                </c:pt>
                <c:pt idx="77">
                  <c:v>42.84</c:v>
                </c:pt>
                <c:pt idx="78">
                  <c:v>43.61</c:v>
                </c:pt>
                <c:pt idx="79">
                  <c:v>44.4</c:v>
                </c:pt>
                <c:pt idx="80">
                  <c:v>45.2</c:v>
                </c:pt>
                <c:pt idx="81">
                  <c:v>46</c:v>
                </c:pt>
                <c:pt idx="82">
                  <c:v>46.79</c:v>
                </c:pt>
                <c:pt idx="83">
                  <c:v>47.56</c:v>
                </c:pt>
                <c:pt idx="84">
                  <c:v>48.3</c:v>
                </c:pt>
                <c:pt idx="85">
                  <c:v>49</c:v>
                </c:pt>
                <c:pt idx="86">
                  <c:v>49.66</c:v>
                </c:pt>
                <c:pt idx="87">
                  <c:v>50.3</c:v>
                </c:pt>
                <c:pt idx="88">
                  <c:v>50.92</c:v>
                </c:pt>
                <c:pt idx="89">
                  <c:v>51.53</c:v>
                </c:pt>
                <c:pt idx="90">
                  <c:v>52.12</c:v>
                </c:pt>
                <c:pt idx="91">
                  <c:v>52.71</c:v>
                </c:pt>
                <c:pt idx="92">
                  <c:v>53.3</c:v>
                </c:pt>
                <c:pt idx="93">
                  <c:v>53.89</c:v>
                </c:pt>
                <c:pt idx="94">
                  <c:v>54.49</c:v>
                </c:pt>
                <c:pt idx="95">
                  <c:v>55.1</c:v>
                </c:pt>
                <c:pt idx="96">
                  <c:v>55.72</c:v>
                </c:pt>
                <c:pt idx="97">
                  <c:v>56.35</c:v>
                </c:pt>
                <c:pt idx="98">
                  <c:v>56.97</c:v>
                </c:pt>
                <c:pt idx="99">
                  <c:v>57.6</c:v>
                </c:pt>
                <c:pt idx="100">
                  <c:v>58.23</c:v>
                </c:pt>
                <c:pt idx="101">
                  <c:v>58.86</c:v>
                </c:pt>
                <c:pt idx="102">
                  <c:v>59.5</c:v>
                </c:pt>
                <c:pt idx="103">
                  <c:v>60.13</c:v>
                </c:pt>
                <c:pt idx="104">
                  <c:v>60.76</c:v>
                </c:pt>
                <c:pt idx="105">
                  <c:v>61.4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DEA0-416C-B531-3955C416C995}"/>
            </c:ext>
          </c:extLst>
        </c:ser>
        <c:ser>
          <c:idx val="25"/>
          <c:order val="25"/>
          <c:tx>
            <c:strRef>
              <c:f>'Все-адм'!$AA$3</c:f>
              <c:strCache>
                <c:ptCount val="1"/>
                <c:pt idx="0">
                  <c:v>СССР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'Все-адм'!$AA$4:$AA$109</c:f>
              <c:numCache>
                <c:formatCode>0.0</c:formatCode>
                <c:ptCount val="106"/>
                <c:pt idx="2">
                  <c:v>15</c:v>
                </c:pt>
                <c:pt idx="3">
                  <c:v>15.28</c:v>
                </c:pt>
                <c:pt idx="4">
                  <c:v>15.56</c:v>
                </c:pt>
                <c:pt idx="5">
                  <c:v>15.83</c:v>
                </c:pt>
                <c:pt idx="6">
                  <c:v>16.100000000000001</c:v>
                </c:pt>
                <c:pt idx="7">
                  <c:v>16.36</c:v>
                </c:pt>
                <c:pt idx="8">
                  <c:v>16.61</c:v>
                </c:pt>
                <c:pt idx="9">
                  <c:v>16.84</c:v>
                </c:pt>
                <c:pt idx="10">
                  <c:v>17.059999999999999</c:v>
                </c:pt>
                <c:pt idx="11">
                  <c:v>17.260000000000002</c:v>
                </c:pt>
                <c:pt idx="12">
                  <c:v>17.45</c:v>
                </c:pt>
                <c:pt idx="13">
                  <c:v>17.61</c:v>
                </c:pt>
                <c:pt idx="14">
                  <c:v>17.739999999999998</c:v>
                </c:pt>
                <c:pt idx="15">
                  <c:v>17.850000000000001</c:v>
                </c:pt>
                <c:pt idx="16">
                  <c:v>17.93</c:v>
                </c:pt>
                <c:pt idx="17">
                  <c:v>17.98</c:v>
                </c:pt>
                <c:pt idx="18">
                  <c:v>18</c:v>
                </c:pt>
                <c:pt idx="19">
                  <c:v>17.829999999999998</c:v>
                </c:pt>
                <c:pt idx="20">
                  <c:v>17.41</c:v>
                </c:pt>
                <c:pt idx="21">
                  <c:v>16.82</c:v>
                </c:pt>
                <c:pt idx="22">
                  <c:v>16.18</c:v>
                </c:pt>
                <c:pt idx="23">
                  <c:v>15.59</c:v>
                </c:pt>
                <c:pt idx="24">
                  <c:v>15.17</c:v>
                </c:pt>
                <c:pt idx="25">
                  <c:v>15</c:v>
                </c:pt>
                <c:pt idx="26">
                  <c:v>15.13</c:v>
                </c:pt>
                <c:pt idx="27">
                  <c:v>15.48</c:v>
                </c:pt>
                <c:pt idx="28">
                  <c:v>15.99</c:v>
                </c:pt>
                <c:pt idx="29">
                  <c:v>16.61</c:v>
                </c:pt>
                <c:pt idx="30">
                  <c:v>17.260000000000002</c:v>
                </c:pt>
                <c:pt idx="31">
                  <c:v>17.899999999999999</c:v>
                </c:pt>
                <c:pt idx="32">
                  <c:v>18.559999999999999</c:v>
                </c:pt>
                <c:pt idx="33">
                  <c:v>19.29</c:v>
                </c:pt>
                <c:pt idx="34">
                  <c:v>20.100000000000001</c:v>
                </c:pt>
                <c:pt idx="35">
                  <c:v>20.95</c:v>
                </c:pt>
                <c:pt idx="36">
                  <c:v>21.84</c:v>
                </c:pt>
                <c:pt idx="37">
                  <c:v>22.74</c:v>
                </c:pt>
                <c:pt idx="38">
                  <c:v>23.65</c:v>
                </c:pt>
                <c:pt idx="39">
                  <c:v>24.55</c:v>
                </c:pt>
                <c:pt idx="40">
                  <c:v>25.41</c:v>
                </c:pt>
                <c:pt idx="41">
                  <c:v>26.24</c:v>
                </c:pt>
                <c:pt idx="42">
                  <c:v>27</c:v>
                </c:pt>
                <c:pt idx="43">
                  <c:v>27.64</c:v>
                </c:pt>
                <c:pt idx="44">
                  <c:v>28.3</c:v>
                </c:pt>
                <c:pt idx="45">
                  <c:v>29.11</c:v>
                </c:pt>
                <c:pt idx="46">
                  <c:v>29.96</c:v>
                </c:pt>
                <c:pt idx="47">
                  <c:v>30.86</c:v>
                </c:pt>
                <c:pt idx="48">
                  <c:v>31.79</c:v>
                </c:pt>
                <c:pt idx="49">
                  <c:v>32.76</c:v>
                </c:pt>
                <c:pt idx="50">
                  <c:v>33.75</c:v>
                </c:pt>
                <c:pt idx="51">
                  <c:v>34.770000000000003</c:v>
                </c:pt>
                <c:pt idx="52">
                  <c:v>35.799999999999997</c:v>
                </c:pt>
                <c:pt idx="53">
                  <c:v>36.85</c:v>
                </c:pt>
                <c:pt idx="54">
                  <c:v>37.909999999999997</c:v>
                </c:pt>
                <c:pt idx="55">
                  <c:v>38.97</c:v>
                </c:pt>
                <c:pt idx="56">
                  <c:v>40.03</c:v>
                </c:pt>
                <c:pt idx="57">
                  <c:v>41.08</c:v>
                </c:pt>
                <c:pt idx="58">
                  <c:v>42.13</c:v>
                </c:pt>
                <c:pt idx="59">
                  <c:v>43.16</c:v>
                </c:pt>
                <c:pt idx="60">
                  <c:v>44.16</c:v>
                </c:pt>
                <c:pt idx="61">
                  <c:v>45.15</c:v>
                </c:pt>
                <c:pt idx="62">
                  <c:v>46.1</c:v>
                </c:pt>
                <c:pt idx="63">
                  <c:v>47.02</c:v>
                </c:pt>
                <c:pt idx="64">
                  <c:v>47.9</c:v>
                </c:pt>
                <c:pt idx="65">
                  <c:v>48.75</c:v>
                </c:pt>
                <c:pt idx="66">
                  <c:v>49.57</c:v>
                </c:pt>
                <c:pt idx="67">
                  <c:v>50.37</c:v>
                </c:pt>
                <c:pt idx="68">
                  <c:v>51.16</c:v>
                </c:pt>
                <c:pt idx="69">
                  <c:v>51.92</c:v>
                </c:pt>
                <c:pt idx="70">
                  <c:v>52.68</c:v>
                </c:pt>
                <c:pt idx="71">
                  <c:v>53.42</c:v>
                </c:pt>
                <c:pt idx="72">
                  <c:v>54.15</c:v>
                </c:pt>
                <c:pt idx="73">
                  <c:v>54.87</c:v>
                </c:pt>
                <c:pt idx="74">
                  <c:v>55.59</c:v>
                </c:pt>
                <c:pt idx="75">
                  <c:v>56.3</c:v>
                </c:pt>
                <c:pt idx="76">
                  <c:v>57.02</c:v>
                </c:pt>
                <c:pt idx="77">
                  <c:v>57.76</c:v>
                </c:pt>
                <c:pt idx="78">
                  <c:v>58.49</c:v>
                </c:pt>
                <c:pt idx="79">
                  <c:v>59.22</c:v>
                </c:pt>
                <c:pt idx="80">
                  <c:v>59.92</c:v>
                </c:pt>
                <c:pt idx="81">
                  <c:v>60.6</c:v>
                </c:pt>
                <c:pt idx="82">
                  <c:v>61.22</c:v>
                </c:pt>
                <c:pt idx="83">
                  <c:v>61.8</c:v>
                </c:pt>
                <c:pt idx="84">
                  <c:v>62.3</c:v>
                </c:pt>
                <c:pt idx="85">
                  <c:v>62.75</c:v>
                </c:pt>
                <c:pt idx="86">
                  <c:v>63.17</c:v>
                </c:pt>
                <c:pt idx="87">
                  <c:v>63.57</c:v>
                </c:pt>
                <c:pt idx="88">
                  <c:v>63.95</c:v>
                </c:pt>
                <c:pt idx="89">
                  <c:v>64.3</c:v>
                </c:pt>
                <c:pt idx="90">
                  <c:v>64.64</c:v>
                </c:pt>
                <c:pt idx="91">
                  <c:v>64.97</c:v>
                </c:pt>
                <c:pt idx="92">
                  <c:v>65.28</c:v>
                </c:pt>
                <c:pt idx="93">
                  <c:v>65.59</c:v>
                </c:pt>
                <c:pt idx="94">
                  <c:v>65.900000000000006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EA0-416C-B531-3955C416C995}"/>
            </c:ext>
          </c:extLst>
        </c:ser>
        <c:ser>
          <c:idx val="26"/>
          <c:order val="26"/>
          <c:tx>
            <c:strRef>
              <c:f>'Все-адм'!$AB$3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'Все-адм'!$AB$4:$AB$109</c:f>
              <c:numCache>
                <c:formatCode>0.0</c:formatCode>
                <c:ptCount val="106"/>
                <c:pt idx="2">
                  <c:v>14.7</c:v>
                </c:pt>
                <c:pt idx="3">
                  <c:v>14.67</c:v>
                </c:pt>
                <c:pt idx="4">
                  <c:v>14.63</c:v>
                </c:pt>
                <c:pt idx="5">
                  <c:v>14.6</c:v>
                </c:pt>
                <c:pt idx="6">
                  <c:v>14.57</c:v>
                </c:pt>
                <c:pt idx="7">
                  <c:v>14.54</c:v>
                </c:pt>
                <c:pt idx="8">
                  <c:v>14.51</c:v>
                </c:pt>
                <c:pt idx="9">
                  <c:v>14.48</c:v>
                </c:pt>
                <c:pt idx="10">
                  <c:v>14.45</c:v>
                </c:pt>
                <c:pt idx="11">
                  <c:v>14.42</c:v>
                </c:pt>
                <c:pt idx="12">
                  <c:v>14.39</c:v>
                </c:pt>
                <c:pt idx="13">
                  <c:v>14.37</c:v>
                </c:pt>
                <c:pt idx="14">
                  <c:v>14.34</c:v>
                </c:pt>
                <c:pt idx="15">
                  <c:v>14.32</c:v>
                </c:pt>
                <c:pt idx="16">
                  <c:v>14.3</c:v>
                </c:pt>
                <c:pt idx="17">
                  <c:v>14.28</c:v>
                </c:pt>
                <c:pt idx="18">
                  <c:v>14.26</c:v>
                </c:pt>
                <c:pt idx="19">
                  <c:v>14.25</c:v>
                </c:pt>
                <c:pt idx="20">
                  <c:v>14.23</c:v>
                </c:pt>
                <c:pt idx="21">
                  <c:v>14.22</c:v>
                </c:pt>
                <c:pt idx="22">
                  <c:v>14.21</c:v>
                </c:pt>
                <c:pt idx="23">
                  <c:v>14.21</c:v>
                </c:pt>
                <c:pt idx="24">
                  <c:v>14.2</c:v>
                </c:pt>
                <c:pt idx="25">
                  <c:v>14.2</c:v>
                </c:pt>
                <c:pt idx="26">
                  <c:v>14.33</c:v>
                </c:pt>
                <c:pt idx="27">
                  <c:v>14.7</c:v>
                </c:pt>
                <c:pt idx="28">
                  <c:v>15.23</c:v>
                </c:pt>
                <c:pt idx="29">
                  <c:v>15.88</c:v>
                </c:pt>
                <c:pt idx="30">
                  <c:v>16.59</c:v>
                </c:pt>
                <c:pt idx="31">
                  <c:v>17.3</c:v>
                </c:pt>
                <c:pt idx="32">
                  <c:v>18.05</c:v>
                </c:pt>
                <c:pt idx="33">
                  <c:v>18.89</c:v>
                </c:pt>
                <c:pt idx="34">
                  <c:v>19.829999999999998</c:v>
                </c:pt>
                <c:pt idx="35">
                  <c:v>20.83</c:v>
                </c:pt>
                <c:pt idx="36">
                  <c:v>21.9</c:v>
                </c:pt>
                <c:pt idx="37">
                  <c:v>23.02</c:v>
                </c:pt>
                <c:pt idx="38">
                  <c:v>24.17</c:v>
                </c:pt>
                <c:pt idx="39">
                  <c:v>25.35</c:v>
                </c:pt>
                <c:pt idx="40">
                  <c:v>26.54</c:v>
                </c:pt>
                <c:pt idx="41">
                  <c:v>27.72</c:v>
                </c:pt>
                <c:pt idx="42">
                  <c:v>28.9</c:v>
                </c:pt>
                <c:pt idx="43">
                  <c:v>30.2</c:v>
                </c:pt>
                <c:pt idx="44">
                  <c:v>31.5</c:v>
                </c:pt>
                <c:pt idx="45">
                  <c:v>32.65</c:v>
                </c:pt>
                <c:pt idx="46">
                  <c:v>33.79</c:v>
                </c:pt>
                <c:pt idx="47">
                  <c:v>34.909999999999997</c:v>
                </c:pt>
                <c:pt idx="48">
                  <c:v>36.020000000000003</c:v>
                </c:pt>
                <c:pt idx="49">
                  <c:v>37.119999999999997</c:v>
                </c:pt>
                <c:pt idx="50">
                  <c:v>38.200000000000003</c:v>
                </c:pt>
                <c:pt idx="51">
                  <c:v>39.28</c:v>
                </c:pt>
                <c:pt idx="52">
                  <c:v>40.340000000000003</c:v>
                </c:pt>
                <c:pt idx="53">
                  <c:v>41.39</c:v>
                </c:pt>
                <c:pt idx="54">
                  <c:v>42.43</c:v>
                </c:pt>
                <c:pt idx="55">
                  <c:v>43.46</c:v>
                </c:pt>
                <c:pt idx="56">
                  <c:v>44.48</c:v>
                </c:pt>
                <c:pt idx="57">
                  <c:v>45.5</c:v>
                </c:pt>
                <c:pt idx="58">
                  <c:v>46.5</c:v>
                </c:pt>
                <c:pt idx="59">
                  <c:v>47.5</c:v>
                </c:pt>
                <c:pt idx="60">
                  <c:v>48.49</c:v>
                </c:pt>
                <c:pt idx="61">
                  <c:v>49.48</c:v>
                </c:pt>
                <c:pt idx="62">
                  <c:v>50.46</c:v>
                </c:pt>
                <c:pt idx="63">
                  <c:v>51.43</c:v>
                </c:pt>
                <c:pt idx="64">
                  <c:v>52.4</c:v>
                </c:pt>
                <c:pt idx="65">
                  <c:v>53.36</c:v>
                </c:pt>
                <c:pt idx="66">
                  <c:v>54.31</c:v>
                </c:pt>
                <c:pt idx="67">
                  <c:v>55.25</c:v>
                </c:pt>
                <c:pt idx="68">
                  <c:v>56.17</c:v>
                </c:pt>
                <c:pt idx="69">
                  <c:v>57.08</c:v>
                </c:pt>
                <c:pt idx="70">
                  <c:v>57.98</c:v>
                </c:pt>
                <c:pt idx="71">
                  <c:v>58.87</c:v>
                </c:pt>
                <c:pt idx="72">
                  <c:v>59.74</c:v>
                </c:pt>
                <c:pt idx="73">
                  <c:v>60.61</c:v>
                </c:pt>
                <c:pt idx="74">
                  <c:v>61.46</c:v>
                </c:pt>
                <c:pt idx="75">
                  <c:v>62.3</c:v>
                </c:pt>
                <c:pt idx="76">
                  <c:v>63.14</c:v>
                </c:pt>
                <c:pt idx="77">
                  <c:v>64</c:v>
                </c:pt>
                <c:pt idx="78">
                  <c:v>64.86</c:v>
                </c:pt>
                <c:pt idx="79">
                  <c:v>65.7</c:v>
                </c:pt>
                <c:pt idx="80">
                  <c:v>66.52</c:v>
                </c:pt>
                <c:pt idx="81">
                  <c:v>67.3</c:v>
                </c:pt>
                <c:pt idx="82">
                  <c:v>68.03</c:v>
                </c:pt>
                <c:pt idx="83">
                  <c:v>68.7</c:v>
                </c:pt>
                <c:pt idx="84">
                  <c:v>69.3</c:v>
                </c:pt>
                <c:pt idx="85">
                  <c:v>69.84</c:v>
                </c:pt>
                <c:pt idx="86">
                  <c:v>70.34</c:v>
                </c:pt>
                <c:pt idx="87">
                  <c:v>70.81</c:v>
                </c:pt>
                <c:pt idx="88">
                  <c:v>71.260000000000005</c:v>
                </c:pt>
                <c:pt idx="89">
                  <c:v>71.680000000000007</c:v>
                </c:pt>
                <c:pt idx="90">
                  <c:v>72.09</c:v>
                </c:pt>
                <c:pt idx="91">
                  <c:v>72.48</c:v>
                </c:pt>
                <c:pt idx="92">
                  <c:v>72.86</c:v>
                </c:pt>
                <c:pt idx="93">
                  <c:v>73.23</c:v>
                </c:pt>
                <c:pt idx="94">
                  <c:v>73.599999999999994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DEA0-416C-B531-3955C416C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331215"/>
        <c:axId val="8332065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'Все-адм'!$C$3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'Все-адм'!$C$4:$C$109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56.5</c:v>
                      </c:pt>
                      <c:pt idx="56">
                        <c:v>56.23</c:v>
                      </c:pt>
                      <c:pt idx="57">
                        <c:v>55.96</c:v>
                      </c:pt>
                      <c:pt idx="58">
                        <c:v>55.68</c:v>
                      </c:pt>
                      <c:pt idx="59">
                        <c:v>55.41</c:v>
                      </c:pt>
                      <c:pt idx="60">
                        <c:v>55.14</c:v>
                      </c:pt>
                      <c:pt idx="61">
                        <c:v>54.87</c:v>
                      </c:pt>
                      <c:pt idx="62">
                        <c:v>54.6</c:v>
                      </c:pt>
                      <c:pt idx="63">
                        <c:v>54.33</c:v>
                      </c:pt>
                      <c:pt idx="64">
                        <c:v>54.07</c:v>
                      </c:pt>
                      <c:pt idx="65">
                        <c:v>53.8</c:v>
                      </c:pt>
                      <c:pt idx="66">
                        <c:v>53.53</c:v>
                      </c:pt>
                      <c:pt idx="67">
                        <c:v>53.26</c:v>
                      </c:pt>
                      <c:pt idx="68">
                        <c:v>52.99</c:v>
                      </c:pt>
                      <c:pt idx="69">
                        <c:v>52.71</c:v>
                      </c:pt>
                      <c:pt idx="70">
                        <c:v>52.44</c:v>
                      </c:pt>
                      <c:pt idx="71">
                        <c:v>52.18</c:v>
                      </c:pt>
                      <c:pt idx="72">
                        <c:v>51.92</c:v>
                      </c:pt>
                      <c:pt idx="73">
                        <c:v>51.67</c:v>
                      </c:pt>
                      <c:pt idx="74">
                        <c:v>51.43</c:v>
                      </c:pt>
                      <c:pt idx="75">
                        <c:v>51.2</c:v>
                      </c:pt>
                      <c:pt idx="76">
                        <c:v>50.99</c:v>
                      </c:pt>
                      <c:pt idx="77">
                        <c:v>50.78</c:v>
                      </c:pt>
                      <c:pt idx="78">
                        <c:v>50.58</c:v>
                      </c:pt>
                      <c:pt idx="79">
                        <c:v>50.39</c:v>
                      </c:pt>
                      <c:pt idx="80">
                        <c:v>50.2</c:v>
                      </c:pt>
                      <c:pt idx="81">
                        <c:v>50.02</c:v>
                      </c:pt>
                      <c:pt idx="82">
                        <c:v>49.84</c:v>
                      </c:pt>
                      <c:pt idx="83">
                        <c:v>49.66</c:v>
                      </c:pt>
                      <c:pt idx="84">
                        <c:v>49.48</c:v>
                      </c:pt>
                      <c:pt idx="85">
                        <c:v>49.3</c:v>
                      </c:pt>
                      <c:pt idx="86">
                        <c:v>49.11</c:v>
                      </c:pt>
                      <c:pt idx="87">
                        <c:v>48.89</c:v>
                      </c:pt>
                      <c:pt idx="88">
                        <c:v>48.67</c:v>
                      </c:pt>
                      <c:pt idx="89">
                        <c:v>48.44</c:v>
                      </c:pt>
                      <c:pt idx="90">
                        <c:v>48.23</c:v>
                      </c:pt>
                      <c:pt idx="91">
                        <c:v>48.03</c:v>
                      </c:pt>
                      <c:pt idx="92">
                        <c:v>47.85</c:v>
                      </c:pt>
                      <c:pt idx="93">
                        <c:v>47.72</c:v>
                      </c:pt>
                      <c:pt idx="94">
                        <c:v>47.63</c:v>
                      </c:pt>
                      <c:pt idx="95">
                        <c:v>47.6</c:v>
                      </c:pt>
                      <c:pt idx="96">
                        <c:v>47.6</c:v>
                      </c:pt>
                      <c:pt idx="97">
                        <c:v>47.62</c:v>
                      </c:pt>
                      <c:pt idx="98">
                        <c:v>47.64</c:v>
                      </c:pt>
                      <c:pt idx="99">
                        <c:v>47.66</c:v>
                      </c:pt>
                      <c:pt idx="100">
                        <c:v>47.69</c:v>
                      </c:pt>
                      <c:pt idx="101">
                        <c:v>47.73</c:v>
                      </c:pt>
                      <c:pt idx="102">
                        <c:v>47.77</c:v>
                      </c:pt>
                      <c:pt idx="103">
                        <c:v>47.81</c:v>
                      </c:pt>
                      <c:pt idx="104">
                        <c:v>47.86</c:v>
                      </c:pt>
                      <c:pt idx="105">
                        <c:v>47.9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EA0-416C-B531-3955C416C99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'Все-адм'!$G$4:$G$109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12.2</c:v>
                      </c:pt>
                      <c:pt idx="56">
                        <c:v>12.51</c:v>
                      </c:pt>
                      <c:pt idx="57">
                        <c:v>12.83</c:v>
                      </c:pt>
                      <c:pt idx="58">
                        <c:v>13.15</c:v>
                      </c:pt>
                      <c:pt idx="59">
                        <c:v>13.47</c:v>
                      </c:pt>
                      <c:pt idx="60">
                        <c:v>13.8</c:v>
                      </c:pt>
                      <c:pt idx="61">
                        <c:v>14.14</c:v>
                      </c:pt>
                      <c:pt idx="62">
                        <c:v>14.49</c:v>
                      </c:pt>
                      <c:pt idx="63">
                        <c:v>14.85</c:v>
                      </c:pt>
                      <c:pt idx="64">
                        <c:v>15.22</c:v>
                      </c:pt>
                      <c:pt idx="65">
                        <c:v>15.6</c:v>
                      </c:pt>
                      <c:pt idx="66">
                        <c:v>16.010000000000002</c:v>
                      </c:pt>
                      <c:pt idx="67">
                        <c:v>16.440000000000001</c:v>
                      </c:pt>
                      <c:pt idx="68">
                        <c:v>16.89</c:v>
                      </c:pt>
                      <c:pt idx="69">
                        <c:v>17.36</c:v>
                      </c:pt>
                      <c:pt idx="70">
                        <c:v>17.829999999999998</c:v>
                      </c:pt>
                      <c:pt idx="71">
                        <c:v>18.32</c:v>
                      </c:pt>
                      <c:pt idx="72">
                        <c:v>18.8</c:v>
                      </c:pt>
                      <c:pt idx="73">
                        <c:v>19.28</c:v>
                      </c:pt>
                      <c:pt idx="74">
                        <c:v>19.75</c:v>
                      </c:pt>
                      <c:pt idx="75">
                        <c:v>20.2</c:v>
                      </c:pt>
                      <c:pt idx="76">
                        <c:v>20.64</c:v>
                      </c:pt>
                      <c:pt idx="77">
                        <c:v>21.07</c:v>
                      </c:pt>
                      <c:pt idx="78">
                        <c:v>21.49</c:v>
                      </c:pt>
                      <c:pt idx="79">
                        <c:v>21.91</c:v>
                      </c:pt>
                      <c:pt idx="80">
                        <c:v>22.33</c:v>
                      </c:pt>
                      <c:pt idx="81">
                        <c:v>22.75</c:v>
                      </c:pt>
                      <c:pt idx="82">
                        <c:v>23.17</c:v>
                      </c:pt>
                      <c:pt idx="83">
                        <c:v>23.6</c:v>
                      </c:pt>
                      <c:pt idx="84">
                        <c:v>24.05</c:v>
                      </c:pt>
                      <c:pt idx="85">
                        <c:v>24.5</c:v>
                      </c:pt>
                      <c:pt idx="86">
                        <c:v>24.97</c:v>
                      </c:pt>
                      <c:pt idx="87">
                        <c:v>25.44</c:v>
                      </c:pt>
                      <c:pt idx="88">
                        <c:v>25.91</c:v>
                      </c:pt>
                      <c:pt idx="89">
                        <c:v>26.4</c:v>
                      </c:pt>
                      <c:pt idx="90">
                        <c:v>26.89</c:v>
                      </c:pt>
                      <c:pt idx="91">
                        <c:v>27.39</c:v>
                      </c:pt>
                      <c:pt idx="92">
                        <c:v>27.9</c:v>
                      </c:pt>
                      <c:pt idx="93">
                        <c:v>28.42</c:v>
                      </c:pt>
                      <c:pt idx="94">
                        <c:v>28.96</c:v>
                      </c:pt>
                      <c:pt idx="95">
                        <c:v>29.5</c:v>
                      </c:pt>
                      <c:pt idx="96">
                        <c:v>30.06</c:v>
                      </c:pt>
                      <c:pt idx="97">
                        <c:v>30.63</c:v>
                      </c:pt>
                      <c:pt idx="98">
                        <c:v>31.22</c:v>
                      </c:pt>
                      <c:pt idx="99">
                        <c:v>31.82</c:v>
                      </c:pt>
                      <c:pt idx="100">
                        <c:v>32.44</c:v>
                      </c:pt>
                      <c:pt idx="101">
                        <c:v>33.06</c:v>
                      </c:pt>
                      <c:pt idx="102">
                        <c:v>33.69</c:v>
                      </c:pt>
                      <c:pt idx="103">
                        <c:v>34.32</c:v>
                      </c:pt>
                      <c:pt idx="104">
                        <c:v>34.96</c:v>
                      </c:pt>
                      <c:pt idx="105">
                        <c:v>35.6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EA0-416C-B531-3955C416C995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'Все-адм'!$I$3</c15:sqref>
                        </c15:formulaRef>
                      </c:ext>
                    </c:extLst>
                    <c:strCache>
                      <c:ptCount val="1"/>
                      <c:pt idx="0">
                        <c:v>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'Все-адм'!$I$4:$I$109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28.1</c:v>
                      </c:pt>
                      <c:pt idx="56">
                        <c:v>28.2</c:v>
                      </c:pt>
                      <c:pt idx="57">
                        <c:v>28.3</c:v>
                      </c:pt>
                      <c:pt idx="58">
                        <c:v>28.41</c:v>
                      </c:pt>
                      <c:pt idx="59">
                        <c:v>28.5</c:v>
                      </c:pt>
                      <c:pt idx="60">
                        <c:v>28.6</c:v>
                      </c:pt>
                      <c:pt idx="61">
                        <c:v>28.69</c:v>
                      </c:pt>
                      <c:pt idx="62">
                        <c:v>28.78</c:v>
                      </c:pt>
                      <c:pt idx="63">
                        <c:v>28.86</c:v>
                      </c:pt>
                      <c:pt idx="64">
                        <c:v>28.93</c:v>
                      </c:pt>
                      <c:pt idx="65">
                        <c:v>29</c:v>
                      </c:pt>
                      <c:pt idx="66">
                        <c:v>29.06</c:v>
                      </c:pt>
                      <c:pt idx="67">
                        <c:v>29.11</c:v>
                      </c:pt>
                      <c:pt idx="68">
                        <c:v>29.16</c:v>
                      </c:pt>
                      <c:pt idx="69">
                        <c:v>29.2</c:v>
                      </c:pt>
                      <c:pt idx="70">
                        <c:v>29.24</c:v>
                      </c:pt>
                      <c:pt idx="71">
                        <c:v>29.29</c:v>
                      </c:pt>
                      <c:pt idx="72">
                        <c:v>29.33</c:v>
                      </c:pt>
                      <c:pt idx="73">
                        <c:v>29.38</c:v>
                      </c:pt>
                      <c:pt idx="74">
                        <c:v>29.44</c:v>
                      </c:pt>
                      <c:pt idx="75">
                        <c:v>29.5</c:v>
                      </c:pt>
                      <c:pt idx="76">
                        <c:v>29.57</c:v>
                      </c:pt>
                      <c:pt idx="77">
                        <c:v>29.65</c:v>
                      </c:pt>
                      <c:pt idx="78">
                        <c:v>29.74</c:v>
                      </c:pt>
                      <c:pt idx="79">
                        <c:v>29.84</c:v>
                      </c:pt>
                      <c:pt idx="80">
                        <c:v>29.94</c:v>
                      </c:pt>
                      <c:pt idx="81">
                        <c:v>30.06</c:v>
                      </c:pt>
                      <c:pt idx="82">
                        <c:v>30.18</c:v>
                      </c:pt>
                      <c:pt idx="83">
                        <c:v>30.31</c:v>
                      </c:pt>
                      <c:pt idx="84">
                        <c:v>30.45</c:v>
                      </c:pt>
                      <c:pt idx="85">
                        <c:v>30.6</c:v>
                      </c:pt>
                      <c:pt idx="86">
                        <c:v>30.77</c:v>
                      </c:pt>
                      <c:pt idx="87">
                        <c:v>30.98</c:v>
                      </c:pt>
                      <c:pt idx="88">
                        <c:v>31.21</c:v>
                      </c:pt>
                      <c:pt idx="89">
                        <c:v>31.47</c:v>
                      </c:pt>
                      <c:pt idx="90">
                        <c:v>31.75</c:v>
                      </c:pt>
                      <c:pt idx="91">
                        <c:v>32.03</c:v>
                      </c:pt>
                      <c:pt idx="92">
                        <c:v>32.33</c:v>
                      </c:pt>
                      <c:pt idx="93">
                        <c:v>32.619999999999997</c:v>
                      </c:pt>
                      <c:pt idx="94">
                        <c:v>32.92</c:v>
                      </c:pt>
                      <c:pt idx="95">
                        <c:v>33.200000000000003</c:v>
                      </c:pt>
                      <c:pt idx="96">
                        <c:v>33.479999999999997</c:v>
                      </c:pt>
                      <c:pt idx="97">
                        <c:v>33.770000000000003</c:v>
                      </c:pt>
                      <c:pt idx="98">
                        <c:v>34.06</c:v>
                      </c:pt>
                      <c:pt idx="99">
                        <c:v>34.36</c:v>
                      </c:pt>
                      <c:pt idx="100">
                        <c:v>34.659999999999997</c:v>
                      </c:pt>
                      <c:pt idx="101">
                        <c:v>34.96</c:v>
                      </c:pt>
                      <c:pt idx="102">
                        <c:v>35.270000000000003</c:v>
                      </c:pt>
                      <c:pt idx="103">
                        <c:v>35.58</c:v>
                      </c:pt>
                      <c:pt idx="104">
                        <c:v>35.89</c:v>
                      </c:pt>
                      <c:pt idx="105">
                        <c:v>36.200000000000003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EA0-416C-B531-3955C416C995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'Все-адм'!$U$3</c15:sqref>
                        </c15:formulaRef>
                      </c:ext>
                    </c:extLst>
                    <c:strCache>
                      <c:ptCount val="1"/>
                      <c:pt idx="0">
                        <c:v>Суринам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'Все-адм'!$U$4:$U$109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47</c:v>
                      </c:pt>
                      <c:pt idx="56">
                        <c:v>47.03</c:v>
                      </c:pt>
                      <c:pt idx="57">
                        <c:v>47.06</c:v>
                      </c:pt>
                      <c:pt idx="58">
                        <c:v>47.09</c:v>
                      </c:pt>
                      <c:pt idx="59">
                        <c:v>47.11</c:v>
                      </c:pt>
                      <c:pt idx="60">
                        <c:v>47.14</c:v>
                      </c:pt>
                      <c:pt idx="61">
                        <c:v>47.16</c:v>
                      </c:pt>
                      <c:pt idx="62">
                        <c:v>47.18</c:v>
                      </c:pt>
                      <c:pt idx="63">
                        <c:v>47.19</c:v>
                      </c:pt>
                      <c:pt idx="64">
                        <c:v>47.2</c:v>
                      </c:pt>
                      <c:pt idx="65">
                        <c:v>47.2</c:v>
                      </c:pt>
                      <c:pt idx="66">
                        <c:v>47.17</c:v>
                      </c:pt>
                      <c:pt idx="67">
                        <c:v>47.08</c:v>
                      </c:pt>
                      <c:pt idx="68">
                        <c:v>46.94</c:v>
                      </c:pt>
                      <c:pt idx="69">
                        <c:v>46.78</c:v>
                      </c:pt>
                      <c:pt idx="70">
                        <c:v>46.6</c:v>
                      </c:pt>
                      <c:pt idx="71">
                        <c:v>46.42</c:v>
                      </c:pt>
                      <c:pt idx="72">
                        <c:v>46.26</c:v>
                      </c:pt>
                      <c:pt idx="73">
                        <c:v>46.12</c:v>
                      </c:pt>
                      <c:pt idx="74">
                        <c:v>46.03</c:v>
                      </c:pt>
                      <c:pt idx="75">
                        <c:v>46</c:v>
                      </c:pt>
                      <c:pt idx="76">
                        <c:v>46.16</c:v>
                      </c:pt>
                      <c:pt idx="77">
                        <c:v>46.62</c:v>
                      </c:pt>
                      <c:pt idx="78">
                        <c:v>47.32</c:v>
                      </c:pt>
                      <c:pt idx="79">
                        <c:v>48.21</c:v>
                      </c:pt>
                      <c:pt idx="80">
                        <c:v>49.25</c:v>
                      </c:pt>
                      <c:pt idx="81">
                        <c:v>50.38</c:v>
                      </c:pt>
                      <c:pt idx="82">
                        <c:v>51.56</c:v>
                      </c:pt>
                      <c:pt idx="83">
                        <c:v>52.74</c:v>
                      </c:pt>
                      <c:pt idx="84">
                        <c:v>53.87</c:v>
                      </c:pt>
                      <c:pt idx="85">
                        <c:v>54.9</c:v>
                      </c:pt>
                      <c:pt idx="86">
                        <c:v>55.89</c:v>
                      </c:pt>
                      <c:pt idx="87">
                        <c:v>56.92</c:v>
                      </c:pt>
                      <c:pt idx="88">
                        <c:v>57.98</c:v>
                      </c:pt>
                      <c:pt idx="89">
                        <c:v>59.07</c:v>
                      </c:pt>
                      <c:pt idx="90">
                        <c:v>60.16</c:v>
                      </c:pt>
                      <c:pt idx="91">
                        <c:v>61.26</c:v>
                      </c:pt>
                      <c:pt idx="92">
                        <c:v>62.34</c:v>
                      </c:pt>
                      <c:pt idx="93">
                        <c:v>63.4</c:v>
                      </c:pt>
                      <c:pt idx="94">
                        <c:v>64.42</c:v>
                      </c:pt>
                      <c:pt idx="95">
                        <c:v>65.400000000000006</c:v>
                      </c:pt>
                      <c:pt idx="96">
                        <c:v>66.34</c:v>
                      </c:pt>
                      <c:pt idx="97">
                        <c:v>67.260000000000005</c:v>
                      </c:pt>
                      <c:pt idx="98">
                        <c:v>68.16</c:v>
                      </c:pt>
                      <c:pt idx="99">
                        <c:v>69.040000000000006</c:v>
                      </c:pt>
                      <c:pt idx="100">
                        <c:v>69.900000000000006</c:v>
                      </c:pt>
                      <c:pt idx="101">
                        <c:v>70.760000000000005</c:v>
                      </c:pt>
                      <c:pt idx="102">
                        <c:v>71.599999999999994</c:v>
                      </c:pt>
                      <c:pt idx="103">
                        <c:v>72.44</c:v>
                      </c:pt>
                      <c:pt idx="104">
                        <c:v>73.27</c:v>
                      </c:pt>
                      <c:pt idx="105">
                        <c:v>74.099999999999994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DEA0-416C-B531-3955C416C995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'Все-адм'!$W$3</c15:sqref>
                        </c15:formulaRef>
                      </c:ext>
                    </c:extLst>
                    <c:strCache>
                      <c:ptCount val="1"/>
                      <c:pt idx="0">
                        <c:v>Французская 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'Все-адм'!$W$4:$W$109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52</c:v>
                      </c:pt>
                      <c:pt idx="56">
                        <c:v>53.46</c:v>
                      </c:pt>
                      <c:pt idx="57">
                        <c:v>54.89</c:v>
                      </c:pt>
                      <c:pt idx="58">
                        <c:v>56.3</c:v>
                      </c:pt>
                      <c:pt idx="59">
                        <c:v>57.65</c:v>
                      </c:pt>
                      <c:pt idx="60">
                        <c:v>58.92</c:v>
                      </c:pt>
                      <c:pt idx="61">
                        <c:v>60.11</c:v>
                      </c:pt>
                      <c:pt idx="62">
                        <c:v>61.19</c:v>
                      </c:pt>
                      <c:pt idx="63">
                        <c:v>62.14</c:v>
                      </c:pt>
                      <c:pt idx="64">
                        <c:v>62.95</c:v>
                      </c:pt>
                      <c:pt idx="65">
                        <c:v>63.6</c:v>
                      </c:pt>
                      <c:pt idx="66">
                        <c:v>64.13</c:v>
                      </c:pt>
                      <c:pt idx="67">
                        <c:v>64.59</c:v>
                      </c:pt>
                      <c:pt idx="68">
                        <c:v>65</c:v>
                      </c:pt>
                      <c:pt idx="69">
                        <c:v>65.38</c:v>
                      </c:pt>
                      <c:pt idx="70">
                        <c:v>65.72</c:v>
                      </c:pt>
                      <c:pt idx="71">
                        <c:v>66.03</c:v>
                      </c:pt>
                      <c:pt idx="72">
                        <c:v>66.34</c:v>
                      </c:pt>
                      <c:pt idx="73">
                        <c:v>66.650000000000006</c:v>
                      </c:pt>
                      <c:pt idx="74">
                        <c:v>66.959999999999994</c:v>
                      </c:pt>
                      <c:pt idx="75">
                        <c:v>67.3</c:v>
                      </c:pt>
                      <c:pt idx="76">
                        <c:v>67.64</c:v>
                      </c:pt>
                      <c:pt idx="77">
                        <c:v>67.98</c:v>
                      </c:pt>
                      <c:pt idx="78">
                        <c:v>68.3</c:v>
                      </c:pt>
                      <c:pt idx="79">
                        <c:v>68.62</c:v>
                      </c:pt>
                      <c:pt idx="80">
                        <c:v>68.94</c:v>
                      </c:pt>
                      <c:pt idx="81">
                        <c:v>69.260000000000005</c:v>
                      </c:pt>
                      <c:pt idx="82">
                        <c:v>69.59</c:v>
                      </c:pt>
                      <c:pt idx="83">
                        <c:v>69.92</c:v>
                      </c:pt>
                      <c:pt idx="84">
                        <c:v>70.25</c:v>
                      </c:pt>
                      <c:pt idx="85">
                        <c:v>70.599999999999994</c:v>
                      </c:pt>
                      <c:pt idx="86">
                        <c:v>70.98</c:v>
                      </c:pt>
                      <c:pt idx="87">
                        <c:v>71.41</c:v>
                      </c:pt>
                      <c:pt idx="88">
                        <c:v>71.87</c:v>
                      </c:pt>
                      <c:pt idx="89">
                        <c:v>72.349999999999994</c:v>
                      </c:pt>
                      <c:pt idx="90">
                        <c:v>72.81</c:v>
                      </c:pt>
                      <c:pt idx="91">
                        <c:v>73.25</c:v>
                      </c:pt>
                      <c:pt idx="92">
                        <c:v>73.650000000000006</c:v>
                      </c:pt>
                      <c:pt idx="93">
                        <c:v>73.989999999999995</c:v>
                      </c:pt>
                      <c:pt idx="94">
                        <c:v>74.239999999999995</c:v>
                      </c:pt>
                      <c:pt idx="95">
                        <c:v>74.400000000000006</c:v>
                      </c:pt>
                      <c:pt idx="96">
                        <c:v>74.5</c:v>
                      </c:pt>
                      <c:pt idx="97">
                        <c:v>74.58</c:v>
                      </c:pt>
                      <c:pt idx="98">
                        <c:v>74.66</c:v>
                      </c:pt>
                      <c:pt idx="99">
                        <c:v>74.72</c:v>
                      </c:pt>
                      <c:pt idx="100">
                        <c:v>74.78</c:v>
                      </c:pt>
                      <c:pt idx="101">
                        <c:v>74.83</c:v>
                      </c:pt>
                      <c:pt idx="102">
                        <c:v>74.88</c:v>
                      </c:pt>
                      <c:pt idx="103">
                        <c:v>74.92</c:v>
                      </c:pt>
                      <c:pt idx="104">
                        <c:v>74.959999999999994</c:v>
                      </c:pt>
                      <c:pt idx="105">
                        <c:v>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DEA0-416C-B531-3955C416C995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'Все-адм'!$Z$3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'Все-адм'!$Z$4:$Z$109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48">
                        <c:v>18.2</c:v>
                      </c:pt>
                      <c:pt idx="49">
                        <c:v>19.57</c:v>
                      </c:pt>
                      <c:pt idx="50">
                        <c:v>20.92</c:v>
                      </c:pt>
                      <c:pt idx="51">
                        <c:v>22.23</c:v>
                      </c:pt>
                      <c:pt idx="52">
                        <c:v>23.49</c:v>
                      </c:pt>
                      <c:pt idx="53">
                        <c:v>24.66</c:v>
                      </c:pt>
                      <c:pt idx="54">
                        <c:v>25.74</c:v>
                      </c:pt>
                      <c:pt idx="55">
                        <c:v>26.7</c:v>
                      </c:pt>
                      <c:pt idx="56">
                        <c:v>27.56</c:v>
                      </c:pt>
                      <c:pt idx="57">
                        <c:v>28.35</c:v>
                      </c:pt>
                      <c:pt idx="58">
                        <c:v>29.09</c:v>
                      </c:pt>
                      <c:pt idx="59">
                        <c:v>29.78</c:v>
                      </c:pt>
                      <c:pt idx="60">
                        <c:v>30.45</c:v>
                      </c:pt>
                      <c:pt idx="61">
                        <c:v>31.1</c:v>
                      </c:pt>
                      <c:pt idx="62">
                        <c:v>31.74</c:v>
                      </c:pt>
                      <c:pt idx="63">
                        <c:v>32.4</c:v>
                      </c:pt>
                      <c:pt idx="64">
                        <c:v>33.08</c:v>
                      </c:pt>
                      <c:pt idx="65">
                        <c:v>33.799999999999997</c:v>
                      </c:pt>
                      <c:pt idx="66">
                        <c:v>34.56</c:v>
                      </c:pt>
                      <c:pt idx="67">
                        <c:v>35.35</c:v>
                      </c:pt>
                      <c:pt idx="68">
                        <c:v>36.15</c:v>
                      </c:pt>
                      <c:pt idx="69">
                        <c:v>36.97</c:v>
                      </c:pt>
                      <c:pt idx="70">
                        <c:v>37.79</c:v>
                      </c:pt>
                      <c:pt idx="71">
                        <c:v>38.590000000000003</c:v>
                      </c:pt>
                      <c:pt idx="72">
                        <c:v>39.380000000000003</c:v>
                      </c:pt>
                      <c:pt idx="73">
                        <c:v>40.130000000000003</c:v>
                      </c:pt>
                      <c:pt idx="74">
                        <c:v>40.840000000000003</c:v>
                      </c:pt>
                      <c:pt idx="75">
                        <c:v>41.5</c:v>
                      </c:pt>
                      <c:pt idx="76">
                        <c:v>42.11</c:v>
                      </c:pt>
                      <c:pt idx="77">
                        <c:v>42.7</c:v>
                      </c:pt>
                      <c:pt idx="78">
                        <c:v>43.25</c:v>
                      </c:pt>
                      <c:pt idx="79">
                        <c:v>43.79</c:v>
                      </c:pt>
                      <c:pt idx="80">
                        <c:v>44.31</c:v>
                      </c:pt>
                      <c:pt idx="81">
                        <c:v>44.82</c:v>
                      </c:pt>
                      <c:pt idx="82">
                        <c:v>45.32</c:v>
                      </c:pt>
                      <c:pt idx="83">
                        <c:v>45.81</c:v>
                      </c:pt>
                      <c:pt idx="84">
                        <c:v>46.3</c:v>
                      </c:pt>
                      <c:pt idx="85">
                        <c:v>46.8</c:v>
                      </c:pt>
                      <c:pt idx="86">
                        <c:v>47.33</c:v>
                      </c:pt>
                      <c:pt idx="87">
                        <c:v>47.89</c:v>
                      </c:pt>
                      <c:pt idx="88">
                        <c:v>48.48</c:v>
                      </c:pt>
                      <c:pt idx="89">
                        <c:v>49.07</c:v>
                      </c:pt>
                      <c:pt idx="90">
                        <c:v>49.64</c:v>
                      </c:pt>
                      <c:pt idx="91">
                        <c:v>50.17</c:v>
                      </c:pt>
                      <c:pt idx="92">
                        <c:v>50.64</c:v>
                      </c:pt>
                      <c:pt idx="93">
                        <c:v>51.03</c:v>
                      </c:pt>
                      <c:pt idx="94">
                        <c:v>51.33</c:v>
                      </c:pt>
                      <c:pt idx="95">
                        <c:v>51.5</c:v>
                      </c:pt>
                      <c:pt idx="96">
                        <c:v>51.6</c:v>
                      </c:pt>
                      <c:pt idx="97">
                        <c:v>51.69</c:v>
                      </c:pt>
                      <c:pt idx="98">
                        <c:v>51.76</c:v>
                      </c:pt>
                      <c:pt idx="99">
                        <c:v>51.83</c:v>
                      </c:pt>
                      <c:pt idx="100">
                        <c:v>51.89</c:v>
                      </c:pt>
                      <c:pt idx="101">
                        <c:v>51.94</c:v>
                      </c:pt>
                      <c:pt idx="102">
                        <c:v>51.98</c:v>
                      </c:pt>
                      <c:pt idx="103">
                        <c:v>52.02</c:v>
                      </c:pt>
                      <c:pt idx="104">
                        <c:v>52.06</c:v>
                      </c:pt>
                      <c:pt idx="105">
                        <c:v>52.1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DEA0-416C-B531-3955C416C995}"/>
                  </c:ext>
                </c:extLst>
              </c15:ser>
            </c15:filteredScatterSeries>
          </c:ext>
        </c:extLst>
      </c:scatterChart>
      <c:valAx>
        <c:axId val="83331215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320655"/>
        <c:crosses val="autoZero"/>
        <c:crossBetween val="midCat"/>
      </c:valAx>
      <c:valAx>
        <c:axId val="8332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331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% </a:t>
            </a:r>
            <a:r>
              <a:rPr lang="ru-RU" sz="1800" b="1" i="0" baseline="0">
                <a:effectLst/>
              </a:rPr>
              <a:t>населения живущего в пунктах с численностью более 2,000 жителей 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'Все-2K'!$B$3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'Все-2K'!$B$4:$B$107</c:f>
              <c:numCache>
                <c:formatCode>0.0</c:formatCode>
                <c:ptCount val="104"/>
                <c:pt idx="53">
                  <c:v>64.3</c:v>
                </c:pt>
                <c:pt idx="54">
                  <c:v>65.599999999999994</c:v>
                </c:pt>
                <c:pt idx="55">
                  <c:v>66.89</c:v>
                </c:pt>
                <c:pt idx="56">
                  <c:v>68.150000000000006</c:v>
                </c:pt>
                <c:pt idx="57">
                  <c:v>69.36</c:v>
                </c:pt>
                <c:pt idx="58">
                  <c:v>70.53</c:v>
                </c:pt>
                <c:pt idx="59">
                  <c:v>71.62</c:v>
                </c:pt>
                <c:pt idx="60">
                  <c:v>72.62</c:v>
                </c:pt>
                <c:pt idx="61">
                  <c:v>73.53</c:v>
                </c:pt>
                <c:pt idx="62">
                  <c:v>74.33</c:v>
                </c:pt>
                <c:pt idx="63">
                  <c:v>75</c:v>
                </c:pt>
                <c:pt idx="64">
                  <c:v>75.569999999999993</c:v>
                </c:pt>
                <c:pt idx="65">
                  <c:v>76.069999999999993</c:v>
                </c:pt>
                <c:pt idx="66">
                  <c:v>76.53</c:v>
                </c:pt>
                <c:pt idx="67">
                  <c:v>76.94</c:v>
                </c:pt>
                <c:pt idx="68">
                  <c:v>77.319999999999993</c:v>
                </c:pt>
                <c:pt idx="69">
                  <c:v>77.69</c:v>
                </c:pt>
                <c:pt idx="70">
                  <c:v>78.05</c:v>
                </c:pt>
                <c:pt idx="71">
                  <c:v>78.41</c:v>
                </c:pt>
                <c:pt idx="72">
                  <c:v>78.790000000000006</c:v>
                </c:pt>
                <c:pt idx="73">
                  <c:v>79.2</c:v>
                </c:pt>
                <c:pt idx="74">
                  <c:v>79.63</c:v>
                </c:pt>
                <c:pt idx="75">
                  <c:v>80.06</c:v>
                </c:pt>
                <c:pt idx="76">
                  <c:v>80.5</c:v>
                </c:pt>
                <c:pt idx="77">
                  <c:v>80.94</c:v>
                </c:pt>
                <c:pt idx="78">
                  <c:v>81.38</c:v>
                </c:pt>
                <c:pt idx="79">
                  <c:v>81.819999999999993</c:v>
                </c:pt>
                <c:pt idx="80">
                  <c:v>82.25</c:v>
                </c:pt>
                <c:pt idx="81">
                  <c:v>82.68</c:v>
                </c:pt>
                <c:pt idx="82">
                  <c:v>83.1</c:v>
                </c:pt>
                <c:pt idx="83">
                  <c:v>83.5</c:v>
                </c:pt>
                <c:pt idx="84">
                  <c:v>83.9</c:v>
                </c:pt>
                <c:pt idx="85">
                  <c:v>84.31</c:v>
                </c:pt>
                <c:pt idx="86">
                  <c:v>84.73</c:v>
                </c:pt>
                <c:pt idx="87">
                  <c:v>85.13</c:v>
                </c:pt>
                <c:pt idx="88">
                  <c:v>85.53</c:v>
                </c:pt>
                <c:pt idx="89">
                  <c:v>85.92</c:v>
                </c:pt>
                <c:pt idx="90">
                  <c:v>86.28</c:v>
                </c:pt>
                <c:pt idx="91">
                  <c:v>86.62</c:v>
                </c:pt>
                <c:pt idx="92">
                  <c:v>86.93</c:v>
                </c:pt>
                <c:pt idx="93">
                  <c:v>87.2</c:v>
                </c:pt>
                <c:pt idx="94">
                  <c:v>87.44</c:v>
                </c:pt>
                <c:pt idx="95">
                  <c:v>87.67</c:v>
                </c:pt>
                <c:pt idx="96">
                  <c:v>87.88</c:v>
                </c:pt>
                <c:pt idx="97">
                  <c:v>88.08</c:v>
                </c:pt>
                <c:pt idx="98">
                  <c:v>88.26</c:v>
                </c:pt>
                <c:pt idx="99">
                  <c:v>88.44</c:v>
                </c:pt>
                <c:pt idx="100">
                  <c:v>88.61</c:v>
                </c:pt>
                <c:pt idx="101">
                  <c:v>88.78</c:v>
                </c:pt>
                <c:pt idx="102">
                  <c:v>88.94</c:v>
                </c:pt>
                <c:pt idx="103">
                  <c:v>89.1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D1-4BCC-805F-05FC8B88C353}"/>
            </c:ext>
          </c:extLst>
        </c:ser>
        <c:ser>
          <c:idx val="2"/>
          <c:order val="2"/>
          <c:tx>
            <c:strRef>
              <c:f>'Все-2K'!$D$3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'Все-2K'!$D$4:$D$107</c:f>
              <c:numCache>
                <c:formatCode>0.0</c:formatCode>
                <c:ptCount val="104"/>
                <c:pt idx="53">
                  <c:v>25.6</c:v>
                </c:pt>
                <c:pt idx="54">
                  <c:v>27.33</c:v>
                </c:pt>
                <c:pt idx="55">
                  <c:v>29.04</c:v>
                </c:pt>
                <c:pt idx="56">
                  <c:v>30.7</c:v>
                </c:pt>
                <c:pt idx="57">
                  <c:v>32.299999999999997</c:v>
                </c:pt>
                <c:pt idx="58">
                  <c:v>33.81</c:v>
                </c:pt>
                <c:pt idx="59">
                  <c:v>35.22</c:v>
                </c:pt>
                <c:pt idx="60">
                  <c:v>36.49</c:v>
                </c:pt>
                <c:pt idx="61">
                  <c:v>37.61</c:v>
                </c:pt>
                <c:pt idx="62">
                  <c:v>38.549999999999997</c:v>
                </c:pt>
                <c:pt idx="63">
                  <c:v>39.299999999999997</c:v>
                </c:pt>
                <c:pt idx="64">
                  <c:v>39.89</c:v>
                </c:pt>
                <c:pt idx="65">
                  <c:v>40.39</c:v>
                </c:pt>
                <c:pt idx="66">
                  <c:v>40.82</c:v>
                </c:pt>
                <c:pt idx="67">
                  <c:v>41.2</c:v>
                </c:pt>
                <c:pt idx="68">
                  <c:v>41.55</c:v>
                </c:pt>
                <c:pt idx="69">
                  <c:v>41.88</c:v>
                </c:pt>
                <c:pt idx="70">
                  <c:v>42.23</c:v>
                </c:pt>
                <c:pt idx="71">
                  <c:v>42.6</c:v>
                </c:pt>
                <c:pt idx="72">
                  <c:v>43.02</c:v>
                </c:pt>
                <c:pt idx="73">
                  <c:v>43.5</c:v>
                </c:pt>
                <c:pt idx="74">
                  <c:v>44.06</c:v>
                </c:pt>
                <c:pt idx="75">
                  <c:v>44.68</c:v>
                </c:pt>
                <c:pt idx="76">
                  <c:v>45.34</c:v>
                </c:pt>
                <c:pt idx="77">
                  <c:v>46.05</c:v>
                </c:pt>
                <c:pt idx="78">
                  <c:v>46.78</c:v>
                </c:pt>
                <c:pt idx="79">
                  <c:v>47.53</c:v>
                </c:pt>
                <c:pt idx="80">
                  <c:v>48.29</c:v>
                </c:pt>
                <c:pt idx="81">
                  <c:v>49.04</c:v>
                </c:pt>
                <c:pt idx="82">
                  <c:v>49.78</c:v>
                </c:pt>
                <c:pt idx="83">
                  <c:v>50.5</c:v>
                </c:pt>
                <c:pt idx="84">
                  <c:v>51.21</c:v>
                </c:pt>
                <c:pt idx="85">
                  <c:v>51.93</c:v>
                </c:pt>
                <c:pt idx="86">
                  <c:v>52.67</c:v>
                </c:pt>
                <c:pt idx="87">
                  <c:v>53.4</c:v>
                </c:pt>
                <c:pt idx="88">
                  <c:v>54.13</c:v>
                </c:pt>
                <c:pt idx="89">
                  <c:v>54.85</c:v>
                </c:pt>
                <c:pt idx="90">
                  <c:v>55.55</c:v>
                </c:pt>
                <c:pt idx="91">
                  <c:v>56.23</c:v>
                </c:pt>
                <c:pt idx="92">
                  <c:v>56.88</c:v>
                </c:pt>
                <c:pt idx="93">
                  <c:v>57.5</c:v>
                </c:pt>
                <c:pt idx="94">
                  <c:v>58.09</c:v>
                </c:pt>
                <c:pt idx="95">
                  <c:v>58.65</c:v>
                </c:pt>
                <c:pt idx="96">
                  <c:v>59.2</c:v>
                </c:pt>
                <c:pt idx="97">
                  <c:v>59.73</c:v>
                </c:pt>
                <c:pt idx="98">
                  <c:v>60.24</c:v>
                </c:pt>
                <c:pt idx="99">
                  <c:v>60.75</c:v>
                </c:pt>
                <c:pt idx="100">
                  <c:v>61.24</c:v>
                </c:pt>
                <c:pt idx="101">
                  <c:v>61.73</c:v>
                </c:pt>
                <c:pt idx="102">
                  <c:v>62.22</c:v>
                </c:pt>
                <c:pt idx="103">
                  <c:v>62.7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9D1-4BCC-805F-05FC8B88C353}"/>
            </c:ext>
          </c:extLst>
        </c:ser>
        <c:ser>
          <c:idx val="3"/>
          <c:order val="3"/>
          <c:tx>
            <c:strRef>
              <c:f>'Все-2K'!$E$3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'Все-2K'!$E$4:$E$107</c:f>
              <c:numCache>
                <c:formatCode>0.0</c:formatCode>
                <c:ptCount val="104"/>
                <c:pt idx="53">
                  <c:v>30.1</c:v>
                </c:pt>
                <c:pt idx="54">
                  <c:v>30.81</c:v>
                </c:pt>
                <c:pt idx="55">
                  <c:v>31.52</c:v>
                </c:pt>
                <c:pt idx="56">
                  <c:v>32.24</c:v>
                </c:pt>
                <c:pt idx="57">
                  <c:v>32.979999999999997</c:v>
                </c:pt>
                <c:pt idx="58">
                  <c:v>33.74</c:v>
                </c:pt>
                <c:pt idx="59">
                  <c:v>34.53</c:v>
                </c:pt>
                <c:pt idx="60">
                  <c:v>35.36</c:v>
                </c:pt>
                <c:pt idx="61">
                  <c:v>36.229999999999997</c:v>
                </c:pt>
                <c:pt idx="62">
                  <c:v>37.14</c:v>
                </c:pt>
                <c:pt idx="63">
                  <c:v>38.1</c:v>
                </c:pt>
                <c:pt idx="64">
                  <c:v>39.15</c:v>
                </c:pt>
                <c:pt idx="65">
                  <c:v>40.29</c:v>
                </c:pt>
                <c:pt idx="66">
                  <c:v>41.52</c:v>
                </c:pt>
                <c:pt idx="67">
                  <c:v>42.82</c:v>
                </c:pt>
                <c:pt idx="68">
                  <c:v>44.16</c:v>
                </c:pt>
                <c:pt idx="69">
                  <c:v>45.55</c:v>
                </c:pt>
                <c:pt idx="70">
                  <c:v>46.95</c:v>
                </c:pt>
                <c:pt idx="71">
                  <c:v>48.35</c:v>
                </c:pt>
                <c:pt idx="72">
                  <c:v>49.74</c:v>
                </c:pt>
                <c:pt idx="73">
                  <c:v>51.1</c:v>
                </c:pt>
                <c:pt idx="74">
                  <c:v>52.48</c:v>
                </c:pt>
                <c:pt idx="75">
                  <c:v>53.92</c:v>
                </c:pt>
                <c:pt idx="76">
                  <c:v>55.4</c:v>
                </c:pt>
                <c:pt idx="77">
                  <c:v>56.9</c:v>
                </c:pt>
                <c:pt idx="78">
                  <c:v>58.39</c:v>
                </c:pt>
                <c:pt idx="79">
                  <c:v>59.85</c:v>
                </c:pt>
                <c:pt idx="80">
                  <c:v>61.25</c:v>
                </c:pt>
                <c:pt idx="81">
                  <c:v>62.58</c:v>
                </c:pt>
                <c:pt idx="82">
                  <c:v>63.8</c:v>
                </c:pt>
                <c:pt idx="83">
                  <c:v>64.900000000000006</c:v>
                </c:pt>
                <c:pt idx="84">
                  <c:v>65.900000000000006</c:v>
                </c:pt>
                <c:pt idx="85">
                  <c:v>66.84</c:v>
                </c:pt>
                <c:pt idx="86">
                  <c:v>67.73</c:v>
                </c:pt>
                <c:pt idx="87">
                  <c:v>68.58</c:v>
                </c:pt>
                <c:pt idx="88">
                  <c:v>69.39</c:v>
                </c:pt>
                <c:pt idx="89">
                  <c:v>70.17</c:v>
                </c:pt>
                <c:pt idx="90">
                  <c:v>70.92</c:v>
                </c:pt>
                <c:pt idx="91">
                  <c:v>71.66</c:v>
                </c:pt>
                <c:pt idx="92">
                  <c:v>72.38</c:v>
                </c:pt>
                <c:pt idx="93">
                  <c:v>73.099999999999994</c:v>
                </c:pt>
                <c:pt idx="94">
                  <c:v>73.81</c:v>
                </c:pt>
                <c:pt idx="95">
                  <c:v>74.489999999999995</c:v>
                </c:pt>
                <c:pt idx="96">
                  <c:v>75.16</c:v>
                </c:pt>
                <c:pt idx="97">
                  <c:v>75.81</c:v>
                </c:pt>
                <c:pt idx="98">
                  <c:v>76.45</c:v>
                </c:pt>
                <c:pt idx="99">
                  <c:v>77.069999999999993</c:v>
                </c:pt>
                <c:pt idx="100">
                  <c:v>77.69</c:v>
                </c:pt>
                <c:pt idx="101">
                  <c:v>78.3</c:v>
                </c:pt>
                <c:pt idx="102">
                  <c:v>78.900000000000006</c:v>
                </c:pt>
                <c:pt idx="103">
                  <c:v>79.5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9D1-4BCC-805F-05FC8B88C353}"/>
            </c:ext>
          </c:extLst>
        </c:ser>
        <c:ser>
          <c:idx val="4"/>
          <c:order val="4"/>
          <c:tx>
            <c:strRef>
              <c:f>'Все-2K'!$F$3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'Все-2K'!$F$4:$F$107</c:f>
              <c:numCache>
                <c:formatCode>0.0</c:formatCode>
                <c:ptCount val="104"/>
                <c:pt idx="53">
                  <c:v>51.8</c:v>
                </c:pt>
                <c:pt idx="54">
                  <c:v>53.21</c:v>
                </c:pt>
                <c:pt idx="55">
                  <c:v>54.61</c:v>
                </c:pt>
                <c:pt idx="56">
                  <c:v>56</c:v>
                </c:pt>
                <c:pt idx="57">
                  <c:v>57.37</c:v>
                </c:pt>
                <c:pt idx="58">
                  <c:v>58.72</c:v>
                </c:pt>
                <c:pt idx="59">
                  <c:v>60.04</c:v>
                </c:pt>
                <c:pt idx="60">
                  <c:v>61.32</c:v>
                </c:pt>
                <c:pt idx="61">
                  <c:v>62.56</c:v>
                </c:pt>
                <c:pt idx="62">
                  <c:v>63.76</c:v>
                </c:pt>
                <c:pt idx="63">
                  <c:v>64.900000000000006</c:v>
                </c:pt>
                <c:pt idx="64">
                  <c:v>66</c:v>
                </c:pt>
                <c:pt idx="65">
                  <c:v>67.069999999999993</c:v>
                </c:pt>
                <c:pt idx="66">
                  <c:v>68.11</c:v>
                </c:pt>
                <c:pt idx="67">
                  <c:v>69.12</c:v>
                </c:pt>
                <c:pt idx="68">
                  <c:v>70.099999999999994</c:v>
                </c:pt>
                <c:pt idx="69">
                  <c:v>71.06</c:v>
                </c:pt>
                <c:pt idx="70">
                  <c:v>71.98</c:v>
                </c:pt>
                <c:pt idx="71">
                  <c:v>72.88</c:v>
                </c:pt>
                <c:pt idx="72">
                  <c:v>73.75</c:v>
                </c:pt>
                <c:pt idx="73">
                  <c:v>74.599999999999994</c:v>
                </c:pt>
                <c:pt idx="74">
                  <c:v>75.430000000000007</c:v>
                </c:pt>
                <c:pt idx="75">
                  <c:v>76.27</c:v>
                </c:pt>
                <c:pt idx="76">
                  <c:v>77.09</c:v>
                </c:pt>
                <c:pt idx="77">
                  <c:v>77.89</c:v>
                </c:pt>
                <c:pt idx="78">
                  <c:v>78.67</c:v>
                </c:pt>
                <c:pt idx="79">
                  <c:v>79.41</c:v>
                </c:pt>
                <c:pt idx="80">
                  <c:v>80.11</c:v>
                </c:pt>
                <c:pt idx="81">
                  <c:v>80.77</c:v>
                </c:pt>
                <c:pt idx="82">
                  <c:v>81.37</c:v>
                </c:pt>
                <c:pt idx="83">
                  <c:v>81.900000000000006</c:v>
                </c:pt>
                <c:pt idx="84">
                  <c:v>82.38</c:v>
                </c:pt>
                <c:pt idx="85">
                  <c:v>82.83</c:v>
                </c:pt>
                <c:pt idx="86">
                  <c:v>83.25</c:v>
                </c:pt>
                <c:pt idx="87">
                  <c:v>83.65</c:v>
                </c:pt>
                <c:pt idx="88">
                  <c:v>84.02</c:v>
                </c:pt>
                <c:pt idx="89">
                  <c:v>84.38</c:v>
                </c:pt>
                <c:pt idx="90">
                  <c:v>84.72</c:v>
                </c:pt>
                <c:pt idx="91">
                  <c:v>85.06</c:v>
                </c:pt>
                <c:pt idx="92">
                  <c:v>85.38</c:v>
                </c:pt>
                <c:pt idx="93">
                  <c:v>85.7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9D1-4BCC-805F-05FC8B88C353}"/>
            </c:ext>
          </c:extLst>
        </c:ser>
        <c:ser>
          <c:idx val="6"/>
          <c:order val="6"/>
          <c:tx>
            <c:strRef>
              <c:f>'Все-2K'!$H$3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'Все-2K'!$H$4:$H$107</c:f>
              <c:numCache>
                <c:formatCode>0.0</c:formatCode>
                <c:ptCount val="104"/>
                <c:pt idx="53">
                  <c:v>26.8</c:v>
                </c:pt>
                <c:pt idx="54">
                  <c:v>27.35</c:v>
                </c:pt>
                <c:pt idx="55">
                  <c:v>27.9</c:v>
                </c:pt>
                <c:pt idx="56">
                  <c:v>28.44</c:v>
                </c:pt>
                <c:pt idx="57">
                  <c:v>28.97</c:v>
                </c:pt>
                <c:pt idx="58">
                  <c:v>29.47</c:v>
                </c:pt>
                <c:pt idx="59">
                  <c:v>29.95</c:v>
                </c:pt>
                <c:pt idx="60">
                  <c:v>30.39</c:v>
                </c:pt>
                <c:pt idx="61">
                  <c:v>30.81</c:v>
                </c:pt>
                <c:pt idx="62">
                  <c:v>31.18</c:v>
                </c:pt>
                <c:pt idx="63">
                  <c:v>31.5</c:v>
                </c:pt>
                <c:pt idx="64">
                  <c:v>31.78</c:v>
                </c:pt>
                <c:pt idx="65">
                  <c:v>32.04</c:v>
                </c:pt>
                <c:pt idx="66">
                  <c:v>32.28</c:v>
                </c:pt>
                <c:pt idx="67">
                  <c:v>32.49</c:v>
                </c:pt>
                <c:pt idx="68">
                  <c:v>32.700000000000003</c:v>
                </c:pt>
                <c:pt idx="69">
                  <c:v>32.9</c:v>
                </c:pt>
                <c:pt idx="70">
                  <c:v>33.090000000000003</c:v>
                </c:pt>
                <c:pt idx="71">
                  <c:v>33.29</c:v>
                </c:pt>
                <c:pt idx="72">
                  <c:v>33.49</c:v>
                </c:pt>
                <c:pt idx="73">
                  <c:v>33.700000000000003</c:v>
                </c:pt>
                <c:pt idx="74">
                  <c:v>33.92</c:v>
                </c:pt>
                <c:pt idx="75">
                  <c:v>34.14</c:v>
                </c:pt>
                <c:pt idx="76">
                  <c:v>34.36</c:v>
                </c:pt>
                <c:pt idx="77">
                  <c:v>34.58</c:v>
                </c:pt>
                <c:pt idx="78">
                  <c:v>34.799999999999997</c:v>
                </c:pt>
                <c:pt idx="79">
                  <c:v>35.020000000000003</c:v>
                </c:pt>
                <c:pt idx="80">
                  <c:v>35.24</c:v>
                </c:pt>
                <c:pt idx="81">
                  <c:v>35.46</c:v>
                </c:pt>
                <c:pt idx="82">
                  <c:v>35.68</c:v>
                </c:pt>
                <c:pt idx="83">
                  <c:v>35.9</c:v>
                </c:pt>
                <c:pt idx="84">
                  <c:v>36.11</c:v>
                </c:pt>
                <c:pt idx="85">
                  <c:v>36.299999999999997</c:v>
                </c:pt>
                <c:pt idx="86">
                  <c:v>36.47</c:v>
                </c:pt>
                <c:pt idx="87">
                  <c:v>36.65</c:v>
                </c:pt>
                <c:pt idx="88">
                  <c:v>36.83</c:v>
                </c:pt>
                <c:pt idx="89">
                  <c:v>37.020000000000003</c:v>
                </c:pt>
                <c:pt idx="90">
                  <c:v>37.24</c:v>
                </c:pt>
                <c:pt idx="91">
                  <c:v>37.479999999999997</c:v>
                </c:pt>
                <c:pt idx="92">
                  <c:v>37.770000000000003</c:v>
                </c:pt>
                <c:pt idx="93">
                  <c:v>38.1</c:v>
                </c:pt>
                <c:pt idx="94">
                  <c:v>38.549999999999997</c:v>
                </c:pt>
                <c:pt idx="95">
                  <c:v>39.15</c:v>
                </c:pt>
                <c:pt idx="96">
                  <c:v>39.909999999999997</c:v>
                </c:pt>
                <c:pt idx="97">
                  <c:v>40.78</c:v>
                </c:pt>
                <c:pt idx="98">
                  <c:v>41.77</c:v>
                </c:pt>
                <c:pt idx="99">
                  <c:v>42.85</c:v>
                </c:pt>
                <c:pt idx="100">
                  <c:v>44</c:v>
                </c:pt>
                <c:pt idx="101">
                  <c:v>45.2</c:v>
                </c:pt>
                <c:pt idx="102">
                  <c:v>46.44</c:v>
                </c:pt>
                <c:pt idx="103">
                  <c:v>47.7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9D1-4BCC-805F-05FC8B88C353}"/>
            </c:ext>
          </c:extLst>
        </c:ser>
        <c:ser>
          <c:idx val="8"/>
          <c:order val="8"/>
          <c:tx>
            <c:strRef>
              <c:f>'Все-2K'!$J$3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'Все-2K'!$J$4:$J$107</c:f>
              <c:numCache>
                <c:formatCode>0.0</c:formatCode>
                <c:ptCount val="104"/>
                <c:pt idx="53">
                  <c:v>17.2</c:v>
                </c:pt>
                <c:pt idx="54">
                  <c:v>17.59</c:v>
                </c:pt>
                <c:pt idx="55">
                  <c:v>17.989999999999998</c:v>
                </c:pt>
                <c:pt idx="56">
                  <c:v>18.399999999999999</c:v>
                </c:pt>
                <c:pt idx="57">
                  <c:v>18.829999999999998</c:v>
                </c:pt>
                <c:pt idx="58">
                  <c:v>19.27</c:v>
                </c:pt>
                <c:pt idx="59">
                  <c:v>19.739999999999998</c:v>
                </c:pt>
                <c:pt idx="60">
                  <c:v>20.25</c:v>
                </c:pt>
                <c:pt idx="61">
                  <c:v>20.79</c:v>
                </c:pt>
                <c:pt idx="62">
                  <c:v>21.37</c:v>
                </c:pt>
                <c:pt idx="63">
                  <c:v>22</c:v>
                </c:pt>
                <c:pt idx="64">
                  <c:v>22.74</c:v>
                </c:pt>
                <c:pt idx="65">
                  <c:v>23.63</c:v>
                </c:pt>
                <c:pt idx="66">
                  <c:v>24.64</c:v>
                </c:pt>
                <c:pt idx="67">
                  <c:v>25.74</c:v>
                </c:pt>
                <c:pt idx="68">
                  <c:v>26.89</c:v>
                </c:pt>
                <c:pt idx="69">
                  <c:v>28.06</c:v>
                </c:pt>
                <c:pt idx="70">
                  <c:v>29.22</c:v>
                </c:pt>
                <c:pt idx="71">
                  <c:v>30.34</c:v>
                </c:pt>
                <c:pt idx="72">
                  <c:v>31.37</c:v>
                </c:pt>
                <c:pt idx="73">
                  <c:v>32.299999999999997</c:v>
                </c:pt>
                <c:pt idx="74">
                  <c:v>33.200000000000003</c:v>
                </c:pt>
                <c:pt idx="75">
                  <c:v>34.17</c:v>
                </c:pt>
                <c:pt idx="76">
                  <c:v>35.159999999999997</c:v>
                </c:pt>
                <c:pt idx="77">
                  <c:v>36.14</c:v>
                </c:pt>
                <c:pt idx="78">
                  <c:v>37.08</c:v>
                </c:pt>
                <c:pt idx="79">
                  <c:v>37.92</c:v>
                </c:pt>
                <c:pt idx="80">
                  <c:v>38.64</c:v>
                </c:pt>
                <c:pt idx="81">
                  <c:v>39.21</c:v>
                </c:pt>
                <c:pt idx="82">
                  <c:v>39.57</c:v>
                </c:pt>
                <c:pt idx="83">
                  <c:v>39.700000000000003</c:v>
                </c:pt>
                <c:pt idx="84">
                  <c:v>39.69</c:v>
                </c:pt>
                <c:pt idx="85">
                  <c:v>39.67</c:v>
                </c:pt>
                <c:pt idx="86">
                  <c:v>39.64</c:v>
                </c:pt>
                <c:pt idx="87">
                  <c:v>39.590000000000003</c:v>
                </c:pt>
                <c:pt idx="88">
                  <c:v>39.549999999999997</c:v>
                </c:pt>
                <c:pt idx="89">
                  <c:v>39.51</c:v>
                </c:pt>
                <c:pt idx="90">
                  <c:v>39.46</c:v>
                </c:pt>
                <c:pt idx="91">
                  <c:v>39.43</c:v>
                </c:pt>
                <c:pt idx="92">
                  <c:v>39.409999999999997</c:v>
                </c:pt>
                <c:pt idx="93">
                  <c:v>39.4</c:v>
                </c:pt>
                <c:pt idx="94">
                  <c:v>39.47</c:v>
                </c:pt>
                <c:pt idx="95">
                  <c:v>39.65</c:v>
                </c:pt>
                <c:pt idx="96">
                  <c:v>39.950000000000003</c:v>
                </c:pt>
                <c:pt idx="97">
                  <c:v>40.340000000000003</c:v>
                </c:pt>
                <c:pt idx="98">
                  <c:v>40.81</c:v>
                </c:pt>
                <c:pt idx="99">
                  <c:v>41.34</c:v>
                </c:pt>
                <c:pt idx="100">
                  <c:v>41.94</c:v>
                </c:pt>
                <c:pt idx="101">
                  <c:v>42.57</c:v>
                </c:pt>
                <c:pt idx="102">
                  <c:v>43.23</c:v>
                </c:pt>
                <c:pt idx="103">
                  <c:v>43.9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9D1-4BCC-805F-05FC8B88C353}"/>
            </c:ext>
          </c:extLst>
        </c:ser>
        <c:ser>
          <c:idx val="9"/>
          <c:order val="9"/>
          <c:tx>
            <c:strRef>
              <c:f>'Все-2K'!$K$3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'Все-2K'!$K$4:$K$107</c:f>
              <c:numCache>
                <c:formatCode>0.0</c:formatCode>
                <c:ptCount val="104"/>
                <c:pt idx="53">
                  <c:v>21.6</c:v>
                </c:pt>
                <c:pt idx="54">
                  <c:v>22.3</c:v>
                </c:pt>
                <c:pt idx="55">
                  <c:v>23</c:v>
                </c:pt>
                <c:pt idx="56">
                  <c:v>23.71</c:v>
                </c:pt>
                <c:pt idx="57">
                  <c:v>24.43</c:v>
                </c:pt>
                <c:pt idx="58">
                  <c:v>25.16</c:v>
                </c:pt>
                <c:pt idx="59">
                  <c:v>25.9</c:v>
                </c:pt>
                <c:pt idx="60">
                  <c:v>26.67</c:v>
                </c:pt>
                <c:pt idx="61">
                  <c:v>27.45</c:v>
                </c:pt>
                <c:pt idx="62">
                  <c:v>28.26</c:v>
                </c:pt>
                <c:pt idx="63">
                  <c:v>29.1</c:v>
                </c:pt>
                <c:pt idx="64">
                  <c:v>29.97</c:v>
                </c:pt>
                <c:pt idx="65">
                  <c:v>30.87</c:v>
                </c:pt>
                <c:pt idx="66">
                  <c:v>31.8</c:v>
                </c:pt>
                <c:pt idx="67">
                  <c:v>32.76</c:v>
                </c:pt>
                <c:pt idx="68">
                  <c:v>33.74</c:v>
                </c:pt>
                <c:pt idx="69">
                  <c:v>34.75</c:v>
                </c:pt>
                <c:pt idx="70">
                  <c:v>35.78</c:v>
                </c:pt>
                <c:pt idx="71">
                  <c:v>36.83</c:v>
                </c:pt>
                <c:pt idx="72">
                  <c:v>37.909999999999997</c:v>
                </c:pt>
                <c:pt idx="73">
                  <c:v>39</c:v>
                </c:pt>
                <c:pt idx="74">
                  <c:v>40.18</c:v>
                </c:pt>
                <c:pt idx="75">
                  <c:v>41.49</c:v>
                </c:pt>
                <c:pt idx="76">
                  <c:v>42.88</c:v>
                </c:pt>
                <c:pt idx="77">
                  <c:v>44.32</c:v>
                </c:pt>
                <c:pt idx="78">
                  <c:v>45.75</c:v>
                </c:pt>
                <c:pt idx="79">
                  <c:v>47.14</c:v>
                </c:pt>
                <c:pt idx="80">
                  <c:v>48.44</c:v>
                </c:pt>
                <c:pt idx="81">
                  <c:v>49.62</c:v>
                </c:pt>
                <c:pt idx="82">
                  <c:v>50.62</c:v>
                </c:pt>
                <c:pt idx="83">
                  <c:v>51.4</c:v>
                </c:pt>
                <c:pt idx="84">
                  <c:v>52.01</c:v>
                </c:pt>
                <c:pt idx="85">
                  <c:v>52.54</c:v>
                </c:pt>
                <c:pt idx="86">
                  <c:v>53</c:v>
                </c:pt>
                <c:pt idx="87">
                  <c:v>53.41</c:v>
                </c:pt>
                <c:pt idx="88">
                  <c:v>53.79</c:v>
                </c:pt>
                <c:pt idx="89">
                  <c:v>54.16</c:v>
                </c:pt>
                <c:pt idx="90">
                  <c:v>54.53</c:v>
                </c:pt>
                <c:pt idx="91">
                  <c:v>54.94</c:v>
                </c:pt>
                <c:pt idx="92">
                  <c:v>55.39</c:v>
                </c:pt>
                <c:pt idx="93">
                  <c:v>55.9</c:v>
                </c:pt>
                <c:pt idx="94">
                  <c:v>56.47</c:v>
                </c:pt>
                <c:pt idx="95">
                  <c:v>57.09</c:v>
                </c:pt>
                <c:pt idx="96">
                  <c:v>57.75</c:v>
                </c:pt>
                <c:pt idx="97">
                  <c:v>58.43</c:v>
                </c:pt>
                <c:pt idx="98">
                  <c:v>59.15</c:v>
                </c:pt>
                <c:pt idx="99">
                  <c:v>59.89</c:v>
                </c:pt>
                <c:pt idx="100">
                  <c:v>60.65</c:v>
                </c:pt>
                <c:pt idx="101">
                  <c:v>61.43</c:v>
                </c:pt>
                <c:pt idx="102">
                  <c:v>62.21</c:v>
                </c:pt>
                <c:pt idx="103">
                  <c:v>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9D1-4BCC-805F-05FC8B88C353}"/>
            </c:ext>
          </c:extLst>
        </c:ser>
        <c:ser>
          <c:idx val="10"/>
          <c:order val="10"/>
          <c:tx>
            <c:strRef>
              <c:f>'Все-2K'!$L$3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'Все-2K'!$L$4:$L$107</c:f>
              <c:numCache>
                <c:formatCode>0.0</c:formatCode>
                <c:ptCount val="104"/>
                <c:pt idx="53">
                  <c:v>33.700000000000003</c:v>
                </c:pt>
                <c:pt idx="54">
                  <c:v>35.69</c:v>
                </c:pt>
                <c:pt idx="55">
                  <c:v>37.67</c:v>
                </c:pt>
                <c:pt idx="56">
                  <c:v>39.6</c:v>
                </c:pt>
                <c:pt idx="57">
                  <c:v>41.47</c:v>
                </c:pt>
                <c:pt idx="58">
                  <c:v>43.27</c:v>
                </c:pt>
                <c:pt idx="59">
                  <c:v>44.96</c:v>
                </c:pt>
                <c:pt idx="60">
                  <c:v>46.53</c:v>
                </c:pt>
                <c:pt idx="61">
                  <c:v>47.95</c:v>
                </c:pt>
                <c:pt idx="62">
                  <c:v>49.22</c:v>
                </c:pt>
                <c:pt idx="63">
                  <c:v>50.3</c:v>
                </c:pt>
                <c:pt idx="64">
                  <c:v>51.22</c:v>
                </c:pt>
                <c:pt idx="65">
                  <c:v>52.04</c:v>
                </c:pt>
                <c:pt idx="66">
                  <c:v>52.78</c:v>
                </c:pt>
                <c:pt idx="67">
                  <c:v>53.45</c:v>
                </c:pt>
                <c:pt idx="68">
                  <c:v>54.07</c:v>
                </c:pt>
                <c:pt idx="69">
                  <c:v>54.68</c:v>
                </c:pt>
                <c:pt idx="70">
                  <c:v>55.28</c:v>
                </c:pt>
                <c:pt idx="71">
                  <c:v>55.9</c:v>
                </c:pt>
                <c:pt idx="72">
                  <c:v>56.57</c:v>
                </c:pt>
                <c:pt idx="73">
                  <c:v>57.3</c:v>
                </c:pt>
                <c:pt idx="74">
                  <c:v>58.11</c:v>
                </c:pt>
                <c:pt idx="75">
                  <c:v>58.99</c:v>
                </c:pt>
                <c:pt idx="76">
                  <c:v>59.91</c:v>
                </c:pt>
                <c:pt idx="77">
                  <c:v>60.86</c:v>
                </c:pt>
                <c:pt idx="78">
                  <c:v>61.81</c:v>
                </c:pt>
                <c:pt idx="79">
                  <c:v>62.74</c:v>
                </c:pt>
                <c:pt idx="80">
                  <c:v>63.62</c:v>
                </c:pt>
                <c:pt idx="81">
                  <c:v>64.44</c:v>
                </c:pt>
                <c:pt idx="82">
                  <c:v>65.180000000000007</c:v>
                </c:pt>
                <c:pt idx="83">
                  <c:v>65.8</c:v>
                </c:pt>
                <c:pt idx="84">
                  <c:v>66.34</c:v>
                </c:pt>
                <c:pt idx="85">
                  <c:v>66.84</c:v>
                </c:pt>
                <c:pt idx="86">
                  <c:v>67.31</c:v>
                </c:pt>
                <c:pt idx="87">
                  <c:v>67.75</c:v>
                </c:pt>
                <c:pt idx="88">
                  <c:v>68.17</c:v>
                </c:pt>
                <c:pt idx="89">
                  <c:v>68.56</c:v>
                </c:pt>
                <c:pt idx="90">
                  <c:v>68.930000000000007</c:v>
                </c:pt>
                <c:pt idx="91">
                  <c:v>69.3</c:v>
                </c:pt>
                <c:pt idx="92">
                  <c:v>69.650000000000006</c:v>
                </c:pt>
                <c:pt idx="9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9D1-4BCC-805F-05FC8B88C353}"/>
            </c:ext>
          </c:extLst>
        </c:ser>
        <c:ser>
          <c:idx val="11"/>
          <c:order val="11"/>
          <c:tx>
            <c:strRef>
              <c:f>'Все-2K'!$M$3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'Все-2K'!$M$4:$M$107</c:f>
              <c:numCache>
                <c:formatCode>0.0</c:formatCode>
                <c:ptCount val="104"/>
                <c:pt idx="53">
                  <c:v>29.9</c:v>
                </c:pt>
                <c:pt idx="54">
                  <c:v>30.07</c:v>
                </c:pt>
                <c:pt idx="55">
                  <c:v>30.25</c:v>
                </c:pt>
                <c:pt idx="56">
                  <c:v>30.43</c:v>
                </c:pt>
                <c:pt idx="57">
                  <c:v>30.62</c:v>
                </c:pt>
                <c:pt idx="58">
                  <c:v>30.83</c:v>
                </c:pt>
                <c:pt idx="59">
                  <c:v>31.05</c:v>
                </c:pt>
                <c:pt idx="60">
                  <c:v>31.3</c:v>
                </c:pt>
                <c:pt idx="61">
                  <c:v>31.57</c:v>
                </c:pt>
                <c:pt idx="62">
                  <c:v>31.87</c:v>
                </c:pt>
                <c:pt idx="63">
                  <c:v>32.200000000000003</c:v>
                </c:pt>
                <c:pt idx="64">
                  <c:v>32.64</c:v>
                </c:pt>
                <c:pt idx="65">
                  <c:v>33.229999999999997</c:v>
                </c:pt>
                <c:pt idx="66">
                  <c:v>33.94</c:v>
                </c:pt>
                <c:pt idx="67">
                  <c:v>34.74</c:v>
                </c:pt>
                <c:pt idx="68">
                  <c:v>35.590000000000003</c:v>
                </c:pt>
                <c:pt idx="69">
                  <c:v>36.46</c:v>
                </c:pt>
                <c:pt idx="70">
                  <c:v>37.31</c:v>
                </c:pt>
                <c:pt idx="71">
                  <c:v>38.1</c:v>
                </c:pt>
                <c:pt idx="72">
                  <c:v>38.81</c:v>
                </c:pt>
                <c:pt idx="73">
                  <c:v>39.4</c:v>
                </c:pt>
                <c:pt idx="74">
                  <c:v>39.869999999999997</c:v>
                </c:pt>
                <c:pt idx="75">
                  <c:v>40.270000000000003</c:v>
                </c:pt>
                <c:pt idx="76">
                  <c:v>40.619999999999997</c:v>
                </c:pt>
                <c:pt idx="77">
                  <c:v>40.94</c:v>
                </c:pt>
                <c:pt idx="78">
                  <c:v>41.25</c:v>
                </c:pt>
                <c:pt idx="79">
                  <c:v>41.57</c:v>
                </c:pt>
                <c:pt idx="80">
                  <c:v>41.93</c:v>
                </c:pt>
                <c:pt idx="81">
                  <c:v>42.34</c:v>
                </c:pt>
                <c:pt idx="82">
                  <c:v>42.82</c:v>
                </c:pt>
                <c:pt idx="83">
                  <c:v>43.4</c:v>
                </c:pt>
                <c:pt idx="84">
                  <c:v>44.35</c:v>
                </c:pt>
                <c:pt idx="85">
                  <c:v>45.81</c:v>
                </c:pt>
                <c:pt idx="86">
                  <c:v>47.66</c:v>
                </c:pt>
                <c:pt idx="87">
                  <c:v>49.74</c:v>
                </c:pt>
                <c:pt idx="88">
                  <c:v>51.89</c:v>
                </c:pt>
                <c:pt idx="89">
                  <c:v>53.99</c:v>
                </c:pt>
                <c:pt idx="90">
                  <c:v>55.87</c:v>
                </c:pt>
                <c:pt idx="91">
                  <c:v>57.4</c:v>
                </c:pt>
                <c:pt idx="92">
                  <c:v>58.43</c:v>
                </c:pt>
                <c:pt idx="93">
                  <c:v>58.8</c:v>
                </c:pt>
                <c:pt idx="94">
                  <c:v>58.73</c:v>
                </c:pt>
                <c:pt idx="95">
                  <c:v>58.54</c:v>
                </c:pt>
                <c:pt idx="96">
                  <c:v>58.24</c:v>
                </c:pt>
                <c:pt idx="97">
                  <c:v>57.84</c:v>
                </c:pt>
                <c:pt idx="98">
                  <c:v>57.36</c:v>
                </c:pt>
                <c:pt idx="99">
                  <c:v>56.81</c:v>
                </c:pt>
                <c:pt idx="100">
                  <c:v>56.21</c:v>
                </c:pt>
                <c:pt idx="101">
                  <c:v>55.56</c:v>
                </c:pt>
                <c:pt idx="102">
                  <c:v>54.89</c:v>
                </c:pt>
                <c:pt idx="103">
                  <c:v>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9D1-4BCC-805F-05FC8B88C353}"/>
            </c:ext>
          </c:extLst>
        </c:ser>
        <c:ser>
          <c:idx val="12"/>
          <c:order val="12"/>
          <c:tx>
            <c:strRef>
              <c:f>'Все-2K'!$N$3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'Все-2K'!$N$4:$N$107</c:f>
              <c:numCache>
                <c:formatCode>0.0</c:formatCode>
                <c:ptCount val="104"/>
                <c:pt idx="53">
                  <c:v>51.4</c:v>
                </c:pt>
                <c:pt idx="54">
                  <c:v>51.75</c:v>
                </c:pt>
                <c:pt idx="55">
                  <c:v>52.1</c:v>
                </c:pt>
                <c:pt idx="56">
                  <c:v>52.46</c:v>
                </c:pt>
                <c:pt idx="57">
                  <c:v>52.81</c:v>
                </c:pt>
                <c:pt idx="58">
                  <c:v>53.16</c:v>
                </c:pt>
                <c:pt idx="59">
                  <c:v>53.51</c:v>
                </c:pt>
                <c:pt idx="60">
                  <c:v>53.86</c:v>
                </c:pt>
                <c:pt idx="61">
                  <c:v>54.21</c:v>
                </c:pt>
                <c:pt idx="62">
                  <c:v>54.55</c:v>
                </c:pt>
                <c:pt idx="63">
                  <c:v>54.9</c:v>
                </c:pt>
                <c:pt idx="64">
                  <c:v>55.23</c:v>
                </c:pt>
                <c:pt idx="65">
                  <c:v>55.54</c:v>
                </c:pt>
                <c:pt idx="66">
                  <c:v>55.84</c:v>
                </c:pt>
                <c:pt idx="67">
                  <c:v>56.14</c:v>
                </c:pt>
                <c:pt idx="68">
                  <c:v>56.44</c:v>
                </c:pt>
                <c:pt idx="69">
                  <c:v>56.75</c:v>
                </c:pt>
                <c:pt idx="70">
                  <c:v>57.09</c:v>
                </c:pt>
                <c:pt idx="71">
                  <c:v>57.45</c:v>
                </c:pt>
                <c:pt idx="72">
                  <c:v>57.85</c:v>
                </c:pt>
                <c:pt idx="73">
                  <c:v>58.3</c:v>
                </c:pt>
                <c:pt idx="74">
                  <c:v>58.9</c:v>
                </c:pt>
                <c:pt idx="75">
                  <c:v>59.72</c:v>
                </c:pt>
                <c:pt idx="76">
                  <c:v>60.68</c:v>
                </c:pt>
                <c:pt idx="77">
                  <c:v>61.73</c:v>
                </c:pt>
                <c:pt idx="78">
                  <c:v>62.79</c:v>
                </c:pt>
                <c:pt idx="79">
                  <c:v>63.81</c:v>
                </c:pt>
                <c:pt idx="80">
                  <c:v>64.709999999999994</c:v>
                </c:pt>
                <c:pt idx="81">
                  <c:v>65.44</c:v>
                </c:pt>
                <c:pt idx="82">
                  <c:v>65.92</c:v>
                </c:pt>
                <c:pt idx="83">
                  <c:v>66.099999999999994</c:v>
                </c:pt>
                <c:pt idx="84">
                  <c:v>66.099999999999994</c:v>
                </c:pt>
                <c:pt idx="85">
                  <c:v>66.099999999999994</c:v>
                </c:pt>
                <c:pt idx="86">
                  <c:v>66.099999999999994</c:v>
                </c:pt>
                <c:pt idx="87">
                  <c:v>66.099999999999994</c:v>
                </c:pt>
                <c:pt idx="88">
                  <c:v>66.099999999999994</c:v>
                </c:pt>
                <c:pt idx="89">
                  <c:v>66.099999999999994</c:v>
                </c:pt>
                <c:pt idx="90">
                  <c:v>66.099999999999994</c:v>
                </c:pt>
                <c:pt idx="91">
                  <c:v>66.099999999999994</c:v>
                </c:pt>
                <c:pt idx="92">
                  <c:v>66.099999999999994</c:v>
                </c:pt>
                <c:pt idx="93">
                  <c:v>66.099999999999994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9D1-4BCC-805F-05FC8B88C353}"/>
            </c:ext>
          </c:extLst>
        </c:ser>
        <c:ser>
          <c:idx val="13"/>
          <c:order val="13"/>
          <c:tx>
            <c:strRef>
              <c:f>'Все-2K'!$O$3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'Все-2K'!$O$4:$O$107</c:f>
              <c:numCache>
                <c:formatCode>0.0</c:formatCode>
                <c:ptCount val="104"/>
                <c:pt idx="33">
                  <c:v>37.200000000000003</c:v>
                </c:pt>
                <c:pt idx="34">
                  <c:v>37.46</c:v>
                </c:pt>
                <c:pt idx="35">
                  <c:v>37.729999999999997</c:v>
                </c:pt>
                <c:pt idx="36">
                  <c:v>37.99</c:v>
                </c:pt>
                <c:pt idx="37">
                  <c:v>38.270000000000003</c:v>
                </c:pt>
                <c:pt idx="38">
                  <c:v>38.54</c:v>
                </c:pt>
                <c:pt idx="39">
                  <c:v>38.82</c:v>
                </c:pt>
                <c:pt idx="40">
                  <c:v>39.11</c:v>
                </c:pt>
                <c:pt idx="41">
                  <c:v>39.409999999999997</c:v>
                </c:pt>
                <c:pt idx="42">
                  <c:v>39.72</c:v>
                </c:pt>
                <c:pt idx="43">
                  <c:v>40.04</c:v>
                </c:pt>
                <c:pt idx="44">
                  <c:v>40.369999999999997</c:v>
                </c:pt>
                <c:pt idx="45">
                  <c:v>40.71</c:v>
                </c:pt>
                <c:pt idx="46">
                  <c:v>41.07</c:v>
                </c:pt>
                <c:pt idx="47">
                  <c:v>41.44</c:v>
                </c:pt>
                <c:pt idx="48">
                  <c:v>41.84</c:v>
                </c:pt>
                <c:pt idx="49">
                  <c:v>42.25</c:v>
                </c:pt>
                <c:pt idx="50">
                  <c:v>42.68</c:v>
                </c:pt>
                <c:pt idx="51">
                  <c:v>43.13</c:v>
                </c:pt>
                <c:pt idx="52">
                  <c:v>43.6</c:v>
                </c:pt>
                <c:pt idx="53">
                  <c:v>44.1</c:v>
                </c:pt>
                <c:pt idx="54">
                  <c:v>44.71</c:v>
                </c:pt>
                <c:pt idx="55">
                  <c:v>45.48</c:v>
                </c:pt>
                <c:pt idx="56">
                  <c:v>46.39</c:v>
                </c:pt>
                <c:pt idx="57">
                  <c:v>47.41</c:v>
                </c:pt>
                <c:pt idx="58">
                  <c:v>48.5</c:v>
                </c:pt>
                <c:pt idx="59">
                  <c:v>49.62</c:v>
                </c:pt>
                <c:pt idx="60">
                  <c:v>50.75</c:v>
                </c:pt>
                <c:pt idx="61">
                  <c:v>51.84</c:v>
                </c:pt>
                <c:pt idx="62">
                  <c:v>52.87</c:v>
                </c:pt>
                <c:pt idx="63">
                  <c:v>53.8</c:v>
                </c:pt>
                <c:pt idx="64">
                  <c:v>54.66</c:v>
                </c:pt>
                <c:pt idx="65">
                  <c:v>55.5</c:v>
                </c:pt>
                <c:pt idx="66">
                  <c:v>56.32</c:v>
                </c:pt>
                <c:pt idx="67">
                  <c:v>57.12</c:v>
                </c:pt>
                <c:pt idx="68">
                  <c:v>57.9</c:v>
                </c:pt>
                <c:pt idx="69">
                  <c:v>58.68</c:v>
                </c:pt>
                <c:pt idx="70">
                  <c:v>59.44</c:v>
                </c:pt>
                <c:pt idx="71">
                  <c:v>60.2</c:v>
                </c:pt>
                <c:pt idx="72">
                  <c:v>60.95</c:v>
                </c:pt>
                <c:pt idx="73">
                  <c:v>61.7</c:v>
                </c:pt>
                <c:pt idx="74">
                  <c:v>62.45</c:v>
                </c:pt>
                <c:pt idx="75">
                  <c:v>63.22</c:v>
                </c:pt>
                <c:pt idx="76">
                  <c:v>63.98</c:v>
                </c:pt>
                <c:pt idx="77">
                  <c:v>64.739999999999995</c:v>
                </c:pt>
                <c:pt idx="78">
                  <c:v>65.489999999999995</c:v>
                </c:pt>
                <c:pt idx="79">
                  <c:v>66.209999999999994</c:v>
                </c:pt>
                <c:pt idx="80">
                  <c:v>66.92</c:v>
                </c:pt>
                <c:pt idx="81">
                  <c:v>67.59</c:v>
                </c:pt>
                <c:pt idx="82">
                  <c:v>68.22</c:v>
                </c:pt>
                <c:pt idx="83">
                  <c:v>68.8</c:v>
                </c:pt>
                <c:pt idx="84">
                  <c:v>69.37</c:v>
                </c:pt>
                <c:pt idx="85">
                  <c:v>69.94</c:v>
                </c:pt>
                <c:pt idx="86">
                  <c:v>70.5</c:v>
                </c:pt>
                <c:pt idx="87">
                  <c:v>71.05</c:v>
                </c:pt>
                <c:pt idx="88">
                  <c:v>71.58</c:v>
                </c:pt>
                <c:pt idx="89">
                  <c:v>72.06</c:v>
                </c:pt>
                <c:pt idx="90">
                  <c:v>72.5</c:v>
                </c:pt>
                <c:pt idx="91">
                  <c:v>72.87</c:v>
                </c:pt>
                <c:pt idx="92">
                  <c:v>73.180000000000007</c:v>
                </c:pt>
                <c:pt idx="93">
                  <c:v>73.400000000000006</c:v>
                </c:pt>
                <c:pt idx="94">
                  <c:v>73.569999999999993</c:v>
                </c:pt>
                <c:pt idx="95">
                  <c:v>73.72</c:v>
                </c:pt>
                <c:pt idx="96">
                  <c:v>73.849999999999994</c:v>
                </c:pt>
                <c:pt idx="97">
                  <c:v>73.97</c:v>
                </c:pt>
                <c:pt idx="98">
                  <c:v>74.08</c:v>
                </c:pt>
                <c:pt idx="99">
                  <c:v>74.17</c:v>
                </c:pt>
                <c:pt idx="100">
                  <c:v>74.260000000000005</c:v>
                </c:pt>
                <c:pt idx="101">
                  <c:v>74.34</c:v>
                </c:pt>
                <c:pt idx="102">
                  <c:v>74.42</c:v>
                </c:pt>
                <c:pt idx="10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9D1-4BCC-805F-05FC8B88C353}"/>
            </c:ext>
          </c:extLst>
        </c:ser>
        <c:ser>
          <c:idx val="14"/>
          <c:order val="14"/>
          <c:tx>
            <c:strRef>
              <c:f>'Все-2K'!$P$3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'Все-2K'!$P$4:$P$107</c:f>
              <c:numCache>
                <c:formatCode>0.0</c:formatCode>
                <c:ptCount val="104"/>
                <c:pt idx="53">
                  <c:v>28</c:v>
                </c:pt>
                <c:pt idx="54">
                  <c:v>28.7</c:v>
                </c:pt>
                <c:pt idx="55">
                  <c:v>29.4</c:v>
                </c:pt>
                <c:pt idx="56">
                  <c:v>30.11</c:v>
                </c:pt>
                <c:pt idx="57">
                  <c:v>30.83</c:v>
                </c:pt>
                <c:pt idx="58">
                  <c:v>31.57</c:v>
                </c:pt>
                <c:pt idx="59">
                  <c:v>32.32</c:v>
                </c:pt>
                <c:pt idx="60">
                  <c:v>33.1</c:v>
                </c:pt>
                <c:pt idx="61">
                  <c:v>33.9</c:v>
                </c:pt>
                <c:pt idx="62">
                  <c:v>34.729999999999997</c:v>
                </c:pt>
                <c:pt idx="63">
                  <c:v>35.6</c:v>
                </c:pt>
                <c:pt idx="64">
                  <c:v>36.56</c:v>
                </c:pt>
                <c:pt idx="65">
                  <c:v>37.65</c:v>
                </c:pt>
                <c:pt idx="66">
                  <c:v>38.82</c:v>
                </c:pt>
                <c:pt idx="67">
                  <c:v>40.04</c:v>
                </c:pt>
                <c:pt idx="68">
                  <c:v>41.27</c:v>
                </c:pt>
                <c:pt idx="69">
                  <c:v>42.47</c:v>
                </c:pt>
                <c:pt idx="70">
                  <c:v>43.6</c:v>
                </c:pt>
                <c:pt idx="71">
                  <c:v>44.62</c:v>
                </c:pt>
                <c:pt idx="72">
                  <c:v>45.5</c:v>
                </c:pt>
                <c:pt idx="73">
                  <c:v>46.2</c:v>
                </c:pt>
                <c:pt idx="74">
                  <c:v>46.76</c:v>
                </c:pt>
                <c:pt idx="75">
                  <c:v>47.27</c:v>
                </c:pt>
                <c:pt idx="76">
                  <c:v>47.73</c:v>
                </c:pt>
                <c:pt idx="77">
                  <c:v>48.16</c:v>
                </c:pt>
                <c:pt idx="78">
                  <c:v>48.55</c:v>
                </c:pt>
                <c:pt idx="79">
                  <c:v>48.92</c:v>
                </c:pt>
                <c:pt idx="80">
                  <c:v>49.27</c:v>
                </c:pt>
                <c:pt idx="81">
                  <c:v>49.61</c:v>
                </c:pt>
                <c:pt idx="82">
                  <c:v>49.95</c:v>
                </c:pt>
                <c:pt idx="83">
                  <c:v>50.3</c:v>
                </c:pt>
                <c:pt idx="84">
                  <c:v>50.65</c:v>
                </c:pt>
                <c:pt idx="85">
                  <c:v>50.98</c:v>
                </c:pt>
                <c:pt idx="86">
                  <c:v>51.31</c:v>
                </c:pt>
                <c:pt idx="87">
                  <c:v>51.62</c:v>
                </c:pt>
                <c:pt idx="88">
                  <c:v>51.93</c:v>
                </c:pt>
                <c:pt idx="89">
                  <c:v>52.23</c:v>
                </c:pt>
                <c:pt idx="90">
                  <c:v>52.53</c:v>
                </c:pt>
                <c:pt idx="91">
                  <c:v>52.82</c:v>
                </c:pt>
                <c:pt idx="92">
                  <c:v>53.11</c:v>
                </c:pt>
                <c:pt idx="93">
                  <c:v>53.4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9D1-4BCC-805F-05FC8B88C353}"/>
            </c:ext>
          </c:extLst>
        </c:ser>
        <c:ser>
          <c:idx val="15"/>
          <c:order val="15"/>
          <c:tx>
            <c:strRef>
              <c:f>'Все-2K'!$Q$3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'Все-2K'!$Q$4:$Q$107</c:f>
              <c:numCache>
                <c:formatCode>0.0</c:formatCode>
                <c:ptCount val="104"/>
                <c:pt idx="53">
                  <c:v>35.5</c:v>
                </c:pt>
                <c:pt idx="54">
                  <c:v>36.11</c:v>
                </c:pt>
                <c:pt idx="55">
                  <c:v>36.71</c:v>
                </c:pt>
                <c:pt idx="56">
                  <c:v>37.31</c:v>
                </c:pt>
                <c:pt idx="57">
                  <c:v>37.92</c:v>
                </c:pt>
                <c:pt idx="58">
                  <c:v>38.520000000000003</c:v>
                </c:pt>
                <c:pt idx="59">
                  <c:v>39.119999999999997</c:v>
                </c:pt>
                <c:pt idx="60">
                  <c:v>39.72</c:v>
                </c:pt>
                <c:pt idx="61">
                  <c:v>40.31</c:v>
                </c:pt>
                <c:pt idx="62">
                  <c:v>40.909999999999997</c:v>
                </c:pt>
                <c:pt idx="63">
                  <c:v>41.5</c:v>
                </c:pt>
                <c:pt idx="64">
                  <c:v>42.11</c:v>
                </c:pt>
                <c:pt idx="65">
                  <c:v>42.74</c:v>
                </c:pt>
                <c:pt idx="66">
                  <c:v>43.39</c:v>
                </c:pt>
                <c:pt idx="67">
                  <c:v>44.04</c:v>
                </c:pt>
                <c:pt idx="68">
                  <c:v>44.68</c:v>
                </c:pt>
                <c:pt idx="69">
                  <c:v>45.29</c:v>
                </c:pt>
                <c:pt idx="70">
                  <c:v>45.88</c:v>
                </c:pt>
                <c:pt idx="71">
                  <c:v>46.41</c:v>
                </c:pt>
                <c:pt idx="72">
                  <c:v>46.89</c:v>
                </c:pt>
                <c:pt idx="73">
                  <c:v>47.3</c:v>
                </c:pt>
                <c:pt idx="74">
                  <c:v>47.65</c:v>
                </c:pt>
                <c:pt idx="75">
                  <c:v>47.95</c:v>
                </c:pt>
                <c:pt idx="76">
                  <c:v>48.23</c:v>
                </c:pt>
                <c:pt idx="77">
                  <c:v>48.49</c:v>
                </c:pt>
                <c:pt idx="78">
                  <c:v>48.73</c:v>
                </c:pt>
                <c:pt idx="79">
                  <c:v>48.96</c:v>
                </c:pt>
                <c:pt idx="80">
                  <c:v>49.2</c:v>
                </c:pt>
                <c:pt idx="81">
                  <c:v>49.45</c:v>
                </c:pt>
                <c:pt idx="82">
                  <c:v>49.71</c:v>
                </c:pt>
                <c:pt idx="83">
                  <c:v>50</c:v>
                </c:pt>
                <c:pt idx="84">
                  <c:v>50.3</c:v>
                </c:pt>
                <c:pt idx="85">
                  <c:v>50.6</c:v>
                </c:pt>
                <c:pt idx="86">
                  <c:v>50.9</c:v>
                </c:pt>
                <c:pt idx="87">
                  <c:v>51.2</c:v>
                </c:pt>
                <c:pt idx="88">
                  <c:v>51.52</c:v>
                </c:pt>
                <c:pt idx="89">
                  <c:v>51.86</c:v>
                </c:pt>
                <c:pt idx="90">
                  <c:v>52.22</c:v>
                </c:pt>
                <c:pt idx="91">
                  <c:v>52.61</c:v>
                </c:pt>
                <c:pt idx="92">
                  <c:v>53.03</c:v>
                </c:pt>
                <c:pt idx="93">
                  <c:v>53.5</c:v>
                </c:pt>
                <c:pt idx="94">
                  <c:v>54.04</c:v>
                </c:pt>
                <c:pt idx="95">
                  <c:v>54.66</c:v>
                </c:pt>
                <c:pt idx="96">
                  <c:v>55.36</c:v>
                </c:pt>
                <c:pt idx="97">
                  <c:v>56.12</c:v>
                </c:pt>
                <c:pt idx="98">
                  <c:v>56.95</c:v>
                </c:pt>
                <c:pt idx="99">
                  <c:v>57.82</c:v>
                </c:pt>
                <c:pt idx="100">
                  <c:v>58.73</c:v>
                </c:pt>
                <c:pt idx="101">
                  <c:v>59.67</c:v>
                </c:pt>
                <c:pt idx="102">
                  <c:v>60.63</c:v>
                </c:pt>
                <c:pt idx="103">
                  <c:v>61.6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9D1-4BCC-805F-05FC8B88C353}"/>
            </c:ext>
          </c:extLst>
        </c:ser>
        <c:ser>
          <c:idx val="16"/>
          <c:order val="16"/>
          <c:tx>
            <c:strRef>
              <c:f>'Все-2K'!$R$3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'Все-2K'!$R$4:$R$107</c:f>
              <c:numCache>
                <c:formatCode>0.0</c:formatCode>
                <c:ptCount val="104"/>
                <c:pt idx="53">
                  <c:v>31.3</c:v>
                </c:pt>
                <c:pt idx="54">
                  <c:v>31.77</c:v>
                </c:pt>
                <c:pt idx="55">
                  <c:v>32.229999999999997</c:v>
                </c:pt>
                <c:pt idx="56">
                  <c:v>32.68</c:v>
                </c:pt>
                <c:pt idx="57">
                  <c:v>33.11</c:v>
                </c:pt>
                <c:pt idx="58">
                  <c:v>33.53</c:v>
                </c:pt>
                <c:pt idx="59">
                  <c:v>33.92</c:v>
                </c:pt>
                <c:pt idx="60">
                  <c:v>34.270000000000003</c:v>
                </c:pt>
                <c:pt idx="61">
                  <c:v>34.590000000000003</c:v>
                </c:pt>
                <c:pt idx="62">
                  <c:v>34.869999999999997</c:v>
                </c:pt>
                <c:pt idx="63">
                  <c:v>35.1</c:v>
                </c:pt>
                <c:pt idx="64">
                  <c:v>35.28</c:v>
                </c:pt>
                <c:pt idx="65">
                  <c:v>35.43</c:v>
                </c:pt>
                <c:pt idx="66">
                  <c:v>35.56</c:v>
                </c:pt>
                <c:pt idx="67">
                  <c:v>35.67</c:v>
                </c:pt>
                <c:pt idx="68">
                  <c:v>35.770000000000003</c:v>
                </c:pt>
                <c:pt idx="69">
                  <c:v>35.869999999999997</c:v>
                </c:pt>
                <c:pt idx="70">
                  <c:v>35.99</c:v>
                </c:pt>
                <c:pt idx="71">
                  <c:v>36.130000000000003</c:v>
                </c:pt>
                <c:pt idx="72">
                  <c:v>36.29</c:v>
                </c:pt>
                <c:pt idx="73">
                  <c:v>36.5</c:v>
                </c:pt>
                <c:pt idx="74">
                  <c:v>36.81</c:v>
                </c:pt>
                <c:pt idx="75">
                  <c:v>37.270000000000003</c:v>
                </c:pt>
                <c:pt idx="76">
                  <c:v>37.840000000000003</c:v>
                </c:pt>
                <c:pt idx="77">
                  <c:v>38.51</c:v>
                </c:pt>
                <c:pt idx="78">
                  <c:v>39.24</c:v>
                </c:pt>
                <c:pt idx="79">
                  <c:v>40.01</c:v>
                </c:pt>
                <c:pt idx="80">
                  <c:v>40.78</c:v>
                </c:pt>
                <c:pt idx="81">
                  <c:v>41.54</c:v>
                </c:pt>
                <c:pt idx="82">
                  <c:v>42.26</c:v>
                </c:pt>
                <c:pt idx="83">
                  <c:v>42.9</c:v>
                </c:pt>
                <c:pt idx="84">
                  <c:v>43.49</c:v>
                </c:pt>
                <c:pt idx="85">
                  <c:v>44.07</c:v>
                </c:pt>
                <c:pt idx="86">
                  <c:v>44.63</c:v>
                </c:pt>
                <c:pt idx="87">
                  <c:v>45.19</c:v>
                </c:pt>
                <c:pt idx="88">
                  <c:v>45.74</c:v>
                </c:pt>
                <c:pt idx="89">
                  <c:v>46.29</c:v>
                </c:pt>
                <c:pt idx="90">
                  <c:v>46.84</c:v>
                </c:pt>
                <c:pt idx="91">
                  <c:v>47.39</c:v>
                </c:pt>
                <c:pt idx="92">
                  <c:v>47.94</c:v>
                </c:pt>
                <c:pt idx="93">
                  <c:v>48.5</c:v>
                </c:pt>
                <c:pt idx="94">
                  <c:v>49.07</c:v>
                </c:pt>
                <c:pt idx="95">
                  <c:v>49.63</c:v>
                </c:pt>
                <c:pt idx="96">
                  <c:v>50.2</c:v>
                </c:pt>
                <c:pt idx="97">
                  <c:v>50.77</c:v>
                </c:pt>
                <c:pt idx="98">
                  <c:v>51.34</c:v>
                </c:pt>
                <c:pt idx="99">
                  <c:v>51.91</c:v>
                </c:pt>
                <c:pt idx="100">
                  <c:v>52.48</c:v>
                </c:pt>
                <c:pt idx="101">
                  <c:v>53.06</c:v>
                </c:pt>
                <c:pt idx="102">
                  <c:v>53.63</c:v>
                </c:pt>
                <c:pt idx="103">
                  <c:v>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9D1-4BCC-805F-05FC8B88C353}"/>
            </c:ext>
          </c:extLst>
        </c:ser>
        <c:ser>
          <c:idx val="17"/>
          <c:order val="17"/>
          <c:tx>
            <c:strRef>
              <c:f>'Все-2K'!$S$3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'Все-2K'!$S$4:$S$107</c:f>
              <c:numCache>
                <c:formatCode>0.0</c:formatCode>
                <c:ptCount val="104"/>
                <c:pt idx="53">
                  <c:v>26.9</c:v>
                </c:pt>
                <c:pt idx="54">
                  <c:v>28.32</c:v>
                </c:pt>
                <c:pt idx="55">
                  <c:v>29.74</c:v>
                </c:pt>
                <c:pt idx="56">
                  <c:v>31.15</c:v>
                </c:pt>
                <c:pt idx="57">
                  <c:v>32.549999999999997</c:v>
                </c:pt>
                <c:pt idx="58">
                  <c:v>33.94</c:v>
                </c:pt>
                <c:pt idx="59">
                  <c:v>35.32</c:v>
                </c:pt>
                <c:pt idx="60">
                  <c:v>36.67</c:v>
                </c:pt>
                <c:pt idx="61">
                  <c:v>38.01</c:v>
                </c:pt>
                <c:pt idx="62">
                  <c:v>39.32</c:v>
                </c:pt>
                <c:pt idx="63">
                  <c:v>40.6</c:v>
                </c:pt>
                <c:pt idx="64">
                  <c:v>41.88</c:v>
                </c:pt>
                <c:pt idx="65">
                  <c:v>43.17</c:v>
                </c:pt>
                <c:pt idx="66">
                  <c:v>44.47</c:v>
                </c:pt>
                <c:pt idx="67">
                  <c:v>45.75</c:v>
                </c:pt>
                <c:pt idx="68">
                  <c:v>47.01</c:v>
                </c:pt>
                <c:pt idx="69">
                  <c:v>48.22</c:v>
                </c:pt>
                <c:pt idx="70">
                  <c:v>49.38</c:v>
                </c:pt>
                <c:pt idx="71">
                  <c:v>50.47</c:v>
                </c:pt>
                <c:pt idx="72">
                  <c:v>51.48</c:v>
                </c:pt>
                <c:pt idx="73">
                  <c:v>52.4</c:v>
                </c:pt>
                <c:pt idx="74">
                  <c:v>53.23</c:v>
                </c:pt>
                <c:pt idx="75">
                  <c:v>53.99</c:v>
                </c:pt>
                <c:pt idx="76">
                  <c:v>54.71</c:v>
                </c:pt>
                <c:pt idx="77">
                  <c:v>55.38</c:v>
                </c:pt>
                <c:pt idx="78">
                  <c:v>56.03</c:v>
                </c:pt>
                <c:pt idx="79">
                  <c:v>56.66</c:v>
                </c:pt>
                <c:pt idx="80">
                  <c:v>57.28</c:v>
                </c:pt>
                <c:pt idx="81">
                  <c:v>57.9</c:v>
                </c:pt>
                <c:pt idx="82">
                  <c:v>58.54</c:v>
                </c:pt>
                <c:pt idx="83">
                  <c:v>59.2</c:v>
                </c:pt>
                <c:pt idx="84">
                  <c:v>59.88</c:v>
                </c:pt>
                <c:pt idx="85">
                  <c:v>60.56</c:v>
                </c:pt>
                <c:pt idx="86">
                  <c:v>61.24</c:v>
                </c:pt>
                <c:pt idx="87">
                  <c:v>61.92</c:v>
                </c:pt>
                <c:pt idx="88">
                  <c:v>62.6</c:v>
                </c:pt>
                <c:pt idx="89">
                  <c:v>63.28</c:v>
                </c:pt>
                <c:pt idx="90">
                  <c:v>63.96</c:v>
                </c:pt>
                <c:pt idx="91">
                  <c:v>64.64</c:v>
                </c:pt>
                <c:pt idx="92">
                  <c:v>65.319999999999993</c:v>
                </c:pt>
                <c:pt idx="93">
                  <c:v>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9D1-4BCC-805F-05FC8B88C353}"/>
            </c:ext>
          </c:extLst>
        </c:ser>
        <c:ser>
          <c:idx val="18"/>
          <c:order val="18"/>
          <c:tx>
            <c:strRef>
              <c:f>'Все-2K'!$T$3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'Все-2K'!$T$4:$T$107</c:f>
              <c:numCache>
                <c:formatCode>0.0</c:formatCode>
                <c:ptCount val="104"/>
                <c:pt idx="53">
                  <c:v>27.9</c:v>
                </c:pt>
                <c:pt idx="54">
                  <c:v>28.32</c:v>
                </c:pt>
                <c:pt idx="55">
                  <c:v>28.74</c:v>
                </c:pt>
                <c:pt idx="56">
                  <c:v>29.16</c:v>
                </c:pt>
                <c:pt idx="57">
                  <c:v>29.57</c:v>
                </c:pt>
                <c:pt idx="58">
                  <c:v>29.97</c:v>
                </c:pt>
                <c:pt idx="59">
                  <c:v>30.36</c:v>
                </c:pt>
                <c:pt idx="60">
                  <c:v>30.74</c:v>
                </c:pt>
                <c:pt idx="61">
                  <c:v>31.11</c:v>
                </c:pt>
                <c:pt idx="62">
                  <c:v>31.46</c:v>
                </c:pt>
                <c:pt idx="63">
                  <c:v>31.8</c:v>
                </c:pt>
                <c:pt idx="64">
                  <c:v>32.11</c:v>
                </c:pt>
                <c:pt idx="65">
                  <c:v>32.380000000000003</c:v>
                </c:pt>
                <c:pt idx="66">
                  <c:v>32.630000000000003</c:v>
                </c:pt>
                <c:pt idx="67">
                  <c:v>32.869999999999997</c:v>
                </c:pt>
                <c:pt idx="68">
                  <c:v>33.11</c:v>
                </c:pt>
                <c:pt idx="69">
                  <c:v>33.35</c:v>
                </c:pt>
                <c:pt idx="70">
                  <c:v>33.61</c:v>
                </c:pt>
                <c:pt idx="71">
                  <c:v>33.9</c:v>
                </c:pt>
                <c:pt idx="72">
                  <c:v>34.229999999999997</c:v>
                </c:pt>
                <c:pt idx="73">
                  <c:v>34.6</c:v>
                </c:pt>
                <c:pt idx="74">
                  <c:v>35.06</c:v>
                </c:pt>
                <c:pt idx="75">
                  <c:v>35.630000000000003</c:v>
                </c:pt>
                <c:pt idx="76">
                  <c:v>36.29</c:v>
                </c:pt>
                <c:pt idx="77">
                  <c:v>37.020000000000003</c:v>
                </c:pt>
                <c:pt idx="78">
                  <c:v>37.79</c:v>
                </c:pt>
                <c:pt idx="79">
                  <c:v>38.590000000000003</c:v>
                </c:pt>
                <c:pt idx="80">
                  <c:v>39.39</c:v>
                </c:pt>
                <c:pt idx="81">
                  <c:v>40.17</c:v>
                </c:pt>
                <c:pt idx="82">
                  <c:v>40.92</c:v>
                </c:pt>
                <c:pt idx="83">
                  <c:v>41.6</c:v>
                </c:pt>
                <c:pt idx="84">
                  <c:v>42.24</c:v>
                </c:pt>
                <c:pt idx="85">
                  <c:v>42.87</c:v>
                </c:pt>
                <c:pt idx="86">
                  <c:v>43.48</c:v>
                </c:pt>
                <c:pt idx="87">
                  <c:v>44.09</c:v>
                </c:pt>
                <c:pt idx="88">
                  <c:v>44.69</c:v>
                </c:pt>
                <c:pt idx="89">
                  <c:v>45.28</c:v>
                </c:pt>
                <c:pt idx="90">
                  <c:v>45.86</c:v>
                </c:pt>
                <c:pt idx="91">
                  <c:v>46.44</c:v>
                </c:pt>
                <c:pt idx="92">
                  <c:v>47.02</c:v>
                </c:pt>
                <c:pt idx="93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9D1-4BCC-805F-05FC8B88C353}"/>
            </c:ext>
          </c:extLst>
        </c:ser>
        <c:ser>
          <c:idx val="20"/>
          <c:order val="20"/>
          <c:tx>
            <c:strRef>
              <c:f>'Все-2K'!$V$3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'Все-2K'!$V$4:$V$107</c:f>
              <c:numCache>
                <c:formatCode>0.0</c:formatCode>
                <c:ptCount val="104"/>
                <c:pt idx="53">
                  <c:v>78.3</c:v>
                </c:pt>
                <c:pt idx="54">
                  <c:v>78.3</c:v>
                </c:pt>
                <c:pt idx="55">
                  <c:v>78.3</c:v>
                </c:pt>
                <c:pt idx="56">
                  <c:v>78.3</c:v>
                </c:pt>
                <c:pt idx="57">
                  <c:v>78.3</c:v>
                </c:pt>
                <c:pt idx="58">
                  <c:v>78.3</c:v>
                </c:pt>
                <c:pt idx="59">
                  <c:v>78.3</c:v>
                </c:pt>
                <c:pt idx="60">
                  <c:v>78.3</c:v>
                </c:pt>
                <c:pt idx="61">
                  <c:v>78.3</c:v>
                </c:pt>
                <c:pt idx="62">
                  <c:v>78.3</c:v>
                </c:pt>
                <c:pt idx="63">
                  <c:v>78.3</c:v>
                </c:pt>
                <c:pt idx="64">
                  <c:v>78.37</c:v>
                </c:pt>
                <c:pt idx="65">
                  <c:v>78.55</c:v>
                </c:pt>
                <c:pt idx="66">
                  <c:v>78.819999999999993</c:v>
                </c:pt>
                <c:pt idx="67">
                  <c:v>79.17</c:v>
                </c:pt>
                <c:pt idx="68">
                  <c:v>79.569999999999993</c:v>
                </c:pt>
                <c:pt idx="69">
                  <c:v>80</c:v>
                </c:pt>
                <c:pt idx="70">
                  <c:v>80.44</c:v>
                </c:pt>
                <c:pt idx="71">
                  <c:v>80.87</c:v>
                </c:pt>
                <c:pt idx="72">
                  <c:v>81.260000000000005</c:v>
                </c:pt>
                <c:pt idx="73">
                  <c:v>81.599999999999994</c:v>
                </c:pt>
                <c:pt idx="74">
                  <c:v>81.92</c:v>
                </c:pt>
                <c:pt idx="75">
                  <c:v>82.26</c:v>
                </c:pt>
                <c:pt idx="76">
                  <c:v>82.62</c:v>
                </c:pt>
                <c:pt idx="77">
                  <c:v>82.97</c:v>
                </c:pt>
                <c:pt idx="78">
                  <c:v>83.31</c:v>
                </c:pt>
                <c:pt idx="79">
                  <c:v>83.63</c:v>
                </c:pt>
                <c:pt idx="80">
                  <c:v>83.91</c:v>
                </c:pt>
                <c:pt idx="81">
                  <c:v>84.14</c:v>
                </c:pt>
                <c:pt idx="82">
                  <c:v>84.3</c:v>
                </c:pt>
                <c:pt idx="83">
                  <c:v>84.4</c:v>
                </c:pt>
                <c:pt idx="84">
                  <c:v>84.45</c:v>
                </c:pt>
                <c:pt idx="85">
                  <c:v>84.49</c:v>
                </c:pt>
                <c:pt idx="86">
                  <c:v>84.53</c:v>
                </c:pt>
                <c:pt idx="87">
                  <c:v>84.57</c:v>
                </c:pt>
                <c:pt idx="88">
                  <c:v>84.6</c:v>
                </c:pt>
                <c:pt idx="89">
                  <c:v>84.62</c:v>
                </c:pt>
                <c:pt idx="90">
                  <c:v>84.64</c:v>
                </c:pt>
                <c:pt idx="91">
                  <c:v>84.66</c:v>
                </c:pt>
                <c:pt idx="92">
                  <c:v>84.68</c:v>
                </c:pt>
                <c:pt idx="93">
                  <c:v>84.7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9D1-4BCC-805F-05FC8B88C353}"/>
            </c:ext>
          </c:extLst>
        </c:ser>
        <c:ser>
          <c:idx val="22"/>
          <c:order val="22"/>
          <c:tx>
            <c:strRef>
              <c:f>'Все-2K'!$X$3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'Все-2K'!$X$4:$X$107</c:f>
              <c:numCache>
                <c:formatCode>0.0</c:formatCode>
                <c:ptCount val="104"/>
                <c:pt idx="53">
                  <c:v>58.8</c:v>
                </c:pt>
                <c:pt idx="54">
                  <c:v>59.36</c:v>
                </c:pt>
                <c:pt idx="55">
                  <c:v>59.93</c:v>
                </c:pt>
                <c:pt idx="56">
                  <c:v>60.5</c:v>
                </c:pt>
                <c:pt idx="57">
                  <c:v>61.07</c:v>
                </c:pt>
                <c:pt idx="58">
                  <c:v>61.65</c:v>
                </c:pt>
                <c:pt idx="59">
                  <c:v>62.24</c:v>
                </c:pt>
                <c:pt idx="60">
                  <c:v>62.83</c:v>
                </c:pt>
                <c:pt idx="61">
                  <c:v>63.44</c:v>
                </c:pt>
                <c:pt idx="62">
                  <c:v>64.06</c:v>
                </c:pt>
                <c:pt idx="63">
                  <c:v>64.7</c:v>
                </c:pt>
                <c:pt idx="64">
                  <c:v>65.36</c:v>
                </c:pt>
                <c:pt idx="65">
                  <c:v>66.040000000000006</c:v>
                </c:pt>
                <c:pt idx="66">
                  <c:v>66.739999999999995</c:v>
                </c:pt>
                <c:pt idx="67">
                  <c:v>67.459999999999994</c:v>
                </c:pt>
                <c:pt idx="68">
                  <c:v>68.19</c:v>
                </c:pt>
                <c:pt idx="69">
                  <c:v>68.92</c:v>
                </c:pt>
                <c:pt idx="70">
                  <c:v>69.650000000000006</c:v>
                </c:pt>
                <c:pt idx="71">
                  <c:v>70.38</c:v>
                </c:pt>
                <c:pt idx="72">
                  <c:v>71.099999999999994</c:v>
                </c:pt>
                <c:pt idx="73">
                  <c:v>71.8</c:v>
                </c:pt>
                <c:pt idx="74">
                  <c:v>72.5</c:v>
                </c:pt>
                <c:pt idx="75">
                  <c:v>73.209999999999994</c:v>
                </c:pt>
                <c:pt idx="76">
                  <c:v>73.91</c:v>
                </c:pt>
                <c:pt idx="77">
                  <c:v>74.62</c:v>
                </c:pt>
                <c:pt idx="78">
                  <c:v>75.319999999999993</c:v>
                </c:pt>
                <c:pt idx="79">
                  <c:v>76.02</c:v>
                </c:pt>
                <c:pt idx="80">
                  <c:v>76.69</c:v>
                </c:pt>
                <c:pt idx="81">
                  <c:v>77.349999999999994</c:v>
                </c:pt>
                <c:pt idx="82">
                  <c:v>77.989999999999995</c:v>
                </c:pt>
                <c:pt idx="83">
                  <c:v>78.599999999999994</c:v>
                </c:pt>
                <c:pt idx="84">
                  <c:v>79.2</c:v>
                </c:pt>
                <c:pt idx="85">
                  <c:v>79.819999999999993</c:v>
                </c:pt>
                <c:pt idx="86">
                  <c:v>80.430000000000007</c:v>
                </c:pt>
                <c:pt idx="87">
                  <c:v>81.03</c:v>
                </c:pt>
                <c:pt idx="88">
                  <c:v>81.62</c:v>
                </c:pt>
                <c:pt idx="89">
                  <c:v>82.17</c:v>
                </c:pt>
                <c:pt idx="90">
                  <c:v>82.69</c:v>
                </c:pt>
                <c:pt idx="91">
                  <c:v>83.15</c:v>
                </c:pt>
                <c:pt idx="92">
                  <c:v>83.56</c:v>
                </c:pt>
                <c:pt idx="93">
                  <c:v>83.9</c:v>
                </c:pt>
                <c:pt idx="94">
                  <c:v>84.19</c:v>
                </c:pt>
                <c:pt idx="95">
                  <c:v>84.45</c:v>
                </c:pt>
                <c:pt idx="96">
                  <c:v>84.69</c:v>
                </c:pt>
                <c:pt idx="97">
                  <c:v>84.91</c:v>
                </c:pt>
                <c:pt idx="98">
                  <c:v>85.12</c:v>
                </c:pt>
                <c:pt idx="99">
                  <c:v>85.31</c:v>
                </c:pt>
                <c:pt idx="100">
                  <c:v>85.49</c:v>
                </c:pt>
                <c:pt idx="101">
                  <c:v>85.67</c:v>
                </c:pt>
                <c:pt idx="102">
                  <c:v>85.83</c:v>
                </c:pt>
                <c:pt idx="103">
                  <c:v>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D9D1-4BCC-805F-05FC8B88C353}"/>
            </c:ext>
          </c:extLst>
        </c:ser>
        <c:ser>
          <c:idx val="23"/>
          <c:order val="23"/>
          <c:tx>
            <c:strRef>
              <c:f>'Все-2K'!$Y$3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'Все-2K'!$Y$4:$Y$107</c:f>
              <c:numCache>
                <c:formatCode>0.0</c:formatCode>
                <c:ptCount val="104"/>
                <c:pt idx="53">
                  <c:v>28.2</c:v>
                </c:pt>
                <c:pt idx="54">
                  <c:v>29.03</c:v>
                </c:pt>
                <c:pt idx="55">
                  <c:v>29.85</c:v>
                </c:pt>
                <c:pt idx="56">
                  <c:v>30.67</c:v>
                </c:pt>
                <c:pt idx="57">
                  <c:v>31.48</c:v>
                </c:pt>
                <c:pt idx="58">
                  <c:v>32.28</c:v>
                </c:pt>
                <c:pt idx="59">
                  <c:v>33.06</c:v>
                </c:pt>
                <c:pt idx="60">
                  <c:v>33.83</c:v>
                </c:pt>
                <c:pt idx="61">
                  <c:v>34.58</c:v>
                </c:pt>
                <c:pt idx="62">
                  <c:v>35.299999999999997</c:v>
                </c:pt>
                <c:pt idx="63">
                  <c:v>36</c:v>
                </c:pt>
                <c:pt idx="64">
                  <c:v>36.659999999999997</c:v>
                </c:pt>
                <c:pt idx="65">
                  <c:v>37.28</c:v>
                </c:pt>
                <c:pt idx="66">
                  <c:v>37.869999999999997</c:v>
                </c:pt>
                <c:pt idx="67">
                  <c:v>38.43</c:v>
                </c:pt>
                <c:pt idx="68">
                  <c:v>39</c:v>
                </c:pt>
                <c:pt idx="69">
                  <c:v>39.56</c:v>
                </c:pt>
                <c:pt idx="70">
                  <c:v>40.14</c:v>
                </c:pt>
                <c:pt idx="71">
                  <c:v>40.75</c:v>
                </c:pt>
                <c:pt idx="72">
                  <c:v>41.4</c:v>
                </c:pt>
                <c:pt idx="73">
                  <c:v>42.1</c:v>
                </c:pt>
                <c:pt idx="74">
                  <c:v>42.88</c:v>
                </c:pt>
                <c:pt idx="75">
                  <c:v>43.76</c:v>
                </c:pt>
                <c:pt idx="76">
                  <c:v>44.7</c:v>
                </c:pt>
                <c:pt idx="77">
                  <c:v>45.68</c:v>
                </c:pt>
                <c:pt idx="78">
                  <c:v>46.68</c:v>
                </c:pt>
                <c:pt idx="79">
                  <c:v>47.68</c:v>
                </c:pt>
                <c:pt idx="80">
                  <c:v>48.65</c:v>
                </c:pt>
                <c:pt idx="81">
                  <c:v>49.55</c:v>
                </c:pt>
                <c:pt idx="82">
                  <c:v>50.38</c:v>
                </c:pt>
                <c:pt idx="83">
                  <c:v>51.1</c:v>
                </c:pt>
                <c:pt idx="84">
                  <c:v>51.73</c:v>
                </c:pt>
                <c:pt idx="85">
                  <c:v>52.32</c:v>
                </c:pt>
                <c:pt idx="86">
                  <c:v>52.86</c:v>
                </c:pt>
                <c:pt idx="87">
                  <c:v>53.38</c:v>
                </c:pt>
                <c:pt idx="88">
                  <c:v>53.87</c:v>
                </c:pt>
                <c:pt idx="89">
                  <c:v>54.35</c:v>
                </c:pt>
                <c:pt idx="90">
                  <c:v>54.82</c:v>
                </c:pt>
                <c:pt idx="91">
                  <c:v>55.3</c:v>
                </c:pt>
                <c:pt idx="92">
                  <c:v>55.79</c:v>
                </c:pt>
                <c:pt idx="93">
                  <c:v>56.3</c:v>
                </c:pt>
                <c:pt idx="94">
                  <c:v>56.83</c:v>
                </c:pt>
                <c:pt idx="95">
                  <c:v>57.35</c:v>
                </c:pt>
                <c:pt idx="96">
                  <c:v>57.88</c:v>
                </c:pt>
                <c:pt idx="97">
                  <c:v>58.41</c:v>
                </c:pt>
                <c:pt idx="98">
                  <c:v>58.94</c:v>
                </c:pt>
                <c:pt idx="99">
                  <c:v>59.47</c:v>
                </c:pt>
                <c:pt idx="100">
                  <c:v>60</c:v>
                </c:pt>
                <c:pt idx="101">
                  <c:v>60.54</c:v>
                </c:pt>
                <c:pt idx="102">
                  <c:v>61.07</c:v>
                </c:pt>
                <c:pt idx="103">
                  <c:v>61.6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D9D1-4BCC-805F-05FC8B88C353}"/>
            </c:ext>
          </c:extLst>
        </c:ser>
        <c:ser>
          <c:idx val="25"/>
          <c:order val="25"/>
          <c:tx>
            <c:strRef>
              <c:f>'Все-2K'!$AA$3</c:f>
              <c:strCache>
                <c:ptCount val="1"/>
                <c:pt idx="0">
                  <c:v>CCCР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'Все-2K'!$AA$4:$AA$107</c:f>
              <c:numCache>
                <c:formatCode>0.0</c:formatCode>
                <c:ptCount val="104"/>
                <c:pt idx="0">
                  <c:v>31.4</c:v>
                </c:pt>
                <c:pt idx="1">
                  <c:v>31.51</c:v>
                </c:pt>
                <c:pt idx="2">
                  <c:v>31.62</c:v>
                </c:pt>
                <c:pt idx="3">
                  <c:v>31.73</c:v>
                </c:pt>
                <c:pt idx="4">
                  <c:v>31.85</c:v>
                </c:pt>
                <c:pt idx="5">
                  <c:v>31.96</c:v>
                </c:pt>
                <c:pt idx="6">
                  <c:v>32.08</c:v>
                </c:pt>
                <c:pt idx="7">
                  <c:v>32.19</c:v>
                </c:pt>
                <c:pt idx="8">
                  <c:v>32.31</c:v>
                </c:pt>
                <c:pt idx="9">
                  <c:v>32.44</c:v>
                </c:pt>
                <c:pt idx="10">
                  <c:v>32.56</c:v>
                </c:pt>
                <c:pt idx="11">
                  <c:v>32.69</c:v>
                </c:pt>
                <c:pt idx="12">
                  <c:v>32.83</c:v>
                </c:pt>
                <c:pt idx="13">
                  <c:v>32.96</c:v>
                </c:pt>
                <c:pt idx="14">
                  <c:v>33.11</c:v>
                </c:pt>
                <c:pt idx="15">
                  <c:v>33.25</c:v>
                </c:pt>
                <c:pt idx="16">
                  <c:v>33.4</c:v>
                </c:pt>
                <c:pt idx="17">
                  <c:v>33.56</c:v>
                </c:pt>
                <c:pt idx="18">
                  <c:v>33.729999999999997</c:v>
                </c:pt>
                <c:pt idx="19">
                  <c:v>33.89</c:v>
                </c:pt>
                <c:pt idx="20">
                  <c:v>34.07</c:v>
                </c:pt>
                <c:pt idx="21">
                  <c:v>34.25</c:v>
                </c:pt>
                <c:pt idx="22">
                  <c:v>34.44</c:v>
                </c:pt>
                <c:pt idx="23">
                  <c:v>34.64</c:v>
                </c:pt>
                <c:pt idx="24">
                  <c:v>34.840000000000003</c:v>
                </c:pt>
                <c:pt idx="25">
                  <c:v>35.06</c:v>
                </c:pt>
                <c:pt idx="26">
                  <c:v>35.28</c:v>
                </c:pt>
                <c:pt idx="27">
                  <c:v>35.51</c:v>
                </c:pt>
                <c:pt idx="28">
                  <c:v>35.75</c:v>
                </c:pt>
                <c:pt idx="29">
                  <c:v>36</c:v>
                </c:pt>
                <c:pt idx="30">
                  <c:v>36.28</c:v>
                </c:pt>
                <c:pt idx="31">
                  <c:v>36.590000000000003</c:v>
                </c:pt>
                <c:pt idx="32">
                  <c:v>36.950000000000003</c:v>
                </c:pt>
                <c:pt idx="33">
                  <c:v>37.35</c:v>
                </c:pt>
                <c:pt idx="34">
                  <c:v>37.78</c:v>
                </c:pt>
                <c:pt idx="35">
                  <c:v>38.24</c:v>
                </c:pt>
                <c:pt idx="36">
                  <c:v>38.74</c:v>
                </c:pt>
                <c:pt idx="37">
                  <c:v>39.270000000000003</c:v>
                </c:pt>
                <c:pt idx="38">
                  <c:v>39.83</c:v>
                </c:pt>
                <c:pt idx="39">
                  <c:v>40.409999999999997</c:v>
                </c:pt>
                <c:pt idx="40">
                  <c:v>41.03</c:v>
                </c:pt>
                <c:pt idx="41">
                  <c:v>41.66</c:v>
                </c:pt>
                <c:pt idx="42">
                  <c:v>42.32</c:v>
                </c:pt>
                <c:pt idx="43">
                  <c:v>42.99</c:v>
                </c:pt>
                <c:pt idx="44">
                  <c:v>43.68</c:v>
                </c:pt>
                <c:pt idx="45">
                  <c:v>44.39</c:v>
                </c:pt>
                <c:pt idx="46">
                  <c:v>45.12</c:v>
                </c:pt>
                <c:pt idx="47">
                  <c:v>45.86</c:v>
                </c:pt>
                <c:pt idx="48">
                  <c:v>46.6</c:v>
                </c:pt>
                <c:pt idx="49">
                  <c:v>47.36</c:v>
                </c:pt>
                <c:pt idx="50">
                  <c:v>48.13</c:v>
                </c:pt>
                <c:pt idx="51">
                  <c:v>48.9</c:v>
                </c:pt>
                <c:pt idx="52">
                  <c:v>49.67</c:v>
                </c:pt>
                <c:pt idx="53">
                  <c:v>50.44</c:v>
                </c:pt>
                <c:pt idx="54">
                  <c:v>51.22</c:v>
                </c:pt>
                <c:pt idx="55">
                  <c:v>51.99</c:v>
                </c:pt>
                <c:pt idx="56">
                  <c:v>52.76</c:v>
                </c:pt>
                <c:pt idx="57">
                  <c:v>53.53</c:v>
                </c:pt>
                <c:pt idx="58">
                  <c:v>54.28</c:v>
                </c:pt>
                <c:pt idx="59">
                  <c:v>55.03</c:v>
                </c:pt>
                <c:pt idx="60">
                  <c:v>55.77</c:v>
                </c:pt>
                <c:pt idx="61">
                  <c:v>56.49</c:v>
                </c:pt>
                <c:pt idx="62">
                  <c:v>57.2</c:v>
                </c:pt>
                <c:pt idx="63">
                  <c:v>57.95</c:v>
                </c:pt>
                <c:pt idx="64">
                  <c:v>58.79</c:v>
                </c:pt>
                <c:pt idx="65">
                  <c:v>59.68</c:v>
                </c:pt>
                <c:pt idx="66">
                  <c:v>60.61</c:v>
                </c:pt>
                <c:pt idx="67">
                  <c:v>61.54</c:v>
                </c:pt>
                <c:pt idx="68">
                  <c:v>62.45</c:v>
                </c:pt>
                <c:pt idx="69">
                  <c:v>63.3</c:v>
                </c:pt>
                <c:pt idx="70">
                  <c:v>64.08</c:v>
                </c:pt>
                <c:pt idx="71">
                  <c:v>64.760000000000005</c:v>
                </c:pt>
                <c:pt idx="72">
                  <c:v>65.31</c:v>
                </c:pt>
                <c:pt idx="73">
                  <c:v>65.7</c:v>
                </c:pt>
                <c:pt idx="74">
                  <c:v>65.989999999999995</c:v>
                </c:pt>
                <c:pt idx="75">
                  <c:v>66.239999999999995</c:v>
                </c:pt>
                <c:pt idx="76">
                  <c:v>66.459999999999994</c:v>
                </c:pt>
                <c:pt idx="77">
                  <c:v>66.650000000000006</c:v>
                </c:pt>
                <c:pt idx="78">
                  <c:v>66.83</c:v>
                </c:pt>
                <c:pt idx="79">
                  <c:v>66.989999999999995</c:v>
                </c:pt>
                <c:pt idx="80">
                  <c:v>67.13</c:v>
                </c:pt>
                <c:pt idx="81">
                  <c:v>67.27</c:v>
                </c:pt>
                <c:pt idx="82">
                  <c:v>67.400000000000006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9D1-4BCC-805F-05FC8B88C353}"/>
            </c:ext>
          </c:extLst>
        </c:ser>
        <c:ser>
          <c:idx val="26"/>
          <c:order val="26"/>
          <c:tx>
            <c:strRef>
              <c:f>'Все-2K'!$AB$3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'Все-2K'!$AB$4:$AB$107</c:f>
              <c:numCache>
                <c:formatCode>0.0</c:formatCode>
                <c:ptCount val="104"/>
                <c:pt idx="0">
                  <c:v>31.6</c:v>
                </c:pt>
                <c:pt idx="1">
                  <c:v>31.62</c:v>
                </c:pt>
                <c:pt idx="2">
                  <c:v>31.64</c:v>
                </c:pt>
                <c:pt idx="3">
                  <c:v>31.66</c:v>
                </c:pt>
                <c:pt idx="4">
                  <c:v>31.68</c:v>
                </c:pt>
                <c:pt idx="5">
                  <c:v>31.7</c:v>
                </c:pt>
                <c:pt idx="6">
                  <c:v>31.72</c:v>
                </c:pt>
                <c:pt idx="7">
                  <c:v>31.74</c:v>
                </c:pt>
                <c:pt idx="8">
                  <c:v>31.76</c:v>
                </c:pt>
                <c:pt idx="9">
                  <c:v>31.78</c:v>
                </c:pt>
                <c:pt idx="10">
                  <c:v>31.8</c:v>
                </c:pt>
                <c:pt idx="11">
                  <c:v>31.83</c:v>
                </c:pt>
                <c:pt idx="12">
                  <c:v>31.86</c:v>
                </c:pt>
                <c:pt idx="13">
                  <c:v>31.88</c:v>
                </c:pt>
                <c:pt idx="14">
                  <c:v>31.91</c:v>
                </c:pt>
                <c:pt idx="15">
                  <c:v>31.94</c:v>
                </c:pt>
                <c:pt idx="16">
                  <c:v>31.97</c:v>
                </c:pt>
                <c:pt idx="17">
                  <c:v>32.01</c:v>
                </c:pt>
                <c:pt idx="18">
                  <c:v>32.04</c:v>
                </c:pt>
                <c:pt idx="19">
                  <c:v>32.08</c:v>
                </c:pt>
                <c:pt idx="20">
                  <c:v>32.119999999999997</c:v>
                </c:pt>
                <c:pt idx="21">
                  <c:v>32.17</c:v>
                </c:pt>
                <c:pt idx="22">
                  <c:v>32.21</c:v>
                </c:pt>
                <c:pt idx="23">
                  <c:v>32.26</c:v>
                </c:pt>
                <c:pt idx="24">
                  <c:v>32.31</c:v>
                </c:pt>
                <c:pt idx="25">
                  <c:v>32.36</c:v>
                </c:pt>
                <c:pt idx="26">
                  <c:v>32.42</c:v>
                </c:pt>
                <c:pt idx="27">
                  <c:v>32.47</c:v>
                </c:pt>
                <c:pt idx="28">
                  <c:v>32.54</c:v>
                </c:pt>
                <c:pt idx="29">
                  <c:v>32.6</c:v>
                </c:pt>
                <c:pt idx="30">
                  <c:v>32.71</c:v>
                </c:pt>
                <c:pt idx="31">
                  <c:v>32.909999999999997</c:v>
                </c:pt>
                <c:pt idx="32">
                  <c:v>33.200000000000003</c:v>
                </c:pt>
                <c:pt idx="33">
                  <c:v>33.57</c:v>
                </c:pt>
                <c:pt idx="34">
                  <c:v>34.020000000000003</c:v>
                </c:pt>
                <c:pt idx="35">
                  <c:v>34.54</c:v>
                </c:pt>
                <c:pt idx="36">
                  <c:v>35.119999999999997</c:v>
                </c:pt>
                <c:pt idx="37">
                  <c:v>35.770000000000003</c:v>
                </c:pt>
                <c:pt idx="38">
                  <c:v>36.479999999999997</c:v>
                </c:pt>
                <c:pt idx="39">
                  <c:v>37.25</c:v>
                </c:pt>
                <c:pt idx="40">
                  <c:v>38.07</c:v>
                </c:pt>
                <c:pt idx="41">
                  <c:v>38.93</c:v>
                </c:pt>
                <c:pt idx="42">
                  <c:v>39.840000000000003</c:v>
                </c:pt>
                <c:pt idx="43">
                  <c:v>40.79</c:v>
                </c:pt>
                <c:pt idx="44">
                  <c:v>41.77</c:v>
                </c:pt>
                <c:pt idx="45">
                  <c:v>42.78</c:v>
                </c:pt>
                <c:pt idx="46">
                  <c:v>43.81</c:v>
                </c:pt>
                <c:pt idx="47">
                  <c:v>44.87</c:v>
                </c:pt>
                <c:pt idx="48">
                  <c:v>45.94</c:v>
                </c:pt>
                <c:pt idx="49">
                  <c:v>47.03</c:v>
                </c:pt>
                <c:pt idx="50">
                  <c:v>48.13</c:v>
                </c:pt>
                <c:pt idx="51">
                  <c:v>49.23</c:v>
                </c:pt>
                <c:pt idx="52">
                  <c:v>50.33</c:v>
                </c:pt>
                <c:pt idx="53">
                  <c:v>51.43</c:v>
                </c:pt>
                <c:pt idx="54">
                  <c:v>52.51</c:v>
                </c:pt>
                <c:pt idx="55">
                  <c:v>53.59</c:v>
                </c:pt>
                <c:pt idx="56">
                  <c:v>54.65</c:v>
                </c:pt>
                <c:pt idx="57">
                  <c:v>55.68</c:v>
                </c:pt>
                <c:pt idx="58">
                  <c:v>56.69</c:v>
                </c:pt>
                <c:pt idx="59">
                  <c:v>57.68</c:v>
                </c:pt>
                <c:pt idx="60">
                  <c:v>58.62</c:v>
                </c:pt>
                <c:pt idx="61">
                  <c:v>59.53</c:v>
                </c:pt>
                <c:pt idx="62">
                  <c:v>60.4</c:v>
                </c:pt>
                <c:pt idx="63">
                  <c:v>61.31</c:v>
                </c:pt>
                <c:pt idx="64">
                  <c:v>62.34</c:v>
                </c:pt>
                <c:pt idx="65">
                  <c:v>63.44</c:v>
                </c:pt>
                <c:pt idx="66">
                  <c:v>64.56</c:v>
                </c:pt>
                <c:pt idx="67">
                  <c:v>65.67</c:v>
                </c:pt>
                <c:pt idx="68">
                  <c:v>66.73</c:v>
                </c:pt>
                <c:pt idx="69">
                  <c:v>67.69</c:v>
                </c:pt>
                <c:pt idx="70">
                  <c:v>68.5</c:v>
                </c:pt>
                <c:pt idx="71">
                  <c:v>69.14</c:v>
                </c:pt>
                <c:pt idx="72">
                  <c:v>69.55</c:v>
                </c:pt>
                <c:pt idx="73">
                  <c:v>69.7</c:v>
                </c:pt>
                <c:pt idx="74">
                  <c:v>69.62</c:v>
                </c:pt>
                <c:pt idx="75">
                  <c:v>69.41</c:v>
                </c:pt>
                <c:pt idx="76">
                  <c:v>69.099999999999994</c:v>
                </c:pt>
                <c:pt idx="77">
                  <c:v>68.739999999999995</c:v>
                </c:pt>
                <c:pt idx="78">
                  <c:v>68.36</c:v>
                </c:pt>
                <c:pt idx="79">
                  <c:v>68</c:v>
                </c:pt>
                <c:pt idx="80">
                  <c:v>67.69</c:v>
                </c:pt>
                <c:pt idx="81">
                  <c:v>67.48</c:v>
                </c:pt>
                <c:pt idx="82">
                  <c:v>67.400000000000006</c:v>
                </c:pt>
                <c:pt idx="83">
                  <c:v>67.48</c:v>
                </c:pt>
                <c:pt idx="84">
                  <c:v>67.709999999999994</c:v>
                </c:pt>
                <c:pt idx="85">
                  <c:v>68.08</c:v>
                </c:pt>
                <c:pt idx="86">
                  <c:v>68.56</c:v>
                </c:pt>
                <c:pt idx="87">
                  <c:v>69.150000000000006</c:v>
                </c:pt>
                <c:pt idx="88">
                  <c:v>69.819999999999993</c:v>
                </c:pt>
                <c:pt idx="89">
                  <c:v>70.56</c:v>
                </c:pt>
                <c:pt idx="90">
                  <c:v>71.34</c:v>
                </c:pt>
                <c:pt idx="91">
                  <c:v>72.16</c:v>
                </c:pt>
                <c:pt idx="92">
                  <c:v>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D9D1-4BCC-805F-05FC8B88C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058920"/>
        <c:axId val="956057936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'Все-2K'!$C$3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'Все-2K'!$C$4:$C$107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56.5</c:v>
                      </c:pt>
                      <c:pt idx="54">
                        <c:v>56.23</c:v>
                      </c:pt>
                      <c:pt idx="55">
                        <c:v>55.96</c:v>
                      </c:pt>
                      <c:pt idx="56">
                        <c:v>55.68</c:v>
                      </c:pt>
                      <c:pt idx="57">
                        <c:v>55.41</c:v>
                      </c:pt>
                      <c:pt idx="58">
                        <c:v>55.14</c:v>
                      </c:pt>
                      <c:pt idx="59">
                        <c:v>54.87</c:v>
                      </c:pt>
                      <c:pt idx="60">
                        <c:v>54.6</c:v>
                      </c:pt>
                      <c:pt idx="61">
                        <c:v>54.33</c:v>
                      </c:pt>
                      <c:pt idx="62">
                        <c:v>54.07</c:v>
                      </c:pt>
                      <c:pt idx="63">
                        <c:v>53.8</c:v>
                      </c:pt>
                      <c:pt idx="64">
                        <c:v>53.53</c:v>
                      </c:pt>
                      <c:pt idx="65">
                        <c:v>53.26</c:v>
                      </c:pt>
                      <c:pt idx="66">
                        <c:v>52.99</c:v>
                      </c:pt>
                      <c:pt idx="67">
                        <c:v>52.71</c:v>
                      </c:pt>
                      <c:pt idx="68">
                        <c:v>52.44</c:v>
                      </c:pt>
                      <c:pt idx="69">
                        <c:v>52.18</c:v>
                      </c:pt>
                      <c:pt idx="70">
                        <c:v>51.92</c:v>
                      </c:pt>
                      <c:pt idx="71">
                        <c:v>51.67</c:v>
                      </c:pt>
                      <c:pt idx="72">
                        <c:v>51.43</c:v>
                      </c:pt>
                      <c:pt idx="73">
                        <c:v>51.2</c:v>
                      </c:pt>
                      <c:pt idx="74">
                        <c:v>50.99</c:v>
                      </c:pt>
                      <c:pt idx="75">
                        <c:v>50.78</c:v>
                      </c:pt>
                      <c:pt idx="76">
                        <c:v>50.58</c:v>
                      </c:pt>
                      <c:pt idx="77">
                        <c:v>50.39</c:v>
                      </c:pt>
                      <c:pt idx="78">
                        <c:v>50.2</c:v>
                      </c:pt>
                      <c:pt idx="79">
                        <c:v>50.02</c:v>
                      </c:pt>
                      <c:pt idx="80">
                        <c:v>49.84</c:v>
                      </c:pt>
                      <c:pt idx="81">
                        <c:v>49.66</c:v>
                      </c:pt>
                      <c:pt idx="82">
                        <c:v>49.48</c:v>
                      </c:pt>
                      <c:pt idx="83">
                        <c:v>49.3</c:v>
                      </c:pt>
                      <c:pt idx="84">
                        <c:v>49.11</c:v>
                      </c:pt>
                      <c:pt idx="85">
                        <c:v>48.89</c:v>
                      </c:pt>
                      <c:pt idx="86">
                        <c:v>48.67</c:v>
                      </c:pt>
                      <c:pt idx="87">
                        <c:v>48.44</c:v>
                      </c:pt>
                      <c:pt idx="88">
                        <c:v>48.23</c:v>
                      </c:pt>
                      <c:pt idx="89">
                        <c:v>48.03</c:v>
                      </c:pt>
                      <c:pt idx="90">
                        <c:v>47.85</c:v>
                      </c:pt>
                      <c:pt idx="91">
                        <c:v>47.72</c:v>
                      </c:pt>
                      <c:pt idx="92">
                        <c:v>47.63</c:v>
                      </c:pt>
                      <c:pt idx="93">
                        <c:v>47.6</c:v>
                      </c:pt>
                      <c:pt idx="94">
                        <c:v>47.63</c:v>
                      </c:pt>
                      <c:pt idx="95">
                        <c:v>47.71</c:v>
                      </c:pt>
                      <c:pt idx="96">
                        <c:v>47.84</c:v>
                      </c:pt>
                      <c:pt idx="97">
                        <c:v>48.02</c:v>
                      </c:pt>
                      <c:pt idx="98">
                        <c:v>48.22</c:v>
                      </c:pt>
                      <c:pt idx="99">
                        <c:v>48.46</c:v>
                      </c:pt>
                      <c:pt idx="100">
                        <c:v>48.73</c:v>
                      </c:pt>
                      <c:pt idx="101">
                        <c:v>49.01</c:v>
                      </c:pt>
                      <c:pt idx="102">
                        <c:v>49.3</c:v>
                      </c:pt>
                      <c:pt idx="103">
                        <c:v>49.6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9D1-4BCC-805F-05FC8B88C353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'Все-2K'!$G$4:$G$107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9.6999999999999993</c:v>
                      </c:pt>
                      <c:pt idx="54">
                        <c:v>10.39</c:v>
                      </c:pt>
                      <c:pt idx="55">
                        <c:v>11.06</c:v>
                      </c:pt>
                      <c:pt idx="56">
                        <c:v>11.73</c:v>
                      </c:pt>
                      <c:pt idx="57">
                        <c:v>12.38</c:v>
                      </c:pt>
                      <c:pt idx="58">
                        <c:v>13.01</c:v>
                      </c:pt>
                      <c:pt idx="59">
                        <c:v>13.61</c:v>
                      </c:pt>
                      <c:pt idx="60">
                        <c:v>14.17</c:v>
                      </c:pt>
                      <c:pt idx="61">
                        <c:v>14.7</c:v>
                      </c:pt>
                      <c:pt idx="62">
                        <c:v>15.17</c:v>
                      </c:pt>
                      <c:pt idx="63">
                        <c:v>15.6</c:v>
                      </c:pt>
                      <c:pt idx="64">
                        <c:v>15.97</c:v>
                      </c:pt>
                      <c:pt idx="65">
                        <c:v>16.309999999999999</c:v>
                      </c:pt>
                      <c:pt idx="66">
                        <c:v>16.61</c:v>
                      </c:pt>
                      <c:pt idx="67">
                        <c:v>16.88</c:v>
                      </c:pt>
                      <c:pt idx="68">
                        <c:v>17.149999999999999</c:v>
                      </c:pt>
                      <c:pt idx="69">
                        <c:v>17.41</c:v>
                      </c:pt>
                      <c:pt idx="70">
                        <c:v>17.670000000000002</c:v>
                      </c:pt>
                      <c:pt idx="71">
                        <c:v>17.95</c:v>
                      </c:pt>
                      <c:pt idx="72">
                        <c:v>18.260000000000002</c:v>
                      </c:pt>
                      <c:pt idx="73">
                        <c:v>18.600000000000001</c:v>
                      </c:pt>
                      <c:pt idx="74">
                        <c:v>19.02</c:v>
                      </c:pt>
                      <c:pt idx="75">
                        <c:v>19.53</c:v>
                      </c:pt>
                      <c:pt idx="76">
                        <c:v>20.100000000000001</c:v>
                      </c:pt>
                      <c:pt idx="77">
                        <c:v>20.7</c:v>
                      </c:pt>
                      <c:pt idx="78">
                        <c:v>21.3</c:v>
                      </c:pt>
                      <c:pt idx="79">
                        <c:v>21.86</c:v>
                      </c:pt>
                      <c:pt idx="80">
                        <c:v>22.35</c:v>
                      </c:pt>
                      <c:pt idx="81">
                        <c:v>22.75</c:v>
                      </c:pt>
                      <c:pt idx="82">
                        <c:v>23.01</c:v>
                      </c:pt>
                      <c:pt idx="83">
                        <c:v>23.1</c:v>
                      </c:pt>
                      <c:pt idx="84">
                        <c:v>23.1</c:v>
                      </c:pt>
                      <c:pt idx="85">
                        <c:v>23.1</c:v>
                      </c:pt>
                      <c:pt idx="86">
                        <c:v>23.1</c:v>
                      </c:pt>
                      <c:pt idx="87">
                        <c:v>23.1</c:v>
                      </c:pt>
                      <c:pt idx="88">
                        <c:v>23.1</c:v>
                      </c:pt>
                      <c:pt idx="89">
                        <c:v>23.1</c:v>
                      </c:pt>
                      <c:pt idx="90">
                        <c:v>23.1</c:v>
                      </c:pt>
                      <c:pt idx="91">
                        <c:v>23.1</c:v>
                      </c:pt>
                      <c:pt idx="92">
                        <c:v>23.1</c:v>
                      </c:pt>
                      <c:pt idx="93">
                        <c:v>23.1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D9D1-4BCC-805F-05FC8B88C353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'Все-2K'!$I$3</c15:sqref>
                        </c15:formulaRef>
                      </c:ext>
                    </c:extLst>
                    <c:strCache>
                      <c:ptCount val="1"/>
                      <c:pt idx="0">
                        <c:v>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'Все-2K'!$I$4:$I$107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28.1</c:v>
                      </c:pt>
                      <c:pt idx="54">
                        <c:v>28.2</c:v>
                      </c:pt>
                      <c:pt idx="55">
                        <c:v>28.3</c:v>
                      </c:pt>
                      <c:pt idx="56">
                        <c:v>28.41</c:v>
                      </c:pt>
                      <c:pt idx="57">
                        <c:v>28.5</c:v>
                      </c:pt>
                      <c:pt idx="58">
                        <c:v>28.6</c:v>
                      </c:pt>
                      <c:pt idx="59">
                        <c:v>28.69</c:v>
                      </c:pt>
                      <c:pt idx="60">
                        <c:v>28.78</c:v>
                      </c:pt>
                      <c:pt idx="61">
                        <c:v>28.86</c:v>
                      </c:pt>
                      <c:pt idx="62">
                        <c:v>28.93</c:v>
                      </c:pt>
                      <c:pt idx="63">
                        <c:v>29</c:v>
                      </c:pt>
                      <c:pt idx="64">
                        <c:v>29.06</c:v>
                      </c:pt>
                      <c:pt idx="65">
                        <c:v>29.11</c:v>
                      </c:pt>
                      <c:pt idx="66">
                        <c:v>29.16</c:v>
                      </c:pt>
                      <c:pt idx="67">
                        <c:v>29.2</c:v>
                      </c:pt>
                      <c:pt idx="68">
                        <c:v>29.24</c:v>
                      </c:pt>
                      <c:pt idx="69">
                        <c:v>29.29</c:v>
                      </c:pt>
                      <c:pt idx="70">
                        <c:v>29.33</c:v>
                      </c:pt>
                      <c:pt idx="71">
                        <c:v>29.38</c:v>
                      </c:pt>
                      <c:pt idx="72">
                        <c:v>29.44</c:v>
                      </c:pt>
                      <c:pt idx="73">
                        <c:v>29.5</c:v>
                      </c:pt>
                      <c:pt idx="74">
                        <c:v>29.57</c:v>
                      </c:pt>
                      <c:pt idx="75">
                        <c:v>29.65</c:v>
                      </c:pt>
                      <c:pt idx="76">
                        <c:v>29.74</c:v>
                      </c:pt>
                      <c:pt idx="77">
                        <c:v>29.84</c:v>
                      </c:pt>
                      <c:pt idx="78">
                        <c:v>29.94</c:v>
                      </c:pt>
                      <c:pt idx="79">
                        <c:v>30.06</c:v>
                      </c:pt>
                      <c:pt idx="80">
                        <c:v>30.18</c:v>
                      </c:pt>
                      <c:pt idx="81">
                        <c:v>30.31</c:v>
                      </c:pt>
                      <c:pt idx="82">
                        <c:v>30.45</c:v>
                      </c:pt>
                      <c:pt idx="83">
                        <c:v>30.6</c:v>
                      </c:pt>
                      <c:pt idx="84">
                        <c:v>30.77</c:v>
                      </c:pt>
                      <c:pt idx="85">
                        <c:v>30.98</c:v>
                      </c:pt>
                      <c:pt idx="86">
                        <c:v>31.21</c:v>
                      </c:pt>
                      <c:pt idx="87">
                        <c:v>31.47</c:v>
                      </c:pt>
                      <c:pt idx="88">
                        <c:v>31.75</c:v>
                      </c:pt>
                      <c:pt idx="89">
                        <c:v>32.03</c:v>
                      </c:pt>
                      <c:pt idx="90">
                        <c:v>32.33</c:v>
                      </c:pt>
                      <c:pt idx="91">
                        <c:v>32.619999999999997</c:v>
                      </c:pt>
                      <c:pt idx="92">
                        <c:v>32.92</c:v>
                      </c:pt>
                      <c:pt idx="93">
                        <c:v>33.200000000000003</c:v>
                      </c:pt>
                      <c:pt idx="94">
                        <c:v>33.479999999999997</c:v>
                      </c:pt>
                      <c:pt idx="95">
                        <c:v>33.770000000000003</c:v>
                      </c:pt>
                      <c:pt idx="96">
                        <c:v>34.06</c:v>
                      </c:pt>
                      <c:pt idx="97">
                        <c:v>34.36</c:v>
                      </c:pt>
                      <c:pt idx="98">
                        <c:v>34.659999999999997</c:v>
                      </c:pt>
                      <c:pt idx="99">
                        <c:v>34.96</c:v>
                      </c:pt>
                      <c:pt idx="100">
                        <c:v>35.270000000000003</c:v>
                      </c:pt>
                      <c:pt idx="101">
                        <c:v>35.58</c:v>
                      </c:pt>
                      <c:pt idx="102">
                        <c:v>35.89</c:v>
                      </c:pt>
                      <c:pt idx="103">
                        <c:v>36.200000000000003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D9D1-4BCC-805F-05FC8B88C353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'Все-2K'!$U$3</c15:sqref>
                        </c15:formulaRef>
                      </c:ext>
                    </c:extLst>
                    <c:strCache>
                      <c:ptCount val="1"/>
                      <c:pt idx="0">
                        <c:v>Суринам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'Все-2K'!$U$4:$U$107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47</c:v>
                      </c:pt>
                      <c:pt idx="54">
                        <c:v>47.03</c:v>
                      </c:pt>
                      <c:pt idx="55">
                        <c:v>47.06</c:v>
                      </c:pt>
                      <c:pt idx="56">
                        <c:v>47.09</c:v>
                      </c:pt>
                      <c:pt idx="57">
                        <c:v>47.11</c:v>
                      </c:pt>
                      <c:pt idx="58">
                        <c:v>47.14</c:v>
                      </c:pt>
                      <c:pt idx="59">
                        <c:v>47.16</c:v>
                      </c:pt>
                      <c:pt idx="60">
                        <c:v>47.18</c:v>
                      </c:pt>
                      <c:pt idx="61">
                        <c:v>47.19</c:v>
                      </c:pt>
                      <c:pt idx="62">
                        <c:v>47.2</c:v>
                      </c:pt>
                      <c:pt idx="63">
                        <c:v>47.2</c:v>
                      </c:pt>
                      <c:pt idx="64">
                        <c:v>47.17</c:v>
                      </c:pt>
                      <c:pt idx="65">
                        <c:v>47.08</c:v>
                      </c:pt>
                      <c:pt idx="66">
                        <c:v>46.94</c:v>
                      </c:pt>
                      <c:pt idx="67">
                        <c:v>46.78</c:v>
                      </c:pt>
                      <c:pt idx="68">
                        <c:v>46.6</c:v>
                      </c:pt>
                      <c:pt idx="69">
                        <c:v>46.42</c:v>
                      </c:pt>
                      <c:pt idx="70">
                        <c:v>46.26</c:v>
                      </c:pt>
                      <c:pt idx="71">
                        <c:v>46.12</c:v>
                      </c:pt>
                      <c:pt idx="72">
                        <c:v>46.03</c:v>
                      </c:pt>
                      <c:pt idx="73">
                        <c:v>46</c:v>
                      </c:pt>
                      <c:pt idx="74">
                        <c:v>46.16</c:v>
                      </c:pt>
                      <c:pt idx="75">
                        <c:v>46.62</c:v>
                      </c:pt>
                      <c:pt idx="76">
                        <c:v>47.32</c:v>
                      </c:pt>
                      <c:pt idx="77">
                        <c:v>48.21</c:v>
                      </c:pt>
                      <c:pt idx="78">
                        <c:v>49.25</c:v>
                      </c:pt>
                      <c:pt idx="79">
                        <c:v>50.38</c:v>
                      </c:pt>
                      <c:pt idx="80">
                        <c:v>51.56</c:v>
                      </c:pt>
                      <c:pt idx="81">
                        <c:v>52.74</c:v>
                      </c:pt>
                      <c:pt idx="82">
                        <c:v>53.87</c:v>
                      </c:pt>
                      <c:pt idx="83">
                        <c:v>54.9</c:v>
                      </c:pt>
                      <c:pt idx="84">
                        <c:v>55.89</c:v>
                      </c:pt>
                      <c:pt idx="85">
                        <c:v>56.92</c:v>
                      </c:pt>
                      <c:pt idx="86">
                        <c:v>57.98</c:v>
                      </c:pt>
                      <c:pt idx="87">
                        <c:v>59.07</c:v>
                      </c:pt>
                      <c:pt idx="88">
                        <c:v>60.16</c:v>
                      </c:pt>
                      <c:pt idx="89">
                        <c:v>61.26</c:v>
                      </c:pt>
                      <c:pt idx="90">
                        <c:v>62.34</c:v>
                      </c:pt>
                      <c:pt idx="91">
                        <c:v>63.4</c:v>
                      </c:pt>
                      <c:pt idx="92">
                        <c:v>64.42</c:v>
                      </c:pt>
                      <c:pt idx="93">
                        <c:v>65.400000000000006</c:v>
                      </c:pt>
                      <c:pt idx="94">
                        <c:v>66.34</c:v>
                      </c:pt>
                      <c:pt idx="95">
                        <c:v>67.260000000000005</c:v>
                      </c:pt>
                      <c:pt idx="96">
                        <c:v>68.16</c:v>
                      </c:pt>
                      <c:pt idx="97">
                        <c:v>69.040000000000006</c:v>
                      </c:pt>
                      <c:pt idx="98">
                        <c:v>69.900000000000006</c:v>
                      </c:pt>
                      <c:pt idx="99">
                        <c:v>70.760000000000005</c:v>
                      </c:pt>
                      <c:pt idx="100">
                        <c:v>71.599999999999994</c:v>
                      </c:pt>
                      <c:pt idx="101">
                        <c:v>72.44</c:v>
                      </c:pt>
                      <c:pt idx="102">
                        <c:v>73.27</c:v>
                      </c:pt>
                      <c:pt idx="103">
                        <c:v>74.099999999999994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3-D9D1-4BCC-805F-05FC8B88C353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'Все-2K'!$W$3</c15:sqref>
                        </c15:formulaRef>
                      </c:ext>
                    </c:extLst>
                    <c:strCache>
                      <c:ptCount val="1"/>
                      <c:pt idx="0">
                        <c:v>Французская 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'Все-2K'!$W$4:$W$107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52</c:v>
                      </c:pt>
                      <c:pt idx="54">
                        <c:v>53.46</c:v>
                      </c:pt>
                      <c:pt idx="55">
                        <c:v>54.89</c:v>
                      </c:pt>
                      <c:pt idx="56">
                        <c:v>56.3</c:v>
                      </c:pt>
                      <c:pt idx="57">
                        <c:v>57.65</c:v>
                      </c:pt>
                      <c:pt idx="58">
                        <c:v>58.92</c:v>
                      </c:pt>
                      <c:pt idx="59">
                        <c:v>60.11</c:v>
                      </c:pt>
                      <c:pt idx="60">
                        <c:v>61.19</c:v>
                      </c:pt>
                      <c:pt idx="61">
                        <c:v>62.14</c:v>
                      </c:pt>
                      <c:pt idx="62">
                        <c:v>62.95</c:v>
                      </c:pt>
                      <c:pt idx="63">
                        <c:v>63.6</c:v>
                      </c:pt>
                      <c:pt idx="64">
                        <c:v>64.13</c:v>
                      </c:pt>
                      <c:pt idx="65">
                        <c:v>64.59</c:v>
                      </c:pt>
                      <c:pt idx="66">
                        <c:v>65</c:v>
                      </c:pt>
                      <c:pt idx="67">
                        <c:v>65.38</c:v>
                      </c:pt>
                      <c:pt idx="68">
                        <c:v>65.72</c:v>
                      </c:pt>
                      <c:pt idx="69">
                        <c:v>66.03</c:v>
                      </c:pt>
                      <c:pt idx="70">
                        <c:v>66.34</c:v>
                      </c:pt>
                      <c:pt idx="71">
                        <c:v>66.650000000000006</c:v>
                      </c:pt>
                      <c:pt idx="72">
                        <c:v>66.959999999999994</c:v>
                      </c:pt>
                      <c:pt idx="73">
                        <c:v>67.3</c:v>
                      </c:pt>
                      <c:pt idx="74">
                        <c:v>67.64</c:v>
                      </c:pt>
                      <c:pt idx="75">
                        <c:v>67.98</c:v>
                      </c:pt>
                      <c:pt idx="76">
                        <c:v>68.3</c:v>
                      </c:pt>
                      <c:pt idx="77">
                        <c:v>68.62</c:v>
                      </c:pt>
                      <c:pt idx="78">
                        <c:v>68.94</c:v>
                      </c:pt>
                      <c:pt idx="79">
                        <c:v>69.260000000000005</c:v>
                      </c:pt>
                      <c:pt idx="80">
                        <c:v>69.59</c:v>
                      </c:pt>
                      <c:pt idx="81">
                        <c:v>69.92</c:v>
                      </c:pt>
                      <c:pt idx="82">
                        <c:v>70.25</c:v>
                      </c:pt>
                      <c:pt idx="83">
                        <c:v>70.599999999999994</c:v>
                      </c:pt>
                      <c:pt idx="84">
                        <c:v>70.98</c:v>
                      </c:pt>
                      <c:pt idx="85">
                        <c:v>71.41</c:v>
                      </c:pt>
                      <c:pt idx="86">
                        <c:v>71.87</c:v>
                      </c:pt>
                      <c:pt idx="87">
                        <c:v>72.349999999999994</c:v>
                      </c:pt>
                      <c:pt idx="88">
                        <c:v>72.81</c:v>
                      </c:pt>
                      <c:pt idx="89">
                        <c:v>73.25</c:v>
                      </c:pt>
                      <c:pt idx="90">
                        <c:v>73.650000000000006</c:v>
                      </c:pt>
                      <c:pt idx="91">
                        <c:v>73.989999999999995</c:v>
                      </c:pt>
                      <c:pt idx="92">
                        <c:v>74.239999999999995</c:v>
                      </c:pt>
                      <c:pt idx="93">
                        <c:v>74.400000000000006</c:v>
                      </c:pt>
                      <c:pt idx="94">
                        <c:v>74.5</c:v>
                      </c:pt>
                      <c:pt idx="95">
                        <c:v>74.58</c:v>
                      </c:pt>
                      <c:pt idx="96">
                        <c:v>74.66</c:v>
                      </c:pt>
                      <c:pt idx="97">
                        <c:v>74.72</c:v>
                      </c:pt>
                      <c:pt idx="98">
                        <c:v>74.78</c:v>
                      </c:pt>
                      <c:pt idx="99">
                        <c:v>74.83</c:v>
                      </c:pt>
                      <c:pt idx="100">
                        <c:v>74.88</c:v>
                      </c:pt>
                      <c:pt idx="101">
                        <c:v>74.92</c:v>
                      </c:pt>
                      <c:pt idx="102">
                        <c:v>74.959999999999994</c:v>
                      </c:pt>
                      <c:pt idx="103">
                        <c:v>75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5-D9D1-4BCC-805F-05FC8B88C353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'Все-2K'!$Z$3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'Все-2K'!$Z$4:$Z$107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26.7</c:v>
                      </c:pt>
                      <c:pt idx="54">
                        <c:v>27.4</c:v>
                      </c:pt>
                      <c:pt idx="55">
                        <c:v>28.09</c:v>
                      </c:pt>
                      <c:pt idx="56">
                        <c:v>28.79</c:v>
                      </c:pt>
                      <c:pt idx="57">
                        <c:v>29.49</c:v>
                      </c:pt>
                      <c:pt idx="58">
                        <c:v>30.2</c:v>
                      </c:pt>
                      <c:pt idx="59">
                        <c:v>30.9</c:v>
                      </c:pt>
                      <c:pt idx="60">
                        <c:v>31.62</c:v>
                      </c:pt>
                      <c:pt idx="61">
                        <c:v>32.340000000000003</c:v>
                      </c:pt>
                      <c:pt idx="62">
                        <c:v>33.07</c:v>
                      </c:pt>
                      <c:pt idx="63">
                        <c:v>33.799999999999997</c:v>
                      </c:pt>
                      <c:pt idx="64">
                        <c:v>34.56</c:v>
                      </c:pt>
                      <c:pt idx="65">
                        <c:v>35.35</c:v>
                      </c:pt>
                      <c:pt idx="66">
                        <c:v>36.15</c:v>
                      </c:pt>
                      <c:pt idx="67">
                        <c:v>36.97</c:v>
                      </c:pt>
                      <c:pt idx="68">
                        <c:v>37.79</c:v>
                      </c:pt>
                      <c:pt idx="69">
                        <c:v>38.590000000000003</c:v>
                      </c:pt>
                      <c:pt idx="70">
                        <c:v>39.380000000000003</c:v>
                      </c:pt>
                      <c:pt idx="71">
                        <c:v>40.130000000000003</c:v>
                      </c:pt>
                      <c:pt idx="72">
                        <c:v>40.840000000000003</c:v>
                      </c:pt>
                      <c:pt idx="73">
                        <c:v>41.5</c:v>
                      </c:pt>
                      <c:pt idx="74">
                        <c:v>42.11</c:v>
                      </c:pt>
                      <c:pt idx="75">
                        <c:v>42.7</c:v>
                      </c:pt>
                      <c:pt idx="76">
                        <c:v>43.25</c:v>
                      </c:pt>
                      <c:pt idx="77">
                        <c:v>43.79</c:v>
                      </c:pt>
                      <c:pt idx="78">
                        <c:v>44.31</c:v>
                      </c:pt>
                      <c:pt idx="79">
                        <c:v>44.82</c:v>
                      </c:pt>
                      <c:pt idx="80">
                        <c:v>45.32</c:v>
                      </c:pt>
                      <c:pt idx="81">
                        <c:v>45.81</c:v>
                      </c:pt>
                      <c:pt idx="82">
                        <c:v>46.3</c:v>
                      </c:pt>
                      <c:pt idx="83">
                        <c:v>46.8</c:v>
                      </c:pt>
                      <c:pt idx="84">
                        <c:v>47.33</c:v>
                      </c:pt>
                      <c:pt idx="85">
                        <c:v>47.89</c:v>
                      </c:pt>
                      <c:pt idx="86">
                        <c:v>48.48</c:v>
                      </c:pt>
                      <c:pt idx="87">
                        <c:v>49.07</c:v>
                      </c:pt>
                      <c:pt idx="88">
                        <c:v>49.64</c:v>
                      </c:pt>
                      <c:pt idx="89">
                        <c:v>50.17</c:v>
                      </c:pt>
                      <c:pt idx="90">
                        <c:v>50.64</c:v>
                      </c:pt>
                      <c:pt idx="91">
                        <c:v>51.03</c:v>
                      </c:pt>
                      <c:pt idx="92">
                        <c:v>51.33</c:v>
                      </c:pt>
                      <c:pt idx="93">
                        <c:v>51.5</c:v>
                      </c:pt>
                      <c:pt idx="94">
                        <c:v>51.6</c:v>
                      </c:pt>
                      <c:pt idx="95">
                        <c:v>51.69</c:v>
                      </c:pt>
                      <c:pt idx="96">
                        <c:v>51.76</c:v>
                      </c:pt>
                      <c:pt idx="97">
                        <c:v>51.83</c:v>
                      </c:pt>
                      <c:pt idx="98">
                        <c:v>51.89</c:v>
                      </c:pt>
                      <c:pt idx="99">
                        <c:v>51.94</c:v>
                      </c:pt>
                      <c:pt idx="100">
                        <c:v>51.98</c:v>
                      </c:pt>
                      <c:pt idx="101">
                        <c:v>52.02</c:v>
                      </c:pt>
                      <c:pt idx="102">
                        <c:v>52.06</c:v>
                      </c:pt>
                      <c:pt idx="103">
                        <c:v>52.1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8-D9D1-4BCC-805F-05FC8B88C353}"/>
                  </c:ext>
                </c:extLst>
              </c15:ser>
            </c15:filteredScatterSeries>
          </c:ext>
        </c:extLst>
      </c:scatterChart>
      <c:valAx>
        <c:axId val="956058920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6057936"/>
        <c:crosses val="autoZero"/>
        <c:crossBetween val="midCat"/>
      </c:valAx>
      <c:valAx>
        <c:axId val="956057936"/>
        <c:scaling>
          <c:orientation val="minMax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6058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пунктах с численностью более 20,000 жителей 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'Все-20K'!$B$3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'Все-20K'!$B$4:$B$149</c:f>
              <c:numCache>
                <c:formatCode>0.0</c:formatCode>
                <c:ptCount val="146"/>
                <c:pt idx="4">
                  <c:v>24.8</c:v>
                </c:pt>
                <c:pt idx="5">
                  <c:v>25.05</c:v>
                </c:pt>
                <c:pt idx="6">
                  <c:v>25.31</c:v>
                </c:pt>
                <c:pt idx="7">
                  <c:v>25.56</c:v>
                </c:pt>
                <c:pt idx="8">
                  <c:v>25.81</c:v>
                </c:pt>
                <c:pt idx="9">
                  <c:v>26.07</c:v>
                </c:pt>
                <c:pt idx="10">
                  <c:v>26.32</c:v>
                </c:pt>
                <c:pt idx="11">
                  <c:v>26.58</c:v>
                </c:pt>
                <c:pt idx="12">
                  <c:v>26.84</c:v>
                </c:pt>
                <c:pt idx="13">
                  <c:v>27.1</c:v>
                </c:pt>
                <c:pt idx="14">
                  <c:v>27.36</c:v>
                </c:pt>
                <c:pt idx="15">
                  <c:v>27.62</c:v>
                </c:pt>
                <c:pt idx="16">
                  <c:v>27.88</c:v>
                </c:pt>
                <c:pt idx="17">
                  <c:v>28.14</c:v>
                </c:pt>
                <c:pt idx="18">
                  <c:v>28.41</c:v>
                </c:pt>
                <c:pt idx="19">
                  <c:v>28.68</c:v>
                </c:pt>
                <c:pt idx="20">
                  <c:v>28.95</c:v>
                </c:pt>
                <c:pt idx="21">
                  <c:v>29.22</c:v>
                </c:pt>
                <c:pt idx="22">
                  <c:v>29.5</c:v>
                </c:pt>
                <c:pt idx="23">
                  <c:v>29.77</c:v>
                </c:pt>
                <c:pt idx="24">
                  <c:v>30.05</c:v>
                </c:pt>
                <c:pt idx="25">
                  <c:v>30.34</c:v>
                </c:pt>
                <c:pt idx="26">
                  <c:v>30.62</c:v>
                </c:pt>
                <c:pt idx="27">
                  <c:v>30.91</c:v>
                </c:pt>
                <c:pt idx="28">
                  <c:v>31.2</c:v>
                </c:pt>
                <c:pt idx="29">
                  <c:v>31.5</c:v>
                </c:pt>
                <c:pt idx="30">
                  <c:v>31.8</c:v>
                </c:pt>
                <c:pt idx="31">
                  <c:v>32.11</c:v>
                </c:pt>
                <c:pt idx="32">
                  <c:v>32.450000000000003</c:v>
                </c:pt>
                <c:pt idx="33">
                  <c:v>32.81</c:v>
                </c:pt>
                <c:pt idx="34">
                  <c:v>33.19</c:v>
                </c:pt>
                <c:pt idx="35">
                  <c:v>33.58</c:v>
                </c:pt>
                <c:pt idx="36">
                  <c:v>33.979999999999997</c:v>
                </c:pt>
                <c:pt idx="37">
                  <c:v>34.380000000000003</c:v>
                </c:pt>
                <c:pt idx="38">
                  <c:v>34.78</c:v>
                </c:pt>
                <c:pt idx="39">
                  <c:v>35.19</c:v>
                </c:pt>
                <c:pt idx="40">
                  <c:v>35.590000000000003</c:v>
                </c:pt>
                <c:pt idx="41">
                  <c:v>35.97</c:v>
                </c:pt>
                <c:pt idx="42">
                  <c:v>36.35</c:v>
                </c:pt>
                <c:pt idx="43">
                  <c:v>36.71</c:v>
                </c:pt>
                <c:pt idx="44">
                  <c:v>37.049999999999997</c:v>
                </c:pt>
                <c:pt idx="45">
                  <c:v>37.36</c:v>
                </c:pt>
                <c:pt idx="46">
                  <c:v>37.65</c:v>
                </c:pt>
                <c:pt idx="47">
                  <c:v>37.9</c:v>
                </c:pt>
                <c:pt idx="48">
                  <c:v>38.119999999999997</c:v>
                </c:pt>
                <c:pt idx="49">
                  <c:v>38.299999999999997</c:v>
                </c:pt>
                <c:pt idx="50">
                  <c:v>38.450000000000003</c:v>
                </c:pt>
                <c:pt idx="51">
                  <c:v>38.590000000000003</c:v>
                </c:pt>
                <c:pt idx="52">
                  <c:v>38.72</c:v>
                </c:pt>
                <c:pt idx="53">
                  <c:v>38.83</c:v>
                </c:pt>
                <c:pt idx="54">
                  <c:v>38.93</c:v>
                </c:pt>
                <c:pt idx="55">
                  <c:v>39.03</c:v>
                </c:pt>
                <c:pt idx="56">
                  <c:v>39.11</c:v>
                </c:pt>
                <c:pt idx="57">
                  <c:v>39.200000000000003</c:v>
                </c:pt>
                <c:pt idx="58">
                  <c:v>39.270000000000003</c:v>
                </c:pt>
                <c:pt idx="59">
                  <c:v>39.340000000000003</c:v>
                </c:pt>
                <c:pt idx="60">
                  <c:v>39.409999999999997</c:v>
                </c:pt>
                <c:pt idx="61">
                  <c:v>39.479999999999997</c:v>
                </c:pt>
                <c:pt idx="62">
                  <c:v>39.549999999999997</c:v>
                </c:pt>
                <c:pt idx="63">
                  <c:v>39.619999999999997</c:v>
                </c:pt>
                <c:pt idx="64">
                  <c:v>39.69</c:v>
                </c:pt>
                <c:pt idx="65">
                  <c:v>39.76</c:v>
                </c:pt>
                <c:pt idx="66">
                  <c:v>39.840000000000003</c:v>
                </c:pt>
                <c:pt idx="67">
                  <c:v>39.93</c:v>
                </c:pt>
                <c:pt idx="68">
                  <c:v>40.03</c:v>
                </c:pt>
                <c:pt idx="69">
                  <c:v>40.130000000000003</c:v>
                </c:pt>
                <c:pt idx="70">
                  <c:v>40.24</c:v>
                </c:pt>
                <c:pt idx="71">
                  <c:v>40.369999999999997</c:v>
                </c:pt>
                <c:pt idx="72">
                  <c:v>40.5</c:v>
                </c:pt>
                <c:pt idx="73">
                  <c:v>40.65</c:v>
                </c:pt>
                <c:pt idx="74">
                  <c:v>40.82</c:v>
                </c:pt>
                <c:pt idx="75">
                  <c:v>41</c:v>
                </c:pt>
                <c:pt idx="76">
                  <c:v>41.5</c:v>
                </c:pt>
                <c:pt idx="77">
                  <c:v>42.5</c:v>
                </c:pt>
                <c:pt idx="78">
                  <c:v>43.84</c:v>
                </c:pt>
                <c:pt idx="79">
                  <c:v>45.34</c:v>
                </c:pt>
                <c:pt idx="80">
                  <c:v>46.83</c:v>
                </c:pt>
                <c:pt idx="81">
                  <c:v>48.14</c:v>
                </c:pt>
                <c:pt idx="82">
                  <c:v>49.1</c:v>
                </c:pt>
                <c:pt idx="83">
                  <c:v>49.69</c:v>
                </c:pt>
                <c:pt idx="84">
                  <c:v>50.15</c:v>
                </c:pt>
                <c:pt idx="85">
                  <c:v>50.7</c:v>
                </c:pt>
                <c:pt idx="86">
                  <c:v>51.44</c:v>
                </c:pt>
                <c:pt idx="87">
                  <c:v>52.28</c:v>
                </c:pt>
                <c:pt idx="88">
                  <c:v>53.21</c:v>
                </c:pt>
                <c:pt idx="89">
                  <c:v>54.19</c:v>
                </c:pt>
                <c:pt idx="90">
                  <c:v>55.21</c:v>
                </c:pt>
                <c:pt idx="91">
                  <c:v>56.24</c:v>
                </c:pt>
                <c:pt idx="92">
                  <c:v>57.25</c:v>
                </c:pt>
                <c:pt idx="93">
                  <c:v>58.24</c:v>
                </c:pt>
                <c:pt idx="94">
                  <c:v>59.16</c:v>
                </c:pt>
                <c:pt idx="95">
                  <c:v>60</c:v>
                </c:pt>
                <c:pt idx="96">
                  <c:v>60.79</c:v>
                </c:pt>
                <c:pt idx="97">
                  <c:v>61.56</c:v>
                </c:pt>
                <c:pt idx="98">
                  <c:v>62.32</c:v>
                </c:pt>
                <c:pt idx="99">
                  <c:v>63.06</c:v>
                </c:pt>
                <c:pt idx="100">
                  <c:v>63.78</c:v>
                </c:pt>
                <c:pt idx="101">
                  <c:v>64.47</c:v>
                </c:pt>
                <c:pt idx="102">
                  <c:v>65.13</c:v>
                </c:pt>
                <c:pt idx="103">
                  <c:v>65.760000000000005</c:v>
                </c:pt>
                <c:pt idx="104">
                  <c:v>66.349999999999994</c:v>
                </c:pt>
                <c:pt idx="105">
                  <c:v>66.900000000000006</c:v>
                </c:pt>
                <c:pt idx="106">
                  <c:v>67.41</c:v>
                </c:pt>
                <c:pt idx="107">
                  <c:v>67.900000000000006</c:v>
                </c:pt>
                <c:pt idx="108">
                  <c:v>68.36</c:v>
                </c:pt>
                <c:pt idx="109">
                  <c:v>68.790000000000006</c:v>
                </c:pt>
                <c:pt idx="110">
                  <c:v>69.22</c:v>
                </c:pt>
                <c:pt idx="111">
                  <c:v>69.62</c:v>
                </c:pt>
                <c:pt idx="112">
                  <c:v>70.02</c:v>
                </c:pt>
                <c:pt idx="113">
                  <c:v>70.41</c:v>
                </c:pt>
                <c:pt idx="114">
                  <c:v>70.81</c:v>
                </c:pt>
                <c:pt idx="115">
                  <c:v>71.2</c:v>
                </c:pt>
                <c:pt idx="116">
                  <c:v>71.599999999999994</c:v>
                </c:pt>
                <c:pt idx="117">
                  <c:v>72.02</c:v>
                </c:pt>
                <c:pt idx="118">
                  <c:v>72.44</c:v>
                </c:pt>
                <c:pt idx="119">
                  <c:v>72.849999999999994</c:v>
                </c:pt>
                <c:pt idx="120">
                  <c:v>73.260000000000005</c:v>
                </c:pt>
                <c:pt idx="121">
                  <c:v>73.64</c:v>
                </c:pt>
                <c:pt idx="122">
                  <c:v>74.010000000000005</c:v>
                </c:pt>
                <c:pt idx="123">
                  <c:v>74.34</c:v>
                </c:pt>
                <c:pt idx="124">
                  <c:v>74.64</c:v>
                </c:pt>
                <c:pt idx="125">
                  <c:v>74.900000000000006</c:v>
                </c:pt>
                <c:pt idx="126">
                  <c:v>75.12</c:v>
                </c:pt>
                <c:pt idx="127">
                  <c:v>75.3</c:v>
                </c:pt>
                <c:pt idx="128">
                  <c:v>75.47</c:v>
                </c:pt>
                <c:pt idx="129">
                  <c:v>75.62</c:v>
                </c:pt>
                <c:pt idx="130">
                  <c:v>75.760000000000005</c:v>
                </c:pt>
                <c:pt idx="131">
                  <c:v>75.91</c:v>
                </c:pt>
                <c:pt idx="132">
                  <c:v>76.05</c:v>
                </c:pt>
                <c:pt idx="133">
                  <c:v>76.209999999999994</c:v>
                </c:pt>
                <c:pt idx="134">
                  <c:v>76.39</c:v>
                </c:pt>
                <c:pt idx="135">
                  <c:v>76.599999999999994</c:v>
                </c:pt>
                <c:pt idx="136">
                  <c:v>76.84</c:v>
                </c:pt>
                <c:pt idx="137">
                  <c:v>77.099999999999994</c:v>
                </c:pt>
                <c:pt idx="138">
                  <c:v>77.39</c:v>
                </c:pt>
                <c:pt idx="139">
                  <c:v>77.69</c:v>
                </c:pt>
                <c:pt idx="140">
                  <c:v>78.02</c:v>
                </c:pt>
                <c:pt idx="141">
                  <c:v>78.36</c:v>
                </c:pt>
                <c:pt idx="142">
                  <c:v>78.709999999999994</c:v>
                </c:pt>
                <c:pt idx="143">
                  <c:v>79.069999999999993</c:v>
                </c:pt>
                <c:pt idx="144">
                  <c:v>79.430000000000007</c:v>
                </c:pt>
                <c:pt idx="145">
                  <c:v>79.8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11-4DC0-ACDC-BA33DC4A516F}"/>
            </c:ext>
          </c:extLst>
        </c:ser>
        <c:ser>
          <c:idx val="4"/>
          <c:order val="4"/>
          <c:tx>
            <c:strRef>
              <c:f>'Все-20K'!$F$3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'Все-20K'!$F$4:$F$149</c:f>
              <c:numCache>
                <c:formatCode>0.0</c:formatCode>
                <c:ptCount val="146"/>
                <c:pt idx="35">
                  <c:v>8.6</c:v>
                </c:pt>
                <c:pt idx="36">
                  <c:v>8.76</c:v>
                </c:pt>
                <c:pt idx="37">
                  <c:v>8.93</c:v>
                </c:pt>
                <c:pt idx="38">
                  <c:v>9.09</c:v>
                </c:pt>
                <c:pt idx="39">
                  <c:v>9.25</c:v>
                </c:pt>
                <c:pt idx="40">
                  <c:v>9.42</c:v>
                </c:pt>
                <c:pt idx="41">
                  <c:v>9.58</c:v>
                </c:pt>
                <c:pt idx="42">
                  <c:v>9.75</c:v>
                </c:pt>
                <c:pt idx="43">
                  <c:v>9.92</c:v>
                </c:pt>
                <c:pt idx="44">
                  <c:v>10.09</c:v>
                </c:pt>
                <c:pt idx="45">
                  <c:v>10.26</c:v>
                </c:pt>
                <c:pt idx="46">
                  <c:v>10.43</c:v>
                </c:pt>
                <c:pt idx="47">
                  <c:v>10.6</c:v>
                </c:pt>
                <c:pt idx="48">
                  <c:v>10.77</c:v>
                </c:pt>
                <c:pt idx="49">
                  <c:v>10.95</c:v>
                </c:pt>
                <c:pt idx="50">
                  <c:v>11.13</c:v>
                </c:pt>
                <c:pt idx="51">
                  <c:v>11.31</c:v>
                </c:pt>
                <c:pt idx="52">
                  <c:v>11.49</c:v>
                </c:pt>
                <c:pt idx="53">
                  <c:v>11.68</c:v>
                </c:pt>
                <c:pt idx="54">
                  <c:v>11.86</c:v>
                </c:pt>
                <c:pt idx="55">
                  <c:v>12.05</c:v>
                </c:pt>
                <c:pt idx="56">
                  <c:v>12.25</c:v>
                </c:pt>
                <c:pt idx="57">
                  <c:v>12.44</c:v>
                </c:pt>
                <c:pt idx="58">
                  <c:v>12.64</c:v>
                </c:pt>
                <c:pt idx="59">
                  <c:v>12.84</c:v>
                </c:pt>
                <c:pt idx="60">
                  <c:v>13.05</c:v>
                </c:pt>
                <c:pt idx="61">
                  <c:v>13.26</c:v>
                </c:pt>
                <c:pt idx="62">
                  <c:v>13.47</c:v>
                </c:pt>
                <c:pt idx="63">
                  <c:v>13.69</c:v>
                </c:pt>
                <c:pt idx="64">
                  <c:v>13.91</c:v>
                </c:pt>
                <c:pt idx="65">
                  <c:v>14.13</c:v>
                </c:pt>
                <c:pt idx="66">
                  <c:v>14.36</c:v>
                </c:pt>
                <c:pt idx="67">
                  <c:v>14.6</c:v>
                </c:pt>
                <c:pt idx="68">
                  <c:v>14.83</c:v>
                </c:pt>
                <c:pt idx="69">
                  <c:v>15.08</c:v>
                </c:pt>
                <c:pt idx="70">
                  <c:v>15.32</c:v>
                </c:pt>
                <c:pt idx="71">
                  <c:v>15.57</c:v>
                </c:pt>
                <c:pt idx="72">
                  <c:v>15.83</c:v>
                </c:pt>
                <c:pt idx="73">
                  <c:v>16.09</c:v>
                </c:pt>
                <c:pt idx="74">
                  <c:v>16.36</c:v>
                </c:pt>
                <c:pt idx="75">
                  <c:v>16.63</c:v>
                </c:pt>
                <c:pt idx="76">
                  <c:v>16.91</c:v>
                </c:pt>
                <c:pt idx="77">
                  <c:v>17.2</c:v>
                </c:pt>
                <c:pt idx="78">
                  <c:v>17.489999999999998</c:v>
                </c:pt>
                <c:pt idx="79">
                  <c:v>17.79</c:v>
                </c:pt>
                <c:pt idx="80">
                  <c:v>18.09</c:v>
                </c:pt>
                <c:pt idx="81">
                  <c:v>18.399999999999999</c:v>
                </c:pt>
                <c:pt idx="82">
                  <c:v>18.71</c:v>
                </c:pt>
                <c:pt idx="83">
                  <c:v>19.04</c:v>
                </c:pt>
                <c:pt idx="84">
                  <c:v>19.36</c:v>
                </c:pt>
                <c:pt idx="85">
                  <c:v>19.7</c:v>
                </c:pt>
                <c:pt idx="86">
                  <c:v>20.079999999999998</c:v>
                </c:pt>
                <c:pt idx="87">
                  <c:v>20.52</c:v>
                </c:pt>
                <c:pt idx="88">
                  <c:v>21.02</c:v>
                </c:pt>
                <c:pt idx="89">
                  <c:v>21.59</c:v>
                </c:pt>
                <c:pt idx="90">
                  <c:v>22.2</c:v>
                </c:pt>
                <c:pt idx="91">
                  <c:v>22.87</c:v>
                </c:pt>
                <c:pt idx="92">
                  <c:v>23.57</c:v>
                </c:pt>
                <c:pt idx="93">
                  <c:v>24.31</c:v>
                </c:pt>
                <c:pt idx="94">
                  <c:v>25.08</c:v>
                </c:pt>
                <c:pt idx="95">
                  <c:v>25.88</c:v>
                </c:pt>
                <c:pt idx="96">
                  <c:v>26.7</c:v>
                </c:pt>
                <c:pt idx="97">
                  <c:v>27.53</c:v>
                </c:pt>
                <c:pt idx="98">
                  <c:v>28.38</c:v>
                </c:pt>
                <c:pt idx="99">
                  <c:v>29.22</c:v>
                </c:pt>
                <c:pt idx="100">
                  <c:v>30.07</c:v>
                </c:pt>
                <c:pt idx="101">
                  <c:v>30.91</c:v>
                </c:pt>
                <c:pt idx="102">
                  <c:v>31.74</c:v>
                </c:pt>
                <c:pt idx="103">
                  <c:v>32.549999999999997</c:v>
                </c:pt>
                <c:pt idx="104">
                  <c:v>33.340000000000003</c:v>
                </c:pt>
                <c:pt idx="105">
                  <c:v>34.1</c:v>
                </c:pt>
                <c:pt idx="106">
                  <c:v>34.86</c:v>
                </c:pt>
                <c:pt idx="107">
                  <c:v>35.64</c:v>
                </c:pt>
                <c:pt idx="108">
                  <c:v>36.43</c:v>
                </c:pt>
                <c:pt idx="109">
                  <c:v>37.24</c:v>
                </c:pt>
                <c:pt idx="110">
                  <c:v>38.07</c:v>
                </c:pt>
                <c:pt idx="111">
                  <c:v>38.9</c:v>
                </c:pt>
                <c:pt idx="112">
                  <c:v>39.729999999999997</c:v>
                </c:pt>
                <c:pt idx="113">
                  <c:v>40.57</c:v>
                </c:pt>
                <c:pt idx="114">
                  <c:v>41.4</c:v>
                </c:pt>
                <c:pt idx="115">
                  <c:v>42.23</c:v>
                </c:pt>
                <c:pt idx="116">
                  <c:v>43.06</c:v>
                </c:pt>
                <c:pt idx="117">
                  <c:v>43.87</c:v>
                </c:pt>
                <c:pt idx="118">
                  <c:v>44.67</c:v>
                </c:pt>
                <c:pt idx="119">
                  <c:v>45.45</c:v>
                </c:pt>
                <c:pt idx="120">
                  <c:v>46.21</c:v>
                </c:pt>
                <c:pt idx="121">
                  <c:v>46.95</c:v>
                </c:pt>
                <c:pt idx="122">
                  <c:v>47.66</c:v>
                </c:pt>
                <c:pt idx="123">
                  <c:v>48.34</c:v>
                </c:pt>
                <c:pt idx="124">
                  <c:v>48.99</c:v>
                </c:pt>
                <c:pt idx="125">
                  <c:v>49.6</c:v>
                </c:pt>
                <c:pt idx="126">
                  <c:v>50.17</c:v>
                </c:pt>
                <c:pt idx="127">
                  <c:v>50.7</c:v>
                </c:pt>
                <c:pt idx="128">
                  <c:v>51.2</c:v>
                </c:pt>
                <c:pt idx="129">
                  <c:v>51.67</c:v>
                </c:pt>
                <c:pt idx="130">
                  <c:v>52.13</c:v>
                </c:pt>
                <c:pt idx="131">
                  <c:v>52.57</c:v>
                </c:pt>
                <c:pt idx="132">
                  <c:v>53.02</c:v>
                </c:pt>
                <c:pt idx="133">
                  <c:v>53.46</c:v>
                </c:pt>
                <c:pt idx="134">
                  <c:v>53.92</c:v>
                </c:pt>
                <c:pt idx="135">
                  <c:v>54.4</c:v>
                </c:pt>
                <c:pt idx="136">
                  <c:v>54.89</c:v>
                </c:pt>
                <c:pt idx="137">
                  <c:v>55.39</c:v>
                </c:pt>
                <c:pt idx="138">
                  <c:v>55.88</c:v>
                </c:pt>
                <c:pt idx="139">
                  <c:v>56.38</c:v>
                </c:pt>
                <c:pt idx="140">
                  <c:v>56.88</c:v>
                </c:pt>
                <c:pt idx="141">
                  <c:v>57.38</c:v>
                </c:pt>
                <c:pt idx="142">
                  <c:v>57.89</c:v>
                </c:pt>
                <c:pt idx="143">
                  <c:v>58.39</c:v>
                </c:pt>
                <c:pt idx="144">
                  <c:v>58.89</c:v>
                </c:pt>
                <c:pt idx="145">
                  <c:v>59.4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E11-4DC0-ACDC-BA33DC4A516F}"/>
            </c:ext>
          </c:extLst>
        </c:ser>
        <c:ser>
          <c:idx val="5"/>
          <c:order val="5"/>
          <c:tx>
            <c:strRef>
              <c:f>'Все-20K'!$G$3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'Все-20K'!$G$4:$G$149</c:f>
              <c:numCache>
                <c:formatCode>0.0</c:formatCode>
                <c:ptCount val="146"/>
                <c:pt idx="55">
                  <c:v>13</c:v>
                </c:pt>
                <c:pt idx="56">
                  <c:v>13.1</c:v>
                </c:pt>
                <c:pt idx="57">
                  <c:v>13.2</c:v>
                </c:pt>
                <c:pt idx="58">
                  <c:v>13.3</c:v>
                </c:pt>
                <c:pt idx="59">
                  <c:v>13.4</c:v>
                </c:pt>
                <c:pt idx="60">
                  <c:v>13.5</c:v>
                </c:pt>
                <c:pt idx="61">
                  <c:v>13.6</c:v>
                </c:pt>
                <c:pt idx="62">
                  <c:v>13.7</c:v>
                </c:pt>
                <c:pt idx="63">
                  <c:v>13.8</c:v>
                </c:pt>
                <c:pt idx="64">
                  <c:v>13.9</c:v>
                </c:pt>
                <c:pt idx="65">
                  <c:v>14</c:v>
                </c:pt>
                <c:pt idx="66">
                  <c:v>14.09</c:v>
                </c:pt>
                <c:pt idx="67">
                  <c:v>14.18</c:v>
                </c:pt>
                <c:pt idx="68">
                  <c:v>14.25</c:v>
                </c:pt>
                <c:pt idx="69">
                  <c:v>14.33</c:v>
                </c:pt>
                <c:pt idx="70">
                  <c:v>14.41</c:v>
                </c:pt>
                <c:pt idx="71">
                  <c:v>14.49</c:v>
                </c:pt>
                <c:pt idx="72">
                  <c:v>14.59</c:v>
                </c:pt>
                <c:pt idx="73">
                  <c:v>14.7</c:v>
                </c:pt>
                <c:pt idx="74">
                  <c:v>14.84</c:v>
                </c:pt>
                <c:pt idx="75">
                  <c:v>15</c:v>
                </c:pt>
                <c:pt idx="76">
                  <c:v>15.27</c:v>
                </c:pt>
                <c:pt idx="77">
                  <c:v>15.73</c:v>
                </c:pt>
                <c:pt idx="78">
                  <c:v>16.329999999999998</c:v>
                </c:pt>
                <c:pt idx="79">
                  <c:v>17.04</c:v>
                </c:pt>
                <c:pt idx="80">
                  <c:v>17.84</c:v>
                </c:pt>
                <c:pt idx="81">
                  <c:v>18.7</c:v>
                </c:pt>
                <c:pt idx="82">
                  <c:v>19.57</c:v>
                </c:pt>
                <c:pt idx="83">
                  <c:v>20.43</c:v>
                </c:pt>
                <c:pt idx="84">
                  <c:v>21.25</c:v>
                </c:pt>
                <c:pt idx="85">
                  <c:v>22</c:v>
                </c:pt>
                <c:pt idx="86">
                  <c:v>22.68</c:v>
                </c:pt>
                <c:pt idx="87">
                  <c:v>23.34</c:v>
                </c:pt>
                <c:pt idx="88">
                  <c:v>23.99</c:v>
                </c:pt>
                <c:pt idx="89">
                  <c:v>24.63</c:v>
                </c:pt>
                <c:pt idx="90">
                  <c:v>25.28</c:v>
                </c:pt>
                <c:pt idx="91">
                  <c:v>25.95</c:v>
                </c:pt>
                <c:pt idx="92">
                  <c:v>26.64</c:v>
                </c:pt>
                <c:pt idx="93">
                  <c:v>27.37</c:v>
                </c:pt>
                <c:pt idx="94">
                  <c:v>28.16</c:v>
                </c:pt>
                <c:pt idx="95">
                  <c:v>29</c:v>
                </c:pt>
                <c:pt idx="96">
                  <c:v>29.93</c:v>
                </c:pt>
                <c:pt idx="97">
                  <c:v>30.97</c:v>
                </c:pt>
                <c:pt idx="98">
                  <c:v>32.08</c:v>
                </c:pt>
                <c:pt idx="99">
                  <c:v>33.26</c:v>
                </c:pt>
                <c:pt idx="100">
                  <c:v>34.49</c:v>
                </c:pt>
                <c:pt idx="101">
                  <c:v>35.74</c:v>
                </c:pt>
                <c:pt idx="102">
                  <c:v>37.01</c:v>
                </c:pt>
                <c:pt idx="103">
                  <c:v>38.270000000000003</c:v>
                </c:pt>
                <c:pt idx="104">
                  <c:v>39.51</c:v>
                </c:pt>
                <c:pt idx="105">
                  <c:v>40.700000000000003</c:v>
                </c:pt>
                <c:pt idx="106">
                  <c:v>41.89</c:v>
                </c:pt>
                <c:pt idx="107">
                  <c:v>43.13</c:v>
                </c:pt>
                <c:pt idx="108">
                  <c:v>44.39</c:v>
                </c:pt>
                <c:pt idx="109">
                  <c:v>45.65</c:v>
                </c:pt>
                <c:pt idx="110">
                  <c:v>46.9</c:v>
                </c:pt>
                <c:pt idx="111">
                  <c:v>48.12</c:v>
                </c:pt>
                <c:pt idx="112">
                  <c:v>49.29</c:v>
                </c:pt>
                <c:pt idx="113">
                  <c:v>50.39</c:v>
                </c:pt>
                <c:pt idx="114">
                  <c:v>51.4</c:v>
                </c:pt>
                <c:pt idx="115">
                  <c:v>52.3</c:v>
                </c:pt>
                <c:pt idx="116">
                  <c:v>53.11</c:v>
                </c:pt>
                <c:pt idx="117">
                  <c:v>53.87</c:v>
                </c:pt>
                <c:pt idx="118">
                  <c:v>54.58</c:v>
                </c:pt>
                <c:pt idx="119">
                  <c:v>55.25</c:v>
                </c:pt>
                <c:pt idx="120">
                  <c:v>55.89</c:v>
                </c:pt>
                <c:pt idx="121">
                  <c:v>56.5</c:v>
                </c:pt>
                <c:pt idx="122">
                  <c:v>57.11</c:v>
                </c:pt>
                <c:pt idx="123">
                  <c:v>57.7</c:v>
                </c:pt>
                <c:pt idx="124">
                  <c:v>58.3</c:v>
                </c:pt>
                <c:pt idx="125">
                  <c:v>58.9</c:v>
                </c:pt>
                <c:pt idx="126">
                  <c:v>59.5</c:v>
                </c:pt>
                <c:pt idx="127">
                  <c:v>60.09</c:v>
                </c:pt>
                <c:pt idx="128">
                  <c:v>60.66</c:v>
                </c:pt>
                <c:pt idx="129">
                  <c:v>61.23</c:v>
                </c:pt>
                <c:pt idx="130">
                  <c:v>61.78</c:v>
                </c:pt>
                <c:pt idx="131">
                  <c:v>62.34</c:v>
                </c:pt>
                <c:pt idx="132">
                  <c:v>62.89</c:v>
                </c:pt>
                <c:pt idx="133">
                  <c:v>63.45</c:v>
                </c:pt>
                <c:pt idx="134">
                  <c:v>64.02</c:v>
                </c:pt>
                <c:pt idx="135">
                  <c:v>64.599999999999994</c:v>
                </c:pt>
                <c:pt idx="136">
                  <c:v>65.19</c:v>
                </c:pt>
                <c:pt idx="137">
                  <c:v>65.78</c:v>
                </c:pt>
                <c:pt idx="138">
                  <c:v>66.37</c:v>
                </c:pt>
                <c:pt idx="139">
                  <c:v>66.97</c:v>
                </c:pt>
                <c:pt idx="140">
                  <c:v>67.569999999999993</c:v>
                </c:pt>
                <c:pt idx="141">
                  <c:v>68.17</c:v>
                </c:pt>
                <c:pt idx="142">
                  <c:v>68.78</c:v>
                </c:pt>
                <c:pt idx="143">
                  <c:v>69.39</c:v>
                </c:pt>
                <c:pt idx="144">
                  <c:v>69.989999999999995</c:v>
                </c:pt>
                <c:pt idx="145">
                  <c:v>70.599999999999994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E11-4DC0-ACDC-BA33DC4A516F}"/>
            </c:ext>
          </c:extLst>
        </c:ser>
        <c:ser>
          <c:idx val="6"/>
          <c:order val="6"/>
          <c:tx>
            <c:strRef>
              <c:f>'Все-20K'!$H$3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'Все-20K'!$H$4:$H$149</c:f>
              <c:numCache>
                <c:formatCode>0.0</c:formatCode>
                <c:ptCount val="146"/>
                <c:pt idx="55">
                  <c:v>11</c:v>
                </c:pt>
                <c:pt idx="56">
                  <c:v>11.13</c:v>
                </c:pt>
                <c:pt idx="57">
                  <c:v>11.27</c:v>
                </c:pt>
                <c:pt idx="58">
                  <c:v>11.42</c:v>
                </c:pt>
                <c:pt idx="59">
                  <c:v>11.57</c:v>
                </c:pt>
                <c:pt idx="60">
                  <c:v>11.75</c:v>
                </c:pt>
                <c:pt idx="61">
                  <c:v>11.94</c:v>
                </c:pt>
                <c:pt idx="62">
                  <c:v>12.16</c:v>
                </c:pt>
                <c:pt idx="63">
                  <c:v>12.41</c:v>
                </c:pt>
                <c:pt idx="64">
                  <c:v>12.69</c:v>
                </c:pt>
                <c:pt idx="65">
                  <c:v>13</c:v>
                </c:pt>
                <c:pt idx="66">
                  <c:v>13.68</c:v>
                </c:pt>
                <c:pt idx="67">
                  <c:v>14.88</c:v>
                </c:pt>
                <c:pt idx="68">
                  <c:v>16.3</c:v>
                </c:pt>
                <c:pt idx="69">
                  <c:v>17.670000000000002</c:v>
                </c:pt>
                <c:pt idx="70">
                  <c:v>18.690000000000001</c:v>
                </c:pt>
                <c:pt idx="71">
                  <c:v>19.100000000000001</c:v>
                </c:pt>
                <c:pt idx="72">
                  <c:v>19</c:v>
                </c:pt>
                <c:pt idx="73">
                  <c:v>18.75</c:v>
                </c:pt>
                <c:pt idx="74">
                  <c:v>18.45</c:v>
                </c:pt>
                <c:pt idx="75">
                  <c:v>18.2</c:v>
                </c:pt>
                <c:pt idx="76">
                  <c:v>18.100000000000001</c:v>
                </c:pt>
                <c:pt idx="77">
                  <c:v>18.63</c:v>
                </c:pt>
                <c:pt idx="78">
                  <c:v>20.100000000000001</c:v>
                </c:pt>
                <c:pt idx="79">
                  <c:v>22.28</c:v>
                </c:pt>
                <c:pt idx="80">
                  <c:v>24.97</c:v>
                </c:pt>
                <c:pt idx="81">
                  <c:v>27.96</c:v>
                </c:pt>
                <c:pt idx="82">
                  <c:v>31.04</c:v>
                </c:pt>
                <c:pt idx="83">
                  <c:v>34</c:v>
                </c:pt>
                <c:pt idx="84">
                  <c:v>36.619999999999997</c:v>
                </c:pt>
                <c:pt idx="85">
                  <c:v>38.700000000000003</c:v>
                </c:pt>
                <c:pt idx="86">
                  <c:v>40.39</c:v>
                </c:pt>
                <c:pt idx="87">
                  <c:v>41.99</c:v>
                </c:pt>
                <c:pt idx="88">
                  <c:v>43.52</c:v>
                </c:pt>
                <c:pt idx="89">
                  <c:v>44.97</c:v>
                </c:pt>
                <c:pt idx="90">
                  <c:v>46.36</c:v>
                </c:pt>
                <c:pt idx="91">
                  <c:v>47.7</c:v>
                </c:pt>
                <c:pt idx="92">
                  <c:v>49</c:v>
                </c:pt>
                <c:pt idx="93">
                  <c:v>50.26</c:v>
                </c:pt>
                <c:pt idx="94">
                  <c:v>51.49</c:v>
                </c:pt>
                <c:pt idx="95">
                  <c:v>52.7</c:v>
                </c:pt>
                <c:pt idx="96">
                  <c:v>53.9</c:v>
                </c:pt>
                <c:pt idx="97">
                  <c:v>55.07</c:v>
                </c:pt>
                <c:pt idx="98">
                  <c:v>56.22</c:v>
                </c:pt>
                <c:pt idx="99">
                  <c:v>57.35</c:v>
                </c:pt>
                <c:pt idx="100">
                  <c:v>58.44</c:v>
                </c:pt>
                <c:pt idx="101">
                  <c:v>59.49</c:v>
                </c:pt>
                <c:pt idx="102">
                  <c:v>60.51</c:v>
                </c:pt>
                <c:pt idx="103">
                  <c:v>61.49</c:v>
                </c:pt>
                <c:pt idx="104">
                  <c:v>62.42</c:v>
                </c:pt>
                <c:pt idx="105">
                  <c:v>63.3</c:v>
                </c:pt>
                <c:pt idx="106">
                  <c:v>64.180000000000007</c:v>
                </c:pt>
                <c:pt idx="107">
                  <c:v>65.08</c:v>
                </c:pt>
                <c:pt idx="108">
                  <c:v>65.989999999999995</c:v>
                </c:pt>
                <c:pt idx="109">
                  <c:v>66.87</c:v>
                </c:pt>
                <c:pt idx="110">
                  <c:v>67.709999999999994</c:v>
                </c:pt>
                <c:pt idx="111">
                  <c:v>68.489999999999995</c:v>
                </c:pt>
                <c:pt idx="112">
                  <c:v>69.180000000000007</c:v>
                </c:pt>
                <c:pt idx="113">
                  <c:v>69.760000000000005</c:v>
                </c:pt>
                <c:pt idx="114">
                  <c:v>70.209999999999994</c:v>
                </c:pt>
                <c:pt idx="115">
                  <c:v>70.5</c:v>
                </c:pt>
                <c:pt idx="116">
                  <c:v>70.69</c:v>
                </c:pt>
                <c:pt idx="117">
                  <c:v>70.84</c:v>
                </c:pt>
                <c:pt idx="118">
                  <c:v>70.959999999999994</c:v>
                </c:pt>
                <c:pt idx="119">
                  <c:v>71.06</c:v>
                </c:pt>
                <c:pt idx="120">
                  <c:v>71.150000000000006</c:v>
                </c:pt>
                <c:pt idx="121">
                  <c:v>71.239999999999995</c:v>
                </c:pt>
                <c:pt idx="122">
                  <c:v>71.33</c:v>
                </c:pt>
                <c:pt idx="123">
                  <c:v>71.430000000000007</c:v>
                </c:pt>
                <c:pt idx="124">
                  <c:v>71.55</c:v>
                </c:pt>
                <c:pt idx="125">
                  <c:v>71.7</c:v>
                </c:pt>
                <c:pt idx="126">
                  <c:v>71.88</c:v>
                </c:pt>
                <c:pt idx="127">
                  <c:v>72.08</c:v>
                </c:pt>
                <c:pt idx="128">
                  <c:v>72.31</c:v>
                </c:pt>
                <c:pt idx="129">
                  <c:v>72.56</c:v>
                </c:pt>
                <c:pt idx="130">
                  <c:v>72.819999999999993</c:v>
                </c:pt>
                <c:pt idx="131">
                  <c:v>73.099999999999994</c:v>
                </c:pt>
                <c:pt idx="132">
                  <c:v>73.39</c:v>
                </c:pt>
                <c:pt idx="133">
                  <c:v>73.69</c:v>
                </c:pt>
                <c:pt idx="134">
                  <c:v>73.989999999999995</c:v>
                </c:pt>
                <c:pt idx="135">
                  <c:v>74.3</c:v>
                </c:pt>
                <c:pt idx="136">
                  <c:v>74.61</c:v>
                </c:pt>
                <c:pt idx="137">
                  <c:v>74.95</c:v>
                </c:pt>
                <c:pt idx="138">
                  <c:v>75.290000000000006</c:v>
                </c:pt>
                <c:pt idx="139">
                  <c:v>75.66</c:v>
                </c:pt>
                <c:pt idx="140">
                  <c:v>76.03</c:v>
                </c:pt>
                <c:pt idx="141">
                  <c:v>76.41</c:v>
                </c:pt>
                <c:pt idx="142">
                  <c:v>76.8</c:v>
                </c:pt>
                <c:pt idx="143">
                  <c:v>77.2</c:v>
                </c:pt>
                <c:pt idx="144">
                  <c:v>77.599999999999994</c:v>
                </c:pt>
                <c:pt idx="145">
                  <c:v>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E11-4DC0-ACDC-BA33DC4A516F}"/>
            </c:ext>
          </c:extLst>
        </c:ser>
        <c:ser>
          <c:idx val="9"/>
          <c:order val="9"/>
          <c:tx>
            <c:strRef>
              <c:f>'Все-20K'!$K$3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'Все-20K'!$K$4:$K$149</c:f>
              <c:numCache>
                <c:formatCode>0.0</c:formatCode>
                <c:ptCount val="146"/>
                <c:pt idx="75">
                  <c:v>5.8</c:v>
                </c:pt>
                <c:pt idx="76">
                  <c:v>6.67</c:v>
                </c:pt>
                <c:pt idx="77">
                  <c:v>7.54</c:v>
                </c:pt>
                <c:pt idx="78">
                  <c:v>8.4</c:v>
                </c:pt>
                <c:pt idx="79">
                  <c:v>9.25</c:v>
                </c:pt>
                <c:pt idx="80">
                  <c:v>10.08</c:v>
                </c:pt>
                <c:pt idx="81">
                  <c:v>10.88</c:v>
                </c:pt>
                <c:pt idx="82">
                  <c:v>11.66</c:v>
                </c:pt>
                <c:pt idx="83">
                  <c:v>12.41</c:v>
                </c:pt>
                <c:pt idx="84">
                  <c:v>13.13</c:v>
                </c:pt>
                <c:pt idx="85">
                  <c:v>13.8</c:v>
                </c:pt>
                <c:pt idx="86">
                  <c:v>14.45</c:v>
                </c:pt>
                <c:pt idx="87">
                  <c:v>15.08</c:v>
                </c:pt>
                <c:pt idx="88">
                  <c:v>15.71</c:v>
                </c:pt>
                <c:pt idx="89">
                  <c:v>16.309999999999999</c:v>
                </c:pt>
                <c:pt idx="90">
                  <c:v>16.89</c:v>
                </c:pt>
                <c:pt idx="91">
                  <c:v>17.440000000000001</c:v>
                </c:pt>
                <c:pt idx="92">
                  <c:v>17.96</c:v>
                </c:pt>
                <c:pt idx="93">
                  <c:v>18.45</c:v>
                </c:pt>
                <c:pt idx="94">
                  <c:v>18.899999999999999</c:v>
                </c:pt>
                <c:pt idx="95">
                  <c:v>19.3</c:v>
                </c:pt>
                <c:pt idx="96">
                  <c:v>19.690000000000001</c:v>
                </c:pt>
                <c:pt idx="97">
                  <c:v>20.09</c:v>
                </c:pt>
                <c:pt idx="98">
                  <c:v>20.48</c:v>
                </c:pt>
                <c:pt idx="99">
                  <c:v>20.87</c:v>
                </c:pt>
                <c:pt idx="100">
                  <c:v>21.22</c:v>
                </c:pt>
                <c:pt idx="101">
                  <c:v>21.54</c:v>
                </c:pt>
                <c:pt idx="102">
                  <c:v>21.81</c:v>
                </c:pt>
                <c:pt idx="103">
                  <c:v>22.02</c:v>
                </c:pt>
                <c:pt idx="104">
                  <c:v>22.15</c:v>
                </c:pt>
                <c:pt idx="105">
                  <c:v>22.2</c:v>
                </c:pt>
                <c:pt idx="106">
                  <c:v>22.19</c:v>
                </c:pt>
                <c:pt idx="107">
                  <c:v>22.18</c:v>
                </c:pt>
                <c:pt idx="108">
                  <c:v>22.16</c:v>
                </c:pt>
                <c:pt idx="109">
                  <c:v>22.13</c:v>
                </c:pt>
                <c:pt idx="110">
                  <c:v>22.1</c:v>
                </c:pt>
                <c:pt idx="111">
                  <c:v>22.07</c:v>
                </c:pt>
                <c:pt idx="112">
                  <c:v>22.04</c:v>
                </c:pt>
                <c:pt idx="113">
                  <c:v>22.02</c:v>
                </c:pt>
                <c:pt idx="114">
                  <c:v>22.01</c:v>
                </c:pt>
                <c:pt idx="115">
                  <c:v>22</c:v>
                </c:pt>
                <c:pt idx="116">
                  <c:v>22.02</c:v>
                </c:pt>
                <c:pt idx="117">
                  <c:v>22.09</c:v>
                </c:pt>
                <c:pt idx="118">
                  <c:v>22.19</c:v>
                </c:pt>
                <c:pt idx="119">
                  <c:v>22.34</c:v>
                </c:pt>
                <c:pt idx="120">
                  <c:v>22.51</c:v>
                </c:pt>
                <c:pt idx="121">
                  <c:v>22.71</c:v>
                </c:pt>
                <c:pt idx="122">
                  <c:v>22.93</c:v>
                </c:pt>
                <c:pt idx="123">
                  <c:v>23.17</c:v>
                </c:pt>
                <c:pt idx="124">
                  <c:v>23.43</c:v>
                </c:pt>
                <c:pt idx="125">
                  <c:v>23.7</c:v>
                </c:pt>
                <c:pt idx="126">
                  <c:v>24.04</c:v>
                </c:pt>
                <c:pt idx="127">
                  <c:v>24.49</c:v>
                </c:pt>
                <c:pt idx="128">
                  <c:v>25.04</c:v>
                </c:pt>
                <c:pt idx="129">
                  <c:v>25.68</c:v>
                </c:pt>
                <c:pt idx="130">
                  <c:v>26.4</c:v>
                </c:pt>
                <c:pt idx="131">
                  <c:v>27.18</c:v>
                </c:pt>
                <c:pt idx="132">
                  <c:v>28.02</c:v>
                </c:pt>
                <c:pt idx="133">
                  <c:v>28.89</c:v>
                </c:pt>
                <c:pt idx="134">
                  <c:v>29.79</c:v>
                </c:pt>
                <c:pt idx="135">
                  <c:v>30.7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E11-4DC0-ACDC-BA33DC4A516F}"/>
            </c:ext>
          </c:extLst>
        </c:ser>
        <c:ser>
          <c:idx val="10"/>
          <c:order val="10"/>
          <c:tx>
            <c:strRef>
              <c:f>'Все-20K'!$L$3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'Все-20K'!$L$4:$L$149</c:f>
              <c:numCache>
                <c:formatCode>0.0</c:formatCode>
                <c:ptCount val="146"/>
                <c:pt idx="75">
                  <c:v>6.1</c:v>
                </c:pt>
                <c:pt idx="76">
                  <c:v>6.14</c:v>
                </c:pt>
                <c:pt idx="77">
                  <c:v>6.19</c:v>
                </c:pt>
                <c:pt idx="78">
                  <c:v>6.24</c:v>
                </c:pt>
                <c:pt idx="79">
                  <c:v>6.29</c:v>
                </c:pt>
                <c:pt idx="80">
                  <c:v>6.35</c:v>
                </c:pt>
                <c:pt idx="81">
                  <c:v>6.42</c:v>
                </c:pt>
                <c:pt idx="82">
                  <c:v>6.5</c:v>
                </c:pt>
                <c:pt idx="83">
                  <c:v>6.59</c:v>
                </c:pt>
                <c:pt idx="84">
                  <c:v>6.69</c:v>
                </c:pt>
                <c:pt idx="85">
                  <c:v>6.8</c:v>
                </c:pt>
                <c:pt idx="86">
                  <c:v>6.97</c:v>
                </c:pt>
                <c:pt idx="87">
                  <c:v>7.25</c:v>
                </c:pt>
                <c:pt idx="88">
                  <c:v>7.61</c:v>
                </c:pt>
                <c:pt idx="89">
                  <c:v>8.0399999999999991</c:v>
                </c:pt>
                <c:pt idx="90">
                  <c:v>8.5299999999999994</c:v>
                </c:pt>
                <c:pt idx="91">
                  <c:v>9.07</c:v>
                </c:pt>
                <c:pt idx="92">
                  <c:v>9.65</c:v>
                </c:pt>
                <c:pt idx="93">
                  <c:v>10.26</c:v>
                </c:pt>
                <c:pt idx="94">
                  <c:v>10.88</c:v>
                </c:pt>
                <c:pt idx="95">
                  <c:v>11.5</c:v>
                </c:pt>
                <c:pt idx="96">
                  <c:v>12.18</c:v>
                </c:pt>
                <c:pt idx="97">
                  <c:v>12.96</c:v>
                </c:pt>
                <c:pt idx="98">
                  <c:v>13.84</c:v>
                </c:pt>
                <c:pt idx="99">
                  <c:v>14.77</c:v>
                </c:pt>
                <c:pt idx="100">
                  <c:v>15.75</c:v>
                </c:pt>
                <c:pt idx="101">
                  <c:v>16.75</c:v>
                </c:pt>
                <c:pt idx="102">
                  <c:v>17.739999999999998</c:v>
                </c:pt>
                <c:pt idx="103">
                  <c:v>18.71</c:v>
                </c:pt>
                <c:pt idx="104">
                  <c:v>19.64</c:v>
                </c:pt>
                <c:pt idx="105">
                  <c:v>20.5</c:v>
                </c:pt>
                <c:pt idx="106">
                  <c:v>21.34</c:v>
                </c:pt>
                <c:pt idx="107">
                  <c:v>22.22</c:v>
                </c:pt>
                <c:pt idx="108">
                  <c:v>23.1</c:v>
                </c:pt>
                <c:pt idx="109">
                  <c:v>23.99</c:v>
                </c:pt>
                <c:pt idx="110">
                  <c:v>24.84</c:v>
                </c:pt>
                <c:pt idx="111">
                  <c:v>25.65</c:v>
                </c:pt>
                <c:pt idx="112">
                  <c:v>26.39</c:v>
                </c:pt>
                <c:pt idx="113">
                  <c:v>27.04</c:v>
                </c:pt>
                <c:pt idx="114">
                  <c:v>27.58</c:v>
                </c:pt>
                <c:pt idx="115">
                  <c:v>28</c:v>
                </c:pt>
                <c:pt idx="116">
                  <c:v>28.33</c:v>
                </c:pt>
                <c:pt idx="117">
                  <c:v>28.62</c:v>
                </c:pt>
                <c:pt idx="118">
                  <c:v>28.88</c:v>
                </c:pt>
                <c:pt idx="119">
                  <c:v>29.12</c:v>
                </c:pt>
                <c:pt idx="120">
                  <c:v>29.33</c:v>
                </c:pt>
                <c:pt idx="121">
                  <c:v>29.53</c:v>
                </c:pt>
                <c:pt idx="122">
                  <c:v>29.71</c:v>
                </c:pt>
                <c:pt idx="123">
                  <c:v>29.88</c:v>
                </c:pt>
                <c:pt idx="124">
                  <c:v>30.04</c:v>
                </c:pt>
                <c:pt idx="125">
                  <c:v>30.2</c:v>
                </c:pt>
                <c:pt idx="126">
                  <c:v>30.36</c:v>
                </c:pt>
                <c:pt idx="127">
                  <c:v>30.52</c:v>
                </c:pt>
                <c:pt idx="128">
                  <c:v>30.7</c:v>
                </c:pt>
                <c:pt idx="129">
                  <c:v>30.89</c:v>
                </c:pt>
                <c:pt idx="130">
                  <c:v>31.09</c:v>
                </c:pt>
                <c:pt idx="131">
                  <c:v>31.31</c:v>
                </c:pt>
                <c:pt idx="132">
                  <c:v>31.56</c:v>
                </c:pt>
                <c:pt idx="133">
                  <c:v>31.84</c:v>
                </c:pt>
                <c:pt idx="134">
                  <c:v>32.15</c:v>
                </c:pt>
                <c:pt idx="135">
                  <c:v>32.5</c:v>
                </c:pt>
                <c:pt idx="136">
                  <c:v>32.96</c:v>
                </c:pt>
                <c:pt idx="137">
                  <c:v>33.58</c:v>
                </c:pt>
                <c:pt idx="138">
                  <c:v>34.36</c:v>
                </c:pt>
                <c:pt idx="139">
                  <c:v>35.26</c:v>
                </c:pt>
                <c:pt idx="140">
                  <c:v>36.28</c:v>
                </c:pt>
                <c:pt idx="141">
                  <c:v>37.39</c:v>
                </c:pt>
                <c:pt idx="142">
                  <c:v>38.58</c:v>
                </c:pt>
                <c:pt idx="143">
                  <c:v>39.82</c:v>
                </c:pt>
                <c:pt idx="144">
                  <c:v>41.1</c:v>
                </c:pt>
                <c:pt idx="145">
                  <c:v>42.4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E11-4DC0-ACDC-BA33DC4A516F}"/>
            </c:ext>
          </c:extLst>
        </c:ser>
        <c:ser>
          <c:idx val="12"/>
          <c:order val="12"/>
          <c:tx>
            <c:strRef>
              <c:f>'Все-20K'!$N$3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'Все-20K'!$N$4:$N$149</c:f>
              <c:numCache>
                <c:formatCode>0.0</c:formatCode>
                <c:ptCount val="146"/>
                <c:pt idx="55">
                  <c:v>5.4</c:v>
                </c:pt>
                <c:pt idx="56">
                  <c:v>5.49</c:v>
                </c:pt>
                <c:pt idx="57">
                  <c:v>5.58</c:v>
                </c:pt>
                <c:pt idx="58">
                  <c:v>5.67</c:v>
                </c:pt>
                <c:pt idx="59">
                  <c:v>5.77</c:v>
                </c:pt>
                <c:pt idx="60">
                  <c:v>5.87</c:v>
                </c:pt>
                <c:pt idx="61">
                  <c:v>5.96</c:v>
                </c:pt>
                <c:pt idx="62">
                  <c:v>6.07</c:v>
                </c:pt>
                <c:pt idx="63">
                  <c:v>6.18</c:v>
                </c:pt>
                <c:pt idx="64">
                  <c:v>6.29</c:v>
                </c:pt>
                <c:pt idx="65">
                  <c:v>6.41</c:v>
                </c:pt>
                <c:pt idx="66">
                  <c:v>6.53</c:v>
                </c:pt>
                <c:pt idx="67">
                  <c:v>6.66</c:v>
                </c:pt>
                <c:pt idx="68">
                  <c:v>6.8</c:v>
                </c:pt>
                <c:pt idx="69">
                  <c:v>6.95</c:v>
                </c:pt>
                <c:pt idx="70">
                  <c:v>7.1</c:v>
                </c:pt>
                <c:pt idx="71">
                  <c:v>7.26</c:v>
                </c:pt>
                <c:pt idx="72">
                  <c:v>7.44</c:v>
                </c:pt>
                <c:pt idx="73">
                  <c:v>7.63</c:v>
                </c:pt>
                <c:pt idx="74">
                  <c:v>7.83</c:v>
                </c:pt>
                <c:pt idx="75">
                  <c:v>8.0500000000000007</c:v>
                </c:pt>
                <c:pt idx="76">
                  <c:v>8.2799999999999994</c:v>
                </c:pt>
                <c:pt idx="77">
                  <c:v>8.5299999999999994</c:v>
                </c:pt>
                <c:pt idx="78">
                  <c:v>8.7899999999999991</c:v>
                </c:pt>
                <c:pt idx="79">
                  <c:v>9.07</c:v>
                </c:pt>
                <c:pt idx="80">
                  <c:v>9.36</c:v>
                </c:pt>
                <c:pt idx="81">
                  <c:v>9.67</c:v>
                </c:pt>
                <c:pt idx="82">
                  <c:v>10</c:v>
                </c:pt>
                <c:pt idx="83">
                  <c:v>10.35</c:v>
                </c:pt>
                <c:pt idx="84">
                  <c:v>10.72</c:v>
                </c:pt>
                <c:pt idx="85">
                  <c:v>11.1</c:v>
                </c:pt>
                <c:pt idx="86">
                  <c:v>11.55</c:v>
                </c:pt>
                <c:pt idx="87">
                  <c:v>12.1</c:v>
                </c:pt>
                <c:pt idx="88">
                  <c:v>12.74</c:v>
                </c:pt>
                <c:pt idx="89">
                  <c:v>13.46</c:v>
                </c:pt>
                <c:pt idx="90">
                  <c:v>14.24</c:v>
                </c:pt>
                <c:pt idx="91">
                  <c:v>15.07</c:v>
                </c:pt>
                <c:pt idx="92">
                  <c:v>15.95</c:v>
                </c:pt>
                <c:pt idx="93">
                  <c:v>16.850000000000001</c:v>
                </c:pt>
                <c:pt idx="94">
                  <c:v>17.77</c:v>
                </c:pt>
                <c:pt idx="95">
                  <c:v>18.7</c:v>
                </c:pt>
                <c:pt idx="96">
                  <c:v>19.670000000000002</c:v>
                </c:pt>
                <c:pt idx="97">
                  <c:v>20.74</c:v>
                </c:pt>
                <c:pt idx="98">
                  <c:v>21.88</c:v>
                </c:pt>
                <c:pt idx="99">
                  <c:v>23.07</c:v>
                </c:pt>
                <c:pt idx="100">
                  <c:v>24.31</c:v>
                </c:pt>
                <c:pt idx="101">
                  <c:v>25.56</c:v>
                </c:pt>
                <c:pt idx="102">
                  <c:v>26.83</c:v>
                </c:pt>
                <c:pt idx="103">
                  <c:v>28.08</c:v>
                </c:pt>
                <c:pt idx="104">
                  <c:v>29.31</c:v>
                </c:pt>
                <c:pt idx="105">
                  <c:v>30.5</c:v>
                </c:pt>
                <c:pt idx="106">
                  <c:v>31.71</c:v>
                </c:pt>
                <c:pt idx="107">
                  <c:v>33.01</c:v>
                </c:pt>
                <c:pt idx="108">
                  <c:v>34.340000000000003</c:v>
                </c:pt>
                <c:pt idx="109">
                  <c:v>35.69</c:v>
                </c:pt>
                <c:pt idx="110">
                  <c:v>37.01</c:v>
                </c:pt>
                <c:pt idx="111">
                  <c:v>38.26</c:v>
                </c:pt>
                <c:pt idx="112">
                  <c:v>39.42</c:v>
                </c:pt>
                <c:pt idx="113">
                  <c:v>40.43</c:v>
                </c:pt>
                <c:pt idx="114">
                  <c:v>41.27</c:v>
                </c:pt>
                <c:pt idx="115">
                  <c:v>41.9</c:v>
                </c:pt>
                <c:pt idx="116">
                  <c:v>42.37</c:v>
                </c:pt>
                <c:pt idx="117">
                  <c:v>42.75</c:v>
                </c:pt>
                <c:pt idx="118">
                  <c:v>43.08</c:v>
                </c:pt>
                <c:pt idx="119">
                  <c:v>43.36</c:v>
                </c:pt>
                <c:pt idx="120">
                  <c:v>43.62</c:v>
                </c:pt>
                <c:pt idx="121">
                  <c:v>43.87</c:v>
                </c:pt>
                <c:pt idx="122">
                  <c:v>44.14</c:v>
                </c:pt>
                <c:pt idx="123">
                  <c:v>44.44</c:v>
                </c:pt>
                <c:pt idx="124">
                  <c:v>44.78</c:v>
                </c:pt>
                <c:pt idx="125">
                  <c:v>45.2</c:v>
                </c:pt>
                <c:pt idx="126">
                  <c:v>45.7</c:v>
                </c:pt>
                <c:pt idx="127">
                  <c:v>46.26</c:v>
                </c:pt>
                <c:pt idx="128">
                  <c:v>46.9</c:v>
                </c:pt>
                <c:pt idx="129">
                  <c:v>47.59</c:v>
                </c:pt>
                <c:pt idx="130">
                  <c:v>48.34</c:v>
                </c:pt>
                <c:pt idx="131">
                  <c:v>49.13</c:v>
                </c:pt>
                <c:pt idx="132">
                  <c:v>49.96</c:v>
                </c:pt>
                <c:pt idx="133">
                  <c:v>50.82</c:v>
                </c:pt>
                <c:pt idx="134">
                  <c:v>51.7</c:v>
                </c:pt>
                <c:pt idx="135">
                  <c:v>52.6</c:v>
                </c:pt>
                <c:pt idx="136">
                  <c:v>53.54</c:v>
                </c:pt>
                <c:pt idx="137">
                  <c:v>54.55</c:v>
                </c:pt>
                <c:pt idx="138">
                  <c:v>55.62</c:v>
                </c:pt>
                <c:pt idx="139">
                  <c:v>56.75</c:v>
                </c:pt>
                <c:pt idx="140">
                  <c:v>57.92</c:v>
                </c:pt>
                <c:pt idx="141">
                  <c:v>59.13</c:v>
                </c:pt>
                <c:pt idx="142">
                  <c:v>60.37</c:v>
                </c:pt>
                <c:pt idx="143">
                  <c:v>61.63</c:v>
                </c:pt>
                <c:pt idx="144">
                  <c:v>62.91</c:v>
                </c:pt>
                <c:pt idx="145">
                  <c:v>64.2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E11-4DC0-ACDC-BA33DC4A516F}"/>
            </c:ext>
          </c:extLst>
        </c:ser>
        <c:ser>
          <c:idx val="13"/>
          <c:order val="13"/>
          <c:tx>
            <c:strRef>
              <c:f>'Все-20K'!$O$3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'Все-20K'!$O$4:$O$149</c:f>
              <c:numCache>
                <c:formatCode>0.0</c:formatCode>
                <c:ptCount val="146"/>
                <c:pt idx="55">
                  <c:v>7</c:v>
                </c:pt>
                <c:pt idx="56">
                  <c:v>7.25</c:v>
                </c:pt>
                <c:pt idx="57">
                  <c:v>7.51</c:v>
                </c:pt>
                <c:pt idx="58">
                  <c:v>7.77</c:v>
                </c:pt>
                <c:pt idx="59">
                  <c:v>8.0399999999999991</c:v>
                </c:pt>
                <c:pt idx="60">
                  <c:v>8.32</c:v>
                </c:pt>
                <c:pt idx="61">
                  <c:v>8.61</c:v>
                </c:pt>
                <c:pt idx="62">
                  <c:v>8.93</c:v>
                </c:pt>
                <c:pt idx="63">
                  <c:v>9.26</c:v>
                </c:pt>
                <c:pt idx="64">
                  <c:v>9.6199999999999992</c:v>
                </c:pt>
                <c:pt idx="65">
                  <c:v>10</c:v>
                </c:pt>
                <c:pt idx="66">
                  <c:v>10.44</c:v>
                </c:pt>
                <c:pt idx="67">
                  <c:v>10.95</c:v>
                </c:pt>
                <c:pt idx="68">
                  <c:v>11.52</c:v>
                </c:pt>
                <c:pt idx="69">
                  <c:v>12.13</c:v>
                </c:pt>
                <c:pt idx="70">
                  <c:v>12.77</c:v>
                </c:pt>
                <c:pt idx="71">
                  <c:v>13.42</c:v>
                </c:pt>
                <c:pt idx="72">
                  <c:v>14.07</c:v>
                </c:pt>
                <c:pt idx="73">
                  <c:v>14.7</c:v>
                </c:pt>
                <c:pt idx="74">
                  <c:v>15.3</c:v>
                </c:pt>
                <c:pt idx="75">
                  <c:v>15.88</c:v>
                </c:pt>
                <c:pt idx="76">
                  <c:v>16.45</c:v>
                </c:pt>
                <c:pt idx="77">
                  <c:v>17.02</c:v>
                </c:pt>
                <c:pt idx="78">
                  <c:v>17.59</c:v>
                </c:pt>
                <c:pt idx="79">
                  <c:v>18.170000000000002</c:v>
                </c:pt>
                <c:pt idx="80">
                  <c:v>18.78</c:v>
                </c:pt>
                <c:pt idx="81">
                  <c:v>19.420000000000002</c:v>
                </c:pt>
                <c:pt idx="82">
                  <c:v>20.11</c:v>
                </c:pt>
                <c:pt idx="83">
                  <c:v>20.84</c:v>
                </c:pt>
                <c:pt idx="84">
                  <c:v>21.64</c:v>
                </c:pt>
                <c:pt idx="85">
                  <c:v>22.5</c:v>
                </c:pt>
                <c:pt idx="86">
                  <c:v>23.55</c:v>
                </c:pt>
                <c:pt idx="87">
                  <c:v>24.84</c:v>
                </c:pt>
                <c:pt idx="88">
                  <c:v>26.33</c:v>
                </c:pt>
                <c:pt idx="89">
                  <c:v>27.95</c:v>
                </c:pt>
                <c:pt idx="90">
                  <c:v>29.64</c:v>
                </c:pt>
                <c:pt idx="91">
                  <c:v>31.35</c:v>
                </c:pt>
                <c:pt idx="92">
                  <c:v>33.020000000000003</c:v>
                </c:pt>
                <c:pt idx="93">
                  <c:v>34.590000000000003</c:v>
                </c:pt>
                <c:pt idx="94">
                  <c:v>36</c:v>
                </c:pt>
                <c:pt idx="95">
                  <c:v>37.200000000000003</c:v>
                </c:pt>
                <c:pt idx="96">
                  <c:v>38.22</c:v>
                </c:pt>
                <c:pt idx="97">
                  <c:v>39.159999999999997</c:v>
                </c:pt>
                <c:pt idx="98">
                  <c:v>40.020000000000003</c:v>
                </c:pt>
                <c:pt idx="99">
                  <c:v>40.840000000000003</c:v>
                </c:pt>
                <c:pt idx="100">
                  <c:v>41.62</c:v>
                </c:pt>
                <c:pt idx="101">
                  <c:v>42.39</c:v>
                </c:pt>
                <c:pt idx="102">
                  <c:v>43.15</c:v>
                </c:pt>
                <c:pt idx="103">
                  <c:v>43.93</c:v>
                </c:pt>
                <c:pt idx="104">
                  <c:v>44.74</c:v>
                </c:pt>
                <c:pt idx="105">
                  <c:v>45.6</c:v>
                </c:pt>
                <c:pt idx="106">
                  <c:v>46.54</c:v>
                </c:pt>
                <c:pt idx="107">
                  <c:v>47.55</c:v>
                </c:pt>
                <c:pt idx="108">
                  <c:v>48.6</c:v>
                </c:pt>
                <c:pt idx="109">
                  <c:v>49.68</c:v>
                </c:pt>
                <c:pt idx="110">
                  <c:v>50.75</c:v>
                </c:pt>
                <c:pt idx="111">
                  <c:v>51.79</c:v>
                </c:pt>
                <c:pt idx="112">
                  <c:v>52.77</c:v>
                </c:pt>
                <c:pt idx="113">
                  <c:v>53.66</c:v>
                </c:pt>
                <c:pt idx="114">
                  <c:v>54.45</c:v>
                </c:pt>
                <c:pt idx="115">
                  <c:v>55.1</c:v>
                </c:pt>
                <c:pt idx="116">
                  <c:v>55.64</c:v>
                </c:pt>
                <c:pt idx="117">
                  <c:v>56.11</c:v>
                </c:pt>
                <c:pt idx="118">
                  <c:v>56.52</c:v>
                </c:pt>
                <c:pt idx="119">
                  <c:v>56.91</c:v>
                </c:pt>
                <c:pt idx="120">
                  <c:v>57.27</c:v>
                </c:pt>
                <c:pt idx="121">
                  <c:v>57.61</c:v>
                </c:pt>
                <c:pt idx="122">
                  <c:v>57.97</c:v>
                </c:pt>
                <c:pt idx="123">
                  <c:v>58.34</c:v>
                </c:pt>
                <c:pt idx="124">
                  <c:v>58.75</c:v>
                </c:pt>
                <c:pt idx="125">
                  <c:v>59.2</c:v>
                </c:pt>
                <c:pt idx="126">
                  <c:v>59.75</c:v>
                </c:pt>
                <c:pt idx="127">
                  <c:v>60.42</c:v>
                </c:pt>
                <c:pt idx="128">
                  <c:v>61.16</c:v>
                </c:pt>
                <c:pt idx="129">
                  <c:v>61.93</c:v>
                </c:pt>
                <c:pt idx="130">
                  <c:v>62.7</c:v>
                </c:pt>
                <c:pt idx="131">
                  <c:v>63.42</c:v>
                </c:pt>
                <c:pt idx="132">
                  <c:v>64.05</c:v>
                </c:pt>
                <c:pt idx="133">
                  <c:v>64.55</c:v>
                </c:pt>
                <c:pt idx="134">
                  <c:v>64.88</c:v>
                </c:pt>
                <c:pt idx="135">
                  <c:v>65</c:v>
                </c:pt>
                <c:pt idx="136">
                  <c:v>65</c:v>
                </c:pt>
                <c:pt idx="137">
                  <c:v>64.989999999999995</c:v>
                </c:pt>
                <c:pt idx="138">
                  <c:v>64.989999999999995</c:v>
                </c:pt>
                <c:pt idx="139">
                  <c:v>64.98</c:v>
                </c:pt>
                <c:pt idx="140">
                  <c:v>64.97</c:v>
                </c:pt>
                <c:pt idx="141">
                  <c:v>64.959999999999994</c:v>
                </c:pt>
                <c:pt idx="142">
                  <c:v>64.94</c:v>
                </c:pt>
                <c:pt idx="143">
                  <c:v>64.930000000000007</c:v>
                </c:pt>
                <c:pt idx="144">
                  <c:v>64.91</c:v>
                </c:pt>
                <c:pt idx="145">
                  <c:v>64.900000000000006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E11-4DC0-ACDC-BA33DC4A516F}"/>
            </c:ext>
          </c:extLst>
        </c:ser>
        <c:ser>
          <c:idx val="14"/>
          <c:order val="14"/>
          <c:tx>
            <c:strRef>
              <c:f>'Все-20K'!$P$3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'Все-20K'!$P$4:$P$149</c:f>
              <c:numCache>
                <c:formatCode>0.0</c:formatCode>
                <c:ptCount val="146"/>
                <c:pt idx="62">
                  <c:v>18.899999999999999</c:v>
                </c:pt>
                <c:pt idx="63">
                  <c:v>18.87</c:v>
                </c:pt>
                <c:pt idx="64">
                  <c:v>18.829999999999998</c:v>
                </c:pt>
                <c:pt idx="65">
                  <c:v>18.8</c:v>
                </c:pt>
                <c:pt idx="66">
                  <c:v>18.77</c:v>
                </c:pt>
                <c:pt idx="67">
                  <c:v>18.739999999999998</c:v>
                </c:pt>
                <c:pt idx="68">
                  <c:v>18.71</c:v>
                </c:pt>
                <c:pt idx="69">
                  <c:v>18.68</c:v>
                </c:pt>
                <c:pt idx="70">
                  <c:v>18.649999999999999</c:v>
                </c:pt>
                <c:pt idx="71">
                  <c:v>18.62</c:v>
                </c:pt>
                <c:pt idx="72">
                  <c:v>18.59</c:v>
                </c:pt>
                <c:pt idx="73">
                  <c:v>18.57</c:v>
                </c:pt>
                <c:pt idx="74">
                  <c:v>18.54</c:v>
                </c:pt>
                <c:pt idx="75">
                  <c:v>18.52</c:v>
                </c:pt>
                <c:pt idx="76">
                  <c:v>18.5</c:v>
                </c:pt>
                <c:pt idx="77">
                  <c:v>18.48</c:v>
                </c:pt>
                <c:pt idx="78">
                  <c:v>18.46</c:v>
                </c:pt>
                <c:pt idx="79">
                  <c:v>18.45</c:v>
                </c:pt>
                <c:pt idx="80">
                  <c:v>18.43</c:v>
                </c:pt>
                <c:pt idx="81">
                  <c:v>18.420000000000002</c:v>
                </c:pt>
                <c:pt idx="82">
                  <c:v>18.41</c:v>
                </c:pt>
                <c:pt idx="83">
                  <c:v>18.41</c:v>
                </c:pt>
                <c:pt idx="84">
                  <c:v>18.399999999999999</c:v>
                </c:pt>
                <c:pt idx="85">
                  <c:v>18.399999999999999</c:v>
                </c:pt>
                <c:pt idx="86">
                  <c:v>18.47</c:v>
                </c:pt>
                <c:pt idx="87">
                  <c:v>18.68</c:v>
                </c:pt>
                <c:pt idx="88">
                  <c:v>18.989999999999998</c:v>
                </c:pt>
                <c:pt idx="89">
                  <c:v>19.399999999999999</c:v>
                </c:pt>
                <c:pt idx="90">
                  <c:v>19.89</c:v>
                </c:pt>
                <c:pt idx="91">
                  <c:v>20.43</c:v>
                </c:pt>
                <c:pt idx="92">
                  <c:v>21.02</c:v>
                </c:pt>
                <c:pt idx="93">
                  <c:v>21.62</c:v>
                </c:pt>
                <c:pt idx="94">
                  <c:v>22.22</c:v>
                </c:pt>
                <c:pt idx="95">
                  <c:v>22.8</c:v>
                </c:pt>
                <c:pt idx="96">
                  <c:v>23.44</c:v>
                </c:pt>
                <c:pt idx="97">
                  <c:v>24.22</c:v>
                </c:pt>
                <c:pt idx="98">
                  <c:v>25.09</c:v>
                </c:pt>
                <c:pt idx="99">
                  <c:v>26.01</c:v>
                </c:pt>
                <c:pt idx="100">
                  <c:v>26.96</c:v>
                </c:pt>
                <c:pt idx="101">
                  <c:v>27.9</c:v>
                </c:pt>
                <c:pt idx="102">
                  <c:v>28.79</c:v>
                </c:pt>
                <c:pt idx="103">
                  <c:v>29.59</c:v>
                </c:pt>
                <c:pt idx="104">
                  <c:v>30.27</c:v>
                </c:pt>
                <c:pt idx="105">
                  <c:v>30.8</c:v>
                </c:pt>
                <c:pt idx="106">
                  <c:v>31.2</c:v>
                </c:pt>
                <c:pt idx="107">
                  <c:v>31.53</c:v>
                </c:pt>
                <c:pt idx="108">
                  <c:v>31.82</c:v>
                </c:pt>
                <c:pt idx="109">
                  <c:v>32.07</c:v>
                </c:pt>
                <c:pt idx="110">
                  <c:v>32.31</c:v>
                </c:pt>
                <c:pt idx="111">
                  <c:v>32.54</c:v>
                </c:pt>
                <c:pt idx="112">
                  <c:v>32.79</c:v>
                </c:pt>
                <c:pt idx="113">
                  <c:v>33.07</c:v>
                </c:pt>
                <c:pt idx="114">
                  <c:v>33.409999999999997</c:v>
                </c:pt>
                <c:pt idx="115">
                  <c:v>33.799999999999997</c:v>
                </c:pt>
                <c:pt idx="116">
                  <c:v>34.26</c:v>
                </c:pt>
                <c:pt idx="117">
                  <c:v>34.78</c:v>
                </c:pt>
                <c:pt idx="118">
                  <c:v>35.35</c:v>
                </c:pt>
                <c:pt idx="119">
                  <c:v>35.96</c:v>
                </c:pt>
                <c:pt idx="120">
                  <c:v>36.619999999999997</c:v>
                </c:pt>
                <c:pt idx="121">
                  <c:v>37.32</c:v>
                </c:pt>
                <c:pt idx="122">
                  <c:v>38.06</c:v>
                </c:pt>
                <c:pt idx="123">
                  <c:v>38.83</c:v>
                </c:pt>
                <c:pt idx="124">
                  <c:v>39.630000000000003</c:v>
                </c:pt>
                <c:pt idx="125">
                  <c:v>40.450000000000003</c:v>
                </c:pt>
                <c:pt idx="126">
                  <c:v>41.3</c:v>
                </c:pt>
                <c:pt idx="127">
                  <c:v>42.16</c:v>
                </c:pt>
                <c:pt idx="128">
                  <c:v>43.03</c:v>
                </c:pt>
                <c:pt idx="129">
                  <c:v>43.92</c:v>
                </c:pt>
                <c:pt idx="130">
                  <c:v>44.81</c:v>
                </c:pt>
                <c:pt idx="131">
                  <c:v>45.7</c:v>
                </c:pt>
                <c:pt idx="132">
                  <c:v>46.59</c:v>
                </c:pt>
                <c:pt idx="133">
                  <c:v>47.47</c:v>
                </c:pt>
                <c:pt idx="134">
                  <c:v>48.34</c:v>
                </c:pt>
                <c:pt idx="135">
                  <c:v>49.2</c:v>
                </c:pt>
                <c:pt idx="136">
                  <c:v>50.06</c:v>
                </c:pt>
                <c:pt idx="137">
                  <c:v>50.96</c:v>
                </c:pt>
                <c:pt idx="138">
                  <c:v>51.87</c:v>
                </c:pt>
                <c:pt idx="139">
                  <c:v>52.81</c:v>
                </c:pt>
                <c:pt idx="140">
                  <c:v>53.76</c:v>
                </c:pt>
                <c:pt idx="141">
                  <c:v>54.73</c:v>
                </c:pt>
                <c:pt idx="142">
                  <c:v>55.71</c:v>
                </c:pt>
                <c:pt idx="143">
                  <c:v>56.7</c:v>
                </c:pt>
                <c:pt idx="144">
                  <c:v>57.7</c:v>
                </c:pt>
                <c:pt idx="145">
                  <c:v>58.7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E11-4DC0-ACDC-BA33DC4A516F}"/>
            </c:ext>
          </c:extLst>
        </c:ser>
        <c:ser>
          <c:idx val="15"/>
          <c:order val="15"/>
          <c:tx>
            <c:strRef>
              <c:f>'Все-20K'!$Q$3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'Все-20K'!$Q$4:$Q$149</c:f>
              <c:numCache>
                <c:formatCode>0.0</c:formatCode>
                <c:ptCount val="146"/>
                <c:pt idx="54">
                  <c:v>27.9</c:v>
                </c:pt>
                <c:pt idx="55">
                  <c:v>28.14</c:v>
                </c:pt>
                <c:pt idx="56">
                  <c:v>28.38</c:v>
                </c:pt>
                <c:pt idx="57">
                  <c:v>28.61</c:v>
                </c:pt>
                <c:pt idx="58">
                  <c:v>28.83</c:v>
                </c:pt>
                <c:pt idx="59">
                  <c:v>29.03</c:v>
                </c:pt>
                <c:pt idx="60">
                  <c:v>29.23</c:v>
                </c:pt>
                <c:pt idx="61">
                  <c:v>29.4</c:v>
                </c:pt>
                <c:pt idx="62">
                  <c:v>29.56</c:v>
                </c:pt>
                <c:pt idx="63">
                  <c:v>29.69</c:v>
                </c:pt>
                <c:pt idx="64">
                  <c:v>29.79</c:v>
                </c:pt>
                <c:pt idx="65">
                  <c:v>29.86</c:v>
                </c:pt>
                <c:pt idx="66">
                  <c:v>29.9</c:v>
                </c:pt>
                <c:pt idx="67">
                  <c:v>29.92</c:v>
                </c:pt>
                <c:pt idx="68">
                  <c:v>29.93</c:v>
                </c:pt>
                <c:pt idx="69">
                  <c:v>29.94</c:v>
                </c:pt>
                <c:pt idx="70">
                  <c:v>29.95</c:v>
                </c:pt>
                <c:pt idx="71">
                  <c:v>29.95</c:v>
                </c:pt>
                <c:pt idx="72">
                  <c:v>29.96</c:v>
                </c:pt>
                <c:pt idx="73">
                  <c:v>29.97</c:v>
                </c:pt>
                <c:pt idx="74">
                  <c:v>29.98</c:v>
                </c:pt>
                <c:pt idx="75">
                  <c:v>30</c:v>
                </c:pt>
                <c:pt idx="76">
                  <c:v>30.7</c:v>
                </c:pt>
                <c:pt idx="77">
                  <c:v>32.14</c:v>
                </c:pt>
                <c:pt idx="78">
                  <c:v>33.4</c:v>
                </c:pt>
                <c:pt idx="79">
                  <c:v>34.26</c:v>
                </c:pt>
                <c:pt idx="80">
                  <c:v>35.090000000000003</c:v>
                </c:pt>
                <c:pt idx="81">
                  <c:v>35.89</c:v>
                </c:pt>
                <c:pt idx="82">
                  <c:v>36.619999999999997</c:v>
                </c:pt>
                <c:pt idx="83">
                  <c:v>37.28</c:v>
                </c:pt>
                <c:pt idx="84">
                  <c:v>37.840000000000003</c:v>
                </c:pt>
                <c:pt idx="85">
                  <c:v>38.299999999999997</c:v>
                </c:pt>
                <c:pt idx="86">
                  <c:v>38.68</c:v>
                </c:pt>
                <c:pt idx="87">
                  <c:v>39.03</c:v>
                </c:pt>
                <c:pt idx="88">
                  <c:v>39.36</c:v>
                </c:pt>
                <c:pt idx="89">
                  <c:v>39.67</c:v>
                </c:pt>
                <c:pt idx="90">
                  <c:v>39.96</c:v>
                </c:pt>
                <c:pt idx="91">
                  <c:v>40.229999999999997</c:v>
                </c:pt>
                <c:pt idx="92">
                  <c:v>40.49</c:v>
                </c:pt>
                <c:pt idx="93">
                  <c:v>40.74</c:v>
                </c:pt>
                <c:pt idx="94">
                  <c:v>40.98</c:v>
                </c:pt>
                <c:pt idx="95">
                  <c:v>41.21</c:v>
                </c:pt>
                <c:pt idx="96">
                  <c:v>41.44</c:v>
                </c:pt>
                <c:pt idx="97">
                  <c:v>41.67</c:v>
                </c:pt>
                <c:pt idx="98">
                  <c:v>41.91</c:v>
                </c:pt>
                <c:pt idx="99">
                  <c:v>42.14</c:v>
                </c:pt>
                <c:pt idx="100">
                  <c:v>42.38</c:v>
                </c:pt>
                <c:pt idx="101">
                  <c:v>42.64</c:v>
                </c:pt>
                <c:pt idx="102">
                  <c:v>42.9</c:v>
                </c:pt>
                <c:pt idx="103">
                  <c:v>43.18</c:v>
                </c:pt>
                <c:pt idx="104">
                  <c:v>43.48</c:v>
                </c:pt>
                <c:pt idx="105">
                  <c:v>43.8</c:v>
                </c:pt>
                <c:pt idx="106">
                  <c:v>44.15</c:v>
                </c:pt>
                <c:pt idx="107">
                  <c:v>44.53</c:v>
                </c:pt>
                <c:pt idx="108">
                  <c:v>44.94</c:v>
                </c:pt>
                <c:pt idx="109">
                  <c:v>45.37</c:v>
                </c:pt>
                <c:pt idx="110">
                  <c:v>45.8</c:v>
                </c:pt>
                <c:pt idx="111">
                  <c:v>46.25</c:v>
                </c:pt>
                <c:pt idx="112">
                  <c:v>46.68</c:v>
                </c:pt>
                <c:pt idx="113">
                  <c:v>47.11</c:v>
                </c:pt>
                <c:pt idx="114">
                  <c:v>47.52</c:v>
                </c:pt>
                <c:pt idx="115">
                  <c:v>47.9</c:v>
                </c:pt>
                <c:pt idx="116">
                  <c:v>48.27</c:v>
                </c:pt>
                <c:pt idx="117">
                  <c:v>48.66</c:v>
                </c:pt>
                <c:pt idx="118">
                  <c:v>49.05</c:v>
                </c:pt>
                <c:pt idx="119">
                  <c:v>49.45</c:v>
                </c:pt>
                <c:pt idx="120">
                  <c:v>49.85</c:v>
                </c:pt>
                <c:pt idx="121">
                  <c:v>50.26</c:v>
                </c:pt>
                <c:pt idx="122">
                  <c:v>50.66</c:v>
                </c:pt>
                <c:pt idx="123">
                  <c:v>51.05</c:v>
                </c:pt>
                <c:pt idx="124">
                  <c:v>51.44</c:v>
                </c:pt>
                <c:pt idx="125">
                  <c:v>51.83</c:v>
                </c:pt>
                <c:pt idx="126">
                  <c:v>52.19</c:v>
                </c:pt>
                <c:pt idx="127">
                  <c:v>52.55</c:v>
                </c:pt>
                <c:pt idx="128">
                  <c:v>52.88</c:v>
                </c:pt>
                <c:pt idx="129">
                  <c:v>53.2</c:v>
                </c:pt>
                <c:pt idx="130">
                  <c:v>53.49</c:v>
                </c:pt>
                <c:pt idx="131">
                  <c:v>53.75</c:v>
                </c:pt>
                <c:pt idx="132">
                  <c:v>53.99</c:v>
                </c:pt>
                <c:pt idx="133">
                  <c:v>54.19</c:v>
                </c:pt>
                <c:pt idx="134">
                  <c:v>54.37</c:v>
                </c:pt>
                <c:pt idx="135">
                  <c:v>54.5</c:v>
                </c:pt>
                <c:pt idx="136">
                  <c:v>54.61</c:v>
                </c:pt>
                <c:pt idx="137">
                  <c:v>54.71</c:v>
                </c:pt>
                <c:pt idx="138">
                  <c:v>54.79</c:v>
                </c:pt>
                <c:pt idx="139">
                  <c:v>54.87</c:v>
                </c:pt>
                <c:pt idx="140">
                  <c:v>54.94</c:v>
                </c:pt>
                <c:pt idx="141">
                  <c:v>55</c:v>
                </c:pt>
                <c:pt idx="142">
                  <c:v>55.05</c:v>
                </c:pt>
                <c:pt idx="143">
                  <c:v>55.1</c:v>
                </c:pt>
                <c:pt idx="144">
                  <c:v>55.15</c:v>
                </c:pt>
                <c:pt idx="145">
                  <c:v>55.2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E11-4DC0-ACDC-BA33DC4A516F}"/>
            </c:ext>
          </c:extLst>
        </c:ser>
        <c:ser>
          <c:idx val="16"/>
          <c:order val="16"/>
          <c:tx>
            <c:strRef>
              <c:f>'Все-20K'!$R$3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'Все-20K'!$R$4:$R$149</c:f>
              <c:numCache>
                <c:formatCode>0.0</c:formatCode>
                <c:ptCount val="146"/>
                <c:pt idx="35">
                  <c:v>21.5</c:v>
                </c:pt>
                <c:pt idx="36">
                  <c:v>21.78</c:v>
                </c:pt>
                <c:pt idx="37">
                  <c:v>22.06</c:v>
                </c:pt>
                <c:pt idx="38">
                  <c:v>22.35</c:v>
                </c:pt>
                <c:pt idx="39">
                  <c:v>22.64</c:v>
                </c:pt>
                <c:pt idx="40">
                  <c:v>22.95</c:v>
                </c:pt>
                <c:pt idx="41">
                  <c:v>23.26</c:v>
                </c:pt>
                <c:pt idx="42">
                  <c:v>23.6</c:v>
                </c:pt>
                <c:pt idx="43">
                  <c:v>23.94</c:v>
                </c:pt>
                <c:pt idx="44">
                  <c:v>24.31</c:v>
                </c:pt>
                <c:pt idx="45">
                  <c:v>24.7</c:v>
                </c:pt>
                <c:pt idx="46">
                  <c:v>25.17</c:v>
                </c:pt>
                <c:pt idx="47">
                  <c:v>25.75</c:v>
                </c:pt>
                <c:pt idx="48">
                  <c:v>26.41</c:v>
                </c:pt>
                <c:pt idx="49">
                  <c:v>27.12</c:v>
                </c:pt>
                <c:pt idx="50">
                  <c:v>27.85</c:v>
                </c:pt>
                <c:pt idx="51">
                  <c:v>28.55</c:v>
                </c:pt>
                <c:pt idx="52">
                  <c:v>29.2</c:v>
                </c:pt>
                <c:pt idx="53">
                  <c:v>29.76</c:v>
                </c:pt>
                <c:pt idx="54">
                  <c:v>30.21</c:v>
                </c:pt>
                <c:pt idx="55">
                  <c:v>30.5</c:v>
                </c:pt>
                <c:pt idx="56">
                  <c:v>30.6</c:v>
                </c:pt>
                <c:pt idx="57">
                  <c:v>30.56</c:v>
                </c:pt>
                <c:pt idx="58">
                  <c:v>30.43</c:v>
                </c:pt>
                <c:pt idx="59">
                  <c:v>30.24</c:v>
                </c:pt>
                <c:pt idx="60">
                  <c:v>30</c:v>
                </c:pt>
                <c:pt idx="61">
                  <c:v>29.72</c:v>
                </c:pt>
                <c:pt idx="62">
                  <c:v>29.41</c:v>
                </c:pt>
                <c:pt idx="63">
                  <c:v>29.1</c:v>
                </c:pt>
                <c:pt idx="64">
                  <c:v>28.79</c:v>
                </c:pt>
                <c:pt idx="65">
                  <c:v>28.5</c:v>
                </c:pt>
                <c:pt idx="66">
                  <c:v>28.2</c:v>
                </c:pt>
                <c:pt idx="67">
                  <c:v>27.87</c:v>
                </c:pt>
                <c:pt idx="68">
                  <c:v>27.5</c:v>
                </c:pt>
                <c:pt idx="69">
                  <c:v>27.1</c:v>
                </c:pt>
                <c:pt idx="70">
                  <c:v>26.68</c:v>
                </c:pt>
                <c:pt idx="71">
                  <c:v>26.24</c:v>
                </c:pt>
                <c:pt idx="72">
                  <c:v>25.8</c:v>
                </c:pt>
                <c:pt idx="73">
                  <c:v>25.35</c:v>
                </c:pt>
                <c:pt idx="74">
                  <c:v>24.9</c:v>
                </c:pt>
                <c:pt idx="75">
                  <c:v>24.46</c:v>
                </c:pt>
                <c:pt idx="76">
                  <c:v>24.04</c:v>
                </c:pt>
                <c:pt idx="77">
                  <c:v>23.63</c:v>
                </c:pt>
                <c:pt idx="78">
                  <c:v>23.25</c:v>
                </c:pt>
                <c:pt idx="79">
                  <c:v>22.9</c:v>
                </c:pt>
                <c:pt idx="80">
                  <c:v>22.59</c:v>
                </c:pt>
                <c:pt idx="81">
                  <c:v>22.32</c:v>
                </c:pt>
                <c:pt idx="82">
                  <c:v>22.1</c:v>
                </c:pt>
                <c:pt idx="83">
                  <c:v>21.94</c:v>
                </c:pt>
                <c:pt idx="84">
                  <c:v>21.84</c:v>
                </c:pt>
                <c:pt idx="85">
                  <c:v>21.8</c:v>
                </c:pt>
                <c:pt idx="86">
                  <c:v>21.96</c:v>
                </c:pt>
                <c:pt idx="87">
                  <c:v>22.4</c:v>
                </c:pt>
                <c:pt idx="88">
                  <c:v>23.07</c:v>
                </c:pt>
                <c:pt idx="89">
                  <c:v>23.91</c:v>
                </c:pt>
                <c:pt idx="90">
                  <c:v>24.88</c:v>
                </c:pt>
                <c:pt idx="91">
                  <c:v>25.91</c:v>
                </c:pt>
                <c:pt idx="92">
                  <c:v>26.95</c:v>
                </c:pt>
                <c:pt idx="93">
                  <c:v>27.95</c:v>
                </c:pt>
                <c:pt idx="94">
                  <c:v>28.85</c:v>
                </c:pt>
                <c:pt idx="95">
                  <c:v>29.6</c:v>
                </c:pt>
                <c:pt idx="96">
                  <c:v>30.24</c:v>
                </c:pt>
                <c:pt idx="97">
                  <c:v>30.86</c:v>
                </c:pt>
                <c:pt idx="98">
                  <c:v>31.44</c:v>
                </c:pt>
                <c:pt idx="99">
                  <c:v>32.01</c:v>
                </c:pt>
                <c:pt idx="100">
                  <c:v>32.57</c:v>
                </c:pt>
                <c:pt idx="101">
                  <c:v>33.11</c:v>
                </c:pt>
                <c:pt idx="102">
                  <c:v>33.65</c:v>
                </c:pt>
                <c:pt idx="103">
                  <c:v>34.19</c:v>
                </c:pt>
                <c:pt idx="104">
                  <c:v>34.74</c:v>
                </c:pt>
                <c:pt idx="105">
                  <c:v>35.299999999999997</c:v>
                </c:pt>
                <c:pt idx="106">
                  <c:v>35.880000000000003</c:v>
                </c:pt>
                <c:pt idx="107">
                  <c:v>36.47</c:v>
                </c:pt>
                <c:pt idx="108">
                  <c:v>37.07</c:v>
                </c:pt>
                <c:pt idx="109">
                  <c:v>37.67</c:v>
                </c:pt>
                <c:pt idx="110">
                  <c:v>38.270000000000003</c:v>
                </c:pt>
                <c:pt idx="111">
                  <c:v>38.85</c:v>
                </c:pt>
                <c:pt idx="112">
                  <c:v>39.409999999999997</c:v>
                </c:pt>
                <c:pt idx="113">
                  <c:v>39.950000000000003</c:v>
                </c:pt>
                <c:pt idx="114">
                  <c:v>40.450000000000003</c:v>
                </c:pt>
                <c:pt idx="115">
                  <c:v>40.9</c:v>
                </c:pt>
                <c:pt idx="116">
                  <c:v>41.3</c:v>
                </c:pt>
                <c:pt idx="117">
                  <c:v>41.63</c:v>
                </c:pt>
                <c:pt idx="118">
                  <c:v>41.93</c:v>
                </c:pt>
                <c:pt idx="119">
                  <c:v>42.2</c:v>
                </c:pt>
                <c:pt idx="120">
                  <c:v>42.47</c:v>
                </c:pt>
                <c:pt idx="121">
                  <c:v>42.75</c:v>
                </c:pt>
                <c:pt idx="122">
                  <c:v>43.07</c:v>
                </c:pt>
                <c:pt idx="123">
                  <c:v>43.44</c:v>
                </c:pt>
                <c:pt idx="124">
                  <c:v>43.88</c:v>
                </c:pt>
                <c:pt idx="125">
                  <c:v>44.4</c:v>
                </c:pt>
                <c:pt idx="126">
                  <c:v>45.21</c:v>
                </c:pt>
                <c:pt idx="127">
                  <c:v>46.42</c:v>
                </c:pt>
                <c:pt idx="128">
                  <c:v>47.96</c:v>
                </c:pt>
                <c:pt idx="129">
                  <c:v>49.73</c:v>
                </c:pt>
                <c:pt idx="130">
                  <c:v>51.66</c:v>
                </c:pt>
                <c:pt idx="131">
                  <c:v>53.64</c:v>
                </c:pt>
                <c:pt idx="132">
                  <c:v>55.61</c:v>
                </c:pt>
                <c:pt idx="133">
                  <c:v>57.46</c:v>
                </c:pt>
                <c:pt idx="134">
                  <c:v>59.12</c:v>
                </c:pt>
                <c:pt idx="135">
                  <c:v>60.5</c:v>
                </c:pt>
                <c:pt idx="136">
                  <c:v>61.68</c:v>
                </c:pt>
                <c:pt idx="137">
                  <c:v>62.79</c:v>
                </c:pt>
                <c:pt idx="138">
                  <c:v>63.84</c:v>
                </c:pt>
                <c:pt idx="139">
                  <c:v>64.84</c:v>
                </c:pt>
                <c:pt idx="140">
                  <c:v>65.8</c:v>
                </c:pt>
                <c:pt idx="141">
                  <c:v>66.72</c:v>
                </c:pt>
                <c:pt idx="142">
                  <c:v>67.62</c:v>
                </c:pt>
                <c:pt idx="143">
                  <c:v>68.489999999999995</c:v>
                </c:pt>
                <c:pt idx="144">
                  <c:v>69.349999999999994</c:v>
                </c:pt>
                <c:pt idx="145">
                  <c:v>70.2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E11-4DC0-ACDC-BA33DC4A516F}"/>
            </c:ext>
          </c:extLst>
        </c:ser>
        <c:ser>
          <c:idx val="17"/>
          <c:order val="17"/>
          <c:tx>
            <c:strRef>
              <c:f>'Все-20K'!$S$3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'Все-20K'!$S$4:$S$149</c:f>
              <c:numCache>
                <c:formatCode>0.0</c:formatCode>
                <c:ptCount val="146"/>
                <c:pt idx="55">
                  <c:v>4.4000000000000004</c:v>
                </c:pt>
                <c:pt idx="56">
                  <c:v>4.5</c:v>
                </c:pt>
                <c:pt idx="57">
                  <c:v>4.6100000000000003</c:v>
                </c:pt>
                <c:pt idx="58">
                  <c:v>4.71</c:v>
                </c:pt>
                <c:pt idx="59">
                  <c:v>4.82</c:v>
                </c:pt>
                <c:pt idx="60">
                  <c:v>4.93</c:v>
                </c:pt>
                <c:pt idx="61">
                  <c:v>5.05</c:v>
                </c:pt>
                <c:pt idx="62">
                  <c:v>5.17</c:v>
                </c:pt>
                <c:pt idx="63">
                  <c:v>5.29</c:v>
                </c:pt>
                <c:pt idx="64">
                  <c:v>5.43</c:v>
                </c:pt>
                <c:pt idx="65">
                  <c:v>5.56</c:v>
                </c:pt>
                <c:pt idx="66">
                  <c:v>5.71</c:v>
                </c:pt>
                <c:pt idx="67">
                  <c:v>5.86</c:v>
                </c:pt>
                <c:pt idx="68">
                  <c:v>6.03</c:v>
                </c:pt>
                <c:pt idx="69">
                  <c:v>6.2</c:v>
                </c:pt>
                <c:pt idx="70">
                  <c:v>6.39</c:v>
                </c:pt>
                <c:pt idx="71">
                  <c:v>6.58</c:v>
                </c:pt>
                <c:pt idx="72">
                  <c:v>6.79</c:v>
                </c:pt>
                <c:pt idx="73">
                  <c:v>7.01</c:v>
                </c:pt>
                <c:pt idx="74">
                  <c:v>7.25</c:v>
                </c:pt>
                <c:pt idx="75">
                  <c:v>7.5</c:v>
                </c:pt>
                <c:pt idx="76">
                  <c:v>7.85</c:v>
                </c:pt>
                <c:pt idx="77">
                  <c:v>8.3800000000000008</c:v>
                </c:pt>
                <c:pt idx="78">
                  <c:v>9.0500000000000007</c:v>
                </c:pt>
                <c:pt idx="79">
                  <c:v>9.84</c:v>
                </c:pt>
                <c:pt idx="80">
                  <c:v>10.7</c:v>
                </c:pt>
                <c:pt idx="81">
                  <c:v>11.62</c:v>
                </c:pt>
                <c:pt idx="82">
                  <c:v>12.56</c:v>
                </c:pt>
                <c:pt idx="83">
                  <c:v>13.49</c:v>
                </c:pt>
                <c:pt idx="84">
                  <c:v>14.38</c:v>
                </c:pt>
                <c:pt idx="85">
                  <c:v>15.2</c:v>
                </c:pt>
                <c:pt idx="86">
                  <c:v>15.98</c:v>
                </c:pt>
                <c:pt idx="87">
                  <c:v>16.77</c:v>
                </c:pt>
                <c:pt idx="88">
                  <c:v>17.57</c:v>
                </c:pt>
                <c:pt idx="89">
                  <c:v>18.38</c:v>
                </c:pt>
                <c:pt idx="90">
                  <c:v>19.170000000000002</c:v>
                </c:pt>
                <c:pt idx="91">
                  <c:v>19.97</c:v>
                </c:pt>
                <c:pt idx="92">
                  <c:v>20.75</c:v>
                </c:pt>
                <c:pt idx="93">
                  <c:v>21.52</c:v>
                </c:pt>
                <c:pt idx="94">
                  <c:v>22.27</c:v>
                </c:pt>
                <c:pt idx="95">
                  <c:v>23</c:v>
                </c:pt>
                <c:pt idx="96">
                  <c:v>23.71</c:v>
                </c:pt>
                <c:pt idx="97">
                  <c:v>24.41</c:v>
                </c:pt>
                <c:pt idx="98">
                  <c:v>25.09</c:v>
                </c:pt>
                <c:pt idx="99">
                  <c:v>25.77</c:v>
                </c:pt>
                <c:pt idx="100">
                  <c:v>26.43</c:v>
                </c:pt>
                <c:pt idx="101">
                  <c:v>27.08</c:v>
                </c:pt>
                <c:pt idx="102">
                  <c:v>27.73</c:v>
                </c:pt>
                <c:pt idx="103">
                  <c:v>28.36</c:v>
                </c:pt>
                <c:pt idx="104">
                  <c:v>28.98</c:v>
                </c:pt>
                <c:pt idx="105">
                  <c:v>29.6</c:v>
                </c:pt>
                <c:pt idx="106">
                  <c:v>30.23</c:v>
                </c:pt>
                <c:pt idx="107">
                  <c:v>30.9</c:v>
                </c:pt>
                <c:pt idx="108">
                  <c:v>31.59</c:v>
                </c:pt>
                <c:pt idx="109">
                  <c:v>32.299999999999997</c:v>
                </c:pt>
                <c:pt idx="110">
                  <c:v>33.03</c:v>
                </c:pt>
                <c:pt idx="111">
                  <c:v>33.770000000000003</c:v>
                </c:pt>
                <c:pt idx="112">
                  <c:v>34.5</c:v>
                </c:pt>
                <c:pt idx="113">
                  <c:v>35.229999999999997</c:v>
                </c:pt>
                <c:pt idx="114">
                  <c:v>35.950000000000003</c:v>
                </c:pt>
                <c:pt idx="115">
                  <c:v>36.64</c:v>
                </c:pt>
                <c:pt idx="116">
                  <c:v>37.31</c:v>
                </c:pt>
                <c:pt idx="117">
                  <c:v>37.950000000000003</c:v>
                </c:pt>
                <c:pt idx="118">
                  <c:v>38.54</c:v>
                </c:pt>
                <c:pt idx="119">
                  <c:v>39.090000000000003</c:v>
                </c:pt>
                <c:pt idx="120">
                  <c:v>39.58</c:v>
                </c:pt>
                <c:pt idx="121">
                  <c:v>40.01</c:v>
                </c:pt>
                <c:pt idx="122">
                  <c:v>40.380000000000003</c:v>
                </c:pt>
                <c:pt idx="123">
                  <c:v>40.67</c:v>
                </c:pt>
                <c:pt idx="124">
                  <c:v>40.880000000000003</c:v>
                </c:pt>
                <c:pt idx="125">
                  <c:v>41</c:v>
                </c:pt>
                <c:pt idx="126">
                  <c:v>41.07</c:v>
                </c:pt>
                <c:pt idx="127">
                  <c:v>41.13</c:v>
                </c:pt>
                <c:pt idx="128">
                  <c:v>41.18</c:v>
                </c:pt>
                <c:pt idx="129">
                  <c:v>41.23</c:v>
                </c:pt>
                <c:pt idx="130">
                  <c:v>41.27</c:v>
                </c:pt>
                <c:pt idx="131">
                  <c:v>41.3</c:v>
                </c:pt>
                <c:pt idx="132">
                  <c:v>41.33</c:v>
                </c:pt>
                <c:pt idx="133">
                  <c:v>41.35</c:v>
                </c:pt>
                <c:pt idx="134">
                  <c:v>41.38</c:v>
                </c:pt>
                <c:pt idx="135">
                  <c:v>41.4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E11-4DC0-ACDC-BA33DC4A516F}"/>
            </c:ext>
          </c:extLst>
        </c:ser>
        <c:ser>
          <c:idx val="18"/>
          <c:order val="18"/>
          <c:tx>
            <c:strRef>
              <c:f>'Все-20K'!$T$3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'Все-20K'!$T$4:$T$149</c:f>
              <c:numCache>
                <c:formatCode>0.0</c:formatCode>
                <c:ptCount val="146"/>
                <c:pt idx="65">
                  <c:v>24.3</c:v>
                </c:pt>
                <c:pt idx="66">
                  <c:v>24.74</c:v>
                </c:pt>
                <c:pt idx="67">
                  <c:v>25.18</c:v>
                </c:pt>
                <c:pt idx="68">
                  <c:v>25.6</c:v>
                </c:pt>
                <c:pt idx="69">
                  <c:v>26</c:v>
                </c:pt>
                <c:pt idx="70">
                  <c:v>26.38</c:v>
                </c:pt>
                <c:pt idx="71">
                  <c:v>26.72</c:v>
                </c:pt>
                <c:pt idx="72">
                  <c:v>27.02</c:v>
                </c:pt>
                <c:pt idx="73">
                  <c:v>27.27</c:v>
                </c:pt>
                <c:pt idx="74">
                  <c:v>27.47</c:v>
                </c:pt>
                <c:pt idx="75">
                  <c:v>27.6</c:v>
                </c:pt>
                <c:pt idx="76">
                  <c:v>27.69</c:v>
                </c:pt>
                <c:pt idx="77">
                  <c:v>27.76</c:v>
                </c:pt>
                <c:pt idx="78">
                  <c:v>27.81</c:v>
                </c:pt>
                <c:pt idx="79">
                  <c:v>27.85</c:v>
                </c:pt>
                <c:pt idx="80">
                  <c:v>27.89</c:v>
                </c:pt>
                <c:pt idx="81">
                  <c:v>27.93</c:v>
                </c:pt>
                <c:pt idx="82">
                  <c:v>27.97</c:v>
                </c:pt>
                <c:pt idx="83">
                  <c:v>28.03</c:v>
                </c:pt>
                <c:pt idx="84">
                  <c:v>28.1</c:v>
                </c:pt>
                <c:pt idx="85">
                  <c:v>28.2</c:v>
                </c:pt>
                <c:pt idx="86">
                  <c:v>28.42</c:v>
                </c:pt>
                <c:pt idx="87">
                  <c:v>28.84</c:v>
                </c:pt>
                <c:pt idx="88">
                  <c:v>29.41</c:v>
                </c:pt>
                <c:pt idx="89">
                  <c:v>30.1</c:v>
                </c:pt>
                <c:pt idx="90">
                  <c:v>30.88</c:v>
                </c:pt>
                <c:pt idx="91">
                  <c:v>31.69</c:v>
                </c:pt>
                <c:pt idx="92">
                  <c:v>32.51</c:v>
                </c:pt>
                <c:pt idx="93">
                  <c:v>33.29</c:v>
                </c:pt>
                <c:pt idx="94">
                  <c:v>34</c:v>
                </c:pt>
                <c:pt idx="95">
                  <c:v>34.6</c:v>
                </c:pt>
                <c:pt idx="96">
                  <c:v>35.11</c:v>
                </c:pt>
                <c:pt idx="97">
                  <c:v>35.6</c:v>
                </c:pt>
                <c:pt idx="98">
                  <c:v>36.06</c:v>
                </c:pt>
                <c:pt idx="99">
                  <c:v>36.5</c:v>
                </c:pt>
                <c:pt idx="100">
                  <c:v>36.94</c:v>
                </c:pt>
                <c:pt idx="101">
                  <c:v>37.36</c:v>
                </c:pt>
                <c:pt idx="102">
                  <c:v>37.79</c:v>
                </c:pt>
                <c:pt idx="103">
                  <c:v>38.21</c:v>
                </c:pt>
                <c:pt idx="104">
                  <c:v>38.65</c:v>
                </c:pt>
                <c:pt idx="105">
                  <c:v>39.1</c:v>
                </c:pt>
                <c:pt idx="106">
                  <c:v>39.57</c:v>
                </c:pt>
                <c:pt idx="107">
                  <c:v>40.06</c:v>
                </c:pt>
                <c:pt idx="108">
                  <c:v>40.549999999999997</c:v>
                </c:pt>
                <c:pt idx="109">
                  <c:v>41.05</c:v>
                </c:pt>
                <c:pt idx="110">
                  <c:v>41.55</c:v>
                </c:pt>
                <c:pt idx="111">
                  <c:v>42.04</c:v>
                </c:pt>
                <c:pt idx="112">
                  <c:v>42.51</c:v>
                </c:pt>
                <c:pt idx="113">
                  <c:v>42.97</c:v>
                </c:pt>
                <c:pt idx="114">
                  <c:v>43.4</c:v>
                </c:pt>
                <c:pt idx="115">
                  <c:v>43.8</c:v>
                </c:pt>
                <c:pt idx="116">
                  <c:v>44.15</c:v>
                </c:pt>
                <c:pt idx="117">
                  <c:v>44.46</c:v>
                </c:pt>
                <c:pt idx="118">
                  <c:v>44.74</c:v>
                </c:pt>
                <c:pt idx="119">
                  <c:v>45.01</c:v>
                </c:pt>
                <c:pt idx="120">
                  <c:v>45.27</c:v>
                </c:pt>
                <c:pt idx="121">
                  <c:v>45.54</c:v>
                </c:pt>
                <c:pt idx="122">
                  <c:v>45.83</c:v>
                </c:pt>
                <c:pt idx="123">
                  <c:v>46.16</c:v>
                </c:pt>
                <c:pt idx="124">
                  <c:v>46.55</c:v>
                </c:pt>
                <c:pt idx="125">
                  <c:v>47</c:v>
                </c:pt>
                <c:pt idx="126">
                  <c:v>47.64</c:v>
                </c:pt>
                <c:pt idx="127">
                  <c:v>48.56</c:v>
                </c:pt>
                <c:pt idx="128">
                  <c:v>49.67</c:v>
                </c:pt>
                <c:pt idx="129">
                  <c:v>50.91</c:v>
                </c:pt>
                <c:pt idx="130">
                  <c:v>52.21</c:v>
                </c:pt>
                <c:pt idx="131">
                  <c:v>53.51</c:v>
                </c:pt>
                <c:pt idx="132">
                  <c:v>54.74</c:v>
                </c:pt>
                <c:pt idx="133">
                  <c:v>55.82</c:v>
                </c:pt>
                <c:pt idx="134">
                  <c:v>56.7</c:v>
                </c:pt>
                <c:pt idx="135">
                  <c:v>57.3</c:v>
                </c:pt>
                <c:pt idx="136">
                  <c:v>57.72</c:v>
                </c:pt>
                <c:pt idx="137">
                  <c:v>58.09</c:v>
                </c:pt>
                <c:pt idx="138">
                  <c:v>58.43</c:v>
                </c:pt>
                <c:pt idx="139">
                  <c:v>58.73</c:v>
                </c:pt>
                <c:pt idx="140">
                  <c:v>59</c:v>
                </c:pt>
                <c:pt idx="141">
                  <c:v>59.25</c:v>
                </c:pt>
                <c:pt idx="142">
                  <c:v>59.48</c:v>
                </c:pt>
                <c:pt idx="143">
                  <c:v>59.69</c:v>
                </c:pt>
                <c:pt idx="144">
                  <c:v>59.9</c:v>
                </c:pt>
                <c:pt idx="145">
                  <c:v>60.1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E11-4DC0-ACDC-BA33DC4A516F}"/>
            </c:ext>
          </c:extLst>
        </c:ser>
        <c:ser>
          <c:idx val="19"/>
          <c:order val="19"/>
          <c:tx>
            <c:strRef>
              <c:f>'Все-20K'!$U$3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'Все-20K'!$U$4:$U$149</c:f>
              <c:numCache>
                <c:formatCode>0.0</c:formatCode>
                <c:ptCount val="146"/>
                <c:pt idx="72">
                  <c:v>11.2</c:v>
                </c:pt>
                <c:pt idx="73">
                  <c:v>11.95</c:v>
                </c:pt>
                <c:pt idx="74">
                  <c:v>12.69</c:v>
                </c:pt>
                <c:pt idx="75">
                  <c:v>13.42</c:v>
                </c:pt>
                <c:pt idx="76">
                  <c:v>14.15</c:v>
                </c:pt>
                <c:pt idx="77">
                  <c:v>14.86</c:v>
                </c:pt>
                <c:pt idx="78">
                  <c:v>15.55</c:v>
                </c:pt>
                <c:pt idx="79">
                  <c:v>16.22</c:v>
                </c:pt>
                <c:pt idx="80">
                  <c:v>16.87</c:v>
                </c:pt>
                <c:pt idx="81">
                  <c:v>17.489999999999998</c:v>
                </c:pt>
                <c:pt idx="82">
                  <c:v>18.07</c:v>
                </c:pt>
                <c:pt idx="83">
                  <c:v>18.62</c:v>
                </c:pt>
                <c:pt idx="84">
                  <c:v>19.13</c:v>
                </c:pt>
                <c:pt idx="85">
                  <c:v>19.600000000000001</c:v>
                </c:pt>
                <c:pt idx="86">
                  <c:v>20.02</c:v>
                </c:pt>
                <c:pt idx="87">
                  <c:v>20.399999999999999</c:v>
                </c:pt>
                <c:pt idx="88">
                  <c:v>20.74</c:v>
                </c:pt>
                <c:pt idx="89">
                  <c:v>21.06</c:v>
                </c:pt>
                <c:pt idx="90">
                  <c:v>21.37</c:v>
                </c:pt>
                <c:pt idx="91">
                  <c:v>21.67</c:v>
                </c:pt>
                <c:pt idx="92">
                  <c:v>21.97</c:v>
                </c:pt>
                <c:pt idx="93">
                  <c:v>22.29</c:v>
                </c:pt>
                <c:pt idx="94">
                  <c:v>22.63</c:v>
                </c:pt>
                <c:pt idx="95">
                  <c:v>23</c:v>
                </c:pt>
                <c:pt idx="96">
                  <c:v>23.4</c:v>
                </c:pt>
                <c:pt idx="97">
                  <c:v>23.82</c:v>
                </c:pt>
                <c:pt idx="98">
                  <c:v>24.25</c:v>
                </c:pt>
                <c:pt idx="99">
                  <c:v>24.7</c:v>
                </c:pt>
                <c:pt idx="100">
                  <c:v>25.16</c:v>
                </c:pt>
                <c:pt idx="101">
                  <c:v>25.63</c:v>
                </c:pt>
                <c:pt idx="102">
                  <c:v>26.12</c:v>
                </c:pt>
                <c:pt idx="103">
                  <c:v>26.61</c:v>
                </c:pt>
                <c:pt idx="104">
                  <c:v>27.1</c:v>
                </c:pt>
                <c:pt idx="105">
                  <c:v>27.6</c:v>
                </c:pt>
                <c:pt idx="106">
                  <c:v>28.11</c:v>
                </c:pt>
                <c:pt idx="107">
                  <c:v>28.63</c:v>
                </c:pt>
                <c:pt idx="108">
                  <c:v>29.17</c:v>
                </c:pt>
                <c:pt idx="109">
                  <c:v>29.71</c:v>
                </c:pt>
                <c:pt idx="110">
                  <c:v>30.26</c:v>
                </c:pt>
                <c:pt idx="111">
                  <c:v>30.83</c:v>
                </c:pt>
                <c:pt idx="112">
                  <c:v>31.39</c:v>
                </c:pt>
                <c:pt idx="113">
                  <c:v>31.96</c:v>
                </c:pt>
                <c:pt idx="114">
                  <c:v>32.53</c:v>
                </c:pt>
                <c:pt idx="115">
                  <c:v>33.1</c:v>
                </c:pt>
                <c:pt idx="116">
                  <c:v>33.67</c:v>
                </c:pt>
                <c:pt idx="117">
                  <c:v>34.26</c:v>
                </c:pt>
                <c:pt idx="118">
                  <c:v>34.840000000000003</c:v>
                </c:pt>
                <c:pt idx="119">
                  <c:v>35.44</c:v>
                </c:pt>
                <c:pt idx="120">
                  <c:v>36.03</c:v>
                </c:pt>
                <c:pt idx="121">
                  <c:v>36.630000000000003</c:v>
                </c:pt>
                <c:pt idx="122">
                  <c:v>37.22</c:v>
                </c:pt>
                <c:pt idx="123">
                  <c:v>37.82</c:v>
                </c:pt>
                <c:pt idx="124">
                  <c:v>38.409999999999997</c:v>
                </c:pt>
                <c:pt idx="125">
                  <c:v>39</c:v>
                </c:pt>
                <c:pt idx="126">
                  <c:v>39.58</c:v>
                </c:pt>
                <c:pt idx="127">
                  <c:v>40.17</c:v>
                </c:pt>
                <c:pt idx="128">
                  <c:v>40.75</c:v>
                </c:pt>
                <c:pt idx="129">
                  <c:v>41.33</c:v>
                </c:pt>
                <c:pt idx="130">
                  <c:v>41.91</c:v>
                </c:pt>
                <c:pt idx="131">
                  <c:v>42.49</c:v>
                </c:pt>
                <c:pt idx="132">
                  <c:v>43.07</c:v>
                </c:pt>
                <c:pt idx="133">
                  <c:v>43.64</c:v>
                </c:pt>
                <c:pt idx="134">
                  <c:v>44.22</c:v>
                </c:pt>
                <c:pt idx="135">
                  <c:v>44.8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E11-4DC0-ACDC-BA33DC4A516F}"/>
            </c:ext>
          </c:extLst>
        </c:ser>
        <c:ser>
          <c:idx val="20"/>
          <c:order val="20"/>
          <c:tx>
            <c:strRef>
              <c:f>'Все-20K'!$V$3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'Все-20K'!$V$4:$V$149</c:f>
              <c:numCache>
                <c:formatCode>0.0</c:formatCode>
                <c:ptCount val="146"/>
                <c:pt idx="11">
                  <c:v>7.5</c:v>
                </c:pt>
                <c:pt idx="12">
                  <c:v>7.45</c:v>
                </c:pt>
                <c:pt idx="13">
                  <c:v>7.4</c:v>
                </c:pt>
                <c:pt idx="14">
                  <c:v>7.35</c:v>
                </c:pt>
                <c:pt idx="15">
                  <c:v>7.3</c:v>
                </c:pt>
                <c:pt idx="16">
                  <c:v>7.25</c:v>
                </c:pt>
                <c:pt idx="17">
                  <c:v>7.2</c:v>
                </c:pt>
                <c:pt idx="18">
                  <c:v>7.15</c:v>
                </c:pt>
                <c:pt idx="19">
                  <c:v>7.1</c:v>
                </c:pt>
                <c:pt idx="20">
                  <c:v>7.05</c:v>
                </c:pt>
                <c:pt idx="21">
                  <c:v>7</c:v>
                </c:pt>
                <c:pt idx="22">
                  <c:v>6.95</c:v>
                </c:pt>
                <c:pt idx="23">
                  <c:v>6.9</c:v>
                </c:pt>
                <c:pt idx="24">
                  <c:v>6.85</c:v>
                </c:pt>
                <c:pt idx="25">
                  <c:v>6.81</c:v>
                </c:pt>
                <c:pt idx="26">
                  <c:v>6.76</c:v>
                </c:pt>
                <c:pt idx="27">
                  <c:v>6.72</c:v>
                </c:pt>
                <c:pt idx="28">
                  <c:v>6.67</c:v>
                </c:pt>
                <c:pt idx="29">
                  <c:v>6.63</c:v>
                </c:pt>
                <c:pt idx="30">
                  <c:v>6.59</c:v>
                </c:pt>
                <c:pt idx="31">
                  <c:v>6.55</c:v>
                </c:pt>
                <c:pt idx="32">
                  <c:v>6.51</c:v>
                </c:pt>
                <c:pt idx="33">
                  <c:v>6.47</c:v>
                </c:pt>
                <c:pt idx="34">
                  <c:v>6.43</c:v>
                </c:pt>
                <c:pt idx="35">
                  <c:v>6.39</c:v>
                </c:pt>
                <c:pt idx="36">
                  <c:v>6.36</c:v>
                </c:pt>
                <c:pt idx="37">
                  <c:v>6.33</c:v>
                </c:pt>
                <c:pt idx="38">
                  <c:v>6.29</c:v>
                </c:pt>
                <c:pt idx="39">
                  <c:v>6.26</c:v>
                </c:pt>
                <c:pt idx="40">
                  <c:v>6.23</c:v>
                </c:pt>
                <c:pt idx="41">
                  <c:v>6.2</c:v>
                </c:pt>
                <c:pt idx="42">
                  <c:v>6.18</c:v>
                </c:pt>
                <c:pt idx="43">
                  <c:v>6.15</c:v>
                </c:pt>
                <c:pt idx="44">
                  <c:v>6.13</c:v>
                </c:pt>
                <c:pt idx="45">
                  <c:v>6.11</c:v>
                </c:pt>
                <c:pt idx="46">
                  <c:v>6.09</c:v>
                </c:pt>
                <c:pt idx="47">
                  <c:v>6.07</c:v>
                </c:pt>
                <c:pt idx="48">
                  <c:v>6.05</c:v>
                </c:pt>
                <c:pt idx="49">
                  <c:v>6.04</c:v>
                </c:pt>
                <c:pt idx="50">
                  <c:v>6.03</c:v>
                </c:pt>
                <c:pt idx="51">
                  <c:v>6.02</c:v>
                </c:pt>
                <c:pt idx="52">
                  <c:v>6.01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6.08</c:v>
                </c:pt>
                <c:pt idx="57">
                  <c:v>6.29</c:v>
                </c:pt>
                <c:pt idx="58">
                  <c:v>6.61</c:v>
                </c:pt>
                <c:pt idx="59">
                  <c:v>7.02</c:v>
                </c:pt>
                <c:pt idx="60">
                  <c:v>7.49</c:v>
                </c:pt>
                <c:pt idx="61">
                  <c:v>8.01</c:v>
                </c:pt>
                <c:pt idx="62">
                  <c:v>8.5399999999999991</c:v>
                </c:pt>
                <c:pt idx="63">
                  <c:v>9.07</c:v>
                </c:pt>
                <c:pt idx="64">
                  <c:v>9.56</c:v>
                </c:pt>
                <c:pt idx="65">
                  <c:v>10</c:v>
                </c:pt>
                <c:pt idx="66">
                  <c:v>10.42</c:v>
                </c:pt>
                <c:pt idx="67">
                  <c:v>10.86</c:v>
                </c:pt>
                <c:pt idx="68">
                  <c:v>11.32</c:v>
                </c:pt>
                <c:pt idx="69">
                  <c:v>11.79</c:v>
                </c:pt>
                <c:pt idx="70">
                  <c:v>12.24</c:v>
                </c:pt>
                <c:pt idx="71">
                  <c:v>12.69</c:v>
                </c:pt>
                <c:pt idx="72">
                  <c:v>13.1</c:v>
                </c:pt>
                <c:pt idx="73">
                  <c:v>13.48</c:v>
                </c:pt>
                <c:pt idx="74">
                  <c:v>13.82</c:v>
                </c:pt>
                <c:pt idx="75">
                  <c:v>14.1</c:v>
                </c:pt>
                <c:pt idx="76">
                  <c:v>14.32</c:v>
                </c:pt>
                <c:pt idx="77">
                  <c:v>14.5</c:v>
                </c:pt>
                <c:pt idx="78">
                  <c:v>14.65</c:v>
                </c:pt>
                <c:pt idx="79">
                  <c:v>14.79</c:v>
                </c:pt>
                <c:pt idx="80">
                  <c:v>14.91</c:v>
                </c:pt>
                <c:pt idx="81">
                  <c:v>15.04</c:v>
                </c:pt>
                <c:pt idx="82">
                  <c:v>15.2</c:v>
                </c:pt>
                <c:pt idx="83">
                  <c:v>15.38</c:v>
                </c:pt>
                <c:pt idx="84">
                  <c:v>15.61</c:v>
                </c:pt>
                <c:pt idx="85">
                  <c:v>15.9</c:v>
                </c:pt>
                <c:pt idx="86">
                  <c:v>16.45</c:v>
                </c:pt>
                <c:pt idx="87">
                  <c:v>17.420000000000002</c:v>
                </c:pt>
                <c:pt idx="88">
                  <c:v>18.72</c:v>
                </c:pt>
                <c:pt idx="89">
                  <c:v>20.28</c:v>
                </c:pt>
                <c:pt idx="90">
                  <c:v>22.02</c:v>
                </c:pt>
                <c:pt idx="91">
                  <c:v>23.86</c:v>
                </c:pt>
                <c:pt idx="92">
                  <c:v>25.73</c:v>
                </c:pt>
                <c:pt idx="93">
                  <c:v>27.54</c:v>
                </c:pt>
                <c:pt idx="94">
                  <c:v>29.23</c:v>
                </c:pt>
                <c:pt idx="95">
                  <c:v>30.7</c:v>
                </c:pt>
                <c:pt idx="96">
                  <c:v>32.04</c:v>
                </c:pt>
                <c:pt idx="97">
                  <c:v>33.39</c:v>
                </c:pt>
                <c:pt idx="98">
                  <c:v>34.72</c:v>
                </c:pt>
                <c:pt idx="99">
                  <c:v>36.03</c:v>
                </c:pt>
                <c:pt idx="100">
                  <c:v>37.31</c:v>
                </c:pt>
                <c:pt idx="101">
                  <c:v>38.549999999999997</c:v>
                </c:pt>
                <c:pt idx="102">
                  <c:v>39.75</c:v>
                </c:pt>
                <c:pt idx="103">
                  <c:v>40.9</c:v>
                </c:pt>
                <c:pt idx="104">
                  <c:v>41.99</c:v>
                </c:pt>
                <c:pt idx="105">
                  <c:v>43</c:v>
                </c:pt>
                <c:pt idx="106">
                  <c:v>43.96</c:v>
                </c:pt>
                <c:pt idx="107">
                  <c:v>44.88</c:v>
                </c:pt>
                <c:pt idx="108">
                  <c:v>45.76</c:v>
                </c:pt>
                <c:pt idx="109">
                  <c:v>46.62</c:v>
                </c:pt>
                <c:pt idx="110">
                  <c:v>47.43</c:v>
                </c:pt>
                <c:pt idx="111">
                  <c:v>48.22</c:v>
                </c:pt>
                <c:pt idx="112">
                  <c:v>48.98</c:v>
                </c:pt>
                <c:pt idx="113">
                  <c:v>49.71</c:v>
                </c:pt>
                <c:pt idx="114">
                  <c:v>50.42</c:v>
                </c:pt>
                <c:pt idx="115">
                  <c:v>51.1</c:v>
                </c:pt>
                <c:pt idx="116">
                  <c:v>51.75</c:v>
                </c:pt>
                <c:pt idx="117">
                  <c:v>52.37</c:v>
                </c:pt>
                <c:pt idx="118">
                  <c:v>52.97</c:v>
                </c:pt>
                <c:pt idx="119">
                  <c:v>53.54</c:v>
                </c:pt>
                <c:pt idx="120">
                  <c:v>54.1</c:v>
                </c:pt>
                <c:pt idx="121">
                  <c:v>54.65</c:v>
                </c:pt>
                <c:pt idx="122">
                  <c:v>55.18</c:v>
                </c:pt>
                <c:pt idx="123">
                  <c:v>55.72</c:v>
                </c:pt>
                <c:pt idx="124">
                  <c:v>56.26</c:v>
                </c:pt>
                <c:pt idx="125">
                  <c:v>56.8</c:v>
                </c:pt>
                <c:pt idx="126">
                  <c:v>57.34</c:v>
                </c:pt>
                <c:pt idx="127">
                  <c:v>57.86</c:v>
                </c:pt>
                <c:pt idx="128">
                  <c:v>58.37</c:v>
                </c:pt>
                <c:pt idx="129">
                  <c:v>58.87</c:v>
                </c:pt>
                <c:pt idx="130">
                  <c:v>59.37</c:v>
                </c:pt>
                <c:pt idx="131">
                  <c:v>59.88</c:v>
                </c:pt>
                <c:pt idx="132">
                  <c:v>60.4</c:v>
                </c:pt>
                <c:pt idx="133">
                  <c:v>60.94</c:v>
                </c:pt>
                <c:pt idx="134">
                  <c:v>61.51</c:v>
                </c:pt>
                <c:pt idx="135">
                  <c:v>62.1</c:v>
                </c:pt>
                <c:pt idx="136">
                  <c:v>62.73</c:v>
                </c:pt>
                <c:pt idx="137">
                  <c:v>63.38</c:v>
                </c:pt>
                <c:pt idx="138">
                  <c:v>64.06</c:v>
                </c:pt>
                <c:pt idx="139">
                  <c:v>64.77</c:v>
                </c:pt>
                <c:pt idx="140">
                  <c:v>65.489999999999995</c:v>
                </c:pt>
                <c:pt idx="141">
                  <c:v>66.239999999999995</c:v>
                </c:pt>
                <c:pt idx="142">
                  <c:v>66.989999999999995</c:v>
                </c:pt>
                <c:pt idx="143">
                  <c:v>67.75</c:v>
                </c:pt>
                <c:pt idx="144">
                  <c:v>68.53</c:v>
                </c:pt>
                <c:pt idx="145">
                  <c:v>69.3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5E11-4DC0-ACDC-BA33DC4A516F}"/>
            </c:ext>
          </c:extLst>
        </c:ser>
        <c:ser>
          <c:idx val="21"/>
          <c:order val="21"/>
          <c:tx>
            <c:strRef>
              <c:f>'Все-20K'!$W$3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'Все-20K'!$W$4:$W$149</c:f>
              <c:numCache>
                <c:formatCode>0.0</c:formatCode>
                <c:ptCount val="146"/>
                <c:pt idx="65">
                  <c:v>10.199999999999999</c:v>
                </c:pt>
                <c:pt idx="66">
                  <c:v>10.38</c:v>
                </c:pt>
                <c:pt idx="67">
                  <c:v>10.57</c:v>
                </c:pt>
                <c:pt idx="68">
                  <c:v>10.76</c:v>
                </c:pt>
                <c:pt idx="69">
                  <c:v>10.94</c:v>
                </c:pt>
                <c:pt idx="70">
                  <c:v>11.13</c:v>
                </c:pt>
                <c:pt idx="71">
                  <c:v>11.33</c:v>
                </c:pt>
                <c:pt idx="72">
                  <c:v>11.53</c:v>
                </c:pt>
                <c:pt idx="73">
                  <c:v>11.73</c:v>
                </c:pt>
                <c:pt idx="74">
                  <c:v>11.93</c:v>
                </c:pt>
                <c:pt idx="75">
                  <c:v>12.14</c:v>
                </c:pt>
                <c:pt idx="76">
                  <c:v>12.36</c:v>
                </c:pt>
                <c:pt idx="77">
                  <c:v>12.59</c:v>
                </c:pt>
                <c:pt idx="78">
                  <c:v>12.82</c:v>
                </c:pt>
                <c:pt idx="79">
                  <c:v>13.06</c:v>
                </c:pt>
                <c:pt idx="80">
                  <c:v>13.31</c:v>
                </c:pt>
                <c:pt idx="81">
                  <c:v>13.57</c:v>
                </c:pt>
                <c:pt idx="82">
                  <c:v>13.83</c:v>
                </c:pt>
                <c:pt idx="83">
                  <c:v>14.11</c:v>
                </c:pt>
                <c:pt idx="84">
                  <c:v>14.4</c:v>
                </c:pt>
                <c:pt idx="85">
                  <c:v>14.7</c:v>
                </c:pt>
                <c:pt idx="86">
                  <c:v>15.05</c:v>
                </c:pt>
                <c:pt idx="87">
                  <c:v>15.49</c:v>
                </c:pt>
                <c:pt idx="88">
                  <c:v>15.99</c:v>
                </c:pt>
                <c:pt idx="89">
                  <c:v>16.52</c:v>
                </c:pt>
                <c:pt idx="90">
                  <c:v>17.079999999999998</c:v>
                </c:pt>
                <c:pt idx="91">
                  <c:v>17.64</c:v>
                </c:pt>
                <c:pt idx="92">
                  <c:v>18.190000000000001</c:v>
                </c:pt>
                <c:pt idx="93">
                  <c:v>18.690000000000001</c:v>
                </c:pt>
                <c:pt idx="94">
                  <c:v>19.13</c:v>
                </c:pt>
                <c:pt idx="95">
                  <c:v>19.5</c:v>
                </c:pt>
                <c:pt idx="96">
                  <c:v>19.79</c:v>
                </c:pt>
                <c:pt idx="97">
                  <c:v>20.05</c:v>
                </c:pt>
                <c:pt idx="98">
                  <c:v>20.27</c:v>
                </c:pt>
                <c:pt idx="99">
                  <c:v>20.47</c:v>
                </c:pt>
                <c:pt idx="100">
                  <c:v>20.66</c:v>
                </c:pt>
                <c:pt idx="101">
                  <c:v>20.85</c:v>
                </c:pt>
                <c:pt idx="102">
                  <c:v>21.06</c:v>
                </c:pt>
                <c:pt idx="103">
                  <c:v>21.3</c:v>
                </c:pt>
                <c:pt idx="104">
                  <c:v>21.57</c:v>
                </c:pt>
                <c:pt idx="105">
                  <c:v>21.9</c:v>
                </c:pt>
                <c:pt idx="106">
                  <c:v>22.28</c:v>
                </c:pt>
                <c:pt idx="107">
                  <c:v>22.72</c:v>
                </c:pt>
                <c:pt idx="108">
                  <c:v>23.21</c:v>
                </c:pt>
                <c:pt idx="109">
                  <c:v>23.74</c:v>
                </c:pt>
                <c:pt idx="110">
                  <c:v>24.31</c:v>
                </c:pt>
                <c:pt idx="111">
                  <c:v>24.93</c:v>
                </c:pt>
                <c:pt idx="112">
                  <c:v>25.58</c:v>
                </c:pt>
                <c:pt idx="113">
                  <c:v>26.26</c:v>
                </c:pt>
                <c:pt idx="114">
                  <c:v>26.97</c:v>
                </c:pt>
                <c:pt idx="115">
                  <c:v>27.7</c:v>
                </c:pt>
                <c:pt idx="116">
                  <c:v>28.45</c:v>
                </c:pt>
                <c:pt idx="117">
                  <c:v>29.22</c:v>
                </c:pt>
                <c:pt idx="118">
                  <c:v>30</c:v>
                </c:pt>
                <c:pt idx="119">
                  <c:v>30.79</c:v>
                </c:pt>
                <c:pt idx="120">
                  <c:v>31.58</c:v>
                </c:pt>
                <c:pt idx="121">
                  <c:v>32.380000000000003</c:v>
                </c:pt>
                <c:pt idx="122">
                  <c:v>33.17</c:v>
                </c:pt>
                <c:pt idx="123">
                  <c:v>33.96</c:v>
                </c:pt>
                <c:pt idx="124">
                  <c:v>34.74</c:v>
                </c:pt>
                <c:pt idx="125">
                  <c:v>35.5</c:v>
                </c:pt>
                <c:pt idx="126">
                  <c:v>36.270000000000003</c:v>
                </c:pt>
                <c:pt idx="127">
                  <c:v>37.06</c:v>
                </c:pt>
                <c:pt idx="128">
                  <c:v>37.880000000000003</c:v>
                </c:pt>
                <c:pt idx="129">
                  <c:v>38.72</c:v>
                </c:pt>
                <c:pt idx="130">
                  <c:v>39.57</c:v>
                </c:pt>
                <c:pt idx="131">
                  <c:v>40.44</c:v>
                </c:pt>
                <c:pt idx="132">
                  <c:v>41.32</c:v>
                </c:pt>
                <c:pt idx="133">
                  <c:v>42.21</c:v>
                </c:pt>
                <c:pt idx="134">
                  <c:v>43.1</c:v>
                </c:pt>
                <c:pt idx="135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5E11-4DC0-ACDC-BA33DC4A516F}"/>
            </c:ext>
          </c:extLst>
        </c:ser>
        <c:ser>
          <c:idx val="25"/>
          <c:order val="25"/>
          <c:tx>
            <c:strRef>
              <c:f>'Все-20K'!$AA$3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'Все-20K'!$AA$4:$AA$149</c:f>
              <c:numCache>
                <c:formatCode>0.0</c:formatCode>
                <c:ptCount val="146"/>
                <c:pt idx="55">
                  <c:v>30</c:v>
                </c:pt>
                <c:pt idx="56">
                  <c:v>30.56</c:v>
                </c:pt>
                <c:pt idx="57">
                  <c:v>31.12</c:v>
                </c:pt>
                <c:pt idx="58">
                  <c:v>31.67</c:v>
                </c:pt>
                <c:pt idx="59">
                  <c:v>32.21</c:v>
                </c:pt>
                <c:pt idx="60">
                  <c:v>32.729999999999997</c:v>
                </c:pt>
                <c:pt idx="61">
                  <c:v>33.24</c:v>
                </c:pt>
                <c:pt idx="62">
                  <c:v>33.72</c:v>
                </c:pt>
                <c:pt idx="63">
                  <c:v>34.18</c:v>
                </c:pt>
                <c:pt idx="64">
                  <c:v>34.61</c:v>
                </c:pt>
                <c:pt idx="65">
                  <c:v>35</c:v>
                </c:pt>
                <c:pt idx="66">
                  <c:v>35.340000000000003</c:v>
                </c:pt>
                <c:pt idx="67">
                  <c:v>35.630000000000003</c:v>
                </c:pt>
                <c:pt idx="68">
                  <c:v>35.89</c:v>
                </c:pt>
                <c:pt idx="69">
                  <c:v>36.119999999999997</c:v>
                </c:pt>
                <c:pt idx="70">
                  <c:v>36.35</c:v>
                </c:pt>
                <c:pt idx="71">
                  <c:v>36.590000000000003</c:v>
                </c:pt>
                <c:pt idx="72">
                  <c:v>36.86</c:v>
                </c:pt>
                <c:pt idx="73">
                  <c:v>37.17</c:v>
                </c:pt>
                <c:pt idx="74">
                  <c:v>37.549999999999997</c:v>
                </c:pt>
                <c:pt idx="75">
                  <c:v>38</c:v>
                </c:pt>
                <c:pt idx="76">
                  <c:v>38.630000000000003</c:v>
                </c:pt>
                <c:pt idx="77">
                  <c:v>39.520000000000003</c:v>
                </c:pt>
                <c:pt idx="78">
                  <c:v>40.64</c:v>
                </c:pt>
                <c:pt idx="79">
                  <c:v>41.96</c:v>
                </c:pt>
                <c:pt idx="80">
                  <c:v>43.45</c:v>
                </c:pt>
                <c:pt idx="81">
                  <c:v>45.08</c:v>
                </c:pt>
                <c:pt idx="82">
                  <c:v>46.82</c:v>
                </c:pt>
                <c:pt idx="83">
                  <c:v>48.65</c:v>
                </c:pt>
                <c:pt idx="84">
                  <c:v>50.54</c:v>
                </c:pt>
                <c:pt idx="85">
                  <c:v>52.45</c:v>
                </c:pt>
                <c:pt idx="86">
                  <c:v>54.36</c:v>
                </c:pt>
                <c:pt idx="87">
                  <c:v>56.25</c:v>
                </c:pt>
                <c:pt idx="88">
                  <c:v>58.08</c:v>
                </c:pt>
                <c:pt idx="89">
                  <c:v>59.82</c:v>
                </c:pt>
                <c:pt idx="90">
                  <c:v>61.45</c:v>
                </c:pt>
                <c:pt idx="91">
                  <c:v>62.94</c:v>
                </c:pt>
                <c:pt idx="92">
                  <c:v>64.260000000000005</c:v>
                </c:pt>
                <c:pt idx="93">
                  <c:v>65.38</c:v>
                </c:pt>
                <c:pt idx="94">
                  <c:v>66.27</c:v>
                </c:pt>
                <c:pt idx="95">
                  <c:v>66.900000000000006</c:v>
                </c:pt>
                <c:pt idx="96">
                  <c:v>67.37</c:v>
                </c:pt>
                <c:pt idx="97">
                  <c:v>67.77</c:v>
                </c:pt>
                <c:pt idx="98">
                  <c:v>68.13</c:v>
                </c:pt>
                <c:pt idx="99">
                  <c:v>68.45</c:v>
                </c:pt>
                <c:pt idx="100">
                  <c:v>68.73</c:v>
                </c:pt>
                <c:pt idx="101">
                  <c:v>68.989999999999995</c:v>
                </c:pt>
                <c:pt idx="102">
                  <c:v>69.22</c:v>
                </c:pt>
                <c:pt idx="103">
                  <c:v>69.45</c:v>
                </c:pt>
                <c:pt idx="104">
                  <c:v>69.67</c:v>
                </c:pt>
                <c:pt idx="105">
                  <c:v>69.900000000000006</c:v>
                </c:pt>
                <c:pt idx="106">
                  <c:v>70.12</c:v>
                </c:pt>
                <c:pt idx="107">
                  <c:v>70.33</c:v>
                </c:pt>
                <c:pt idx="108">
                  <c:v>70.52</c:v>
                </c:pt>
                <c:pt idx="109">
                  <c:v>70.7</c:v>
                </c:pt>
                <c:pt idx="110">
                  <c:v>70.87</c:v>
                </c:pt>
                <c:pt idx="111">
                  <c:v>71.040000000000006</c:v>
                </c:pt>
                <c:pt idx="112">
                  <c:v>71.22</c:v>
                </c:pt>
                <c:pt idx="113">
                  <c:v>71.400000000000006</c:v>
                </c:pt>
                <c:pt idx="114">
                  <c:v>71.59</c:v>
                </c:pt>
                <c:pt idx="115">
                  <c:v>71.8</c:v>
                </c:pt>
                <c:pt idx="116">
                  <c:v>72.040000000000006</c:v>
                </c:pt>
                <c:pt idx="117">
                  <c:v>72.34</c:v>
                </c:pt>
                <c:pt idx="118">
                  <c:v>72.66</c:v>
                </c:pt>
                <c:pt idx="119">
                  <c:v>72.989999999999995</c:v>
                </c:pt>
                <c:pt idx="120">
                  <c:v>73.319999999999993</c:v>
                </c:pt>
                <c:pt idx="121">
                  <c:v>73.63</c:v>
                </c:pt>
                <c:pt idx="122">
                  <c:v>73.900000000000006</c:v>
                </c:pt>
                <c:pt idx="123">
                  <c:v>74.11</c:v>
                </c:pt>
                <c:pt idx="124">
                  <c:v>74.25</c:v>
                </c:pt>
                <c:pt idx="125">
                  <c:v>74.3</c:v>
                </c:pt>
                <c:pt idx="126">
                  <c:v>74.239999999999995</c:v>
                </c:pt>
                <c:pt idx="127">
                  <c:v>74.06</c:v>
                </c:pt>
                <c:pt idx="128">
                  <c:v>73.8</c:v>
                </c:pt>
                <c:pt idx="129">
                  <c:v>73.489999999999995</c:v>
                </c:pt>
                <c:pt idx="130">
                  <c:v>73.150000000000006</c:v>
                </c:pt>
                <c:pt idx="131">
                  <c:v>72.81</c:v>
                </c:pt>
                <c:pt idx="132">
                  <c:v>72.5</c:v>
                </c:pt>
                <c:pt idx="133">
                  <c:v>72.239999999999995</c:v>
                </c:pt>
                <c:pt idx="134">
                  <c:v>72.06</c:v>
                </c:pt>
                <c:pt idx="135">
                  <c:v>72</c:v>
                </c:pt>
                <c:pt idx="136">
                  <c:v>72.08</c:v>
                </c:pt>
                <c:pt idx="137">
                  <c:v>72.319999999999993</c:v>
                </c:pt>
                <c:pt idx="138">
                  <c:v>72.7</c:v>
                </c:pt>
                <c:pt idx="139">
                  <c:v>73.209999999999994</c:v>
                </c:pt>
                <c:pt idx="140">
                  <c:v>73.81</c:v>
                </c:pt>
                <c:pt idx="141">
                  <c:v>74.510000000000005</c:v>
                </c:pt>
                <c:pt idx="142">
                  <c:v>75.27</c:v>
                </c:pt>
                <c:pt idx="143">
                  <c:v>76.08</c:v>
                </c:pt>
                <c:pt idx="144">
                  <c:v>76.930000000000007</c:v>
                </c:pt>
                <c:pt idx="145">
                  <c:v>77.8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5E11-4DC0-ACDC-BA33DC4A516F}"/>
            </c:ext>
          </c:extLst>
        </c:ser>
        <c:ser>
          <c:idx val="26"/>
          <c:order val="26"/>
          <c:tx>
            <c:strRef>
              <c:f>'Все-20K'!$AB$3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'Все-20K'!$AB$4:$AB$149</c:f>
              <c:numCache>
                <c:formatCode>0.0</c:formatCode>
                <c:ptCount val="146"/>
                <c:pt idx="0">
                  <c:v>16</c:v>
                </c:pt>
                <c:pt idx="1">
                  <c:v>16.12</c:v>
                </c:pt>
                <c:pt idx="2">
                  <c:v>16.239999999999998</c:v>
                </c:pt>
                <c:pt idx="3">
                  <c:v>16.36</c:v>
                </c:pt>
                <c:pt idx="4">
                  <c:v>16.48</c:v>
                </c:pt>
                <c:pt idx="5">
                  <c:v>16.600000000000001</c:v>
                </c:pt>
                <c:pt idx="6">
                  <c:v>16.73</c:v>
                </c:pt>
                <c:pt idx="7">
                  <c:v>16.87</c:v>
                </c:pt>
                <c:pt idx="8">
                  <c:v>17</c:v>
                </c:pt>
                <c:pt idx="9">
                  <c:v>17.149999999999999</c:v>
                </c:pt>
                <c:pt idx="10">
                  <c:v>17.3</c:v>
                </c:pt>
                <c:pt idx="11">
                  <c:v>17.45</c:v>
                </c:pt>
                <c:pt idx="12">
                  <c:v>17.61</c:v>
                </c:pt>
                <c:pt idx="13">
                  <c:v>17.760000000000002</c:v>
                </c:pt>
                <c:pt idx="14">
                  <c:v>17.93</c:v>
                </c:pt>
                <c:pt idx="15">
                  <c:v>18.100000000000001</c:v>
                </c:pt>
                <c:pt idx="16">
                  <c:v>18.29</c:v>
                </c:pt>
                <c:pt idx="17">
                  <c:v>18.48</c:v>
                </c:pt>
                <c:pt idx="18">
                  <c:v>18.7</c:v>
                </c:pt>
                <c:pt idx="19">
                  <c:v>18.940000000000001</c:v>
                </c:pt>
                <c:pt idx="20">
                  <c:v>19.2</c:v>
                </c:pt>
                <c:pt idx="21">
                  <c:v>19.53</c:v>
                </c:pt>
                <c:pt idx="22">
                  <c:v>19.940000000000001</c:v>
                </c:pt>
                <c:pt idx="23">
                  <c:v>20.43</c:v>
                </c:pt>
                <c:pt idx="24">
                  <c:v>20.96</c:v>
                </c:pt>
                <c:pt idx="25">
                  <c:v>21.53</c:v>
                </c:pt>
                <c:pt idx="26">
                  <c:v>22.1</c:v>
                </c:pt>
                <c:pt idx="27">
                  <c:v>22.67</c:v>
                </c:pt>
                <c:pt idx="28">
                  <c:v>23.2</c:v>
                </c:pt>
                <c:pt idx="29">
                  <c:v>23.69</c:v>
                </c:pt>
                <c:pt idx="30">
                  <c:v>24.1</c:v>
                </c:pt>
                <c:pt idx="31">
                  <c:v>24.48</c:v>
                </c:pt>
                <c:pt idx="32">
                  <c:v>24.87</c:v>
                </c:pt>
                <c:pt idx="33">
                  <c:v>25.27</c:v>
                </c:pt>
                <c:pt idx="34">
                  <c:v>25.66</c:v>
                </c:pt>
                <c:pt idx="35">
                  <c:v>26.04</c:v>
                </c:pt>
                <c:pt idx="36">
                  <c:v>26.39</c:v>
                </c:pt>
                <c:pt idx="37">
                  <c:v>26.73</c:v>
                </c:pt>
                <c:pt idx="38">
                  <c:v>27.02</c:v>
                </c:pt>
                <c:pt idx="39">
                  <c:v>27.27</c:v>
                </c:pt>
                <c:pt idx="40">
                  <c:v>27.48</c:v>
                </c:pt>
                <c:pt idx="41">
                  <c:v>27.62</c:v>
                </c:pt>
                <c:pt idx="42">
                  <c:v>27.7</c:v>
                </c:pt>
                <c:pt idx="43">
                  <c:v>27.74</c:v>
                </c:pt>
                <c:pt idx="44">
                  <c:v>27.77</c:v>
                </c:pt>
                <c:pt idx="45">
                  <c:v>27.79</c:v>
                </c:pt>
                <c:pt idx="46">
                  <c:v>27.81</c:v>
                </c:pt>
                <c:pt idx="47">
                  <c:v>27.83</c:v>
                </c:pt>
                <c:pt idx="48">
                  <c:v>27.84</c:v>
                </c:pt>
                <c:pt idx="49">
                  <c:v>27.85</c:v>
                </c:pt>
                <c:pt idx="50">
                  <c:v>27.87</c:v>
                </c:pt>
                <c:pt idx="51">
                  <c:v>27.88</c:v>
                </c:pt>
                <c:pt idx="52">
                  <c:v>27.9</c:v>
                </c:pt>
                <c:pt idx="53">
                  <c:v>27.93</c:v>
                </c:pt>
                <c:pt idx="54">
                  <c:v>27.96</c:v>
                </c:pt>
                <c:pt idx="55">
                  <c:v>28</c:v>
                </c:pt>
                <c:pt idx="56">
                  <c:v>28.13</c:v>
                </c:pt>
                <c:pt idx="57">
                  <c:v>28.42</c:v>
                </c:pt>
                <c:pt idx="58">
                  <c:v>28.84</c:v>
                </c:pt>
                <c:pt idx="59">
                  <c:v>29.36</c:v>
                </c:pt>
                <c:pt idx="60">
                  <c:v>29.94</c:v>
                </c:pt>
                <c:pt idx="61">
                  <c:v>30.56</c:v>
                </c:pt>
                <c:pt idx="62">
                  <c:v>31.19</c:v>
                </c:pt>
                <c:pt idx="63">
                  <c:v>31.79</c:v>
                </c:pt>
                <c:pt idx="64">
                  <c:v>32.340000000000003</c:v>
                </c:pt>
                <c:pt idx="65">
                  <c:v>32.799999999999997</c:v>
                </c:pt>
                <c:pt idx="66">
                  <c:v>33.19</c:v>
                </c:pt>
                <c:pt idx="67">
                  <c:v>33.53</c:v>
                </c:pt>
                <c:pt idx="68">
                  <c:v>33.840000000000003</c:v>
                </c:pt>
                <c:pt idx="69">
                  <c:v>34.14</c:v>
                </c:pt>
                <c:pt idx="70">
                  <c:v>34.44</c:v>
                </c:pt>
                <c:pt idx="71">
                  <c:v>34.75</c:v>
                </c:pt>
                <c:pt idx="72">
                  <c:v>35.090000000000003</c:v>
                </c:pt>
                <c:pt idx="73">
                  <c:v>35.47</c:v>
                </c:pt>
                <c:pt idx="74">
                  <c:v>35.9</c:v>
                </c:pt>
                <c:pt idx="75">
                  <c:v>36.4</c:v>
                </c:pt>
                <c:pt idx="76">
                  <c:v>37.049999999999997</c:v>
                </c:pt>
                <c:pt idx="77">
                  <c:v>37.909999999999997</c:v>
                </c:pt>
                <c:pt idx="78">
                  <c:v>38.93</c:v>
                </c:pt>
                <c:pt idx="79">
                  <c:v>40.06</c:v>
                </c:pt>
                <c:pt idx="80">
                  <c:v>41.28</c:v>
                </c:pt>
                <c:pt idx="81">
                  <c:v>42.53</c:v>
                </c:pt>
                <c:pt idx="82">
                  <c:v>43.78</c:v>
                </c:pt>
                <c:pt idx="83">
                  <c:v>44.99</c:v>
                </c:pt>
                <c:pt idx="84">
                  <c:v>46.11</c:v>
                </c:pt>
                <c:pt idx="85">
                  <c:v>47.1</c:v>
                </c:pt>
                <c:pt idx="86">
                  <c:v>48</c:v>
                </c:pt>
                <c:pt idx="87">
                  <c:v>48.87</c:v>
                </c:pt>
                <c:pt idx="88">
                  <c:v>49.71</c:v>
                </c:pt>
                <c:pt idx="89">
                  <c:v>50.52</c:v>
                </c:pt>
                <c:pt idx="90">
                  <c:v>51.32</c:v>
                </c:pt>
                <c:pt idx="91">
                  <c:v>52.1</c:v>
                </c:pt>
                <c:pt idx="92">
                  <c:v>52.86</c:v>
                </c:pt>
                <c:pt idx="93">
                  <c:v>53.61</c:v>
                </c:pt>
                <c:pt idx="94">
                  <c:v>54.36</c:v>
                </c:pt>
                <c:pt idx="95">
                  <c:v>55.1</c:v>
                </c:pt>
                <c:pt idx="96">
                  <c:v>55.83</c:v>
                </c:pt>
                <c:pt idx="97">
                  <c:v>56.55</c:v>
                </c:pt>
                <c:pt idx="98">
                  <c:v>57.25</c:v>
                </c:pt>
                <c:pt idx="99">
                  <c:v>57.95</c:v>
                </c:pt>
                <c:pt idx="100">
                  <c:v>58.63</c:v>
                </c:pt>
                <c:pt idx="101">
                  <c:v>59.31</c:v>
                </c:pt>
                <c:pt idx="102">
                  <c:v>59.98</c:v>
                </c:pt>
                <c:pt idx="103">
                  <c:v>60.66</c:v>
                </c:pt>
                <c:pt idx="104">
                  <c:v>61.33</c:v>
                </c:pt>
                <c:pt idx="105">
                  <c:v>62</c:v>
                </c:pt>
                <c:pt idx="106">
                  <c:v>62.69</c:v>
                </c:pt>
                <c:pt idx="107">
                  <c:v>63.39</c:v>
                </c:pt>
                <c:pt idx="108">
                  <c:v>64.11</c:v>
                </c:pt>
                <c:pt idx="109">
                  <c:v>64.819999999999993</c:v>
                </c:pt>
                <c:pt idx="110">
                  <c:v>65.53</c:v>
                </c:pt>
                <c:pt idx="111">
                  <c:v>66.22</c:v>
                </c:pt>
                <c:pt idx="112">
                  <c:v>66.88</c:v>
                </c:pt>
                <c:pt idx="113">
                  <c:v>67.5</c:v>
                </c:pt>
                <c:pt idx="114">
                  <c:v>68.08</c:v>
                </c:pt>
                <c:pt idx="115">
                  <c:v>68.599999999999994</c:v>
                </c:pt>
                <c:pt idx="116">
                  <c:v>69.069999999999993</c:v>
                </c:pt>
                <c:pt idx="117">
                  <c:v>69.5</c:v>
                </c:pt>
                <c:pt idx="118">
                  <c:v>69.900000000000006</c:v>
                </c:pt>
                <c:pt idx="119">
                  <c:v>70.28</c:v>
                </c:pt>
                <c:pt idx="120">
                  <c:v>70.650000000000006</c:v>
                </c:pt>
                <c:pt idx="121">
                  <c:v>71</c:v>
                </c:pt>
                <c:pt idx="122">
                  <c:v>71.36</c:v>
                </c:pt>
                <c:pt idx="123">
                  <c:v>71.72</c:v>
                </c:pt>
                <c:pt idx="124">
                  <c:v>72.099999999999994</c:v>
                </c:pt>
                <c:pt idx="125">
                  <c:v>72.5</c:v>
                </c:pt>
                <c:pt idx="126">
                  <c:v>72.92</c:v>
                </c:pt>
                <c:pt idx="127">
                  <c:v>73.36</c:v>
                </c:pt>
                <c:pt idx="128">
                  <c:v>73.819999999999993</c:v>
                </c:pt>
                <c:pt idx="129">
                  <c:v>74.28</c:v>
                </c:pt>
                <c:pt idx="130">
                  <c:v>74.739999999999995</c:v>
                </c:pt>
                <c:pt idx="131">
                  <c:v>75.2</c:v>
                </c:pt>
                <c:pt idx="132">
                  <c:v>75.650000000000006</c:v>
                </c:pt>
                <c:pt idx="133">
                  <c:v>76.08</c:v>
                </c:pt>
                <c:pt idx="134">
                  <c:v>76.5</c:v>
                </c:pt>
                <c:pt idx="135">
                  <c:v>76.900000000000006</c:v>
                </c:pt>
                <c:pt idx="136">
                  <c:v>77.28</c:v>
                </c:pt>
                <c:pt idx="137">
                  <c:v>77.64</c:v>
                </c:pt>
                <c:pt idx="138">
                  <c:v>78</c:v>
                </c:pt>
                <c:pt idx="139">
                  <c:v>78.34</c:v>
                </c:pt>
                <c:pt idx="140">
                  <c:v>78.680000000000007</c:v>
                </c:pt>
                <c:pt idx="141">
                  <c:v>79.010000000000005</c:v>
                </c:pt>
                <c:pt idx="142">
                  <c:v>79.34</c:v>
                </c:pt>
                <c:pt idx="143">
                  <c:v>79.66</c:v>
                </c:pt>
                <c:pt idx="144">
                  <c:v>79.98</c:v>
                </c:pt>
                <c:pt idx="145">
                  <c:v>80.3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5E11-4DC0-ACDC-BA33DC4A516F}"/>
            </c:ext>
          </c:extLst>
        </c:ser>
        <c:ser>
          <c:idx val="27"/>
          <c:order val="27"/>
          <c:tx>
            <c:strRef>
              <c:f>'Все-20K'!$AC$3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'Все-20K'!$AC$4:$AC$149</c:f>
              <c:numCache>
                <c:formatCode>0.0</c:formatCode>
                <c:ptCount val="146"/>
                <c:pt idx="55">
                  <c:v>10</c:v>
                </c:pt>
                <c:pt idx="56">
                  <c:v>10.3</c:v>
                </c:pt>
                <c:pt idx="57">
                  <c:v>10.6</c:v>
                </c:pt>
                <c:pt idx="58">
                  <c:v>10.9</c:v>
                </c:pt>
                <c:pt idx="59">
                  <c:v>11.2</c:v>
                </c:pt>
                <c:pt idx="60">
                  <c:v>11.5</c:v>
                </c:pt>
                <c:pt idx="61">
                  <c:v>11.8</c:v>
                </c:pt>
                <c:pt idx="62">
                  <c:v>12.1</c:v>
                </c:pt>
                <c:pt idx="63">
                  <c:v>12.4</c:v>
                </c:pt>
                <c:pt idx="64">
                  <c:v>12.7</c:v>
                </c:pt>
                <c:pt idx="65">
                  <c:v>13</c:v>
                </c:pt>
                <c:pt idx="66">
                  <c:v>13.31</c:v>
                </c:pt>
                <c:pt idx="67">
                  <c:v>13.62</c:v>
                </c:pt>
                <c:pt idx="68">
                  <c:v>13.94</c:v>
                </c:pt>
                <c:pt idx="69">
                  <c:v>14.26</c:v>
                </c:pt>
                <c:pt idx="70">
                  <c:v>14.57</c:v>
                </c:pt>
                <c:pt idx="71">
                  <c:v>14.89</c:v>
                </c:pt>
                <c:pt idx="72">
                  <c:v>15.19</c:v>
                </c:pt>
                <c:pt idx="73">
                  <c:v>15.48</c:v>
                </c:pt>
                <c:pt idx="74">
                  <c:v>15.75</c:v>
                </c:pt>
                <c:pt idx="75">
                  <c:v>16</c:v>
                </c:pt>
                <c:pt idx="76">
                  <c:v>16.22</c:v>
                </c:pt>
                <c:pt idx="77">
                  <c:v>16.41</c:v>
                </c:pt>
                <c:pt idx="78">
                  <c:v>16.579999999999998</c:v>
                </c:pt>
                <c:pt idx="79">
                  <c:v>16.73</c:v>
                </c:pt>
                <c:pt idx="80">
                  <c:v>16.89</c:v>
                </c:pt>
                <c:pt idx="81">
                  <c:v>17.05</c:v>
                </c:pt>
                <c:pt idx="82">
                  <c:v>17.23</c:v>
                </c:pt>
                <c:pt idx="83">
                  <c:v>17.440000000000001</c:v>
                </c:pt>
                <c:pt idx="84">
                  <c:v>17.7</c:v>
                </c:pt>
                <c:pt idx="85">
                  <c:v>18</c:v>
                </c:pt>
                <c:pt idx="86">
                  <c:v>18.46</c:v>
                </c:pt>
                <c:pt idx="87">
                  <c:v>19.16</c:v>
                </c:pt>
                <c:pt idx="88">
                  <c:v>20.05</c:v>
                </c:pt>
                <c:pt idx="89">
                  <c:v>21.07</c:v>
                </c:pt>
                <c:pt idx="90">
                  <c:v>22.2</c:v>
                </c:pt>
                <c:pt idx="91">
                  <c:v>23.38</c:v>
                </c:pt>
                <c:pt idx="92">
                  <c:v>24.56</c:v>
                </c:pt>
                <c:pt idx="93">
                  <c:v>25.71</c:v>
                </c:pt>
                <c:pt idx="94">
                  <c:v>26.77</c:v>
                </c:pt>
                <c:pt idx="95">
                  <c:v>27.7</c:v>
                </c:pt>
                <c:pt idx="96">
                  <c:v>28.54</c:v>
                </c:pt>
                <c:pt idx="97">
                  <c:v>29.34</c:v>
                </c:pt>
                <c:pt idx="98">
                  <c:v>30.13</c:v>
                </c:pt>
                <c:pt idx="99">
                  <c:v>30.89</c:v>
                </c:pt>
                <c:pt idx="100">
                  <c:v>31.64</c:v>
                </c:pt>
                <c:pt idx="101">
                  <c:v>32.380000000000003</c:v>
                </c:pt>
                <c:pt idx="102">
                  <c:v>33.11</c:v>
                </c:pt>
                <c:pt idx="103">
                  <c:v>33.840000000000003</c:v>
                </c:pt>
                <c:pt idx="104">
                  <c:v>34.56</c:v>
                </c:pt>
                <c:pt idx="105">
                  <c:v>35.299999999999997</c:v>
                </c:pt>
                <c:pt idx="106">
                  <c:v>36.04</c:v>
                </c:pt>
                <c:pt idx="107">
                  <c:v>36.799999999999997</c:v>
                </c:pt>
                <c:pt idx="108">
                  <c:v>37.549999999999997</c:v>
                </c:pt>
                <c:pt idx="109">
                  <c:v>38.299999999999997</c:v>
                </c:pt>
                <c:pt idx="110">
                  <c:v>39.04</c:v>
                </c:pt>
                <c:pt idx="111">
                  <c:v>39.78</c:v>
                </c:pt>
                <c:pt idx="112">
                  <c:v>40.49</c:v>
                </c:pt>
                <c:pt idx="113">
                  <c:v>41.19</c:v>
                </c:pt>
                <c:pt idx="114">
                  <c:v>41.86</c:v>
                </c:pt>
                <c:pt idx="115">
                  <c:v>42.5</c:v>
                </c:pt>
                <c:pt idx="116">
                  <c:v>43.11</c:v>
                </c:pt>
                <c:pt idx="117">
                  <c:v>43.68</c:v>
                </c:pt>
                <c:pt idx="118">
                  <c:v>44.23</c:v>
                </c:pt>
                <c:pt idx="119">
                  <c:v>44.77</c:v>
                </c:pt>
                <c:pt idx="120">
                  <c:v>45.3</c:v>
                </c:pt>
                <c:pt idx="121">
                  <c:v>45.82</c:v>
                </c:pt>
                <c:pt idx="122">
                  <c:v>46.34</c:v>
                </c:pt>
                <c:pt idx="123">
                  <c:v>46.88</c:v>
                </c:pt>
                <c:pt idx="124">
                  <c:v>47.43</c:v>
                </c:pt>
                <c:pt idx="125">
                  <c:v>48</c:v>
                </c:pt>
                <c:pt idx="126">
                  <c:v>48.58</c:v>
                </c:pt>
                <c:pt idx="127">
                  <c:v>49.16</c:v>
                </c:pt>
                <c:pt idx="128">
                  <c:v>49.74</c:v>
                </c:pt>
                <c:pt idx="129">
                  <c:v>50.32</c:v>
                </c:pt>
                <c:pt idx="130">
                  <c:v>50.91</c:v>
                </c:pt>
                <c:pt idx="131">
                  <c:v>51.53</c:v>
                </c:pt>
                <c:pt idx="132">
                  <c:v>52.17</c:v>
                </c:pt>
                <c:pt idx="133">
                  <c:v>52.84</c:v>
                </c:pt>
                <c:pt idx="134">
                  <c:v>53.55</c:v>
                </c:pt>
                <c:pt idx="135">
                  <c:v>54.3</c:v>
                </c:pt>
                <c:pt idx="136">
                  <c:v>55.11</c:v>
                </c:pt>
                <c:pt idx="137">
                  <c:v>55.98</c:v>
                </c:pt>
                <c:pt idx="138">
                  <c:v>56.91</c:v>
                </c:pt>
                <c:pt idx="139">
                  <c:v>57.89</c:v>
                </c:pt>
                <c:pt idx="140">
                  <c:v>58.91</c:v>
                </c:pt>
                <c:pt idx="141">
                  <c:v>59.97</c:v>
                </c:pt>
                <c:pt idx="142">
                  <c:v>61.05</c:v>
                </c:pt>
                <c:pt idx="143">
                  <c:v>62.16</c:v>
                </c:pt>
                <c:pt idx="144">
                  <c:v>63.27</c:v>
                </c:pt>
                <c:pt idx="145">
                  <c:v>64.400000000000006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5E11-4DC0-ACDC-BA33DC4A516F}"/>
            </c:ext>
          </c:extLst>
        </c:ser>
        <c:ser>
          <c:idx val="29"/>
          <c:order val="29"/>
          <c:tx>
            <c:strRef>
              <c:f>'Все-20K'!$AE$3</c:f>
              <c:strCache>
                <c:ptCount val="1"/>
                <c:pt idx="0">
                  <c:v>CCCР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'Все-20K'!$AE$4:$AE$149</c:f>
              <c:numCache>
                <c:formatCode>0.0</c:formatCode>
                <c:ptCount val="146"/>
                <c:pt idx="32">
                  <c:v>8.9</c:v>
                </c:pt>
                <c:pt idx="33">
                  <c:v>8.93</c:v>
                </c:pt>
                <c:pt idx="34">
                  <c:v>8.9600000000000009</c:v>
                </c:pt>
                <c:pt idx="35">
                  <c:v>8.99</c:v>
                </c:pt>
                <c:pt idx="36">
                  <c:v>9.02</c:v>
                </c:pt>
                <c:pt idx="37">
                  <c:v>9.0500000000000007</c:v>
                </c:pt>
                <c:pt idx="38">
                  <c:v>9.09</c:v>
                </c:pt>
                <c:pt idx="39">
                  <c:v>9.1199999999999992</c:v>
                </c:pt>
                <c:pt idx="40">
                  <c:v>9.15</c:v>
                </c:pt>
                <c:pt idx="41">
                  <c:v>9.19</c:v>
                </c:pt>
                <c:pt idx="42">
                  <c:v>9.23</c:v>
                </c:pt>
                <c:pt idx="43">
                  <c:v>9.27</c:v>
                </c:pt>
                <c:pt idx="44">
                  <c:v>9.32</c:v>
                </c:pt>
                <c:pt idx="45">
                  <c:v>9.36</c:v>
                </c:pt>
                <c:pt idx="46">
                  <c:v>9.41</c:v>
                </c:pt>
                <c:pt idx="47">
                  <c:v>9.4600000000000009</c:v>
                </c:pt>
                <c:pt idx="48">
                  <c:v>9.52</c:v>
                </c:pt>
                <c:pt idx="49">
                  <c:v>9.57</c:v>
                </c:pt>
                <c:pt idx="50">
                  <c:v>9.6300000000000008</c:v>
                </c:pt>
                <c:pt idx="51">
                  <c:v>9.6999999999999993</c:v>
                </c:pt>
                <c:pt idx="52">
                  <c:v>9.77</c:v>
                </c:pt>
                <c:pt idx="53">
                  <c:v>9.84</c:v>
                </c:pt>
                <c:pt idx="54">
                  <c:v>9.92</c:v>
                </c:pt>
                <c:pt idx="55">
                  <c:v>10</c:v>
                </c:pt>
                <c:pt idx="56">
                  <c:v>10.18</c:v>
                </c:pt>
                <c:pt idx="57">
                  <c:v>10.5</c:v>
                </c:pt>
                <c:pt idx="58">
                  <c:v>10.91</c:v>
                </c:pt>
                <c:pt idx="59">
                  <c:v>11.35</c:v>
                </c:pt>
                <c:pt idx="60">
                  <c:v>11.77</c:v>
                </c:pt>
                <c:pt idx="61">
                  <c:v>12.1</c:v>
                </c:pt>
                <c:pt idx="62">
                  <c:v>12.32</c:v>
                </c:pt>
                <c:pt idx="63">
                  <c:v>12.5</c:v>
                </c:pt>
                <c:pt idx="64">
                  <c:v>12.7</c:v>
                </c:pt>
                <c:pt idx="65">
                  <c:v>13</c:v>
                </c:pt>
                <c:pt idx="66">
                  <c:v>13.53</c:v>
                </c:pt>
                <c:pt idx="67">
                  <c:v>14.35</c:v>
                </c:pt>
                <c:pt idx="68">
                  <c:v>15.39</c:v>
                </c:pt>
                <c:pt idx="69">
                  <c:v>16.59</c:v>
                </c:pt>
                <c:pt idx="70">
                  <c:v>17.899999999999999</c:v>
                </c:pt>
                <c:pt idx="71">
                  <c:v>19.25</c:v>
                </c:pt>
                <c:pt idx="72">
                  <c:v>20.6</c:v>
                </c:pt>
                <c:pt idx="73">
                  <c:v>21.88</c:v>
                </c:pt>
                <c:pt idx="74">
                  <c:v>23.03</c:v>
                </c:pt>
                <c:pt idx="75">
                  <c:v>24</c:v>
                </c:pt>
                <c:pt idx="76">
                  <c:v>24.84</c:v>
                </c:pt>
                <c:pt idx="77">
                  <c:v>25.63</c:v>
                </c:pt>
                <c:pt idx="78">
                  <c:v>26.4</c:v>
                </c:pt>
                <c:pt idx="79">
                  <c:v>27.13</c:v>
                </c:pt>
                <c:pt idx="80">
                  <c:v>27.83</c:v>
                </c:pt>
                <c:pt idx="81">
                  <c:v>28.51</c:v>
                </c:pt>
                <c:pt idx="82">
                  <c:v>29.16</c:v>
                </c:pt>
                <c:pt idx="83">
                  <c:v>29.79</c:v>
                </c:pt>
                <c:pt idx="84">
                  <c:v>30.4</c:v>
                </c:pt>
                <c:pt idx="85">
                  <c:v>31</c:v>
                </c:pt>
                <c:pt idx="86">
                  <c:v>31.58</c:v>
                </c:pt>
                <c:pt idx="87">
                  <c:v>32.14</c:v>
                </c:pt>
                <c:pt idx="88">
                  <c:v>32.68</c:v>
                </c:pt>
                <c:pt idx="89">
                  <c:v>33.200000000000003</c:v>
                </c:pt>
                <c:pt idx="90">
                  <c:v>33.71</c:v>
                </c:pt>
                <c:pt idx="91">
                  <c:v>34.200000000000003</c:v>
                </c:pt>
                <c:pt idx="92">
                  <c:v>34.68</c:v>
                </c:pt>
                <c:pt idx="93">
                  <c:v>35.15</c:v>
                </c:pt>
                <c:pt idx="94">
                  <c:v>35.6</c:v>
                </c:pt>
                <c:pt idx="95">
                  <c:v>36</c:v>
                </c:pt>
                <c:pt idx="96">
                  <c:v>36.58</c:v>
                </c:pt>
                <c:pt idx="97">
                  <c:v>37.24</c:v>
                </c:pt>
                <c:pt idx="98">
                  <c:v>37.97</c:v>
                </c:pt>
                <c:pt idx="99">
                  <c:v>38.76</c:v>
                </c:pt>
                <c:pt idx="100">
                  <c:v>39.61</c:v>
                </c:pt>
                <c:pt idx="101">
                  <c:v>40.49</c:v>
                </c:pt>
                <c:pt idx="102">
                  <c:v>41.42</c:v>
                </c:pt>
                <c:pt idx="103">
                  <c:v>42.36</c:v>
                </c:pt>
                <c:pt idx="104">
                  <c:v>43.33</c:v>
                </c:pt>
                <c:pt idx="105">
                  <c:v>44.3</c:v>
                </c:pt>
                <c:pt idx="106">
                  <c:v>45.31</c:v>
                </c:pt>
                <c:pt idx="107">
                  <c:v>46.37</c:v>
                </c:pt>
                <c:pt idx="108">
                  <c:v>47.49</c:v>
                </c:pt>
                <c:pt idx="109">
                  <c:v>48.66</c:v>
                </c:pt>
                <c:pt idx="110">
                  <c:v>49.86</c:v>
                </c:pt>
                <c:pt idx="111">
                  <c:v>51.09</c:v>
                </c:pt>
                <c:pt idx="112">
                  <c:v>52.35</c:v>
                </c:pt>
                <c:pt idx="113">
                  <c:v>53.62</c:v>
                </c:pt>
                <c:pt idx="114">
                  <c:v>54.9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5E11-4DC0-ACDC-BA33DC4A516F}"/>
            </c:ext>
          </c:extLst>
        </c:ser>
        <c:ser>
          <c:idx val="30"/>
          <c:order val="30"/>
          <c:tx>
            <c:strRef>
              <c:f>'Все-20K'!$AF$3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'Все-20K'!$AF$4:$AF$149</c:f>
              <c:numCache>
                <c:formatCode>0.0</c:formatCode>
                <c:ptCount val="146"/>
                <c:pt idx="32">
                  <c:v>9</c:v>
                </c:pt>
                <c:pt idx="33">
                  <c:v>9.06</c:v>
                </c:pt>
                <c:pt idx="34">
                  <c:v>9.1199999999999992</c:v>
                </c:pt>
                <c:pt idx="35">
                  <c:v>9.17</c:v>
                </c:pt>
                <c:pt idx="36">
                  <c:v>9.23</c:v>
                </c:pt>
                <c:pt idx="37">
                  <c:v>9.2899999999999991</c:v>
                </c:pt>
                <c:pt idx="38">
                  <c:v>9.36</c:v>
                </c:pt>
                <c:pt idx="39">
                  <c:v>9.42</c:v>
                </c:pt>
                <c:pt idx="40">
                  <c:v>9.49</c:v>
                </c:pt>
                <c:pt idx="41">
                  <c:v>9.5500000000000007</c:v>
                </c:pt>
                <c:pt idx="42">
                  <c:v>9.6199999999999992</c:v>
                </c:pt>
                <c:pt idx="43">
                  <c:v>9.6999999999999993</c:v>
                </c:pt>
                <c:pt idx="44">
                  <c:v>9.77</c:v>
                </c:pt>
                <c:pt idx="45">
                  <c:v>9.85</c:v>
                </c:pt>
                <c:pt idx="46">
                  <c:v>9.94</c:v>
                </c:pt>
                <c:pt idx="47">
                  <c:v>10.02</c:v>
                </c:pt>
                <c:pt idx="48">
                  <c:v>10.11</c:v>
                </c:pt>
                <c:pt idx="49">
                  <c:v>10.210000000000001</c:v>
                </c:pt>
                <c:pt idx="50">
                  <c:v>10.31</c:v>
                </c:pt>
                <c:pt idx="51">
                  <c:v>10.41</c:v>
                </c:pt>
                <c:pt idx="52">
                  <c:v>10.52</c:v>
                </c:pt>
                <c:pt idx="53">
                  <c:v>10.64</c:v>
                </c:pt>
                <c:pt idx="54">
                  <c:v>10.76</c:v>
                </c:pt>
                <c:pt idx="55">
                  <c:v>10.89</c:v>
                </c:pt>
                <c:pt idx="56">
                  <c:v>11.02</c:v>
                </c:pt>
                <c:pt idx="57">
                  <c:v>11.16</c:v>
                </c:pt>
                <c:pt idx="58">
                  <c:v>11.31</c:v>
                </c:pt>
                <c:pt idx="59">
                  <c:v>11.47</c:v>
                </c:pt>
                <c:pt idx="60">
                  <c:v>11.63</c:v>
                </c:pt>
                <c:pt idx="61">
                  <c:v>11.8</c:v>
                </c:pt>
                <c:pt idx="62">
                  <c:v>12.02</c:v>
                </c:pt>
                <c:pt idx="63">
                  <c:v>12.31</c:v>
                </c:pt>
                <c:pt idx="64">
                  <c:v>12.69</c:v>
                </c:pt>
                <c:pt idx="65">
                  <c:v>13.14</c:v>
                </c:pt>
                <c:pt idx="66">
                  <c:v>13.66</c:v>
                </c:pt>
                <c:pt idx="67">
                  <c:v>14.25</c:v>
                </c:pt>
                <c:pt idx="68">
                  <c:v>14.9</c:v>
                </c:pt>
                <c:pt idx="69">
                  <c:v>15.61</c:v>
                </c:pt>
                <c:pt idx="70">
                  <c:v>16.37</c:v>
                </c:pt>
                <c:pt idx="71">
                  <c:v>17.190000000000001</c:v>
                </c:pt>
                <c:pt idx="72">
                  <c:v>18.05</c:v>
                </c:pt>
                <c:pt idx="73">
                  <c:v>18.96</c:v>
                </c:pt>
                <c:pt idx="74">
                  <c:v>19.899999999999999</c:v>
                </c:pt>
                <c:pt idx="75">
                  <c:v>20.88</c:v>
                </c:pt>
                <c:pt idx="76">
                  <c:v>21.89</c:v>
                </c:pt>
                <c:pt idx="77">
                  <c:v>22.93</c:v>
                </c:pt>
                <c:pt idx="78">
                  <c:v>23.99</c:v>
                </c:pt>
                <c:pt idx="79">
                  <c:v>25.07</c:v>
                </c:pt>
                <c:pt idx="80">
                  <c:v>26.17</c:v>
                </c:pt>
                <c:pt idx="81">
                  <c:v>27.28</c:v>
                </c:pt>
                <c:pt idx="82">
                  <c:v>28.39</c:v>
                </c:pt>
                <c:pt idx="83">
                  <c:v>29.51</c:v>
                </c:pt>
                <c:pt idx="84">
                  <c:v>30.64</c:v>
                </c:pt>
                <c:pt idx="85">
                  <c:v>31.75</c:v>
                </c:pt>
                <c:pt idx="86">
                  <c:v>32.86</c:v>
                </c:pt>
                <c:pt idx="87">
                  <c:v>33.96</c:v>
                </c:pt>
                <c:pt idx="88">
                  <c:v>35.04</c:v>
                </c:pt>
                <c:pt idx="89">
                  <c:v>36.11</c:v>
                </c:pt>
                <c:pt idx="90">
                  <c:v>37.15</c:v>
                </c:pt>
                <c:pt idx="91">
                  <c:v>38.159999999999997</c:v>
                </c:pt>
                <c:pt idx="92">
                  <c:v>39.14</c:v>
                </c:pt>
                <c:pt idx="93">
                  <c:v>40.090000000000003</c:v>
                </c:pt>
                <c:pt idx="94">
                  <c:v>41</c:v>
                </c:pt>
                <c:pt idx="95">
                  <c:v>41.89</c:v>
                </c:pt>
                <c:pt idx="96">
                  <c:v>42.79</c:v>
                </c:pt>
                <c:pt idx="97">
                  <c:v>43.7</c:v>
                </c:pt>
                <c:pt idx="98">
                  <c:v>44.6</c:v>
                </c:pt>
                <c:pt idx="99">
                  <c:v>45.51</c:v>
                </c:pt>
                <c:pt idx="100">
                  <c:v>46.41</c:v>
                </c:pt>
                <c:pt idx="101">
                  <c:v>47.31</c:v>
                </c:pt>
                <c:pt idx="102">
                  <c:v>48.2</c:v>
                </c:pt>
                <c:pt idx="103">
                  <c:v>49.08</c:v>
                </c:pt>
                <c:pt idx="104">
                  <c:v>49.95</c:v>
                </c:pt>
                <c:pt idx="105">
                  <c:v>50.8</c:v>
                </c:pt>
                <c:pt idx="106">
                  <c:v>51.66</c:v>
                </c:pt>
                <c:pt idx="107">
                  <c:v>52.55</c:v>
                </c:pt>
                <c:pt idx="108">
                  <c:v>53.44</c:v>
                </c:pt>
                <c:pt idx="109">
                  <c:v>54.33</c:v>
                </c:pt>
                <c:pt idx="110">
                  <c:v>55.18</c:v>
                </c:pt>
                <c:pt idx="111">
                  <c:v>56</c:v>
                </c:pt>
                <c:pt idx="112">
                  <c:v>56.75</c:v>
                </c:pt>
                <c:pt idx="113">
                  <c:v>57.42</c:v>
                </c:pt>
                <c:pt idx="114">
                  <c:v>58</c:v>
                </c:pt>
                <c:pt idx="115">
                  <c:v>58.5</c:v>
                </c:pt>
                <c:pt idx="116">
                  <c:v>58.97</c:v>
                </c:pt>
                <c:pt idx="117">
                  <c:v>59.41</c:v>
                </c:pt>
                <c:pt idx="118">
                  <c:v>59.82</c:v>
                </c:pt>
                <c:pt idx="119">
                  <c:v>60.2</c:v>
                </c:pt>
                <c:pt idx="120">
                  <c:v>60.57</c:v>
                </c:pt>
                <c:pt idx="121">
                  <c:v>60.91</c:v>
                </c:pt>
                <c:pt idx="122">
                  <c:v>61.25</c:v>
                </c:pt>
                <c:pt idx="123">
                  <c:v>61.58</c:v>
                </c:pt>
                <c:pt idx="124">
                  <c:v>61.9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5E11-4DC0-ACDC-BA33DC4A5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284655"/>
        <c:axId val="8328897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'Все-20K'!$C$3</c15:sqref>
                        </c15:formulaRef>
                      </c:ext>
                    </c:extLst>
                    <c:strCache>
                      <c:ptCount val="1"/>
                      <c:pt idx="0">
                        <c:v>Багамские Острова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'Все-20K'!$C$4:$C$149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54.4</c:v>
                      </c:pt>
                      <c:pt idx="86">
                        <c:v>55.55</c:v>
                      </c:pt>
                      <c:pt idx="87">
                        <c:v>56.68</c:v>
                      </c:pt>
                      <c:pt idx="88">
                        <c:v>57.76</c:v>
                      </c:pt>
                      <c:pt idx="89">
                        <c:v>58.77</c:v>
                      </c:pt>
                      <c:pt idx="90">
                        <c:v>59.69</c:v>
                      </c:pt>
                      <c:pt idx="91">
                        <c:v>60.5</c:v>
                      </c:pt>
                      <c:pt idx="92">
                        <c:v>61.16</c:v>
                      </c:pt>
                      <c:pt idx="93">
                        <c:v>61.67</c:v>
                      </c:pt>
                      <c:pt idx="94">
                        <c:v>61.99</c:v>
                      </c:pt>
                      <c:pt idx="95">
                        <c:v>62.1</c:v>
                      </c:pt>
                      <c:pt idx="96">
                        <c:v>62.04</c:v>
                      </c:pt>
                      <c:pt idx="97">
                        <c:v>61.89</c:v>
                      </c:pt>
                      <c:pt idx="98">
                        <c:v>61.67</c:v>
                      </c:pt>
                      <c:pt idx="99">
                        <c:v>61.4</c:v>
                      </c:pt>
                      <c:pt idx="100">
                        <c:v>61.1</c:v>
                      </c:pt>
                      <c:pt idx="101">
                        <c:v>60.8</c:v>
                      </c:pt>
                      <c:pt idx="102">
                        <c:v>60.53</c:v>
                      </c:pt>
                      <c:pt idx="103">
                        <c:v>60.31</c:v>
                      </c:pt>
                      <c:pt idx="104">
                        <c:v>60.16</c:v>
                      </c:pt>
                      <c:pt idx="105">
                        <c:v>60.1</c:v>
                      </c:pt>
                      <c:pt idx="106">
                        <c:v>60.17</c:v>
                      </c:pt>
                      <c:pt idx="107">
                        <c:v>60.35</c:v>
                      </c:pt>
                      <c:pt idx="108">
                        <c:v>60.65</c:v>
                      </c:pt>
                      <c:pt idx="109">
                        <c:v>61.04</c:v>
                      </c:pt>
                      <c:pt idx="110">
                        <c:v>61.51</c:v>
                      </c:pt>
                      <c:pt idx="111">
                        <c:v>62.04</c:v>
                      </c:pt>
                      <c:pt idx="112">
                        <c:v>62.64</c:v>
                      </c:pt>
                      <c:pt idx="113">
                        <c:v>63.27</c:v>
                      </c:pt>
                      <c:pt idx="114">
                        <c:v>63.93</c:v>
                      </c:pt>
                      <c:pt idx="115">
                        <c:v>64.599999999999994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E11-4DC0-ACDC-BA33DC4A516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'Все-20K'!$D$3</c15:sqref>
                        </c15:formulaRef>
                      </c:ext>
                    </c:extLst>
                    <c:strCache>
                      <c:ptCount val="1"/>
                      <c:pt idx="0">
                        <c:v>Барбадос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'Все-20K'!$D$4:$D$149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45.5</c:v>
                      </c:pt>
                      <c:pt idx="86">
                        <c:v>45.57</c:v>
                      </c:pt>
                      <c:pt idx="87">
                        <c:v>45.64</c:v>
                      </c:pt>
                      <c:pt idx="88">
                        <c:v>45.7</c:v>
                      </c:pt>
                      <c:pt idx="89">
                        <c:v>45.77</c:v>
                      </c:pt>
                      <c:pt idx="90">
                        <c:v>45.84</c:v>
                      </c:pt>
                      <c:pt idx="91">
                        <c:v>45.91</c:v>
                      </c:pt>
                      <c:pt idx="92">
                        <c:v>45.98</c:v>
                      </c:pt>
                      <c:pt idx="93">
                        <c:v>46.05</c:v>
                      </c:pt>
                      <c:pt idx="94">
                        <c:v>46.13</c:v>
                      </c:pt>
                      <c:pt idx="95">
                        <c:v>46.2</c:v>
                      </c:pt>
                      <c:pt idx="96">
                        <c:v>46.28</c:v>
                      </c:pt>
                      <c:pt idx="97">
                        <c:v>46.38</c:v>
                      </c:pt>
                      <c:pt idx="98">
                        <c:v>46.48</c:v>
                      </c:pt>
                      <c:pt idx="99">
                        <c:v>46.59</c:v>
                      </c:pt>
                      <c:pt idx="100">
                        <c:v>46.69</c:v>
                      </c:pt>
                      <c:pt idx="101">
                        <c:v>46.79</c:v>
                      </c:pt>
                      <c:pt idx="102">
                        <c:v>46.87</c:v>
                      </c:pt>
                      <c:pt idx="103">
                        <c:v>46.94</c:v>
                      </c:pt>
                      <c:pt idx="104">
                        <c:v>46.98</c:v>
                      </c:pt>
                      <c:pt idx="105">
                        <c:v>47</c:v>
                      </c:pt>
                      <c:pt idx="106">
                        <c:v>46.99</c:v>
                      </c:pt>
                      <c:pt idx="107">
                        <c:v>46.98</c:v>
                      </c:pt>
                      <c:pt idx="108">
                        <c:v>46.95</c:v>
                      </c:pt>
                      <c:pt idx="109">
                        <c:v>46.92</c:v>
                      </c:pt>
                      <c:pt idx="110">
                        <c:v>46.87</c:v>
                      </c:pt>
                      <c:pt idx="111">
                        <c:v>46.83</c:v>
                      </c:pt>
                      <c:pt idx="112">
                        <c:v>46.77</c:v>
                      </c:pt>
                      <c:pt idx="113">
                        <c:v>46.72</c:v>
                      </c:pt>
                      <c:pt idx="114">
                        <c:v>46.66</c:v>
                      </c:pt>
                      <c:pt idx="115">
                        <c:v>46.6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E11-4DC0-ACDC-BA33DC4A516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'Все-20K'!$E$3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'Все-20K'!$E$4:$E$149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37</c:v>
                      </c:pt>
                      <c:pt idx="86">
                        <c:v>38.090000000000003</c:v>
                      </c:pt>
                      <c:pt idx="87">
                        <c:v>39.159999999999997</c:v>
                      </c:pt>
                      <c:pt idx="88">
                        <c:v>40.19</c:v>
                      </c:pt>
                      <c:pt idx="89">
                        <c:v>41.15</c:v>
                      </c:pt>
                      <c:pt idx="90">
                        <c:v>42.02</c:v>
                      </c:pt>
                      <c:pt idx="91">
                        <c:v>42.78</c:v>
                      </c:pt>
                      <c:pt idx="92">
                        <c:v>43.41</c:v>
                      </c:pt>
                      <c:pt idx="93">
                        <c:v>43.89</c:v>
                      </c:pt>
                      <c:pt idx="94">
                        <c:v>44.19</c:v>
                      </c:pt>
                      <c:pt idx="95">
                        <c:v>44.3</c:v>
                      </c:pt>
                      <c:pt idx="96">
                        <c:v>44.15</c:v>
                      </c:pt>
                      <c:pt idx="97">
                        <c:v>43.72</c:v>
                      </c:pt>
                      <c:pt idx="98">
                        <c:v>43.07</c:v>
                      </c:pt>
                      <c:pt idx="99">
                        <c:v>42.24</c:v>
                      </c:pt>
                      <c:pt idx="100">
                        <c:v>41.27</c:v>
                      </c:pt>
                      <c:pt idx="101">
                        <c:v>40.229999999999997</c:v>
                      </c:pt>
                      <c:pt idx="102">
                        <c:v>39.15</c:v>
                      </c:pt>
                      <c:pt idx="103">
                        <c:v>38.090000000000003</c:v>
                      </c:pt>
                      <c:pt idx="104">
                        <c:v>37.090000000000003</c:v>
                      </c:pt>
                      <c:pt idx="105">
                        <c:v>36.200000000000003</c:v>
                      </c:pt>
                      <c:pt idx="106">
                        <c:v>35.380000000000003</c:v>
                      </c:pt>
                      <c:pt idx="107">
                        <c:v>34.549999999999997</c:v>
                      </c:pt>
                      <c:pt idx="108">
                        <c:v>33.729999999999997</c:v>
                      </c:pt>
                      <c:pt idx="109">
                        <c:v>32.9</c:v>
                      </c:pt>
                      <c:pt idx="110">
                        <c:v>32.07</c:v>
                      </c:pt>
                      <c:pt idx="111">
                        <c:v>31.24</c:v>
                      </c:pt>
                      <c:pt idx="112">
                        <c:v>30.4</c:v>
                      </c:pt>
                      <c:pt idx="113">
                        <c:v>29.57</c:v>
                      </c:pt>
                      <c:pt idx="114">
                        <c:v>28.74</c:v>
                      </c:pt>
                      <c:pt idx="115">
                        <c:v>27.9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E11-4DC0-ACDC-BA33DC4A516F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'Все-20K'!$I$3</c15:sqref>
                        </c15:formulaRef>
                      </c:ext>
                    </c:extLst>
                    <c:strCache>
                      <c:ptCount val="1"/>
                      <c:pt idx="0">
                        <c:v>Гайана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'Все-20K'!$I$4:$I$149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24.5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E11-4DC0-ACDC-BA33DC4A516F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'Все-20K'!$J$3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'Все-20K'!$J$4:$J$149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5.5</c:v>
                      </c:pt>
                      <c:pt idx="86">
                        <c:v>5.92</c:v>
                      </c:pt>
                      <c:pt idx="87">
                        <c:v>6.34</c:v>
                      </c:pt>
                      <c:pt idx="88">
                        <c:v>6.76</c:v>
                      </c:pt>
                      <c:pt idx="89">
                        <c:v>7.18</c:v>
                      </c:pt>
                      <c:pt idx="90">
                        <c:v>7.6</c:v>
                      </c:pt>
                      <c:pt idx="91">
                        <c:v>8.02</c:v>
                      </c:pt>
                      <c:pt idx="92">
                        <c:v>8.43</c:v>
                      </c:pt>
                      <c:pt idx="93">
                        <c:v>8.85</c:v>
                      </c:pt>
                      <c:pt idx="94">
                        <c:v>9.27</c:v>
                      </c:pt>
                      <c:pt idx="95">
                        <c:v>9.68</c:v>
                      </c:pt>
                      <c:pt idx="96">
                        <c:v>10.09</c:v>
                      </c:pt>
                      <c:pt idx="97">
                        <c:v>10.5</c:v>
                      </c:pt>
                      <c:pt idx="98">
                        <c:v>10.91</c:v>
                      </c:pt>
                      <c:pt idx="99">
                        <c:v>11.32</c:v>
                      </c:pt>
                      <c:pt idx="100">
                        <c:v>11.72</c:v>
                      </c:pt>
                      <c:pt idx="101">
                        <c:v>12.12</c:v>
                      </c:pt>
                      <c:pt idx="102">
                        <c:v>12.52</c:v>
                      </c:pt>
                      <c:pt idx="103">
                        <c:v>12.92</c:v>
                      </c:pt>
                      <c:pt idx="104">
                        <c:v>13.31</c:v>
                      </c:pt>
                      <c:pt idx="105">
                        <c:v>13.7</c:v>
                      </c:pt>
                      <c:pt idx="106">
                        <c:v>14.07</c:v>
                      </c:pt>
                      <c:pt idx="107">
                        <c:v>14.42</c:v>
                      </c:pt>
                      <c:pt idx="108">
                        <c:v>14.75</c:v>
                      </c:pt>
                      <c:pt idx="109">
                        <c:v>15.07</c:v>
                      </c:pt>
                      <c:pt idx="110">
                        <c:v>15.4</c:v>
                      </c:pt>
                      <c:pt idx="111">
                        <c:v>15.73</c:v>
                      </c:pt>
                      <c:pt idx="112">
                        <c:v>16.09</c:v>
                      </c:pt>
                      <c:pt idx="113">
                        <c:v>16.48</c:v>
                      </c:pt>
                      <c:pt idx="114">
                        <c:v>16.920000000000002</c:v>
                      </c:pt>
                      <c:pt idx="115">
                        <c:v>17.399999999999999</c:v>
                      </c:pt>
                      <c:pt idx="116">
                        <c:v>17.940000000000001</c:v>
                      </c:pt>
                      <c:pt idx="117">
                        <c:v>18.52</c:v>
                      </c:pt>
                      <c:pt idx="118">
                        <c:v>19.14</c:v>
                      </c:pt>
                      <c:pt idx="119">
                        <c:v>19.809999999999999</c:v>
                      </c:pt>
                      <c:pt idx="120">
                        <c:v>20.52</c:v>
                      </c:pt>
                      <c:pt idx="121">
                        <c:v>21.26</c:v>
                      </c:pt>
                      <c:pt idx="122">
                        <c:v>22.04</c:v>
                      </c:pt>
                      <c:pt idx="123">
                        <c:v>22.84</c:v>
                      </c:pt>
                      <c:pt idx="124">
                        <c:v>23.68</c:v>
                      </c:pt>
                      <c:pt idx="125">
                        <c:v>24.54</c:v>
                      </c:pt>
                      <c:pt idx="126">
                        <c:v>25.43</c:v>
                      </c:pt>
                      <c:pt idx="127">
                        <c:v>26.34</c:v>
                      </c:pt>
                      <c:pt idx="128">
                        <c:v>27.27</c:v>
                      </c:pt>
                      <c:pt idx="129">
                        <c:v>28.21</c:v>
                      </c:pt>
                      <c:pt idx="130">
                        <c:v>29.17</c:v>
                      </c:pt>
                      <c:pt idx="131">
                        <c:v>30.14</c:v>
                      </c:pt>
                      <c:pt idx="132">
                        <c:v>31.12</c:v>
                      </c:pt>
                      <c:pt idx="133">
                        <c:v>32.11</c:v>
                      </c:pt>
                      <c:pt idx="134">
                        <c:v>33.1</c:v>
                      </c:pt>
                      <c:pt idx="135">
                        <c:v>34.1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E11-4DC0-ACDC-BA33DC4A516F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'Все-20K'!$M$3</c15:sqref>
                        </c15:formulaRef>
                      </c:ext>
                    </c:extLst>
                    <c:strCache>
                      <c:ptCount val="1"/>
                      <c:pt idx="0">
                        <c:v>Гренада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'Все-20K'!$M$4:$M$149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30.3</c:v>
                      </c:pt>
                      <c:pt idx="96">
                        <c:v>30.47</c:v>
                      </c:pt>
                      <c:pt idx="97">
                        <c:v>30.65</c:v>
                      </c:pt>
                      <c:pt idx="98">
                        <c:v>30.82</c:v>
                      </c:pt>
                      <c:pt idx="99">
                        <c:v>30.99</c:v>
                      </c:pt>
                      <c:pt idx="100">
                        <c:v>31.16</c:v>
                      </c:pt>
                      <c:pt idx="101">
                        <c:v>31.32</c:v>
                      </c:pt>
                      <c:pt idx="102">
                        <c:v>31.47</c:v>
                      </c:pt>
                      <c:pt idx="103">
                        <c:v>31.62</c:v>
                      </c:pt>
                      <c:pt idx="104">
                        <c:v>31.77</c:v>
                      </c:pt>
                      <c:pt idx="105">
                        <c:v>31.9</c:v>
                      </c:pt>
                      <c:pt idx="106">
                        <c:v>32.03</c:v>
                      </c:pt>
                      <c:pt idx="107">
                        <c:v>32.15</c:v>
                      </c:pt>
                      <c:pt idx="108">
                        <c:v>32.270000000000003</c:v>
                      </c:pt>
                      <c:pt idx="109">
                        <c:v>32.380000000000003</c:v>
                      </c:pt>
                      <c:pt idx="110">
                        <c:v>32.49</c:v>
                      </c:pt>
                      <c:pt idx="111">
                        <c:v>32.590000000000003</c:v>
                      </c:pt>
                      <c:pt idx="112">
                        <c:v>32.700000000000003</c:v>
                      </c:pt>
                      <c:pt idx="113">
                        <c:v>32.799999999999997</c:v>
                      </c:pt>
                      <c:pt idx="114">
                        <c:v>32.9</c:v>
                      </c:pt>
                      <c:pt idx="115">
                        <c:v>33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E11-4DC0-ACDC-BA33DC4A516F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'Все-20K'!$X$3</c15:sqref>
                        </c15:formulaRef>
                      </c:ext>
                    </c:extLst>
                    <c:strCache>
                      <c:ptCount val="1"/>
                      <c:pt idx="0">
                        <c:v>Сент-Винсент и Гренадины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'Все-20K'!$X$4:$X$149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25.6</c:v>
                      </c:pt>
                      <c:pt idx="96">
                        <c:v>25.81</c:v>
                      </c:pt>
                      <c:pt idx="97">
                        <c:v>26.01</c:v>
                      </c:pt>
                      <c:pt idx="98">
                        <c:v>26.21</c:v>
                      </c:pt>
                      <c:pt idx="99">
                        <c:v>26.4</c:v>
                      </c:pt>
                      <c:pt idx="100">
                        <c:v>26.56</c:v>
                      </c:pt>
                      <c:pt idx="101">
                        <c:v>26.71</c:v>
                      </c:pt>
                      <c:pt idx="102">
                        <c:v>26.83</c:v>
                      </c:pt>
                      <c:pt idx="103">
                        <c:v>26.92</c:v>
                      </c:pt>
                      <c:pt idx="104">
                        <c:v>26.98</c:v>
                      </c:pt>
                      <c:pt idx="105">
                        <c:v>27</c:v>
                      </c:pt>
                      <c:pt idx="106">
                        <c:v>26.98</c:v>
                      </c:pt>
                      <c:pt idx="107">
                        <c:v>26.93</c:v>
                      </c:pt>
                      <c:pt idx="108">
                        <c:v>26.84</c:v>
                      </c:pt>
                      <c:pt idx="109">
                        <c:v>26.73</c:v>
                      </c:pt>
                      <c:pt idx="110">
                        <c:v>26.59</c:v>
                      </c:pt>
                      <c:pt idx="111">
                        <c:v>26.44</c:v>
                      </c:pt>
                      <c:pt idx="112">
                        <c:v>26.27</c:v>
                      </c:pt>
                      <c:pt idx="113">
                        <c:v>26.08</c:v>
                      </c:pt>
                      <c:pt idx="114">
                        <c:v>25.89</c:v>
                      </c:pt>
                      <c:pt idx="115">
                        <c:v>25.7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E11-4DC0-ACDC-BA33DC4A516F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'Все-20K'!$Y$3</c15:sqref>
                        </c15:formulaRef>
                      </c:ext>
                    </c:extLst>
                    <c:strCache>
                      <c:ptCount val="1"/>
                      <c:pt idx="0">
                        <c:v>Сент-Люсия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'Все-20K'!$Y$4:$Y$149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32</c:v>
                      </c:pt>
                      <c:pt idx="86">
                        <c:v>32.65</c:v>
                      </c:pt>
                      <c:pt idx="87">
                        <c:v>33.29</c:v>
                      </c:pt>
                      <c:pt idx="88">
                        <c:v>33.92</c:v>
                      </c:pt>
                      <c:pt idx="89">
                        <c:v>34.54</c:v>
                      </c:pt>
                      <c:pt idx="90">
                        <c:v>35.130000000000003</c:v>
                      </c:pt>
                      <c:pt idx="91">
                        <c:v>35.700000000000003</c:v>
                      </c:pt>
                      <c:pt idx="92">
                        <c:v>36.24</c:v>
                      </c:pt>
                      <c:pt idx="93">
                        <c:v>36.74</c:v>
                      </c:pt>
                      <c:pt idx="94">
                        <c:v>37.19</c:v>
                      </c:pt>
                      <c:pt idx="95">
                        <c:v>37.6</c:v>
                      </c:pt>
                      <c:pt idx="96">
                        <c:v>37.99</c:v>
                      </c:pt>
                      <c:pt idx="97">
                        <c:v>38.39</c:v>
                      </c:pt>
                      <c:pt idx="98">
                        <c:v>38.79</c:v>
                      </c:pt>
                      <c:pt idx="99">
                        <c:v>39.17</c:v>
                      </c:pt>
                      <c:pt idx="100">
                        <c:v>39.53</c:v>
                      </c:pt>
                      <c:pt idx="101">
                        <c:v>39.85</c:v>
                      </c:pt>
                      <c:pt idx="102">
                        <c:v>40.11</c:v>
                      </c:pt>
                      <c:pt idx="103">
                        <c:v>40.32</c:v>
                      </c:pt>
                      <c:pt idx="104">
                        <c:v>40.450000000000003</c:v>
                      </c:pt>
                      <c:pt idx="105">
                        <c:v>40.5</c:v>
                      </c:pt>
                      <c:pt idx="106">
                        <c:v>40.46</c:v>
                      </c:pt>
                      <c:pt idx="107">
                        <c:v>40.35</c:v>
                      </c:pt>
                      <c:pt idx="108">
                        <c:v>40.18</c:v>
                      </c:pt>
                      <c:pt idx="109">
                        <c:v>39.96</c:v>
                      </c:pt>
                      <c:pt idx="110">
                        <c:v>39.69</c:v>
                      </c:pt>
                      <c:pt idx="111">
                        <c:v>39.380000000000003</c:v>
                      </c:pt>
                      <c:pt idx="112">
                        <c:v>39.03</c:v>
                      </c:pt>
                      <c:pt idx="113">
                        <c:v>38.67</c:v>
                      </c:pt>
                      <c:pt idx="114">
                        <c:v>38.29</c:v>
                      </c:pt>
                      <c:pt idx="115">
                        <c:v>37.9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E11-4DC0-ACDC-BA33DC4A516F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'Все-20K'!$Z$3</c15:sqref>
                        </c15:formulaRef>
                      </c:ext>
                    </c:extLst>
                    <c:strCache>
                      <c:ptCount val="1"/>
                      <c:pt idx="0">
                        <c:v>Тринидад и Тобаго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'Все-20K'!$Z$4:$Z$149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22.1</c:v>
                      </c:pt>
                      <c:pt idx="86">
                        <c:v>24.24</c:v>
                      </c:pt>
                      <c:pt idx="87">
                        <c:v>26.34</c:v>
                      </c:pt>
                      <c:pt idx="88">
                        <c:v>28.36</c:v>
                      </c:pt>
                      <c:pt idx="89">
                        <c:v>30.26</c:v>
                      </c:pt>
                      <c:pt idx="90">
                        <c:v>31.99</c:v>
                      </c:pt>
                      <c:pt idx="91">
                        <c:v>33.520000000000003</c:v>
                      </c:pt>
                      <c:pt idx="92">
                        <c:v>34.81</c:v>
                      </c:pt>
                      <c:pt idx="93">
                        <c:v>35.81</c:v>
                      </c:pt>
                      <c:pt idx="94">
                        <c:v>36.49</c:v>
                      </c:pt>
                      <c:pt idx="95">
                        <c:v>36.799999999999997</c:v>
                      </c:pt>
                      <c:pt idx="96">
                        <c:v>36.9</c:v>
                      </c:pt>
                      <c:pt idx="97">
                        <c:v>36.979999999999997</c:v>
                      </c:pt>
                      <c:pt idx="98">
                        <c:v>37.03</c:v>
                      </c:pt>
                      <c:pt idx="99">
                        <c:v>37.08</c:v>
                      </c:pt>
                      <c:pt idx="100">
                        <c:v>37.119999999999997</c:v>
                      </c:pt>
                      <c:pt idx="101">
                        <c:v>37.15</c:v>
                      </c:pt>
                      <c:pt idx="102">
                        <c:v>37.19</c:v>
                      </c:pt>
                      <c:pt idx="103">
                        <c:v>37.24</c:v>
                      </c:pt>
                      <c:pt idx="104">
                        <c:v>37.31</c:v>
                      </c:pt>
                      <c:pt idx="105">
                        <c:v>37.4</c:v>
                      </c:pt>
                      <c:pt idx="106">
                        <c:v>37.54</c:v>
                      </c:pt>
                      <c:pt idx="107">
                        <c:v>37.74</c:v>
                      </c:pt>
                      <c:pt idx="108">
                        <c:v>38</c:v>
                      </c:pt>
                      <c:pt idx="109">
                        <c:v>38.299999999999997</c:v>
                      </c:pt>
                      <c:pt idx="110">
                        <c:v>38.65</c:v>
                      </c:pt>
                      <c:pt idx="111">
                        <c:v>39.04</c:v>
                      </c:pt>
                      <c:pt idx="112">
                        <c:v>39.46</c:v>
                      </c:pt>
                      <c:pt idx="113">
                        <c:v>39.89</c:v>
                      </c:pt>
                      <c:pt idx="114">
                        <c:v>40.340000000000003</c:v>
                      </c:pt>
                      <c:pt idx="115">
                        <c:v>40.799999999999997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E11-4DC0-ACDC-BA33DC4A516F}"/>
                  </c:ext>
                </c:extLst>
              </c15:ser>
            </c15:filteredScatterSeries>
            <c15:filteredScatter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'Все-20K'!$AD$3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'Все-20K'!$AD$4:$AD$149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56">
                        <c:v>10.3</c:v>
                      </c:pt>
                      <c:pt idx="57">
                        <c:v>10.7</c:v>
                      </c:pt>
                      <c:pt idx="58">
                        <c:v>11.09</c:v>
                      </c:pt>
                      <c:pt idx="59">
                        <c:v>11.48</c:v>
                      </c:pt>
                      <c:pt idx="60">
                        <c:v>11.87</c:v>
                      </c:pt>
                      <c:pt idx="61">
                        <c:v>12.25</c:v>
                      </c:pt>
                      <c:pt idx="62">
                        <c:v>12.62</c:v>
                      </c:pt>
                      <c:pt idx="63">
                        <c:v>12.98</c:v>
                      </c:pt>
                      <c:pt idx="64">
                        <c:v>13.33</c:v>
                      </c:pt>
                      <c:pt idx="65">
                        <c:v>13.67</c:v>
                      </c:pt>
                      <c:pt idx="66">
                        <c:v>14</c:v>
                      </c:pt>
                      <c:pt idx="67">
                        <c:v>14.31</c:v>
                      </c:pt>
                      <c:pt idx="68">
                        <c:v>14.61</c:v>
                      </c:pt>
                      <c:pt idx="69">
                        <c:v>14.88</c:v>
                      </c:pt>
                      <c:pt idx="70">
                        <c:v>15.14</c:v>
                      </c:pt>
                      <c:pt idx="71">
                        <c:v>15.38</c:v>
                      </c:pt>
                      <c:pt idx="72">
                        <c:v>15.59</c:v>
                      </c:pt>
                      <c:pt idx="73">
                        <c:v>15.78</c:v>
                      </c:pt>
                      <c:pt idx="74">
                        <c:v>15.94</c:v>
                      </c:pt>
                      <c:pt idx="75">
                        <c:v>16.07</c:v>
                      </c:pt>
                      <c:pt idx="76">
                        <c:v>16.18</c:v>
                      </c:pt>
                      <c:pt idx="77">
                        <c:v>16.260000000000002</c:v>
                      </c:pt>
                      <c:pt idx="78">
                        <c:v>16.3</c:v>
                      </c:pt>
                      <c:pt idx="79">
                        <c:v>16.32</c:v>
                      </c:pt>
                      <c:pt idx="80">
                        <c:v>16.34</c:v>
                      </c:pt>
                      <c:pt idx="81">
                        <c:v>16.350000000000001</c:v>
                      </c:pt>
                      <c:pt idx="82">
                        <c:v>16.350000000000001</c:v>
                      </c:pt>
                      <c:pt idx="83">
                        <c:v>16.36</c:v>
                      </c:pt>
                      <c:pt idx="84">
                        <c:v>16.38</c:v>
                      </c:pt>
                      <c:pt idx="85">
                        <c:v>16.399999999999999</c:v>
                      </c:pt>
                      <c:pt idx="86">
                        <c:v>16.59</c:v>
                      </c:pt>
                      <c:pt idx="87">
                        <c:v>17.07</c:v>
                      </c:pt>
                      <c:pt idx="88">
                        <c:v>17.79</c:v>
                      </c:pt>
                      <c:pt idx="89">
                        <c:v>18.68</c:v>
                      </c:pt>
                      <c:pt idx="90">
                        <c:v>19.71</c:v>
                      </c:pt>
                      <c:pt idx="91">
                        <c:v>20.81</c:v>
                      </c:pt>
                      <c:pt idx="92">
                        <c:v>21.94</c:v>
                      </c:pt>
                      <c:pt idx="93">
                        <c:v>23.03</c:v>
                      </c:pt>
                      <c:pt idx="94">
                        <c:v>24.03</c:v>
                      </c:pt>
                      <c:pt idx="95">
                        <c:v>24.9</c:v>
                      </c:pt>
                      <c:pt idx="96">
                        <c:v>25.67</c:v>
                      </c:pt>
                      <c:pt idx="97">
                        <c:v>26.44</c:v>
                      </c:pt>
                      <c:pt idx="98">
                        <c:v>27.19</c:v>
                      </c:pt>
                      <c:pt idx="99">
                        <c:v>27.93</c:v>
                      </c:pt>
                      <c:pt idx="100">
                        <c:v>28.66</c:v>
                      </c:pt>
                      <c:pt idx="101">
                        <c:v>29.38</c:v>
                      </c:pt>
                      <c:pt idx="102">
                        <c:v>30.08</c:v>
                      </c:pt>
                      <c:pt idx="103">
                        <c:v>30.77</c:v>
                      </c:pt>
                      <c:pt idx="104">
                        <c:v>31.44</c:v>
                      </c:pt>
                      <c:pt idx="105">
                        <c:v>32.1</c:v>
                      </c:pt>
                      <c:pt idx="106">
                        <c:v>32.74</c:v>
                      </c:pt>
                      <c:pt idx="107">
                        <c:v>33.36</c:v>
                      </c:pt>
                      <c:pt idx="108">
                        <c:v>33.97</c:v>
                      </c:pt>
                      <c:pt idx="109">
                        <c:v>34.57</c:v>
                      </c:pt>
                      <c:pt idx="110">
                        <c:v>35.159999999999997</c:v>
                      </c:pt>
                      <c:pt idx="111">
                        <c:v>35.74</c:v>
                      </c:pt>
                      <c:pt idx="112">
                        <c:v>36.31</c:v>
                      </c:pt>
                      <c:pt idx="113">
                        <c:v>36.880000000000003</c:v>
                      </c:pt>
                      <c:pt idx="114">
                        <c:v>37.44</c:v>
                      </c:pt>
                      <c:pt idx="115">
                        <c:v>38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E11-4DC0-ACDC-BA33DC4A516F}"/>
                  </c:ext>
                </c:extLst>
              </c15:ser>
            </c15:filteredScatterSeries>
          </c:ext>
        </c:extLst>
      </c:scatterChart>
      <c:valAx>
        <c:axId val="83284655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288975"/>
        <c:crosses val="autoZero"/>
        <c:crossBetween val="midCat"/>
      </c:valAx>
      <c:valAx>
        <c:axId val="83288975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284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baseline="0">
                <a:effectLst/>
              </a:rPr>
              <a:t>% </a:t>
            </a:r>
            <a:r>
              <a:rPr lang="ru-RU" sz="2160" b="1" i="0" u="none" strike="noStrike" baseline="0">
                <a:effectLst/>
              </a:rPr>
              <a:t>населения живущего в пунктах с численностью более 100,000 жителей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'Все-100K'!$B$3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'Все-100K'!$B$4:$B$149</c:f>
              <c:numCache>
                <c:formatCode>0.0</c:formatCode>
                <c:ptCount val="146"/>
                <c:pt idx="4">
                  <c:v>16.399999999999999</c:v>
                </c:pt>
                <c:pt idx="5">
                  <c:v>16.690000000000001</c:v>
                </c:pt>
                <c:pt idx="6">
                  <c:v>16.989999999999998</c:v>
                </c:pt>
                <c:pt idx="7">
                  <c:v>17.28</c:v>
                </c:pt>
                <c:pt idx="8">
                  <c:v>17.57</c:v>
                </c:pt>
                <c:pt idx="9">
                  <c:v>17.87</c:v>
                </c:pt>
                <c:pt idx="10">
                  <c:v>18.16</c:v>
                </c:pt>
                <c:pt idx="11">
                  <c:v>18.46</c:v>
                </c:pt>
                <c:pt idx="12">
                  <c:v>18.760000000000002</c:v>
                </c:pt>
                <c:pt idx="13">
                  <c:v>19.059999999999999</c:v>
                </c:pt>
                <c:pt idx="14">
                  <c:v>19.36</c:v>
                </c:pt>
                <c:pt idx="15">
                  <c:v>19.66</c:v>
                </c:pt>
                <c:pt idx="16">
                  <c:v>19.97</c:v>
                </c:pt>
                <c:pt idx="17">
                  <c:v>20.28</c:v>
                </c:pt>
                <c:pt idx="18">
                  <c:v>20.59</c:v>
                </c:pt>
                <c:pt idx="19">
                  <c:v>20.9</c:v>
                </c:pt>
                <c:pt idx="20">
                  <c:v>21.22</c:v>
                </c:pt>
                <c:pt idx="21">
                  <c:v>21.54</c:v>
                </c:pt>
                <c:pt idx="22">
                  <c:v>21.86</c:v>
                </c:pt>
                <c:pt idx="23">
                  <c:v>22.19</c:v>
                </c:pt>
                <c:pt idx="24">
                  <c:v>22.52</c:v>
                </c:pt>
                <c:pt idx="25">
                  <c:v>22.86</c:v>
                </c:pt>
                <c:pt idx="26">
                  <c:v>23.2</c:v>
                </c:pt>
                <c:pt idx="27">
                  <c:v>23.54</c:v>
                </c:pt>
                <c:pt idx="28">
                  <c:v>23.89</c:v>
                </c:pt>
                <c:pt idx="29">
                  <c:v>24.24</c:v>
                </c:pt>
                <c:pt idx="30">
                  <c:v>24.6</c:v>
                </c:pt>
                <c:pt idx="31">
                  <c:v>24.97</c:v>
                </c:pt>
                <c:pt idx="32">
                  <c:v>25.37</c:v>
                </c:pt>
                <c:pt idx="33">
                  <c:v>25.79</c:v>
                </c:pt>
                <c:pt idx="34">
                  <c:v>26.22</c:v>
                </c:pt>
                <c:pt idx="35">
                  <c:v>26.67</c:v>
                </c:pt>
                <c:pt idx="36">
                  <c:v>27.12</c:v>
                </c:pt>
                <c:pt idx="37">
                  <c:v>27.59</c:v>
                </c:pt>
                <c:pt idx="38">
                  <c:v>28.06</c:v>
                </c:pt>
                <c:pt idx="39">
                  <c:v>28.53</c:v>
                </c:pt>
                <c:pt idx="40">
                  <c:v>29</c:v>
                </c:pt>
                <c:pt idx="41">
                  <c:v>29.46</c:v>
                </c:pt>
                <c:pt idx="42">
                  <c:v>29.91</c:v>
                </c:pt>
                <c:pt idx="43">
                  <c:v>30.36</c:v>
                </c:pt>
                <c:pt idx="44">
                  <c:v>30.78</c:v>
                </c:pt>
                <c:pt idx="45">
                  <c:v>31.2</c:v>
                </c:pt>
                <c:pt idx="46">
                  <c:v>31.59</c:v>
                </c:pt>
                <c:pt idx="47">
                  <c:v>31.95</c:v>
                </c:pt>
                <c:pt idx="48">
                  <c:v>32.29</c:v>
                </c:pt>
                <c:pt idx="49">
                  <c:v>32.6</c:v>
                </c:pt>
                <c:pt idx="50">
                  <c:v>32.880000000000003</c:v>
                </c:pt>
                <c:pt idx="51">
                  <c:v>33.15</c:v>
                </c:pt>
                <c:pt idx="52">
                  <c:v>33.409999999999997</c:v>
                </c:pt>
                <c:pt idx="53">
                  <c:v>33.65</c:v>
                </c:pt>
                <c:pt idx="54">
                  <c:v>33.869999999999997</c:v>
                </c:pt>
                <c:pt idx="55">
                  <c:v>34.090000000000003</c:v>
                </c:pt>
                <c:pt idx="56">
                  <c:v>34.299999999999997</c:v>
                </c:pt>
                <c:pt idx="57">
                  <c:v>34.49</c:v>
                </c:pt>
                <c:pt idx="58">
                  <c:v>34.68</c:v>
                </c:pt>
                <c:pt idx="59">
                  <c:v>34.869999999999997</c:v>
                </c:pt>
                <c:pt idx="60">
                  <c:v>35.04</c:v>
                </c:pt>
                <c:pt idx="61">
                  <c:v>35.22</c:v>
                </c:pt>
                <c:pt idx="62">
                  <c:v>35.39</c:v>
                </c:pt>
                <c:pt idx="63">
                  <c:v>35.56</c:v>
                </c:pt>
                <c:pt idx="64">
                  <c:v>35.72</c:v>
                </c:pt>
                <c:pt idx="65">
                  <c:v>35.89</c:v>
                </c:pt>
                <c:pt idx="66">
                  <c:v>36.06</c:v>
                </c:pt>
                <c:pt idx="67">
                  <c:v>36.24</c:v>
                </c:pt>
                <c:pt idx="68">
                  <c:v>36.42</c:v>
                </c:pt>
                <c:pt idx="69">
                  <c:v>36.6</c:v>
                </c:pt>
                <c:pt idx="70">
                  <c:v>36.79</c:v>
                </c:pt>
                <c:pt idx="71">
                  <c:v>36.99</c:v>
                </c:pt>
                <c:pt idx="72">
                  <c:v>37.19</c:v>
                </c:pt>
                <c:pt idx="73">
                  <c:v>37.409999999999997</c:v>
                </c:pt>
                <c:pt idx="74">
                  <c:v>37.630000000000003</c:v>
                </c:pt>
                <c:pt idx="75">
                  <c:v>37.869999999999997</c:v>
                </c:pt>
                <c:pt idx="76">
                  <c:v>38.130000000000003</c:v>
                </c:pt>
                <c:pt idx="77">
                  <c:v>38.4</c:v>
                </c:pt>
                <c:pt idx="78">
                  <c:v>38.68</c:v>
                </c:pt>
                <c:pt idx="79">
                  <c:v>38.979999999999997</c:v>
                </c:pt>
                <c:pt idx="80">
                  <c:v>39.299999999999997</c:v>
                </c:pt>
                <c:pt idx="81">
                  <c:v>39.64</c:v>
                </c:pt>
                <c:pt idx="82">
                  <c:v>40</c:v>
                </c:pt>
                <c:pt idx="83">
                  <c:v>40.79</c:v>
                </c:pt>
                <c:pt idx="84">
                  <c:v>42.04</c:v>
                </c:pt>
                <c:pt idx="85">
                  <c:v>43.2</c:v>
                </c:pt>
                <c:pt idx="86">
                  <c:v>44.14</c:v>
                </c:pt>
                <c:pt idx="87">
                  <c:v>45.09</c:v>
                </c:pt>
                <c:pt idx="88">
                  <c:v>46.02</c:v>
                </c:pt>
                <c:pt idx="89">
                  <c:v>46.94</c:v>
                </c:pt>
                <c:pt idx="90">
                  <c:v>47.83</c:v>
                </c:pt>
                <c:pt idx="91">
                  <c:v>48.69</c:v>
                </c:pt>
                <c:pt idx="92">
                  <c:v>49.5</c:v>
                </c:pt>
                <c:pt idx="93">
                  <c:v>50.27</c:v>
                </c:pt>
                <c:pt idx="94">
                  <c:v>50.97</c:v>
                </c:pt>
                <c:pt idx="95">
                  <c:v>51.6</c:v>
                </c:pt>
                <c:pt idx="96">
                  <c:v>52.18</c:v>
                </c:pt>
                <c:pt idx="97">
                  <c:v>52.73</c:v>
                </c:pt>
                <c:pt idx="98">
                  <c:v>53.26</c:v>
                </c:pt>
                <c:pt idx="99">
                  <c:v>53.76</c:v>
                </c:pt>
                <c:pt idx="100">
                  <c:v>54.23</c:v>
                </c:pt>
                <c:pt idx="101">
                  <c:v>54.67</c:v>
                </c:pt>
                <c:pt idx="102">
                  <c:v>55.09</c:v>
                </c:pt>
                <c:pt idx="103">
                  <c:v>55.49</c:v>
                </c:pt>
                <c:pt idx="104">
                  <c:v>55.86</c:v>
                </c:pt>
                <c:pt idx="105">
                  <c:v>56.2</c:v>
                </c:pt>
                <c:pt idx="106">
                  <c:v>56.52</c:v>
                </c:pt>
                <c:pt idx="107">
                  <c:v>56.81</c:v>
                </c:pt>
                <c:pt idx="108">
                  <c:v>57.07</c:v>
                </c:pt>
                <c:pt idx="109">
                  <c:v>57.33</c:v>
                </c:pt>
                <c:pt idx="110">
                  <c:v>57.57</c:v>
                </c:pt>
                <c:pt idx="111">
                  <c:v>57.8</c:v>
                </c:pt>
                <c:pt idx="112">
                  <c:v>58.04</c:v>
                </c:pt>
                <c:pt idx="113">
                  <c:v>58.28</c:v>
                </c:pt>
                <c:pt idx="114">
                  <c:v>58.53</c:v>
                </c:pt>
                <c:pt idx="115">
                  <c:v>58.8</c:v>
                </c:pt>
                <c:pt idx="116">
                  <c:v>59.1</c:v>
                </c:pt>
                <c:pt idx="117">
                  <c:v>59.44</c:v>
                </c:pt>
                <c:pt idx="118">
                  <c:v>59.8</c:v>
                </c:pt>
                <c:pt idx="119">
                  <c:v>60.17</c:v>
                </c:pt>
                <c:pt idx="120">
                  <c:v>60.54</c:v>
                </c:pt>
                <c:pt idx="121">
                  <c:v>60.89</c:v>
                </c:pt>
                <c:pt idx="122">
                  <c:v>61.2</c:v>
                </c:pt>
                <c:pt idx="123">
                  <c:v>61.47</c:v>
                </c:pt>
                <c:pt idx="124">
                  <c:v>61.67</c:v>
                </c:pt>
                <c:pt idx="125">
                  <c:v>61.8</c:v>
                </c:pt>
                <c:pt idx="126">
                  <c:v>61.88</c:v>
                </c:pt>
                <c:pt idx="127">
                  <c:v>61.94</c:v>
                </c:pt>
                <c:pt idx="128">
                  <c:v>61.98</c:v>
                </c:pt>
                <c:pt idx="129">
                  <c:v>62.02</c:v>
                </c:pt>
                <c:pt idx="130">
                  <c:v>62.05</c:v>
                </c:pt>
                <c:pt idx="131">
                  <c:v>62.09</c:v>
                </c:pt>
                <c:pt idx="132">
                  <c:v>62.12</c:v>
                </c:pt>
                <c:pt idx="133">
                  <c:v>62.17</c:v>
                </c:pt>
                <c:pt idx="134">
                  <c:v>62.23</c:v>
                </c:pt>
                <c:pt idx="135">
                  <c:v>62.3</c:v>
                </c:pt>
                <c:pt idx="136">
                  <c:v>62.41</c:v>
                </c:pt>
                <c:pt idx="137">
                  <c:v>62.55</c:v>
                </c:pt>
                <c:pt idx="138">
                  <c:v>62.74</c:v>
                </c:pt>
                <c:pt idx="139">
                  <c:v>62.96</c:v>
                </c:pt>
                <c:pt idx="140">
                  <c:v>63.21</c:v>
                </c:pt>
                <c:pt idx="141">
                  <c:v>63.48</c:v>
                </c:pt>
                <c:pt idx="142">
                  <c:v>63.77</c:v>
                </c:pt>
                <c:pt idx="143">
                  <c:v>64.069999999999993</c:v>
                </c:pt>
                <c:pt idx="144">
                  <c:v>64.38</c:v>
                </c:pt>
                <c:pt idx="145">
                  <c:v>64.7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A4-49C4-B947-D35BBDF822DE}"/>
            </c:ext>
          </c:extLst>
        </c:ser>
        <c:ser>
          <c:idx val="1"/>
          <c:order val="1"/>
          <c:tx>
            <c:strRef>
              <c:f>'Все-100K'!$C$3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'Все-100K'!$C$4:$C$149</c:f>
              <c:numCache>
                <c:formatCode>0.0</c:formatCode>
                <c:ptCount val="146"/>
                <c:pt idx="35">
                  <c:v>3.1</c:v>
                </c:pt>
                <c:pt idx="36">
                  <c:v>3.2</c:v>
                </c:pt>
                <c:pt idx="37">
                  <c:v>3.29</c:v>
                </c:pt>
                <c:pt idx="38">
                  <c:v>3.39</c:v>
                </c:pt>
                <c:pt idx="39">
                  <c:v>3.49</c:v>
                </c:pt>
                <c:pt idx="40">
                  <c:v>3.59</c:v>
                </c:pt>
                <c:pt idx="41">
                  <c:v>3.68</c:v>
                </c:pt>
                <c:pt idx="42">
                  <c:v>3.78</c:v>
                </c:pt>
                <c:pt idx="43">
                  <c:v>3.88</c:v>
                </c:pt>
                <c:pt idx="44">
                  <c:v>3.98</c:v>
                </c:pt>
                <c:pt idx="45">
                  <c:v>4.09</c:v>
                </c:pt>
                <c:pt idx="46">
                  <c:v>4.1900000000000004</c:v>
                </c:pt>
                <c:pt idx="47">
                  <c:v>4.3</c:v>
                </c:pt>
                <c:pt idx="48">
                  <c:v>4.4000000000000004</c:v>
                </c:pt>
                <c:pt idx="49">
                  <c:v>4.51</c:v>
                </c:pt>
                <c:pt idx="50">
                  <c:v>4.62</c:v>
                </c:pt>
                <c:pt idx="51">
                  <c:v>4.7300000000000004</c:v>
                </c:pt>
                <c:pt idx="52">
                  <c:v>4.8499999999999996</c:v>
                </c:pt>
                <c:pt idx="53">
                  <c:v>4.96</c:v>
                </c:pt>
                <c:pt idx="54">
                  <c:v>5.08</c:v>
                </c:pt>
                <c:pt idx="55">
                  <c:v>5.2</c:v>
                </c:pt>
                <c:pt idx="56">
                  <c:v>5.33</c:v>
                </c:pt>
                <c:pt idx="57">
                  <c:v>5.45</c:v>
                </c:pt>
                <c:pt idx="58">
                  <c:v>5.58</c:v>
                </c:pt>
                <c:pt idx="59">
                  <c:v>5.71</c:v>
                </c:pt>
                <c:pt idx="60">
                  <c:v>5.85</c:v>
                </c:pt>
                <c:pt idx="61">
                  <c:v>5.99</c:v>
                </c:pt>
                <c:pt idx="62">
                  <c:v>6.13</c:v>
                </c:pt>
                <c:pt idx="63">
                  <c:v>6.27</c:v>
                </c:pt>
                <c:pt idx="64">
                  <c:v>6.42</c:v>
                </c:pt>
                <c:pt idx="65">
                  <c:v>6.57</c:v>
                </c:pt>
                <c:pt idx="66">
                  <c:v>6.73</c:v>
                </c:pt>
                <c:pt idx="67">
                  <c:v>6.89</c:v>
                </c:pt>
                <c:pt idx="68">
                  <c:v>7.05</c:v>
                </c:pt>
                <c:pt idx="69">
                  <c:v>7.22</c:v>
                </c:pt>
                <c:pt idx="70">
                  <c:v>7.4</c:v>
                </c:pt>
                <c:pt idx="71">
                  <c:v>7.57</c:v>
                </c:pt>
                <c:pt idx="72">
                  <c:v>7.75</c:v>
                </c:pt>
                <c:pt idx="73">
                  <c:v>7.94</c:v>
                </c:pt>
                <c:pt idx="74">
                  <c:v>8.1300000000000008</c:v>
                </c:pt>
                <c:pt idx="75">
                  <c:v>8.33</c:v>
                </c:pt>
                <c:pt idx="76">
                  <c:v>8.5299999999999994</c:v>
                </c:pt>
                <c:pt idx="77">
                  <c:v>8.74</c:v>
                </c:pt>
                <c:pt idx="78">
                  <c:v>8.9499999999999993</c:v>
                </c:pt>
                <c:pt idx="79">
                  <c:v>9.17</c:v>
                </c:pt>
                <c:pt idx="80">
                  <c:v>9.39</c:v>
                </c:pt>
                <c:pt idx="81">
                  <c:v>9.6199999999999992</c:v>
                </c:pt>
                <c:pt idx="82">
                  <c:v>9.86</c:v>
                </c:pt>
                <c:pt idx="83">
                  <c:v>10.1</c:v>
                </c:pt>
                <c:pt idx="84">
                  <c:v>10.35</c:v>
                </c:pt>
                <c:pt idx="85">
                  <c:v>10.6</c:v>
                </c:pt>
                <c:pt idx="86">
                  <c:v>10.93</c:v>
                </c:pt>
                <c:pt idx="87">
                  <c:v>11.38</c:v>
                </c:pt>
                <c:pt idx="88">
                  <c:v>11.96</c:v>
                </c:pt>
                <c:pt idx="89">
                  <c:v>12.64</c:v>
                </c:pt>
                <c:pt idx="90">
                  <c:v>13.42</c:v>
                </c:pt>
                <c:pt idx="91">
                  <c:v>14.28</c:v>
                </c:pt>
                <c:pt idx="92">
                  <c:v>15.21</c:v>
                </c:pt>
                <c:pt idx="93">
                  <c:v>16.21</c:v>
                </c:pt>
                <c:pt idx="94">
                  <c:v>17.25</c:v>
                </c:pt>
                <c:pt idx="95">
                  <c:v>18.329999999999998</c:v>
                </c:pt>
                <c:pt idx="96">
                  <c:v>19.43</c:v>
                </c:pt>
                <c:pt idx="97">
                  <c:v>20.54</c:v>
                </c:pt>
                <c:pt idx="98">
                  <c:v>21.66</c:v>
                </c:pt>
                <c:pt idx="99">
                  <c:v>22.76</c:v>
                </c:pt>
                <c:pt idx="100">
                  <c:v>23.84</c:v>
                </c:pt>
                <c:pt idx="101">
                  <c:v>24.89</c:v>
                </c:pt>
                <c:pt idx="102">
                  <c:v>25.89</c:v>
                </c:pt>
                <c:pt idx="103">
                  <c:v>26.84</c:v>
                </c:pt>
                <c:pt idx="104">
                  <c:v>27.71</c:v>
                </c:pt>
                <c:pt idx="105">
                  <c:v>28.5</c:v>
                </c:pt>
                <c:pt idx="106">
                  <c:v>29.24</c:v>
                </c:pt>
                <c:pt idx="107">
                  <c:v>29.98</c:v>
                </c:pt>
                <c:pt idx="108">
                  <c:v>30.72</c:v>
                </c:pt>
                <c:pt idx="109">
                  <c:v>31.45</c:v>
                </c:pt>
                <c:pt idx="110">
                  <c:v>32.17</c:v>
                </c:pt>
                <c:pt idx="111">
                  <c:v>32.880000000000003</c:v>
                </c:pt>
                <c:pt idx="112">
                  <c:v>33.58</c:v>
                </c:pt>
                <c:pt idx="113">
                  <c:v>34.270000000000003</c:v>
                </c:pt>
                <c:pt idx="114">
                  <c:v>34.950000000000003</c:v>
                </c:pt>
                <c:pt idx="115">
                  <c:v>35.61</c:v>
                </c:pt>
                <c:pt idx="116">
                  <c:v>36.26</c:v>
                </c:pt>
                <c:pt idx="117">
                  <c:v>36.9</c:v>
                </c:pt>
                <c:pt idx="118">
                  <c:v>37.520000000000003</c:v>
                </c:pt>
                <c:pt idx="119">
                  <c:v>38.119999999999997</c:v>
                </c:pt>
                <c:pt idx="120">
                  <c:v>38.700000000000003</c:v>
                </c:pt>
                <c:pt idx="121">
                  <c:v>39.270000000000003</c:v>
                </c:pt>
                <c:pt idx="122">
                  <c:v>39.81</c:v>
                </c:pt>
                <c:pt idx="123">
                  <c:v>40.33</c:v>
                </c:pt>
                <c:pt idx="124">
                  <c:v>40.83</c:v>
                </c:pt>
                <c:pt idx="125">
                  <c:v>41.3</c:v>
                </c:pt>
                <c:pt idx="126">
                  <c:v>41.73</c:v>
                </c:pt>
                <c:pt idx="127">
                  <c:v>42.11</c:v>
                </c:pt>
                <c:pt idx="128">
                  <c:v>42.45</c:v>
                </c:pt>
                <c:pt idx="129">
                  <c:v>42.77</c:v>
                </c:pt>
                <c:pt idx="130">
                  <c:v>43.07</c:v>
                </c:pt>
                <c:pt idx="131">
                  <c:v>43.38</c:v>
                </c:pt>
                <c:pt idx="132">
                  <c:v>43.7</c:v>
                </c:pt>
                <c:pt idx="133">
                  <c:v>44.06</c:v>
                </c:pt>
                <c:pt idx="134">
                  <c:v>44.45</c:v>
                </c:pt>
                <c:pt idx="135">
                  <c:v>44.9</c:v>
                </c:pt>
                <c:pt idx="136">
                  <c:v>45.42</c:v>
                </c:pt>
                <c:pt idx="137">
                  <c:v>46</c:v>
                </c:pt>
                <c:pt idx="138">
                  <c:v>46.65</c:v>
                </c:pt>
                <c:pt idx="139">
                  <c:v>47.34</c:v>
                </c:pt>
                <c:pt idx="140">
                  <c:v>48.09</c:v>
                </c:pt>
                <c:pt idx="141">
                  <c:v>48.86</c:v>
                </c:pt>
                <c:pt idx="142">
                  <c:v>49.67</c:v>
                </c:pt>
                <c:pt idx="143">
                  <c:v>50.5</c:v>
                </c:pt>
                <c:pt idx="144">
                  <c:v>51.35</c:v>
                </c:pt>
                <c:pt idx="145">
                  <c:v>52.2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A4-49C4-B947-D35BBDF822DE}"/>
            </c:ext>
          </c:extLst>
        </c:ser>
        <c:ser>
          <c:idx val="2"/>
          <c:order val="2"/>
          <c:tx>
            <c:strRef>
              <c:f>'Все-100K'!$D$3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'Все-100K'!$D$4:$D$149</c:f>
              <c:numCache>
                <c:formatCode>0.0</c:formatCode>
                <c:ptCount val="146"/>
                <c:pt idx="55">
                  <c:v>8.6999999999999993</c:v>
                </c:pt>
                <c:pt idx="56">
                  <c:v>8.77</c:v>
                </c:pt>
                <c:pt idx="57">
                  <c:v>8.85</c:v>
                </c:pt>
                <c:pt idx="58">
                  <c:v>8.92</c:v>
                </c:pt>
                <c:pt idx="59">
                  <c:v>9</c:v>
                </c:pt>
                <c:pt idx="60">
                  <c:v>9.08</c:v>
                </c:pt>
                <c:pt idx="61">
                  <c:v>9.16</c:v>
                </c:pt>
                <c:pt idx="62">
                  <c:v>9.24</c:v>
                </c:pt>
                <c:pt idx="63">
                  <c:v>9.33</c:v>
                </c:pt>
                <c:pt idx="64">
                  <c:v>9.42</c:v>
                </c:pt>
                <c:pt idx="65">
                  <c:v>9.52</c:v>
                </c:pt>
                <c:pt idx="66">
                  <c:v>9.6199999999999992</c:v>
                </c:pt>
                <c:pt idx="67">
                  <c:v>9.73</c:v>
                </c:pt>
                <c:pt idx="68">
                  <c:v>9.85</c:v>
                </c:pt>
                <c:pt idx="69">
                  <c:v>9.9700000000000006</c:v>
                </c:pt>
                <c:pt idx="70">
                  <c:v>10.11</c:v>
                </c:pt>
                <c:pt idx="71">
                  <c:v>10.25</c:v>
                </c:pt>
                <c:pt idx="72">
                  <c:v>10.39</c:v>
                </c:pt>
                <c:pt idx="73">
                  <c:v>10.55</c:v>
                </c:pt>
                <c:pt idx="74">
                  <c:v>10.72</c:v>
                </c:pt>
                <c:pt idx="75">
                  <c:v>10.9</c:v>
                </c:pt>
                <c:pt idx="76">
                  <c:v>11.16</c:v>
                </c:pt>
                <c:pt idx="77">
                  <c:v>11.55</c:v>
                </c:pt>
                <c:pt idx="78">
                  <c:v>12.05</c:v>
                </c:pt>
                <c:pt idx="79">
                  <c:v>12.64</c:v>
                </c:pt>
                <c:pt idx="80">
                  <c:v>13.29</c:v>
                </c:pt>
                <c:pt idx="81">
                  <c:v>13.97</c:v>
                </c:pt>
                <c:pt idx="82">
                  <c:v>14.67</c:v>
                </c:pt>
                <c:pt idx="83">
                  <c:v>15.36</c:v>
                </c:pt>
                <c:pt idx="84">
                  <c:v>16.010000000000002</c:v>
                </c:pt>
                <c:pt idx="85">
                  <c:v>16.600000000000001</c:v>
                </c:pt>
                <c:pt idx="86">
                  <c:v>17.14</c:v>
                </c:pt>
                <c:pt idx="87">
                  <c:v>17.649999999999999</c:v>
                </c:pt>
                <c:pt idx="88">
                  <c:v>18.14</c:v>
                </c:pt>
                <c:pt idx="89">
                  <c:v>18.62</c:v>
                </c:pt>
                <c:pt idx="90">
                  <c:v>19.11</c:v>
                </c:pt>
                <c:pt idx="91">
                  <c:v>19.61</c:v>
                </c:pt>
                <c:pt idx="92">
                  <c:v>20.14</c:v>
                </c:pt>
                <c:pt idx="93">
                  <c:v>20.71</c:v>
                </c:pt>
                <c:pt idx="94">
                  <c:v>21.33</c:v>
                </c:pt>
                <c:pt idx="95">
                  <c:v>22</c:v>
                </c:pt>
                <c:pt idx="96">
                  <c:v>22.77</c:v>
                </c:pt>
                <c:pt idx="97">
                  <c:v>23.64</c:v>
                </c:pt>
                <c:pt idx="98">
                  <c:v>24.61</c:v>
                </c:pt>
                <c:pt idx="99">
                  <c:v>25.64</c:v>
                </c:pt>
                <c:pt idx="100">
                  <c:v>26.73</c:v>
                </c:pt>
                <c:pt idx="101">
                  <c:v>27.84</c:v>
                </c:pt>
                <c:pt idx="102">
                  <c:v>28.96</c:v>
                </c:pt>
                <c:pt idx="103">
                  <c:v>30.08</c:v>
                </c:pt>
                <c:pt idx="104">
                  <c:v>31.16</c:v>
                </c:pt>
                <c:pt idx="105">
                  <c:v>32.200000000000003</c:v>
                </c:pt>
                <c:pt idx="106">
                  <c:v>33.24</c:v>
                </c:pt>
                <c:pt idx="107">
                  <c:v>34.35</c:v>
                </c:pt>
                <c:pt idx="108">
                  <c:v>35.49</c:v>
                </c:pt>
                <c:pt idx="109">
                  <c:v>36.64</c:v>
                </c:pt>
                <c:pt idx="110">
                  <c:v>37.76</c:v>
                </c:pt>
                <c:pt idx="111">
                  <c:v>38.840000000000003</c:v>
                </c:pt>
                <c:pt idx="112">
                  <c:v>39.83</c:v>
                </c:pt>
                <c:pt idx="113">
                  <c:v>40.729999999999997</c:v>
                </c:pt>
                <c:pt idx="114">
                  <c:v>41.49</c:v>
                </c:pt>
                <c:pt idx="115">
                  <c:v>42.1</c:v>
                </c:pt>
                <c:pt idx="116">
                  <c:v>42.58</c:v>
                </c:pt>
                <c:pt idx="117">
                  <c:v>43.01</c:v>
                </c:pt>
                <c:pt idx="118">
                  <c:v>43.38</c:v>
                </c:pt>
                <c:pt idx="119">
                  <c:v>43.72</c:v>
                </c:pt>
                <c:pt idx="120">
                  <c:v>44.03</c:v>
                </c:pt>
                <c:pt idx="121">
                  <c:v>44.33</c:v>
                </c:pt>
                <c:pt idx="122">
                  <c:v>44.62</c:v>
                </c:pt>
                <c:pt idx="123">
                  <c:v>44.92</c:v>
                </c:pt>
                <c:pt idx="124">
                  <c:v>45.25</c:v>
                </c:pt>
                <c:pt idx="125">
                  <c:v>45.6</c:v>
                </c:pt>
                <c:pt idx="126">
                  <c:v>45.97</c:v>
                </c:pt>
                <c:pt idx="127">
                  <c:v>46.33</c:v>
                </c:pt>
                <c:pt idx="128">
                  <c:v>46.69</c:v>
                </c:pt>
                <c:pt idx="129">
                  <c:v>47.06</c:v>
                </c:pt>
                <c:pt idx="130">
                  <c:v>47.43</c:v>
                </c:pt>
                <c:pt idx="131">
                  <c:v>47.82</c:v>
                </c:pt>
                <c:pt idx="132">
                  <c:v>48.22</c:v>
                </c:pt>
                <c:pt idx="133">
                  <c:v>48.65</c:v>
                </c:pt>
                <c:pt idx="134">
                  <c:v>49.11</c:v>
                </c:pt>
                <c:pt idx="135">
                  <c:v>49.6</c:v>
                </c:pt>
                <c:pt idx="136">
                  <c:v>50.14</c:v>
                </c:pt>
                <c:pt idx="137">
                  <c:v>50.73</c:v>
                </c:pt>
                <c:pt idx="138">
                  <c:v>51.36</c:v>
                </c:pt>
                <c:pt idx="139">
                  <c:v>52.03</c:v>
                </c:pt>
                <c:pt idx="140">
                  <c:v>52.74</c:v>
                </c:pt>
                <c:pt idx="141">
                  <c:v>53.48</c:v>
                </c:pt>
                <c:pt idx="142">
                  <c:v>54.24</c:v>
                </c:pt>
                <c:pt idx="143">
                  <c:v>55.02</c:v>
                </c:pt>
                <c:pt idx="144">
                  <c:v>55.81</c:v>
                </c:pt>
                <c:pt idx="145">
                  <c:v>56.6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A4-49C4-B947-D35BBDF822DE}"/>
            </c:ext>
          </c:extLst>
        </c:ser>
        <c:ser>
          <c:idx val="3"/>
          <c:order val="3"/>
          <c:tx>
            <c:strRef>
              <c:f>'Все-100K'!$E$3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'Все-100K'!$E$4:$E$149</c:f>
              <c:numCache>
                <c:formatCode>0.0</c:formatCode>
                <c:ptCount val="146"/>
                <c:pt idx="71">
                  <c:v>11</c:v>
                </c:pt>
                <c:pt idx="72">
                  <c:v>11.19</c:v>
                </c:pt>
                <c:pt idx="73">
                  <c:v>11.4</c:v>
                </c:pt>
                <c:pt idx="74">
                  <c:v>11.66</c:v>
                </c:pt>
                <c:pt idx="75">
                  <c:v>11.99</c:v>
                </c:pt>
                <c:pt idx="76">
                  <c:v>12.4</c:v>
                </c:pt>
                <c:pt idx="77">
                  <c:v>13.06</c:v>
                </c:pt>
                <c:pt idx="78">
                  <c:v>14.06</c:v>
                </c:pt>
                <c:pt idx="79">
                  <c:v>15.33</c:v>
                </c:pt>
                <c:pt idx="80">
                  <c:v>16.8</c:v>
                </c:pt>
                <c:pt idx="81">
                  <c:v>18.41</c:v>
                </c:pt>
                <c:pt idx="82">
                  <c:v>20.100000000000001</c:v>
                </c:pt>
                <c:pt idx="83">
                  <c:v>21.78</c:v>
                </c:pt>
                <c:pt idx="84">
                  <c:v>23.41</c:v>
                </c:pt>
                <c:pt idx="85">
                  <c:v>24.9</c:v>
                </c:pt>
                <c:pt idx="86">
                  <c:v>26.33</c:v>
                </c:pt>
                <c:pt idx="87">
                  <c:v>27.79</c:v>
                </c:pt>
                <c:pt idx="88">
                  <c:v>29.27</c:v>
                </c:pt>
                <c:pt idx="89">
                  <c:v>30.76</c:v>
                </c:pt>
                <c:pt idx="90">
                  <c:v>32.24</c:v>
                </c:pt>
                <c:pt idx="91">
                  <c:v>33.700000000000003</c:v>
                </c:pt>
                <c:pt idx="92">
                  <c:v>35.130000000000003</c:v>
                </c:pt>
                <c:pt idx="93">
                  <c:v>36.520000000000003</c:v>
                </c:pt>
                <c:pt idx="94">
                  <c:v>37.85</c:v>
                </c:pt>
                <c:pt idx="95">
                  <c:v>39.1</c:v>
                </c:pt>
                <c:pt idx="96">
                  <c:v>40.29</c:v>
                </c:pt>
                <c:pt idx="97">
                  <c:v>41.43</c:v>
                </c:pt>
                <c:pt idx="98">
                  <c:v>42.53</c:v>
                </c:pt>
                <c:pt idx="99">
                  <c:v>43.59</c:v>
                </c:pt>
                <c:pt idx="100">
                  <c:v>44.63</c:v>
                </c:pt>
                <c:pt idx="101">
                  <c:v>45.65</c:v>
                </c:pt>
                <c:pt idx="102">
                  <c:v>46.66</c:v>
                </c:pt>
                <c:pt idx="103">
                  <c:v>47.67</c:v>
                </c:pt>
                <c:pt idx="104">
                  <c:v>48.68</c:v>
                </c:pt>
                <c:pt idx="105">
                  <c:v>49.7</c:v>
                </c:pt>
                <c:pt idx="106">
                  <c:v>50.81</c:v>
                </c:pt>
                <c:pt idx="107">
                  <c:v>52.06</c:v>
                </c:pt>
                <c:pt idx="108">
                  <c:v>53.37</c:v>
                </c:pt>
                <c:pt idx="109">
                  <c:v>54.7</c:v>
                </c:pt>
                <c:pt idx="110">
                  <c:v>55.99</c:v>
                </c:pt>
                <c:pt idx="111">
                  <c:v>57.17</c:v>
                </c:pt>
                <c:pt idx="112">
                  <c:v>58.19</c:v>
                </c:pt>
                <c:pt idx="113">
                  <c:v>58.99</c:v>
                </c:pt>
                <c:pt idx="114">
                  <c:v>59.51</c:v>
                </c:pt>
                <c:pt idx="115">
                  <c:v>59.7</c:v>
                </c:pt>
                <c:pt idx="116">
                  <c:v>59.69</c:v>
                </c:pt>
                <c:pt idx="117">
                  <c:v>59.68</c:v>
                </c:pt>
                <c:pt idx="118">
                  <c:v>59.66</c:v>
                </c:pt>
                <c:pt idx="119">
                  <c:v>59.63</c:v>
                </c:pt>
                <c:pt idx="120">
                  <c:v>59.6</c:v>
                </c:pt>
                <c:pt idx="121">
                  <c:v>59.57</c:v>
                </c:pt>
                <c:pt idx="122">
                  <c:v>59.54</c:v>
                </c:pt>
                <c:pt idx="123">
                  <c:v>59.52</c:v>
                </c:pt>
                <c:pt idx="124">
                  <c:v>59.51</c:v>
                </c:pt>
                <c:pt idx="125">
                  <c:v>59.5</c:v>
                </c:pt>
                <c:pt idx="126">
                  <c:v>59.54</c:v>
                </c:pt>
                <c:pt idx="127">
                  <c:v>59.65</c:v>
                </c:pt>
                <c:pt idx="128">
                  <c:v>59.83</c:v>
                </c:pt>
                <c:pt idx="129">
                  <c:v>60.05</c:v>
                </c:pt>
                <c:pt idx="130">
                  <c:v>60.3</c:v>
                </c:pt>
                <c:pt idx="131">
                  <c:v>60.57</c:v>
                </c:pt>
                <c:pt idx="132">
                  <c:v>60.85</c:v>
                </c:pt>
                <c:pt idx="133">
                  <c:v>61.13</c:v>
                </c:pt>
                <c:pt idx="134">
                  <c:v>61.38</c:v>
                </c:pt>
                <c:pt idx="135">
                  <c:v>61.6</c:v>
                </c:pt>
                <c:pt idx="136">
                  <c:v>61.8</c:v>
                </c:pt>
                <c:pt idx="137">
                  <c:v>61.99</c:v>
                </c:pt>
                <c:pt idx="138">
                  <c:v>62.19</c:v>
                </c:pt>
                <c:pt idx="139">
                  <c:v>62.38</c:v>
                </c:pt>
                <c:pt idx="140">
                  <c:v>62.57</c:v>
                </c:pt>
                <c:pt idx="141">
                  <c:v>62.76</c:v>
                </c:pt>
                <c:pt idx="142">
                  <c:v>62.94</c:v>
                </c:pt>
                <c:pt idx="143">
                  <c:v>63.13</c:v>
                </c:pt>
                <c:pt idx="144">
                  <c:v>63.31</c:v>
                </c:pt>
                <c:pt idx="145">
                  <c:v>63.5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CA4-49C4-B947-D35BBDF822DE}"/>
            </c:ext>
          </c:extLst>
        </c:ser>
        <c:ser>
          <c:idx val="6"/>
          <c:order val="6"/>
          <c:tx>
            <c:strRef>
              <c:f>'Все-100K'!$H$3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'Все-100K'!$H$4:$H$149</c:f>
              <c:numCache>
                <c:formatCode>0.0</c:formatCode>
                <c:ptCount val="146"/>
                <c:pt idx="75">
                  <c:v>5.7</c:v>
                </c:pt>
                <c:pt idx="76">
                  <c:v>6.49</c:v>
                </c:pt>
                <c:pt idx="77">
                  <c:v>7.28</c:v>
                </c:pt>
                <c:pt idx="78">
                  <c:v>8.06</c:v>
                </c:pt>
                <c:pt idx="79">
                  <c:v>8.82</c:v>
                </c:pt>
                <c:pt idx="80">
                  <c:v>9.56</c:v>
                </c:pt>
                <c:pt idx="81">
                  <c:v>10.28</c:v>
                </c:pt>
                <c:pt idx="82">
                  <c:v>10.97</c:v>
                </c:pt>
                <c:pt idx="83">
                  <c:v>11.62</c:v>
                </c:pt>
                <c:pt idx="84">
                  <c:v>12.23</c:v>
                </c:pt>
                <c:pt idx="85">
                  <c:v>12.8</c:v>
                </c:pt>
                <c:pt idx="86">
                  <c:v>13.34</c:v>
                </c:pt>
                <c:pt idx="87">
                  <c:v>13.85</c:v>
                </c:pt>
                <c:pt idx="88">
                  <c:v>14.35</c:v>
                </c:pt>
                <c:pt idx="89">
                  <c:v>14.83</c:v>
                </c:pt>
                <c:pt idx="90">
                  <c:v>15.29</c:v>
                </c:pt>
                <c:pt idx="91">
                  <c:v>15.73</c:v>
                </c:pt>
                <c:pt idx="92">
                  <c:v>16.14</c:v>
                </c:pt>
                <c:pt idx="93">
                  <c:v>16.52</c:v>
                </c:pt>
                <c:pt idx="94">
                  <c:v>16.87</c:v>
                </c:pt>
                <c:pt idx="95">
                  <c:v>17.2</c:v>
                </c:pt>
                <c:pt idx="96">
                  <c:v>17.52</c:v>
                </c:pt>
                <c:pt idx="97">
                  <c:v>17.850000000000001</c:v>
                </c:pt>
                <c:pt idx="98">
                  <c:v>18.170000000000002</c:v>
                </c:pt>
                <c:pt idx="99">
                  <c:v>18.489999999999998</c:v>
                </c:pt>
                <c:pt idx="100">
                  <c:v>18.79</c:v>
                </c:pt>
                <c:pt idx="101">
                  <c:v>19.05</c:v>
                </c:pt>
                <c:pt idx="102">
                  <c:v>19.28</c:v>
                </c:pt>
                <c:pt idx="103">
                  <c:v>19.45</c:v>
                </c:pt>
                <c:pt idx="104">
                  <c:v>19.559999999999999</c:v>
                </c:pt>
                <c:pt idx="105">
                  <c:v>19.600000000000001</c:v>
                </c:pt>
                <c:pt idx="106">
                  <c:v>19.59</c:v>
                </c:pt>
                <c:pt idx="107">
                  <c:v>19.579999999999998</c:v>
                </c:pt>
                <c:pt idx="108">
                  <c:v>19.55</c:v>
                </c:pt>
                <c:pt idx="109">
                  <c:v>19.52</c:v>
                </c:pt>
                <c:pt idx="110">
                  <c:v>19.489999999999998</c:v>
                </c:pt>
                <c:pt idx="111">
                  <c:v>19.45</c:v>
                </c:pt>
                <c:pt idx="112">
                  <c:v>19.41</c:v>
                </c:pt>
                <c:pt idx="113">
                  <c:v>19.37</c:v>
                </c:pt>
                <c:pt idx="114">
                  <c:v>19.329999999999998</c:v>
                </c:pt>
                <c:pt idx="115">
                  <c:v>19.3</c:v>
                </c:pt>
                <c:pt idx="116">
                  <c:v>19.27</c:v>
                </c:pt>
                <c:pt idx="117">
                  <c:v>19.23</c:v>
                </c:pt>
                <c:pt idx="118">
                  <c:v>19.190000000000001</c:v>
                </c:pt>
                <c:pt idx="119">
                  <c:v>19.149999999999999</c:v>
                </c:pt>
                <c:pt idx="120">
                  <c:v>19.11</c:v>
                </c:pt>
                <c:pt idx="121">
                  <c:v>19.079999999999998</c:v>
                </c:pt>
                <c:pt idx="122">
                  <c:v>19.05</c:v>
                </c:pt>
                <c:pt idx="123">
                  <c:v>19.02</c:v>
                </c:pt>
                <c:pt idx="124">
                  <c:v>19.010000000000002</c:v>
                </c:pt>
                <c:pt idx="125">
                  <c:v>19</c:v>
                </c:pt>
                <c:pt idx="126">
                  <c:v>19.02</c:v>
                </c:pt>
                <c:pt idx="127">
                  <c:v>19.07</c:v>
                </c:pt>
                <c:pt idx="128">
                  <c:v>19.149999999999999</c:v>
                </c:pt>
                <c:pt idx="129">
                  <c:v>19.25</c:v>
                </c:pt>
                <c:pt idx="130">
                  <c:v>19.38</c:v>
                </c:pt>
                <c:pt idx="131">
                  <c:v>19.52</c:v>
                </c:pt>
                <c:pt idx="132">
                  <c:v>19.68</c:v>
                </c:pt>
                <c:pt idx="133">
                  <c:v>19.84</c:v>
                </c:pt>
                <c:pt idx="134">
                  <c:v>20.02</c:v>
                </c:pt>
                <c:pt idx="135">
                  <c:v>20.2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CA4-49C4-B947-D35BBDF822DE}"/>
            </c:ext>
          </c:extLst>
        </c:ser>
        <c:ser>
          <c:idx val="7"/>
          <c:order val="7"/>
          <c:tx>
            <c:strRef>
              <c:f>'Все-100K'!$I$3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'Все-100K'!$I$4:$I$149</c:f>
              <c:numCache>
                <c:formatCode>0.0</c:formatCode>
                <c:ptCount val="146"/>
                <c:pt idx="95">
                  <c:v>7.1</c:v>
                </c:pt>
                <c:pt idx="96">
                  <c:v>8.1999999999999993</c:v>
                </c:pt>
                <c:pt idx="97">
                  <c:v>9.2899999999999991</c:v>
                </c:pt>
                <c:pt idx="98">
                  <c:v>10.36</c:v>
                </c:pt>
                <c:pt idx="99">
                  <c:v>11.38</c:v>
                </c:pt>
                <c:pt idx="100">
                  <c:v>12.36</c:v>
                </c:pt>
                <c:pt idx="101">
                  <c:v>13.27</c:v>
                </c:pt>
                <c:pt idx="102">
                  <c:v>14.1</c:v>
                </c:pt>
                <c:pt idx="103">
                  <c:v>14.84</c:v>
                </c:pt>
                <c:pt idx="104">
                  <c:v>15.48</c:v>
                </c:pt>
                <c:pt idx="105">
                  <c:v>16</c:v>
                </c:pt>
                <c:pt idx="106">
                  <c:v>16.43</c:v>
                </c:pt>
                <c:pt idx="107">
                  <c:v>16.82</c:v>
                </c:pt>
                <c:pt idx="108">
                  <c:v>17.170000000000002</c:v>
                </c:pt>
                <c:pt idx="109">
                  <c:v>17.48</c:v>
                </c:pt>
                <c:pt idx="110">
                  <c:v>17.77</c:v>
                </c:pt>
                <c:pt idx="111">
                  <c:v>18.04</c:v>
                </c:pt>
                <c:pt idx="112">
                  <c:v>18.3</c:v>
                </c:pt>
                <c:pt idx="113">
                  <c:v>18.559999999999999</c:v>
                </c:pt>
                <c:pt idx="114">
                  <c:v>18.829999999999998</c:v>
                </c:pt>
                <c:pt idx="115">
                  <c:v>19.100000000000001</c:v>
                </c:pt>
                <c:pt idx="116">
                  <c:v>19.38</c:v>
                </c:pt>
                <c:pt idx="117">
                  <c:v>19.64</c:v>
                </c:pt>
                <c:pt idx="118">
                  <c:v>19.899999999999999</c:v>
                </c:pt>
                <c:pt idx="119">
                  <c:v>20.149999999999999</c:v>
                </c:pt>
                <c:pt idx="120">
                  <c:v>20.39</c:v>
                </c:pt>
                <c:pt idx="121">
                  <c:v>20.62</c:v>
                </c:pt>
                <c:pt idx="122">
                  <c:v>20.86</c:v>
                </c:pt>
                <c:pt idx="123">
                  <c:v>21.09</c:v>
                </c:pt>
                <c:pt idx="124">
                  <c:v>21.32</c:v>
                </c:pt>
                <c:pt idx="125">
                  <c:v>21.55</c:v>
                </c:pt>
                <c:pt idx="126">
                  <c:v>21.79</c:v>
                </c:pt>
                <c:pt idx="127">
                  <c:v>22.03</c:v>
                </c:pt>
                <c:pt idx="128">
                  <c:v>22.27</c:v>
                </c:pt>
                <c:pt idx="129">
                  <c:v>22.53</c:v>
                </c:pt>
                <c:pt idx="130">
                  <c:v>22.79</c:v>
                </c:pt>
                <c:pt idx="131">
                  <c:v>23.06</c:v>
                </c:pt>
                <c:pt idx="132">
                  <c:v>23.35</c:v>
                </c:pt>
                <c:pt idx="133">
                  <c:v>23.65</c:v>
                </c:pt>
                <c:pt idx="134">
                  <c:v>23.97</c:v>
                </c:pt>
                <c:pt idx="135">
                  <c:v>24.3</c:v>
                </c:pt>
                <c:pt idx="136">
                  <c:v>24.67</c:v>
                </c:pt>
                <c:pt idx="137">
                  <c:v>25.07</c:v>
                </c:pt>
                <c:pt idx="138">
                  <c:v>25.52</c:v>
                </c:pt>
                <c:pt idx="139">
                  <c:v>26</c:v>
                </c:pt>
                <c:pt idx="140">
                  <c:v>26.5</c:v>
                </c:pt>
                <c:pt idx="141">
                  <c:v>27.03</c:v>
                </c:pt>
                <c:pt idx="142">
                  <c:v>27.58</c:v>
                </c:pt>
                <c:pt idx="143">
                  <c:v>28.15</c:v>
                </c:pt>
                <c:pt idx="144">
                  <c:v>28.72</c:v>
                </c:pt>
                <c:pt idx="145">
                  <c:v>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CA4-49C4-B947-D35BBDF822DE}"/>
            </c:ext>
          </c:extLst>
        </c:ser>
        <c:ser>
          <c:idx val="8"/>
          <c:order val="8"/>
          <c:tx>
            <c:strRef>
              <c:f>'Все-100K'!$J$3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'Все-100K'!$J$4:$J$149</c:f>
              <c:numCache>
                <c:formatCode>0.0</c:formatCode>
                <c:ptCount val="146"/>
                <c:pt idx="55">
                  <c:v>3.5</c:v>
                </c:pt>
                <c:pt idx="56">
                  <c:v>3.56</c:v>
                </c:pt>
                <c:pt idx="57">
                  <c:v>3.62</c:v>
                </c:pt>
                <c:pt idx="58">
                  <c:v>3.68</c:v>
                </c:pt>
                <c:pt idx="59">
                  <c:v>3.74</c:v>
                </c:pt>
                <c:pt idx="60">
                  <c:v>3.81</c:v>
                </c:pt>
                <c:pt idx="61">
                  <c:v>3.88</c:v>
                </c:pt>
                <c:pt idx="62">
                  <c:v>3.95</c:v>
                </c:pt>
                <c:pt idx="63">
                  <c:v>4.0199999999999996</c:v>
                </c:pt>
                <c:pt idx="64">
                  <c:v>4.0999999999999996</c:v>
                </c:pt>
                <c:pt idx="65">
                  <c:v>4.18</c:v>
                </c:pt>
                <c:pt idx="66">
                  <c:v>4.2699999999999996</c:v>
                </c:pt>
                <c:pt idx="67">
                  <c:v>4.37</c:v>
                </c:pt>
                <c:pt idx="68">
                  <c:v>4.47</c:v>
                </c:pt>
                <c:pt idx="69">
                  <c:v>4.58</c:v>
                </c:pt>
                <c:pt idx="70">
                  <c:v>4.7</c:v>
                </c:pt>
                <c:pt idx="71">
                  <c:v>4.84</c:v>
                </c:pt>
                <c:pt idx="72">
                  <c:v>5</c:v>
                </c:pt>
                <c:pt idx="73">
                  <c:v>5.19</c:v>
                </c:pt>
                <c:pt idx="74">
                  <c:v>5.4</c:v>
                </c:pt>
                <c:pt idx="75">
                  <c:v>5.62</c:v>
                </c:pt>
                <c:pt idx="76">
                  <c:v>5.87</c:v>
                </c:pt>
                <c:pt idx="77">
                  <c:v>6.13</c:v>
                </c:pt>
                <c:pt idx="78">
                  <c:v>6.41</c:v>
                </c:pt>
                <c:pt idx="79">
                  <c:v>6.7</c:v>
                </c:pt>
                <c:pt idx="80">
                  <c:v>6.99</c:v>
                </c:pt>
                <c:pt idx="81">
                  <c:v>7.29</c:v>
                </c:pt>
                <c:pt idx="82">
                  <c:v>7.59</c:v>
                </c:pt>
                <c:pt idx="83">
                  <c:v>7.9</c:v>
                </c:pt>
                <c:pt idx="84">
                  <c:v>8.1999999999999993</c:v>
                </c:pt>
                <c:pt idx="85">
                  <c:v>8.5</c:v>
                </c:pt>
                <c:pt idx="86">
                  <c:v>8.8000000000000007</c:v>
                </c:pt>
                <c:pt idx="87">
                  <c:v>9.09</c:v>
                </c:pt>
                <c:pt idx="88">
                  <c:v>9.4</c:v>
                </c:pt>
                <c:pt idx="89">
                  <c:v>9.7100000000000009</c:v>
                </c:pt>
                <c:pt idx="90">
                  <c:v>10.039999999999999</c:v>
                </c:pt>
                <c:pt idx="91">
                  <c:v>10.39</c:v>
                </c:pt>
                <c:pt idx="92">
                  <c:v>10.77</c:v>
                </c:pt>
                <c:pt idx="93">
                  <c:v>11.18</c:v>
                </c:pt>
                <c:pt idx="94">
                  <c:v>11.62</c:v>
                </c:pt>
                <c:pt idx="95">
                  <c:v>12.1</c:v>
                </c:pt>
                <c:pt idx="96">
                  <c:v>12.67</c:v>
                </c:pt>
                <c:pt idx="97">
                  <c:v>13.37</c:v>
                </c:pt>
                <c:pt idx="98">
                  <c:v>14.16</c:v>
                </c:pt>
                <c:pt idx="99">
                  <c:v>15.02</c:v>
                </c:pt>
                <c:pt idx="100">
                  <c:v>15.94</c:v>
                </c:pt>
                <c:pt idx="101">
                  <c:v>16.89</c:v>
                </c:pt>
                <c:pt idx="102">
                  <c:v>17.84</c:v>
                </c:pt>
                <c:pt idx="103">
                  <c:v>18.77</c:v>
                </c:pt>
                <c:pt idx="104">
                  <c:v>19.670000000000002</c:v>
                </c:pt>
                <c:pt idx="105">
                  <c:v>20.5</c:v>
                </c:pt>
                <c:pt idx="106">
                  <c:v>21.3</c:v>
                </c:pt>
                <c:pt idx="107">
                  <c:v>22.12</c:v>
                </c:pt>
                <c:pt idx="108">
                  <c:v>22.95</c:v>
                </c:pt>
                <c:pt idx="109">
                  <c:v>23.76</c:v>
                </c:pt>
                <c:pt idx="110">
                  <c:v>24.57</c:v>
                </c:pt>
                <c:pt idx="111">
                  <c:v>25.35</c:v>
                </c:pt>
                <c:pt idx="112">
                  <c:v>26.09</c:v>
                </c:pt>
                <c:pt idx="113">
                  <c:v>26.78</c:v>
                </c:pt>
                <c:pt idx="114">
                  <c:v>27.43</c:v>
                </c:pt>
                <c:pt idx="115">
                  <c:v>28</c:v>
                </c:pt>
                <c:pt idx="116">
                  <c:v>28.5</c:v>
                </c:pt>
                <c:pt idx="117">
                  <c:v>28.94</c:v>
                </c:pt>
                <c:pt idx="118">
                  <c:v>29.34</c:v>
                </c:pt>
                <c:pt idx="119">
                  <c:v>29.7</c:v>
                </c:pt>
                <c:pt idx="120">
                  <c:v>30.05</c:v>
                </c:pt>
                <c:pt idx="121">
                  <c:v>30.41</c:v>
                </c:pt>
                <c:pt idx="122">
                  <c:v>30.78</c:v>
                </c:pt>
                <c:pt idx="123">
                  <c:v>31.2</c:v>
                </c:pt>
                <c:pt idx="124">
                  <c:v>31.66</c:v>
                </c:pt>
                <c:pt idx="125">
                  <c:v>32.200000000000003</c:v>
                </c:pt>
                <c:pt idx="126">
                  <c:v>32.83</c:v>
                </c:pt>
                <c:pt idx="127">
                  <c:v>33.57</c:v>
                </c:pt>
                <c:pt idx="128">
                  <c:v>34.39</c:v>
                </c:pt>
                <c:pt idx="129">
                  <c:v>35.29</c:v>
                </c:pt>
                <c:pt idx="130">
                  <c:v>36.24</c:v>
                </c:pt>
                <c:pt idx="131">
                  <c:v>37.24</c:v>
                </c:pt>
                <c:pt idx="132">
                  <c:v>38.270000000000003</c:v>
                </c:pt>
                <c:pt idx="133">
                  <c:v>39.32</c:v>
                </c:pt>
                <c:pt idx="134">
                  <c:v>40.369999999999997</c:v>
                </c:pt>
                <c:pt idx="135">
                  <c:v>41.4</c:v>
                </c:pt>
                <c:pt idx="136">
                  <c:v>42.44</c:v>
                </c:pt>
                <c:pt idx="137">
                  <c:v>43.52</c:v>
                </c:pt>
                <c:pt idx="138">
                  <c:v>44.62</c:v>
                </c:pt>
                <c:pt idx="139">
                  <c:v>45.75</c:v>
                </c:pt>
                <c:pt idx="140">
                  <c:v>46.91</c:v>
                </c:pt>
                <c:pt idx="141">
                  <c:v>48.09</c:v>
                </c:pt>
                <c:pt idx="142">
                  <c:v>49.28</c:v>
                </c:pt>
                <c:pt idx="143">
                  <c:v>50.48</c:v>
                </c:pt>
                <c:pt idx="144">
                  <c:v>51.69</c:v>
                </c:pt>
                <c:pt idx="145">
                  <c:v>52.9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CA4-49C4-B947-D35BBDF822DE}"/>
            </c:ext>
          </c:extLst>
        </c:ser>
        <c:ser>
          <c:idx val="9"/>
          <c:order val="9"/>
          <c:tx>
            <c:strRef>
              <c:f>'Все-100K'!$K$3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'Все-100K'!$K$4:$K$149</c:f>
              <c:numCache>
                <c:formatCode>0.0</c:formatCode>
                <c:ptCount val="146"/>
                <c:pt idx="73">
                  <c:v>9.5</c:v>
                </c:pt>
                <c:pt idx="74">
                  <c:v>9.8800000000000008</c:v>
                </c:pt>
                <c:pt idx="75">
                  <c:v>10.27</c:v>
                </c:pt>
                <c:pt idx="76">
                  <c:v>10.67</c:v>
                </c:pt>
                <c:pt idx="77">
                  <c:v>11.08</c:v>
                </c:pt>
                <c:pt idx="78">
                  <c:v>11.52</c:v>
                </c:pt>
                <c:pt idx="79">
                  <c:v>11.97</c:v>
                </c:pt>
                <c:pt idx="80">
                  <c:v>12.46</c:v>
                </c:pt>
                <c:pt idx="81">
                  <c:v>12.98</c:v>
                </c:pt>
                <c:pt idx="82">
                  <c:v>13.54</c:v>
                </c:pt>
                <c:pt idx="83">
                  <c:v>14.14</c:v>
                </c:pt>
                <c:pt idx="84">
                  <c:v>14.79</c:v>
                </c:pt>
                <c:pt idx="85">
                  <c:v>15.5</c:v>
                </c:pt>
                <c:pt idx="86">
                  <c:v>16.39</c:v>
                </c:pt>
                <c:pt idx="87">
                  <c:v>17.55</c:v>
                </c:pt>
                <c:pt idx="88">
                  <c:v>18.91</c:v>
                </c:pt>
                <c:pt idx="89">
                  <c:v>20.43</c:v>
                </c:pt>
                <c:pt idx="90">
                  <c:v>22.03</c:v>
                </c:pt>
                <c:pt idx="91">
                  <c:v>23.67</c:v>
                </c:pt>
                <c:pt idx="92">
                  <c:v>25.27</c:v>
                </c:pt>
                <c:pt idx="93">
                  <c:v>26.78</c:v>
                </c:pt>
                <c:pt idx="94">
                  <c:v>28.15</c:v>
                </c:pt>
                <c:pt idx="95">
                  <c:v>29.3</c:v>
                </c:pt>
                <c:pt idx="96">
                  <c:v>30.29</c:v>
                </c:pt>
                <c:pt idx="97">
                  <c:v>31.2</c:v>
                </c:pt>
                <c:pt idx="98">
                  <c:v>32.049999999999997</c:v>
                </c:pt>
                <c:pt idx="99">
                  <c:v>32.86</c:v>
                </c:pt>
                <c:pt idx="100">
                  <c:v>33.630000000000003</c:v>
                </c:pt>
                <c:pt idx="101">
                  <c:v>34.39</c:v>
                </c:pt>
                <c:pt idx="102">
                  <c:v>35.14</c:v>
                </c:pt>
                <c:pt idx="103">
                  <c:v>35.9</c:v>
                </c:pt>
                <c:pt idx="104">
                  <c:v>36.68</c:v>
                </c:pt>
                <c:pt idx="105">
                  <c:v>37.5</c:v>
                </c:pt>
                <c:pt idx="106">
                  <c:v>38.39</c:v>
                </c:pt>
                <c:pt idx="107">
                  <c:v>39.340000000000003</c:v>
                </c:pt>
                <c:pt idx="108">
                  <c:v>40.33</c:v>
                </c:pt>
                <c:pt idx="109">
                  <c:v>41.34</c:v>
                </c:pt>
                <c:pt idx="110">
                  <c:v>42.33</c:v>
                </c:pt>
                <c:pt idx="111">
                  <c:v>43.29</c:v>
                </c:pt>
                <c:pt idx="112">
                  <c:v>44.18</c:v>
                </c:pt>
                <c:pt idx="113">
                  <c:v>44.98</c:v>
                </c:pt>
                <c:pt idx="114">
                  <c:v>45.66</c:v>
                </c:pt>
                <c:pt idx="115">
                  <c:v>46.2</c:v>
                </c:pt>
                <c:pt idx="116">
                  <c:v>46.62</c:v>
                </c:pt>
                <c:pt idx="117">
                  <c:v>46.99</c:v>
                </c:pt>
                <c:pt idx="118">
                  <c:v>47.31</c:v>
                </c:pt>
                <c:pt idx="119">
                  <c:v>47.59</c:v>
                </c:pt>
                <c:pt idx="120">
                  <c:v>47.86</c:v>
                </c:pt>
                <c:pt idx="121">
                  <c:v>48.11</c:v>
                </c:pt>
                <c:pt idx="122">
                  <c:v>48.37</c:v>
                </c:pt>
                <c:pt idx="123">
                  <c:v>48.65</c:v>
                </c:pt>
                <c:pt idx="124">
                  <c:v>48.95</c:v>
                </c:pt>
                <c:pt idx="125">
                  <c:v>49.3</c:v>
                </c:pt>
                <c:pt idx="126">
                  <c:v>49.73</c:v>
                </c:pt>
                <c:pt idx="127">
                  <c:v>50.25</c:v>
                </c:pt>
                <c:pt idx="128">
                  <c:v>50.84</c:v>
                </c:pt>
                <c:pt idx="129">
                  <c:v>51.45</c:v>
                </c:pt>
                <c:pt idx="130">
                  <c:v>52.06</c:v>
                </c:pt>
                <c:pt idx="131">
                  <c:v>52.64</c:v>
                </c:pt>
                <c:pt idx="132">
                  <c:v>53.14</c:v>
                </c:pt>
                <c:pt idx="133">
                  <c:v>53.54</c:v>
                </c:pt>
                <c:pt idx="134">
                  <c:v>53.8</c:v>
                </c:pt>
                <c:pt idx="135">
                  <c:v>53.9</c:v>
                </c:pt>
                <c:pt idx="136">
                  <c:v>53.9</c:v>
                </c:pt>
                <c:pt idx="137">
                  <c:v>53.9</c:v>
                </c:pt>
                <c:pt idx="138">
                  <c:v>53.9</c:v>
                </c:pt>
                <c:pt idx="139">
                  <c:v>53.9</c:v>
                </c:pt>
                <c:pt idx="140">
                  <c:v>53.9</c:v>
                </c:pt>
                <c:pt idx="141">
                  <c:v>53.9</c:v>
                </c:pt>
                <c:pt idx="142">
                  <c:v>53.9</c:v>
                </c:pt>
                <c:pt idx="143">
                  <c:v>53.9</c:v>
                </c:pt>
                <c:pt idx="144">
                  <c:v>53.9</c:v>
                </c:pt>
                <c:pt idx="145">
                  <c:v>53.9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CA4-49C4-B947-D35BBDF822DE}"/>
            </c:ext>
          </c:extLst>
        </c:ser>
        <c:ser>
          <c:idx val="10"/>
          <c:order val="10"/>
          <c:tx>
            <c:strRef>
              <c:f>'Все-100K'!$L$3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'Все-100K'!$L$4:$L$149</c:f>
              <c:numCache>
                <c:formatCode>0.0</c:formatCode>
                <c:ptCount val="146"/>
                <c:pt idx="62">
                  <c:v>15.9</c:v>
                </c:pt>
                <c:pt idx="63">
                  <c:v>16.010000000000002</c:v>
                </c:pt>
                <c:pt idx="64">
                  <c:v>16.12</c:v>
                </c:pt>
                <c:pt idx="65">
                  <c:v>16.23</c:v>
                </c:pt>
                <c:pt idx="66">
                  <c:v>16.34</c:v>
                </c:pt>
                <c:pt idx="67">
                  <c:v>16.45</c:v>
                </c:pt>
                <c:pt idx="68">
                  <c:v>16.559999999999999</c:v>
                </c:pt>
                <c:pt idx="69">
                  <c:v>16.68</c:v>
                </c:pt>
                <c:pt idx="70">
                  <c:v>16.79</c:v>
                </c:pt>
                <c:pt idx="71">
                  <c:v>16.899999999999999</c:v>
                </c:pt>
                <c:pt idx="72">
                  <c:v>17.010000000000002</c:v>
                </c:pt>
                <c:pt idx="73">
                  <c:v>17.11</c:v>
                </c:pt>
                <c:pt idx="74">
                  <c:v>17.22</c:v>
                </c:pt>
                <c:pt idx="75">
                  <c:v>17.329999999999998</c:v>
                </c:pt>
                <c:pt idx="76">
                  <c:v>17.440000000000001</c:v>
                </c:pt>
                <c:pt idx="77">
                  <c:v>17.55</c:v>
                </c:pt>
                <c:pt idx="78">
                  <c:v>17.66</c:v>
                </c:pt>
                <c:pt idx="79">
                  <c:v>17.77</c:v>
                </c:pt>
                <c:pt idx="80">
                  <c:v>17.87</c:v>
                </c:pt>
                <c:pt idx="81">
                  <c:v>17.98</c:v>
                </c:pt>
                <c:pt idx="82">
                  <c:v>18.079999999999998</c:v>
                </c:pt>
                <c:pt idx="83">
                  <c:v>18.190000000000001</c:v>
                </c:pt>
                <c:pt idx="84">
                  <c:v>18.3</c:v>
                </c:pt>
                <c:pt idx="85">
                  <c:v>18.399999999999999</c:v>
                </c:pt>
                <c:pt idx="86">
                  <c:v>18.5</c:v>
                </c:pt>
                <c:pt idx="87">
                  <c:v>18.59</c:v>
                </c:pt>
                <c:pt idx="88">
                  <c:v>18.68</c:v>
                </c:pt>
                <c:pt idx="89">
                  <c:v>18.77</c:v>
                </c:pt>
                <c:pt idx="90">
                  <c:v>18.850000000000001</c:v>
                </c:pt>
                <c:pt idx="91">
                  <c:v>18.940000000000001</c:v>
                </c:pt>
                <c:pt idx="92">
                  <c:v>19.04</c:v>
                </c:pt>
                <c:pt idx="93">
                  <c:v>19.149999999999999</c:v>
                </c:pt>
                <c:pt idx="94">
                  <c:v>19.27</c:v>
                </c:pt>
                <c:pt idx="95">
                  <c:v>19.399999999999999</c:v>
                </c:pt>
                <c:pt idx="96">
                  <c:v>19.559999999999999</c:v>
                </c:pt>
                <c:pt idx="97">
                  <c:v>19.739999999999998</c:v>
                </c:pt>
                <c:pt idx="98">
                  <c:v>19.95</c:v>
                </c:pt>
                <c:pt idx="99">
                  <c:v>20.18</c:v>
                </c:pt>
                <c:pt idx="100">
                  <c:v>20.43</c:v>
                </c:pt>
                <c:pt idx="101">
                  <c:v>20.69</c:v>
                </c:pt>
                <c:pt idx="102">
                  <c:v>20.96</c:v>
                </c:pt>
                <c:pt idx="103">
                  <c:v>21.24</c:v>
                </c:pt>
                <c:pt idx="104">
                  <c:v>21.52</c:v>
                </c:pt>
                <c:pt idx="105">
                  <c:v>21.8</c:v>
                </c:pt>
                <c:pt idx="106">
                  <c:v>22.08</c:v>
                </c:pt>
                <c:pt idx="107">
                  <c:v>22.38</c:v>
                </c:pt>
                <c:pt idx="108">
                  <c:v>22.68</c:v>
                </c:pt>
                <c:pt idx="109">
                  <c:v>23</c:v>
                </c:pt>
                <c:pt idx="110">
                  <c:v>23.33</c:v>
                </c:pt>
                <c:pt idx="111">
                  <c:v>23.66</c:v>
                </c:pt>
                <c:pt idx="112">
                  <c:v>24.01</c:v>
                </c:pt>
                <c:pt idx="113">
                  <c:v>24.36</c:v>
                </c:pt>
                <c:pt idx="114">
                  <c:v>24.73</c:v>
                </c:pt>
                <c:pt idx="115">
                  <c:v>25.1</c:v>
                </c:pt>
                <c:pt idx="116">
                  <c:v>25.47</c:v>
                </c:pt>
                <c:pt idx="117">
                  <c:v>25.84</c:v>
                </c:pt>
                <c:pt idx="118">
                  <c:v>26.2</c:v>
                </c:pt>
                <c:pt idx="119">
                  <c:v>26.56</c:v>
                </c:pt>
                <c:pt idx="120">
                  <c:v>26.93</c:v>
                </c:pt>
                <c:pt idx="121">
                  <c:v>27.29</c:v>
                </c:pt>
                <c:pt idx="122">
                  <c:v>27.66</c:v>
                </c:pt>
                <c:pt idx="123">
                  <c:v>28.03</c:v>
                </c:pt>
                <c:pt idx="124">
                  <c:v>28.42</c:v>
                </c:pt>
                <c:pt idx="125">
                  <c:v>28.82</c:v>
                </c:pt>
                <c:pt idx="126">
                  <c:v>29.23</c:v>
                </c:pt>
                <c:pt idx="127">
                  <c:v>29.65</c:v>
                </c:pt>
                <c:pt idx="128">
                  <c:v>30.1</c:v>
                </c:pt>
                <c:pt idx="129">
                  <c:v>30.56</c:v>
                </c:pt>
                <c:pt idx="130">
                  <c:v>31.05</c:v>
                </c:pt>
                <c:pt idx="131">
                  <c:v>31.56</c:v>
                </c:pt>
                <c:pt idx="132">
                  <c:v>32.1</c:v>
                </c:pt>
                <c:pt idx="133">
                  <c:v>32.67</c:v>
                </c:pt>
                <c:pt idx="134">
                  <c:v>33.270000000000003</c:v>
                </c:pt>
                <c:pt idx="135">
                  <c:v>33.9</c:v>
                </c:pt>
                <c:pt idx="136">
                  <c:v>34.64</c:v>
                </c:pt>
                <c:pt idx="137">
                  <c:v>35.54</c:v>
                </c:pt>
                <c:pt idx="138">
                  <c:v>36.58</c:v>
                </c:pt>
                <c:pt idx="139">
                  <c:v>37.75</c:v>
                </c:pt>
                <c:pt idx="140">
                  <c:v>39.03</c:v>
                </c:pt>
                <c:pt idx="141">
                  <c:v>40.39</c:v>
                </c:pt>
                <c:pt idx="142">
                  <c:v>41.83</c:v>
                </c:pt>
                <c:pt idx="143">
                  <c:v>43.32</c:v>
                </c:pt>
                <c:pt idx="144">
                  <c:v>44.85</c:v>
                </c:pt>
                <c:pt idx="145">
                  <c:v>46.4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CA4-49C4-B947-D35BBDF822DE}"/>
            </c:ext>
          </c:extLst>
        </c:ser>
        <c:ser>
          <c:idx val="11"/>
          <c:order val="11"/>
          <c:tx>
            <c:strRef>
              <c:f>'Все-100K'!$M$3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'Все-100K'!$M$4:$M$149</c:f>
              <c:numCache>
                <c:formatCode>0.0</c:formatCode>
                <c:ptCount val="146"/>
                <c:pt idx="54">
                  <c:v>16.100000000000001</c:v>
                </c:pt>
                <c:pt idx="55">
                  <c:v>16.600000000000001</c:v>
                </c:pt>
                <c:pt idx="56">
                  <c:v>17.100000000000001</c:v>
                </c:pt>
                <c:pt idx="57">
                  <c:v>17.59</c:v>
                </c:pt>
                <c:pt idx="58">
                  <c:v>18.059999999999999</c:v>
                </c:pt>
                <c:pt idx="59">
                  <c:v>18.52</c:v>
                </c:pt>
                <c:pt idx="60">
                  <c:v>18.95</c:v>
                </c:pt>
                <c:pt idx="61">
                  <c:v>19.350000000000001</c:v>
                </c:pt>
                <c:pt idx="62">
                  <c:v>19.73</c:v>
                </c:pt>
                <c:pt idx="63">
                  <c:v>20.059999999999999</c:v>
                </c:pt>
                <c:pt idx="64">
                  <c:v>20.36</c:v>
                </c:pt>
                <c:pt idx="65">
                  <c:v>20.6</c:v>
                </c:pt>
                <c:pt idx="66">
                  <c:v>20.8</c:v>
                </c:pt>
                <c:pt idx="67">
                  <c:v>20.95</c:v>
                </c:pt>
                <c:pt idx="68">
                  <c:v>21.08</c:v>
                </c:pt>
                <c:pt idx="69">
                  <c:v>21.19</c:v>
                </c:pt>
                <c:pt idx="70">
                  <c:v>21.28</c:v>
                </c:pt>
                <c:pt idx="71">
                  <c:v>21.36</c:v>
                </c:pt>
                <c:pt idx="72">
                  <c:v>21.44</c:v>
                </c:pt>
                <c:pt idx="73">
                  <c:v>21.51</c:v>
                </c:pt>
                <c:pt idx="74">
                  <c:v>21.6</c:v>
                </c:pt>
                <c:pt idx="75">
                  <c:v>21.69</c:v>
                </c:pt>
                <c:pt idx="76">
                  <c:v>21.8</c:v>
                </c:pt>
                <c:pt idx="77">
                  <c:v>21.94</c:v>
                </c:pt>
                <c:pt idx="78">
                  <c:v>22.1</c:v>
                </c:pt>
                <c:pt idx="79">
                  <c:v>22.39</c:v>
                </c:pt>
                <c:pt idx="80">
                  <c:v>22.85</c:v>
                </c:pt>
                <c:pt idx="81">
                  <c:v>23.44</c:v>
                </c:pt>
                <c:pt idx="82">
                  <c:v>24.07</c:v>
                </c:pt>
                <c:pt idx="83">
                  <c:v>24.7</c:v>
                </c:pt>
                <c:pt idx="84">
                  <c:v>25.27</c:v>
                </c:pt>
                <c:pt idx="85">
                  <c:v>25.7</c:v>
                </c:pt>
                <c:pt idx="86">
                  <c:v>26.05</c:v>
                </c:pt>
                <c:pt idx="87">
                  <c:v>26.38</c:v>
                </c:pt>
                <c:pt idx="88">
                  <c:v>26.71</c:v>
                </c:pt>
                <c:pt idx="89">
                  <c:v>27.03</c:v>
                </c:pt>
                <c:pt idx="90">
                  <c:v>27.34</c:v>
                </c:pt>
                <c:pt idx="91">
                  <c:v>27.64</c:v>
                </c:pt>
                <c:pt idx="92">
                  <c:v>27.94</c:v>
                </c:pt>
                <c:pt idx="93">
                  <c:v>28.22</c:v>
                </c:pt>
                <c:pt idx="94">
                  <c:v>28.5</c:v>
                </c:pt>
                <c:pt idx="95">
                  <c:v>28.77</c:v>
                </c:pt>
                <c:pt idx="96">
                  <c:v>29.03</c:v>
                </c:pt>
                <c:pt idx="97">
                  <c:v>29.28</c:v>
                </c:pt>
                <c:pt idx="98">
                  <c:v>29.52</c:v>
                </c:pt>
                <c:pt idx="99">
                  <c:v>29.76</c:v>
                </c:pt>
                <c:pt idx="100">
                  <c:v>29.98</c:v>
                </c:pt>
                <c:pt idx="101">
                  <c:v>30.2</c:v>
                </c:pt>
                <c:pt idx="102">
                  <c:v>30.41</c:v>
                </c:pt>
                <c:pt idx="103">
                  <c:v>30.62</c:v>
                </c:pt>
                <c:pt idx="104">
                  <c:v>30.81</c:v>
                </c:pt>
                <c:pt idx="105">
                  <c:v>31</c:v>
                </c:pt>
                <c:pt idx="106">
                  <c:v>31.17</c:v>
                </c:pt>
                <c:pt idx="107">
                  <c:v>31.32</c:v>
                </c:pt>
                <c:pt idx="108">
                  <c:v>31.45</c:v>
                </c:pt>
                <c:pt idx="109">
                  <c:v>31.56</c:v>
                </c:pt>
                <c:pt idx="110">
                  <c:v>31.68</c:v>
                </c:pt>
                <c:pt idx="111">
                  <c:v>31.79</c:v>
                </c:pt>
                <c:pt idx="112">
                  <c:v>31.92</c:v>
                </c:pt>
                <c:pt idx="113">
                  <c:v>32.06</c:v>
                </c:pt>
                <c:pt idx="114">
                  <c:v>32.21</c:v>
                </c:pt>
                <c:pt idx="115">
                  <c:v>32.4</c:v>
                </c:pt>
                <c:pt idx="116">
                  <c:v>32.630000000000003</c:v>
                </c:pt>
                <c:pt idx="117">
                  <c:v>32.9</c:v>
                </c:pt>
                <c:pt idx="118">
                  <c:v>33.21</c:v>
                </c:pt>
                <c:pt idx="119">
                  <c:v>33.56</c:v>
                </c:pt>
                <c:pt idx="120">
                  <c:v>33.94</c:v>
                </c:pt>
                <c:pt idx="121">
                  <c:v>34.340000000000003</c:v>
                </c:pt>
                <c:pt idx="122">
                  <c:v>34.770000000000003</c:v>
                </c:pt>
                <c:pt idx="123">
                  <c:v>35.200000000000003</c:v>
                </c:pt>
                <c:pt idx="124">
                  <c:v>35.65</c:v>
                </c:pt>
                <c:pt idx="125">
                  <c:v>36.090000000000003</c:v>
                </c:pt>
                <c:pt idx="126">
                  <c:v>36.54</c:v>
                </c:pt>
                <c:pt idx="127">
                  <c:v>36.97</c:v>
                </c:pt>
                <c:pt idx="128">
                  <c:v>37.39</c:v>
                </c:pt>
                <c:pt idx="129">
                  <c:v>37.799999999999997</c:v>
                </c:pt>
                <c:pt idx="130">
                  <c:v>38.18</c:v>
                </c:pt>
                <c:pt idx="131">
                  <c:v>38.520000000000003</c:v>
                </c:pt>
                <c:pt idx="132">
                  <c:v>38.83</c:v>
                </c:pt>
                <c:pt idx="133">
                  <c:v>39.1</c:v>
                </c:pt>
                <c:pt idx="134">
                  <c:v>39.33</c:v>
                </c:pt>
                <c:pt idx="135">
                  <c:v>39.5</c:v>
                </c:pt>
                <c:pt idx="136">
                  <c:v>39.64</c:v>
                </c:pt>
                <c:pt idx="137">
                  <c:v>39.76</c:v>
                </c:pt>
                <c:pt idx="138">
                  <c:v>39.869999999999997</c:v>
                </c:pt>
                <c:pt idx="139">
                  <c:v>39.96</c:v>
                </c:pt>
                <c:pt idx="140">
                  <c:v>40.049999999999997</c:v>
                </c:pt>
                <c:pt idx="141">
                  <c:v>40.130000000000003</c:v>
                </c:pt>
                <c:pt idx="142">
                  <c:v>40.200000000000003</c:v>
                </c:pt>
                <c:pt idx="143">
                  <c:v>40.270000000000003</c:v>
                </c:pt>
                <c:pt idx="144">
                  <c:v>40.340000000000003</c:v>
                </c:pt>
                <c:pt idx="145">
                  <c:v>40.4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CA4-49C4-B947-D35BBDF822DE}"/>
            </c:ext>
          </c:extLst>
        </c:ser>
        <c:ser>
          <c:idx val="12"/>
          <c:order val="12"/>
          <c:tx>
            <c:strRef>
              <c:f>'Все-100K'!$N$3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'Все-100K'!$N$4:$N$149</c:f>
              <c:numCache>
                <c:formatCode>0.0</c:formatCode>
                <c:ptCount val="146"/>
                <c:pt idx="75">
                  <c:v>10.199999999999999</c:v>
                </c:pt>
                <c:pt idx="76">
                  <c:v>10.58</c:v>
                </c:pt>
                <c:pt idx="77">
                  <c:v>10.95</c:v>
                </c:pt>
                <c:pt idx="78">
                  <c:v>11.33</c:v>
                </c:pt>
                <c:pt idx="79">
                  <c:v>11.71</c:v>
                </c:pt>
                <c:pt idx="80">
                  <c:v>12.1</c:v>
                </c:pt>
                <c:pt idx="81">
                  <c:v>12.49</c:v>
                </c:pt>
                <c:pt idx="82">
                  <c:v>12.88</c:v>
                </c:pt>
                <c:pt idx="83">
                  <c:v>13.28</c:v>
                </c:pt>
                <c:pt idx="84">
                  <c:v>13.69</c:v>
                </c:pt>
                <c:pt idx="85">
                  <c:v>14.1</c:v>
                </c:pt>
                <c:pt idx="86">
                  <c:v>14.52</c:v>
                </c:pt>
                <c:pt idx="87">
                  <c:v>14.96</c:v>
                </c:pt>
                <c:pt idx="88">
                  <c:v>15.4</c:v>
                </c:pt>
                <c:pt idx="89">
                  <c:v>15.84</c:v>
                </c:pt>
                <c:pt idx="90">
                  <c:v>16.3</c:v>
                </c:pt>
                <c:pt idx="91">
                  <c:v>16.760000000000002</c:v>
                </c:pt>
                <c:pt idx="92">
                  <c:v>17.22</c:v>
                </c:pt>
                <c:pt idx="93">
                  <c:v>17.68</c:v>
                </c:pt>
                <c:pt idx="94">
                  <c:v>18.14</c:v>
                </c:pt>
                <c:pt idx="95">
                  <c:v>18.600000000000001</c:v>
                </c:pt>
                <c:pt idx="96">
                  <c:v>19.04</c:v>
                </c:pt>
                <c:pt idx="97">
                  <c:v>19.440000000000001</c:v>
                </c:pt>
                <c:pt idx="98">
                  <c:v>19.82</c:v>
                </c:pt>
                <c:pt idx="99">
                  <c:v>20.2</c:v>
                </c:pt>
                <c:pt idx="100">
                  <c:v>20.6</c:v>
                </c:pt>
                <c:pt idx="101">
                  <c:v>21.02</c:v>
                </c:pt>
                <c:pt idx="102">
                  <c:v>21.48</c:v>
                </c:pt>
                <c:pt idx="103">
                  <c:v>22.01</c:v>
                </c:pt>
                <c:pt idx="104">
                  <c:v>22.61</c:v>
                </c:pt>
                <c:pt idx="105">
                  <c:v>23.3</c:v>
                </c:pt>
                <c:pt idx="106">
                  <c:v>24.34</c:v>
                </c:pt>
                <c:pt idx="107">
                  <c:v>25.89</c:v>
                </c:pt>
                <c:pt idx="108">
                  <c:v>27.82</c:v>
                </c:pt>
                <c:pt idx="109">
                  <c:v>30</c:v>
                </c:pt>
                <c:pt idx="110">
                  <c:v>32.299999999999997</c:v>
                </c:pt>
                <c:pt idx="111">
                  <c:v>34.58</c:v>
                </c:pt>
                <c:pt idx="112">
                  <c:v>36.71</c:v>
                </c:pt>
                <c:pt idx="113">
                  <c:v>38.56</c:v>
                </c:pt>
                <c:pt idx="114">
                  <c:v>40</c:v>
                </c:pt>
                <c:pt idx="115">
                  <c:v>40.9</c:v>
                </c:pt>
                <c:pt idx="116">
                  <c:v>41.43</c:v>
                </c:pt>
                <c:pt idx="117">
                  <c:v>41.87</c:v>
                </c:pt>
                <c:pt idx="118">
                  <c:v>42.24</c:v>
                </c:pt>
                <c:pt idx="119">
                  <c:v>42.55</c:v>
                </c:pt>
                <c:pt idx="120">
                  <c:v>42.83</c:v>
                </c:pt>
                <c:pt idx="121">
                  <c:v>43.1</c:v>
                </c:pt>
                <c:pt idx="122">
                  <c:v>43.37</c:v>
                </c:pt>
                <c:pt idx="123">
                  <c:v>43.66</c:v>
                </c:pt>
                <c:pt idx="124">
                  <c:v>44</c:v>
                </c:pt>
                <c:pt idx="125">
                  <c:v>44.4</c:v>
                </c:pt>
                <c:pt idx="126">
                  <c:v>44.85</c:v>
                </c:pt>
                <c:pt idx="127">
                  <c:v>45.32</c:v>
                </c:pt>
                <c:pt idx="128">
                  <c:v>45.82</c:v>
                </c:pt>
                <c:pt idx="129">
                  <c:v>46.35</c:v>
                </c:pt>
                <c:pt idx="130">
                  <c:v>46.91</c:v>
                </c:pt>
                <c:pt idx="131">
                  <c:v>47.5</c:v>
                </c:pt>
                <c:pt idx="132">
                  <c:v>48.12</c:v>
                </c:pt>
                <c:pt idx="133">
                  <c:v>48.78</c:v>
                </c:pt>
                <c:pt idx="134">
                  <c:v>49.47</c:v>
                </c:pt>
                <c:pt idx="135">
                  <c:v>50.2</c:v>
                </c:pt>
                <c:pt idx="136">
                  <c:v>50.99</c:v>
                </c:pt>
                <c:pt idx="137">
                  <c:v>51.86</c:v>
                </c:pt>
                <c:pt idx="138">
                  <c:v>52.81</c:v>
                </c:pt>
                <c:pt idx="139">
                  <c:v>53.82</c:v>
                </c:pt>
                <c:pt idx="140">
                  <c:v>54.88</c:v>
                </c:pt>
                <c:pt idx="141">
                  <c:v>55.99</c:v>
                </c:pt>
                <c:pt idx="142">
                  <c:v>57.14</c:v>
                </c:pt>
                <c:pt idx="143">
                  <c:v>58.31</c:v>
                </c:pt>
                <c:pt idx="144">
                  <c:v>59.5</c:v>
                </c:pt>
                <c:pt idx="145">
                  <c:v>60.7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CA4-49C4-B947-D35BBDF822DE}"/>
            </c:ext>
          </c:extLst>
        </c:ser>
        <c:ser>
          <c:idx val="13"/>
          <c:order val="13"/>
          <c:tx>
            <c:strRef>
              <c:f>'Все-100K'!$O$3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'Все-100K'!$O$4:$O$149</c:f>
              <c:numCache>
                <c:formatCode>0.0</c:formatCode>
                <c:ptCount val="146"/>
                <c:pt idx="55">
                  <c:v>4.4000000000000004</c:v>
                </c:pt>
                <c:pt idx="56">
                  <c:v>4.53</c:v>
                </c:pt>
                <c:pt idx="57">
                  <c:v>4.67</c:v>
                </c:pt>
                <c:pt idx="58">
                  <c:v>4.8</c:v>
                </c:pt>
                <c:pt idx="59">
                  <c:v>4.93</c:v>
                </c:pt>
                <c:pt idx="60">
                  <c:v>5.07</c:v>
                </c:pt>
                <c:pt idx="61">
                  <c:v>5.21</c:v>
                </c:pt>
                <c:pt idx="62">
                  <c:v>5.35</c:v>
                </c:pt>
                <c:pt idx="63">
                  <c:v>5.49</c:v>
                </c:pt>
                <c:pt idx="64">
                  <c:v>5.64</c:v>
                </c:pt>
                <c:pt idx="65">
                  <c:v>5.78</c:v>
                </c:pt>
                <c:pt idx="66">
                  <c:v>5.93</c:v>
                </c:pt>
                <c:pt idx="67">
                  <c:v>6.09</c:v>
                </c:pt>
                <c:pt idx="68">
                  <c:v>6.25</c:v>
                </c:pt>
                <c:pt idx="69">
                  <c:v>6.41</c:v>
                </c:pt>
                <c:pt idx="70">
                  <c:v>6.58</c:v>
                </c:pt>
                <c:pt idx="71">
                  <c:v>6.75</c:v>
                </c:pt>
                <c:pt idx="72">
                  <c:v>6.93</c:v>
                </c:pt>
                <c:pt idx="73">
                  <c:v>7.11</c:v>
                </c:pt>
                <c:pt idx="74">
                  <c:v>7.3</c:v>
                </c:pt>
                <c:pt idx="75">
                  <c:v>7.5</c:v>
                </c:pt>
                <c:pt idx="76">
                  <c:v>7.71</c:v>
                </c:pt>
                <c:pt idx="77">
                  <c:v>7.93</c:v>
                </c:pt>
                <c:pt idx="78">
                  <c:v>8.17</c:v>
                </c:pt>
                <c:pt idx="79">
                  <c:v>8.43</c:v>
                </c:pt>
                <c:pt idx="80">
                  <c:v>8.6999999999999993</c:v>
                </c:pt>
                <c:pt idx="81">
                  <c:v>8.99</c:v>
                </c:pt>
                <c:pt idx="82">
                  <c:v>9.2899999999999991</c:v>
                </c:pt>
                <c:pt idx="83">
                  <c:v>9.61</c:v>
                </c:pt>
                <c:pt idx="84">
                  <c:v>9.9499999999999993</c:v>
                </c:pt>
                <c:pt idx="85">
                  <c:v>10.3</c:v>
                </c:pt>
                <c:pt idx="86">
                  <c:v>10.68</c:v>
                </c:pt>
                <c:pt idx="87">
                  <c:v>11.12</c:v>
                </c:pt>
                <c:pt idx="88">
                  <c:v>11.59</c:v>
                </c:pt>
                <c:pt idx="89">
                  <c:v>12.09</c:v>
                </c:pt>
                <c:pt idx="90">
                  <c:v>12.61</c:v>
                </c:pt>
                <c:pt idx="91">
                  <c:v>13.15</c:v>
                </c:pt>
                <c:pt idx="92">
                  <c:v>13.7</c:v>
                </c:pt>
                <c:pt idx="93">
                  <c:v>14.24</c:v>
                </c:pt>
                <c:pt idx="94">
                  <c:v>14.78</c:v>
                </c:pt>
                <c:pt idx="95">
                  <c:v>15.3</c:v>
                </c:pt>
                <c:pt idx="96">
                  <c:v>15.84</c:v>
                </c:pt>
                <c:pt idx="97">
                  <c:v>16.440000000000001</c:v>
                </c:pt>
                <c:pt idx="98">
                  <c:v>17.059999999999999</c:v>
                </c:pt>
                <c:pt idx="99">
                  <c:v>17.690000000000001</c:v>
                </c:pt>
                <c:pt idx="100">
                  <c:v>18.309999999999999</c:v>
                </c:pt>
                <c:pt idx="101">
                  <c:v>18.899999999999999</c:v>
                </c:pt>
                <c:pt idx="102">
                  <c:v>19.43</c:v>
                </c:pt>
                <c:pt idx="103">
                  <c:v>19.89</c:v>
                </c:pt>
                <c:pt idx="104">
                  <c:v>20.25</c:v>
                </c:pt>
                <c:pt idx="105">
                  <c:v>20.5</c:v>
                </c:pt>
                <c:pt idx="106">
                  <c:v>20.68</c:v>
                </c:pt>
                <c:pt idx="107">
                  <c:v>20.86</c:v>
                </c:pt>
                <c:pt idx="108">
                  <c:v>21.03</c:v>
                </c:pt>
                <c:pt idx="109">
                  <c:v>21.19</c:v>
                </c:pt>
                <c:pt idx="110">
                  <c:v>21.35</c:v>
                </c:pt>
                <c:pt idx="111">
                  <c:v>21.51</c:v>
                </c:pt>
                <c:pt idx="112">
                  <c:v>21.66</c:v>
                </c:pt>
                <c:pt idx="113">
                  <c:v>21.8</c:v>
                </c:pt>
                <c:pt idx="114">
                  <c:v>21.93</c:v>
                </c:pt>
                <c:pt idx="115">
                  <c:v>22.05</c:v>
                </c:pt>
                <c:pt idx="116">
                  <c:v>22.17</c:v>
                </c:pt>
                <c:pt idx="117">
                  <c:v>22.27</c:v>
                </c:pt>
                <c:pt idx="118">
                  <c:v>22.37</c:v>
                </c:pt>
                <c:pt idx="119">
                  <c:v>22.45</c:v>
                </c:pt>
                <c:pt idx="120">
                  <c:v>22.53</c:v>
                </c:pt>
                <c:pt idx="121">
                  <c:v>22.59</c:v>
                </c:pt>
                <c:pt idx="122">
                  <c:v>22.64</c:v>
                </c:pt>
                <c:pt idx="123">
                  <c:v>22.67</c:v>
                </c:pt>
                <c:pt idx="124">
                  <c:v>22.69</c:v>
                </c:pt>
                <c:pt idx="125">
                  <c:v>22.7</c:v>
                </c:pt>
                <c:pt idx="126">
                  <c:v>22.69</c:v>
                </c:pt>
                <c:pt idx="127">
                  <c:v>22.66</c:v>
                </c:pt>
                <c:pt idx="128">
                  <c:v>22.6</c:v>
                </c:pt>
                <c:pt idx="129">
                  <c:v>22.53</c:v>
                </c:pt>
                <c:pt idx="130">
                  <c:v>22.45</c:v>
                </c:pt>
                <c:pt idx="131">
                  <c:v>22.35</c:v>
                </c:pt>
                <c:pt idx="132">
                  <c:v>22.25</c:v>
                </c:pt>
                <c:pt idx="133">
                  <c:v>22.14</c:v>
                </c:pt>
                <c:pt idx="134">
                  <c:v>22.02</c:v>
                </c:pt>
                <c:pt idx="135">
                  <c:v>21.9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CA4-49C4-B947-D35BBDF822DE}"/>
            </c:ext>
          </c:extLst>
        </c:ser>
        <c:ser>
          <c:idx val="14"/>
          <c:order val="14"/>
          <c:tx>
            <c:strRef>
              <c:f>'Все-100K'!$P$3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'Все-100K'!$P$4:$P$149</c:f>
              <c:numCache>
                <c:formatCode>0.0</c:formatCode>
                <c:ptCount val="146"/>
                <c:pt idx="65">
                  <c:v>17.399999999999999</c:v>
                </c:pt>
                <c:pt idx="66">
                  <c:v>17.64</c:v>
                </c:pt>
                <c:pt idx="67">
                  <c:v>17.88</c:v>
                </c:pt>
                <c:pt idx="68">
                  <c:v>18.11</c:v>
                </c:pt>
                <c:pt idx="69">
                  <c:v>18.350000000000001</c:v>
                </c:pt>
                <c:pt idx="70">
                  <c:v>18.579999999999998</c:v>
                </c:pt>
                <c:pt idx="71">
                  <c:v>18.809999999999999</c:v>
                </c:pt>
                <c:pt idx="72">
                  <c:v>19.04</c:v>
                </c:pt>
                <c:pt idx="73">
                  <c:v>19.260000000000002</c:v>
                </c:pt>
                <c:pt idx="74">
                  <c:v>19.48</c:v>
                </c:pt>
                <c:pt idx="75">
                  <c:v>19.7</c:v>
                </c:pt>
                <c:pt idx="76">
                  <c:v>19.899999999999999</c:v>
                </c:pt>
                <c:pt idx="77">
                  <c:v>20.09</c:v>
                </c:pt>
                <c:pt idx="78">
                  <c:v>20.260000000000002</c:v>
                </c:pt>
                <c:pt idx="79">
                  <c:v>20.43</c:v>
                </c:pt>
                <c:pt idx="80">
                  <c:v>20.61</c:v>
                </c:pt>
                <c:pt idx="81">
                  <c:v>20.79</c:v>
                </c:pt>
                <c:pt idx="82">
                  <c:v>20.98</c:v>
                </c:pt>
                <c:pt idx="83">
                  <c:v>21.19</c:v>
                </c:pt>
                <c:pt idx="84">
                  <c:v>21.43</c:v>
                </c:pt>
                <c:pt idx="85">
                  <c:v>21.7</c:v>
                </c:pt>
                <c:pt idx="86">
                  <c:v>22.03</c:v>
                </c:pt>
                <c:pt idx="87">
                  <c:v>22.45</c:v>
                </c:pt>
                <c:pt idx="88">
                  <c:v>22.93</c:v>
                </c:pt>
                <c:pt idx="89">
                  <c:v>23.47</c:v>
                </c:pt>
                <c:pt idx="90">
                  <c:v>24.04</c:v>
                </c:pt>
                <c:pt idx="91">
                  <c:v>24.63</c:v>
                </c:pt>
                <c:pt idx="92">
                  <c:v>25.22</c:v>
                </c:pt>
                <c:pt idx="93">
                  <c:v>25.81</c:v>
                </c:pt>
                <c:pt idx="94">
                  <c:v>26.38</c:v>
                </c:pt>
                <c:pt idx="95">
                  <c:v>26.9</c:v>
                </c:pt>
                <c:pt idx="96">
                  <c:v>27.41</c:v>
                </c:pt>
                <c:pt idx="97">
                  <c:v>27.94</c:v>
                </c:pt>
                <c:pt idx="98">
                  <c:v>28.49</c:v>
                </c:pt>
                <c:pt idx="99">
                  <c:v>29.03</c:v>
                </c:pt>
                <c:pt idx="100">
                  <c:v>29.56</c:v>
                </c:pt>
                <c:pt idx="101">
                  <c:v>30.07</c:v>
                </c:pt>
                <c:pt idx="102">
                  <c:v>30.55</c:v>
                </c:pt>
                <c:pt idx="103">
                  <c:v>30.99</c:v>
                </c:pt>
                <c:pt idx="104">
                  <c:v>31.37</c:v>
                </c:pt>
                <c:pt idx="105">
                  <c:v>31.7</c:v>
                </c:pt>
                <c:pt idx="106">
                  <c:v>31.97</c:v>
                </c:pt>
                <c:pt idx="107">
                  <c:v>32.22</c:v>
                </c:pt>
                <c:pt idx="108">
                  <c:v>32.44</c:v>
                </c:pt>
                <c:pt idx="109">
                  <c:v>32.64</c:v>
                </c:pt>
                <c:pt idx="110">
                  <c:v>32.83</c:v>
                </c:pt>
                <c:pt idx="111">
                  <c:v>33.01</c:v>
                </c:pt>
                <c:pt idx="112">
                  <c:v>33.19</c:v>
                </c:pt>
                <c:pt idx="113">
                  <c:v>33.380000000000003</c:v>
                </c:pt>
                <c:pt idx="114">
                  <c:v>33.58</c:v>
                </c:pt>
                <c:pt idx="115">
                  <c:v>33.799999999999997</c:v>
                </c:pt>
                <c:pt idx="116">
                  <c:v>34.020000000000003</c:v>
                </c:pt>
                <c:pt idx="117">
                  <c:v>34.22</c:v>
                </c:pt>
                <c:pt idx="118">
                  <c:v>34.409999999999997</c:v>
                </c:pt>
                <c:pt idx="119">
                  <c:v>34.6</c:v>
                </c:pt>
                <c:pt idx="120">
                  <c:v>34.799999999999997</c:v>
                </c:pt>
                <c:pt idx="121">
                  <c:v>35.020000000000003</c:v>
                </c:pt>
                <c:pt idx="122">
                  <c:v>35.270000000000003</c:v>
                </c:pt>
                <c:pt idx="123">
                  <c:v>35.56</c:v>
                </c:pt>
                <c:pt idx="124">
                  <c:v>35.9</c:v>
                </c:pt>
                <c:pt idx="125">
                  <c:v>36.299999999999997</c:v>
                </c:pt>
                <c:pt idx="126">
                  <c:v>37.04</c:v>
                </c:pt>
                <c:pt idx="127">
                  <c:v>38.32</c:v>
                </c:pt>
                <c:pt idx="128">
                  <c:v>39.99</c:v>
                </c:pt>
                <c:pt idx="129">
                  <c:v>41.92</c:v>
                </c:pt>
                <c:pt idx="130">
                  <c:v>43.97</c:v>
                </c:pt>
                <c:pt idx="131">
                  <c:v>46</c:v>
                </c:pt>
                <c:pt idx="132">
                  <c:v>47.88</c:v>
                </c:pt>
                <c:pt idx="133">
                  <c:v>49.46</c:v>
                </c:pt>
                <c:pt idx="134">
                  <c:v>50.61</c:v>
                </c:pt>
                <c:pt idx="135">
                  <c:v>51.2</c:v>
                </c:pt>
                <c:pt idx="136">
                  <c:v>51.44</c:v>
                </c:pt>
                <c:pt idx="137">
                  <c:v>51.65</c:v>
                </c:pt>
                <c:pt idx="138">
                  <c:v>51.83</c:v>
                </c:pt>
                <c:pt idx="139">
                  <c:v>51.98</c:v>
                </c:pt>
                <c:pt idx="140">
                  <c:v>52.12</c:v>
                </c:pt>
                <c:pt idx="141">
                  <c:v>52.23</c:v>
                </c:pt>
                <c:pt idx="142">
                  <c:v>52.34</c:v>
                </c:pt>
                <c:pt idx="143">
                  <c:v>52.43</c:v>
                </c:pt>
                <c:pt idx="144">
                  <c:v>52.52</c:v>
                </c:pt>
                <c:pt idx="145">
                  <c:v>52.6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2CA4-49C4-B947-D35BBDF822DE}"/>
            </c:ext>
          </c:extLst>
        </c:ser>
        <c:ser>
          <c:idx val="15"/>
          <c:order val="15"/>
          <c:tx>
            <c:strRef>
              <c:f>'Все-100K'!$Q$3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'Все-100K'!$Q$4:$Q$149</c:f>
              <c:numCache>
                <c:formatCode>0.0</c:formatCode>
                <c:ptCount val="146"/>
                <c:pt idx="85">
                  <c:v>19.600000000000001</c:v>
                </c:pt>
                <c:pt idx="86">
                  <c:v>19.989999999999998</c:v>
                </c:pt>
                <c:pt idx="87">
                  <c:v>20.37</c:v>
                </c:pt>
                <c:pt idx="88">
                  <c:v>20.75</c:v>
                </c:pt>
                <c:pt idx="89">
                  <c:v>21.12</c:v>
                </c:pt>
                <c:pt idx="90">
                  <c:v>21.48</c:v>
                </c:pt>
                <c:pt idx="91">
                  <c:v>21.82</c:v>
                </c:pt>
                <c:pt idx="92">
                  <c:v>22.15</c:v>
                </c:pt>
                <c:pt idx="93">
                  <c:v>22.46</c:v>
                </c:pt>
                <c:pt idx="94">
                  <c:v>22.74</c:v>
                </c:pt>
                <c:pt idx="95">
                  <c:v>23</c:v>
                </c:pt>
                <c:pt idx="96">
                  <c:v>23.23</c:v>
                </c:pt>
                <c:pt idx="97">
                  <c:v>23.44</c:v>
                </c:pt>
                <c:pt idx="98">
                  <c:v>23.64</c:v>
                </c:pt>
                <c:pt idx="99">
                  <c:v>23.82</c:v>
                </c:pt>
                <c:pt idx="100">
                  <c:v>24</c:v>
                </c:pt>
                <c:pt idx="101">
                  <c:v>24.17</c:v>
                </c:pt>
                <c:pt idx="102">
                  <c:v>24.34</c:v>
                </c:pt>
                <c:pt idx="103">
                  <c:v>24.52</c:v>
                </c:pt>
                <c:pt idx="104">
                  <c:v>24.7</c:v>
                </c:pt>
                <c:pt idx="105">
                  <c:v>24.9</c:v>
                </c:pt>
                <c:pt idx="106">
                  <c:v>25.1</c:v>
                </c:pt>
                <c:pt idx="107">
                  <c:v>25.3</c:v>
                </c:pt>
                <c:pt idx="108">
                  <c:v>25.49</c:v>
                </c:pt>
                <c:pt idx="109">
                  <c:v>25.68</c:v>
                </c:pt>
                <c:pt idx="110">
                  <c:v>25.89</c:v>
                </c:pt>
                <c:pt idx="111">
                  <c:v>26.1</c:v>
                </c:pt>
                <c:pt idx="112">
                  <c:v>26.32</c:v>
                </c:pt>
                <c:pt idx="113">
                  <c:v>26.56</c:v>
                </c:pt>
                <c:pt idx="114">
                  <c:v>26.82</c:v>
                </c:pt>
                <c:pt idx="115">
                  <c:v>27.1</c:v>
                </c:pt>
                <c:pt idx="116">
                  <c:v>27.43</c:v>
                </c:pt>
                <c:pt idx="117">
                  <c:v>27.82</c:v>
                </c:pt>
                <c:pt idx="118">
                  <c:v>28.25</c:v>
                </c:pt>
                <c:pt idx="119">
                  <c:v>28.72</c:v>
                </c:pt>
                <c:pt idx="120">
                  <c:v>29.21</c:v>
                </c:pt>
                <c:pt idx="121">
                  <c:v>29.71</c:v>
                </c:pt>
                <c:pt idx="122">
                  <c:v>30.22</c:v>
                </c:pt>
                <c:pt idx="123">
                  <c:v>30.71</c:v>
                </c:pt>
                <c:pt idx="124">
                  <c:v>31.17</c:v>
                </c:pt>
                <c:pt idx="125">
                  <c:v>31.6</c:v>
                </c:pt>
                <c:pt idx="126">
                  <c:v>32</c:v>
                </c:pt>
                <c:pt idx="127">
                  <c:v>32.39</c:v>
                </c:pt>
                <c:pt idx="128">
                  <c:v>32.770000000000003</c:v>
                </c:pt>
                <c:pt idx="129">
                  <c:v>33.15</c:v>
                </c:pt>
                <c:pt idx="130">
                  <c:v>33.520000000000003</c:v>
                </c:pt>
                <c:pt idx="131">
                  <c:v>33.880000000000003</c:v>
                </c:pt>
                <c:pt idx="132">
                  <c:v>34.24</c:v>
                </c:pt>
                <c:pt idx="133">
                  <c:v>34.590000000000003</c:v>
                </c:pt>
                <c:pt idx="134">
                  <c:v>34.950000000000003</c:v>
                </c:pt>
                <c:pt idx="135">
                  <c:v>35.299999999999997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CA4-49C4-B947-D35BBDF822DE}"/>
            </c:ext>
          </c:extLst>
        </c:ser>
        <c:ser>
          <c:idx val="16"/>
          <c:order val="16"/>
          <c:tx>
            <c:strRef>
              <c:f>'Все-100K'!$R$3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'Все-100K'!$R$4:$R$149</c:f>
              <c:numCache>
                <c:formatCode>0.0</c:formatCode>
                <c:ptCount val="146"/>
                <c:pt idx="11">
                  <c:v>3.8</c:v>
                </c:pt>
                <c:pt idx="12">
                  <c:v>3.85</c:v>
                </c:pt>
                <c:pt idx="13">
                  <c:v>3.91</c:v>
                </c:pt>
                <c:pt idx="14">
                  <c:v>3.96</c:v>
                </c:pt>
                <c:pt idx="15">
                  <c:v>4.0199999999999996</c:v>
                </c:pt>
                <c:pt idx="16">
                  <c:v>4.08</c:v>
                </c:pt>
                <c:pt idx="17">
                  <c:v>4.13</c:v>
                </c:pt>
                <c:pt idx="18">
                  <c:v>4.1900000000000004</c:v>
                </c:pt>
                <c:pt idx="19">
                  <c:v>4.24</c:v>
                </c:pt>
                <c:pt idx="20">
                  <c:v>4.3</c:v>
                </c:pt>
                <c:pt idx="21">
                  <c:v>4.3499999999999996</c:v>
                </c:pt>
                <c:pt idx="22">
                  <c:v>4.41</c:v>
                </c:pt>
                <c:pt idx="23">
                  <c:v>4.47</c:v>
                </c:pt>
                <c:pt idx="24">
                  <c:v>4.5199999999999996</c:v>
                </c:pt>
                <c:pt idx="25">
                  <c:v>4.58</c:v>
                </c:pt>
                <c:pt idx="26">
                  <c:v>4.6399999999999997</c:v>
                </c:pt>
                <c:pt idx="27">
                  <c:v>4.7</c:v>
                </c:pt>
                <c:pt idx="28">
                  <c:v>4.75</c:v>
                </c:pt>
                <c:pt idx="29">
                  <c:v>4.8099999999999996</c:v>
                </c:pt>
                <c:pt idx="30">
                  <c:v>4.87</c:v>
                </c:pt>
                <c:pt idx="31">
                  <c:v>4.93</c:v>
                </c:pt>
                <c:pt idx="32">
                  <c:v>4.99</c:v>
                </c:pt>
                <c:pt idx="33">
                  <c:v>5.05</c:v>
                </c:pt>
                <c:pt idx="34">
                  <c:v>5.1100000000000003</c:v>
                </c:pt>
                <c:pt idx="35">
                  <c:v>5.18</c:v>
                </c:pt>
                <c:pt idx="36">
                  <c:v>5.24</c:v>
                </c:pt>
                <c:pt idx="37">
                  <c:v>5.3</c:v>
                </c:pt>
                <c:pt idx="38">
                  <c:v>5.36</c:v>
                </c:pt>
                <c:pt idx="39">
                  <c:v>5.43</c:v>
                </c:pt>
                <c:pt idx="40">
                  <c:v>5.49</c:v>
                </c:pt>
                <c:pt idx="41">
                  <c:v>5.56</c:v>
                </c:pt>
                <c:pt idx="42">
                  <c:v>5.63</c:v>
                </c:pt>
                <c:pt idx="43">
                  <c:v>5.69</c:v>
                </c:pt>
                <c:pt idx="44">
                  <c:v>5.76</c:v>
                </c:pt>
                <c:pt idx="45">
                  <c:v>5.83</c:v>
                </c:pt>
                <c:pt idx="46">
                  <c:v>5.9</c:v>
                </c:pt>
                <c:pt idx="47">
                  <c:v>5.97</c:v>
                </c:pt>
                <c:pt idx="48">
                  <c:v>6.04</c:v>
                </c:pt>
                <c:pt idx="49">
                  <c:v>6.11</c:v>
                </c:pt>
                <c:pt idx="50">
                  <c:v>6.19</c:v>
                </c:pt>
                <c:pt idx="51">
                  <c:v>6.26</c:v>
                </c:pt>
                <c:pt idx="52">
                  <c:v>6.34</c:v>
                </c:pt>
                <c:pt idx="53">
                  <c:v>6.41</c:v>
                </c:pt>
                <c:pt idx="54">
                  <c:v>6.49</c:v>
                </c:pt>
                <c:pt idx="55">
                  <c:v>6.57</c:v>
                </c:pt>
                <c:pt idx="56">
                  <c:v>6.65</c:v>
                </c:pt>
                <c:pt idx="57">
                  <c:v>6.73</c:v>
                </c:pt>
                <c:pt idx="58">
                  <c:v>6.81</c:v>
                </c:pt>
                <c:pt idx="59">
                  <c:v>6.89</c:v>
                </c:pt>
                <c:pt idx="60">
                  <c:v>6.98</c:v>
                </c:pt>
                <c:pt idx="61">
                  <c:v>7.06</c:v>
                </c:pt>
                <c:pt idx="62">
                  <c:v>7.15</c:v>
                </c:pt>
                <c:pt idx="63">
                  <c:v>7.24</c:v>
                </c:pt>
                <c:pt idx="64">
                  <c:v>7.33</c:v>
                </c:pt>
                <c:pt idx="65">
                  <c:v>7.42</c:v>
                </c:pt>
                <c:pt idx="66">
                  <c:v>7.51</c:v>
                </c:pt>
                <c:pt idx="67">
                  <c:v>7.6</c:v>
                </c:pt>
                <c:pt idx="68">
                  <c:v>7.7</c:v>
                </c:pt>
                <c:pt idx="69">
                  <c:v>7.79</c:v>
                </c:pt>
                <c:pt idx="70">
                  <c:v>7.89</c:v>
                </c:pt>
                <c:pt idx="71">
                  <c:v>7.99</c:v>
                </c:pt>
                <c:pt idx="72">
                  <c:v>8.09</c:v>
                </c:pt>
                <c:pt idx="73">
                  <c:v>8.19</c:v>
                </c:pt>
                <c:pt idx="74">
                  <c:v>8.3000000000000007</c:v>
                </c:pt>
                <c:pt idx="75">
                  <c:v>8.4</c:v>
                </c:pt>
                <c:pt idx="76">
                  <c:v>8.51</c:v>
                </c:pt>
                <c:pt idx="77">
                  <c:v>8.6300000000000008</c:v>
                </c:pt>
                <c:pt idx="78">
                  <c:v>8.77</c:v>
                </c:pt>
                <c:pt idx="79">
                  <c:v>8.93</c:v>
                </c:pt>
                <c:pt idx="80">
                  <c:v>9.1</c:v>
                </c:pt>
                <c:pt idx="81">
                  <c:v>9.3000000000000007</c:v>
                </c:pt>
                <c:pt idx="82">
                  <c:v>9.5299999999999994</c:v>
                </c:pt>
                <c:pt idx="83">
                  <c:v>9.7899999999999991</c:v>
                </c:pt>
                <c:pt idx="84">
                  <c:v>10.08</c:v>
                </c:pt>
                <c:pt idx="85">
                  <c:v>10.4</c:v>
                </c:pt>
                <c:pt idx="86">
                  <c:v>10.9</c:v>
                </c:pt>
                <c:pt idx="87">
                  <c:v>11.7</c:v>
                </c:pt>
                <c:pt idx="88">
                  <c:v>12.72</c:v>
                </c:pt>
                <c:pt idx="89">
                  <c:v>13.94</c:v>
                </c:pt>
                <c:pt idx="90">
                  <c:v>15.3</c:v>
                </c:pt>
                <c:pt idx="91">
                  <c:v>16.739999999999998</c:v>
                </c:pt>
                <c:pt idx="92">
                  <c:v>18.22</c:v>
                </c:pt>
                <c:pt idx="93">
                  <c:v>19.690000000000001</c:v>
                </c:pt>
                <c:pt idx="94">
                  <c:v>21.1</c:v>
                </c:pt>
                <c:pt idx="95">
                  <c:v>22.4</c:v>
                </c:pt>
                <c:pt idx="96">
                  <c:v>23.67</c:v>
                </c:pt>
                <c:pt idx="97">
                  <c:v>25.01</c:v>
                </c:pt>
                <c:pt idx="98">
                  <c:v>26.39</c:v>
                </c:pt>
                <c:pt idx="99">
                  <c:v>27.78</c:v>
                </c:pt>
                <c:pt idx="100">
                  <c:v>29.17</c:v>
                </c:pt>
                <c:pt idx="101">
                  <c:v>30.51</c:v>
                </c:pt>
                <c:pt idx="102">
                  <c:v>31.78</c:v>
                </c:pt>
                <c:pt idx="103">
                  <c:v>32.950000000000003</c:v>
                </c:pt>
                <c:pt idx="104">
                  <c:v>34</c:v>
                </c:pt>
                <c:pt idx="105">
                  <c:v>34.9</c:v>
                </c:pt>
                <c:pt idx="106">
                  <c:v>35.67</c:v>
                </c:pt>
                <c:pt idx="107">
                  <c:v>36.35</c:v>
                </c:pt>
                <c:pt idx="108">
                  <c:v>36.979999999999997</c:v>
                </c:pt>
                <c:pt idx="109">
                  <c:v>37.56</c:v>
                </c:pt>
                <c:pt idx="110">
                  <c:v>38.1</c:v>
                </c:pt>
                <c:pt idx="111">
                  <c:v>38.630000000000003</c:v>
                </c:pt>
                <c:pt idx="112">
                  <c:v>39.159999999999997</c:v>
                </c:pt>
                <c:pt idx="113">
                  <c:v>39.700000000000003</c:v>
                </c:pt>
                <c:pt idx="114">
                  <c:v>40.28</c:v>
                </c:pt>
                <c:pt idx="115">
                  <c:v>40.9</c:v>
                </c:pt>
                <c:pt idx="116">
                  <c:v>41.57</c:v>
                </c:pt>
                <c:pt idx="117">
                  <c:v>42.27</c:v>
                </c:pt>
                <c:pt idx="118">
                  <c:v>43</c:v>
                </c:pt>
                <c:pt idx="119">
                  <c:v>43.74</c:v>
                </c:pt>
                <c:pt idx="120">
                  <c:v>44.49</c:v>
                </c:pt>
                <c:pt idx="121">
                  <c:v>45.23</c:v>
                </c:pt>
                <c:pt idx="122">
                  <c:v>45.96</c:v>
                </c:pt>
                <c:pt idx="123">
                  <c:v>46.68</c:v>
                </c:pt>
                <c:pt idx="124">
                  <c:v>47.36</c:v>
                </c:pt>
                <c:pt idx="125">
                  <c:v>48</c:v>
                </c:pt>
                <c:pt idx="126">
                  <c:v>48.61</c:v>
                </c:pt>
                <c:pt idx="127">
                  <c:v>49.19</c:v>
                </c:pt>
                <c:pt idx="128">
                  <c:v>49.75</c:v>
                </c:pt>
                <c:pt idx="129">
                  <c:v>50.3</c:v>
                </c:pt>
                <c:pt idx="130">
                  <c:v>50.84</c:v>
                </c:pt>
                <c:pt idx="131">
                  <c:v>51.37</c:v>
                </c:pt>
                <c:pt idx="132">
                  <c:v>51.89</c:v>
                </c:pt>
                <c:pt idx="133">
                  <c:v>52.42</c:v>
                </c:pt>
                <c:pt idx="134">
                  <c:v>52.96</c:v>
                </c:pt>
                <c:pt idx="135">
                  <c:v>53.5</c:v>
                </c:pt>
                <c:pt idx="136">
                  <c:v>54.05</c:v>
                </c:pt>
                <c:pt idx="137">
                  <c:v>54.6</c:v>
                </c:pt>
                <c:pt idx="138">
                  <c:v>55.15</c:v>
                </c:pt>
                <c:pt idx="139">
                  <c:v>55.7</c:v>
                </c:pt>
                <c:pt idx="140">
                  <c:v>56.25</c:v>
                </c:pt>
                <c:pt idx="141">
                  <c:v>56.8</c:v>
                </c:pt>
                <c:pt idx="142">
                  <c:v>57.35</c:v>
                </c:pt>
                <c:pt idx="143">
                  <c:v>57.9</c:v>
                </c:pt>
                <c:pt idx="144">
                  <c:v>58.45</c:v>
                </c:pt>
                <c:pt idx="145">
                  <c:v>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2CA4-49C4-B947-D35BBDF822DE}"/>
            </c:ext>
          </c:extLst>
        </c:ser>
        <c:ser>
          <c:idx val="17"/>
          <c:order val="17"/>
          <c:tx>
            <c:strRef>
              <c:f>'Все-100K'!$S$3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'Все-100K'!$S$4:$S$149</c:f>
              <c:numCache>
                <c:formatCode>0.0</c:formatCode>
                <c:ptCount val="146"/>
                <c:pt idx="65">
                  <c:v>6.2</c:v>
                </c:pt>
                <c:pt idx="66">
                  <c:v>6.4</c:v>
                </c:pt>
                <c:pt idx="67">
                  <c:v>6.6</c:v>
                </c:pt>
                <c:pt idx="68">
                  <c:v>6.8</c:v>
                </c:pt>
                <c:pt idx="69">
                  <c:v>7</c:v>
                </c:pt>
                <c:pt idx="70">
                  <c:v>7.21</c:v>
                </c:pt>
                <c:pt idx="71">
                  <c:v>7.41</c:v>
                </c:pt>
                <c:pt idx="72">
                  <c:v>7.61</c:v>
                </c:pt>
                <c:pt idx="73">
                  <c:v>7.82</c:v>
                </c:pt>
                <c:pt idx="74">
                  <c:v>8.02</c:v>
                </c:pt>
                <c:pt idx="75">
                  <c:v>8.23</c:v>
                </c:pt>
                <c:pt idx="76">
                  <c:v>8.44</c:v>
                </c:pt>
                <c:pt idx="77">
                  <c:v>8.65</c:v>
                </c:pt>
                <c:pt idx="78">
                  <c:v>8.86</c:v>
                </c:pt>
                <c:pt idx="79">
                  <c:v>9.07</c:v>
                </c:pt>
                <c:pt idx="80">
                  <c:v>9.2899999999999991</c:v>
                </c:pt>
                <c:pt idx="81">
                  <c:v>9.51</c:v>
                </c:pt>
                <c:pt idx="82">
                  <c:v>9.73</c:v>
                </c:pt>
                <c:pt idx="83">
                  <c:v>9.9499999999999993</c:v>
                </c:pt>
                <c:pt idx="84">
                  <c:v>10.17</c:v>
                </c:pt>
                <c:pt idx="85">
                  <c:v>10.4</c:v>
                </c:pt>
                <c:pt idx="86">
                  <c:v>10.64</c:v>
                </c:pt>
                <c:pt idx="87">
                  <c:v>10.91</c:v>
                </c:pt>
                <c:pt idx="88">
                  <c:v>11.19</c:v>
                </c:pt>
                <c:pt idx="89">
                  <c:v>11.48</c:v>
                </c:pt>
                <c:pt idx="90">
                  <c:v>11.77</c:v>
                </c:pt>
                <c:pt idx="91">
                  <c:v>12.05</c:v>
                </c:pt>
                <c:pt idx="92">
                  <c:v>12.31</c:v>
                </c:pt>
                <c:pt idx="93">
                  <c:v>12.54</c:v>
                </c:pt>
                <c:pt idx="94">
                  <c:v>12.74</c:v>
                </c:pt>
                <c:pt idx="95">
                  <c:v>12.9</c:v>
                </c:pt>
                <c:pt idx="96">
                  <c:v>13.02</c:v>
                </c:pt>
                <c:pt idx="97">
                  <c:v>13.13</c:v>
                </c:pt>
                <c:pt idx="98">
                  <c:v>13.23</c:v>
                </c:pt>
                <c:pt idx="99">
                  <c:v>13.32</c:v>
                </c:pt>
                <c:pt idx="100">
                  <c:v>13.4</c:v>
                </c:pt>
                <c:pt idx="101">
                  <c:v>13.47</c:v>
                </c:pt>
                <c:pt idx="102">
                  <c:v>13.53</c:v>
                </c:pt>
                <c:pt idx="103">
                  <c:v>13.59</c:v>
                </c:pt>
                <c:pt idx="104">
                  <c:v>13.65</c:v>
                </c:pt>
                <c:pt idx="105">
                  <c:v>13.71</c:v>
                </c:pt>
                <c:pt idx="106">
                  <c:v>13.77</c:v>
                </c:pt>
                <c:pt idx="107">
                  <c:v>13.83</c:v>
                </c:pt>
                <c:pt idx="108">
                  <c:v>13.91</c:v>
                </c:pt>
                <c:pt idx="109">
                  <c:v>13.98</c:v>
                </c:pt>
                <c:pt idx="110">
                  <c:v>14.07</c:v>
                </c:pt>
                <c:pt idx="111">
                  <c:v>14.17</c:v>
                </c:pt>
                <c:pt idx="112">
                  <c:v>14.28</c:v>
                </c:pt>
                <c:pt idx="113">
                  <c:v>14.4</c:v>
                </c:pt>
                <c:pt idx="114">
                  <c:v>14.54</c:v>
                </c:pt>
                <c:pt idx="115">
                  <c:v>14.7</c:v>
                </c:pt>
                <c:pt idx="116">
                  <c:v>15.18</c:v>
                </c:pt>
                <c:pt idx="117">
                  <c:v>16.190000000000001</c:v>
                </c:pt>
                <c:pt idx="118">
                  <c:v>17.61</c:v>
                </c:pt>
                <c:pt idx="119">
                  <c:v>19.309999999999999</c:v>
                </c:pt>
                <c:pt idx="120">
                  <c:v>21.15</c:v>
                </c:pt>
                <c:pt idx="121">
                  <c:v>23</c:v>
                </c:pt>
                <c:pt idx="122">
                  <c:v>24.74</c:v>
                </c:pt>
                <c:pt idx="123">
                  <c:v>26.25</c:v>
                </c:pt>
                <c:pt idx="124">
                  <c:v>27.37</c:v>
                </c:pt>
                <c:pt idx="125">
                  <c:v>28</c:v>
                </c:pt>
                <c:pt idx="126">
                  <c:v>28.31</c:v>
                </c:pt>
                <c:pt idx="127">
                  <c:v>28.59</c:v>
                </c:pt>
                <c:pt idx="128">
                  <c:v>28.82</c:v>
                </c:pt>
                <c:pt idx="129">
                  <c:v>29.03</c:v>
                </c:pt>
                <c:pt idx="130">
                  <c:v>29.22</c:v>
                </c:pt>
                <c:pt idx="131">
                  <c:v>29.38</c:v>
                </c:pt>
                <c:pt idx="132">
                  <c:v>29.52</c:v>
                </c:pt>
                <c:pt idx="133">
                  <c:v>29.66</c:v>
                </c:pt>
                <c:pt idx="134">
                  <c:v>29.78</c:v>
                </c:pt>
                <c:pt idx="135">
                  <c:v>29.9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2CA4-49C4-B947-D35BBDF822DE}"/>
            </c:ext>
          </c:extLst>
        </c:ser>
        <c:ser>
          <c:idx val="19"/>
          <c:order val="19"/>
          <c:tx>
            <c:strRef>
              <c:f>'Все-100K'!$U$3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'Все-100K'!$U$4:$U$149</c:f>
              <c:numCache>
                <c:formatCode>0.0</c:formatCode>
                <c:ptCount val="146"/>
                <c:pt idx="95">
                  <c:v>50.5</c:v>
                </c:pt>
                <c:pt idx="96">
                  <c:v>50.47</c:v>
                </c:pt>
                <c:pt idx="97">
                  <c:v>50.44</c:v>
                </c:pt>
                <c:pt idx="98">
                  <c:v>50.41</c:v>
                </c:pt>
                <c:pt idx="99">
                  <c:v>50.39</c:v>
                </c:pt>
                <c:pt idx="100">
                  <c:v>50.36</c:v>
                </c:pt>
                <c:pt idx="101">
                  <c:v>50.34</c:v>
                </c:pt>
                <c:pt idx="102">
                  <c:v>50.32</c:v>
                </c:pt>
                <c:pt idx="103">
                  <c:v>50.31</c:v>
                </c:pt>
                <c:pt idx="104">
                  <c:v>50.3</c:v>
                </c:pt>
                <c:pt idx="105">
                  <c:v>50.3</c:v>
                </c:pt>
                <c:pt idx="106">
                  <c:v>50.32</c:v>
                </c:pt>
                <c:pt idx="107">
                  <c:v>50.38</c:v>
                </c:pt>
                <c:pt idx="108">
                  <c:v>50.47</c:v>
                </c:pt>
                <c:pt idx="109">
                  <c:v>50.58</c:v>
                </c:pt>
                <c:pt idx="110">
                  <c:v>50.7</c:v>
                </c:pt>
                <c:pt idx="111">
                  <c:v>50.82</c:v>
                </c:pt>
                <c:pt idx="112">
                  <c:v>50.93</c:v>
                </c:pt>
                <c:pt idx="113">
                  <c:v>51.02</c:v>
                </c:pt>
                <c:pt idx="114">
                  <c:v>51.08</c:v>
                </c:pt>
                <c:pt idx="115">
                  <c:v>51.1</c:v>
                </c:pt>
                <c:pt idx="116">
                  <c:v>51.09</c:v>
                </c:pt>
                <c:pt idx="117">
                  <c:v>51.06</c:v>
                </c:pt>
                <c:pt idx="118">
                  <c:v>51.01</c:v>
                </c:pt>
                <c:pt idx="119">
                  <c:v>50.94</c:v>
                </c:pt>
                <c:pt idx="120">
                  <c:v>50.86</c:v>
                </c:pt>
                <c:pt idx="121">
                  <c:v>50.76</c:v>
                </c:pt>
                <c:pt idx="122">
                  <c:v>50.66</c:v>
                </c:pt>
                <c:pt idx="123">
                  <c:v>50.54</c:v>
                </c:pt>
                <c:pt idx="124">
                  <c:v>50.42</c:v>
                </c:pt>
                <c:pt idx="125">
                  <c:v>50.3</c:v>
                </c:pt>
                <c:pt idx="126">
                  <c:v>50.12</c:v>
                </c:pt>
                <c:pt idx="127">
                  <c:v>49.84</c:v>
                </c:pt>
                <c:pt idx="128">
                  <c:v>49.49</c:v>
                </c:pt>
                <c:pt idx="129">
                  <c:v>49.1</c:v>
                </c:pt>
                <c:pt idx="130">
                  <c:v>48.69</c:v>
                </c:pt>
                <c:pt idx="131">
                  <c:v>48.3</c:v>
                </c:pt>
                <c:pt idx="132">
                  <c:v>47.95</c:v>
                </c:pt>
                <c:pt idx="133">
                  <c:v>47.66</c:v>
                </c:pt>
                <c:pt idx="134">
                  <c:v>47.47</c:v>
                </c:pt>
                <c:pt idx="135">
                  <c:v>47.4</c:v>
                </c:pt>
                <c:pt idx="136">
                  <c:v>47.5</c:v>
                </c:pt>
                <c:pt idx="137">
                  <c:v>47.77</c:v>
                </c:pt>
                <c:pt idx="138">
                  <c:v>48.2</c:v>
                </c:pt>
                <c:pt idx="139">
                  <c:v>48.77</c:v>
                </c:pt>
                <c:pt idx="140">
                  <c:v>49.46</c:v>
                </c:pt>
                <c:pt idx="141">
                  <c:v>50.25</c:v>
                </c:pt>
                <c:pt idx="142">
                  <c:v>51.12</c:v>
                </c:pt>
                <c:pt idx="143">
                  <c:v>52.05</c:v>
                </c:pt>
                <c:pt idx="144">
                  <c:v>53.01</c:v>
                </c:pt>
                <c:pt idx="145">
                  <c:v>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2CA4-49C4-B947-D35BBDF822DE}"/>
            </c:ext>
          </c:extLst>
        </c:ser>
        <c:ser>
          <c:idx val="20"/>
          <c:order val="20"/>
          <c:tx>
            <c:strRef>
              <c:f>'Все-100K'!$V$3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'Все-100K'!$V$4:$V$149</c:f>
              <c:numCache>
                <c:formatCode>0.0</c:formatCode>
                <c:ptCount val="146"/>
                <c:pt idx="0">
                  <c:v>11</c:v>
                </c:pt>
                <c:pt idx="1">
                  <c:v>11.08</c:v>
                </c:pt>
                <c:pt idx="2">
                  <c:v>11.16</c:v>
                </c:pt>
                <c:pt idx="3">
                  <c:v>11.23</c:v>
                </c:pt>
                <c:pt idx="4">
                  <c:v>11.31</c:v>
                </c:pt>
                <c:pt idx="5">
                  <c:v>11.39</c:v>
                </c:pt>
                <c:pt idx="6">
                  <c:v>11.47</c:v>
                </c:pt>
                <c:pt idx="7">
                  <c:v>11.55</c:v>
                </c:pt>
                <c:pt idx="8">
                  <c:v>11.63</c:v>
                </c:pt>
                <c:pt idx="9">
                  <c:v>11.72</c:v>
                </c:pt>
                <c:pt idx="10">
                  <c:v>11.8</c:v>
                </c:pt>
                <c:pt idx="11">
                  <c:v>11.88</c:v>
                </c:pt>
                <c:pt idx="12">
                  <c:v>11.96</c:v>
                </c:pt>
                <c:pt idx="13">
                  <c:v>12.03</c:v>
                </c:pt>
                <c:pt idx="14">
                  <c:v>12.11</c:v>
                </c:pt>
                <c:pt idx="15">
                  <c:v>12.18</c:v>
                </c:pt>
                <c:pt idx="16">
                  <c:v>12.27</c:v>
                </c:pt>
                <c:pt idx="17">
                  <c:v>12.36</c:v>
                </c:pt>
                <c:pt idx="18">
                  <c:v>12.46</c:v>
                </c:pt>
                <c:pt idx="19">
                  <c:v>12.57</c:v>
                </c:pt>
                <c:pt idx="20">
                  <c:v>12.7</c:v>
                </c:pt>
                <c:pt idx="21">
                  <c:v>12.88</c:v>
                </c:pt>
                <c:pt idx="22">
                  <c:v>13.12</c:v>
                </c:pt>
                <c:pt idx="23">
                  <c:v>13.42</c:v>
                </c:pt>
                <c:pt idx="24">
                  <c:v>13.75</c:v>
                </c:pt>
                <c:pt idx="25">
                  <c:v>14.1</c:v>
                </c:pt>
                <c:pt idx="26">
                  <c:v>14.46</c:v>
                </c:pt>
                <c:pt idx="27">
                  <c:v>14.8</c:v>
                </c:pt>
                <c:pt idx="28">
                  <c:v>15.12</c:v>
                </c:pt>
                <c:pt idx="29">
                  <c:v>15.39</c:v>
                </c:pt>
                <c:pt idx="30">
                  <c:v>15.6</c:v>
                </c:pt>
                <c:pt idx="31">
                  <c:v>15.76</c:v>
                </c:pt>
                <c:pt idx="32">
                  <c:v>15.91</c:v>
                </c:pt>
                <c:pt idx="33">
                  <c:v>16.04</c:v>
                </c:pt>
                <c:pt idx="34">
                  <c:v>16.16</c:v>
                </c:pt>
                <c:pt idx="35">
                  <c:v>16.27</c:v>
                </c:pt>
                <c:pt idx="36">
                  <c:v>16.38</c:v>
                </c:pt>
                <c:pt idx="37">
                  <c:v>16.489999999999998</c:v>
                </c:pt>
                <c:pt idx="38">
                  <c:v>16.59</c:v>
                </c:pt>
                <c:pt idx="39">
                  <c:v>16.7</c:v>
                </c:pt>
                <c:pt idx="40">
                  <c:v>16.82</c:v>
                </c:pt>
                <c:pt idx="41">
                  <c:v>16.95</c:v>
                </c:pt>
                <c:pt idx="42">
                  <c:v>17.100000000000001</c:v>
                </c:pt>
                <c:pt idx="43">
                  <c:v>17.260000000000002</c:v>
                </c:pt>
                <c:pt idx="44">
                  <c:v>17.440000000000001</c:v>
                </c:pt>
                <c:pt idx="45">
                  <c:v>17.63</c:v>
                </c:pt>
                <c:pt idx="46">
                  <c:v>17.829999999999998</c:v>
                </c:pt>
                <c:pt idx="47">
                  <c:v>18.04</c:v>
                </c:pt>
                <c:pt idx="48">
                  <c:v>18.260000000000002</c:v>
                </c:pt>
                <c:pt idx="49">
                  <c:v>18.5</c:v>
                </c:pt>
                <c:pt idx="50">
                  <c:v>18.760000000000002</c:v>
                </c:pt>
                <c:pt idx="51">
                  <c:v>19.059999999999999</c:v>
                </c:pt>
                <c:pt idx="52">
                  <c:v>19.37</c:v>
                </c:pt>
                <c:pt idx="53">
                  <c:v>19.690000000000001</c:v>
                </c:pt>
                <c:pt idx="54">
                  <c:v>20.010000000000002</c:v>
                </c:pt>
                <c:pt idx="55">
                  <c:v>20.3</c:v>
                </c:pt>
                <c:pt idx="56">
                  <c:v>20.58</c:v>
                </c:pt>
                <c:pt idx="57">
                  <c:v>20.86</c:v>
                </c:pt>
                <c:pt idx="58">
                  <c:v>21.13</c:v>
                </c:pt>
                <c:pt idx="59">
                  <c:v>21.41</c:v>
                </c:pt>
                <c:pt idx="60">
                  <c:v>21.67</c:v>
                </c:pt>
                <c:pt idx="61">
                  <c:v>21.94</c:v>
                </c:pt>
                <c:pt idx="62">
                  <c:v>22.19</c:v>
                </c:pt>
                <c:pt idx="63">
                  <c:v>22.44</c:v>
                </c:pt>
                <c:pt idx="64">
                  <c:v>22.67</c:v>
                </c:pt>
                <c:pt idx="65">
                  <c:v>22.9</c:v>
                </c:pt>
                <c:pt idx="66">
                  <c:v>23.1</c:v>
                </c:pt>
                <c:pt idx="67">
                  <c:v>23.28</c:v>
                </c:pt>
                <c:pt idx="68">
                  <c:v>23.44</c:v>
                </c:pt>
                <c:pt idx="69">
                  <c:v>23.59</c:v>
                </c:pt>
                <c:pt idx="70">
                  <c:v>23.74</c:v>
                </c:pt>
                <c:pt idx="71">
                  <c:v>23.9</c:v>
                </c:pt>
                <c:pt idx="72">
                  <c:v>24.08</c:v>
                </c:pt>
                <c:pt idx="73">
                  <c:v>24.28</c:v>
                </c:pt>
                <c:pt idx="74">
                  <c:v>24.52</c:v>
                </c:pt>
                <c:pt idx="75">
                  <c:v>24.8</c:v>
                </c:pt>
                <c:pt idx="76">
                  <c:v>25.22</c:v>
                </c:pt>
                <c:pt idx="77">
                  <c:v>25.85</c:v>
                </c:pt>
                <c:pt idx="78">
                  <c:v>26.64</c:v>
                </c:pt>
                <c:pt idx="79">
                  <c:v>27.55</c:v>
                </c:pt>
                <c:pt idx="80">
                  <c:v>28.52</c:v>
                </c:pt>
                <c:pt idx="81">
                  <c:v>29.51</c:v>
                </c:pt>
                <c:pt idx="82">
                  <c:v>30.48</c:v>
                </c:pt>
                <c:pt idx="83">
                  <c:v>31.38</c:v>
                </c:pt>
                <c:pt idx="84">
                  <c:v>32.17</c:v>
                </c:pt>
                <c:pt idx="85">
                  <c:v>32.799999999999997</c:v>
                </c:pt>
                <c:pt idx="86">
                  <c:v>33.299999999999997</c:v>
                </c:pt>
                <c:pt idx="87">
                  <c:v>33.74</c:v>
                </c:pt>
                <c:pt idx="88">
                  <c:v>34.14</c:v>
                </c:pt>
                <c:pt idx="89">
                  <c:v>34.5</c:v>
                </c:pt>
                <c:pt idx="90">
                  <c:v>34.85</c:v>
                </c:pt>
                <c:pt idx="91">
                  <c:v>35.19</c:v>
                </c:pt>
                <c:pt idx="92">
                  <c:v>35.54</c:v>
                </c:pt>
                <c:pt idx="93">
                  <c:v>35.92</c:v>
                </c:pt>
                <c:pt idx="94">
                  <c:v>36.33</c:v>
                </c:pt>
                <c:pt idx="95">
                  <c:v>36.799999999999997</c:v>
                </c:pt>
                <c:pt idx="96">
                  <c:v>37.31</c:v>
                </c:pt>
                <c:pt idx="97">
                  <c:v>37.840000000000003</c:v>
                </c:pt>
                <c:pt idx="98">
                  <c:v>38.39</c:v>
                </c:pt>
                <c:pt idx="99">
                  <c:v>38.979999999999997</c:v>
                </c:pt>
                <c:pt idx="100">
                  <c:v>39.6</c:v>
                </c:pt>
                <c:pt idx="101">
                  <c:v>40.26</c:v>
                </c:pt>
                <c:pt idx="102">
                  <c:v>40.950000000000003</c:v>
                </c:pt>
                <c:pt idx="103">
                  <c:v>41.69</c:v>
                </c:pt>
                <c:pt idx="104">
                  <c:v>42.47</c:v>
                </c:pt>
                <c:pt idx="105">
                  <c:v>43.3</c:v>
                </c:pt>
                <c:pt idx="106">
                  <c:v>44.28</c:v>
                </c:pt>
                <c:pt idx="107">
                  <c:v>45.47</c:v>
                </c:pt>
                <c:pt idx="108">
                  <c:v>46.81</c:v>
                </c:pt>
                <c:pt idx="109">
                  <c:v>48.25</c:v>
                </c:pt>
                <c:pt idx="110">
                  <c:v>49.73</c:v>
                </c:pt>
                <c:pt idx="111">
                  <c:v>51.19</c:v>
                </c:pt>
                <c:pt idx="112">
                  <c:v>52.59</c:v>
                </c:pt>
                <c:pt idx="113">
                  <c:v>53.86</c:v>
                </c:pt>
                <c:pt idx="114">
                  <c:v>54.95</c:v>
                </c:pt>
                <c:pt idx="115">
                  <c:v>55.8</c:v>
                </c:pt>
                <c:pt idx="116">
                  <c:v>56.49</c:v>
                </c:pt>
                <c:pt idx="117">
                  <c:v>57.12</c:v>
                </c:pt>
                <c:pt idx="118">
                  <c:v>57.7</c:v>
                </c:pt>
                <c:pt idx="119">
                  <c:v>58.24</c:v>
                </c:pt>
                <c:pt idx="120">
                  <c:v>58.74</c:v>
                </c:pt>
                <c:pt idx="121">
                  <c:v>59.21</c:v>
                </c:pt>
                <c:pt idx="122">
                  <c:v>59.64</c:v>
                </c:pt>
                <c:pt idx="123">
                  <c:v>60.05</c:v>
                </c:pt>
                <c:pt idx="124">
                  <c:v>60.43</c:v>
                </c:pt>
                <c:pt idx="125">
                  <c:v>60.8</c:v>
                </c:pt>
                <c:pt idx="126">
                  <c:v>61.13</c:v>
                </c:pt>
                <c:pt idx="127">
                  <c:v>61.41</c:v>
                </c:pt>
                <c:pt idx="128">
                  <c:v>61.66</c:v>
                </c:pt>
                <c:pt idx="129">
                  <c:v>61.89</c:v>
                </c:pt>
                <c:pt idx="130">
                  <c:v>62.12</c:v>
                </c:pt>
                <c:pt idx="131">
                  <c:v>62.35</c:v>
                </c:pt>
                <c:pt idx="132">
                  <c:v>62.6</c:v>
                </c:pt>
                <c:pt idx="133">
                  <c:v>62.88</c:v>
                </c:pt>
                <c:pt idx="134">
                  <c:v>63.21</c:v>
                </c:pt>
                <c:pt idx="135">
                  <c:v>63.6</c:v>
                </c:pt>
                <c:pt idx="136">
                  <c:v>64.09</c:v>
                </c:pt>
                <c:pt idx="137">
                  <c:v>64.709999999999994</c:v>
                </c:pt>
                <c:pt idx="138">
                  <c:v>65.44</c:v>
                </c:pt>
                <c:pt idx="139">
                  <c:v>66.27</c:v>
                </c:pt>
                <c:pt idx="140">
                  <c:v>67.180000000000007</c:v>
                </c:pt>
                <c:pt idx="141">
                  <c:v>68.16</c:v>
                </c:pt>
                <c:pt idx="142">
                  <c:v>69.2</c:v>
                </c:pt>
                <c:pt idx="143">
                  <c:v>70.27</c:v>
                </c:pt>
                <c:pt idx="144">
                  <c:v>71.38</c:v>
                </c:pt>
                <c:pt idx="145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2CA4-49C4-B947-D35BBDF822DE}"/>
            </c:ext>
          </c:extLst>
        </c:ser>
        <c:ser>
          <c:idx val="21"/>
          <c:order val="21"/>
          <c:tx>
            <c:strRef>
              <c:f>'Все-100K'!$W$3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'Все-100K'!$W$4:$W$149</c:f>
              <c:numCache>
                <c:formatCode>0.0</c:formatCode>
                <c:ptCount val="146"/>
                <c:pt idx="85">
                  <c:v>14.8</c:v>
                </c:pt>
                <c:pt idx="86">
                  <c:v>15.24</c:v>
                </c:pt>
                <c:pt idx="87">
                  <c:v>15.67</c:v>
                </c:pt>
                <c:pt idx="88">
                  <c:v>16.11</c:v>
                </c:pt>
                <c:pt idx="89">
                  <c:v>16.54</c:v>
                </c:pt>
                <c:pt idx="90">
                  <c:v>16.98</c:v>
                </c:pt>
                <c:pt idx="91">
                  <c:v>17.420000000000002</c:v>
                </c:pt>
                <c:pt idx="92">
                  <c:v>17.86</c:v>
                </c:pt>
                <c:pt idx="93">
                  <c:v>18.309999999999999</c:v>
                </c:pt>
                <c:pt idx="94">
                  <c:v>18.75</c:v>
                </c:pt>
                <c:pt idx="95">
                  <c:v>19.2</c:v>
                </c:pt>
                <c:pt idx="96">
                  <c:v>19.64</c:v>
                </c:pt>
                <c:pt idx="97">
                  <c:v>20.059999999999999</c:v>
                </c:pt>
                <c:pt idx="98">
                  <c:v>20.47</c:v>
                </c:pt>
                <c:pt idx="99">
                  <c:v>20.88</c:v>
                </c:pt>
                <c:pt idx="100">
                  <c:v>21.3</c:v>
                </c:pt>
                <c:pt idx="101">
                  <c:v>21.73</c:v>
                </c:pt>
                <c:pt idx="102">
                  <c:v>22.19</c:v>
                </c:pt>
                <c:pt idx="103">
                  <c:v>22.68</c:v>
                </c:pt>
                <c:pt idx="104">
                  <c:v>23.22</c:v>
                </c:pt>
                <c:pt idx="105">
                  <c:v>23.8</c:v>
                </c:pt>
                <c:pt idx="106">
                  <c:v>24.5</c:v>
                </c:pt>
                <c:pt idx="107">
                  <c:v>25.37</c:v>
                </c:pt>
                <c:pt idx="108">
                  <c:v>26.35</c:v>
                </c:pt>
                <c:pt idx="109">
                  <c:v>27.4</c:v>
                </c:pt>
                <c:pt idx="110">
                  <c:v>28.48</c:v>
                </c:pt>
                <c:pt idx="111">
                  <c:v>29.56</c:v>
                </c:pt>
                <c:pt idx="112">
                  <c:v>30.58</c:v>
                </c:pt>
                <c:pt idx="113">
                  <c:v>31.5</c:v>
                </c:pt>
                <c:pt idx="114">
                  <c:v>32.29</c:v>
                </c:pt>
                <c:pt idx="115">
                  <c:v>32.9</c:v>
                </c:pt>
                <c:pt idx="116">
                  <c:v>33.36</c:v>
                </c:pt>
                <c:pt idx="117">
                  <c:v>33.76</c:v>
                </c:pt>
                <c:pt idx="118">
                  <c:v>34.090000000000003</c:v>
                </c:pt>
                <c:pt idx="119">
                  <c:v>34.4</c:v>
                </c:pt>
                <c:pt idx="120">
                  <c:v>34.68</c:v>
                </c:pt>
                <c:pt idx="121">
                  <c:v>34.96</c:v>
                </c:pt>
                <c:pt idx="122">
                  <c:v>35.25</c:v>
                </c:pt>
                <c:pt idx="123">
                  <c:v>35.58</c:v>
                </c:pt>
                <c:pt idx="124">
                  <c:v>35.96</c:v>
                </c:pt>
                <c:pt idx="125">
                  <c:v>36.4</c:v>
                </c:pt>
                <c:pt idx="126">
                  <c:v>36.94</c:v>
                </c:pt>
                <c:pt idx="127">
                  <c:v>37.58</c:v>
                </c:pt>
                <c:pt idx="128">
                  <c:v>38.299999999999997</c:v>
                </c:pt>
                <c:pt idx="129">
                  <c:v>39.090000000000003</c:v>
                </c:pt>
                <c:pt idx="130">
                  <c:v>39.93</c:v>
                </c:pt>
                <c:pt idx="131">
                  <c:v>40.799999999999997</c:v>
                </c:pt>
                <c:pt idx="132">
                  <c:v>41.67</c:v>
                </c:pt>
                <c:pt idx="133">
                  <c:v>42.55</c:v>
                </c:pt>
                <c:pt idx="134">
                  <c:v>43.39</c:v>
                </c:pt>
                <c:pt idx="135">
                  <c:v>44.2</c:v>
                </c:pt>
                <c:pt idx="136">
                  <c:v>44.98</c:v>
                </c:pt>
                <c:pt idx="137">
                  <c:v>45.76</c:v>
                </c:pt>
                <c:pt idx="138">
                  <c:v>46.54</c:v>
                </c:pt>
                <c:pt idx="139">
                  <c:v>47.32</c:v>
                </c:pt>
                <c:pt idx="140">
                  <c:v>48.1</c:v>
                </c:pt>
                <c:pt idx="141">
                  <c:v>48.88</c:v>
                </c:pt>
                <c:pt idx="142">
                  <c:v>49.66</c:v>
                </c:pt>
                <c:pt idx="143">
                  <c:v>50.44</c:v>
                </c:pt>
                <c:pt idx="144">
                  <c:v>51.22</c:v>
                </c:pt>
                <c:pt idx="145">
                  <c:v>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CA4-49C4-B947-D35BBDF822DE}"/>
            </c:ext>
          </c:extLst>
        </c:ser>
        <c:ser>
          <c:idx val="23"/>
          <c:order val="23"/>
          <c:tx>
            <c:strRef>
              <c:f>'Все-100K'!$Y$3</c:f>
              <c:strCache>
                <c:ptCount val="1"/>
                <c:pt idx="0">
                  <c:v>СССР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'Все-100K'!$Y$4:$Y$149</c:f>
              <c:numCache>
                <c:formatCode>0.0</c:formatCode>
                <c:ptCount val="146"/>
                <c:pt idx="61">
                  <c:v>6.5</c:v>
                </c:pt>
                <c:pt idx="62">
                  <c:v>6.95</c:v>
                </c:pt>
                <c:pt idx="63">
                  <c:v>7.41</c:v>
                </c:pt>
                <c:pt idx="64">
                  <c:v>7.86</c:v>
                </c:pt>
                <c:pt idx="65">
                  <c:v>8.32</c:v>
                </c:pt>
                <c:pt idx="66">
                  <c:v>8.7799999999999994</c:v>
                </c:pt>
                <c:pt idx="67">
                  <c:v>9.24</c:v>
                </c:pt>
                <c:pt idx="68">
                  <c:v>9.6999999999999993</c:v>
                </c:pt>
                <c:pt idx="69">
                  <c:v>10.16</c:v>
                </c:pt>
                <c:pt idx="70">
                  <c:v>10.62</c:v>
                </c:pt>
                <c:pt idx="71">
                  <c:v>11.09</c:v>
                </c:pt>
                <c:pt idx="72">
                  <c:v>11.56</c:v>
                </c:pt>
                <c:pt idx="73">
                  <c:v>12.03</c:v>
                </c:pt>
                <c:pt idx="74">
                  <c:v>12.5</c:v>
                </c:pt>
                <c:pt idx="75">
                  <c:v>12.98</c:v>
                </c:pt>
                <c:pt idx="76">
                  <c:v>13.46</c:v>
                </c:pt>
                <c:pt idx="77">
                  <c:v>13.95</c:v>
                </c:pt>
                <c:pt idx="78">
                  <c:v>14.44</c:v>
                </c:pt>
                <c:pt idx="79">
                  <c:v>14.93</c:v>
                </c:pt>
                <c:pt idx="80">
                  <c:v>15.43</c:v>
                </c:pt>
                <c:pt idx="81">
                  <c:v>15.93</c:v>
                </c:pt>
                <c:pt idx="82">
                  <c:v>16.440000000000001</c:v>
                </c:pt>
                <c:pt idx="83">
                  <c:v>16.96</c:v>
                </c:pt>
                <c:pt idx="84">
                  <c:v>17.47</c:v>
                </c:pt>
                <c:pt idx="85">
                  <c:v>18</c:v>
                </c:pt>
                <c:pt idx="86">
                  <c:v>18.54</c:v>
                </c:pt>
                <c:pt idx="87">
                  <c:v>19.079999999999998</c:v>
                </c:pt>
                <c:pt idx="88">
                  <c:v>19.649999999999999</c:v>
                </c:pt>
                <c:pt idx="89">
                  <c:v>20.22</c:v>
                </c:pt>
                <c:pt idx="90">
                  <c:v>20.81</c:v>
                </c:pt>
                <c:pt idx="91">
                  <c:v>21.42</c:v>
                </c:pt>
                <c:pt idx="92">
                  <c:v>22.03</c:v>
                </c:pt>
                <c:pt idx="93">
                  <c:v>22.66</c:v>
                </c:pt>
                <c:pt idx="94">
                  <c:v>23.3</c:v>
                </c:pt>
                <c:pt idx="95">
                  <c:v>23.95</c:v>
                </c:pt>
                <c:pt idx="96">
                  <c:v>24.6</c:v>
                </c:pt>
                <c:pt idx="97">
                  <c:v>25.27</c:v>
                </c:pt>
                <c:pt idx="98">
                  <c:v>25.94</c:v>
                </c:pt>
                <c:pt idx="99">
                  <c:v>26.63</c:v>
                </c:pt>
                <c:pt idx="100">
                  <c:v>27.33</c:v>
                </c:pt>
                <c:pt idx="101">
                  <c:v>28.06</c:v>
                </c:pt>
                <c:pt idx="102">
                  <c:v>28.8</c:v>
                </c:pt>
                <c:pt idx="103">
                  <c:v>29.57</c:v>
                </c:pt>
                <c:pt idx="104">
                  <c:v>30.37</c:v>
                </c:pt>
                <c:pt idx="105">
                  <c:v>31.2</c:v>
                </c:pt>
                <c:pt idx="106">
                  <c:v>32.07</c:v>
                </c:pt>
                <c:pt idx="107">
                  <c:v>33</c:v>
                </c:pt>
                <c:pt idx="108">
                  <c:v>33.97</c:v>
                </c:pt>
                <c:pt idx="109">
                  <c:v>34.979999999999997</c:v>
                </c:pt>
                <c:pt idx="110">
                  <c:v>36.020000000000003</c:v>
                </c:pt>
                <c:pt idx="111">
                  <c:v>37.1</c:v>
                </c:pt>
                <c:pt idx="112">
                  <c:v>38.19</c:v>
                </c:pt>
                <c:pt idx="113">
                  <c:v>39.29</c:v>
                </c:pt>
                <c:pt idx="114">
                  <c:v>40.4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2CA4-49C4-B947-D35BBDF822DE}"/>
            </c:ext>
          </c:extLst>
        </c:ser>
        <c:ser>
          <c:idx val="24"/>
          <c:order val="24"/>
          <c:tx>
            <c:strRef>
              <c:f>'Все-100K'!$Z$3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'Все-100K'!$Z$4:$Z$149</c:f>
              <c:numCache>
                <c:formatCode>0.0</c:formatCode>
                <c:ptCount val="146"/>
                <c:pt idx="61">
                  <c:v>6.4</c:v>
                </c:pt>
                <c:pt idx="62">
                  <c:v>6.99</c:v>
                </c:pt>
                <c:pt idx="63">
                  <c:v>7.57</c:v>
                </c:pt>
                <c:pt idx="64">
                  <c:v>8.16</c:v>
                </c:pt>
                <c:pt idx="65">
                  <c:v>8.75</c:v>
                </c:pt>
                <c:pt idx="66">
                  <c:v>9.33</c:v>
                </c:pt>
                <c:pt idx="67">
                  <c:v>9.92</c:v>
                </c:pt>
                <c:pt idx="68">
                  <c:v>10.51</c:v>
                </c:pt>
                <c:pt idx="69">
                  <c:v>11.1</c:v>
                </c:pt>
                <c:pt idx="70">
                  <c:v>11.7</c:v>
                </c:pt>
                <c:pt idx="71">
                  <c:v>12.29</c:v>
                </c:pt>
                <c:pt idx="72">
                  <c:v>12.89</c:v>
                </c:pt>
                <c:pt idx="73">
                  <c:v>13.49</c:v>
                </c:pt>
                <c:pt idx="74">
                  <c:v>14.09</c:v>
                </c:pt>
                <c:pt idx="75">
                  <c:v>14.7</c:v>
                </c:pt>
                <c:pt idx="76">
                  <c:v>15.31</c:v>
                </c:pt>
                <c:pt idx="77">
                  <c:v>15.92</c:v>
                </c:pt>
                <c:pt idx="78">
                  <c:v>16.53</c:v>
                </c:pt>
                <c:pt idx="79">
                  <c:v>17.149999999999999</c:v>
                </c:pt>
                <c:pt idx="80">
                  <c:v>17.77</c:v>
                </c:pt>
                <c:pt idx="81">
                  <c:v>18.399999999999999</c:v>
                </c:pt>
                <c:pt idx="82">
                  <c:v>19.03</c:v>
                </c:pt>
                <c:pt idx="83">
                  <c:v>19.66</c:v>
                </c:pt>
                <c:pt idx="84">
                  <c:v>20.3</c:v>
                </c:pt>
                <c:pt idx="85">
                  <c:v>20.95</c:v>
                </c:pt>
                <c:pt idx="86">
                  <c:v>21.6</c:v>
                </c:pt>
                <c:pt idx="87">
                  <c:v>22.25</c:v>
                </c:pt>
                <c:pt idx="88">
                  <c:v>22.91</c:v>
                </c:pt>
                <c:pt idx="89">
                  <c:v>23.58</c:v>
                </c:pt>
                <c:pt idx="90">
                  <c:v>24.25</c:v>
                </c:pt>
                <c:pt idx="91">
                  <c:v>24.93</c:v>
                </c:pt>
                <c:pt idx="92">
                  <c:v>25.61</c:v>
                </c:pt>
                <c:pt idx="93">
                  <c:v>26.3</c:v>
                </c:pt>
                <c:pt idx="94">
                  <c:v>27</c:v>
                </c:pt>
                <c:pt idx="95">
                  <c:v>27.72</c:v>
                </c:pt>
                <c:pt idx="96">
                  <c:v>28.47</c:v>
                </c:pt>
                <c:pt idx="97">
                  <c:v>29.25</c:v>
                </c:pt>
                <c:pt idx="98">
                  <c:v>30.06</c:v>
                </c:pt>
                <c:pt idx="99">
                  <c:v>30.87</c:v>
                </c:pt>
                <c:pt idx="100">
                  <c:v>31.7</c:v>
                </c:pt>
                <c:pt idx="101">
                  <c:v>32.54</c:v>
                </c:pt>
                <c:pt idx="102">
                  <c:v>33.369999999999997</c:v>
                </c:pt>
                <c:pt idx="103">
                  <c:v>34.19</c:v>
                </c:pt>
                <c:pt idx="104">
                  <c:v>35.01</c:v>
                </c:pt>
                <c:pt idx="105">
                  <c:v>35.799999999999997</c:v>
                </c:pt>
                <c:pt idx="106">
                  <c:v>36.61</c:v>
                </c:pt>
                <c:pt idx="107">
                  <c:v>37.47</c:v>
                </c:pt>
                <c:pt idx="108">
                  <c:v>38.35</c:v>
                </c:pt>
                <c:pt idx="109">
                  <c:v>39.22</c:v>
                </c:pt>
                <c:pt idx="110">
                  <c:v>40.06</c:v>
                </c:pt>
                <c:pt idx="111">
                  <c:v>40.86</c:v>
                </c:pt>
                <c:pt idx="112">
                  <c:v>41.58</c:v>
                </c:pt>
                <c:pt idx="113">
                  <c:v>42.2</c:v>
                </c:pt>
                <c:pt idx="114">
                  <c:v>42.7</c:v>
                </c:pt>
                <c:pt idx="115">
                  <c:v>43.11</c:v>
                </c:pt>
                <c:pt idx="116">
                  <c:v>43.49</c:v>
                </c:pt>
                <c:pt idx="117">
                  <c:v>43.83</c:v>
                </c:pt>
                <c:pt idx="118">
                  <c:v>44.15</c:v>
                </c:pt>
                <c:pt idx="119">
                  <c:v>44.45</c:v>
                </c:pt>
                <c:pt idx="120">
                  <c:v>44.72</c:v>
                </c:pt>
                <c:pt idx="121">
                  <c:v>44.98</c:v>
                </c:pt>
                <c:pt idx="122">
                  <c:v>45.23</c:v>
                </c:pt>
                <c:pt idx="123">
                  <c:v>45.46</c:v>
                </c:pt>
                <c:pt idx="124">
                  <c:v>45.7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2CA4-49C4-B947-D35BBDF82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6570575"/>
        <c:axId val="1866565295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'Все-100K'!$F$3</c15:sqref>
                        </c15:formulaRef>
                      </c:ext>
                    </c:extLst>
                    <c:strCache>
                      <c:ptCount val="1"/>
                      <c:pt idx="0">
                        <c:v>Гайана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'Все-100K'!$F$4:$F$149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26.5</c:v>
                      </c:pt>
                      <c:pt idx="96">
                        <c:v>26.13</c:v>
                      </c:pt>
                      <c:pt idx="97">
                        <c:v>25.76</c:v>
                      </c:pt>
                      <c:pt idx="98">
                        <c:v>25.4</c:v>
                      </c:pt>
                      <c:pt idx="99">
                        <c:v>25.05</c:v>
                      </c:pt>
                      <c:pt idx="100">
                        <c:v>24.71</c:v>
                      </c:pt>
                      <c:pt idx="101">
                        <c:v>24.4</c:v>
                      </c:pt>
                      <c:pt idx="102">
                        <c:v>24.1</c:v>
                      </c:pt>
                      <c:pt idx="103">
                        <c:v>23.84</c:v>
                      </c:pt>
                      <c:pt idx="104">
                        <c:v>23.6</c:v>
                      </c:pt>
                      <c:pt idx="105">
                        <c:v>23.4</c:v>
                      </c:pt>
                      <c:pt idx="106">
                        <c:v>23.22</c:v>
                      </c:pt>
                      <c:pt idx="107">
                        <c:v>23.06</c:v>
                      </c:pt>
                      <c:pt idx="108">
                        <c:v>22.92</c:v>
                      </c:pt>
                      <c:pt idx="109">
                        <c:v>22.78</c:v>
                      </c:pt>
                      <c:pt idx="110">
                        <c:v>22.65</c:v>
                      </c:pt>
                      <c:pt idx="111">
                        <c:v>22.53</c:v>
                      </c:pt>
                      <c:pt idx="112">
                        <c:v>22.42</c:v>
                      </c:pt>
                      <c:pt idx="113">
                        <c:v>22.31</c:v>
                      </c:pt>
                      <c:pt idx="114">
                        <c:v>22.2</c:v>
                      </c:pt>
                      <c:pt idx="115">
                        <c:v>22.1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2CA4-49C4-B947-D35BBDF822DE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'Все-100K'!$G$4:$G$149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4.7</c:v>
                      </c:pt>
                      <c:pt idx="86">
                        <c:v>5.0599999999999996</c:v>
                      </c:pt>
                      <c:pt idx="87">
                        <c:v>5.41</c:v>
                      </c:pt>
                      <c:pt idx="88">
                        <c:v>5.77</c:v>
                      </c:pt>
                      <c:pt idx="89">
                        <c:v>6.12</c:v>
                      </c:pt>
                      <c:pt idx="90">
                        <c:v>6.48</c:v>
                      </c:pt>
                      <c:pt idx="91">
                        <c:v>6.83</c:v>
                      </c:pt>
                      <c:pt idx="92">
                        <c:v>7.18</c:v>
                      </c:pt>
                      <c:pt idx="93">
                        <c:v>7.53</c:v>
                      </c:pt>
                      <c:pt idx="94">
                        <c:v>7.88</c:v>
                      </c:pt>
                      <c:pt idx="95">
                        <c:v>8.2200000000000006</c:v>
                      </c:pt>
                      <c:pt idx="96">
                        <c:v>8.57</c:v>
                      </c:pt>
                      <c:pt idx="97">
                        <c:v>8.91</c:v>
                      </c:pt>
                      <c:pt idx="98">
                        <c:v>9.24</c:v>
                      </c:pt>
                      <c:pt idx="99">
                        <c:v>9.58</c:v>
                      </c:pt>
                      <c:pt idx="100">
                        <c:v>9.91</c:v>
                      </c:pt>
                      <c:pt idx="101">
                        <c:v>10.23</c:v>
                      </c:pt>
                      <c:pt idx="102">
                        <c:v>10.56</c:v>
                      </c:pt>
                      <c:pt idx="103">
                        <c:v>10.88</c:v>
                      </c:pt>
                      <c:pt idx="104">
                        <c:v>11.19</c:v>
                      </c:pt>
                      <c:pt idx="105">
                        <c:v>11.5</c:v>
                      </c:pt>
                      <c:pt idx="106">
                        <c:v>11.79</c:v>
                      </c:pt>
                      <c:pt idx="107">
                        <c:v>12.06</c:v>
                      </c:pt>
                      <c:pt idx="108">
                        <c:v>12.31</c:v>
                      </c:pt>
                      <c:pt idx="109">
                        <c:v>12.55</c:v>
                      </c:pt>
                      <c:pt idx="110">
                        <c:v>12.8</c:v>
                      </c:pt>
                      <c:pt idx="111">
                        <c:v>13.05</c:v>
                      </c:pt>
                      <c:pt idx="112">
                        <c:v>13.31</c:v>
                      </c:pt>
                      <c:pt idx="113">
                        <c:v>13.61</c:v>
                      </c:pt>
                      <c:pt idx="114">
                        <c:v>13.93</c:v>
                      </c:pt>
                      <c:pt idx="115">
                        <c:v>14.3</c:v>
                      </c:pt>
                      <c:pt idx="116">
                        <c:v>14.71</c:v>
                      </c:pt>
                      <c:pt idx="117">
                        <c:v>15.15</c:v>
                      </c:pt>
                      <c:pt idx="118">
                        <c:v>15.63</c:v>
                      </c:pt>
                      <c:pt idx="119">
                        <c:v>16.149999999999999</c:v>
                      </c:pt>
                      <c:pt idx="120">
                        <c:v>16.690000000000001</c:v>
                      </c:pt>
                      <c:pt idx="121">
                        <c:v>17.260000000000002</c:v>
                      </c:pt>
                      <c:pt idx="122">
                        <c:v>17.86</c:v>
                      </c:pt>
                      <c:pt idx="123">
                        <c:v>18.48</c:v>
                      </c:pt>
                      <c:pt idx="124">
                        <c:v>19.13</c:v>
                      </c:pt>
                      <c:pt idx="125">
                        <c:v>19.8</c:v>
                      </c:pt>
                      <c:pt idx="126">
                        <c:v>20.48</c:v>
                      </c:pt>
                      <c:pt idx="127">
                        <c:v>21.18</c:v>
                      </c:pt>
                      <c:pt idx="128">
                        <c:v>21.9</c:v>
                      </c:pt>
                      <c:pt idx="129">
                        <c:v>22.64</c:v>
                      </c:pt>
                      <c:pt idx="130">
                        <c:v>23.38</c:v>
                      </c:pt>
                      <c:pt idx="131">
                        <c:v>24.13</c:v>
                      </c:pt>
                      <c:pt idx="132">
                        <c:v>24.89</c:v>
                      </c:pt>
                      <c:pt idx="133">
                        <c:v>25.66</c:v>
                      </c:pt>
                      <c:pt idx="134">
                        <c:v>26.43</c:v>
                      </c:pt>
                      <c:pt idx="135">
                        <c:v>27.2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CA4-49C4-B947-D35BBDF822DE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'Все-100K'!$T$3</c15:sqref>
                        </c15:formulaRef>
                      </c:ext>
                    </c:extLst>
                    <c:strCache>
                      <c:ptCount val="1"/>
                      <c:pt idx="0">
                        <c:v>Тринидад и Тобаго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'Все-100K'!$T$4:$T$149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30.2</c:v>
                      </c:pt>
                      <c:pt idx="96">
                        <c:v>30.21</c:v>
                      </c:pt>
                      <c:pt idx="97">
                        <c:v>30.22</c:v>
                      </c:pt>
                      <c:pt idx="98">
                        <c:v>30.24</c:v>
                      </c:pt>
                      <c:pt idx="99">
                        <c:v>30.25</c:v>
                      </c:pt>
                      <c:pt idx="100">
                        <c:v>30.27</c:v>
                      </c:pt>
                      <c:pt idx="101">
                        <c:v>30.29</c:v>
                      </c:pt>
                      <c:pt idx="102">
                        <c:v>30.31</c:v>
                      </c:pt>
                      <c:pt idx="103">
                        <c:v>30.34</c:v>
                      </c:pt>
                      <c:pt idx="104">
                        <c:v>30.37</c:v>
                      </c:pt>
                      <c:pt idx="105">
                        <c:v>30.4</c:v>
                      </c:pt>
                      <c:pt idx="106">
                        <c:v>30.46</c:v>
                      </c:pt>
                      <c:pt idx="107">
                        <c:v>30.55</c:v>
                      </c:pt>
                      <c:pt idx="108">
                        <c:v>30.68</c:v>
                      </c:pt>
                      <c:pt idx="109">
                        <c:v>30.84</c:v>
                      </c:pt>
                      <c:pt idx="110">
                        <c:v>31.03</c:v>
                      </c:pt>
                      <c:pt idx="111">
                        <c:v>31.24</c:v>
                      </c:pt>
                      <c:pt idx="112">
                        <c:v>31.46</c:v>
                      </c:pt>
                      <c:pt idx="113">
                        <c:v>31.7</c:v>
                      </c:pt>
                      <c:pt idx="114">
                        <c:v>31.95</c:v>
                      </c:pt>
                      <c:pt idx="115">
                        <c:v>32.200000000000003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CA4-49C4-B947-D35BBDF822DE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'Все-100K'!$X$3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'Все-100K'!$X$4:$X$149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16.399999999999999</c:v>
                      </c:pt>
                      <c:pt idx="86">
                        <c:v>17.25</c:v>
                      </c:pt>
                      <c:pt idx="87">
                        <c:v>18.100000000000001</c:v>
                      </c:pt>
                      <c:pt idx="88">
                        <c:v>18.920000000000002</c:v>
                      </c:pt>
                      <c:pt idx="89">
                        <c:v>19.72</c:v>
                      </c:pt>
                      <c:pt idx="90">
                        <c:v>20.48</c:v>
                      </c:pt>
                      <c:pt idx="91">
                        <c:v>21.2</c:v>
                      </c:pt>
                      <c:pt idx="92">
                        <c:v>21.85</c:v>
                      </c:pt>
                      <c:pt idx="93">
                        <c:v>22.45</c:v>
                      </c:pt>
                      <c:pt idx="94">
                        <c:v>22.97</c:v>
                      </c:pt>
                      <c:pt idx="95">
                        <c:v>23.4</c:v>
                      </c:pt>
                      <c:pt idx="96">
                        <c:v>23.79</c:v>
                      </c:pt>
                      <c:pt idx="97">
                        <c:v>24.18</c:v>
                      </c:pt>
                      <c:pt idx="98">
                        <c:v>24.56</c:v>
                      </c:pt>
                      <c:pt idx="99">
                        <c:v>24.91</c:v>
                      </c:pt>
                      <c:pt idx="100">
                        <c:v>25.24</c:v>
                      </c:pt>
                      <c:pt idx="101">
                        <c:v>25.52</c:v>
                      </c:pt>
                      <c:pt idx="102">
                        <c:v>25.76</c:v>
                      </c:pt>
                      <c:pt idx="103">
                        <c:v>25.94</c:v>
                      </c:pt>
                      <c:pt idx="104">
                        <c:v>26.06</c:v>
                      </c:pt>
                      <c:pt idx="105">
                        <c:v>26.1</c:v>
                      </c:pt>
                      <c:pt idx="106">
                        <c:v>26.07</c:v>
                      </c:pt>
                      <c:pt idx="107">
                        <c:v>25.98</c:v>
                      </c:pt>
                      <c:pt idx="108">
                        <c:v>25.84</c:v>
                      </c:pt>
                      <c:pt idx="109">
                        <c:v>25.66</c:v>
                      </c:pt>
                      <c:pt idx="110">
                        <c:v>25.44</c:v>
                      </c:pt>
                      <c:pt idx="111">
                        <c:v>25.19</c:v>
                      </c:pt>
                      <c:pt idx="112">
                        <c:v>24.92</c:v>
                      </c:pt>
                      <c:pt idx="113">
                        <c:v>24.62</c:v>
                      </c:pt>
                      <c:pt idx="114">
                        <c:v>24.31</c:v>
                      </c:pt>
                      <c:pt idx="115">
                        <c:v>24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2CA4-49C4-B947-D35BBDF822DE}"/>
                  </c:ext>
                </c:extLst>
              </c15:ser>
            </c15:filteredScatterSeries>
          </c:ext>
        </c:extLst>
      </c:scatterChart>
      <c:valAx>
        <c:axId val="1866570575"/>
        <c:scaling>
          <c:orientation val="minMax"/>
          <c:max val="199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6565295"/>
        <c:crosses val="autoZero"/>
        <c:crossBetween val="midCat"/>
      </c:valAx>
      <c:valAx>
        <c:axId val="1866565295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6570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610552</xdr:colOff>
      <xdr:row>111</xdr:row>
      <xdr:rowOff>8571</xdr:rowOff>
    </xdr:from>
    <xdr:to>
      <xdr:col>25</xdr:col>
      <xdr:colOff>619125</xdr:colOff>
      <xdr:row>159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222FEC-5DA0-A62A-1E87-9836BAC3EF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108</xdr:row>
      <xdr:rowOff>180974</xdr:rowOff>
    </xdr:from>
    <xdr:to>
      <xdr:col>25</xdr:col>
      <xdr:colOff>457200</xdr:colOff>
      <xdr:row>157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A81E05-1BA4-45F3-8BE8-1804395CD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951</xdr:colOff>
      <xdr:row>151</xdr:row>
      <xdr:rowOff>10476</xdr:rowOff>
    </xdr:from>
    <xdr:to>
      <xdr:col>26</xdr:col>
      <xdr:colOff>1904</xdr:colOff>
      <xdr:row>198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630E6F-4E52-F9F2-E00D-85968FABE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619124</xdr:colOff>
      <xdr:row>150</xdr:row>
      <xdr:rowOff>172401</xdr:rowOff>
    </xdr:from>
    <xdr:to>
      <xdr:col>26</xdr:col>
      <xdr:colOff>11429</xdr:colOff>
      <xdr:row>200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8FAB30-8293-6963-9903-CFCEFE0FA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1:A2"/>
  <sheetViews>
    <sheetView workbookViewId="0">
      <selection activeCell="A2" sqref="A2"/>
    </sheetView>
  </sheetViews>
  <sheetFormatPr defaultRowHeight="14.25"/>
  <sheetData>
    <row r="1" spans="1:1">
      <c r="A1" t="s">
        <v>111</v>
      </c>
    </row>
    <row r="2" spans="1:1">
      <c r="A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workbookViewId="0">
      <selection activeCell="A60" sqref="A60:A62"/>
    </sheetView>
  </sheetViews>
  <sheetFormatPr defaultRowHeight="14.25"/>
  <cols>
    <col min="1" max="1" width="31.375" customWidth="1"/>
  </cols>
  <sheetData>
    <row r="1" spans="1:7" ht="15">
      <c r="A1" s="11" t="s">
        <v>85</v>
      </c>
    </row>
    <row r="2" spans="1:7">
      <c r="A2" t="s">
        <v>0</v>
      </c>
    </row>
    <row r="4" spans="1:7" ht="15">
      <c r="A4" s="2" t="s">
        <v>38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>
      <c r="A5" t="s">
        <v>6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>
      <c r="A6" t="s">
        <v>19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>
      <c r="A7" t="s">
        <v>7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>
      <c r="A8" t="s">
        <v>8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>
      <c r="A9" t="s">
        <v>18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>
      <c r="A10" t="s">
        <v>24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>
      <c r="A11" t="s">
        <v>23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>
      <c r="A12" t="s">
        <v>12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>
      <c r="A13" t="s">
        <v>25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>
      <c r="A14" t="s">
        <v>30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>
      <c r="A15" t="s">
        <v>10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>
      <c r="A16" t="s">
        <v>20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>
      <c r="A17" t="s">
        <v>21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>
      <c r="A18" t="s">
        <v>27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>
      <c r="A19" t="s">
        <v>28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>
      <c r="A20" t="s">
        <v>29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>
      <c r="A21" t="s">
        <v>14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>
      <c r="A22" t="s">
        <v>15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>
      <c r="A23" t="s">
        <v>22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>
      <c r="A24" t="s">
        <v>16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>
      <c r="A25" t="s">
        <v>17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>
      <c r="A26" t="s">
        <v>13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>
      <c r="A27" t="s">
        <v>9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>
      <c r="A28" t="s">
        <v>11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>
      <c r="A29" t="s">
        <v>26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 ht="15">
      <c r="A31" s="11" t="s">
        <v>39</v>
      </c>
    </row>
    <row r="32" spans="1:7">
      <c r="A32" t="s">
        <v>1</v>
      </c>
    </row>
    <row r="34" spans="1:7" ht="15">
      <c r="A34" s="2" t="s">
        <v>38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>
      <c r="A35" t="s">
        <v>6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>
      <c r="A36" t="s">
        <v>19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>
      <c r="A37" t="s">
        <v>7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>
      <c r="A38" t="s">
        <v>8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>
      <c r="A39" t="s">
        <v>18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>
      <c r="A40" t="s">
        <v>24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>
      <c r="A41" t="s">
        <v>23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>
      <c r="A42" t="s">
        <v>12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>
      <c r="A43" t="s">
        <v>25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>
      <c r="A44" t="s">
        <v>30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>
      <c r="A45" t="s">
        <v>10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>
      <c r="A46" t="s">
        <v>20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>
      <c r="A47" t="s">
        <v>21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>
      <c r="A48" t="s">
        <v>27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>
      <c r="A49" t="s">
        <v>28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>
      <c r="A50" t="s">
        <v>29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>
      <c r="A51" t="s">
        <v>14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>
      <c r="A52" t="s">
        <v>15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>
      <c r="A53" t="s">
        <v>22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>
      <c r="A54" t="s">
        <v>16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>
      <c r="A55" t="s">
        <v>17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>
      <c r="A56" t="s">
        <v>13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>
      <c r="A57" t="s">
        <v>9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>
      <c r="A58" t="s">
        <v>11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>
      <c r="A59" t="s">
        <v>26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 ht="15">
      <c r="A61" s="11" t="s">
        <v>40</v>
      </c>
    </row>
    <row r="62" spans="1:15">
      <c r="A62" t="s">
        <v>2</v>
      </c>
    </row>
    <row r="63" spans="1:15">
      <c r="A63" t="s">
        <v>4</v>
      </c>
    </row>
    <row r="64" spans="1:15" ht="15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ht="15">
      <c r="A65" s="2" t="s">
        <v>38</v>
      </c>
      <c r="B65" s="6">
        <v>1950</v>
      </c>
      <c r="C65" s="6">
        <v>1960</v>
      </c>
      <c r="D65" s="6">
        <v>1970</v>
      </c>
      <c r="E65" s="6">
        <v>1980</v>
      </c>
      <c r="F65" s="6">
        <v>1990</v>
      </c>
      <c r="G65" s="6">
        <v>2000</v>
      </c>
      <c r="H65" s="6">
        <v>2010</v>
      </c>
      <c r="I65" s="4"/>
      <c r="J65" s="4"/>
      <c r="K65" s="4"/>
      <c r="L65" s="4"/>
      <c r="M65" s="4"/>
      <c r="N65" s="4"/>
      <c r="O65" s="4"/>
    </row>
    <row r="66" spans="1:15" ht="15">
      <c r="A66" s="5" t="s">
        <v>6</v>
      </c>
      <c r="B66" s="10">
        <v>50.7</v>
      </c>
      <c r="C66" s="10">
        <v>60</v>
      </c>
      <c r="D66" s="10">
        <v>66.900000000000006</v>
      </c>
      <c r="E66" s="10">
        <v>71.2</v>
      </c>
      <c r="F66" s="10">
        <v>74.900000000000006</v>
      </c>
      <c r="G66" s="10">
        <v>76.599999999999994</v>
      </c>
      <c r="H66" s="10">
        <v>79.8</v>
      </c>
      <c r="I66" s="4"/>
      <c r="J66" s="4"/>
      <c r="K66" s="4"/>
      <c r="L66" s="4"/>
      <c r="M66" s="4"/>
      <c r="N66" s="4"/>
      <c r="O66" s="4"/>
    </row>
    <row r="67" spans="1:15" ht="15">
      <c r="A67" s="5" t="s">
        <v>31</v>
      </c>
      <c r="B67" s="10">
        <v>54.4</v>
      </c>
      <c r="C67" s="10">
        <v>62.1</v>
      </c>
      <c r="D67" s="10">
        <v>60.1</v>
      </c>
      <c r="E67" s="10">
        <v>64.599999999999994</v>
      </c>
      <c r="F67" s="10" t="s">
        <v>3</v>
      </c>
      <c r="G67" s="10" t="s">
        <v>3</v>
      </c>
      <c r="H67" s="10" t="s">
        <v>3</v>
      </c>
      <c r="I67" s="4"/>
      <c r="J67" s="4"/>
      <c r="K67" s="4"/>
      <c r="L67" s="4"/>
      <c r="M67" s="4"/>
      <c r="N67" s="4"/>
      <c r="O67" s="4"/>
    </row>
    <row r="68" spans="1:15" ht="15">
      <c r="A68" s="5" t="s">
        <v>32</v>
      </c>
      <c r="B68" s="10">
        <v>45.5</v>
      </c>
      <c r="C68" s="10">
        <v>46.2</v>
      </c>
      <c r="D68" s="10">
        <v>47</v>
      </c>
      <c r="E68" s="10">
        <v>46.6</v>
      </c>
      <c r="F68" s="10" t="s">
        <v>3</v>
      </c>
      <c r="G68" s="10" t="s">
        <v>3</v>
      </c>
      <c r="H68" s="10" t="s">
        <v>3</v>
      </c>
      <c r="I68" s="4"/>
      <c r="J68" s="4"/>
      <c r="K68" s="4"/>
      <c r="L68" s="4"/>
      <c r="M68" s="4"/>
      <c r="N68" s="4"/>
      <c r="O68" s="4"/>
    </row>
    <row r="69" spans="1:15" ht="15">
      <c r="A69" s="5" t="s">
        <v>19</v>
      </c>
      <c r="B69" s="10">
        <v>37</v>
      </c>
      <c r="C69" s="10">
        <v>44.3</v>
      </c>
      <c r="D69" s="10">
        <v>36.200000000000003</v>
      </c>
      <c r="E69" s="10">
        <v>27.9</v>
      </c>
      <c r="F69" s="10" t="s">
        <v>3</v>
      </c>
      <c r="G69" s="10" t="s">
        <v>3</v>
      </c>
      <c r="H69" s="10" t="s">
        <v>3</v>
      </c>
      <c r="I69" s="4"/>
      <c r="J69" s="4"/>
      <c r="K69" s="4"/>
      <c r="L69" s="4"/>
      <c r="M69" s="4"/>
      <c r="N69" s="4"/>
      <c r="O69" s="4"/>
    </row>
    <row r="70" spans="1:15" ht="15">
      <c r="A70" s="5" t="s">
        <v>7</v>
      </c>
      <c r="B70" s="10">
        <v>19.7</v>
      </c>
      <c r="C70" s="10" t="s">
        <v>3</v>
      </c>
      <c r="D70" s="10">
        <v>34.1</v>
      </c>
      <c r="E70" s="10" t="s">
        <v>3</v>
      </c>
      <c r="F70" s="10">
        <v>49.6</v>
      </c>
      <c r="G70" s="10">
        <v>54.4</v>
      </c>
      <c r="H70" s="10">
        <v>59.4</v>
      </c>
      <c r="I70" s="4"/>
      <c r="J70" s="4"/>
      <c r="K70" s="4"/>
      <c r="L70" s="4"/>
      <c r="M70" s="4"/>
      <c r="N70" s="4"/>
      <c r="O70" s="4"/>
    </row>
    <row r="71" spans="1:15" ht="15">
      <c r="A71" s="5" t="s">
        <v>8</v>
      </c>
      <c r="B71" s="10">
        <v>22</v>
      </c>
      <c r="C71" s="10">
        <v>29</v>
      </c>
      <c r="D71" s="10">
        <v>40.700000000000003</v>
      </c>
      <c r="E71" s="10">
        <v>52.3</v>
      </c>
      <c r="F71" s="10">
        <v>58.9</v>
      </c>
      <c r="G71" s="10">
        <v>64.599999999999994</v>
      </c>
      <c r="H71" s="10">
        <v>70.599999999999994</v>
      </c>
      <c r="I71" s="4"/>
      <c r="J71" s="4"/>
      <c r="K71" s="4"/>
      <c r="L71" s="4"/>
      <c r="M71" s="4"/>
      <c r="N71" s="4"/>
      <c r="O71" s="4"/>
    </row>
    <row r="72" spans="1:15" ht="15">
      <c r="A72" s="5" t="s">
        <v>18</v>
      </c>
      <c r="B72" s="10">
        <v>38.700000000000003</v>
      </c>
      <c r="C72" s="10">
        <v>52.7</v>
      </c>
      <c r="D72" s="10">
        <v>63.3</v>
      </c>
      <c r="E72" s="10">
        <v>70.5</v>
      </c>
      <c r="F72" s="10">
        <v>71.7</v>
      </c>
      <c r="G72" s="10">
        <v>74.3</v>
      </c>
      <c r="H72" s="10">
        <v>78</v>
      </c>
      <c r="I72" s="4"/>
      <c r="J72" s="4"/>
      <c r="K72" s="4"/>
      <c r="L72" s="4"/>
      <c r="M72" s="4"/>
      <c r="N72" s="4"/>
      <c r="O72" s="4"/>
    </row>
    <row r="73" spans="1:15" ht="15">
      <c r="A73" s="5" t="s">
        <v>34</v>
      </c>
      <c r="B73" s="10">
        <v>24.5</v>
      </c>
      <c r="C73" s="10" t="s">
        <v>3</v>
      </c>
      <c r="D73" s="10" t="s">
        <v>3</v>
      </c>
      <c r="E73" s="10" t="s">
        <v>3</v>
      </c>
      <c r="F73" s="10" t="s">
        <v>3</v>
      </c>
      <c r="G73" s="10" t="s">
        <v>3</v>
      </c>
      <c r="H73" s="10" t="s">
        <v>3</v>
      </c>
      <c r="I73" s="4"/>
      <c r="J73" s="4"/>
      <c r="K73" s="4"/>
      <c r="L73" s="4"/>
      <c r="M73" s="4"/>
      <c r="N73" s="4"/>
      <c r="O73" s="4"/>
    </row>
    <row r="74" spans="1:15" ht="15">
      <c r="A74" s="5" t="s">
        <v>24</v>
      </c>
      <c r="B74" s="10">
        <v>5.5</v>
      </c>
      <c r="C74" s="10" t="s">
        <v>3</v>
      </c>
      <c r="D74" s="10">
        <v>13.7</v>
      </c>
      <c r="E74" s="10">
        <v>17.399999999999999</v>
      </c>
      <c r="F74" s="10" t="s">
        <v>3</v>
      </c>
      <c r="G74" s="10">
        <v>34.1</v>
      </c>
      <c r="H74" s="10" t="s">
        <v>3</v>
      </c>
      <c r="I74" s="4"/>
      <c r="J74" s="4"/>
      <c r="K74" s="4"/>
      <c r="L74" s="4"/>
      <c r="M74" s="4"/>
      <c r="N74" s="4"/>
      <c r="O74" s="4"/>
    </row>
    <row r="75" spans="1:15" ht="15">
      <c r="A75" s="5" t="s">
        <v>23</v>
      </c>
      <c r="B75" s="10">
        <v>13.8</v>
      </c>
      <c r="C75" s="10">
        <v>19.3</v>
      </c>
      <c r="D75" s="10">
        <v>22.2</v>
      </c>
      <c r="E75" s="10">
        <v>22</v>
      </c>
      <c r="F75" s="10">
        <v>23.7</v>
      </c>
      <c r="G75" s="10">
        <v>30.7</v>
      </c>
      <c r="H75" s="10" t="s">
        <v>3</v>
      </c>
      <c r="I75" s="4"/>
      <c r="J75" s="4"/>
      <c r="K75" s="4"/>
      <c r="L75" s="4"/>
      <c r="M75" s="4"/>
      <c r="N75" s="4"/>
      <c r="O75" s="4"/>
    </row>
    <row r="76" spans="1:15" ht="15">
      <c r="A76" s="5" t="s">
        <v>25</v>
      </c>
      <c r="B76" s="10">
        <v>6.8</v>
      </c>
      <c r="C76" s="10">
        <v>11.5</v>
      </c>
      <c r="D76" s="10">
        <v>20.5</v>
      </c>
      <c r="E76" s="10">
        <v>28</v>
      </c>
      <c r="F76" s="10" t="s">
        <v>3</v>
      </c>
      <c r="G76" s="10">
        <v>32.5</v>
      </c>
      <c r="H76" s="10">
        <v>42.4</v>
      </c>
      <c r="I76" s="4"/>
      <c r="J76" s="4"/>
      <c r="K76" s="4"/>
      <c r="L76" s="4"/>
      <c r="M76" s="4"/>
      <c r="N76" s="4"/>
      <c r="O76" s="4"/>
    </row>
    <row r="77" spans="1:15" ht="15">
      <c r="A77" s="5" t="s">
        <v>33</v>
      </c>
      <c r="B77" s="10" t="s">
        <v>3</v>
      </c>
      <c r="C77" s="10">
        <v>30.3</v>
      </c>
      <c r="D77" s="10">
        <v>31.9</v>
      </c>
      <c r="E77" s="10">
        <v>33</v>
      </c>
      <c r="F77" s="10" t="s">
        <v>3</v>
      </c>
      <c r="G77" s="10" t="s">
        <v>3</v>
      </c>
      <c r="H77" s="10" t="s">
        <v>3</v>
      </c>
      <c r="I77" s="4"/>
      <c r="J77" s="4"/>
      <c r="K77" s="4"/>
      <c r="L77" s="4"/>
      <c r="M77" s="4"/>
      <c r="N77" s="4"/>
      <c r="O77" s="4"/>
    </row>
    <row r="78" spans="1:15" ht="15">
      <c r="A78" s="5" t="s">
        <v>30</v>
      </c>
      <c r="B78" s="10">
        <v>11.1</v>
      </c>
      <c r="C78" s="10">
        <v>18.7</v>
      </c>
      <c r="D78" s="10">
        <v>30.5</v>
      </c>
      <c r="E78" s="10">
        <v>41.9</v>
      </c>
      <c r="F78" s="10">
        <v>45.2</v>
      </c>
      <c r="G78" s="10">
        <v>52.6</v>
      </c>
      <c r="H78" s="10">
        <v>64.2</v>
      </c>
      <c r="I78" s="4"/>
      <c r="J78" s="4"/>
      <c r="K78" s="4"/>
      <c r="L78" s="4"/>
      <c r="M78" s="4"/>
      <c r="N78" s="4"/>
      <c r="O78" s="4"/>
    </row>
    <row r="79" spans="1:15" ht="15">
      <c r="A79" s="5" t="s">
        <v>10</v>
      </c>
      <c r="B79" s="10">
        <v>22.5</v>
      </c>
      <c r="C79" s="10">
        <v>37.200000000000003</v>
      </c>
      <c r="D79" s="10">
        <v>45.6</v>
      </c>
      <c r="E79" s="10">
        <v>55.1</v>
      </c>
      <c r="F79" s="10">
        <v>59.2</v>
      </c>
      <c r="G79" s="10">
        <v>65</v>
      </c>
      <c r="H79" s="10">
        <v>64.900000000000006</v>
      </c>
      <c r="I79" s="4"/>
      <c r="J79" s="4"/>
      <c r="K79" s="4"/>
      <c r="L79" s="4"/>
      <c r="M79" s="4"/>
      <c r="N79" s="4"/>
      <c r="O79" s="4"/>
    </row>
    <row r="80" spans="1:15" ht="15">
      <c r="A80" s="5" t="s">
        <v>20</v>
      </c>
      <c r="B80" s="10">
        <v>18.399999999999999</v>
      </c>
      <c r="C80" s="10">
        <v>22.8</v>
      </c>
      <c r="D80" s="10">
        <v>30.8</v>
      </c>
      <c r="E80" s="10">
        <v>33.799999999999997</v>
      </c>
      <c r="F80" s="10" t="s">
        <v>3</v>
      </c>
      <c r="G80" s="10">
        <v>49.2</v>
      </c>
      <c r="H80" s="10">
        <v>58.7</v>
      </c>
      <c r="I80" s="4"/>
      <c r="J80" s="4"/>
      <c r="K80" s="4"/>
      <c r="L80" s="4"/>
      <c r="M80" s="4"/>
      <c r="N80" s="4"/>
      <c r="O80" s="4"/>
    </row>
    <row r="81" spans="1:15" ht="15">
      <c r="A81" s="5" t="s">
        <v>21</v>
      </c>
      <c r="B81" s="10">
        <v>38.299999999999997</v>
      </c>
      <c r="C81" s="10" t="s">
        <v>3</v>
      </c>
      <c r="D81" s="10">
        <v>43.8</v>
      </c>
      <c r="E81" s="10">
        <v>47.9</v>
      </c>
      <c r="F81" s="10" t="s">
        <v>3</v>
      </c>
      <c r="G81" s="10">
        <v>54.5</v>
      </c>
      <c r="H81" s="10">
        <v>55.2</v>
      </c>
      <c r="I81" s="4"/>
      <c r="J81" s="4"/>
      <c r="K81" s="4"/>
      <c r="L81" s="4"/>
      <c r="M81" s="4"/>
      <c r="N81" s="4"/>
      <c r="O81" s="4"/>
    </row>
    <row r="82" spans="1:15" ht="15">
      <c r="A82" s="5" t="s">
        <v>27</v>
      </c>
      <c r="B82" s="10">
        <v>29.3</v>
      </c>
      <c r="C82" s="10">
        <v>37</v>
      </c>
      <c r="D82" s="10">
        <v>45.7</v>
      </c>
      <c r="E82" s="10">
        <v>52.8</v>
      </c>
      <c r="F82" s="10">
        <v>57.1</v>
      </c>
      <c r="G82" s="10">
        <v>60.5</v>
      </c>
      <c r="H82" s="10">
        <v>70.2</v>
      </c>
      <c r="I82" s="4"/>
      <c r="J82" s="4"/>
      <c r="K82" s="4"/>
      <c r="L82" s="4"/>
      <c r="M82" s="4"/>
      <c r="N82" s="4"/>
      <c r="O82" s="4"/>
    </row>
    <row r="83" spans="1:15" ht="15">
      <c r="A83" s="5" t="s">
        <v>28</v>
      </c>
      <c r="B83" s="10">
        <v>15.2</v>
      </c>
      <c r="C83" s="10">
        <v>23</v>
      </c>
      <c r="D83" s="10">
        <v>29.6</v>
      </c>
      <c r="E83" s="10" t="s">
        <v>3</v>
      </c>
      <c r="F83" s="10">
        <v>41</v>
      </c>
      <c r="G83" s="10">
        <v>41.4</v>
      </c>
      <c r="H83" s="10" t="s">
        <v>3</v>
      </c>
      <c r="I83" s="4"/>
      <c r="J83" s="4"/>
      <c r="K83" s="4"/>
      <c r="L83" s="4"/>
      <c r="M83" s="4"/>
      <c r="N83" s="4"/>
      <c r="O83" s="4"/>
    </row>
    <row r="84" spans="1:15" ht="15">
      <c r="A84" s="5" t="s">
        <v>29</v>
      </c>
      <c r="B84" s="10">
        <v>28.2</v>
      </c>
      <c r="C84" s="10">
        <v>34.6</v>
      </c>
      <c r="D84" s="10">
        <v>39.1</v>
      </c>
      <c r="E84" s="10">
        <v>43.8</v>
      </c>
      <c r="F84" s="10">
        <v>47</v>
      </c>
      <c r="G84" s="10">
        <v>57.3</v>
      </c>
      <c r="H84" s="10">
        <v>60.1</v>
      </c>
      <c r="I84" s="4"/>
      <c r="J84" s="4"/>
      <c r="K84" s="4"/>
      <c r="L84" s="4"/>
      <c r="M84" s="4"/>
      <c r="N84" s="4"/>
      <c r="O84" s="4"/>
    </row>
    <row r="85" spans="1:15" ht="15">
      <c r="A85" s="5" t="s">
        <v>14</v>
      </c>
      <c r="B85" s="10">
        <v>19.600000000000001</v>
      </c>
      <c r="C85" s="10">
        <v>23</v>
      </c>
      <c r="D85" s="10">
        <v>27.6</v>
      </c>
      <c r="E85" s="10">
        <v>33.1</v>
      </c>
      <c r="F85" s="10">
        <v>39</v>
      </c>
      <c r="G85" s="10">
        <v>44.8</v>
      </c>
      <c r="H85" s="10" t="s">
        <v>3</v>
      </c>
      <c r="I85" s="4"/>
      <c r="J85" s="4"/>
      <c r="K85" s="4"/>
      <c r="L85" s="4"/>
      <c r="M85" s="4"/>
      <c r="N85" s="4"/>
      <c r="O85" s="4"/>
    </row>
    <row r="86" spans="1:15" ht="15">
      <c r="A86" s="5" t="s">
        <v>15</v>
      </c>
      <c r="B86" s="10">
        <v>15.9</v>
      </c>
      <c r="C86" s="10">
        <v>30.7</v>
      </c>
      <c r="D86" s="10">
        <v>43</v>
      </c>
      <c r="E86" s="10">
        <v>51.1</v>
      </c>
      <c r="F86" s="10">
        <v>56.8</v>
      </c>
      <c r="G86" s="10">
        <v>62.1</v>
      </c>
      <c r="H86" s="10">
        <v>69.3</v>
      </c>
      <c r="I86" s="4"/>
      <c r="J86" s="4"/>
      <c r="K86" s="4"/>
      <c r="L86" s="4"/>
      <c r="M86" s="4"/>
      <c r="N86" s="4"/>
      <c r="O86" s="4"/>
    </row>
    <row r="87" spans="1:15" ht="15">
      <c r="A87" s="5" t="s">
        <v>22</v>
      </c>
      <c r="B87" s="10">
        <v>14.7</v>
      </c>
      <c r="C87" s="10">
        <v>19.5</v>
      </c>
      <c r="D87" s="10">
        <v>21.9</v>
      </c>
      <c r="E87" s="10" t="s">
        <v>3</v>
      </c>
      <c r="F87" s="10">
        <v>35.5</v>
      </c>
      <c r="G87" s="10">
        <v>44</v>
      </c>
      <c r="H87" s="10" t="s">
        <v>3</v>
      </c>
      <c r="I87" s="4"/>
      <c r="J87" s="4"/>
      <c r="K87" s="4"/>
      <c r="L87" s="4"/>
      <c r="M87" s="4"/>
      <c r="N87" s="4"/>
      <c r="O87" s="4"/>
    </row>
    <row r="88" spans="1:15" ht="15">
      <c r="A88" s="5" t="s">
        <v>35</v>
      </c>
      <c r="B88" s="10" t="s">
        <v>3</v>
      </c>
      <c r="C88" s="10">
        <v>25.6</v>
      </c>
      <c r="D88" s="10">
        <v>27</v>
      </c>
      <c r="E88" s="10">
        <v>25.7</v>
      </c>
      <c r="F88" s="10" t="s">
        <v>3</v>
      </c>
      <c r="G88" s="10" t="s">
        <v>3</v>
      </c>
      <c r="H88" s="10" t="s">
        <v>3</v>
      </c>
      <c r="I88" s="4"/>
      <c r="J88" s="4"/>
      <c r="K88" s="4"/>
      <c r="L88" s="4"/>
      <c r="M88" s="4"/>
      <c r="N88" s="4"/>
      <c r="O88" s="4"/>
    </row>
    <row r="89" spans="1:15" ht="15">
      <c r="A89" s="5" t="s">
        <v>36</v>
      </c>
      <c r="B89" s="10">
        <v>32</v>
      </c>
      <c r="C89" s="10">
        <v>37.6</v>
      </c>
      <c r="D89" s="10">
        <v>40.5</v>
      </c>
      <c r="E89" s="10">
        <v>37.9</v>
      </c>
      <c r="F89" s="10" t="s">
        <v>3</v>
      </c>
      <c r="G89" s="10" t="s">
        <v>3</v>
      </c>
      <c r="H89" s="10" t="s">
        <v>3</v>
      </c>
      <c r="I89" s="4"/>
      <c r="J89" s="4"/>
      <c r="K89" s="4"/>
      <c r="L89" s="4"/>
      <c r="M89" s="4"/>
      <c r="N89" s="4"/>
      <c r="O89" s="4"/>
    </row>
    <row r="90" spans="1:15" ht="15">
      <c r="A90" s="5" t="s">
        <v>37</v>
      </c>
      <c r="B90" s="10">
        <v>22.1</v>
      </c>
      <c r="C90" s="10">
        <v>36.799999999999997</v>
      </c>
      <c r="D90" s="10">
        <v>37.4</v>
      </c>
      <c r="E90" s="10">
        <v>40.799999999999997</v>
      </c>
      <c r="F90" s="10" t="s">
        <v>3</v>
      </c>
      <c r="G90" s="10" t="s">
        <v>3</v>
      </c>
      <c r="H90" s="10" t="s">
        <v>3</v>
      </c>
      <c r="I90" s="4"/>
      <c r="J90" s="4"/>
      <c r="K90" s="4"/>
      <c r="L90" s="4"/>
      <c r="M90" s="4"/>
      <c r="N90" s="4"/>
      <c r="O90" s="4"/>
    </row>
    <row r="91" spans="1:15" ht="15">
      <c r="A91" s="5" t="s">
        <v>17</v>
      </c>
      <c r="B91" s="10" t="s">
        <v>3</v>
      </c>
      <c r="C91" s="10">
        <v>66.900000000000006</v>
      </c>
      <c r="D91" s="10">
        <v>69.900000000000006</v>
      </c>
      <c r="E91" s="10">
        <v>71.8</v>
      </c>
      <c r="F91" s="10">
        <v>74.3</v>
      </c>
      <c r="G91" s="10">
        <v>72</v>
      </c>
      <c r="H91" s="10">
        <v>77.8</v>
      </c>
    </row>
    <row r="92" spans="1:15" ht="15">
      <c r="A92" s="5" t="s">
        <v>9</v>
      </c>
      <c r="B92" s="10">
        <v>47.1</v>
      </c>
      <c r="C92" s="10">
        <v>55.1</v>
      </c>
      <c r="D92" s="10">
        <v>62</v>
      </c>
      <c r="E92" s="10">
        <v>68.599999999999994</v>
      </c>
      <c r="F92" s="10">
        <v>72.5</v>
      </c>
      <c r="G92" s="10">
        <v>76.900000000000006</v>
      </c>
      <c r="H92" s="10">
        <v>80.3</v>
      </c>
    </row>
    <row r="93" spans="1:15" ht="15">
      <c r="A93" s="5" t="s">
        <v>11</v>
      </c>
      <c r="B93" s="10">
        <v>18</v>
      </c>
      <c r="C93" s="10">
        <v>27.7</v>
      </c>
      <c r="D93" s="10">
        <v>35.299999999999997</v>
      </c>
      <c r="E93" s="10">
        <v>42.5</v>
      </c>
      <c r="F93" s="10">
        <v>48</v>
      </c>
      <c r="G93" s="10">
        <v>54.3</v>
      </c>
      <c r="H93" s="10">
        <v>64.400000000000006</v>
      </c>
    </row>
    <row r="94" spans="1:15" ht="15">
      <c r="A94" s="5" t="s">
        <v>26</v>
      </c>
      <c r="B94" s="10">
        <v>16.399999999999999</v>
      </c>
      <c r="C94" s="10">
        <v>24.9</v>
      </c>
      <c r="D94" s="10">
        <v>32.1</v>
      </c>
      <c r="E94" s="10">
        <v>38</v>
      </c>
      <c r="F94" s="10" t="s">
        <v>3</v>
      </c>
      <c r="G94" s="10" t="s">
        <v>3</v>
      </c>
      <c r="H94" s="10" t="s">
        <v>3</v>
      </c>
    </row>
    <row r="96" spans="1:15" ht="15">
      <c r="A96" s="11" t="s">
        <v>41</v>
      </c>
    </row>
    <row r="97" spans="1:8">
      <c r="A97" t="s">
        <v>5</v>
      </c>
    </row>
    <row r="99" spans="1:8" ht="15">
      <c r="A99" s="2" t="s">
        <v>38</v>
      </c>
      <c r="B99" s="6">
        <v>1950</v>
      </c>
      <c r="C99" s="6">
        <v>1960</v>
      </c>
      <c r="D99" s="6">
        <v>1970</v>
      </c>
      <c r="E99" s="6">
        <v>1980</v>
      </c>
      <c r="F99" s="6">
        <v>1990</v>
      </c>
      <c r="G99" s="6">
        <v>2000</v>
      </c>
      <c r="H99" s="6">
        <v>2010</v>
      </c>
    </row>
    <row r="100" spans="1:8" ht="15">
      <c r="A100" s="5" t="s">
        <v>6</v>
      </c>
      <c r="B100" s="10">
        <v>43.2</v>
      </c>
      <c r="C100" s="10">
        <v>51.6</v>
      </c>
      <c r="D100" s="10">
        <v>56.2</v>
      </c>
      <c r="E100" s="10">
        <v>58.8</v>
      </c>
      <c r="F100" s="10">
        <v>61.8</v>
      </c>
      <c r="G100" s="10">
        <v>62.3</v>
      </c>
      <c r="H100" s="10">
        <v>64.7</v>
      </c>
    </row>
    <row r="101" spans="1:8" ht="15">
      <c r="A101" s="5" t="s">
        <v>7</v>
      </c>
      <c r="B101" s="10">
        <v>10.6</v>
      </c>
      <c r="C101" s="10" t="s">
        <v>3</v>
      </c>
      <c r="D101" s="10">
        <v>28.5</v>
      </c>
      <c r="E101" s="10" t="s">
        <v>3</v>
      </c>
      <c r="F101" s="10">
        <v>41.3</v>
      </c>
      <c r="G101" s="10">
        <v>44.9</v>
      </c>
      <c r="H101" s="10">
        <v>52.2</v>
      </c>
    </row>
    <row r="102" spans="1:8" ht="15">
      <c r="A102" s="5" t="s">
        <v>8</v>
      </c>
      <c r="B102" s="10">
        <v>16.600000000000001</v>
      </c>
      <c r="C102" s="10">
        <v>22</v>
      </c>
      <c r="D102" s="10">
        <v>32.200000000000003</v>
      </c>
      <c r="E102" s="10">
        <v>42.1</v>
      </c>
      <c r="F102" s="10">
        <v>45.6</v>
      </c>
      <c r="G102" s="10">
        <v>49.6</v>
      </c>
      <c r="H102" s="10">
        <v>56.6</v>
      </c>
    </row>
    <row r="103" spans="1:8" ht="15">
      <c r="A103" s="5" t="s">
        <v>18</v>
      </c>
      <c r="B103" s="10">
        <v>24.9</v>
      </c>
      <c r="C103" s="10">
        <v>39.1</v>
      </c>
      <c r="D103" s="10">
        <v>49.7</v>
      </c>
      <c r="E103" s="10">
        <v>59.7</v>
      </c>
      <c r="F103" s="10">
        <v>59.5</v>
      </c>
      <c r="G103" s="10">
        <v>61.6</v>
      </c>
      <c r="H103" s="10">
        <v>63.5</v>
      </c>
    </row>
    <row r="104" spans="1:8" ht="15">
      <c r="A104" s="5" t="s">
        <v>34</v>
      </c>
      <c r="B104" s="10" t="s">
        <v>3</v>
      </c>
      <c r="C104" s="10">
        <v>26.5</v>
      </c>
      <c r="D104" s="10">
        <v>23.4</v>
      </c>
      <c r="E104" s="10">
        <v>22.1</v>
      </c>
      <c r="F104" s="10" t="s">
        <v>3</v>
      </c>
      <c r="G104" s="10" t="s">
        <v>3</v>
      </c>
      <c r="H104" s="10" t="s">
        <v>3</v>
      </c>
    </row>
    <row r="105" spans="1:8" ht="15">
      <c r="A105" s="5" t="s">
        <v>24</v>
      </c>
      <c r="B105" s="10">
        <v>4.7</v>
      </c>
      <c r="C105" s="10" t="s">
        <v>3</v>
      </c>
      <c r="D105" s="10">
        <v>11.5</v>
      </c>
      <c r="E105" s="10">
        <v>14.3</v>
      </c>
      <c r="F105" s="10" t="s">
        <v>3</v>
      </c>
      <c r="G105" s="10">
        <v>27.2</v>
      </c>
      <c r="H105" s="10" t="s">
        <v>3</v>
      </c>
    </row>
    <row r="106" spans="1:8" ht="15">
      <c r="A106" s="5" t="s">
        <v>23</v>
      </c>
      <c r="B106" s="10">
        <v>12.8</v>
      </c>
      <c r="C106" s="10">
        <v>17.2</v>
      </c>
      <c r="D106" s="10">
        <v>19.600000000000001</v>
      </c>
      <c r="E106" s="10">
        <v>19.3</v>
      </c>
      <c r="F106" s="10">
        <v>19</v>
      </c>
      <c r="G106" s="10">
        <v>20.2</v>
      </c>
      <c r="H106" s="10" t="s">
        <v>3</v>
      </c>
    </row>
    <row r="107" spans="1:8" ht="15">
      <c r="A107" s="5" t="s">
        <v>25</v>
      </c>
      <c r="B107" s="10">
        <v>0</v>
      </c>
      <c r="C107" s="10">
        <v>7.1</v>
      </c>
      <c r="D107" s="10">
        <v>16</v>
      </c>
      <c r="E107" s="10">
        <v>19.100000000000001</v>
      </c>
      <c r="F107" s="10" t="s">
        <v>3</v>
      </c>
      <c r="G107" s="10">
        <v>24.3</v>
      </c>
      <c r="H107" s="10">
        <v>29.3</v>
      </c>
    </row>
    <row r="108" spans="1:8" ht="15">
      <c r="A108" s="5" t="s">
        <v>30</v>
      </c>
      <c r="B108" s="10">
        <v>8.5</v>
      </c>
      <c r="C108" s="10">
        <v>12.1</v>
      </c>
      <c r="D108" s="10">
        <v>20.5</v>
      </c>
      <c r="E108" s="10">
        <v>28</v>
      </c>
      <c r="F108" s="10">
        <v>32.200000000000003</v>
      </c>
      <c r="G108" s="10">
        <v>41.4</v>
      </c>
      <c r="H108" s="10">
        <v>52.9</v>
      </c>
    </row>
    <row r="109" spans="1:8" ht="15">
      <c r="A109" s="5" t="s">
        <v>10</v>
      </c>
      <c r="B109" s="10">
        <v>15.5</v>
      </c>
      <c r="C109" s="10">
        <v>29.3</v>
      </c>
      <c r="D109" s="10">
        <v>37.5</v>
      </c>
      <c r="E109" s="10">
        <v>46.2</v>
      </c>
      <c r="F109" s="10">
        <v>49.3</v>
      </c>
      <c r="G109" s="10">
        <v>53.9</v>
      </c>
      <c r="H109" s="10">
        <v>53.9</v>
      </c>
    </row>
    <row r="110" spans="1:8" ht="15">
      <c r="A110" s="5" t="s">
        <v>20</v>
      </c>
      <c r="B110" s="10">
        <v>18.399999999999999</v>
      </c>
      <c r="C110" s="10">
        <v>19.399999999999999</v>
      </c>
      <c r="D110" s="10">
        <v>21.8</v>
      </c>
      <c r="E110" s="10">
        <v>25.1</v>
      </c>
      <c r="F110" s="10" t="s">
        <v>3</v>
      </c>
      <c r="G110" s="10">
        <v>33.9</v>
      </c>
      <c r="H110" s="10">
        <v>46.4</v>
      </c>
    </row>
    <row r="111" spans="1:8" ht="15">
      <c r="A111" s="5" t="s">
        <v>21</v>
      </c>
      <c r="B111" s="10">
        <v>25.7</v>
      </c>
      <c r="C111" s="10" t="s">
        <v>3</v>
      </c>
      <c r="D111" s="10">
        <v>31</v>
      </c>
      <c r="E111" s="10">
        <v>32.4</v>
      </c>
      <c r="F111" s="10" t="s">
        <v>3</v>
      </c>
      <c r="G111" s="10">
        <v>39.5</v>
      </c>
      <c r="H111" s="10">
        <v>40.4</v>
      </c>
    </row>
    <row r="112" spans="1:8" ht="15">
      <c r="A112" s="5" t="s">
        <v>27</v>
      </c>
      <c r="B112" s="10">
        <v>21.4</v>
      </c>
      <c r="C112" s="10">
        <v>28</v>
      </c>
      <c r="D112" s="10">
        <v>37.700000000000003</v>
      </c>
      <c r="E112" s="10">
        <v>45.3</v>
      </c>
      <c r="F112" s="10">
        <v>47.5</v>
      </c>
      <c r="G112" s="10">
        <v>50.2</v>
      </c>
      <c r="H112" s="10">
        <v>60.7</v>
      </c>
    </row>
    <row r="113" spans="1:8" ht="15">
      <c r="A113" s="5" t="s">
        <v>28</v>
      </c>
      <c r="B113" s="10">
        <v>10.3</v>
      </c>
      <c r="C113" s="10">
        <v>15.3</v>
      </c>
      <c r="D113" s="10">
        <v>20.5</v>
      </c>
      <c r="E113" s="10" t="s">
        <v>3</v>
      </c>
      <c r="F113" s="10">
        <v>22.7</v>
      </c>
      <c r="G113" s="10">
        <v>21.9</v>
      </c>
      <c r="H113" s="10" t="s">
        <v>3</v>
      </c>
    </row>
    <row r="114" spans="1:8" ht="15">
      <c r="A114" s="5" t="s">
        <v>29</v>
      </c>
      <c r="B114" s="10">
        <v>21.7</v>
      </c>
      <c r="C114" s="10">
        <v>26.9</v>
      </c>
      <c r="D114" s="10">
        <v>31.7</v>
      </c>
      <c r="E114" s="10">
        <v>33.799999999999997</v>
      </c>
      <c r="F114" s="10">
        <v>36.299999999999997</v>
      </c>
      <c r="G114" s="10">
        <v>51.2</v>
      </c>
      <c r="H114" s="10">
        <v>52.6</v>
      </c>
    </row>
    <row r="115" spans="1:8" ht="15">
      <c r="A115" s="5" t="s">
        <v>14</v>
      </c>
      <c r="B115" s="10">
        <v>19.600000000000001</v>
      </c>
      <c r="C115" s="10">
        <v>23</v>
      </c>
      <c r="D115" s="10">
        <v>24.9</v>
      </c>
      <c r="E115" s="10">
        <v>27.1</v>
      </c>
      <c r="F115" s="10">
        <v>31.6</v>
      </c>
      <c r="G115" s="10">
        <v>35.299999999999997</v>
      </c>
      <c r="H115" s="10" t="s">
        <v>3</v>
      </c>
    </row>
    <row r="116" spans="1:8" ht="15">
      <c r="A116" s="5" t="s">
        <v>15</v>
      </c>
      <c r="B116" s="10">
        <v>10.4</v>
      </c>
      <c r="C116" s="10">
        <v>22.4</v>
      </c>
      <c r="D116" s="10">
        <v>34.9</v>
      </c>
      <c r="E116" s="10">
        <v>40.9</v>
      </c>
      <c r="F116" s="10">
        <v>48</v>
      </c>
      <c r="G116" s="10">
        <v>53.5</v>
      </c>
      <c r="H116" s="10">
        <v>59</v>
      </c>
    </row>
    <row r="117" spans="1:8" ht="15">
      <c r="A117" s="5" t="s">
        <v>22</v>
      </c>
      <c r="B117" s="10">
        <v>10.4</v>
      </c>
      <c r="C117" s="10">
        <v>12.9</v>
      </c>
      <c r="D117" s="10" t="s">
        <v>3</v>
      </c>
      <c r="E117" s="10">
        <v>14.7</v>
      </c>
      <c r="F117" s="10">
        <v>28</v>
      </c>
      <c r="G117" s="10">
        <v>29.9</v>
      </c>
      <c r="H117" s="10" t="s">
        <v>3</v>
      </c>
    </row>
    <row r="118" spans="1:8" ht="15">
      <c r="A118" s="5" t="s">
        <v>37</v>
      </c>
      <c r="B118" s="10" t="s">
        <v>3</v>
      </c>
      <c r="C118" s="10">
        <v>30.2</v>
      </c>
      <c r="D118" s="10">
        <v>30.4</v>
      </c>
      <c r="E118" s="10">
        <v>32.200000000000003</v>
      </c>
      <c r="F118" s="10" t="s">
        <v>3</v>
      </c>
      <c r="G118" s="10" t="s">
        <v>3</v>
      </c>
      <c r="H118" s="10" t="s">
        <v>3</v>
      </c>
    </row>
    <row r="119" spans="1:8" ht="15">
      <c r="A119" s="5" t="s">
        <v>17</v>
      </c>
      <c r="B119" s="10" t="s">
        <v>3</v>
      </c>
      <c r="C119" s="10">
        <v>50.5</v>
      </c>
      <c r="D119" s="10">
        <v>50.3</v>
      </c>
      <c r="E119" s="10">
        <v>51.1</v>
      </c>
      <c r="F119" s="10">
        <v>50.3</v>
      </c>
      <c r="G119" s="10">
        <v>47.4</v>
      </c>
      <c r="H119" s="10">
        <v>54</v>
      </c>
    </row>
    <row r="120" spans="1:8" ht="15">
      <c r="A120" s="5" t="s">
        <v>9</v>
      </c>
      <c r="B120" s="10">
        <v>32.799999999999997</v>
      </c>
      <c r="C120" s="10">
        <v>36.799999999999997</v>
      </c>
      <c r="D120" s="10">
        <v>43.3</v>
      </c>
      <c r="E120" s="10">
        <v>55.8</v>
      </c>
      <c r="F120" s="10">
        <v>60.8</v>
      </c>
      <c r="G120" s="10">
        <v>63.6</v>
      </c>
      <c r="H120" s="10">
        <v>72.5</v>
      </c>
    </row>
    <row r="121" spans="1:8" ht="15">
      <c r="A121" s="5" t="s">
        <v>11</v>
      </c>
      <c r="B121" s="10">
        <v>14.8</v>
      </c>
      <c r="C121" s="10">
        <v>19.2</v>
      </c>
      <c r="D121" s="10">
        <v>23.8</v>
      </c>
      <c r="E121" s="10">
        <v>32.9</v>
      </c>
      <c r="F121" s="10">
        <v>36.4</v>
      </c>
      <c r="G121" s="10">
        <v>44.2</v>
      </c>
      <c r="H121" s="10">
        <v>52</v>
      </c>
    </row>
    <row r="122" spans="1:8" ht="15">
      <c r="A122" s="5" t="s">
        <v>26</v>
      </c>
      <c r="B122" s="10">
        <v>16.399999999999999</v>
      </c>
      <c r="C122" s="10">
        <v>23.4</v>
      </c>
      <c r="D122" s="10">
        <v>26.1</v>
      </c>
      <c r="E122" s="10">
        <v>24</v>
      </c>
      <c r="F122" s="10" t="s">
        <v>3</v>
      </c>
      <c r="G122" s="10" t="s">
        <v>3</v>
      </c>
      <c r="H122" s="10" t="s">
        <v>3</v>
      </c>
    </row>
    <row r="124" spans="1:8" ht="15">
      <c r="A124" s="5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/>
  </sheetViews>
  <sheetFormatPr defaultRowHeight="14.25"/>
  <cols>
    <col min="1" max="1" width="25" bestFit="1" customWidth="1"/>
    <col min="2" max="2" width="4.625" bestFit="1" customWidth="1"/>
    <col min="3" max="3" width="13.5" bestFit="1" customWidth="1"/>
    <col min="4" max="4" width="9.375" bestFit="1" customWidth="1"/>
    <col min="5" max="6" width="7.25" bestFit="1" customWidth="1"/>
    <col min="7" max="7" width="8.75" bestFit="1" customWidth="1"/>
    <col min="8" max="8" width="8.25" bestFit="1" customWidth="1"/>
    <col min="9" max="9" width="11.25" bestFit="1" customWidth="1"/>
    <col min="10" max="10" width="10.375" bestFit="1" customWidth="1"/>
    <col min="12" max="12" width="9" bestFit="1" customWidth="1"/>
    <col min="13" max="13" width="9.625" bestFit="1" customWidth="1"/>
  </cols>
  <sheetData>
    <row r="1" spans="1:13" ht="15">
      <c r="A1" s="11" t="s">
        <v>58</v>
      </c>
    </row>
    <row r="2" spans="1:13">
      <c r="A2" t="s">
        <v>57</v>
      </c>
    </row>
    <row r="4" spans="1:13" ht="15">
      <c r="D4" s="27" t="s">
        <v>55</v>
      </c>
      <c r="E4" s="27"/>
      <c r="F4" s="27"/>
      <c r="G4" s="27"/>
      <c r="H4" s="27"/>
      <c r="I4" s="27"/>
      <c r="J4" s="27"/>
      <c r="L4" s="27" t="s">
        <v>56</v>
      </c>
      <c r="M4" s="27"/>
    </row>
    <row r="5" spans="1:13" ht="15">
      <c r="A5" s="2" t="s">
        <v>38</v>
      </c>
      <c r="B5" s="2" t="s">
        <v>42</v>
      </c>
      <c r="C5" s="2" t="s">
        <v>52</v>
      </c>
      <c r="D5" s="8" t="s">
        <v>46</v>
      </c>
      <c r="E5" s="8" t="s">
        <v>43</v>
      </c>
      <c r="F5" s="8" t="s">
        <v>48</v>
      </c>
      <c r="G5" s="8" t="s">
        <v>44</v>
      </c>
      <c r="H5" s="8" t="s">
        <v>45</v>
      </c>
      <c r="I5" s="8" t="s">
        <v>49</v>
      </c>
      <c r="J5" s="8" t="s">
        <v>47</v>
      </c>
      <c r="L5" s="9" t="s">
        <v>53</v>
      </c>
      <c r="M5" s="9" t="s">
        <v>54</v>
      </c>
    </row>
    <row r="6" spans="1:13">
      <c r="A6" t="s">
        <v>6</v>
      </c>
      <c r="B6">
        <v>1947</v>
      </c>
      <c r="C6" s="7">
        <v>15893827</v>
      </c>
      <c r="D6" s="7">
        <v>7798839</v>
      </c>
      <c r="E6" s="7">
        <v>834198</v>
      </c>
      <c r="F6" s="7">
        <v>607123</v>
      </c>
      <c r="G6" s="7">
        <v>1635137</v>
      </c>
      <c r="H6" s="7"/>
      <c r="I6" s="7">
        <v>4722381</v>
      </c>
      <c r="J6" s="7">
        <f t="shared" ref="J6:J26" si="0">SUM(G6:I6)</f>
        <v>6357518</v>
      </c>
      <c r="L6" s="1">
        <f t="shared" ref="L6:L26" si="1">100*D6/C6</f>
        <v>49.068352134448176</v>
      </c>
      <c r="M6" s="1">
        <f t="shared" ref="M6:M26" si="2">100*J6/C6</f>
        <v>39.999919465588746</v>
      </c>
    </row>
    <row r="7" spans="1:13">
      <c r="A7" t="s">
        <v>6</v>
      </c>
      <c r="B7">
        <v>1914</v>
      </c>
      <c r="C7" s="7">
        <v>7885237</v>
      </c>
      <c r="D7" s="7">
        <v>3017299</v>
      </c>
      <c r="E7" s="7">
        <v>322081</v>
      </c>
      <c r="F7" s="7">
        <v>212132</v>
      </c>
      <c r="G7" s="7">
        <v>449955</v>
      </c>
      <c r="H7" s="7"/>
      <c r="I7" s="7">
        <v>2034031</v>
      </c>
      <c r="J7" s="7">
        <f t="shared" si="0"/>
        <v>2483986</v>
      </c>
      <c r="L7" s="1">
        <f t="shared" si="1"/>
        <v>38.26516565069636</v>
      </c>
      <c r="M7" s="1">
        <f t="shared" si="2"/>
        <v>31.501729117336613</v>
      </c>
    </row>
    <row r="8" spans="1:13">
      <c r="A8" t="s">
        <v>51</v>
      </c>
      <c r="B8">
        <v>1940</v>
      </c>
      <c r="C8" s="7">
        <v>41236215</v>
      </c>
      <c r="D8" s="7">
        <v>6177033</v>
      </c>
      <c r="E8" s="7">
        <v>960963</v>
      </c>
      <c r="F8" s="7">
        <v>802733</v>
      </c>
      <c r="G8" s="7">
        <v>1635845</v>
      </c>
      <c r="H8" s="7"/>
      <c r="I8" s="7">
        <v>2777492</v>
      </c>
      <c r="J8" s="7">
        <f t="shared" si="0"/>
        <v>4413337</v>
      </c>
      <c r="L8" s="1">
        <f t="shared" si="1"/>
        <v>14.979631374994044</v>
      </c>
      <c r="M8" s="1">
        <f t="shared" si="2"/>
        <v>10.702575393983178</v>
      </c>
    </row>
    <row r="9" spans="1:13">
      <c r="A9" t="s">
        <v>18</v>
      </c>
      <c r="B9">
        <v>1941</v>
      </c>
      <c r="C9" s="7">
        <v>3850711</v>
      </c>
      <c r="D9" s="7">
        <v>718956</v>
      </c>
      <c r="E9" s="7">
        <v>134245</v>
      </c>
      <c r="F9" s="7">
        <v>108972</v>
      </c>
      <c r="G9" s="7">
        <v>475739</v>
      </c>
      <c r="H9" s="7"/>
      <c r="I9" s="7"/>
      <c r="J9" s="7">
        <f t="shared" si="0"/>
        <v>475739</v>
      </c>
      <c r="L9" s="1">
        <f t="shared" si="1"/>
        <v>18.670733794356419</v>
      </c>
      <c r="M9" s="1">
        <f t="shared" si="2"/>
        <v>12.354575557604816</v>
      </c>
    </row>
    <row r="10" spans="1:13">
      <c r="A10" t="s">
        <v>18</v>
      </c>
      <c r="B10">
        <v>1936</v>
      </c>
      <c r="C10" s="7">
        <v>3364347</v>
      </c>
      <c r="D10" s="7">
        <v>569029</v>
      </c>
      <c r="E10" s="7">
        <v>200301</v>
      </c>
      <c r="F10" s="7"/>
      <c r="G10" s="7">
        <v>368728</v>
      </c>
      <c r="H10" s="7"/>
      <c r="I10" s="7"/>
      <c r="J10" s="7">
        <f t="shared" si="0"/>
        <v>368728</v>
      </c>
      <c r="L10" s="1">
        <f t="shared" si="1"/>
        <v>16.913505057593643</v>
      </c>
      <c r="M10" s="1">
        <f t="shared" si="2"/>
        <v>10.959868289448146</v>
      </c>
    </row>
    <row r="11" spans="1:13">
      <c r="A11" t="s">
        <v>23</v>
      </c>
      <c r="B11">
        <v>1940</v>
      </c>
      <c r="C11" s="7">
        <v>3283209</v>
      </c>
      <c r="D11" s="7">
        <v>189896</v>
      </c>
      <c r="E11" s="7"/>
      <c r="F11" s="7"/>
      <c r="G11" s="7">
        <v>185896</v>
      </c>
      <c r="H11" s="7"/>
      <c r="I11" s="7"/>
      <c r="J11" s="7">
        <f t="shared" si="0"/>
        <v>185896</v>
      </c>
      <c r="L11" s="1">
        <f t="shared" si="1"/>
        <v>5.7838535408498206</v>
      </c>
      <c r="M11" s="1">
        <f t="shared" si="2"/>
        <v>5.6620215161447227</v>
      </c>
    </row>
    <row r="12" spans="1:13">
      <c r="A12" t="s">
        <v>50</v>
      </c>
      <c r="B12">
        <v>1935</v>
      </c>
      <c r="C12" s="7">
        <v>1479417</v>
      </c>
      <c r="D12" s="7">
        <v>105266</v>
      </c>
      <c r="E12" s="7">
        <v>34175</v>
      </c>
      <c r="F12" s="7">
        <v>71091</v>
      </c>
      <c r="G12" s="7"/>
      <c r="H12" s="7"/>
      <c r="I12" s="7"/>
      <c r="J12" s="7">
        <f t="shared" si="0"/>
        <v>0</v>
      </c>
      <c r="L12" s="1">
        <f t="shared" si="1"/>
        <v>7.1153704466016006</v>
      </c>
      <c r="M12" s="1">
        <f t="shared" si="2"/>
        <v>0</v>
      </c>
    </row>
    <row r="13" spans="1:13">
      <c r="A13" t="s">
        <v>10</v>
      </c>
      <c r="B13">
        <v>1938</v>
      </c>
      <c r="C13" s="7">
        <v>8701816</v>
      </c>
      <c r="D13" s="7">
        <v>1148602</v>
      </c>
      <c r="E13" s="7">
        <v>286172</v>
      </c>
      <c r="F13" s="7">
        <v>212581</v>
      </c>
      <c r="G13" s="7">
        <v>649849</v>
      </c>
      <c r="H13" s="7"/>
      <c r="I13" s="7"/>
      <c r="J13" s="7">
        <f t="shared" si="0"/>
        <v>649849</v>
      </c>
      <c r="L13" s="1">
        <f t="shared" si="1"/>
        <v>13.199566619197649</v>
      </c>
      <c r="M13" s="1">
        <f t="shared" si="2"/>
        <v>7.4679699042130974</v>
      </c>
    </row>
    <row r="14" spans="1:13">
      <c r="A14" t="s">
        <v>20</v>
      </c>
      <c r="B14">
        <v>1927</v>
      </c>
      <c r="C14" s="7">
        <v>471524</v>
      </c>
      <c r="D14" s="7">
        <v>89006</v>
      </c>
      <c r="E14" s="7"/>
      <c r="F14" s="7">
        <v>89006</v>
      </c>
      <c r="G14" s="7"/>
      <c r="H14" s="7"/>
      <c r="I14" s="7"/>
      <c r="J14" s="7">
        <f t="shared" si="0"/>
        <v>0</v>
      </c>
      <c r="L14" s="1">
        <f t="shared" si="1"/>
        <v>18.87623959756025</v>
      </c>
      <c r="M14" s="1">
        <f t="shared" si="2"/>
        <v>0</v>
      </c>
    </row>
    <row r="15" spans="1:13">
      <c r="A15" t="s">
        <v>21</v>
      </c>
      <c r="B15">
        <v>1943</v>
      </c>
      <c r="C15" s="7">
        <v>4778582</v>
      </c>
      <c r="D15" s="7">
        <v>1594222</v>
      </c>
      <c r="E15" s="7">
        <v>298042</v>
      </c>
      <c r="F15" s="7">
        <v>242244</v>
      </c>
      <c r="G15" s="7">
        <v>118266</v>
      </c>
      <c r="H15" s="7">
        <v>935670</v>
      </c>
      <c r="I15" s="7"/>
      <c r="J15" s="7">
        <f t="shared" si="0"/>
        <v>1053936</v>
      </c>
      <c r="L15" s="1">
        <f t="shared" si="1"/>
        <v>33.361821561291613</v>
      </c>
      <c r="M15" s="1">
        <f t="shared" si="2"/>
        <v>22.055413091163864</v>
      </c>
    </row>
    <row r="16" spans="1:13">
      <c r="A16" t="s">
        <v>21</v>
      </c>
      <c r="B16">
        <v>1931</v>
      </c>
      <c r="C16" s="7">
        <v>3962344</v>
      </c>
      <c r="D16" s="7">
        <v>1183330</v>
      </c>
      <c r="E16" s="7">
        <v>248752</v>
      </c>
      <c r="F16" s="7">
        <v>112331</v>
      </c>
      <c r="G16" s="7">
        <v>101508</v>
      </c>
      <c r="H16" s="7">
        <v>720739</v>
      </c>
      <c r="I16" s="7"/>
      <c r="J16" s="7">
        <f t="shared" si="0"/>
        <v>822247</v>
      </c>
      <c r="L16" s="1">
        <f t="shared" si="1"/>
        <v>29.864393399462539</v>
      </c>
      <c r="M16" s="1">
        <f t="shared" si="2"/>
        <v>20.751529902502156</v>
      </c>
    </row>
    <row r="17" spans="1:13">
      <c r="A17" t="s">
        <v>21</v>
      </c>
      <c r="B17">
        <v>1919</v>
      </c>
      <c r="C17" s="7">
        <v>2889004</v>
      </c>
      <c r="D17" s="7">
        <v>744069</v>
      </c>
      <c r="E17" s="7">
        <v>215798</v>
      </c>
      <c r="F17" s="7">
        <v>62083</v>
      </c>
      <c r="G17" s="7">
        <v>466188</v>
      </c>
      <c r="H17" s="7"/>
      <c r="I17" s="7"/>
      <c r="J17" s="7">
        <f t="shared" si="0"/>
        <v>466188</v>
      </c>
      <c r="L17" s="1">
        <f t="shared" si="1"/>
        <v>25.755208369389589</v>
      </c>
      <c r="M17" s="1">
        <f t="shared" si="2"/>
        <v>16.136633940278379</v>
      </c>
    </row>
    <row r="18" spans="1:13">
      <c r="A18" t="s">
        <v>28</v>
      </c>
      <c r="B18">
        <v>1940</v>
      </c>
      <c r="C18" s="7">
        <v>829831</v>
      </c>
      <c r="D18" s="7">
        <v>62516</v>
      </c>
      <c r="E18" s="7"/>
      <c r="F18" s="7">
        <v>62516</v>
      </c>
      <c r="G18" s="7"/>
      <c r="H18" s="7"/>
      <c r="I18" s="7"/>
      <c r="J18" s="7">
        <f t="shared" si="0"/>
        <v>0</v>
      </c>
      <c r="L18" s="1">
        <f t="shared" si="1"/>
        <v>7.5335821390138475</v>
      </c>
      <c r="M18" s="1">
        <f t="shared" si="2"/>
        <v>0</v>
      </c>
    </row>
    <row r="19" spans="1:13">
      <c r="A19" t="s">
        <v>28</v>
      </c>
      <c r="B19">
        <v>1920</v>
      </c>
      <c r="C19" s="7">
        <v>633622</v>
      </c>
      <c r="D19" s="7">
        <v>27839</v>
      </c>
      <c r="E19" s="7">
        <v>27839</v>
      </c>
      <c r="F19" s="7"/>
      <c r="G19" s="7"/>
      <c r="H19" s="7"/>
      <c r="I19" s="7"/>
      <c r="J19" s="7">
        <f t="shared" si="0"/>
        <v>0</v>
      </c>
      <c r="L19" s="1">
        <f t="shared" si="1"/>
        <v>4.3936290090937495</v>
      </c>
      <c r="M19" s="1">
        <f t="shared" si="2"/>
        <v>0</v>
      </c>
    </row>
    <row r="20" spans="1:13">
      <c r="A20" t="s">
        <v>29</v>
      </c>
      <c r="B20">
        <v>1940</v>
      </c>
      <c r="C20" s="7">
        <v>622576</v>
      </c>
      <c r="D20" s="7">
        <v>156286</v>
      </c>
      <c r="E20" s="7">
        <v>44393</v>
      </c>
      <c r="F20" s="7"/>
      <c r="G20" s="7">
        <v>111893</v>
      </c>
      <c r="H20" s="7"/>
      <c r="I20" s="7"/>
      <c r="J20" s="7">
        <f t="shared" si="0"/>
        <v>111893</v>
      </c>
      <c r="L20" s="1">
        <f t="shared" si="1"/>
        <v>25.103119940376757</v>
      </c>
      <c r="M20" s="1">
        <f t="shared" si="2"/>
        <v>17.97258487317211</v>
      </c>
    </row>
    <row r="21" spans="1:13">
      <c r="A21" t="s">
        <v>29</v>
      </c>
      <c r="B21">
        <v>1930</v>
      </c>
      <c r="C21" s="7">
        <v>467459</v>
      </c>
      <c r="D21" s="7">
        <v>104174</v>
      </c>
      <c r="E21" s="7">
        <v>29765</v>
      </c>
      <c r="F21" s="7">
        <v>74409</v>
      </c>
      <c r="G21" s="7"/>
      <c r="H21" s="7"/>
      <c r="I21" s="7"/>
      <c r="J21" s="7">
        <f t="shared" si="0"/>
        <v>0</v>
      </c>
      <c r="L21" s="1">
        <f t="shared" si="1"/>
        <v>22.285162976860004</v>
      </c>
      <c r="M21" s="1">
        <f t="shared" si="2"/>
        <v>0</v>
      </c>
    </row>
    <row r="22" spans="1:13">
      <c r="A22" t="s">
        <v>15</v>
      </c>
      <c r="B22">
        <v>1940</v>
      </c>
      <c r="C22" s="7">
        <v>6207967</v>
      </c>
      <c r="D22" s="7">
        <v>876571</v>
      </c>
      <c r="E22" s="7">
        <v>209766</v>
      </c>
      <c r="F22" s="7">
        <v>146277</v>
      </c>
      <c r="G22" s="7">
        <v>520528</v>
      </c>
      <c r="H22" s="7"/>
      <c r="I22" s="7"/>
      <c r="J22" s="7">
        <f t="shared" si="0"/>
        <v>520528</v>
      </c>
      <c r="L22" s="1">
        <f t="shared" si="1"/>
        <v>14.12009761005495</v>
      </c>
      <c r="M22" s="1">
        <f t="shared" si="2"/>
        <v>8.3848383858999256</v>
      </c>
    </row>
    <row r="23" spans="1:13">
      <c r="A23" t="s">
        <v>22</v>
      </c>
      <c r="B23">
        <v>1930</v>
      </c>
      <c r="C23" s="7">
        <v>1434361</v>
      </c>
      <c r="D23" s="7">
        <v>129210</v>
      </c>
      <c r="E23" s="7">
        <v>39825</v>
      </c>
      <c r="F23" s="7">
        <v>89385</v>
      </c>
      <c r="G23" s="7"/>
      <c r="H23" s="7"/>
      <c r="I23" s="7"/>
      <c r="J23" s="7">
        <f t="shared" si="0"/>
        <v>0</v>
      </c>
      <c r="L23" s="1">
        <f t="shared" si="1"/>
        <v>9.008192498262293</v>
      </c>
      <c r="M23" s="1">
        <f t="shared" si="2"/>
        <v>0</v>
      </c>
    </row>
    <row r="24" spans="1:13">
      <c r="A24" t="s">
        <v>9</v>
      </c>
      <c r="B24">
        <v>1940</v>
      </c>
      <c r="C24" s="7">
        <v>5023539</v>
      </c>
      <c r="D24" s="7">
        <v>1829505</v>
      </c>
      <c r="E24" s="7">
        <v>465292</v>
      </c>
      <c r="F24" s="7">
        <v>202193</v>
      </c>
      <c r="G24" s="7">
        <v>209945</v>
      </c>
      <c r="H24" s="7">
        <v>952075</v>
      </c>
      <c r="I24" s="7"/>
      <c r="J24" s="7">
        <f t="shared" si="0"/>
        <v>1162020</v>
      </c>
      <c r="L24" s="1">
        <f t="shared" si="1"/>
        <v>36.418648287591672</v>
      </c>
      <c r="M24" s="1">
        <f t="shared" si="2"/>
        <v>23.131501517157528</v>
      </c>
    </row>
    <row r="25" spans="1:13">
      <c r="A25" t="s">
        <v>9</v>
      </c>
      <c r="B25">
        <v>1930</v>
      </c>
      <c r="C25" s="7">
        <v>4287445</v>
      </c>
      <c r="D25" s="7">
        <v>1408407</v>
      </c>
      <c r="E25" s="7">
        <v>371489</v>
      </c>
      <c r="F25" s="7">
        <v>131180</v>
      </c>
      <c r="G25" s="7">
        <v>193205</v>
      </c>
      <c r="H25" s="7">
        <v>712533</v>
      </c>
      <c r="I25" s="7"/>
      <c r="J25" s="7">
        <f t="shared" si="0"/>
        <v>905738</v>
      </c>
      <c r="L25" s="1">
        <f t="shared" si="1"/>
        <v>32.849564250969983</v>
      </c>
      <c r="M25" s="1">
        <f t="shared" si="2"/>
        <v>21.125355543919515</v>
      </c>
    </row>
    <row r="26" spans="1:13">
      <c r="A26" t="s">
        <v>9</v>
      </c>
      <c r="B26">
        <v>1920</v>
      </c>
      <c r="C26" s="7">
        <v>3730235</v>
      </c>
      <c r="D26" s="7">
        <v>1043066</v>
      </c>
      <c r="E26" s="7">
        <v>237743</v>
      </c>
      <c r="F26" s="7">
        <v>115605</v>
      </c>
      <c r="G26" s="7">
        <v>182422</v>
      </c>
      <c r="H26" s="7">
        <v>507296</v>
      </c>
      <c r="I26" s="7"/>
      <c r="J26" s="7">
        <f t="shared" si="0"/>
        <v>689718</v>
      </c>
      <c r="L26" s="1">
        <f t="shared" si="1"/>
        <v>27.96247421409107</v>
      </c>
      <c r="M26" s="1">
        <f t="shared" si="2"/>
        <v>18.489934280279929</v>
      </c>
    </row>
    <row r="27" spans="1:13">
      <c r="C27" s="7"/>
      <c r="D27" s="7"/>
      <c r="E27" s="7"/>
      <c r="F27" s="7"/>
      <c r="G27" s="7"/>
      <c r="H27" s="7"/>
      <c r="I27" s="7"/>
      <c r="J27" s="7"/>
    </row>
    <row r="28" spans="1:13">
      <c r="C28" s="7"/>
      <c r="D28" s="7"/>
      <c r="E28" s="7"/>
      <c r="F28" s="7"/>
      <c r="G28" s="7"/>
      <c r="H28" s="7"/>
      <c r="I28" s="7"/>
      <c r="J28" s="7"/>
    </row>
    <row r="29" spans="1:13">
      <c r="C29" s="7"/>
      <c r="D29" s="7"/>
      <c r="E29" s="7"/>
      <c r="F29" s="7"/>
      <c r="G29" s="7"/>
      <c r="H29" s="7"/>
      <c r="I29" s="7"/>
      <c r="J29" s="7"/>
    </row>
    <row r="30" spans="1:13">
      <c r="C30" s="7"/>
      <c r="D30" s="7"/>
      <c r="E30" s="7"/>
      <c r="F30" s="7"/>
      <c r="G30" s="7"/>
      <c r="H30" s="7"/>
      <c r="I30" s="7"/>
      <c r="J30" s="7"/>
    </row>
    <row r="31" spans="1:13">
      <c r="C31" s="7"/>
      <c r="D31" s="7"/>
      <c r="E31" s="7"/>
      <c r="F31" s="7"/>
      <c r="G31" s="7"/>
      <c r="H31" s="7"/>
      <c r="I31" s="7"/>
      <c r="J31" s="7"/>
    </row>
    <row r="32" spans="1:13">
      <c r="C32" s="7"/>
      <c r="D32" s="7"/>
      <c r="E32" s="7"/>
      <c r="F32" s="7"/>
      <c r="G32" s="7"/>
      <c r="H32" s="7"/>
      <c r="I32" s="7"/>
      <c r="J32" s="7"/>
    </row>
    <row r="33" spans="3:10">
      <c r="C33" s="7"/>
      <c r="D33" s="7"/>
      <c r="E33" s="7"/>
      <c r="F33" s="7"/>
      <c r="G33" s="7"/>
      <c r="H33" s="7"/>
      <c r="I33" s="7"/>
      <c r="J33" s="7"/>
    </row>
    <row r="34" spans="3:10">
      <c r="C34" s="7"/>
      <c r="D34" s="7"/>
      <c r="E34" s="7"/>
      <c r="F34" s="7"/>
      <c r="G34" s="7"/>
      <c r="H34" s="7"/>
      <c r="I34" s="7"/>
      <c r="J34" s="7"/>
    </row>
    <row r="35" spans="3:10">
      <c r="C35" s="7"/>
      <c r="D35" s="7"/>
      <c r="E35" s="7"/>
      <c r="F35" s="7"/>
      <c r="G35" s="7"/>
      <c r="H35" s="7"/>
      <c r="I35" s="7"/>
      <c r="J35" s="7"/>
    </row>
    <row r="36" spans="3:10">
      <c r="C36" s="7"/>
      <c r="D36" s="7"/>
      <c r="E36" s="7"/>
      <c r="F36" s="7"/>
      <c r="G36" s="7"/>
      <c r="H36" s="7"/>
      <c r="I36" s="7"/>
      <c r="J36" s="7"/>
    </row>
    <row r="37" spans="3:10">
      <c r="C37" s="7"/>
      <c r="D37" s="7"/>
      <c r="E37" s="7"/>
      <c r="F37" s="7"/>
      <c r="G37" s="7"/>
      <c r="H37" s="7"/>
      <c r="I37" s="7"/>
      <c r="J37" s="7"/>
    </row>
    <row r="38" spans="3:10">
      <c r="C38" s="7"/>
      <c r="D38" s="7"/>
      <c r="E38" s="7"/>
      <c r="F38" s="7"/>
      <c r="G38" s="7"/>
      <c r="H38" s="7"/>
      <c r="I38" s="7"/>
      <c r="J38" s="7"/>
    </row>
    <row r="39" spans="3:10">
      <c r="C39" s="7"/>
      <c r="D39" s="7"/>
      <c r="E39" s="7"/>
      <c r="F39" s="7"/>
      <c r="G39" s="7"/>
      <c r="H39" s="7"/>
      <c r="I39" s="7"/>
      <c r="J39" s="7"/>
    </row>
    <row r="40" spans="3:10">
      <c r="C40" s="7"/>
      <c r="D40" s="7"/>
      <c r="E40" s="7"/>
      <c r="F40" s="7"/>
      <c r="G40" s="7"/>
      <c r="H40" s="7"/>
      <c r="I40" s="7"/>
      <c r="J40" s="7"/>
    </row>
    <row r="41" spans="3:10">
      <c r="C41" s="7"/>
      <c r="D41" s="7"/>
      <c r="E41" s="7"/>
      <c r="F41" s="7"/>
      <c r="G41" s="7"/>
      <c r="H41" s="7"/>
      <c r="I41" s="7"/>
      <c r="J41" s="7"/>
    </row>
    <row r="42" spans="3:10">
      <c r="C42" s="7"/>
      <c r="D42" s="7"/>
      <c r="E42" s="7"/>
      <c r="F42" s="7"/>
      <c r="G42" s="7"/>
      <c r="H42" s="7"/>
      <c r="I42" s="7"/>
      <c r="J42" s="7"/>
    </row>
    <row r="43" spans="3:10">
      <c r="C43" s="7"/>
      <c r="D43" s="7"/>
      <c r="E43" s="7"/>
      <c r="F43" s="7"/>
      <c r="G43" s="7"/>
      <c r="H43" s="7"/>
      <c r="I43" s="7"/>
      <c r="J43" s="7"/>
    </row>
    <row r="44" spans="3:10">
      <c r="C44" s="7"/>
      <c r="D44" s="7"/>
      <c r="E44" s="7"/>
      <c r="F44" s="7"/>
      <c r="G44" s="7"/>
      <c r="H44" s="7"/>
      <c r="I44" s="7"/>
      <c r="J44" s="7"/>
    </row>
    <row r="45" spans="3:10">
      <c r="C45" s="7"/>
      <c r="D45" s="7"/>
      <c r="E45" s="7"/>
      <c r="F45" s="7"/>
      <c r="G45" s="7"/>
      <c r="H45" s="7"/>
      <c r="I45" s="7"/>
    </row>
    <row r="46" spans="3:10">
      <c r="C46" s="7"/>
      <c r="D46" s="7"/>
      <c r="E46" s="7"/>
      <c r="F46" s="7"/>
      <c r="G46" s="7"/>
      <c r="H46" s="7"/>
      <c r="I46" s="7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7"/>
  <sheetViews>
    <sheetView workbookViewId="0">
      <selection activeCell="A5" sqref="A5:E7"/>
    </sheetView>
  </sheetViews>
  <sheetFormatPr defaultRowHeight="14.25"/>
  <cols>
    <col min="3" max="3" width="13.875" customWidth="1"/>
    <col min="5" max="5" width="24.625" customWidth="1"/>
  </cols>
  <sheetData>
    <row r="1" spans="1:7">
      <c r="A1" t="s">
        <v>60</v>
      </c>
    </row>
    <row r="2" spans="1:7">
      <c r="A2" t="s">
        <v>59</v>
      </c>
    </row>
    <row r="3" spans="1:7">
      <c r="A3" t="s">
        <v>63</v>
      </c>
    </row>
    <row r="5" spans="1:7" ht="15">
      <c r="A5" s="8" t="s">
        <v>38</v>
      </c>
      <c r="B5" s="8" t="s">
        <v>42</v>
      </c>
      <c r="C5" s="8" t="s">
        <v>61</v>
      </c>
      <c r="D5" s="8" t="s">
        <v>54</v>
      </c>
      <c r="E5" s="8" t="s">
        <v>62</v>
      </c>
      <c r="F5" s="8"/>
      <c r="G5" s="8"/>
    </row>
    <row r="6" spans="1:7">
      <c r="A6" t="s">
        <v>15</v>
      </c>
      <c r="B6">
        <v>1940</v>
      </c>
      <c r="C6">
        <v>13.9</v>
      </c>
      <c r="D6">
        <v>8.4</v>
      </c>
      <c r="E6">
        <v>36.1</v>
      </c>
    </row>
    <row r="7" spans="1:7">
      <c r="A7" t="s">
        <v>64</v>
      </c>
      <c r="B7">
        <v>1950</v>
      </c>
      <c r="C7">
        <v>31</v>
      </c>
      <c r="D7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workbookViewId="0">
      <selection activeCell="A8" sqref="A8:J51"/>
    </sheetView>
  </sheetViews>
  <sheetFormatPr defaultRowHeight="14.25"/>
  <cols>
    <col min="1" max="1" width="26" customWidth="1"/>
    <col min="2" max="2" width="5.625" bestFit="1" customWidth="1"/>
    <col min="3" max="4" width="13" bestFit="1" customWidth="1"/>
    <col min="5" max="5" width="12.875" bestFit="1" customWidth="1"/>
    <col min="6" max="6" width="9.5" bestFit="1" customWidth="1"/>
    <col min="7" max="7" width="12.375" bestFit="1" customWidth="1"/>
    <col min="9" max="9" width="9.25" customWidth="1"/>
  </cols>
  <sheetData>
    <row r="1" spans="1:10">
      <c r="A1" t="s">
        <v>60</v>
      </c>
    </row>
    <row r="2" spans="1:10">
      <c r="A2" t="s">
        <v>59</v>
      </c>
    </row>
    <row r="3" spans="1:10">
      <c r="A3" t="s">
        <v>65</v>
      </c>
    </row>
    <row r="6" spans="1:10" ht="15">
      <c r="A6" s="2" t="s">
        <v>66</v>
      </c>
    </row>
    <row r="8" spans="1:10" ht="15">
      <c r="A8" s="9" t="s">
        <v>38</v>
      </c>
      <c r="B8" s="9" t="s">
        <v>42</v>
      </c>
      <c r="C8" s="9" t="s">
        <v>52</v>
      </c>
      <c r="D8" s="9" t="s">
        <v>68</v>
      </c>
      <c r="E8" s="9" t="s">
        <v>70</v>
      </c>
      <c r="F8" s="9" t="s">
        <v>69</v>
      </c>
      <c r="G8" s="9" t="s">
        <v>71</v>
      </c>
      <c r="H8" s="9"/>
      <c r="I8" s="9" t="s">
        <v>61</v>
      </c>
      <c r="J8" s="9" t="s">
        <v>54</v>
      </c>
    </row>
    <row r="10" spans="1:10">
      <c r="A10" t="s">
        <v>67</v>
      </c>
      <c r="B10">
        <v>1869</v>
      </c>
      <c r="C10" s="7">
        <v>1737076</v>
      </c>
      <c r="D10" s="7">
        <v>1305841</v>
      </c>
      <c r="E10" s="7">
        <v>431235</v>
      </c>
      <c r="F10" s="7">
        <v>146142</v>
      </c>
      <c r="G10" s="7">
        <v>285093</v>
      </c>
      <c r="I10" s="1">
        <f>100*E10/C10</f>
        <v>24.82533867257391</v>
      </c>
      <c r="J10" s="1">
        <f>100*G10/C10</f>
        <v>16.412235273528619</v>
      </c>
    </row>
    <row r="11" spans="1:10">
      <c r="A11" t="s">
        <v>67</v>
      </c>
      <c r="B11">
        <v>1895</v>
      </c>
      <c r="C11" s="7">
        <v>3954911</v>
      </c>
      <c r="D11" s="7">
        <v>2695915</v>
      </c>
      <c r="E11" s="7">
        <v>1258996</v>
      </c>
      <c r="F11" s="7">
        <v>286444</v>
      </c>
      <c r="G11" s="7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>
      <c r="A12" t="s">
        <v>67</v>
      </c>
      <c r="B12">
        <v>1914</v>
      </c>
      <c r="C12" s="7">
        <v>7885237</v>
      </c>
      <c r="D12" s="7">
        <v>4694581</v>
      </c>
      <c r="E12" s="7">
        <v>3190656</v>
      </c>
      <c r="F12" s="7">
        <v>618564</v>
      </c>
      <c r="G12" s="7">
        <v>2572092</v>
      </c>
      <c r="I12" s="1">
        <f t="shared" si="0"/>
        <v>40.463666469378154</v>
      </c>
      <c r="J12" s="1">
        <f t="shared" si="1"/>
        <v>32.61908297746789</v>
      </c>
    </row>
    <row r="13" spans="1:10">
      <c r="A13" t="s">
        <v>67</v>
      </c>
      <c r="B13">
        <v>1947</v>
      </c>
      <c r="C13" s="7">
        <v>15893827</v>
      </c>
      <c r="D13" s="7">
        <v>8211936</v>
      </c>
      <c r="E13" s="7">
        <v>7681891</v>
      </c>
      <c r="F13" s="7">
        <v>1492114</v>
      </c>
      <c r="G13" s="7">
        <v>6189777</v>
      </c>
      <c r="I13" s="1">
        <f t="shared" si="0"/>
        <v>48.332544452635602</v>
      </c>
      <c r="J13" s="1">
        <f t="shared" si="1"/>
        <v>38.944534881372498</v>
      </c>
    </row>
    <row r="14" spans="1:10">
      <c r="A14" t="s">
        <v>7</v>
      </c>
      <c r="B14">
        <v>1900</v>
      </c>
      <c r="C14" s="7">
        <v>1696400</v>
      </c>
      <c r="D14" s="7">
        <v>1550556</v>
      </c>
      <c r="E14" s="7">
        <v>145844</v>
      </c>
      <c r="F14" s="7">
        <v>93147</v>
      </c>
      <c r="G14" s="7">
        <v>52697</v>
      </c>
      <c r="I14" s="1">
        <f t="shared" si="0"/>
        <v>8.5972647960386706</v>
      </c>
      <c r="J14" s="1">
        <f t="shared" si="1"/>
        <v>3.1064017920301814</v>
      </c>
    </row>
    <row r="15" spans="1:10">
      <c r="A15" t="s">
        <v>7</v>
      </c>
      <c r="B15">
        <v>1950</v>
      </c>
      <c r="C15" s="7">
        <v>3019031</v>
      </c>
      <c r="D15" s="7">
        <v>2425556</v>
      </c>
      <c r="E15" s="7">
        <v>593475</v>
      </c>
      <c r="F15" s="7">
        <v>272402</v>
      </c>
      <c r="G15" s="7">
        <v>321073</v>
      </c>
      <c r="I15" s="1">
        <f t="shared" si="0"/>
        <v>19.657797485352088</v>
      </c>
      <c r="J15" s="1">
        <f t="shared" si="1"/>
        <v>10.634968637287924</v>
      </c>
    </row>
    <row r="16" spans="1:10">
      <c r="A16" t="s">
        <v>8</v>
      </c>
      <c r="B16">
        <v>1940</v>
      </c>
      <c r="C16" s="7">
        <v>41236315</v>
      </c>
      <c r="D16" s="7">
        <v>34349908</v>
      </c>
      <c r="E16" s="7">
        <v>6886407</v>
      </c>
      <c r="F16" s="7">
        <v>2373630</v>
      </c>
      <c r="G16" s="7">
        <v>4512777</v>
      </c>
      <c r="I16" s="1">
        <f t="shared" si="0"/>
        <v>16.699860305170333</v>
      </c>
      <c r="J16" s="1">
        <f t="shared" si="1"/>
        <v>10.943696108636283</v>
      </c>
    </row>
    <row r="17" spans="1:10">
      <c r="A17" t="s">
        <v>8</v>
      </c>
      <c r="B17">
        <v>1950</v>
      </c>
      <c r="C17" s="7">
        <v>51944397</v>
      </c>
      <c r="D17" s="7">
        <v>41528119</v>
      </c>
      <c r="E17" s="7">
        <v>10416278</v>
      </c>
      <c r="F17" s="7">
        <v>3542043</v>
      </c>
      <c r="G17" s="7">
        <v>6873235</v>
      </c>
      <c r="I17" s="1">
        <f t="shared" si="0"/>
        <v>20.052746016091014</v>
      </c>
      <c r="J17" s="1">
        <f t="shared" si="1"/>
        <v>13.231908342299171</v>
      </c>
    </row>
    <row r="18" spans="1:10">
      <c r="A18" t="s">
        <v>9</v>
      </c>
      <c r="B18">
        <v>1865</v>
      </c>
      <c r="C18" s="7">
        <v>1819223</v>
      </c>
      <c r="D18" s="7">
        <v>1528621</v>
      </c>
      <c r="E18" s="7">
        <v>290602</v>
      </c>
      <c r="F18" s="7">
        <v>90829</v>
      </c>
      <c r="G18" s="7">
        <v>199773</v>
      </c>
      <c r="I18" s="1">
        <f t="shared" si="0"/>
        <v>15.973962510368438</v>
      </c>
      <c r="J18" s="1">
        <f t="shared" si="1"/>
        <v>10.981226600587174</v>
      </c>
    </row>
    <row r="19" spans="1:10">
      <c r="A19" t="s">
        <v>9</v>
      </c>
      <c r="B19">
        <v>1875</v>
      </c>
      <c r="C19" s="7">
        <v>2075971</v>
      </c>
      <c r="D19" s="7">
        <v>1717285</v>
      </c>
      <c r="E19" s="7">
        <v>358686</v>
      </c>
      <c r="F19" s="7">
        <v>112865</v>
      </c>
      <c r="G19" s="7">
        <v>245821</v>
      </c>
      <c r="I19" s="1">
        <f t="shared" si="0"/>
        <v>17.277987023903513</v>
      </c>
      <c r="J19" s="1">
        <f t="shared" si="1"/>
        <v>11.841254044492914</v>
      </c>
    </row>
    <row r="20" spans="1:10">
      <c r="A20" t="s">
        <v>9</v>
      </c>
      <c r="B20">
        <v>1885</v>
      </c>
      <c r="C20" s="7">
        <v>2497797</v>
      </c>
      <c r="D20" s="7">
        <v>2017911</v>
      </c>
      <c r="E20" s="7">
        <v>479886</v>
      </c>
      <c r="F20" s="7">
        <v>161422</v>
      </c>
      <c r="G20" s="7">
        <v>318464</v>
      </c>
      <c r="I20" s="1">
        <f t="shared" si="0"/>
        <v>19.212369940391472</v>
      </c>
      <c r="J20" s="1">
        <f t="shared" si="1"/>
        <v>12.749795119459268</v>
      </c>
    </row>
    <row r="21" spans="1:10">
      <c r="A21" t="s">
        <v>9</v>
      </c>
      <c r="B21">
        <v>1895</v>
      </c>
      <c r="C21" s="7">
        <v>2687984</v>
      </c>
      <c r="D21" s="7">
        <v>2039589</v>
      </c>
      <c r="E21" s="7">
        <v>648395</v>
      </c>
      <c r="F21" s="7">
        <v>229708</v>
      </c>
      <c r="G21" s="7">
        <v>418687</v>
      </c>
      <c r="I21" s="1">
        <f t="shared" si="0"/>
        <v>24.121981380841554</v>
      </c>
      <c r="J21" s="1">
        <f t="shared" si="1"/>
        <v>15.576245989559462</v>
      </c>
    </row>
    <row r="22" spans="1:10">
      <c r="A22" t="s">
        <v>9</v>
      </c>
      <c r="B22">
        <v>1907</v>
      </c>
      <c r="C22" s="7">
        <v>3220531</v>
      </c>
      <c r="D22" s="7">
        <v>2328479</v>
      </c>
      <c r="E22" s="7">
        <v>892052</v>
      </c>
      <c r="F22" s="7">
        <v>341551</v>
      </c>
      <c r="G22" s="7">
        <v>550501</v>
      </c>
      <c r="I22" s="1">
        <f t="shared" si="0"/>
        <v>27.698910521277391</v>
      </c>
      <c r="J22" s="1">
        <f t="shared" si="1"/>
        <v>17.093485515276829</v>
      </c>
    </row>
    <row r="23" spans="1:10">
      <c r="A23" t="s">
        <v>9</v>
      </c>
      <c r="B23">
        <v>1920</v>
      </c>
      <c r="C23" s="7">
        <v>3714887</v>
      </c>
      <c r="D23" s="7">
        <v>2521515</v>
      </c>
      <c r="E23" s="7">
        <v>1193372</v>
      </c>
      <c r="F23" s="7">
        <v>439580</v>
      </c>
      <c r="G23" s="7">
        <v>753792</v>
      </c>
      <c r="I23" s="1">
        <f t="shared" si="0"/>
        <v>32.124045765052884</v>
      </c>
      <c r="J23" s="1">
        <f t="shared" si="1"/>
        <v>20.291115180623258</v>
      </c>
    </row>
    <row r="24" spans="1:10">
      <c r="A24" t="s">
        <v>9</v>
      </c>
      <c r="B24">
        <v>1930</v>
      </c>
      <c r="C24" s="7">
        <v>4287445</v>
      </c>
      <c r="D24" s="7">
        <v>2746490</v>
      </c>
      <c r="E24" s="7">
        <v>1540955</v>
      </c>
      <c r="F24" s="7">
        <v>557628</v>
      </c>
      <c r="G24" s="7">
        <v>983327</v>
      </c>
      <c r="I24" s="1">
        <f t="shared" si="0"/>
        <v>35.941102451460019</v>
      </c>
      <c r="J24" s="1">
        <f t="shared" si="1"/>
        <v>22.93503473513946</v>
      </c>
    </row>
    <row r="25" spans="1:10">
      <c r="A25" t="s">
        <v>9</v>
      </c>
      <c r="B25">
        <v>1940</v>
      </c>
      <c r="C25" s="7">
        <v>5023539</v>
      </c>
      <c r="D25" s="7">
        <v>3128592</v>
      </c>
      <c r="E25" s="7">
        <v>1894947</v>
      </c>
      <c r="F25" s="7">
        <v>647114</v>
      </c>
      <c r="G25" s="7">
        <v>1247833</v>
      </c>
      <c r="I25" s="1">
        <f t="shared" si="0"/>
        <v>37.721355403033598</v>
      </c>
      <c r="J25" s="1">
        <f t="shared" si="1"/>
        <v>24.839719568216751</v>
      </c>
    </row>
    <row r="26" spans="1:10">
      <c r="A26" t="s">
        <v>9</v>
      </c>
      <c r="B26">
        <v>1952</v>
      </c>
      <c r="C26" s="7">
        <v>5932995</v>
      </c>
      <c r="D26" s="7">
        <v>3389177</v>
      </c>
      <c r="E26" s="7">
        <v>2543818</v>
      </c>
      <c r="F26" s="7">
        <v>851490</v>
      </c>
      <c r="G26" s="7">
        <v>1692328</v>
      </c>
      <c r="I26" s="1">
        <f t="shared" si="0"/>
        <v>42.875781961724222</v>
      </c>
      <c r="J26" s="1">
        <f t="shared" si="1"/>
        <v>28.524008531947185</v>
      </c>
    </row>
    <row r="27" spans="1:10">
      <c r="A27" t="s">
        <v>10</v>
      </c>
      <c r="B27">
        <v>1938</v>
      </c>
      <c r="C27" s="7">
        <v>8701816</v>
      </c>
      <c r="D27" s="7">
        <v>7419391</v>
      </c>
      <c r="E27" s="7">
        <v>1282425</v>
      </c>
      <c r="F27" s="7">
        <v>459150</v>
      </c>
      <c r="G27" s="7">
        <v>823275</v>
      </c>
      <c r="I27" s="1">
        <f t="shared" si="0"/>
        <v>14.737441012312832</v>
      </c>
      <c r="J27" s="1">
        <f t="shared" si="1"/>
        <v>9.4609561958101622</v>
      </c>
    </row>
    <row r="28" spans="1:10">
      <c r="A28" t="s">
        <v>10</v>
      </c>
      <c r="B28">
        <v>1951</v>
      </c>
      <c r="C28" s="7">
        <v>11548172</v>
      </c>
      <c r="D28" s="7">
        <v>8968741</v>
      </c>
      <c r="E28" s="7">
        <v>2579431</v>
      </c>
      <c r="F28" s="7">
        <v>880841</v>
      </c>
      <c r="G28" s="7">
        <v>1698590</v>
      </c>
      <c r="I28" s="1">
        <f t="shared" si="0"/>
        <v>22.336271056579346</v>
      </c>
      <c r="J28" s="1">
        <f t="shared" si="1"/>
        <v>14.708734854312873</v>
      </c>
    </row>
    <row r="29" spans="1:10">
      <c r="A29" t="s">
        <v>14</v>
      </c>
      <c r="B29">
        <v>1937</v>
      </c>
      <c r="C29" s="7">
        <v>936126</v>
      </c>
      <c r="D29" s="7">
        <v>831306</v>
      </c>
      <c r="E29" s="7">
        <v>104820</v>
      </c>
      <c r="G29" s="7">
        <v>104820</v>
      </c>
      <c r="I29" s="1">
        <f t="shared" si="0"/>
        <v>11.197210631902117</v>
      </c>
      <c r="J29" s="1">
        <f t="shared" si="1"/>
        <v>11.197210631902117</v>
      </c>
    </row>
    <row r="30" spans="1:10">
      <c r="A30" t="s">
        <v>14</v>
      </c>
      <c r="B30">
        <v>1950</v>
      </c>
      <c r="C30" s="7">
        <v>1328452</v>
      </c>
      <c r="D30" s="7">
        <v>1127112</v>
      </c>
      <c r="E30" s="7">
        <v>201340</v>
      </c>
      <c r="G30" s="7">
        <v>201340</v>
      </c>
      <c r="I30" s="1">
        <f t="shared" si="0"/>
        <v>15.155986064983907</v>
      </c>
      <c r="J30" s="1">
        <f t="shared" si="1"/>
        <v>15.155986064983907</v>
      </c>
    </row>
    <row r="31" spans="1:10">
      <c r="A31" t="s">
        <v>15</v>
      </c>
      <c r="B31">
        <v>1876</v>
      </c>
      <c r="C31" s="7">
        <v>2699106</v>
      </c>
      <c r="D31" s="7">
        <v>2497928</v>
      </c>
      <c r="E31" s="7">
        <v>201178</v>
      </c>
      <c r="F31" s="7">
        <v>99690</v>
      </c>
      <c r="G31" s="7">
        <v>101488</v>
      </c>
      <c r="I31" s="1">
        <f t="shared" si="0"/>
        <v>7.4535049753510974</v>
      </c>
      <c r="J31" s="1">
        <f t="shared" si="1"/>
        <v>3.760059812397142</v>
      </c>
    </row>
    <row r="32" spans="1:10">
      <c r="A32" t="s">
        <v>15</v>
      </c>
      <c r="B32">
        <v>1940</v>
      </c>
      <c r="C32" s="7">
        <v>6207967</v>
      </c>
      <c r="D32" s="7">
        <v>5347542</v>
      </c>
      <c r="E32" s="7">
        <v>860425</v>
      </c>
      <c r="F32" s="7">
        <v>339897</v>
      </c>
      <c r="G32" s="7">
        <v>520528</v>
      </c>
      <c r="I32" s="1">
        <f t="shared" si="0"/>
        <v>13.860012464628115</v>
      </c>
      <c r="J32" s="1">
        <f t="shared" si="1"/>
        <v>8.3848383858999256</v>
      </c>
    </row>
    <row r="33" spans="1:10">
      <c r="A33" t="s">
        <v>18</v>
      </c>
      <c r="B33">
        <v>1936</v>
      </c>
      <c r="C33" s="7">
        <v>3364347</v>
      </c>
      <c r="D33" s="7">
        <v>2722051</v>
      </c>
      <c r="E33" s="7">
        <v>642296</v>
      </c>
      <c r="F33" s="7">
        <v>292515</v>
      </c>
      <c r="G33" s="7">
        <v>349781</v>
      </c>
      <c r="I33" s="1">
        <f t="shared" si="0"/>
        <v>19.091253072290105</v>
      </c>
      <c r="J33" s="1">
        <f t="shared" si="1"/>
        <v>10.396698081381023</v>
      </c>
    </row>
    <row r="34" spans="1:10">
      <c r="A34" t="s">
        <v>18</v>
      </c>
      <c r="B34">
        <v>1941</v>
      </c>
      <c r="C34" s="7">
        <v>3850771</v>
      </c>
      <c r="D34" s="7">
        <v>3039755</v>
      </c>
      <c r="E34" s="7">
        <v>811016</v>
      </c>
      <c r="F34" s="7">
        <v>366209</v>
      </c>
      <c r="G34" s="7">
        <v>444807</v>
      </c>
      <c r="I34" s="1">
        <f t="shared" si="0"/>
        <v>21.061132952336038</v>
      </c>
      <c r="J34" s="1">
        <f t="shared" si="1"/>
        <v>11.551115348069256</v>
      </c>
    </row>
    <row r="35" spans="1:10">
      <c r="A35" t="s">
        <v>18</v>
      </c>
      <c r="B35">
        <v>1950</v>
      </c>
      <c r="C35" s="7">
        <v>5034838</v>
      </c>
      <c r="D35" s="7">
        <v>3476298</v>
      </c>
      <c r="E35" s="7">
        <v>1558540</v>
      </c>
      <c r="F35" s="7">
        <v>722618</v>
      </c>
      <c r="G35" s="7">
        <v>835922</v>
      </c>
      <c r="I35" s="1">
        <f t="shared" si="0"/>
        <v>30.955117125913485</v>
      </c>
      <c r="J35" s="1">
        <f t="shared" si="1"/>
        <v>16.602758619045936</v>
      </c>
    </row>
    <row r="36" spans="1:10">
      <c r="A36" t="s">
        <v>20</v>
      </c>
      <c r="B36">
        <v>1927</v>
      </c>
      <c r="C36" s="7">
        <v>471524</v>
      </c>
      <c r="D36" s="7">
        <v>396372</v>
      </c>
      <c r="E36" s="7">
        <v>75152</v>
      </c>
      <c r="G36" s="7">
        <v>75152</v>
      </c>
      <c r="I36" s="1">
        <f t="shared" si="0"/>
        <v>15.938107074083186</v>
      </c>
      <c r="J36" s="1">
        <f t="shared" si="1"/>
        <v>15.938107074083186</v>
      </c>
    </row>
    <row r="37" spans="1:10">
      <c r="A37" t="s">
        <v>20</v>
      </c>
      <c r="B37">
        <v>1950</v>
      </c>
      <c r="C37" s="7">
        <v>800875</v>
      </c>
      <c r="D37" s="7">
        <v>647239</v>
      </c>
      <c r="E37" s="7">
        <v>153636</v>
      </c>
      <c r="G37" s="7">
        <v>153636</v>
      </c>
      <c r="I37" s="1">
        <f t="shared" si="0"/>
        <v>19.183518027157795</v>
      </c>
      <c r="J37" s="1">
        <f t="shared" si="1"/>
        <v>19.183518027157795</v>
      </c>
    </row>
    <row r="38" spans="1:10">
      <c r="A38" t="s">
        <v>21</v>
      </c>
      <c r="B38">
        <v>1919</v>
      </c>
      <c r="C38" s="7">
        <v>2889004</v>
      </c>
      <c r="D38" s="7">
        <v>2084155</v>
      </c>
      <c r="E38" s="7">
        <v>804849</v>
      </c>
      <c r="F38" s="7">
        <v>348559</v>
      </c>
      <c r="G38" s="7">
        <v>456290</v>
      </c>
      <c r="I38" s="1">
        <f t="shared" si="0"/>
        <v>27.859047616410361</v>
      </c>
      <c r="J38" s="1">
        <f t="shared" si="1"/>
        <v>15.794024515023171</v>
      </c>
    </row>
    <row r="39" spans="1:10">
      <c r="A39" t="s">
        <v>21</v>
      </c>
      <c r="B39">
        <v>1931</v>
      </c>
      <c r="C39" s="7">
        <v>3962344</v>
      </c>
      <c r="D39" s="7">
        <v>2795023</v>
      </c>
      <c r="E39" s="7">
        <v>1167321</v>
      </c>
      <c r="F39" s="7">
        <v>473963</v>
      </c>
      <c r="G39" s="7">
        <v>693358</v>
      </c>
      <c r="I39" s="1">
        <f t="shared" si="0"/>
        <v>29.460364874932615</v>
      </c>
      <c r="J39" s="1">
        <f t="shared" si="1"/>
        <v>17.498682597977361</v>
      </c>
    </row>
    <row r="40" spans="1:10">
      <c r="A40" t="s">
        <v>21</v>
      </c>
      <c r="B40">
        <v>1943</v>
      </c>
      <c r="C40" s="7">
        <v>4778583</v>
      </c>
      <c r="D40" s="7">
        <v>3286661</v>
      </c>
      <c r="E40" s="7">
        <v>1491922</v>
      </c>
      <c r="F40" s="7">
        <v>593610</v>
      </c>
      <c r="G40" s="7">
        <v>898312</v>
      </c>
      <c r="I40" s="1">
        <f t="shared" si="0"/>
        <v>31.221012588878335</v>
      </c>
      <c r="J40" s="1">
        <f t="shared" si="1"/>
        <v>18.798710831223399</v>
      </c>
    </row>
    <row r="41" spans="1:10">
      <c r="A41" t="s">
        <v>50</v>
      </c>
      <c r="B41">
        <v>1920</v>
      </c>
      <c r="C41" s="7">
        <v>894665</v>
      </c>
      <c r="D41" s="7">
        <v>846570</v>
      </c>
      <c r="E41" s="7">
        <v>48095</v>
      </c>
      <c r="F41" s="7">
        <v>17152</v>
      </c>
      <c r="G41" s="7">
        <v>30943</v>
      </c>
      <c r="I41" s="1">
        <f t="shared" si="0"/>
        <v>5.3757551709299012</v>
      </c>
      <c r="J41" s="1">
        <f t="shared" si="1"/>
        <v>3.4586130003967965</v>
      </c>
    </row>
    <row r="42" spans="1:10">
      <c r="A42" t="s">
        <v>50</v>
      </c>
      <c r="B42">
        <v>1935</v>
      </c>
      <c r="C42" s="7">
        <v>1479417</v>
      </c>
      <c r="D42" s="7">
        <v>1375151</v>
      </c>
      <c r="E42" s="7">
        <v>104266</v>
      </c>
      <c r="F42" s="7">
        <v>34175</v>
      </c>
      <c r="G42" s="7">
        <v>70091</v>
      </c>
      <c r="I42" s="1">
        <f t="shared" si="0"/>
        <v>7.0477762524021283</v>
      </c>
      <c r="J42" s="1">
        <f t="shared" si="1"/>
        <v>4.7377446656351792</v>
      </c>
    </row>
    <row r="43" spans="1:10">
      <c r="A43" t="s">
        <v>50</v>
      </c>
      <c r="B43">
        <v>1950</v>
      </c>
      <c r="C43" s="7">
        <v>2135872</v>
      </c>
      <c r="D43" s="7">
        <v>1897761</v>
      </c>
      <c r="E43" s="7">
        <v>238111</v>
      </c>
      <c r="F43" s="7">
        <v>56558</v>
      </c>
      <c r="G43" s="7">
        <v>181553</v>
      </c>
      <c r="I43" s="1">
        <f t="shared" si="0"/>
        <v>11.148186782728553</v>
      </c>
      <c r="J43" s="1">
        <f t="shared" si="1"/>
        <v>8.5001816588259977</v>
      </c>
    </row>
    <row r="44" spans="1:10">
      <c r="A44" t="s">
        <v>22</v>
      </c>
      <c r="B44">
        <v>1930</v>
      </c>
      <c r="C44" s="7">
        <v>1434361</v>
      </c>
      <c r="D44" s="7">
        <v>1287821</v>
      </c>
      <c r="E44" s="7">
        <v>146540</v>
      </c>
      <c r="F44" s="7">
        <v>57155</v>
      </c>
      <c r="G44" s="7">
        <v>89385</v>
      </c>
      <c r="I44" s="1">
        <f t="shared" si="0"/>
        <v>10.216396011882644</v>
      </c>
      <c r="J44" s="1">
        <f t="shared" si="1"/>
        <v>6.2316948104417227</v>
      </c>
    </row>
    <row r="45" spans="1:10">
      <c r="A45" t="s">
        <v>22</v>
      </c>
      <c r="B45">
        <v>1950</v>
      </c>
      <c r="C45" s="7">
        <v>1855917</v>
      </c>
      <c r="D45" s="7">
        <v>1615562</v>
      </c>
      <c r="E45" s="7">
        <v>240355</v>
      </c>
      <c r="F45" s="7">
        <v>78404</v>
      </c>
      <c r="G45" s="7">
        <v>161951</v>
      </c>
      <c r="I45" s="1">
        <f t="shared" si="0"/>
        <v>12.950740792826403</v>
      </c>
      <c r="J45" s="1">
        <f t="shared" si="1"/>
        <v>8.7261984237441652</v>
      </c>
    </row>
    <row r="46" spans="1:10">
      <c r="A46" t="s">
        <v>28</v>
      </c>
      <c r="B46">
        <v>1920</v>
      </c>
      <c r="C46" s="7">
        <v>638119</v>
      </c>
      <c r="D46" s="7">
        <v>610280</v>
      </c>
      <c r="E46" s="7">
        <v>27839</v>
      </c>
      <c r="G46" s="7">
        <v>27839</v>
      </c>
      <c r="I46" s="1">
        <f t="shared" si="0"/>
        <v>4.3626658977400767</v>
      </c>
      <c r="J46" s="1">
        <f t="shared" si="1"/>
        <v>4.3626658977400767</v>
      </c>
    </row>
    <row r="47" spans="1:10">
      <c r="A47" t="s">
        <v>28</v>
      </c>
      <c r="B47">
        <v>1940</v>
      </c>
      <c r="C47" s="7">
        <v>835686</v>
      </c>
      <c r="D47" s="7">
        <v>773170</v>
      </c>
      <c r="E47" s="7">
        <f>C47-D47</f>
        <v>62516</v>
      </c>
      <c r="G47" s="7">
        <v>62516</v>
      </c>
      <c r="I47" s="1">
        <f t="shared" si="0"/>
        <v>7.4808002048616347</v>
      </c>
      <c r="J47" s="1">
        <f t="shared" si="1"/>
        <v>7.4808002048616347</v>
      </c>
    </row>
    <row r="48" spans="1:10">
      <c r="A48" t="s">
        <v>28</v>
      </c>
      <c r="B48">
        <v>1950</v>
      </c>
      <c r="C48" s="7">
        <v>1057023</v>
      </c>
      <c r="D48" s="7">
        <v>947671</v>
      </c>
      <c r="E48" s="7">
        <v>109352</v>
      </c>
      <c r="G48" s="7">
        <v>109352</v>
      </c>
      <c r="I48" s="1">
        <f t="shared" si="0"/>
        <v>10.345281039296212</v>
      </c>
      <c r="J48" s="1">
        <f t="shared" si="1"/>
        <v>10.345281039296212</v>
      </c>
    </row>
    <row r="49" spans="1:10">
      <c r="A49" t="s">
        <v>29</v>
      </c>
      <c r="B49">
        <v>1930</v>
      </c>
      <c r="C49" s="7">
        <v>428021</v>
      </c>
      <c r="D49" s="7">
        <v>323847</v>
      </c>
      <c r="E49" s="7">
        <v>104174</v>
      </c>
      <c r="F49" s="7">
        <v>29765</v>
      </c>
      <c r="G49" s="7">
        <v>74409</v>
      </c>
      <c r="I49" s="1">
        <f t="shared" si="0"/>
        <v>24.338525446181379</v>
      </c>
      <c r="J49" s="1">
        <f t="shared" si="1"/>
        <v>17.384427399590209</v>
      </c>
    </row>
    <row r="50" spans="1:10">
      <c r="A50" t="s">
        <v>29</v>
      </c>
      <c r="B50">
        <v>1940</v>
      </c>
      <c r="C50" s="7">
        <v>566589</v>
      </c>
      <c r="D50" s="7">
        <v>410303</v>
      </c>
      <c r="E50" s="7">
        <v>156286</v>
      </c>
      <c r="F50" s="7">
        <v>44393</v>
      </c>
      <c r="G50" s="7">
        <v>111893</v>
      </c>
      <c r="I50" s="1">
        <f t="shared" si="0"/>
        <v>27.583662937332001</v>
      </c>
      <c r="J50" s="1">
        <f t="shared" si="1"/>
        <v>19.748530239732858</v>
      </c>
    </row>
    <row r="51" spans="1:10">
      <c r="A51" t="s">
        <v>29</v>
      </c>
      <c r="B51">
        <v>1950</v>
      </c>
      <c r="C51" s="7">
        <v>756631</v>
      </c>
      <c r="D51" s="7">
        <v>576553</v>
      </c>
      <c r="E51" s="7">
        <v>180078</v>
      </c>
      <c r="F51" s="7">
        <v>52204</v>
      </c>
      <c r="G51" s="7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>
      <selection activeCell="D12" sqref="D12"/>
    </sheetView>
  </sheetViews>
  <sheetFormatPr defaultRowHeight="14.25"/>
  <cols>
    <col min="1" max="1" width="23" customWidth="1"/>
  </cols>
  <sheetData>
    <row r="1" spans="1:6" ht="15">
      <c r="A1" s="2" t="s">
        <v>74</v>
      </c>
    </row>
    <row r="2" spans="1:6">
      <c r="A2" t="s">
        <v>73</v>
      </c>
    </row>
    <row r="3" spans="1:6">
      <c r="A3" t="s">
        <v>72</v>
      </c>
    </row>
    <row r="4" spans="1:6">
      <c r="A4" t="s">
        <v>75</v>
      </c>
    </row>
    <row r="6" spans="1:6" ht="15">
      <c r="A6" s="9" t="s">
        <v>38</v>
      </c>
      <c r="B6" s="9">
        <v>1920</v>
      </c>
      <c r="C6" s="9">
        <v>1930</v>
      </c>
      <c r="D6" s="9">
        <v>1940</v>
      </c>
      <c r="E6" s="9">
        <v>1950</v>
      </c>
      <c r="F6" s="9">
        <v>1960</v>
      </c>
    </row>
    <row r="7" spans="1:6">
      <c r="A7" t="s">
        <v>64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>
      <c r="A8" t="s">
        <v>6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>
      <c r="A9" t="s">
        <v>8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>
      <c r="A10" t="s">
        <v>18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>
      <c r="A11" t="s">
        <v>10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>
      <c r="A12" t="s">
        <v>21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>
      <c r="A13" t="s">
        <v>27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>
      <c r="A14" t="s">
        <v>15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>
      <c r="A15" t="s">
        <v>17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>
      <c r="A16" t="s">
        <v>9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>
      <c r="A17" t="s">
        <v>11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topLeftCell="A4" workbookViewId="0">
      <selection activeCell="A9" sqref="A9:D70"/>
    </sheetView>
  </sheetViews>
  <sheetFormatPr defaultRowHeight="14.25"/>
  <cols>
    <col min="1" max="1" width="32" customWidth="1"/>
  </cols>
  <sheetData>
    <row r="1" spans="1:4" ht="15">
      <c r="A1" s="2" t="s">
        <v>83</v>
      </c>
    </row>
    <row r="2" spans="1:4">
      <c r="A2" t="s">
        <v>77</v>
      </c>
    </row>
    <row r="3" spans="1:4">
      <c r="A3" t="s">
        <v>78</v>
      </c>
    </row>
    <row r="4" spans="1:4">
      <c r="A4" t="s">
        <v>79</v>
      </c>
    </row>
    <row r="5" spans="1:4">
      <c r="A5" t="s">
        <v>80</v>
      </c>
    </row>
    <row r="6" spans="1:4">
      <c r="A6" t="s">
        <v>81</v>
      </c>
    </row>
    <row r="7" spans="1:4">
      <c r="A7" t="s">
        <v>82</v>
      </c>
    </row>
    <row r="9" spans="1:4" ht="15">
      <c r="A9" s="9" t="s">
        <v>38</v>
      </c>
      <c r="B9" s="9" t="s">
        <v>42</v>
      </c>
      <c r="C9" s="9" t="s">
        <v>61</v>
      </c>
      <c r="D9" s="9" t="s">
        <v>54</v>
      </c>
    </row>
    <row r="10" spans="1:4">
      <c r="A10" t="s">
        <v>6</v>
      </c>
      <c r="B10">
        <v>1947</v>
      </c>
      <c r="C10" s="1">
        <v>48.3</v>
      </c>
      <c r="D10" s="1">
        <v>36.799999999999997</v>
      </c>
    </row>
    <row r="11" spans="1:4">
      <c r="A11" t="s">
        <v>6</v>
      </c>
      <c r="B11">
        <v>1960</v>
      </c>
      <c r="C11" s="1">
        <v>57.5</v>
      </c>
      <c r="D11" s="1">
        <v>45.5</v>
      </c>
    </row>
    <row r="12" spans="1:4">
      <c r="A12" t="s">
        <v>7</v>
      </c>
      <c r="B12">
        <v>1950</v>
      </c>
      <c r="C12" s="1">
        <v>19.600000000000001</v>
      </c>
      <c r="D12" s="1">
        <v>10.6</v>
      </c>
    </row>
    <row r="13" spans="1:4">
      <c r="A13" t="s">
        <v>8</v>
      </c>
      <c r="B13">
        <v>1920</v>
      </c>
      <c r="C13" s="1">
        <v>11.3</v>
      </c>
      <c r="D13" s="1">
        <v>8.6999999999999993</v>
      </c>
    </row>
    <row r="14" spans="1:4">
      <c r="A14" t="s">
        <v>8</v>
      </c>
      <c r="B14">
        <v>1940</v>
      </c>
      <c r="C14" s="1">
        <v>15.3</v>
      </c>
      <c r="D14" s="1">
        <v>10.7</v>
      </c>
    </row>
    <row r="15" spans="1:4">
      <c r="A15" t="s">
        <v>8</v>
      </c>
      <c r="B15">
        <v>1950</v>
      </c>
      <c r="C15" s="1">
        <v>20.2</v>
      </c>
      <c r="D15" s="1">
        <v>13.2</v>
      </c>
    </row>
    <row r="16" spans="1:4">
      <c r="A16" t="s">
        <v>8</v>
      </c>
      <c r="B16">
        <v>1960</v>
      </c>
      <c r="C16" s="1">
        <v>28.1</v>
      </c>
      <c r="D16" s="1">
        <v>18.8</v>
      </c>
    </row>
    <row r="17" spans="1:4">
      <c r="A17" t="s">
        <v>18</v>
      </c>
      <c r="B17">
        <v>1936</v>
      </c>
      <c r="C17" s="1">
        <v>16.2</v>
      </c>
      <c r="D17" s="1">
        <v>10.3</v>
      </c>
    </row>
    <row r="18" spans="1:4">
      <c r="A18" t="s">
        <v>18</v>
      </c>
      <c r="B18">
        <v>1941</v>
      </c>
      <c r="C18" s="1">
        <v>18.100000000000001</v>
      </c>
      <c r="D18" s="1">
        <v>11.8</v>
      </c>
    </row>
    <row r="19" spans="1:4">
      <c r="A19" t="s">
        <v>18</v>
      </c>
      <c r="B19">
        <v>1950</v>
      </c>
      <c r="C19" s="1">
        <v>31.9</v>
      </c>
      <c r="D19" s="1">
        <v>20.3</v>
      </c>
    </row>
    <row r="20" spans="1:4">
      <c r="A20" t="s">
        <v>18</v>
      </c>
      <c r="B20">
        <v>1961</v>
      </c>
      <c r="C20" s="1">
        <v>47.2</v>
      </c>
      <c r="D20" s="1">
        <v>29.9</v>
      </c>
    </row>
    <row r="21" spans="1:4">
      <c r="A21" t="s">
        <v>24</v>
      </c>
      <c r="B21">
        <v>1950</v>
      </c>
      <c r="C21" s="1">
        <v>5.0999999999999996</v>
      </c>
      <c r="D21" s="1">
        <v>4.3</v>
      </c>
    </row>
    <row r="22" spans="1:4">
      <c r="A22" t="s">
        <v>23</v>
      </c>
      <c r="B22">
        <v>1950</v>
      </c>
      <c r="C22" s="1">
        <v>11.2</v>
      </c>
      <c r="D22" s="1">
        <v>10.199999999999999</v>
      </c>
    </row>
    <row r="23" spans="1:4">
      <c r="A23" t="s">
        <v>25</v>
      </c>
      <c r="B23">
        <v>1940</v>
      </c>
      <c r="C23" s="1">
        <v>6.1</v>
      </c>
      <c r="D23" s="1"/>
    </row>
    <row r="24" spans="1:4">
      <c r="A24" t="s">
        <v>25</v>
      </c>
      <c r="B24">
        <v>1950</v>
      </c>
      <c r="C24" s="1">
        <v>6.9</v>
      </c>
      <c r="D24" s="1"/>
    </row>
    <row r="25" spans="1:4">
      <c r="A25" t="s">
        <v>25</v>
      </c>
      <c r="B25">
        <v>1961</v>
      </c>
      <c r="C25" s="1">
        <v>11.6</v>
      </c>
      <c r="D25" s="1">
        <v>7.1</v>
      </c>
    </row>
    <row r="26" spans="1:4">
      <c r="A26" t="s">
        <v>50</v>
      </c>
      <c r="B26">
        <v>1920</v>
      </c>
      <c r="C26" s="1">
        <v>3.5</v>
      </c>
      <c r="D26" s="1"/>
    </row>
    <row r="27" spans="1:4">
      <c r="A27" t="s">
        <v>50</v>
      </c>
      <c r="B27">
        <v>1935</v>
      </c>
      <c r="C27" s="1">
        <v>7.1</v>
      </c>
      <c r="D27" s="1"/>
    </row>
    <row r="28" spans="1:4">
      <c r="A28" t="s">
        <v>50</v>
      </c>
      <c r="B28">
        <v>1950</v>
      </c>
      <c r="C28" s="1">
        <v>11.1</v>
      </c>
      <c r="D28" s="1">
        <v>8.5</v>
      </c>
    </row>
    <row r="29" spans="1:4">
      <c r="A29" t="s">
        <v>50</v>
      </c>
      <c r="B29">
        <v>1960</v>
      </c>
      <c r="C29" s="1">
        <v>18.7</v>
      </c>
      <c r="D29" s="1">
        <v>12.2</v>
      </c>
    </row>
    <row r="30" spans="1:4">
      <c r="A30" t="s">
        <v>10</v>
      </c>
      <c r="B30">
        <v>1938</v>
      </c>
      <c r="C30" s="1">
        <v>12.9</v>
      </c>
      <c r="D30" s="1">
        <v>7.1</v>
      </c>
    </row>
    <row r="31" spans="1:4">
      <c r="A31" t="s">
        <v>10</v>
      </c>
      <c r="B31">
        <v>1951</v>
      </c>
      <c r="C31" s="1">
        <v>22.2</v>
      </c>
      <c r="D31" s="1">
        <v>14.7</v>
      </c>
    </row>
    <row r="32" spans="1:4">
      <c r="A32" t="s">
        <v>20</v>
      </c>
      <c r="B32">
        <v>1927</v>
      </c>
      <c r="C32" s="1">
        <v>19.3</v>
      </c>
      <c r="D32" s="1"/>
    </row>
    <row r="33" spans="1:4">
      <c r="A33" t="s">
        <v>20</v>
      </c>
      <c r="B33">
        <v>1950</v>
      </c>
      <c r="C33" s="1">
        <v>22.3</v>
      </c>
      <c r="D33" s="1">
        <v>22.3</v>
      </c>
    </row>
    <row r="34" spans="1:4">
      <c r="A34" t="s">
        <v>20</v>
      </c>
      <c r="B34">
        <v>1963</v>
      </c>
      <c r="C34" s="1">
        <v>24</v>
      </c>
      <c r="D34" s="1">
        <v>24</v>
      </c>
    </row>
    <row r="35" spans="1:4">
      <c r="A35" t="s">
        <v>21</v>
      </c>
      <c r="B35">
        <v>1919</v>
      </c>
      <c r="C35" s="1">
        <v>24.3</v>
      </c>
      <c r="D35" s="1">
        <v>14.7</v>
      </c>
    </row>
    <row r="36" spans="1:4">
      <c r="A36" t="s">
        <v>21</v>
      </c>
      <c r="B36">
        <v>1931</v>
      </c>
      <c r="C36" s="1">
        <v>27.6</v>
      </c>
      <c r="D36" s="1">
        <v>18.5</v>
      </c>
    </row>
    <row r="37" spans="1:4">
      <c r="A37" t="s">
        <v>21</v>
      </c>
      <c r="B37">
        <v>1943</v>
      </c>
      <c r="C37" s="1">
        <v>30.7</v>
      </c>
      <c r="D37" s="1">
        <v>19.899999999999999</v>
      </c>
    </row>
    <row r="38" spans="1:4">
      <c r="A38" t="s">
        <v>21</v>
      </c>
      <c r="B38">
        <v>1953</v>
      </c>
      <c r="C38" s="1">
        <v>35.5</v>
      </c>
      <c r="D38" s="1">
        <v>22.9</v>
      </c>
    </row>
    <row r="39" spans="1:4">
      <c r="A39" t="s">
        <v>27</v>
      </c>
      <c r="B39">
        <v>1940</v>
      </c>
      <c r="C39" s="1">
        <v>18.100000000000001</v>
      </c>
      <c r="D39" s="1">
        <v>10.199999999999999</v>
      </c>
    </row>
    <row r="40" spans="1:4">
      <c r="A40" t="s">
        <v>27</v>
      </c>
      <c r="B40">
        <v>1950</v>
      </c>
      <c r="C40" s="1">
        <v>24.1</v>
      </c>
      <c r="D40" s="1">
        <v>15.1</v>
      </c>
    </row>
    <row r="41" spans="1:4">
      <c r="A41" t="s">
        <v>27</v>
      </c>
      <c r="B41">
        <v>1960</v>
      </c>
      <c r="C41" s="1">
        <v>29.6</v>
      </c>
      <c r="D41" s="1">
        <v>18.600000000000001</v>
      </c>
    </row>
    <row r="42" spans="1:4">
      <c r="A42" t="s">
        <v>28</v>
      </c>
      <c r="B42">
        <v>1950</v>
      </c>
      <c r="C42" s="1">
        <v>15.2</v>
      </c>
      <c r="D42" s="1">
        <v>10.3</v>
      </c>
    </row>
    <row r="43" spans="1:4">
      <c r="A43" t="s">
        <v>28</v>
      </c>
      <c r="B43">
        <v>1963</v>
      </c>
      <c r="C43" s="1">
        <v>23</v>
      </c>
      <c r="D43" s="1">
        <v>15.3</v>
      </c>
    </row>
    <row r="44" spans="1:4">
      <c r="A44" t="s">
        <v>29</v>
      </c>
      <c r="B44">
        <v>1930</v>
      </c>
      <c r="C44" s="1">
        <v>22.9</v>
      </c>
      <c r="D44" s="1"/>
    </row>
    <row r="45" spans="1:4">
      <c r="A45" t="s">
        <v>29</v>
      </c>
      <c r="B45">
        <v>1940</v>
      </c>
      <c r="C45" s="1">
        <v>26.6</v>
      </c>
      <c r="D45" s="1">
        <v>19.399999999999999</v>
      </c>
    </row>
    <row r="46" spans="1:4">
      <c r="A46" t="s">
        <v>29</v>
      </c>
      <c r="B46">
        <v>1950</v>
      </c>
      <c r="C46" s="1">
        <v>26.8</v>
      </c>
      <c r="D46" s="1">
        <v>20.399999999999999</v>
      </c>
    </row>
    <row r="47" spans="1:4">
      <c r="A47" t="s">
        <v>29</v>
      </c>
      <c r="B47">
        <v>1960</v>
      </c>
      <c r="C47" s="1">
        <v>33.1</v>
      </c>
      <c r="D47" s="1">
        <v>25.4</v>
      </c>
    </row>
    <row r="48" spans="1:4">
      <c r="A48" t="s">
        <v>15</v>
      </c>
      <c r="B48">
        <v>1940</v>
      </c>
      <c r="C48" s="1">
        <v>14.2</v>
      </c>
      <c r="D48" s="1">
        <v>8.4</v>
      </c>
    </row>
    <row r="49" spans="1:4">
      <c r="A49" t="s">
        <v>15</v>
      </c>
      <c r="B49">
        <v>1961</v>
      </c>
      <c r="C49" s="1">
        <v>28.9</v>
      </c>
      <c r="D49" s="1">
        <v>18.399999999999999</v>
      </c>
    </row>
    <row r="50" spans="1:4">
      <c r="A50" t="s">
        <v>76</v>
      </c>
      <c r="B50">
        <v>1920</v>
      </c>
      <c r="C50" s="1">
        <v>9.1999999999999993</v>
      </c>
      <c r="D50" s="1"/>
    </row>
    <row r="51" spans="1:4">
      <c r="A51" t="s">
        <v>76</v>
      </c>
      <c r="B51">
        <v>1930</v>
      </c>
      <c r="C51" s="1">
        <v>14.1</v>
      </c>
      <c r="D51" s="1">
        <v>8.3000000000000007</v>
      </c>
    </row>
    <row r="52" spans="1:4">
      <c r="A52" t="s">
        <v>76</v>
      </c>
      <c r="B52">
        <v>1940</v>
      </c>
      <c r="C52" s="1">
        <v>18.8</v>
      </c>
      <c r="D52" s="1">
        <v>10.1</v>
      </c>
    </row>
    <row r="53" spans="1:4">
      <c r="A53" t="s">
        <v>76</v>
      </c>
      <c r="B53">
        <v>1950</v>
      </c>
      <c r="C53" s="1">
        <v>27</v>
      </c>
      <c r="D53" s="1">
        <v>16.100000000000001</v>
      </c>
    </row>
    <row r="54" spans="1:4">
      <c r="A54" t="s">
        <v>76</v>
      </c>
      <c r="B54">
        <v>1960</v>
      </c>
      <c r="C54" s="1">
        <v>28</v>
      </c>
      <c r="D54" s="1">
        <v>23.3</v>
      </c>
    </row>
    <row r="55" spans="1:4">
      <c r="A55" t="s">
        <v>22</v>
      </c>
      <c r="B55">
        <v>1930</v>
      </c>
      <c r="C55" s="1">
        <v>9</v>
      </c>
      <c r="D55" s="1"/>
    </row>
    <row r="56" spans="1:4">
      <c r="A56" t="s">
        <v>22</v>
      </c>
      <c r="B56">
        <v>1950</v>
      </c>
      <c r="C56" s="1">
        <v>12.9</v>
      </c>
      <c r="D56" s="1">
        <v>8.6999999999999993</v>
      </c>
    </row>
    <row r="57" spans="1:4">
      <c r="A57" t="s">
        <v>22</v>
      </c>
      <c r="B57">
        <v>1961</v>
      </c>
      <c r="C57" s="1">
        <v>17.7</v>
      </c>
      <c r="D57" s="1">
        <v>10.199999999999999</v>
      </c>
    </row>
    <row r="58" spans="1:4">
      <c r="A58" t="s">
        <v>17</v>
      </c>
      <c r="B58">
        <v>1963</v>
      </c>
      <c r="C58" s="1"/>
      <c r="D58" s="1"/>
    </row>
    <row r="59" spans="1:4">
      <c r="A59" t="s">
        <v>9</v>
      </c>
      <c r="B59">
        <v>1920</v>
      </c>
      <c r="C59" s="1">
        <v>28</v>
      </c>
      <c r="D59" s="1">
        <v>18.399999999999999</v>
      </c>
    </row>
    <row r="60" spans="1:4">
      <c r="A60" t="s">
        <v>9</v>
      </c>
      <c r="B60">
        <v>1930</v>
      </c>
      <c r="C60" s="1">
        <v>32.5</v>
      </c>
      <c r="D60" s="1">
        <v>20.7</v>
      </c>
    </row>
    <row r="61" spans="1:4">
      <c r="A61" t="s">
        <v>9</v>
      </c>
      <c r="B61">
        <v>1940</v>
      </c>
      <c r="C61" s="1">
        <v>36.4</v>
      </c>
      <c r="D61" s="1">
        <v>23.1</v>
      </c>
    </row>
    <row r="62" spans="1:4">
      <c r="A62" t="s">
        <v>9</v>
      </c>
      <c r="B62">
        <v>1952</v>
      </c>
      <c r="C62" s="1">
        <v>42.8</v>
      </c>
      <c r="D62" s="1">
        <v>28.5</v>
      </c>
    </row>
    <row r="63" spans="1:4">
      <c r="A63" t="s">
        <v>9</v>
      </c>
      <c r="B63">
        <v>1960</v>
      </c>
      <c r="C63" s="1">
        <v>54.7</v>
      </c>
      <c r="D63" s="1">
        <v>33.299999999999997</v>
      </c>
    </row>
    <row r="64" spans="1:4">
      <c r="A64" t="s">
        <v>11</v>
      </c>
      <c r="B64">
        <v>1950</v>
      </c>
      <c r="C64" s="1">
        <v>17.8</v>
      </c>
      <c r="D64" s="1">
        <v>14.6</v>
      </c>
    </row>
    <row r="65" spans="1:4">
      <c r="A65" t="s">
        <v>11</v>
      </c>
      <c r="B65">
        <v>1962</v>
      </c>
      <c r="C65" s="1">
        <v>26.9</v>
      </c>
      <c r="D65" s="1">
        <v>18.899999999999999</v>
      </c>
    </row>
    <row r="66" spans="1:4">
      <c r="A66" t="s">
        <v>11</v>
      </c>
      <c r="B66">
        <v>1950</v>
      </c>
      <c r="C66" s="1">
        <v>16.5</v>
      </c>
      <c r="D66" s="1">
        <v>16.5</v>
      </c>
    </row>
    <row r="67" spans="1:4">
      <c r="A67" t="s">
        <v>11</v>
      </c>
      <c r="B67">
        <v>1962</v>
      </c>
      <c r="C67" s="1"/>
      <c r="D67" s="1">
        <v>16.8</v>
      </c>
    </row>
    <row r="68" spans="1:4">
      <c r="A68" t="s">
        <v>26</v>
      </c>
      <c r="B68">
        <v>1921</v>
      </c>
      <c r="C68" s="1">
        <v>10.3</v>
      </c>
      <c r="D68" s="1"/>
    </row>
    <row r="69" spans="1:4">
      <c r="A69" t="s">
        <v>26</v>
      </c>
      <c r="B69">
        <v>1943</v>
      </c>
      <c r="C69" s="1">
        <v>16.3</v>
      </c>
      <c r="D69" s="1">
        <v>16.3</v>
      </c>
    </row>
    <row r="70" spans="1:4">
      <c r="A70" t="s">
        <v>26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7AC6-D071-4E3A-BD12-A1ED8E64132A}">
  <dimension ref="A1:C57"/>
  <sheetViews>
    <sheetView workbookViewId="0">
      <selection activeCell="A6" sqref="A6:C57"/>
    </sheetView>
  </sheetViews>
  <sheetFormatPr defaultRowHeight="14.25"/>
  <cols>
    <col min="1" max="1" width="31.375" customWidth="1"/>
  </cols>
  <sheetData>
    <row r="1" spans="1:3" ht="15">
      <c r="A1" s="11" t="s">
        <v>85</v>
      </c>
    </row>
    <row r="2" spans="1:3">
      <c r="A2" t="s">
        <v>86</v>
      </c>
    </row>
    <row r="3" spans="1:3">
      <c r="A3" t="s">
        <v>90</v>
      </c>
    </row>
    <row r="5" spans="1:3" ht="15">
      <c r="A5" s="14" t="s">
        <v>87</v>
      </c>
      <c r="B5" s="14" t="s">
        <v>42</v>
      </c>
      <c r="C5" s="14" t="s">
        <v>88</v>
      </c>
    </row>
    <row r="6" spans="1:3">
      <c r="A6" t="s">
        <v>6</v>
      </c>
      <c r="B6">
        <v>1895</v>
      </c>
      <c r="C6" s="1">
        <v>37.4</v>
      </c>
    </row>
    <row r="7" spans="1:3">
      <c r="A7" t="s">
        <v>6</v>
      </c>
      <c r="B7">
        <v>1914</v>
      </c>
      <c r="C7" s="1">
        <v>52.7</v>
      </c>
    </row>
    <row r="8" spans="1:3">
      <c r="A8" t="s">
        <v>6</v>
      </c>
      <c r="B8">
        <v>1947</v>
      </c>
      <c r="C8" s="1">
        <v>62.5</v>
      </c>
    </row>
    <row r="9" spans="1:3">
      <c r="A9" t="s">
        <v>32</v>
      </c>
      <c r="B9">
        <v>1946</v>
      </c>
      <c r="C9" s="1">
        <v>39.6</v>
      </c>
    </row>
    <row r="10" spans="1:3">
      <c r="A10" t="s">
        <v>89</v>
      </c>
      <c r="B10">
        <v>1939</v>
      </c>
      <c r="C10" s="1">
        <v>13.9</v>
      </c>
    </row>
    <row r="11" spans="1:3">
      <c r="A11" t="s">
        <v>7</v>
      </c>
      <c r="B11">
        <v>1900</v>
      </c>
      <c r="C11" s="1">
        <v>26.9</v>
      </c>
    </row>
    <row r="12" spans="1:3">
      <c r="A12" t="s">
        <v>7</v>
      </c>
      <c r="B12">
        <v>1950</v>
      </c>
      <c r="C12" s="1">
        <v>33.6</v>
      </c>
    </row>
    <row r="13" spans="1:3">
      <c r="A13" t="s">
        <v>8</v>
      </c>
      <c r="B13">
        <v>1940</v>
      </c>
      <c r="C13" s="1">
        <v>31.2</v>
      </c>
    </row>
    <row r="14" spans="1:3">
      <c r="A14" t="s">
        <v>18</v>
      </c>
      <c r="B14">
        <v>1936</v>
      </c>
      <c r="C14" s="1">
        <v>35</v>
      </c>
    </row>
    <row r="15" spans="1:3">
      <c r="A15" t="s">
        <v>18</v>
      </c>
      <c r="B15">
        <v>1941</v>
      </c>
      <c r="C15" s="1">
        <v>39</v>
      </c>
    </row>
    <row r="16" spans="1:3">
      <c r="A16" t="s">
        <v>18</v>
      </c>
      <c r="B16">
        <v>1950</v>
      </c>
      <c r="C16" s="1">
        <v>49.8</v>
      </c>
    </row>
    <row r="17" spans="1:3">
      <c r="A17" t="s">
        <v>24</v>
      </c>
      <c r="B17">
        <v>1950</v>
      </c>
      <c r="C17" s="1">
        <v>12.5</v>
      </c>
    </row>
    <row r="18" spans="1:3">
      <c r="A18" t="s">
        <v>23</v>
      </c>
      <c r="B18">
        <v>1921</v>
      </c>
      <c r="C18" s="1">
        <v>26.6</v>
      </c>
    </row>
    <row r="19" spans="1:3">
      <c r="A19" t="s">
        <v>23</v>
      </c>
      <c r="B19">
        <v>1940</v>
      </c>
      <c r="C19" s="1">
        <v>26.7</v>
      </c>
    </row>
    <row r="20" spans="1:3">
      <c r="A20" t="s">
        <v>23</v>
      </c>
      <c r="B20">
        <v>1950</v>
      </c>
      <c r="C20" s="1">
        <v>31.6</v>
      </c>
    </row>
    <row r="21" spans="1:3">
      <c r="A21" t="s">
        <v>25</v>
      </c>
      <c r="B21">
        <v>1945</v>
      </c>
      <c r="C21" s="1">
        <v>29</v>
      </c>
    </row>
    <row r="22" spans="1:3">
      <c r="A22" t="s">
        <v>25</v>
      </c>
      <c r="B22">
        <v>1950</v>
      </c>
      <c r="C22" s="1">
        <v>31</v>
      </c>
    </row>
    <row r="23" spans="1:3">
      <c r="A23" t="s">
        <v>50</v>
      </c>
      <c r="B23">
        <v>1920</v>
      </c>
      <c r="C23" s="1">
        <v>16.100000000000001</v>
      </c>
    </row>
    <row r="24" spans="1:3">
      <c r="A24" t="s">
        <v>50</v>
      </c>
      <c r="B24">
        <v>1935</v>
      </c>
      <c r="C24" s="1">
        <v>18</v>
      </c>
    </row>
    <row r="25" spans="1:3">
      <c r="A25" t="s">
        <v>50</v>
      </c>
      <c r="B25">
        <v>1950</v>
      </c>
      <c r="C25" s="1">
        <v>23.8</v>
      </c>
    </row>
    <row r="26" spans="1:3">
      <c r="A26" t="s">
        <v>10</v>
      </c>
      <c r="B26">
        <v>1938</v>
      </c>
      <c r="C26" s="1">
        <v>29.1</v>
      </c>
    </row>
    <row r="27" spans="1:3">
      <c r="A27" t="s">
        <v>20</v>
      </c>
      <c r="B27">
        <v>1950</v>
      </c>
      <c r="C27" s="1">
        <v>33.5</v>
      </c>
    </row>
    <row r="28" spans="1:3">
      <c r="A28" t="s">
        <v>21</v>
      </c>
      <c r="B28">
        <v>1943</v>
      </c>
      <c r="C28" s="1">
        <v>54.6</v>
      </c>
    </row>
    <row r="29" spans="1:3">
      <c r="A29" t="s">
        <v>27</v>
      </c>
      <c r="B29">
        <v>1930</v>
      </c>
      <c r="C29" s="1">
        <v>33.5</v>
      </c>
    </row>
    <row r="30" spans="1:3">
      <c r="A30" t="s">
        <v>27</v>
      </c>
      <c r="B30">
        <v>1940</v>
      </c>
      <c r="C30" s="1">
        <v>35.1</v>
      </c>
    </row>
    <row r="31" spans="1:3">
      <c r="A31" t="s">
        <v>28</v>
      </c>
      <c r="B31">
        <v>1906</v>
      </c>
      <c r="C31" s="1">
        <v>33</v>
      </c>
    </row>
    <row r="32" spans="1:3">
      <c r="A32" t="s">
        <v>28</v>
      </c>
      <c r="B32">
        <v>1920</v>
      </c>
      <c r="C32" s="1">
        <v>34.200000000000003</v>
      </c>
    </row>
    <row r="33" spans="1:3">
      <c r="A33" t="s">
        <v>28</v>
      </c>
      <c r="B33">
        <v>1940</v>
      </c>
      <c r="C33" s="1">
        <v>37.200000000000003</v>
      </c>
    </row>
    <row r="34" spans="1:3">
      <c r="A34" t="s">
        <v>28</v>
      </c>
      <c r="B34">
        <v>1950</v>
      </c>
      <c r="C34" s="1">
        <v>34.6</v>
      </c>
    </row>
    <row r="35" spans="1:3">
      <c r="A35" t="s">
        <v>29</v>
      </c>
      <c r="B35">
        <v>1930</v>
      </c>
      <c r="C35" s="1">
        <v>30.1</v>
      </c>
    </row>
    <row r="36" spans="1:3">
      <c r="A36" t="s">
        <v>29</v>
      </c>
      <c r="B36">
        <v>1940</v>
      </c>
      <c r="C36" s="1">
        <v>33.799999999999997</v>
      </c>
    </row>
    <row r="37" spans="1:3">
      <c r="A37" t="s">
        <v>29</v>
      </c>
      <c r="B37">
        <v>1950</v>
      </c>
      <c r="C37" s="1">
        <v>35.9</v>
      </c>
    </row>
    <row r="38" spans="1:3">
      <c r="A38" t="s">
        <v>14</v>
      </c>
      <c r="B38">
        <v>1950</v>
      </c>
      <c r="C38" s="1">
        <v>35.9</v>
      </c>
    </row>
    <row r="39" spans="1:3">
      <c r="A39" t="s">
        <v>15</v>
      </c>
      <c r="B39">
        <v>1940</v>
      </c>
      <c r="C39" s="1">
        <v>35.4</v>
      </c>
    </row>
    <row r="40" spans="1:3">
      <c r="A40" t="s">
        <v>76</v>
      </c>
      <c r="B40">
        <v>1899</v>
      </c>
      <c r="C40" s="1">
        <v>14.6</v>
      </c>
    </row>
    <row r="41" spans="1:3">
      <c r="A41" t="s">
        <v>76</v>
      </c>
      <c r="B41">
        <v>1910</v>
      </c>
      <c r="C41" s="1">
        <v>20.100000000000001</v>
      </c>
    </row>
    <row r="42" spans="1:3">
      <c r="A42" t="s">
        <v>76</v>
      </c>
      <c r="B42">
        <v>1920</v>
      </c>
      <c r="C42" s="1">
        <v>21.8</v>
      </c>
    </row>
    <row r="43" spans="1:3">
      <c r="A43" t="s">
        <v>76</v>
      </c>
      <c r="B43">
        <v>1930</v>
      </c>
      <c r="C43" s="1">
        <v>27.7</v>
      </c>
    </row>
    <row r="44" spans="1:3">
      <c r="A44" t="s">
        <v>76</v>
      </c>
      <c r="B44">
        <v>1935</v>
      </c>
      <c r="C44" s="1">
        <v>29.7</v>
      </c>
    </row>
    <row r="45" spans="1:3">
      <c r="A45" t="s">
        <v>76</v>
      </c>
      <c r="B45">
        <v>1940</v>
      </c>
      <c r="C45" s="1">
        <v>30.3</v>
      </c>
    </row>
    <row r="46" spans="1:3">
      <c r="A46" t="s">
        <v>76</v>
      </c>
      <c r="B46">
        <v>1950</v>
      </c>
      <c r="C46" s="1">
        <v>40.5</v>
      </c>
    </row>
    <row r="47" spans="1:3">
      <c r="A47" t="s">
        <v>22</v>
      </c>
      <c r="B47">
        <v>1930</v>
      </c>
      <c r="C47" s="1">
        <v>38.299999999999997</v>
      </c>
    </row>
    <row r="48" spans="1:3">
      <c r="A48" t="s">
        <v>22</v>
      </c>
      <c r="B48">
        <v>1950</v>
      </c>
      <c r="C48" s="1">
        <v>36.5</v>
      </c>
    </row>
    <row r="49" spans="1:3">
      <c r="A49" t="s">
        <v>37</v>
      </c>
      <c r="B49">
        <v>1901</v>
      </c>
      <c r="C49" s="1">
        <v>24</v>
      </c>
    </row>
    <row r="50" spans="1:3">
      <c r="A50" t="s">
        <v>37</v>
      </c>
      <c r="B50">
        <v>1911</v>
      </c>
      <c r="C50" s="1">
        <v>21.7</v>
      </c>
    </row>
    <row r="51" spans="1:3">
      <c r="A51" t="s">
        <v>37</v>
      </c>
      <c r="B51">
        <v>1921</v>
      </c>
      <c r="C51" s="1">
        <v>20.9</v>
      </c>
    </row>
    <row r="52" spans="1:3">
      <c r="A52" t="s">
        <v>37</v>
      </c>
      <c r="B52">
        <v>1931</v>
      </c>
      <c r="C52" s="1">
        <v>21.7</v>
      </c>
    </row>
    <row r="53" spans="1:3">
      <c r="A53" t="s">
        <v>37</v>
      </c>
      <c r="B53">
        <v>1946</v>
      </c>
      <c r="C53" s="1">
        <v>23.2</v>
      </c>
    </row>
    <row r="54" spans="1:3">
      <c r="A54" t="s">
        <v>9</v>
      </c>
      <c r="B54">
        <v>1930</v>
      </c>
      <c r="C54" s="1">
        <v>49.4</v>
      </c>
    </row>
    <row r="55" spans="1:3">
      <c r="A55" t="s">
        <v>9</v>
      </c>
      <c r="B55">
        <v>1940</v>
      </c>
      <c r="C55" s="1">
        <v>52.4</v>
      </c>
    </row>
    <row r="56" spans="1:3">
      <c r="A56" t="s">
        <v>11</v>
      </c>
      <c r="B56">
        <v>1950</v>
      </c>
      <c r="C56" s="1">
        <v>30.3</v>
      </c>
    </row>
    <row r="57" spans="1:3">
      <c r="A57" t="s">
        <v>26</v>
      </c>
      <c r="B57">
        <v>1943</v>
      </c>
      <c r="C57" s="1">
        <v>18.2</v>
      </c>
    </row>
  </sheetData>
  <sortState xmlns:xlrd2="http://schemas.microsoft.com/office/spreadsheetml/2017/richdata2" ref="I8:I58">
    <sortCondition ref="I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43D6-0532-4458-BC4D-A9495F82E7F4}">
  <dimension ref="A1:O38"/>
  <sheetViews>
    <sheetView topLeftCell="A16" workbookViewId="0">
      <selection activeCell="A30" sqref="A30:O30"/>
    </sheetView>
  </sheetViews>
  <sheetFormatPr defaultRowHeight="14.25"/>
  <cols>
    <col min="2" max="2" width="10.875" bestFit="1" customWidth="1"/>
    <col min="3" max="3" width="11.125" customWidth="1"/>
    <col min="4" max="4" width="9.125" bestFit="1" customWidth="1"/>
    <col min="5" max="5" width="10" customWidth="1"/>
    <col min="6" max="6" width="12.125" customWidth="1"/>
    <col min="7" max="8" width="9.125" bestFit="1" customWidth="1"/>
    <col min="9" max="11" width="9.875" bestFit="1" customWidth="1"/>
    <col min="12" max="12" width="10.75" customWidth="1"/>
    <col min="13" max="13" width="10.5" customWidth="1"/>
    <col min="14" max="14" width="10.125" customWidth="1"/>
    <col min="15" max="15" width="10.875" customWidth="1"/>
  </cols>
  <sheetData>
    <row r="1" spans="1:3" ht="15">
      <c r="A1" s="13" t="s">
        <v>95</v>
      </c>
    </row>
    <row r="2" spans="1:3">
      <c r="A2" t="s">
        <v>94</v>
      </c>
    </row>
    <row r="4" spans="1:3">
      <c r="A4" t="s">
        <v>27</v>
      </c>
      <c r="B4">
        <v>1900</v>
      </c>
      <c r="C4">
        <v>28.3</v>
      </c>
    </row>
    <row r="5" spans="1:3">
      <c r="A5" t="s">
        <v>27</v>
      </c>
      <c r="B5">
        <v>1910</v>
      </c>
      <c r="C5">
        <v>28.7</v>
      </c>
    </row>
    <row r="6" spans="1:3">
      <c r="A6" t="s">
        <v>27</v>
      </c>
      <c r="B6">
        <v>1921</v>
      </c>
      <c r="C6">
        <v>31.2</v>
      </c>
    </row>
    <row r="7" spans="1:3">
      <c r="A7" t="s">
        <v>27</v>
      </c>
      <c r="B7">
        <v>1930</v>
      </c>
      <c r="C7">
        <v>33.5</v>
      </c>
    </row>
    <row r="8" spans="1:3">
      <c r="A8" t="s">
        <v>27</v>
      </c>
      <c r="B8">
        <v>1940</v>
      </c>
      <c r="C8">
        <v>35.1</v>
      </c>
    </row>
    <row r="9" spans="1:3">
      <c r="A9" t="s">
        <v>27</v>
      </c>
      <c r="B9">
        <v>1950</v>
      </c>
      <c r="C9">
        <v>42.6</v>
      </c>
    </row>
    <row r="10" spans="1:3">
      <c r="A10" t="s">
        <v>27</v>
      </c>
      <c r="B10">
        <v>1960</v>
      </c>
      <c r="C10">
        <v>50.7</v>
      </c>
    </row>
    <row r="11" spans="1:3">
      <c r="A11" t="s">
        <v>27</v>
      </c>
      <c r="B11">
        <v>1970</v>
      </c>
      <c r="C11">
        <v>57.8</v>
      </c>
    </row>
    <row r="12" spans="1:3">
      <c r="A12" t="s">
        <v>27</v>
      </c>
      <c r="B12">
        <v>1980</v>
      </c>
      <c r="C12">
        <v>66.3</v>
      </c>
    </row>
    <row r="13" spans="1:3">
      <c r="A13" t="s">
        <v>27</v>
      </c>
      <c r="B13">
        <v>1990</v>
      </c>
      <c r="C13">
        <v>71.3</v>
      </c>
    </row>
    <row r="14" spans="1:3">
      <c r="A14" t="s">
        <v>27</v>
      </c>
      <c r="B14">
        <v>1995</v>
      </c>
      <c r="C14">
        <v>73.5</v>
      </c>
    </row>
    <row r="15" spans="1:3">
      <c r="A15" t="s">
        <v>27</v>
      </c>
      <c r="B15">
        <v>2000</v>
      </c>
      <c r="C15">
        <v>74.599999999999994</v>
      </c>
    </row>
    <row r="16" spans="1:3">
      <c r="A16" t="s">
        <v>27</v>
      </c>
      <c r="B16">
        <v>2005</v>
      </c>
      <c r="C16">
        <v>78.5</v>
      </c>
    </row>
    <row r="17" spans="1:15">
      <c r="A17" t="s">
        <v>27</v>
      </c>
      <c r="B17">
        <v>2010</v>
      </c>
      <c r="C17">
        <v>76.8</v>
      </c>
    </row>
    <row r="20" spans="1:15" ht="15">
      <c r="A20" s="13" t="s">
        <v>96</v>
      </c>
    </row>
    <row r="21" spans="1:15">
      <c r="A21" t="s">
        <v>97</v>
      </c>
    </row>
    <row r="24" spans="1:15" ht="15">
      <c r="A24" s="16" t="s">
        <v>42</v>
      </c>
      <c r="B24" s="16" t="s">
        <v>98</v>
      </c>
      <c r="C24" s="16" t="s">
        <v>99</v>
      </c>
      <c r="D24" s="16" t="s">
        <v>100</v>
      </c>
      <c r="E24" s="16" t="s">
        <v>101</v>
      </c>
      <c r="F24" s="16" t="s">
        <v>102</v>
      </c>
      <c r="G24" s="16" t="s">
        <v>103</v>
      </c>
      <c r="H24" s="16" t="s">
        <v>104</v>
      </c>
      <c r="I24" s="16" t="s">
        <v>105</v>
      </c>
      <c r="J24" s="16" t="s">
        <v>107</v>
      </c>
      <c r="K24" s="23" t="s">
        <v>106</v>
      </c>
      <c r="L24" s="23" t="s">
        <v>108</v>
      </c>
      <c r="M24" s="23" t="s">
        <v>109</v>
      </c>
      <c r="N24" s="23" t="s">
        <v>61</v>
      </c>
      <c r="O24" s="23" t="s">
        <v>54</v>
      </c>
    </row>
    <row r="25" spans="1:15">
      <c r="A25" s="17">
        <v>1900</v>
      </c>
      <c r="B25" s="18">
        <v>13607272</v>
      </c>
      <c r="C25" s="18">
        <v>1003646</v>
      </c>
      <c r="D25" s="18">
        <v>1985468</v>
      </c>
      <c r="E25" s="18">
        <v>3330153</v>
      </c>
      <c r="F25" s="18">
        <v>4366941</v>
      </c>
      <c r="G25" s="18"/>
      <c r="H25" s="18"/>
      <c r="I25" s="18"/>
      <c r="J25" s="18"/>
      <c r="K25" s="18"/>
      <c r="L25" s="21">
        <f>B25-SUM(C25:F25)</f>
        <v>2921064</v>
      </c>
      <c r="M25" s="17"/>
      <c r="N25" s="22">
        <f>100*L25/B25</f>
        <v>21.466933269210756</v>
      </c>
      <c r="O25" s="22"/>
    </row>
    <row r="26" spans="1:15">
      <c r="A26" s="17">
        <v>1910</v>
      </c>
      <c r="B26" s="18">
        <v>15160369</v>
      </c>
      <c r="C26" s="18">
        <v>945632</v>
      </c>
      <c r="D26" s="18">
        <v>2053154</v>
      </c>
      <c r="E26" s="18">
        <v>3339000</v>
      </c>
      <c r="F26" s="18">
        <v>5078967</v>
      </c>
      <c r="G26" s="18"/>
      <c r="H26" s="18"/>
      <c r="I26" s="18"/>
      <c r="J26" s="18"/>
      <c r="K26" s="18"/>
      <c r="L26" s="21">
        <f t="shared" ref="L26:L28" si="0">B26-SUM(C26:F26)</f>
        <v>3743616</v>
      </c>
      <c r="M26" s="17"/>
      <c r="N26" s="22">
        <f t="shared" ref="N26:N38" si="1">100*L26/B26</f>
        <v>24.693435891962789</v>
      </c>
      <c r="O26" s="22"/>
    </row>
    <row r="27" spans="1:15">
      <c r="A27" s="17">
        <v>1921</v>
      </c>
      <c r="B27" s="18">
        <v>14330780</v>
      </c>
      <c r="C27" s="18">
        <v>843464</v>
      </c>
      <c r="D27" s="18">
        <v>1846928</v>
      </c>
      <c r="E27" s="18">
        <v>3103658</v>
      </c>
      <c r="F27" s="18">
        <v>4149139</v>
      </c>
      <c r="G27" s="18"/>
      <c r="H27" s="18"/>
      <c r="I27" s="18"/>
      <c r="J27" s="18"/>
      <c r="K27" s="18"/>
      <c r="L27" s="21">
        <f t="shared" si="0"/>
        <v>4387591</v>
      </c>
      <c r="M27" s="17"/>
      <c r="N27" s="22">
        <f t="shared" si="1"/>
        <v>30.616554018692632</v>
      </c>
      <c r="O27" s="22"/>
    </row>
    <row r="28" spans="1:15">
      <c r="A28" s="17">
        <v>1930</v>
      </c>
      <c r="B28" s="18">
        <v>16552722</v>
      </c>
      <c r="C28" s="18">
        <v>805014</v>
      </c>
      <c r="D28" s="18">
        <v>2171814</v>
      </c>
      <c r="E28" s="18">
        <v>3655794</v>
      </c>
      <c r="F28" s="18">
        <v>5210646</v>
      </c>
      <c r="G28" s="18"/>
      <c r="H28" s="18"/>
      <c r="I28" s="18"/>
      <c r="J28" s="18"/>
      <c r="K28" s="18"/>
      <c r="L28" s="21">
        <f t="shared" si="0"/>
        <v>4709454</v>
      </c>
      <c r="M28" s="17"/>
      <c r="N28" s="22">
        <f t="shared" si="1"/>
        <v>28.451235996109883</v>
      </c>
      <c r="O28" s="22"/>
    </row>
    <row r="29" spans="1:15">
      <c r="A29" s="17">
        <v>1940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7"/>
      <c r="M29" s="17"/>
      <c r="N29" s="22"/>
      <c r="O29" s="22"/>
    </row>
    <row r="30" spans="1:15">
      <c r="A30" s="17">
        <v>1950</v>
      </c>
      <c r="B30" s="18">
        <v>25791017</v>
      </c>
      <c r="C30" s="18">
        <v>14790299</v>
      </c>
      <c r="D30" s="18">
        <v>2063467</v>
      </c>
      <c r="E30" s="18">
        <v>1472397</v>
      </c>
      <c r="F30" s="18">
        <v>1281299</v>
      </c>
      <c r="G30" s="19">
        <v>1258428</v>
      </c>
      <c r="H30" s="19">
        <v>725296</v>
      </c>
      <c r="I30" s="19">
        <v>1406204</v>
      </c>
      <c r="J30" s="19">
        <v>2234795</v>
      </c>
      <c r="K30" s="18"/>
      <c r="L30" s="21">
        <f t="shared" ref="L30:L38" si="2">B30-SUM(C30:F30)</f>
        <v>6183555</v>
      </c>
      <c r="M30" s="21">
        <f>SUM(I30:K30)</f>
        <v>3640999</v>
      </c>
      <c r="N30" s="22">
        <f t="shared" si="1"/>
        <v>23.975615230682838</v>
      </c>
      <c r="O30" s="22">
        <f>M30/B30*100</f>
        <v>14.117314567316209</v>
      </c>
    </row>
    <row r="31" spans="1:15">
      <c r="A31" s="17">
        <v>1960</v>
      </c>
      <c r="B31" s="18">
        <v>34923129</v>
      </c>
      <c r="C31" s="18">
        <v>17218011</v>
      </c>
      <c r="D31" s="18">
        <v>2959460</v>
      </c>
      <c r="E31" s="18">
        <v>2366431</v>
      </c>
      <c r="F31" s="18">
        <v>2027511</v>
      </c>
      <c r="G31" s="19">
        <v>2108551</v>
      </c>
      <c r="H31" s="20">
        <v>1730933</v>
      </c>
      <c r="I31" s="19">
        <v>2346360</v>
      </c>
      <c r="J31" s="20">
        <v>4165872</v>
      </c>
      <c r="K31" s="18"/>
      <c r="L31" s="21">
        <f t="shared" si="2"/>
        <v>10351716</v>
      </c>
      <c r="M31" s="21">
        <f t="shared" ref="M31:M32" si="3">SUM(I31:K31)</f>
        <v>6512232</v>
      </c>
      <c r="N31" s="22">
        <f t="shared" si="1"/>
        <v>29.641433332047651</v>
      </c>
      <c r="O31" s="22">
        <f t="shared" ref="O31:O38" si="4">M31/B31*100</f>
        <v>18.647332545717767</v>
      </c>
    </row>
    <row r="32" spans="1:15">
      <c r="A32" s="17">
        <v>1970</v>
      </c>
      <c r="B32" s="19">
        <v>48225238</v>
      </c>
      <c r="C32" s="20">
        <v>19916682</v>
      </c>
      <c r="D32" s="19">
        <v>4129872</v>
      </c>
      <c r="E32" s="19">
        <v>3764208</v>
      </c>
      <c r="F32" s="19">
        <v>3409846</v>
      </c>
      <c r="G32" s="19">
        <v>3405818</v>
      </c>
      <c r="H32" s="20">
        <v>2356569</v>
      </c>
      <c r="I32" s="20">
        <v>5707130</v>
      </c>
      <c r="J32" s="19">
        <v>4341512</v>
      </c>
      <c r="K32" s="19">
        <v>1193601</v>
      </c>
      <c r="L32" s="21">
        <f t="shared" si="2"/>
        <v>17004630</v>
      </c>
      <c r="M32" s="21">
        <f t="shared" si="3"/>
        <v>11242243</v>
      </c>
      <c r="N32" s="22">
        <f t="shared" si="1"/>
        <v>35.260852419224967</v>
      </c>
      <c r="O32" s="22">
        <f t="shared" si="4"/>
        <v>23.311949232889219</v>
      </c>
    </row>
    <row r="33" spans="1:15">
      <c r="A33" s="17">
        <v>1980</v>
      </c>
      <c r="B33" s="19"/>
      <c r="C33" s="20"/>
      <c r="D33" s="19"/>
      <c r="E33" s="19"/>
      <c r="F33" s="19"/>
      <c r="G33" s="19"/>
      <c r="H33" s="20"/>
      <c r="I33" s="20"/>
      <c r="J33" s="19"/>
      <c r="K33" s="19"/>
      <c r="L33" s="21"/>
      <c r="M33" s="17"/>
      <c r="N33" s="22"/>
      <c r="O33" s="22"/>
    </row>
    <row r="34" spans="1:15">
      <c r="A34" s="17">
        <v>1990</v>
      </c>
      <c r="B34" s="20">
        <v>81249645</v>
      </c>
      <c r="C34" s="19">
        <v>23289924</v>
      </c>
      <c r="D34" s="19">
        <v>4647566</v>
      </c>
      <c r="E34" s="19">
        <v>6636745</v>
      </c>
      <c r="F34" s="19">
        <v>1675566</v>
      </c>
      <c r="G34" s="19">
        <v>5075188</v>
      </c>
      <c r="H34" s="19">
        <v>3854850</v>
      </c>
      <c r="I34" s="19">
        <v>18233313</v>
      </c>
      <c r="J34" s="19">
        <v>8878127</v>
      </c>
      <c r="K34" s="19">
        <v>8958366</v>
      </c>
      <c r="L34" s="21">
        <f t="shared" si="2"/>
        <v>44999844</v>
      </c>
      <c r="M34" s="21">
        <f t="shared" ref="M34:M38" si="5">SUM(I34:K34)</f>
        <v>36069806</v>
      </c>
      <c r="N34" s="22">
        <f t="shared" si="1"/>
        <v>55.384665372999478</v>
      </c>
      <c r="O34" s="22">
        <f t="shared" si="4"/>
        <v>44.393801351378215</v>
      </c>
    </row>
    <row r="35" spans="1:15">
      <c r="A35" s="17">
        <v>1995</v>
      </c>
      <c r="B35" s="19">
        <v>91158290</v>
      </c>
      <c r="C35" s="19">
        <v>24154775</v>
      </c>
      <c r="D35" s="19">
        <v>4996974</v>
      </c>
      <c r="E35" s="19">
        <v>7373112</v>
      </c>
      <c r="F35" s="19">
        <v>1859302</v>
      </c>
      <c r="G35" s="19">
        <v>6146276</v>
      </c>
      <c r="H35" s="19">
        <v>4340532</v>
      </c>
      <c r="I35" s="19">
        <v>19000266</v>
      </c>
      <c r="J35" s="19">
        <v>13765240</v>
      </c>
      <c r="K35" s="19">
        <v>9521813</v>
      </c>
      <c r="L35" s="21">
        <f t="shared" si="2"/>
        <v>52774127</v>
      </c>
      <c r="M35" s="21">
        <f t="shared" si="5"/>
        <v>42287319</v>
      </c>
      <c r="N35" s="22">
        <f t="shared" si="1"/>
        <v>57.89284441382128</v>
      </c>
      <c r="O35" s="22">
        <f t="shared" si="4"/>
        <v>46.388890138241948</v>
      </c>
    </row>
    <row r="36" spans="1:15">
      <c r="A36" s="17">
        <v>2000</v>
      </c>
      <c r="B36" s="20">
        <v>97483412</v>
      </c>
      <c r="C36" s="19">
        <v>24723590</v>
      </c>
      <c r="D36" s="19">
        <v>5462305</v>
      </c>
      <c r="E36" s="19">
        <v>7878309</v>
      </c>
      <c r="F36" s="19">
        <v>1888466</v>
      </c>
      <c r="G36" s="19">
        <v>6847942</v>
      </c>
      <c r="H36" s="19">
        <v>4549492</v>
      </c>
      <c r="I36" s="19">
        <v>20430268</v>
      </c>
      <c r="J36" s="19">
        <v>12461706</v>
      </c>
      <c r="K36" s="19">
        <v>13241334</v>
      </c>
      <c r="L36" s="21">
        <f t="shared" si="2"/>
        <v>57530742</v>
      </c>
      <c r="M36" s="21">
        <f t="shared" si="5"/>
        <v>46133308</v>
      </c>
      <c r="N36" s="22">
        <f t="shared" si="1"/>
        <v>59.015929807627167</v>
      </c>
      <c r="O36" s="22">
        <f t="shared" si="4"/>
        <v>47.324264768245904</v>
      </c>
    </row>
    <row r="37" spans="1:15">
      <c r="A37" s="17">
        <v>2005</v>
      </c>
      <c r="B37" s="19">
        <v>103263388</v>
      </c>
      <c r="C37" s="19">
        <v>24276536</v>
      </c>
      <c r="D37" s="19">
        <v>5663750</v>
      </c>
      <c r="E37" s="19">
        <v>8466969</v>
      </c>
      <c r="F37" s="19">
        <v>1837560</v>
      </c>
      <c r="G37" s="19">
        <v>7444004</v>
      </c>
      <c r="H37" s="19">
        <v>5082771</v>
      </c>
      <c r="I37" s="19">
        <v>21370547</v>
      </c>
      <c r="J37" s="19">
        <v>14398274</v>
      </c>
      <c r="K37" s="19">
        <v>14722977</v>
      </c>
      <c r="L37" s="21">
        <f t="shared" si="2"/>
        <v>63018573</v>
      </c>
      <c r="M37" s="21">
        <f t="shared" si="5"/>
        <v>50491798</v>
      </c>
      <c r="N37" s="22">
        <f t="shared" si="1"/>
        <v>61.027024408689748</v>
      </c>
      <c r="O37" s="22">
        <f t="shared" si="4"/>
        <v>48.896127638190606</v>
      </c>
    </row>
    <row r="38" spans="1:15">
      <c r="A38" s="17">
        <v>2010</v>
      </c>
      <c r="B38" s="19">
        <v>112336538</v>
      </c>
      <c r="C38" s="19">
        <v>26049769</v>
      </c>
      <c r="D38" s="19">
        <v>6360949</v>
      </c>
      <c r="E38" s="19">
        <v>9746684</v>
      </c>
      <c r="F38" s="19">
        <v>6417488</v>
      </c>
      <c r="G38" s="19">
        <v>4150450</v>
      </c>
      <c r="H38" s="19">
        <v>5946088</v>
      </c>
      <c r="I38" s="19">
        <v>22472661</v>
      </c>
      <c r="J38" s="19">
        <v>16363103</v>
      </c>
      <c r="K38" s="19">
        <v>14829346</v>
      </c>
      <c r="L38" s="21">
        <f t="shared" si="2"/>
        <v>63761648</v>
      </c>
      <c r="M38" s="21">
        <f t="shared" si="5"/>
        <v>53665110</v>
      </c>
      <c r="N38" s="22">
        <f t="shared" si="1"/>
        <v>56.759491733669059</v>
      </c>
      <c r="O38" s="22">
        <f t="shared" si="4"/>
        <v>47.771732114443481</v>
      </c>
    </row>
  </sheetData>
  <pageMargins left="0.7" right="0.7" top="0.75" bottom="0.75" header="0.3" footer="0.3"/>
  <ignoredErrors>
    <ignoredError sqref="M30:M3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6925-0078-4AF9-986A-8BA8236BAFF3}">
  <dimension ref="A1:AF138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E23" sqref="AE22:AE23"/>
    </sheetView>
  </sheetViews>
  <sheetFormatPr defaultRowHeight="14.25"/>
  <sheetData>
    <row r="1" spans="1:28" ht="15">
      <c r="A1" s="11" t="s">
        <v>91</v>
      </c>
    </row>
    <row r="3" spans="1:28" ht="15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110</v>
      </c>
    </row>
    <row r="4" spans="1:28" ht="15">
      <c r="A4" s="29">
        <v>1895</v>
      </c>
      <c r="B4" s="1">
        <v>37.4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8" ht="15">
      <c r="A5" s="29">
        <v>1897</v>
      </c>
      <c r="B5" s="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>
        <v>15</v>
      </c>
      <c r="AB5">
        <v>14.7</v>
      </c>
    </row>
    <row r="6" spans="1:28" ht="15">
      <c r="A6" s="29">
        <v>1899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8" ht="15">
      <c r="A7" s="29">
        <v>1900</v>
      </c>
      <c r="B7" s="12"/>
      <c r="C7" s="12"/>
      <c r="D7" s="1">
        <v>26.9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8" ht="15">
      <c r="A8" s="29">
        <v>1901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8" ht="15">
      <c r="A9" s="29">
        <v>1906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">
        <v>33</v>
      </c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8" ht="15">
      <c r="A10" s="29">
        <v>1910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8" ht="15">
      <c r="A11" s="29">
        <v>1911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8" ht="15">
      <c r="A12" s="29">
        <v>1913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>
        <v>18</v>
      </c>
    </row>
    <row r="13" spans="1:28" ht="15">
      <c r="A13" s="29">
        <v>1914</v>
      </c>
      <c r="B13" s="1">
        <v>52.7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8" ht="15">
      <c r="A14" s="29">
        <v>1920</v>
      </c>
      <c r="B14" s="12"/>
      <c r="C14" s="12"/>
      <c r="D14" s="12"/>
      <c r="E14" s="12"/>
      <c r="F14" s="12"/>
      <c r="G14" s="12"/>
      <c r="H14" s="12"/>
      <c r="I14" s="12"/>
      <c r="J14" s="12"/>
      <c r="K14" s="1">
        <v>16.100000000000001</v>
      </c>
      <c r="L14" s="12"/>
      <c r="M14" s="12"/>
      <c r="N14" s="12"/>
      <c r="O14" s="12"/>
      <c r="P14" s="1">
        <v>34.200000000000003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  <c r="AA14">
        <v>15</v>
      </c>
      <c r="AB14">
        <v>14.2</v>
      </c>
    </row>
    <row r="15" spans="1:28" ht="15">
      <c r="A15" s="29">
        <v>1921</v>
      </c>
      <c r="B15" s="12"/>
      <c r="C15" s="12"/>
      <c r="D15" s="12"/>
      <c r="E15" s="12"/>
      <c r="F15" s="12"/>
      <c r="G15" s="12"/>
      <c r="H15" s="1">
        <v>26.6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8" ht="15">
      <c r="A16" s="29">
        <v>1926</v>
      </c>
      <c r="B16" s="12"/>
      <c r="C16" s="12"/>
      <c r="D16" s="12"/>
      <c r="E16" s="12"/>
      <c r="F16" s="12"/>
      <c r="G16" s="12"/>
      <c r="H16" s="1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>
        <v>17.899999999999999</v>
      </c>
      <c r="AB16">
        <v>17.3</v>
      </c>
    </row>
    <row r="17" spans="1:28" ht="15">
      <c r="A17" s="29">
        <v>1930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">
        <v>33.5</v>
      </c>
      <c r="P17" s="12"/>
      <c r="Q17" s="1">
        <v>30.1</v>
      </c>
      <c r="R17" s="12"/>
      <c r="S17" s="12"/>
      <c r="T17" s="1">
        <v>38.299999999999997</v>
      </c>
      <c r="U17" s="12"/>
      <c r="V17" s="12"/>
      <c r="W17" s="12"/>
      <c r="X17" s="1">
        <v>49.4</v>
      </c>
      <c r="Y17" s="1">
        <v>30.3</v>
      </c>
      <c r="Z17" s="12"/>
    </row>
    <row r="18" spans="1:28" ht="15">
      <c r="A18" s="29">
        <v>1931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8" ht="15">
      <c r="A19" s="29">
        <v>1935</v>
      </c>
      <c r="B19" s="12"/>
      <c r="C19" s="12"/>
      <c r="D19" s="12"/>
      <c r="E19" s="12"/>
      <c r="F19" s="12"/>
      <c r="G19" s="12"/>
      <c r="H19" s="12"/>
      <c r="I19" s="12"/>
      <c r="J19" s="12"/>
      <c r="K19" s="1">
        <v>18</v>
      </c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8" ht="15">
      <c r="A20" s="29">
        <v>1936</v>
      </c>
      <c r="B20" s="12"/>
      <c r="C20" s="12"/>
      <c r="D20" s="12"/>
      <c r="E20" s="12"/>
      <c r="F20" s="1">
        <v>35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8" ht="15">
      <c r="A21" s="29">
        <v>1937</v>
      </c>
      <c r="B21" s="12"/>
      <c r="C21" s="12"/>
      <c r="D21" s="12"/>
      <c r="E21" s="12"/>
      <c r="F21" s="1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">
        <v>27</v>
      </c>
      <c r="AB21">
        <v>28.9</v>
      </c>
    </row>
    <row r="22" spans="1:28" ht="15">
      <c r="A22" s="29">
        <v>1938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">
        <v>29.1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8" ht="15">
      <c r="A23" s="29">
        <v>1939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>
        <v>28.3</v>
      </c>
      <c r="AB23">
        <v>31.5</v>
      </c>
    </row>
    <row r="24" spans="1:28" ht="15">
      <c r="A24" s="29">
        <v>1940</v>
      </c>
      <c r="B24" s="2"/>
      <c r="C24" s="2"/>
      <c r="D24" s="2"/>
      <c r="E24" s="1">
        <v>31.2</v>
      </c>
      <c r="F24" s="2"/>
      <c r="G24" s="2"/>
      <c r="H24" s="1">
        <v>26.7</v>
      </c>
      <c r="I24" s="2"/>
      <c r="J24" s="2"/>
      <c r="K24" s="2"/>
      <c r="L24" s="2"/>
      <c r="M24" s="2"/>
      <c r="N24" s="2"/>
      <c r="O24" s="1">
        <v>35.1</v>
      </c>
      <c r="P24" s="1">
        <v>37.200000000000003</v>
      </c>
      <c r="Q24" s="1">
        <v>33.799999999999997</v>
      </c>
      <c r="R24" s="2"/>
      <c r="S24">
        <v>36.1</v>
      </c>
      <c r="T24" s="2"/>
      <c r="U24" s="2"/>
      <c r="V24" s="2"/>
      <c r="W24" s="2"/>
      <c r="X24" s="1">
        <v>52.4</v>
      </c>
      <c r="Y24" s="2"/>
      <c r="Z24" s="2"/>
    </row>
    <row r="25" spans="1:28" ht="15">
      <c r="A25" s="29">
        <v>1941</v>
      </c>
      <c r="B25" s="2"/>
      <c r="C25" s="2"/>
      <c r="D25" s="2"/>
      <c r="E25" s="2"/>
      <c r="F25" s="1">
        <v>39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  <c r="V25" s="2"/>
      <c r="W25" s="2"/>
      <c r="X25" s="2"/>
      <c r="Y25" s="2"/>
      <c r="Z25" s="2"/>
    </row>
    <row r="26" spans="1:28" ht="15">
      <c r="A26" s="29">
        <v>1943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>
        <v>54.6</v>
      </c>
      <c r="O26" s="2"/>
      <c r="P26" s="2"/>
      <c r="Q26" s="2"/>
      <c r="R26" s="2"/>
      <c r="T26" s="2"/>
      <c r="U26" s="2"/>
      <c r="V26" s="2"/>
      <c r="W26" s="2"/>
      <c r="X26" s="2"/>
      <c r="Y26" s="2"/>
      <c r="Z26" s="1">
        <v>18.2</v>
      </c>
    </row>
    <row r="27" spans="1:28" ht="15">
      <c r="A27" s="29">
        <v>1945</v>
      </c>
      <c r="B27" s="2"/>
      <c r="C27" s="2"/>
      <c r="D27" s="2"/>
      <c r="E27" s="2"/>
      <c r="F27" s="2"/>
      <c r="G27" s="2"/>
      <c r="H27" s="2"/>
      <c r="I27" s="2"/>
      <c r="J27" s="1">
        <v>29</v>
      </c>
      <c r="K27" s="2"/>
      <c r="L27" s="2"/>
      <c r="M27" s="2"/>
      <c r="N27" s="2"/>
      <c r="O27" s="2"/>
      <c r="P27" s="2"/>
      <c r="Q27" s="2"/>
      <c r="R27" s="2"/>
      <c r="T27" s="2"/>
      <c r="U27" s="2"/>
      <c r="V27" s="2"/>
      <c r="W27" s="2"/>
      <c r="X27" s="2"/>
      <c r="Y27" s="2"/>
      <c r="Z27" s="2"/>
    </row>
    <row r="28" spans="1:28" ht="15">
      <c r="A28" s="29">
        <v>1946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  <c r="V28" s="2"/>
      <c r="W28" s="2"/>
      <c r="X28" s="2"/>
      <c r="Y28" s="2"/>
      <c r="Z28" s="2"/>
    </row>
    <row r="29" spans="1:28" ht="15">
      <c r="A29" s="29">
        <v>1947</v>
      </c>
      <c r="B29" s="1">
        <v>62.5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  <c r="V29" s="2"/>
      <c r="W29" s="2"/>
      <c r="X29" s="2"/>
      <c r="Y29" s="2"/>
      <c r="Z29" s="2"/>
    </row>
    <row r="30" spans="1:28">
      <c r="A30" s="29">
        <v>1950</v>
      </c>
      <c r="B30" s="1">
        <v>62.5</v>
      </c>
      <c r="C30" s="1">
        <v>56.5</v>
      </c>
      <c r="D30" s="1">
        <v>33.9</v>
      </c>
      <c r="E30" s="1">
        <v>36.5</v>
      </c>
      <c r="F30" s="1">
        <v>53.7</v>
      </c>
      <c r="G30" s="1">
        <v>12.2</v>
      </c>
      <c r="H30" s="1">
        <v>25</v>
      </c>
      <c r="I30" s="1">
        <v>28.1</v>
      </c>
      <c r="J30" s="1">
        <v>31</v>
      </c>
      <c r="K30" s="1">
        <v>23.9</v>
      </c>
      <c r="L30" s="1">
        <v>42.7</v>
      </c>
      <c r="M30" s="1">
        <v>33.5</v>
      </c>
      <c r="N30" s="1">
        <v>55.1</v>
      </c>
      <c r="O30" s="1">
        <v>42.6</v>
      </c>
      <c r="P30" s="1">
        <v>34.9</v>
      </c>
      <c r="Q30" s="1">
        <v>36</v>
      </c>
      <c r="R30" s="1">
        <v>34.6</v>
      </c>
      <c r="S30" s="1">
        <v>35.299999999999997</v>
      </c>
      <c r="T30" s="1">
        <v>36.5</v>
      </c>
      <c r="U30" s="1">
        <v>47</v>
      </c>
      <c r="V30" s="1">
        <v>78</v>
      </c>
      <c r="W30" s="1">
        <v>52</v>
      </c>
      <c r="X30" s="1">
        <v>60.7</v>
      </c>
      <c r="Y30" s="1">
        <v>28.5</v>
      </c>
      <c r="Z30" s="1">
        <v>26.7</v>
      </c>
    </row>
    <row r="31" spans="1:28">
      <c r="A31" s="29">
        <v>1959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>
        <v>47.9</v>
      </c>
      <c r="AB31">
        <v>52.4</v>
      </c>
    </row>
    <row r="32" spans="1:28">
      <c r="A32" s="29">
        <v>1960</v>
      </c>
      <c r="B32" s="1">
        <v>73.8</v>
      </c>
      <c r="C32" s="1">
        <v>53.8</v>
      </c>
      <c r="D32" s="1">
        <v>39.299999999999997</v>
      </c>
      <c r="E32" s="1">
        <v>43</v>
      </c>
      <c r="F32" s="1">
        <v>67.400000000000006</v>
      </c>
      <c r="G32" s="1">
        <v>15.6</v>
      </c>
      <c r="H32" s="1">
        <v>33.6</v>
      </c>
      <c r="I32" s="1">
        <v>29</v>
      </c>
      <c r="J32" s="1">
        <v>30.4</v>
      </c>
      <c r="K32" s="1">
        <v>30.5</v>
      </c>
      <c r="L32" s="1">
        <v>52.1</v>
      </c>
      <c r="M32" s="1">
        <v>34.5</v>
      </c>
      <c r="N32" s="1">
        <v>54.9</v>
      </c>
      <c r="O32" s="1">
        <v>50.7</v>
      </c>
      <c r="P32" s="1">
        <v>40.9</v>
      </c>
      <c r="Q32" s="1">
        <v>41.5</v>
      </c>
      <c r="R32" s="1">
        <v>35.799999999999997</v>
      </c>
      <c r="S32" s="1">
        <v>47.4</v>
      </c>
      <c r="T32" s="1">
        <v>38.5</v>
      </c>
      <c r="U32" s="1">
        <v>47.2</v>
      </c>
      <c r="V32" s="1">
        <v>81</v>
      </c>
      <c r="W32" s="1">
        <v>63.6</v>
      </c>
      <c r="X32" s="1">
        <v>68.2</v>
      </c>
      <c r="Y32" s="1">
        <v>35.299999999999997</v>
      </c>
      <c r="Z32" s="1">
        <v>33.799999999999997</v>
      </c>
    </row>
    <row r="33" spans="1:28">
      <c r="A33" s="29">
        <v>1970</v>
      </c>
      <c r="B33" s="1">
        <v>79</v>
      </c>
      <c r="C33" s="1">
        <v>51.2</v>
      </c>
      <c r="D33" s="1">
        <v>41.7</v>
      </c>
      <c r="E33" s="1">
        <v>55.9</v>
      </c>
      <c r="F33" s="1">
        <v>77.2</v>
      </c>
      <c r="G33" s="1">
        <v>20.2</v>
      </c>
      <c r="H33" s="1">
        <v>36.4</v>
      </c>
      <c r="I33" s="1">
        <v>29.5</v>
      </c>
      <c r="J33" s="1">
        <v>37.200000000000003</v>
      </c>
      <c r="K33" s="1">
        <v>39.700000000000003</v>
      </c>
      <c r="L33" s="1">
        <v>59.1</v>
      </c>
      <c r="M33" s="1">
        <v>40.6</v>
      </c>
      <c r="N33" s="1">
        <v>60.7</v>
      </c>
      <c r="O33" s="1">
        <v>58.7</v>
      </c>
      <c r="P33" s="1">
        <v>47.7</v>
      </c>
      <c r="Q33" s="1">
        <v>47.6</v>
      </c>
      <c r="R33" s="1">
        <v>37.1</v>
      </c>
      <c r="S33" s="1">
        <v>59.5</v>
      </c>
      <c r="T33" s="1">
        <v>39.5</v>
      </c>
      <c r="U33" s="1">
        <v>46</v>
      </c>
      <c r="V33" s="1">
        <v>83.3</v>
      </c>
      <c r="W33" s="1">
        <v>67.3</v>
      </c>
      <c r="X33" s="1">
        <v>75.099999999999994</v>
      </c>
      <c r="Y33" s="1">
        <v>41.4</v>
      </c>
      <c r="Z33" s="1">
        <v>41.5</v>
      </c>
      <c r="AA33" s="1">
        <v>56.3</v>
      </c>
      <c r="AB33" s="1">
        <v>62.3</v>
      </c>
    </row>
    <row r="34" spans="1:28">
      <c r="A34" s="29">
        <v>1979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62.3</v>
      </c>
      <c r="AB34">
        <v>69.3</v>
      </c>
    </row>
    <row r="35" spans="1:28">
      <c r="A35" s="29">
        <v>1980</v>
      </c>
      <c r="B35" s="1">
        <v>83</v>
      </c>
      <c r="C35" s="1">
        <v>49.3</v>
      </c>
      <c r="D35" s="1">
        <v>50.5</v>
      </c>
      <c r="E35" s="1">
        <v>67.599999999999994</v>
      </c>
      <c r="F35" s="1">
        <v>84</v>
      </c>
      <c r="G35" s="1">
        <v>24.5</v>
      </c>
      <c r="H35" s="1">
        <v>32.700000000000003</v>
      </c>
      <c r="I35" s="1">
        <v>30.6</v>
      </c>
      <c r="J35" s="1">
        <v>38.700000000000003</v>
      </c>
      <c r="K35" s="1">
        <v>52</v>
      </c>
      <c r="L35" s="1">
        <v>67.2</v>
      </c>
      <c r="M35" s="1">
        <v>44.5</v>
      </c>
      <c r="N35" s="1">
        <v>69</v>
      </c>
      <c r="O35" s="1">
        <v>66.400000000000006</v>
      </c>
      <c r="P35" s="1">
        <v>50.3</v>
      </c>
      <c r="Q35" s="1">
        <v>50.4</v>
      </c>
      <c r="R35" s="1">
        <v>42.8</v>
      </c>
      <c r="S35" s="1">
        <v>65.2</v>
      </c>
      <c r="T35" s="1">
        <v>41.6</v>
      </c>
      <c r="U35" s="1">
        <v>54.9</v>
      </c>
      <c r="V35" s="1">
        <v>87.3</v>
      </c>
      <c r="W35" s="1">
        <v>70.599999999999994</v>
      </c>
      <c r="X35" s="1">
        <v>82.2</v>
      </c>
      <c r="Y35" s="1">
        <v>49</v>
      </c>
      <c r="Z35" s="1">
        <v>46.8</v>
      </c>
    </row>
    <row r="36" spans="1:28">
      <c r="A36" s="29">
        <v>1989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>
        <v>65.900000000000006</v>
      </c>
      <c r="AB36">
        <v>73.599999999999994</v>
      </c>
    </row>
    <row r="37" spans="1:28">
      <c r="A37" s="29">
        <v>1990</v>
      </c>
      <c r="B37" s="1">
        <v>87.3</v>
      </c>
      <c r="C37" s="1">
        <v>47.6</v>
      </c>
      <c r="D37" s="1">
        <v>57.5</v>
      </c>
      <c r="E37" s="1">
        <v>78.400000000000006</v>
      </c>
      <c r="F37" s="1">
        <v>84.4</v>
      </c>
      <c r="G37" s="1">
        <v>29.5</v>
      </c>
      <c r="H37" s="1">
        <v>35</v>
      </c>
      <c r="I37" s="1">
        <v>33.200000000000003</v>
      </c>
      <c r="J37" s="1">
        <v>47.5</v>
      </c>
      <c r="K37" s="1">
        <v>56.1</v>
      </c>
      <c r="L37" s="1">
        <v>71</v>
      </c>
      <c r="M37" s="1">
        <v>46.8</v>
      </c>
      <c r="N37" s="1">
        <v>73.599999999999994</v>
      </c>
      <c r="O37" s="1">
        <v>71.3</v>
      </c>
      <c r="P37" s="1">
        <v>54.4</v>
      </c>
      <c r="Q37" s="1">
        <v>53.7</v>
      </c>
      <c r="R37" s="1">
        <v>50.3</v>
      </c>
      <c r="S37" s="1">
        <v>70.099999999999994</v>
      </c>
      <c r="T37" s="1">
        <v>50.4</v>
      </c>
      <c r="U37" s="1">
        <v>65.400000000000006</v>
      </c>
      <c r="V37" s="1">
        <v>90.8</v>
      </c>
      <c r="W37" s="1">
        <v>74.400000000000006</v>
      </c>
      <c r="X37" s="1">
        <v>83.5</v>
      </c>
      <c r="Y37" s="1">
        <v>55.1</v>
      </c>
      <c r="Z37" s="1">
        <v>51.5</v>
      </c>
    </row>
    <row r="38" spans="1:28">
      <c r="A38" s="29">
        <v>2000</v>
      </c>
      <c r="B38" s="1">
        <v>90.5</v>
      </c>
      <c r="C38" s="1">
        <v>47.9</v>
      </c>
      <c r="D38" s="1">
        <v>62.4</v>
      </c>
      <c r="E38" s="1">
        <v>81.2</v>
      </c>
      <c r="F38" s="1">
        <v>86.9</v>
      </c>
      <c r="G38" s="1">
        <v>35.6</v>
      </c>
      <c r="H38" s="1">
        <v>46.1</v>
      </c>
      <c r="I38" s="1">
        <v>36.200000000000003</v>
      </c>
      <c r="J38" s="1">
        <v>45.5</v>
      </c>
      <c r="K38" s="1">
        <v>58.2</v>
      </c>
      <c r="L38" s="1">
        <v>74.900000000000006</v>
      </c>
      <c r="M38" s="1">
        <v>59</v>
      </c>
      <c r="N38" s="1">
        <v>75.2</v>
      </c>
      <c r="O38" s="1">
        <v>69.8</v>
      </c>
      <c r="P38" s="1">
        <v>56.1</v>
      </c>
      <c r="Q38" s="1">
        <v>65.599999999999994</v>
      </c>
      <c r="R38" s="1">
        <v>58.7</v>
      </c>
      <c r="S38" s="1">
        <v>72.8</v>
      </c>
      <c r="T38" s="1">
        <v>58.4</v>
      </c>
      <c r="U38" s="1">
        <v>74.099999999999994</v>
      </c>
      <c r="V38" s="1">
        <v>91.9</v>
      </c>
      <c r="W38" s="1">
        <v>75</v>
      </c>
      <c r="X38" s="1">
        <v>86.6</v>
      </c>
      <c r="Y38" s="1">
        <v>61.4</v>
      </c>
      <c r="Z38" s="1">
        <v>52.1</v>
      </c>
    </row>
    <row r="42" spans="1:28" ht="15">
      <c r="A42" s="11" t="s">
        <v>39</v>
      </c>
    </row>
    <row r="44" spans="1:28" ht="15">
      <c r="A44" s="12" t="s">
        <v>42</v>
      </c>
      <c r="B44" s="12" t="s">
        <v>6</v>
      </c>
      <c r="C44" s="12" t="s">
        <v>19</v>
      </c>
      <c r="D44" s="12" t="s">
        <v>7</v>
      </c>
      <c r="E44" s="12" t="s">
        <v>8</v>
      </c>
      <c r="F44" s="12" t="s">
        <v>18</v>
      </c>
      <c r="G44" s="12" t="s">
        <v>24</v>
      </c>
      <c r="H44" s="12" t="s">
        <v>23</v>
      </c>
      <c r="I44" s="12" t="s">
        <v>12</v>
      </c>
      <c r="J44" s="12" t="s">
        <v>25</v>
      </c>
      <c r="K44" s="12" t="s">
        <v>30</v>
      </c>
      <c r="L44" s="12" t="s">
        <v>10</v>
      </c>
      <c r="M44" s="12" t="s">
        <v>20</v>
      </c>
      <c r="N44" s="12" t="s">
        <v>21</v>
      </c>
      <c r="O44" s="12" t="s">
        <v>27</v>
      </c>
      <c r="P44" s="12" t="s">
        <v>28</v>
      </c>
      <c r="Q44" s="12" t="s">
        <v>29</v>
      </c>
      <c r="R44" s="12" t="s">
        <v>14</v>
      </c>
      <c r="S44" s="12" t="s">
        <v>15</v>
      </c>
      <c r="T44" s="12" t="s">
        <v>22</v>
      </c>
      <c r="U44" s="12" t="s">
        <v>16</v>
      </c>
      <c r="V44" s="12" t="s">
        <v>17</v>
      </c>
      <c r="W44" s="12" t="s">
        <v>13</v>
      </c>
      <c r="X44" s="12" t="s">
        <v>9</v>
      </c>
      <c r="Y44" s="12" t="s">
        <v>11</v>
      </c>
      <c r="Z44" s="12" t="s">
        <v>26</v>
      </c>
      <c r="AA44" s="12" t="s">
        <v>84</v>
      </c>
      <c r="AB44" s="12" t="s">
        <v>110</v>
      </c>
    </row>
    <row r="45" spans="1:28" ht="15">
      <c r="A45" s="28">
        <v>1897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25">
        <v>31.4</v>
      </c>
      <c r="AB45" s="25">
        <v>31.6</v>
      </c>
    </row>
    <row r="46" spans="1:28" ht="15">
      <c r="A46" s="28">
        <v>1926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">
        <v>36</v>
      </c>
      <c r="AB46" s="1">
        <v>32.6</v>
      </c>
    </row>
    <row r="47" spans="1:28" ht="15">
      <c r="A47" s="28">
        <v>1930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25">
        <v>37.200000000000003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"/>
      <c r="AB47" s="1"/>
    </row>
    <row r="48" spans="1:28">
      <c r="A48" s="29">
        <v>1950</v>
      </c>
      <c r="B48" s="1">
        <v>64.3</v>
      </c>
      <c r="C48" s="1">
        <v>56.5</v>
      </c>
      <c r="D48" s="1">
        <v>25.6</v>
      </c>
      <c r="E48" s="1">
        <v>30.1</v>
      </c>
      <c r="F48" s="1">
        <v>51.8</v>
      </c>
      <c r="G48" s="1">
        <v>9.6999999999999993</v>
      </c>
      <c r="H48" s="1">
        <v>26.8</v>
      </c>
      <c r="I48" s="1">
        <v>28.1</v>
      </c>
      <c r="J48" s="1">
        <v>17.2</v>
      </c>
      <c r="K48" s="1">
        <v>21.6</v>
      </c>
      <c r="L48" s="1">
        <v>33.700000000000003</v>
      </c>
      <c r="M48" s="1">
        <v>29.9</v>
      </c>
      <c r="N48" s="1">
        <v>51.4</v>
      </c>
      <c r="O48" s="1">
        <v>45.8</v>
      </c>
      <c r="P48" s="1">
        <v>28</v>
      </c>
      <c r="Q48" s="1">
        <v>35.5</v>
      </c>
      <c r="R48" s="1">
        <v>31.3</v>
      </c>
      <c r="S48" s="1">
        <v>26.9</v>
      </c>
      <c r="T48" s="1">
        <v>27.9</v>
      </c>
      <c r="U48" s="1">
        <v>47</v>
      </c>
      <c r="V48" s="1">
        <v>78.3</v>
      </c>
      <c r="W48" s="1">
        <v>52</v>
      </c>
      <c r="X48" s="1">
        <v>58.8</v>
      </c>
      <c r="Y48" s="1">
        <v>28.2</v>
      </c>
      <c r="Z48" s="1">
        <v>26.7</v>
      </c>
    </row>
    <row r="49" spans="1:32">
      <c r="A49" s="29">
        <v>1959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>
        <v>57.2</v>
      </c>
      <c r="AB49" s="1">
        <v>60.4</v>
      </c>
    </row>
    <row r="50" spans="1:32">
      <c r="A50" s="29">
        <v>1960</v>
      </c>
      <c r="B50" s="1">
        <v>75</v>
      </c>
      <c r="C50" s="1">
        <v>53.8</v>
      </c>
      <c r="D50" s="1">
        <v>39.299999999999997</v>
      </c>
      <c r="E50" s="1">
        <v>38.1</v>
      </c>
      <c r="F50" s="1">
        <v>64.900000000000006</v>
      </c>
      <c r="G50" s="1">
        <v>15.6</v>
      </c>
      <c r="H50" s="1">
        <v>31.5</v>
      </c>
      <c r="I50" s="1">
        <v>29</v>
      </c>
      <c r="J50" s="1">
        <v>22</v>
      </c>
      <c r="K50" s="1">
        <v>29.1</v>
      </c>
      <c r="L50" s="1">
        <v>50.3</v>
      </c>
      <c r="M50" s="1">
        <v>32.200000000000003</v>
      </c>
      <c r="N50" s="1">
        <v>54.9</v>
      </c>
      <c r="O50" s="1">
        <v>53.8</v>
      </c>
      <c r="P50" s="1">
        <v>35.6</v>
      </c>
      <c r="Q50" s="1">
        <v>41.5</v>
      </c>
      <c r="R50" s="1">
        <v>35.1</v>
      </c>
      <c r="S50" s="1">
        <v>40.6</v>
      </c>
      <c r="T50" s="1">
        <v>31.8</v>
      </c>
      <c r="U50" s="1">
        <v>47.2</v>
      </c>
      <c r="V50" s="1">
        <v>78.3</v>
      </c>
      <c r="W50" s="1">
        <v>63.6</v>
      </c>
      <c r="X50" s="1">
        <v>64.7</v>
      </c>
      <c r="Y50" s="1">
        <v>36</v>
      </c>
      <c r="Z50" s="1">
        <v>33.799999999999997</v>
      </c>
    </row>
    <row r="51" spans="1:32">
      <c r="A51" s="29">
        <v>1970</v>
      </c>
      <c r="B51" s="1">
        <v>79.2</v>
      </c>
      <c r="C51" s="1">
        <v>51.2</v>
      </c>
      <c r="D51" s="1">
        <v>43.5</v>
      </c>
      <c r="E51" s="1">
        <v>51.1</v>
      </c>
      <c r="F51" s="1">
        <v>74.599999999999994</v>
      </c>
      <c r="G51" s="1">
        <v>18.600000000000001</v>
      </c>
      <c r="H51" s="1">
        <v>33.700000000000003</v>
      </c>
      <c r="I51" s="1">
        <v>29.5</v>
      </c>
      <c r="J51" s="1">
        <v>32.299999999999997</v>
      </c>
      <c r="K51" s="1">
        <v>39</v>
      </c>
      <c r="L51" s="1">
        <v>57.3</v>
      </c>
      <c r="M51" s="1">
        <v>39.4</v>
      </c>
      <c r="N51" s="1">
        <v>58.3</v>
      </c>
      <c r="O51" s="1">
        <v>61.7</v>
      </c>
      <c r="P51" s="1">
        <v>46.2</v>
      </c>
      <c r="Q51" s="1">
        <v>47.3</v>
      </c>
      <c r="R51" s="1">
        <v>36.5</v>
      </c>
      <c r="S51" s="1">
        <v>52.4</v>
      </c>
      <c r="T51" s="1">
        <v>34.6</v>
      </c>
      <c r="U51" s="1">
        <v>46</v>
      </c>
      <c r="V51" s="1">
        <v>81.599999999999994</v>
      </c>
      <c r="W51" s="1">
        <v>67.3</v>
      </c>
      <c r="X51" s="1">
        <v>71.8</v>
      </c>
      <c r="Y51" s="1">
        <v>42.1</v>
      </c>
      <c r="Z51" s="1">
        <v>41.5</v>
      </c>
      <c r="AA51" s="1">
        <v>65.7</v>
      </c>
      <c r="AB51" s="1">
        <v>69.7</v>
      </c>
    </row>
    <row r="52" spans="1:32">
      <c r="A52" s="29">
        <v>1979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>
        <v>67.400000000000006</v>
      </c>
      <c r="AB52" s="1">
        <v>67.400000000000006</v>
      </c>
    </row>
    <row r="53" spans="1:32">
      <c r="A53" s="29">
        <v>1980</v>
      </c>
      <c r="B53" s="1">
        <v>83.5</v>
      </c>
      <c r="C53" s="1">
        <v>49.3</v>
      </c>
      <c r="D53" s="1">
        <v>50.5</v>
      </c>
      <c r="E53" s="1">
        <v>64.900000000000006</v>
      </c>
      <c r="F53" s="1">
        <v>81.900000000000006</v>
      </c>
      <c r="G53" s="1">
        <v>23.1</v>
      </c>
      <c r="H53" s="1">
        <v>35.9</v>
      </c>
      <c r="I53" s="1">
        <v>30.6</v>
      </c>
      <c r="J53" s="1">
        <v>39.700000000000003</v>
      </c>
      <c r="K53" s="1">
        <v>51.4</v>
      </c>
      <c r="L53" s="1">
        <v>65.8</v>
      </c>
      <c r="M53" s="1">
        <v>43.4</v>
      </c>
      <c r="N53" s="1">
        <v>66.099999999999994</v>
      </c>
      <c r="O53" s="1">
        <v>68.8</v>
      </c>
      <c r="P53" s="1">
        <v>50.3</v>
      </c>
      <c r="Q53" s="1">
        <v>50</v>
      </c>
      <c r="R53" s="1">
        <v>42.9</v>
      </c>
      <c r="S53" s="1">
        <v>59.2</v>
      </c>
      <c r="T53" s="1">
        <v>41.6</v>
      </c>
      <c r="U53" s="1">
        <v>54.9</v>
      </c>
      <c r="V53" s="1">
        <v>84.4</v>
      </c>
      <c r="W53" s="1">
        <v>70.599999999999994</v>
      </c>
      <c r="X53" s="1">
        <v>78.599999999999994</v>
      </c>
      <c r="Y53" s="1">
        <v>51.1</v>
      </c>
      <c r="Z53" s="1">
        <v>46.8</v>
      </c>
    </row>
    <row r="54" spans="1:32">
      <c r="A54" s="29">
        <v>1989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B54" s="1">
        <v>73</v>
      </c>
    </row>
    <row r="55" spans="1:32">
      <c r="A55" s="29">
        <v>1990</v>
      </c>
      <c r="B55" s="1">
        <v>87.2</v>
      </c>
      <c r="C55" s="1">
        <v>47.6</v>
      </c>
      <c r="D55" s="1">
        <v>57.5</v>
      </c>
      <c r="E55" s="1">
        <v>73.099999999999994</v>
      </c>
      <c r="F55" s="1">
        <v>85.7</v>
      </c>
      <c r="G55" s="1">
        <v>23.1</v>
      </c>
      <c r="H55" s="1">
        <v>38.1</v>
      </c>
      <c r="I55" s="1">
        <v>33.200000000000003</v>
      </c>
      <c r="J55" s="1">
        <v>39.4</v>
      </c>
      <c r="K55" s="1">
        <v>55.9</v>
      </c>
      <c r="L55" s="1">
        <v>70</v>
      </c>
      <c r="M55" s="1">
        <v>58.8</v>
      </c>
      <c r="N55" s="1">
        <v>66.099999999999994</v>
      </c>
      <c r="O55" s="1">
        <v>73.400000000000006</v>
      </c>
      <c r="P55" s="1">
        <v>53.4</v>
      </c>
      <c r="Q55" s="1">
        <v>53.5</v>
      </c>
      <c r="R55" s="1">
        <v>48.5</v>
      </c>
      <c r="S55" s="1">
        <v>66</v>
      </c>
      <c r="T55" s="1">
        <v>47.6</v>
      </c>
      <c r="U55" s="1">
        <v>65.400000000000006</v>
      </c>
      <c r="V55" s="1">
        <v>84.7</v>
      </c>
      <c r="W55" s="1">
        <v>74.400000000000006</v>
      </c>
      <c r="X55" s="1">
        <v>83.9</v>
      </c>
      <c r="Y55" s="1">
        <v>56.3</v>
      </c>
      <c r="Z55" s="1">
        <v>51.5</v>
      </c>
    </row>
    <row r="56" spans="1:32">
      <c r="A56" s="29">
        <v>2000</v>
      </c>
      <c r="B56" s="1">
        <v>89.1</v>
      </c>
      <c r="C56" s="1">
        <v>49.6</v>
      </c>
      <c r="D56" s="1">
        <v>62.7</v>
      </c>
      <c r="E56" s="1">
        <v>79.5</v>
      </c>
      <c r="F56" s="1"/>
      <c r="G56" s="1"/>
      <c r="H56" s="1">
        <v>47.7</v>
      </c>
      <c r="I56" s="1">
        <v>36.200000000000003</v>
      </c>
      <c r="J56" s="1">
        <v>43.9</v>
      </c>
      <c r="K56" s="1">
        <v>63</v>
      </c>
      <c r="L56" s="1"/>
      <c r="M56" s="1">
        <v>54.2</v>
      </c>
      <c r="N56" s="1"/>
      <c r="O56" s="1">
        <v>74.5</v>
      </c>
      <c r="P56" s="1"/>
      <c r="Q56" s="1">
        <v>61.6</v>
      </c>
      <c r="R56" s="1">
        <v>54.2</v>
      </c>
      <c r="S56" s="1"/>
      <c r="T56" s="1"/>
      <c r="U56" s="1">
        <v>74.099999999999994</v>
      </c>
      <c r="V56" s="1"/>
      <c r="W56" s="1">
        <v>75</v>
      </c>
      <c r="X56" s="1">
        <v>86</v>
      </c>
      <c r="Y56" s="1">
        <v>61.6</v>
      </c>
      <c r="Z56" s="1">
        <v>52.1</v>
      </c>
    </row>
    <row r="60" spans="1:32" ht="15">
      <c r="A60" s="11" t="s">
        <v>92</v>
      </c>
    </row>
    <row r="62" spans="1:32" ht="15">
      <c r="A62" s="12" t="s">
        <v>42</v>
      </c>
      <c r="B62" s="12" t="s">
        <v>6</v>
      </c>
      <c r="C62" s="12" t="s">
        <v>31</v>
      </c>
      <c r="D62" s="12" t="s">
        <v>32</v>
      </c>
      <c r="E62" s="12" t="s">
        <v>19</v>
      </c>
      <c r="F62" s="12" t="s">
        <v>7</v>
      </c>
      <c r="G62" s="12" t="s">
        <v>8</v>
      </c>
      <c r="H62" s="12" t="s">
        <v>18</v>
      </c>
      <c r="I62" s="12" t="s">
        <v>34</v>
      </c>
      <c r="J62" s="12" t="s">
        <v>24</v>
      </c>
      <c r="K62" s="12" t="s">
        <v>23</v>
      </c>
      <c r="L62" s="12" t="s">
        <v>25</v>
      </c>
      <c r="M62" s="12" t="s">
        <v>33</v>
      </c>
      <c r="N62" s="12" t="s">
        <v>30</v>
      </c>
      <c r="O62" s="12" t="s">
        <v>10</v>
      </c>
      <c r="P62" s="12" t="s">
        <v>20</v>
      </c>
      <c r="Q62" s="12" t="s">
        <v>21</v>
      </c>
      <c r="R62" s="12" t="s">
        <v>27</v>
      </c>
      <c r="S62" s="12" t="s">
        <v>28</v>
      </c>
      <c r="T62" s="12" t="s">
        <v>29</v>
      </c>
      <c r="U62" s="12" t="s">
        <v>14</v>
      </c>
      <c r="V62" s="12" t="s">
        <v>15</v>
      </c>
      <c r="W62" s="12" t="s">
        <v>22</v>
      </c>
      <c r="X62" s="12" t="s">
        <v>35</v>
      </c>
      <c r="Y62" s="12" t="s">
        <v>36</v>
      </c>
      <c r="Z62" s="12" t="s">
        <v>37</v>
      </c>
      <c r="AA62" s="12" t="s">
        <v>17</v>
      </c>
      <c r="AB62" s="12" t="s">
        <v>9</v>
      </c>
      <c r="AC62" s="12" t="s">
        <v>11</v>
      </c>
      <c r="AD62" s="12" t="s">
        <v>26</v>
      </c>
      <c r="AE62" s="12" t="s">
        <v>84</v>
      </c>
      <c r="AF62" s="12" t="s">
        <v>110</v>
      </c>
    </row>
    <row r="63" spans="1:32">
      <c r="A63" s="29">
        <v>1865</v>
      </c>
      <c r="AB63" s="1">
        <v>15.973962510368438</v>
      </c>
    </row>
    <row r="64" spans="1:32">
      <c r="A64" s="29">
        <v>1869</v>
      </c>
      <c r="B64" s="1">
        <v>24.82533867257391</v>
      </c>
    </row>
    <row r="65" spans="1:32">
      <c r="A65" s="29">
        <v>1875</v>
      </c>
      <c r="B65" s="1"/>
      <c r="AB65" s="1">
        <v>17.277987023903513</v>
      </c>
    </row>
    <row r="66" spans="1:32">
      <c r="A66" s="29">
        <v>1876</v>
      </c>
      <c r="B66" s="1"/>
      <c r="V66" s="1">
        <v>7.4535049753510974</v>
      </c>
      <c r="AB66" s="1"/>
    </row>
    <row r="67" spans="1:32">
      <c r="A67" s="29">
        <v>1885</v>
      </c>
      <c r="B67" s="1"/>
      <c r="AB67" s="1">
        <v>19.212369940391472</v>
      </c>
    </row>
    <row r="68" spans="1:32">
      <c r="A68" s="29">
        <v>1895</v>
      </c>
      <c r="B68" s="1">
        <v>31.833737851496533</v>
      </c>
      <c r="AB68" s="1">
        <v>24.121981380841554</v>
      </c>
    </row>
    <row r="69" spans="1:32">
      <c r="A69" s="29">
        <v>1897</v>
      </c>
      <c r="B69" s="1"/>
      <c r="AB69" s="1"/>
      <c r="AE69" s="1">
        <v>8.9</v>
      </c>
      <c r="AF69" s="1">
        <v>9</v>
      </c>
    </row>
    <row r="70" spans="1:32">
      <c r="A70" s="29">
        <v>1900</v>
      </c>
      <c r="B70" s="1"/>
      <c r="F70" s="1">
        <v>8.5972647960386706</v>
      </c>
      <c r="R70" s="1">
        <v>21.466933269210756</v>
      </c>
      <c r="AB70" s="1"/>
    </row>
    <row r="71" spans="1:32">
      <c r="A71" s="29">
        <v>1907</v>
      </c>
      <c r="B71" s="1"/>
      <c r="AB71" s="1">
        <v>27.698910521277391</v>
      </c>
    </row>
    <row r="72" spans="1:32">
      <c r="A72" s="29">
        <v>1910</v>
      </c>
      <c r="B72" s="1"/>
      <c r="R72">
        <v>24.7</v>
      </c>
      <c r="AB72" s="1"/>
    </row>
    <row r="73" spans="1:32">
      <c r="A73" s="29">
        <v>1913</v>
      </c>
      <c r="B73" s="1"/>
      <c r="AB73" s="1"/>
    </row>
    <row r="74" spans="1:32">
      <c r="A74" s="29">
        <v>1914</v>
      </c>
      <c r="B74" s="1">
        <v>38.26516565069636</v>
      </c>
    </row>
    <row r="75" spans="1:32" ht="13.5" customHeight="1">
      <c r="A75" s="29">
        <v>1919</v>
      </c>
      <c r="Q75" s="1">
        <v>27.859047616410361</v>
      </c>
    </row>
    <row r="76" spans="1:32">
      <c r="A76" s="29">
        <v>1920</v>
      </c>
      <c r="G76">
        <v>13</v>
      </c>
      <c r="H76">
        <v>11</v>
      </c>
      <c r="N76" s="1">
        <v>5.3757551709299012</v>
      </c>
      <c r="O76">
        <v>7</v>
      </c>
      <c r="S76" s="1">
        <v>4.3936290090937495</v>
      </c>
      <c r="V76">
        <v>6</v>
      </c>
      <c r="AA76">
        <v>30</v>
      </c>
      <c r="AB76" s="1">
        <v>27.96247421409107</v>
      </c>
      <c r="AC76">
        <v>10</v>
      </c>
      <c r="AE76">
        <v>10</v>
      </c>
    </row>
    <row r="77" spans="1:32">
      <c r="A77" s="29">
        <v>1921</v>
      </c>
      <c r="N77" s="1"/>
      <c r="R77" s="1">
        <v>30.616554018692632</v>
      </c>
      <c r="S77" s="1"/>
      <c r="AB77" s="1"/>
      <c r="AD77">
        <v>10.3</v>
      </c>
    </row>
    <row r="78" spans="1:32">
      <c r="A78" s="29">
        <v>1926</v>
      </c>
      <c r="N78" s="1"/>
      <c r="R78" s="1"/>
      <c r="S78" s="1"/>
      <c r="AB78" s="1"/>
      <c r="AE78">
        <v>12.1</v>
      </c>
      <c r="AF78">
        <v>11.8</v>
      </c>
    </row>
    <row r="79" spans="1:32">
      <c r="A79" s="29">
        <v>1927</v>
      </c>
      <c r="P79" s="1">
        <v>18.87623959756025</v>
      </c>
    </row>
    <row r="80" spans="1:32">
      <c r="A80" s="29">
        <v>1930</v>
      </c>
      <c r="G80">
        <v>14</v>
      </c>
      <c r="H80">
        <v>13</v>
      </c>
      <c r="O80">
        <v>10</v>
      </c>
      <c r="R80">
        <v>28.5</v>
      </c>
      <c r="T80" s="1">
        <v>24.338525446181379</v>
      </c>
      <c r="V80">
        <v>10</v>
      </c>
      <c r="W80" s="1">
        <v>10.216396011882644</v>
      </c>
      <c r="AA80">
        <v>35</v>
      </c>
      <c r="AB80" s="1">
        <v>32.849564250969983</v>
      </c>
      <c r="AC80">
        <v>13</v>
      </c>
      <c r="AE80">
        <v>13</v>
      </c>
    </row>
    <row r="81" spans="1:32">
      <c r="A81" s="29">
        <v>1931</v>
      </c>
      <c r="Q81" s="1">
        <v>29.864393399462539</v>
      </c>
    </row>
    <row r="82" spans="1:32">
      <c r="A82" s="29">
        <v>1935</v>
      </c>
      <c r="N82" s="1">
        <v>7.1153704466016006</v>
      </c>
    </row>
    <row r="83" spans="1:32">
      <c r="A83" s="29">
        <v>1936</v>
      </c>
      <c r="H83" s="1">
        <v>19.091253072290105</v>
      </c>
    </row>
    <row r="84" spans="1:32">
      <c r="A84" s="29">
        <v>1937</v>
      </c>
      <c r="H84" s="1"/>
      <c r="U84" s="1">
        <v>11.197210631902117</v>
      </c>
    </row>
    <row r="85" spans="1:32">
      <c r="A85" s="29">
        <v>1938</v>
      </c>
      <c r="O85" s="1">
        <v>14.737441012312832</v>
      </c>
    </row>
    <row r="86" spans="1:32">
      <c r="A86" s="29">
        <v>1939</v>
      </c>
      <c r="O86" s="1"/>
    </row>
    <row r="87" spans="1:32">
      <c r="A87" s="29">
        <v>1940</v>
      </c>
      <c r="B87">
        <v>41</v>
      </c>
      <c r="G87" s="1">
        <v>14.979631374994044</v>
      </c>
      <c r="K87" s="1">
        <v>5.7838535408498206</v>
      </c>
      <c r="L87">
        <v>6.1</v>
      </c>
      <c r="Q87">
        <v>30</v>
      </c>
      <c r="S87" s="1">
        <v>7.5335821390138475</v>
      </c>
      <c r="T87" s="1">
        <v>27.583662937332001</v>
      </c>
      <c r="V87" s="1">
        <v>14.12009761005495</v>
      </c>
      <c r="AA87">
        <v>38</v>
      </c>
      <c r="AB87" s="1">
        <v>36.418648287591672</v>
      </c>
      <c r="AC87">
        <v>16</v>
      </c>
      <c r="AE87">
        <v>24</v>
      </c>
    </row>
    <row r="88" spans="1:32">
      <c r="A88" s="29">
        <v>1941</v>
      </c>
      <c r="H88" s="1">
        <v>18.100000000000001</v>
      </c>
    </row>
    <row r="89" spans="1:32">
      <c r="A89" s="29">
        <v>1943</v>
      </c>
      <c r="Q89" s="1">
        <v>33.361821561291613</v>
      </c>
      <c r="AD89">
        <v>16.3</v>
      </c>
    </row>
    <row r="90" spans="1:32">
      <c r="A90" s="29">
        <v>1947</v>
      </c>
      <c r="B90" s="1">
        <v>49.068352134448176</v>
      </c>
    </row>
    <row r="91" spans="1:32">
      <c r="A91" s="29">
        <v>1950</v>
      </c>
      <c r="B91" s="1">
        <v>50.7</v>
      </c>
      <c r="C91" s="1">
        <v>54.4</v>
      </c>
      <c r="D91" s="1">
        <v>45.5</v>
      </c>
      <c r="E91" s="1">
        <v>37</v>
      </c>
      <c r="F91" s="1">
        <v>19.7</v>
      </c>
      <c r="G91" s="1">
        <v>22</v>
      </c>
      <c r="H91" s="1">
        <v>38.700000000000003</v>
      </c>
      <c r="I91" s="1">
        <v>24.5</v>
      </c>
      <c r="J91" s="1">
        <v>5.5</v>
      </c>
      <c r="K91" s="1">
        <v>13.8</v>
      </c>
      <c r="L91" s="1">
        <v>6.8</v>
      </c>
      <c r="M91" s="1" t="s">
        <v>3</v>
      </c>
      <c r="N91" s="1">
        <v>11.1</v>
      </c>
      <c r="O91" s="1">
        <v>22.5</v>
      </c>
      <c r="P91" s="1">
        <v>18.399999999999999</v>
      </c>
      <c r="Q91" s="1">
        <v>38.299999999999997</v>
      </c>
      <c r="R91" s="1">
        <v>23.7</v>
      </c>
      <c r="S91" s="1">
        <v>15.2</v>
      </c>
      <c r="T91" s="1">
        <v>28.2</v>
      </c>
      <c r="U91" s="1">
        <v>19.600000000000001</v>
      </c>
      <c r="V91" s="1">
        <v>15.9</v>
      </c>
      <c r="W91" s="1">
        <v>14.7</v>
      </c>
      <c r="X91" s="1" t="s">
        <v>3</v>
      </c>
      <c r="Y91" s="1">
        <v>32</v>
      </c>
      <c r="Z91" s="1">
        <v>22.1</v>
      </c>
      <c r="AA91" s="1" t="s">
        <v>3</v>
      </c>
      <c r="AB91" s="1">
        <v>47.1</v>
      </c>
      <c r="AC91" s="1">
        <v>18</v>
      </c>
      <c r="AD91" s="1">
        <v>16.399999999999999</v>
      </c>
      <c r="AE91" s="1">
        <v>31</v>
      </c>
    </row>
    <row r="92" spans="1:32">
      <c r="A92" s="29">
        <v>1959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>
        <v>35.6</v>
      </c>
      <c r="AF92" s="1">
        <v>41</v>
      </c>
    </row>
    <row r="93" spans="1:32">
      <c r="A93" s="29">
        <v>1960</v>
      </c>
      <c r="B93" s="1">
        <v>60</v>
      </c>
      <c r="C93" s="1">
        <v>62.1</v>
      </c>
      <c r="D93" s="1">
        <v>46.2</v>
      </c>
      <c r="E93" s="1">
        <v>44.3</v>
      </c>
      <c r="F93" s="1" t="s">
        <v>3</v>
      </c>
      <c r="G93" s="1">
        <v>29</v>
      </c>
      <c r="H93" s="1">
        <v>52.7</v>
      </c>
      <c r="I93" s="1" t="s">
        <v>3</v>
      </c>
      <c r="J93" s="1" t="s">
        <v>3</v>
      </c>
      <c r="K93" s="1">
        <v>19.3</v>
      </c>
      <c r="L93" s="1">
        <v>11.5</v>
      </c>
      <c r="M93" s="1">
        <v>30.3</v>
      </c>
      <c r="N93" s="1">
        <v>18.7</v>
      </c>
      <c r="O93" s="1">
        <v>37.200000000000003</v>
      </c>
      <c r="P93" s="1">
        <v>22.8</v>
      </c>
      <c r="Q93" s="1" t="s">
        <v>3</v>
      </c>
      <c r="R93" s="1">
        <v>29.6</v>
      </c>
      <c r="S93" s="1">
        <v>23</v>
      </c>
      <c r="T93" s="1">
        <v>34.6</v>
      </c>
      <c r="U93" s="1">
        <v>23</v>
      </c>
      <c r="V93" s="1">
        <v>30.7</v>
      </c>
      <c r="W93" s="1">
        <v>19.5</v>
      </c>
      <c r="X93" s="1">
        <v>25.6</v>
      </c>
      <c r="Y93" s="1">
        <v>37.6</v>
      </c>
      <c r="Z93" s="1">
        <v>36.799999999999997</v>
      </c>
      <c r="AA93" s="1">
        <v>66.900000000000006</v>
      </c>
      <c r="AB93" s="1">
        <v>55.1</v>
      </c>
      <c r="AC93" s="1">
        <v>27.7</v>
      </c>
      <c r="AD93" s="1">
        <v>24.9</v>
      </c>
      <c r="AE93" s="1">
        <v>36</v>
      </c>
    </row>
    <row r="94" spans="1:32">
      <c r="A94" s="29">
        <v>1970</v>
      </c>
      <c r="B94" s="1">
        <v>66.900000000000006</v>
      </c>
      <c r="C94" s="1">
        <v>60.1</v>
      </c>
      <c r="D94" s="1">
        <v>47</v>
      </c>
      <c r="E94" s="1">
        <v>36.200000000000003</v>
      </c>
      <c r="F94" s="1">
        <v>34.1</v>
      </c>
      <c r="G94" s="1">
        <v>40.700000000000003</v>
      </c>
      <c r="H94" s="1">
        <v>63.3</v>
      </c>
      <c r="I94" s="1" t="s">
        <v>3</v>
      </c>
      <c r="J94" s="1">
        <v>13.7</v>
      </c>
      <c r="K94" s="1">
        <v>22.2</v>
      </c>
      <c r="L94" s="1">
        <v>20.5</v>
      </c>
      <c r="M94" s="1">
        <v>31.9</v>
      </c>
      <c r="N94" s="1">
        <v>30.5</v>
      </c>
      <c r="O94" s="1">
        <v>45.6</v>
      </c>
      <c r="P94" s="1">
        <v>30.8</v>
      </c>
      <c r="Q94" s="1">
        <v>43.8</v>
      </c>
      <c r="R94" s="1">
        <v>35.299999999999997</v>
      </c>
      <c r="S94" s="1">
        <v>29.6</v>
      </c>
      <c r="T94" s="1">
        <v>39.1</v>
      </c>
      <c r="U94" s="1">
        <v>27.6</v>
      </c>
      <c r="V94" s="1">
        <v>43</v>
      </c>
      <c r="W94" s="1">
        <v>21.9</v>
      </c>
      <c r="X94" s="1">
        <v>27</v>
      </c>
      <c r="Y94" s="1">
        <v>40.5</v>
      </c>
      <c r="Z94" s="1">
        <v>37.4</v>
      </c>
      <c r="AA94" s="1">
        <v>69.900000000000006</v>
      </c>
      <c r="AB94" s="1">
        <v>62</v>
      </c>
      <c r="AC94" s="1">
        <v>35.299999999999997</v>
      </c>
      <c r="AD94" s="1">
        <v>32.1</v>
      </c>
      <c r="AE94" s="1">
        <v>44.3</v>
      </c>
      <c r="AF94" s="1">
        <v>50.8</v>
      </c>
    </row>
    <row r="95" spans="1:32">
      <c r="A95" s="29">
        <v>1979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>
        <v>54.9</v>
      </c>
      <c r="AF95" s="24">
        <v>58</v>
      </c>
    </row>
    <row r="96" spans="1:32">
      <c r="A96" s="29">
        <v>1980</v>
      </c>
      <c r="B96" s="1">
        <v>71.2</v>
      </c>
      <c r="C96" s="1">
        <v>64.599999999999994</v>
      </c>
      <c r="D96" s="1">
        <v>46.6</v>
      </c>
      <c r="E96" s="1">
        <v>27.9</v>
      </c>
      <c r="F96" s="1" t="s">
        <v>3</v>
      </c>
      <c r="G96" s="1">
        <v>52.3</v>
      </c>
      <c r="H96" s="1">
        <v>70.5</v>
      </c>
      <c r="I96" s="1" t="s">
        <v>3</v>
      </c>
      <c r="J96" s="1">
        <v>17.399999999999999</v>
      </c>
      <c r="K96" s="1">
        <v>22</v>
      </c>
      <c r="L96" s="1">
        <v>28</v>
      </c>
      <c r="M96" s="1">
        <v>33</v>
      </c>
      <c r="N96" s="1">
        <v>41.9</v>
      </c>
      <c r="O96" s="1">
        <v>55.1</v>
      </c>
      <c r="P96" s="1">
        <v>33.799999999999997</v>
      </c>
      <c r="Q96" s="1">
        <v>47.9</v>
      </c>
      <c r="R96" s="1">
        <v>40.9</v>
      </c>
      <c r="S96" s="1" t="s">
        <v>3</v>
      </c>
      <c r="T96" s="1">
        <v>43.8</v>
      </c>
      <c r="U96" s="1">
        <v>33.1</v>
      </c>
      <c r="V96" s="1">
        <v>51.1</v>
      </c>
      <c r="W96" s="1" t="s">
        <v>3</v>
      </c>
      <c r="X96" s="1">
        <v>25.7</v>
      </c>
      <c r="Y96" s="1">
        <v>37.9</v>
      </c>
      <c r="Z96" s="1">
        <v>40.799999999999997</v>
      </c>
      <c r="AA96" s="1">
        <v>71.8</v>
      </c>
      <c r="AB96" s="1">
        <v>68.599999999999994</v>
      </c>
      <c r="AC96" s="1">
        <v>42.5</v>
      </c>
      <c r="AD96" s="1">
        <v>38</v>
      </c>
    </row>
    <row r="97" spans="1:32">
      <c r="A97" s="29">
        <v>1989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F97">
        <v>61.9</v>
      </c>
    </row>
    <row r="98" spans="1:32">
      <c r="A98" s="29">
        <v>1990</v>
      </c>
      <c r="B98" s="1">
        <v>74.900000000000006</v>
      </c>
      <c r="C98" s="1" t="s">
        <v>3</v>
      </c>
      <c r="D98" s="1" t="s">
        <v>3</v>
      </c>
      <c r="E98" s="1" t="s">
        <v>3</v>
      </c>
      <c r="F98" s="1">
        <v>49.6</v>
      </c>
      <c r="G98" s="1">
        <v>58.9</v>
      </c>
      <c r="H98" s="1">
        <v>71.7</v>
      </c>
      <c r="I98" s="1" t="s">
        <v>3</v>
      </c>
      <c r="J98" s="1" t="s">
        <v>3</v>
      </c>
      <c r="K98" s="1">
        <v>23.7</v>
      </c>
      <c r="L98" s="1" t="s">
        <v>3</v>
      </c>
      <c r="M98" s="1" t="s">
        <v>3</v>
      </c>
      <c r="N98" s="1">
        <v>45.2</v>
      </c>
      <c r="O98" s="1">
        <v>59.2</v>
      </c>
      <c r="P98" s="1" t="s">
        <v>3</v>
      </c>
      <c r="Q98" s="1" t="s">
        <v>3</v>
      </c>
      <c r="R98" s="1">
        <v>44.4</v>
      </c>
      <c r="S98" s="1">
        <v>41</v>
      </c>
      <c r="T98" s="1">
        <v>47</v>
      </c>
      <c r="U98" s="1">
        <v>39</v>
      </c>
      <c r="V98" s="1">
        <v>56.8</v>
      </c>
      <c r="W98" s="1">
        <v>35.5</v>
      </c>
      <c r="X98" s="1" t="s">
        <v>3</v>
      </c>
      <c r="Y98" s="1" t="s">
        <v>3</v>
      </c>
      <c r="Z98" s="1" t="s">
        <v>3</v>
      </c>
      <c r="AA98" s="1">
        <v>74.3</v>
      </c>
      <c r="AB98" s="1">
        <v>72.5</v>
      </c>
      <c r="AC98" s="1">
        <v>48</v>
      </c>
      <c r="AD98" s="1" t="s">
        <v>3</v>
      </c>
    </row>
    <row r="99" spans="1:32">
      <c r="A99" s="29">
        <v>2000</v>
      </c>
      <c r="B99" s="1">
        <v>76.599999999999994</v>
      </c>
      <c r="C99" s="1" t="s">
        <v>3</v>
      </c>
      <c r="D99" s="1" t="s">
        <v>3</v>
      </c>
      <c r="E99" s="1" t="s">
        <v>3</v>
      </c>
      <c r="F99" s="1">
        <v>54.4</v>
      </c>
      <c r="G99" s="1">
        <v>64.599999999999994</v>
      </c>
      <c r="H99" s="1">
        <v>74.3</v>
      </c>
      <c r="I99" s="1" t="s">
        <v>3</v>
      </c>
      <c r="J99" s="1">
        <v>34.1</v>
      </c>
      <c r="K99" s="1">
        <v>30.7</v>
      </c>
      <c r="L99" s="1">
        <v>32.5</v>
      </c>
      <c r="M99" s="1" t="s">
        <v>3</v>
      </c>
      <c r="N99" s="1">
        <v>52.6</v>
      </c>
      <c r="O99" s="1">
        <v>65</v>
      </c>
      <c r="P99" s="1">
        <v>49.2</v>
      </c>
      <c r="Q99" s="1">
        <v>54.5</v>
      </c>
      <c r="R99" s="1">
        <v>60.5</v>
      </c>
      <c r="S99" s="1">
        <v>41.4</v>
      </c>
      <c r="T99" s="1">
        <v>57.3</v>
      </c>
      <c r="U99" s="1">
        <v>44.8</v>
      </c>
      <c r="V99" s="1">
        <v>62.1</v>
      </c>
      <c r="W99" s="1">
        <v>44</v>
      </c>
      <c r="X99" s="1" t="s">
        <v>3</v>
      </c>
      <c r="Y99" s="1" t="s">
        <v>3</v>
      </c>
      <c r="Z99" s="1" t="s">
        <v>3</v>
      </c>
      <c r="AA99" s="1">
        <v>72</v>
      </c>
      <c r="AB99" s="1">
        <v>76.900000000000006</v>
      </c>
      <c r="AC99" s="1">
        <v>54.3</v>
      </c>
      <c r="AD99" s="1" t="s">
        <v>3</v>
      </c>
    </row>
    <row r="100" spans="1:32">
      <c r="A100" s="29">
        <v>2010</v>
      </c>
      <c r="B100" s="1">
        <v>79.8</v>
      </c>
      <c r="C100" s="1" t="s">
        <v>3</v>
      </c>
      <c r="D100" s="1" t="s">
        <v>3</v>
      </c>
      <c r="E100" s="1" t="s">
        <v>3</v>
      </c>
      <c r="F100" s="1">
        <v>59.4</v>
      </c>
      <c r="G100" s="1">
        <v>70.599999999999994</v>
      </c>
      <c r="H100" s="1">
        <v>78</v>
      </c>
      <c r="I100" s="1" t="s">
        <v>3</v>
      </c>
      <c r="J100" s="1" t="s">
        <v>3</v>
      </c>
      <c r="K100" s="1" t="s">
        <v>3</v>
      </c>
      <c r="L100" s="1">
        <v>42.4</v>
      </c>
      <c r="M100" s="1" t="s">
        <v>3</v>
      </c>
      <c r="N100" s="1">
        <v>64.2</v>
      </c>
      <c r="O100" s="1">
        <v>64.900000000000006</v>
      </c>
      <c r="P100" s="1">
        <v>58.7</v>
      </c>
      <c r="Q100" s="1">
        <v>55.2</v>
      </c>
      <c r="R100" s="1">
        <v>70.2</v>
      </c>
      <c r="S100" s="1" t="s">
        <v>3</v>
      </c>
      <c r="T100" s="1">
        <v>60.1</v>
      </c>
      <c r="U100" s="1" t="s">
        <v>3</v>
      </c>
      <c r="V100" s="1">
        <v>69.3</v>
      </c>
      <c r="W100" s="1" t="s">
        <v>3</v>
      </c>
      <c r="X100" s="1" t="s">
        <v>3</v>
      </c>
      <c r="Y100" s="1" t="s">
        <v>3</v>
      </c>
      <c r="Z100" s="1" t="s">
        <v>3</v>
      </c>
      <c r="AA100" s="1">
        <v>77.8</v>
      </c>
      <c r="AB100" s="1">
        <v>80.3</v>
      </c>
      <c r="AC100" s="1">
        <v>64.400000000000006</v>
      </c>
      <c r="AD100" s="1" t="s">
        <v>3</v>
      </c>
    </row>
    <row r="104" spans="1:32" ht="15">
      <c r="A104" s="11" t="s">
        <v>93</v>
      </c>
    </row>
    <row r="106" spans="1:32" ht="15">
      <c r="A106" s="12" t="s">
        <v>42</v>
      </c>
      <c r="B106" s="12" t="s">
        <v>6</v>
      </c>
      <c r="C106" s="12" t="s">
        <v>7</v>
      </c>
      <c r="D106" s="12" t="s">
        <v>8</v>
      </c>
      <c r="E106" s="12" t="s">
        <v>18</v>
      </c>
      <c r="F106" s="12" t="s">
        <v>34</v>
      </c>
      <c r="G106" s="12" t="s">
        <v>24</v>
      </c>
      <c r="H106" s="12" t="s">
        <v>23</v>
      </c>
      <c r="I106" s="12" t="s">
        <v>25</v>
      </c>
      <c r="J106" s="12" t="s">
        <v>30</v>
      </c>
      <c r="K106" s="12" t="s">
        <v>10</v>
      </c>
      <c r="L106" s="12" t="s">
        <v>20</v>
      </c>
      <c r="M106" s="12" t="s">
        <v>21</v>
      </c>
      <c r="N106" s="12" t="s">
        <v>27</v>
      </c>
      <c r="O106" s="12" t="s">
        <v>28</v>
      </c>
      <c r="P106" s="12" t="s">
        <v>29</v>
      </c>
      <c r="Q106" s="12" t="s">
        <v>14</v>
      </c>
      <c r="R106" s="12" t="s">
        <v>15</v>
      </c>
      <c r="S106" s="12" t="s">
        <v>22</v>
      </c>
      <c r="T106" s="12" t="s">
        <v>37</v>
      </c>
      <c r="U106" s="12" t="s">
        <v>17</v>
      </c>
      <c r="V106" s="12" t="s">
        <v>9</v>
      </c>
      <c r="W106" s="12" t="s">
        <v>11</v>
      </c>
      <c r="X106" s="12" t="s">
        <v>26</v>
      </c>
      <c r="Y106" s="12" t="s">
        <v>64</v>
      </c>
      <c r="Z106" s="12" t="s">
        <v>110</v>
      </c>
    </row>
    <row r="107" spans="1:32" ht="15">
      <c r="A107" s="29">
        <v>1865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">
        <v>10.981226600587174</v>
      </c>
      <c r="W107" s="2"/>
      <c r="X107" s="2"/>
      <c r="Y107" s="2"/>
    </row>
    <row r="108" spans="1:32" ht="15">
      <c r="A108" s="29">
        <v>1869</v>
      </c>
      <c r="B108" s="1">
        <v>16.412235273528619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32" ht="15">
      <c r="A109" s="29">
        <v>1875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">
        <v>11.841254044492914</v>
      </c>
      <c r="W109" s="2"/>
      <c r="X109" s="2"/>
      <c r="Y109" s="2"/>
    </row>
    <row r="110" spans="1:32" ht="15">
      <c r="A110" s="29">
        <v>1876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1">
        <v>3.760059812397142</v>
      </c>
      <c r="S110" s="2"/>
      <c r="T110" s="2"/>
      <c r="U110" s="2"/>
      <c r="V110" s="2"/>
      <c r="W110" s="2"/>
      <c r="X110" s="2"/>
      <c r="Y110" s="2"/>
    </row>
    <row r="111" spans="1:32" ht="15">
      <c r="A111" s="29">
        <v>1885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">
        <v>12.749795119459268</v>
      </c>
      <c r="W111" s="2"/>
      <c r="X111" s="2"/>
      <c r="Y111" s="2"/>
    </row>
    <row r="112" spans="1:32" ht="15">
      <c r="A112" s="29">
        <v>1895</v>
      </c>
      <c r="B112" s="1">
        <v>24.590995853004024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">
        <v>15.576245989559462</v>
      </c>
      <c r="W112" s="2"/>
      <c r="X112" s="2"/>
      <c r="Y112" s="2"/>
    </row>
    <row r="113" spans="1:26" ht="15">
      <c r="A113" s="29">
        <v>1900</v>
      </c>
      <c r="B113" s="1"/>
      <c r="C113" s="1">
        <v>3.1064017920301814</v>
      </c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15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6" ht="15">
      <c r="A114" s="29">
        <v>1907</v>
      </c>
      <c r="B114" s="2"/>
      <c r="C114" s="2"/>
      <c r="D114" s="2"/>
      <c r="E114" s="2"/>
      <c r="F114" s="2"/>
      <c r="G114" s="2"/>
      <c r="H114" s="2"/>
      <c r="I114" s="2"/>
      <c r="Q114" s="2"/>
      <c r="R114" s="2"/>
      <c r="S114" s="2"/>
      <c r="T114" s="2"/>
      <c r="U114" s="2"/>
      <c r="V114" s="1">
        <v>17.093485515276829</v>
      </c>
      <c r="W114" s="2"/>
      <c r="X114" s="2"/>
      <c r="Y114" s="2"/>
    </row>
    <row r="115" spans="1:26" ht="15">
      <c r="A115" s="29">
        <v>1914</v>
      </c>
      <c r="B115" s="1">
        <v>32.61908297746789</v>
      </c>
      <c r="C115" s="2"/>
      <c r="D115" s="2"/>
      <c r="E115" s="2"/>
      <c r="F115" s="2"/>
      <c r="G115" s="2"/>
      <c r="H115" s="2"/>
      <c r="I115" s="2"/>
      <c r="Q115" s="2"/>
      <c r="R115" s="2"/>
      <c r="S115" s="2"/>
      <c r="T115" s="2"/>
      <c r="U115" s="2"/>
      <c r="V115" s="1">
        <v>18.489934280279929</v>
      </c>
      <c r="W115" s="2"/>
      <c r="X115" s="2"/>
    </row>
    <row r="116" spans="1:26" ht="15">
      <c r="A116" s="29">
        <v>1919</v>
      </c>
      <c r="B116" s="2"/>
      <c r="C116" s="2"/>
      <c r="D116" s="2"/>
      <c r="E116" s="2"/>
      <c r="F116" s="2"/>
      <c r="G116" s="2"/>
      <c r="H116" s="2"/>
      <c r="I116" s="2"/>
      <c r="M116" s="1">
        <v>16.136633940278379</v>
      </c>
      <c r="Q116" s="2"/>
      <c r="R116" s="2"/>
      <c r="S116" s="2"/>
      <c r="T116" s="2"/>
      <c r="U116" s="2"/>
      <c r="V116" s="2"/>
      <c r="W116" s="2"/>
      <c r="X116" s="2"/>
    </row>
    <row r="117" spans="1:26" ht="15">
      <c r="A117" s="29">
        <v>1920</v>
      </c>
      <c r="B117" s="2"/>
      <c r="C117" s="2"/>
      <c r="D117" s="1">
        <v>8.6999999999999993</v>
      </c>
      <c r="E117" s="2"/>
      <c r="F117" s="2"/>
      <c r="G117" s="2"/>
      <c r="H117" s="2"/>
      <c r="I117" s="2"/>
      <c r="J117">
        <v>3.5</v>
      </c>
      <c r="O117">
        <v>4.4000000000000004</v>
      </c>
      <c r="Q117" s="2"/>
      <c r="R117" s="2"/>
      <c r="S117" s="2"/>
      <c r="T117" s="2"/>
      <c r="U117" s="2"/>
      <c r="V117" s="1">
        <v>20.291115180623258</v>
      </c>
      <c r="W117" s="2"/>
      <c r="X117" s="2"/>
    </row>
    <row r="118" spans="1:26" ht="15">
      <c r="A118" s="29">
        <v>1926</v>
      </c>
      <c r="B118" s="2"/>
      <c r="C118" s="2"/>
      <c r="D118" s="1"/>
      <c r="E118" s="2"/>
      <c r="F118" s="2"/>
      <c r="G118" s="2"/>
      <c r="H118" s="2"/>
      <c r="I118" s="2"/>
      <c r="Q118" s="2"/>
      <c r="R118" s="2"/>
      <c r="S118" s="2"/>
      <c r="T118" s="2"/>
      <c r="U118" s="2"/>
      <c r="V118" s="1"/>
      <c r="W118" s="2"/>
      <c r="X118" s="2"/>
      <c r="Y118" s="1">
        <v>6.5</v>
      </c>
      <c r="Z118" s="1">
        <v>6.4</v>
      </c>
    </row>
    <row r="119" spans="1:26" ht="15">
      <c r="A119" s="29">
        <v>1927</v>
      </c>
      <c r="B119" s="2"/>
      <c r="C119" s="2"/>
      <c r="D119" s="2"/>
      <c r="E119" s="2"/>
      <c r="F119" s="2"/>
      <c r="G119" s="2"/>
      <c r="H119" s="2"/>
      <c r="I119" s="2"/>
      <c r="L119" s="1">
        <v>15.938107074083186</v>
      </c>
      <c r="Q119" s="2"/>
      <c r="R119" s="2"/>
      <c r="S119" s="2"/>
      <c r="T119" s="2"/>
      <c r="U119" s="2"/>
      <c r="V119" s="2"/>
      <c r="W119" s="2"/>
      <c r="X119" s="2"/>
    </row>
    <row r="120" spans="1:26" ht="15">
      <c r="A120" s="29">
        <v>1930</v>
      </c>
      <c r="B120" s="2"/>
      <c r="C120" s="2"/>
      <c r="D120" s="2"/>
      <c r="E120" s="2"/>
      <c r="F120" s="2"/>
      <c r="G120" s="2"/>
      <c r="H120" s="2"/>
      <c r="I120" s="2"/>
      <c r="P120" s="1">
        <v>17.399999999999999</v>
      </c>
      <c r="Q120" s="2"/>
      <c r="R120" s="2"/>
      <c r="S120" s="1">
        <v>6.2</v>
      </c>
      <c r="T120" s="2"/>
      <c r="U120" s="2"/>
      <c r="V120" s="1">
        <v>22.93503473513946</v>
      </c>
      <c r="W120" s="2"/>
      <c r="X120" s="2"/>
    </row>
    <row r="121" spans="1:26" ht="15">
      <c r="A121" s="29">
        <v>1931</v>
      </c>
      <c r="B121" s="2"/>
      <c r="C121" s="2"/>
      <c r="D121" s="2"/>
      <c r="E121" s="2"/>
      <c r="F121" s="2"/>
      <c r="G121" s="2"/>
      <c r="H121" s="2"/>
      <c r="I121" s="2"/>
      <c r="M121" s="1">
        <v>20.751529902502156</v>
      </c>
      <c r="Q121" s="2"/>
      <c r="R121" s="2"/>
      <c r="S121" s="2"/>
      <c r="T121" s="2"/>
      <c r="U121" s="2"/>
      <c r="V121" s="2"/>
      <c r="W121" s="2"/>
      <c r="X121" s="2"/>
    </row>
    <row r="122" spans="1:26" ht="15">
      <c r="A122" s="29">
        <v>1935</v>
      </c>
      <c r="B122" s="2"/>
      <c r="C122" s="2"/>
      <c r="D122" s="2"/>
      <c r="E122" s="2"/>
      <c r="F122" s="2"/>
      <c r="G122" s="2"/>
      <c r="H122" s="2"/>
      <c r="I122" s="2"/>
      <c r="J122">
        <v>4.7</v>
      </c>
      <c r="Q122" s="2"/>
      <c r="R122" s="2"/>
      <c r="S122" s="2"/>
      <c r="T122" s="2"/>
      <c r="U122" s="2"/>
      <c r="V122" s="2"/>
      <c r="W122" s="2"/>
      <c r="X122" s="2"/>
    </row>
    <row r="123" spans="1:26" ht="15">
      <c r="A123" s="29">
        <v>1936</v>
      </c>
      <c r="B123" s="2"/>
      <c r="C123" s="2"/>
      <c r="D123" s="2"/>
      <c r="E123" s="1">
        <v>10.959868289448146</v>
      </c>
      <c r="F123" s="2"/>
      <c r="G123" s="2"/>
      <c r="H123" s="2"/>
      <c r="I123" s="2"/>
      <c r="Q123" s="2"/>
      <c r="R123" s="2"/>
      <c r="S123" s="2"/>
      <c r="T123" s="2"/>
      <c r="U123" s="2"/>
      <c r="V123" s="2"/>
      <c r="W123" s="2"/>
      <c r="X123" s="2"/>
    </row>
    <row r="124" spans="1:26" ht="15">
      <c r="A124" s="29">
        <v>1938</v>
      </c>
      <c r="B124" s="2"/>
      <c r="C124" s="2"/>
      <c r="D124" s="2"/>
      <c r="E124" s="2"/>
      <c r="F124" s="2"/>
      <c r="G124" s="2"/>
      <c r="H124" s="2"/>
      <c r="I124" s="2"/>
      <c r="J124" s="1"/>
      <c r="K124" s="1">
        <v>9.4609561958101622</v>
      </c>
      <c r="Q124" s="2"/>
      <c r="R124" s="2"/>
      <c r="S124" s="2"/>
      <c r="T124" s="2"/>
      <c r="U124" s="2"/>
      <c r="V124" s="2"/>
      <c r="W124" s="2"/>
      <c r="X124" s="2"/>
    </row>
    <row r="125" spans="1:26" ht="15">
      <c r="A125" s="29">
        <v>1940</v>
      </c>
      <c r="B125" s="2"/>
      <c r="C125" s="2"/>
      <c r="D125" s="1">
        <v>10.943696108636283</v>
      </c>
      <c r="E125" s="2"/>
      <c r="F125" s="2"/>
      <c r="G125" s="2"/>
      <c r="H125" s="1">
        <v>5.6620215161447227</v>
      </c>
      <c r="I125" s="2"/>
      <c r="N125">
        <v>10.199999999999999</v>
      </c>
      <c r="O125">
        <v>7.5</v>
      </c>
      <c r="P125" s="1">
        <v>19.7</v>
      </c>
      <c r="Q125" s="2"/>
      <c r="R125" s="1">
        <v>8.3848383858999256</v>
      </c>
      <c r="S125" s="2"/>
      <c r="T125" s="2"/>
      <c r="U125" s="2"/>
      <c r="V125" s="1">
        <v>24.839719568216751</v>
      </c>
      <c r="W125" s="2"/>
      <c r="X125" s="2"/>
    </row>
    <row r="126" spans="1:26" ht="15">
      <c r="A126" s="29">
        <v>1941</v>
      </c>
      <c r="B126" s="2"/>
      <c r="C126" s="2"/>
      <c r="D126" s="2"/>
      <c r="E126" s="1">
        <v>12.354575557604816</v>
      </c>
      <c r="F126" s="2"/>
      <c r="G126" s="2"/>
      <c r="H126" s="2"/>
      <c r="I126" s="2"/>
      <c r="Q126" s="2"/>
      <c r="R126" s="2"/>
      <c r="S126" s="2"/>
      <c r="T126" s="2"/>
      <c r="U126" s="2"/>
      <c r="V126" s="2"/>
      <c r="W126" s="2"/>
      <c r="X126" s="2"/>
    </row>
    <row r="127" spans="1:26" ht="15">
      <c r="A127" s="29">
        <v>1943</v>
      </c>
      <c r="B127" s="2"/>
      <c r="C127" s="2"/>
      <c r="D127" s="2"/>
      <c r="E127" s="2"/>
      <c r="F127" s="2"/>
      <c r="G127" s="2"/>
      <c r="H127" s="2"/>
      <c r="I127" s="2"/>
      <c r="M127" s="1">
        <v>22.055413091163864</v>
      </c>
      <c r="Q127" s="2"/>
      <c r="R127" s="2"/>
      <c r="S127" s="2"/>
      <c r="T127" s="2"/>
      <c r="U127" s="2"/>
      <c r="V127" s="2"/>
      <c r="W127" s="2"/>
      <c r="X127" s="2"/>
    </row>
    <row r="128" spans="1:26" ht="15">
      <c r="A128" s="29">
        <v>1947</v>
      </c>
      <c r="B128" s="1">
        <v>39.999919465588746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6">
      <c r="A129" s="29">
        <v>1950</v>
      </c>
      <c r="B129" s="1">
        <v>43.2</v>
      </c>
      <c r="C129" s="1">
        <v>10.6</v>
      </c>
      <c r="D129" s="1">
        <v>16.600000000000001</v>
      </c>
      <c r="E129" s="1">
        <v>24.9</v>
      </c>
      <c r="F129" s="1" t="s">
        <v>3</v>
      </c>
      <c r="G129" s="1">
        <v>4.7</v>
      </c>
      <c r="H129" s="1">
        <v>12.8</v>
      </c>
      <c r="I129" s="1"/>
      <c r="J129" s="1">
        <v>8.5</v>
      </c>
      <c r="K129" s="1">
        <v>15.5</v>
      </c>
      <c r="L129" s="1">
        <v>18.399999999999999</v>
      </c>
      <c r="M129" s="1">
        <v>25.7</v>
      </c>
      <c r="N129" s="1">
        <v>15.3</v>
      </c>
      <c r="O129" s="1">
        <v>10.3</v>
      </c>
      <c r="P129" s="1">
        <v>21.7</v>
      </c>
      <c r="Q129" s="1">
        <v>19.600000000000001</v>
      </c>
      <c r="R129" s="1">
        <v>10.4</v>
      </c>
      <c r="S129" s="1">
        <v>10.4</v>
      </c>
      <c r="T129" s="1" t="s">
        <v>3</v>
      </c>
      <c r="U129" s="1" t="s">
        <v>3</v>
      </c>
      <c r="V129" s="1">
        <v>32.799999999999997</v>
      </c>
      <c r="W129" s="1">
        <v>14.8</v>
      </c>
      <c r="X129" s="1">
        <v>16.399999999999999</v>
      </c>
      <c r="Y129" s="1">
        <v>18</v>
      </c>
    </row>
    <row r="130" spans="1:26">
      <c r="A130" s="29">
        <v>1959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>
        <v>23.3</v>
      </c>
      <c r="Z130" s="1">
        <v>27</v>
      </c>
    </row>
    <row r="131" spans="1:26">
      <c r="A131" s="29">
        <v>1960</v>
      </c>
      <c r="B131" s="1">
        <v>51.6</v>
      </c>
      <c r="C131" s="1" t="s">
        <v>3</v>
      </c>
      <c r="D131" s="1">
        <v>22</v>
      </c>
      <c r="E131" s="1">
        <v>39.1</v>
      </c>
      <c r="F131" s="1">
        <v>26.5</v>
      </c>
      <c r="G131" s="1" t="s">
        <v>3</v>
      </c>
      <c r="H131" s="1">
        <v>17.2</v>
      </c>
      <c r="I131" s="1">
        <v>7.1</v>
      </c>
      <c r="J131" s="1">
        <v>12.1</v>
      </c>
      <c r="K131" s="1">
        <v>29.3</v>
      </c>
      <c r="L131" s="1">
        <v>19.399999999999999</v>
      </c>
      <c r="M131" s="1" t="s">
        <v>3</v>
      </c>
      <c r="N131" s="1">
        <v>18.600000000000001</v>
      </c>
      <c r="O131" s="1">
        <v>15.3</v>
      </c>
      <c r="P131" s="1">
        <v>26.9</v>
      </c>
      <c r="Q131" s="1">
        <v>23</v>
      </c>
      <c r="R131" s="1">
        <v>22.4</v>
      </c>
      <c r="S131" s="1">
        <v>12.9</v>
      </c>
      <c r="T131" s="1">
        <v>30.2</v>
      </c>
      <c r="U131" s="1">
        <v>50.5</v>
      </c>
      <c r="V131" s="1">
        <v>36.799999999999997</v>
      </c>
      <c r="W131" s="1">
        <v>19.2</v>
      </c>
      <c r="X131" s="1">
        <v>23.4</v>
      </c>
    </row>
    <row r="132" spans="1:26">
      <c r="A132" s="29">
        <v>1970</v>
      </c>
      <c r="B132" s="1">
        <v>56.2</v>
      </c>
      <c r="C132" s="1">
        <v>28.5</v>
      </c>
      <c r="D132" s="1">
        <v>32.200000000000003</v>
      </c>
      <c r="E132" s="1">
        <v>49.7</v>
      </c>
      <c r="F132" s="1">
        <v>23.4</v>
      </c>
      <c r="G132" s="1">
        <v>11.5</v>
      </c>
      <c r="H132" s="1">
        <v>19.600000000000001</v>
      </c>
      <c r="I132" s="1">
        <v>16</v>
      </c>
      <c r="J132" s="1">
        <v>20.5</v>
      </c>
      <c r="K132" s="1">
        <v>37.5</v>
      </c>
      <c r="L132" s="1">
        <v>21.8</v>
      </c>
      <c r="M132" s="1">
        <v>31</v>
      </c>
      <c r="N132" s="1">
        <v>23.3</v>
      </c>
      <c r="O132" s="1">
        <v>20.5</v>
      </c>
      <c r="P132" s="1">
        <v>31.7</v>
      </c>
      <c r="Q132" s="1">
        <v>24.9</v>
      </c>
      <c r="R132" s="1">
        <v>34.9</v>
      </c>
      <c r="S132" s="1" t="s">
        <v>3</v>
      </c>
      <c r="T132" s="1">
        <v>30.4</v>
      </c>
      <c r="U132" s="1">
        <v>50.3</v>
      </c>
      <c r="V132" s="1">
        <v>43.3</v>
      </c>
      <c r="W132" s="1">
        <v>23.8</v>
      </c>
      <c r="X132" s="1">
        <v>26.1</v>
      </c>
      <c r="Y132" s="1">
        <v>31.2</v>
      </c>
      <c r="Z132" s="1">
        <v>35.799999999999997</v>
      </c>
    </row>
    <row r="133" spans="1:26">
      <c r="A133" s="29">
        <v>1979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>
        <v>40.4</v>
      </c>
      <c r="Z133" s="24">
        <v>42.7</v>
      </c>
    </row>
    <row r="134" spans="1:26">
      <c r="A134" s="29">
        <v>1980</v>
      </c>
      <c r="B134" s="1">
        <v>58.8</v>
      </c>
      <c r="C134" s="1" t="s">
        <v>3</v>
      </c>
      <c r="D134" s="1">
        <v>42.1</v>
      </c>
      <c r="E134" s="1">
        <v>59.7</v>
      </c>
      <c r="F134" s="1">
        <v>22.1</v>
      </c>
      <c r="G134" s="1">
        <v>14.3</v>
      </c>
      <c r="H134" s="1">
        <v>19.3</v>
      </c>
      <c r="I134" s="1">
        <v>19.100000000000001</v>
      </c>
      <c r="J134" s="1">
        <v>28</v>
      </c>
      <c r="K134" s="1">
        <v>46.2</v>
      </c>
      <c r="L134" s="1">
        <v>25.1</v>
      </c>
      <c r="M134" s="1">
        <v>32.4</v>
      </c>
      <c r="N134" s="1">
        <v>40.9</v>
      </c>
      <c r="O134" s="1" t="s">
        <v>3</v>
      </c>
      <c r="P134" s="1">
        <v>33.799999999999997</v>
      </c>
      <c r="Q134" s="1">
        <v>27.1</v>
      </c>
      <c r="R134" s="1">
        <v>40.9</v>
      </c>
      <c r="S134" s="1">
        <v>14.7</v>
      </c>
      <c r="T134" s="1">
        <v>32.200000000000003</v>
      </c>
      <c r="U134" s="1">
        <v>51.1</v>
      </c>
      <c r="V134" s="1">
        <v>55.8</v>
      </c>
      <c r="W134" s="1">
        <v>32.9</v>
      </c>
      <c r="X134" s="1">
        <v>24</v>
      </c>
    </row>
    <row r="135" spans="1:26">
      <c r="A135" s="29">
        <v>1989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Z135">
        <v>45.7</v>
      </c>
    </row>
    <row r="136" spans="1:26">
      <c r="A136" s="29">
        <v>1990</v>
      </c>
      <c r="B136" s="1">
        <v>61.8</v>
      </c>
      <c r="C136" s="1">
        <v>41.3</v>
      </c>
      <c r="D136" s="1">
        <v>45.6</v>
      </c>
      <c r="E136" s="1">
        <v>59.5</v>
      </c>
      <c r="F136" s="1" t="s">
        <v>3</v>
      </c>
      <c r="G136" s="1" t="s">
        <v>3</v>
      </c>
      <c r="H136" s="1">
        <v>19</v>
      </c>
      <c r="I136" s="1" t="s">
        <v>3</v>
      </c>
      <c r="J136" s="1">
        <v>32.200000000000003</v>
      </c>
      <c r="K136" s="1">
        <v>49.3</v>
      </c>
      <c r="L136" s="1" t="s">
        <v>3</v>
      </c>
      <c r="M136" s="1" t="s">
        <v>3</v>
      </c>
      <c r="N136" s="1">
        <v>44.4</v>
      </c>
      <c r="O136" s="1">
        <v>22.7</v>
      </c>
      <c r="P136" s="1">
        <v>36.299999999999997</v>
      </c>
      <c r="Q136" s="1">
        <v>31.6</v>
      </c>
      <c r="R136" s="1">
        <v>48</v>
      </c>
      <c r="S136" s="1">
        <v>28</v>
      </c>
      <c r="T136" s="1" t="s">
        <v>3</v>
      </c>
      <c r="U136" s="1">
        <v>50.3</v>
      </c>
      <c r="V136" s="1">
        <v>60.8</v>
      </c>
      <c r="W136" s="1">
        <v>36.4</v>
      </c>
      <c r="X136" s="1" t="s">
        <v>3</v>
      </c>
    </row>
    <row r="137" spans="1:26">
      <c r="A137" s="29">
        <v>2000</v>
      </c>
      <c r="B137" s="1">
        <v>62.3</v>
      </c>
      <c r="C137" s="1">
        <v>44.9</v>
      </c>
      <c r="D137" s="1">
        <v>49.6</v>
      </c>
      <c r="E137" s="1">
        <v>61.6</v>
      </c>
      <c r="F137" s="1" t="s">
        <v>3</v>
      </c>
      <c r="G137" s="1">
        <v>27.2</v>
      </c>
      <c r="H137" s="1">
        <v>20.2</v>
      </c>
      <c r="I137" s="1">
        <v>24.3</v>
      </c>
      <c r="J137" s="1">
        <v>41.4</v>
      </c>
      <c r="K137" s="1">
        <v>53.9</v>
      </c>
      <c r="L137" s="1">
        <v>33.9</v>
      </c>
      <c r="M137" s="1">
        <v>39.5</v>
      </c>
      <c r="N137" s="1">
        <v>50.2</v>
      </c>
      <c r="O137" s="1">
        <v>21.9</v>
      </c>
      <c r="P137" s="1">
        <v>51.2</v>
      </c>
      <c r="Q137" s="1">
        <v>35.299999999999997</v>
      </c>
      <c r="R137" s="1">
        <v>53.5</v>
      </c>
      <c r="S137" s="1">
        <v>29.9</v>
      </c>
      <c r="T137" s="1" t="s">
        <v>3</v>
      </c>
      <c r="U137" s="1">
        <v>47.4</v>
      </c>
      <c r="V137" s="1">
        <v>63.6</v>
      </c>
      <c r="W137" s="1">
        <v>44.2</v>
      </c>
      <c r="X137" s="1" t="s">
        <v>3</v>
      </c>
    </row>
    <row r="138" spans="1:26">
      <c r="A138" s="29">
        <v>2010</v>
      </c>
      <c r="B138" s="1">
        <v>64.7</v>
      </c>
      <c r="C138" s="1">
        <v>52.2</v>
      </c>
      <c r="D138" s="1">
        <v>56.6</v>
      </c>
      <c r="E138" s="1">
        <v>63.5</v>
      </c>
      <c r="F138" s="1" t="s">
        <v>3</v>
      </c>
      <c r="G138" s="1" t="s">
        <v>3</v>
      </c>
      <c r="H138" s="1" t="s">
        <v>3</v>
      </c>
      <c r="I138" s="1">
        <v>29.3</v>
      </c>
      <c r="J138" s="1">
        <v>52.9</v>
      </c>
      <c r="K138" s="1">
        <v>53.9</v>
      </c>
      <c r="L138" s="1">
        <v>46.4</v>
      </c>
      <c r="M138" s="1">
        <v>40.4</v>
      </c>
      <c r="N138" s="1">
        <v>60.7</v>
      </c>
      <c r="O138" s="1" t="s">
        <v>3</v>
      </c>
      <c r="P138" s="1">
        <v>52.6</v>
      </c>
      <c r="Q138" s="1" t="s">
        <v>3</v>
      </c>
      <c r="R138" s="1">
        <v>59</v>
      </c>
      <c r="S138" s="1" t="s">
        <v>3</v>
      </c>
      <c r="T138" s="1" t="s">
        <v>3</v>
      </c>
      <c r="U138" s="1">
        <v>54</v>
      </c>
      <c r="V138" s="1">
        <v>72.5</v>
      </c>
      <c r="W138" s="1">
        <v>52</v>
      </c>
      <c r="X138" s="1" t="s">
        <v>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F8B9-0FB5-47CD-8D41-A3BDB041DCEC}">
  <dimension ref="A1:AB109"/>
  <sheetViews>
    <sheetView workbookViewId="0">
      <selection activeCell="AG111" sqref="AG111"/>
    </sheetView>
  </sheetViews>
  <sheetFormatPr defaultRowHeight="14.25"/>
  <sheetData>
    <row r="1" spans="1:28" ht="15">
      <c r="A1" s="11" t="s">
        <v>91</v>
      </c>
    </row>
    <row r="3" spans="1:28" ht="15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110</v>
      </c>
    </row>
    <row r="4" spans="1:28">
      <c r="A4" s="26">
        <v>1895</v>
      </c>
      <c r="B4" s="1">
        <v>37.4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>
      <c r="A5" s="26">
        <v>1896</v>
      </c>
      <c r="B5" s="1">
        <v>38.39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>
      <c r="A6" s="26">
        <v>1897</v>
      </c>
      <c r="B6" s="1">
        <v>39.380000000000003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>
        <v>15</v>
      </c>
      <c r="AB6" s="1">
        <v>14.7</v>
      </c>
    </row>
    <row r="7" spans="1:28">
      <c r="A7" s="26">
        <v>1898</v>
      </c>
      <c r="B7" s="1">
        <v>40.36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>
        <v>15.28</v>
      </c>
      <c r="AB7" s="1">
        <v>14.67</v>
      </c>
    </row>
    <row r="8" spans="1:28">
      <c r="A8" s="26">
        <v>1899</v>
      </c>
      <c r="B8" s="1">
        <v>41.33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15.56</v>
      </c>
      <c r="AB8" s="1">
        <v>14.63</v>
      </c>
    </row>
    <row r="9" spans="1:28">
      <c r="A9" s="26">
        <v>1900</v>
      </c>
      <c r="B9" s="1">
        <v>42.29</v>
      </c>
      <c r="C9" s="1"/>
      <c r="D9" s="1">
        <v>26.9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15.83</v>
      </c>
      <c r="AB9" s="1">
        <v>14.6</v>
      </c>
    </row>
    <row r="10" spans="1:28">
      <c r="A10" s="26">
        <v>1901</v>
      </c>
      <c r="B10" s="1">
        <v>43.23</v>
      </c>
      <c r="C10" s="1"/>
      <c r="D10" s="1">
        <v>27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>
        <v>16.100000000000001</v>
      </c>
      <c r="AB10" s="1">
        <v>14.57</v>
      </c>
    </row>
    <row r="11" spans="1:28">
      <c r="A11" s="26">
        <v>1902</v>
      </c>
      <c r="B11" s="1">
        <v>44.16</v>
      </c>
      <c r="C11" s="1"/>
      <c r="D11" s="1">
        <v>27.1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>
        <v>16.36</v>
      </c>
      <c r="AB11" s="1">
        <v>14.54</v>
      </c>
    </row>
    <row r="12" spans="1:28">
      <c r="A12" s="26">
        <v>1903</v>
      </c>
      <c r="B12" s="1">
        <v>45.06</v>
      </c>
      <c r="C12" s="1"/>
      <c r="D12" s="1">
        <v>27.2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v>16.61</v>
      </c>
      <c r="AB12" s="1">
        <v>14.51</v>
      </c>
    </row>
    <row r="13" spans="1:28">
      <c r="A13" s="26">
        <v>1904</v>
      </c>
      <c r="B13" s="1">
        <v>45.94</v>
      </c>
      <c r="C13" s="1"/>
      <c r="D13" s="1">
        <v>27.3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>
        <v>16.84</v>
      </c>
      <c r="AB13" s="1">
        <v>14.48</v>
      </c>
    </row>
    <row r="14" spans="1:28">
      <c r="A14" s="26">
        <v>1905</v>
      </c>
      <c r="B14" s="1">
        <v>46.8</v>
      </c>
      <c r="C14" s="1"/>
      <c r="D14" s="1">
        <v>27.4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>
        <v>17.059999999999999</v>
      </c>
      <c r="AB14" s="1">
        <v>14.45</v>
      </c>
    </row>
    <row r="15" spans="1:28">
      <c r="A15" s="26">
        <v>1906</v>
      </c>
      <c r="B15" s="1">
        <v>47.62</v>
      </c>
      <c r="C15" s="1"/>
      <c r="D15" s="1">
        <v>27.5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>
        <v>33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>
        <v>17.260000000000002</v>
      </c>
      <c r="AB15" s="1">
        <v>14.42</v>
      </c>
    </row>
    <row r="16" spans="1:28">
      <c r="A16" s="26">
        <v>1907</v>
      </c>
      <c r="B16" s="1">
        <v>48.4</v>
      </c>
      <c r="C16" s="1"/>
      <c r="D16" s="1">
        <v>27.6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>
        <v>33.07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17.45</v>
      </c>
      <c r="AB16" s="1">
        <v>14.39</v>
      </c>
    </row>
    <row r="17" spans="1:28">
      <c r="A17" s="26">
        <v>1908</v>
      </c>
      <c r="B17" s="1">
        <v>49.15</v>
      </c>
      <c r="C17" s="1"/>
      <c r="D17" s="1">
        <v>27.7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>
        <v>33.15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>
        <v>17.61</v>
      </c>
      <c r="AB17" s="1">
        <v>14.37</v>
      </c>
    </row>
    <row r="18" spans="1:28">
      <c r="A18" s="26">
        <v>1909</v>
      </c>
      <c r="B18" s="1">
        <v>49.86</v>
      </c>
      <c r="C18" s="1"/>
      <c r="D18" s="1">
        <v>27.8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>
        <v>33.22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>
        <v>17.739999999999998</v>
      </c>
      <c r="AB18" s="1">
        <v>14.34</v>
      </c>
    </row>
    <row r="19" spans="1:28">
      <c r="A19" s="26">
        <v>1910</v>
      </c>
      <c r="B19" s="1">
        <v>50.53</v>
      </c>
      <c r="C19" s="1"/>
      <c r="D19" s="1">
        <v>27.9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>
        <v>33.299999999999997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>
        <v>17.850000000000001</v>
      </c>
      <c r="AB19" s="1">
        <v>14.32</v>
      </c>
    </row>
    <row r="20" spans="1:28">
      <c r="A20" s="26">
        <v>1911</v>
      </c>
      <c r="B20" s="1">
        <v>51.15</v>
      </c>
      <c r="C20" s="1"/>
      <c r="D20" s="1">
        <v>28.01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>
        <v>33.380000000000003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>
        <v>17.93</v>
      </c>
      <c r="AB20" s="1">
        <v>14.3</v>
      </c>
    </row>
    <row r="21" spans="1:28">
      <c r="A21" s="26">
        <v>1912</v>
      </c>
      <c r="B21" s="1">
        <v>51.72</v>
      </c>
      <c r="C21" s="1"/>
      <c r="D21" s="1">
        <v>28.11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>
        <v>33.46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v>17.98</v>
      </c>
      <c r="AB21" s="1">
        <v>14.28</v>
      </c>
    </row>
    <row r="22" spans="1:28">
      <c r="A22" s="26">
        <v>1913</v>
      </c>
      <c r="B22" s="1">
        <v>52.24</v>
      </c>
      <c r="C22" s="1"/>
      <c r="D22" s="1">
        <v>28.22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>
        <v>33.54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v>18</v>
      </c>
      <c r="AB22" s="1">
        <v>14.26</v>
      </c>
    </row>
    <row r="23" spans="1:28">
      <c r="A23" s="26">
        <v>1914</v>
      </c>
      <c r="B23" s="1">
        <v>52.7</v>
      </c>
      <c r="C23" s="1"/>
      <c r="D23" s="1">
        <v>28.33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>
        <v>33.619999999999997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17.829999999999998</v>
      </c>
      <c r="AB23" s="1">
        <v>14.25</v>
      </c>
    </row>
    <row r="24" spans="1:28">
      <c r="A24" s="26">
        <v>1915</v>
      </c>
      <c r="B24" s="1">
        <v>53.13</v>
      </c>
      <c r="C24" s="1"/>
      <c r="D24" s="1">
        <v>28.44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>
        <v>33.71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17.41</v>
      </c>
      <c r="AB24" s="1">
        <v>14.23</v>
      </c>
    </row>
    <row r="25" spans="1:28">
      <c r="A25" s="26">
        <v>1916</v>
      </c>
      <c r="B25" s="1">
        <v>53.57</v>
      </c>
      <c r="C25" s="1"/>
      <c r="D25" s="1">
        <v>28.55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33.799999999999997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16.82</v>
      </c>
      <c r="AB25" s="1">
        <v>14.22</v>
      </c>
    </row>
    <row r="26" spans="1:28">
      <c r="A26" s="26">
        <v>1917</v>
      </c>
      <c r="B26" s="1">
        <v>54</v>
      </c>
      <c r="C26" s="1"/>
      <c r="D26" s="1">
        <v>28.66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>
        <v>33.89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>
        <v>16.18</v>
      </c>
      <c r="AB26" s="1">
        <v>14.21</v>
      </c>
    </row>
    <row r="27" spans="1:28">
      <c r="A27" s="26">
        <v>1918</v>
      </c>
      <c r="B27" s="1">
        <v>54.44</v>
      </c>
      <c r="C27" s="1"/>
      <c r="D27" s="1">
        <v>28.77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>
        <v>33.99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v>15.59</v>
      </c>
      <c r="AB27" s="1">
        <v>14.21</v>
      </c>
    </row>
    <row r="28" spans="1:28">
      <c r="A28" s="26">
        <v>1919</v>
      </c>
      <c r="B28" s="1">
        <v>54.87</v>
      </c>
      <c r="C28" s="1"/>
      <c r="D28" s="1">
        <v>28.89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>
        <v>34.090000000000003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>
        <v>15.17</v>
      </c>
      <c r="AB28" s="1">
        <v>14.2</v>
      </c>
    </row>
    <row r="29" spans="1:28">
      <c r="A29" s="26">
        <v>1920</v>
      </c>
      <c r="B29" s="1">
        <v>55.3</v>
      </c>
      <c r="C29" s="1"/>
      <c r="D29" s="1">
        <v>29.01</v>
      </c>
      <c r="E29" s="1"/>
      <c r="F29" s="1"/>
      <c r="G29" s="1"/>
      <c r="H29" s="1"/>
      <c r="I29" s="1"/>
      <c r="J29" s="1"/>
      <c r="K29" s="1">
        <v>16.100000000000001</v>
      </c>
      <c r="L29" s="1"/>
      <c r="M29" s="1"/>
      <c r="N29" s="1"/>
      <c r="O29" s="1"/>
      <c r="P29" s="1">
        <v>34.200000000000003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>
        <v>15</v>
      </c>
      <c r="AB29" s="1">
        <v>14.2</v>
      </c>
    </row>
    <row r="30" spans="1:28">
      <c r="A30" s="26">
        <v>1921</v>
      </c>
      <c r="B30" s="1">
        <v>55.72</v>
      </c>
      <c r="C30" s="1"/>
      <c r="D30" s="1">
        <v>29.13</v>
      </c>
      <c r="E30" s="1"/>
      <c r="F30" s="1"/>
      <c r="G30" s="1"/>
      <c r="H30" s="1">
        <v>26.6</v>
      </c>
      <c r="I30" s="1"/>
      <c r="J30" s="1"/>
      <c r="K30" s="1">
        <v>16.190000000000001</v>
      </c>
      <c r="L30" s="1"/>
      <c r="M30" s="1"/>
      <c r="N30" s="1"/>
      <c r="O30" s="1"/>
      <c r="P30" s="1">
        <v>34.32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>
        <v>15.13</v>
      </c>
      <c r="AB30" s="1">
        <v>14.33</v>
      </c>
    </row>
    <row r="31" spans="1:28">
      <c r="A31" s="26">
        <v>1922</v>
      </c>
      <c r="B31" s="1">
        <v>56.14</v>
      </c>
      <c r="C31" s="1"/>
      <c r="D31" s="1">
        <v>29.25</v>
      </c>
      <c r="E31" s="1"/>
      <c r="F31" s="1"/>
      <c r="G31" s="1"/>
      <c r="H31" s="1">
        <v>26.61</v>
      </c>
      <c r="I31" s="1"/>
      <c r="J31" s="1"/>
      <c r="K31" s="1">
        <v>16.29</v>
      </c>
      <c r="L31" s="1"/>
      <c r="M31" s="1"/>
      <c r="N31" s="1"/>
      <c r="O31" s="1"/>
      <c r="P31" s="1">
        <v>34.46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>
        <v>15.48</v>
      </c>
      <c r="AB31" s="1">
        <v>14.7</v>
      </c>
    </row>
    <row r="32" spans="1:28">
      <c r="A32" s="26">
        <v>1923</v>
      </c>
      <c r="B32" s="1">
        <v>56.55</v>
      </c>
      <c r="C32" s="1"/>
      <c r="D32" s="1">
        <v>29.37</v>
      </c>
      <c r="E32" s="1"/>
      <c r="F32" s="1"/>
      <c r="G32" s="1"/>
      <c r="H32" s="1">
        <v>26.62</v>
      </c>
      <c r="I32" s="1"/>
      <c r="J32" s="1"/>
      <c r="K32" s="1">
        <v>16.39</v>
      </c>
      <c r="L32" s="1"/>
      <c r="M32" s="1"/>
      <c r="N32" s="1"/>
      <c r="O32" s="1"/>
      <c r="P32" s="1">
        <v>34.619999999999997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>
        <v>15.99</v>
      </c>
      <c r="AB32" s="1">
        <v>15.23</v>
      </c>
    </row>
    <row r="33" spans="1:28">
      <c r="A33" s="26">
        <v>1924</v>
      </c>
      <c r="B33" s="1">
        <v>56.96</v>
      </c>
      <c r="C33" s="1"/>
      <c r="D33" s="1">
        <v>29.5</v>
      </c>
      <c r="E33" s="1"/>
      <c r="F33" s="1"/>
      <c r="G33" s="1"/>
      <c r="H33" s="1">
        <v>26.62</v>
      </c>
      <c r="I33" s="1"/>
      <c r="J33" s="1"/>
      <c r="K33" s="1">
        <v>16.489999999999998</v>
      </c>
      <c r="L33" s="1"/>
      <c r="M33" s="1"/>
      <c r="N33" s="1"/>
      <c r="O33" s="1"/>
      <c r="P33" s="1">
        <v>34.79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>
        <v>16.61</v>
      </c>
      <c r="AB33" s="1">
        <v>15.88</v>
      </c>
    </row>
    <row r="34" spans="1:28">
      <c r="A34" s="26">
        <v>1925</v>
      </c>
      <c r="B34" s="1">
        <v>57.36</v>
      </c>
      <c r="C34" s="1"/>
      <c r="D34" s="1">
        <v>29.63</v>
      </c>
      <c r="E34" s="1"/>
      <c r="F34" s="1"/>
      <c r="G34" s="1"/>
      <c r="H34" s="1">
        <v>26.63</v>
      </c>
      <c r="I34" s="1"/>
      <c r="J34" s="1"/>
      <c r="K34" s="1">
        <v>16.59</v>
      </c>
      <c r="L34" s="1"/>
      <c r="M34" s="1"/>
      <c r="N34" s="1"/>
      <c r="O34" s="1"/>
      <c r="P34" s="1">
        <v>34.979999999999997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17.260000000000002</v>
      </c>
      <c r="AB34" s="1">
        <v>16.59</v>
      </c>
    </row>
    <row r="35" spans="1:28">
      <c r="A35" s="26">
        <v>1926</v>
      </c>
      <c r="B35" s="1">
        <v>57.75</v>
      </c>
      <c r="C35" s="1"/>
      <c r="D35" s="1">
        <v>29.76</v>
      </c>
      <c r="E35" s="1"/>
      <c r="F35" s="1"/>
      <c r="G35" s="1"/>
      <c r="H35" s="1">
        <v>26.64</v>
      </c>
      <c r="I35" s="1"/>
      <c r="J35" s="1"/>
      <c r="K35" s="1">
        <v>16.7</v>
      </c>
      <c r="L35" s="1"/>
      <c r="M35" s="1"/>
      <c r="N35" s="1"/>
      <c r="O35" s="1"/>
      <c r="P35" s="1">
        <v>35.17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v>17.899999999999999</v>
      </c>
      <c r="AB35" s="1">
        <v>17.3</v>
      </c>
    </row>
    <row r="36" spans="1:28">
      <c r="A36" s="26">
        <v>1927</v>
      </c>
      <c r="B36" s="1">
        <v>58.14</v>
      </c>
      <c r="C36" s="1"/>
      <c r="D36" s="1">
        <v>29.89</v>
      </c>
      <c r="E36" s="1"/>
      <c r="F36" s="1"/>
      <c r="G36" s="1"/>
      <c r="H36" s="1">
        <v>26.65</v>
      </c>
      <c r="I36" s="1"/>
      <c r="J36" s="1"/>
      <c r="K36" s="1">
        <v>16.809999999999999</v>
      </c>
      <c r="L36" s="1"/>
      <c r="M36" s="1"/>
      <c r="N36" s="1"/>
      <c r="O36" s="1"/>
      <c r="P36" s="1">
        <v>35.369999999999997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>
        <v>18.559999999999999</v>
      </c>
      <c r="AB36" s="1">
        <v>18.05</v>
      </c>
    </row>
    <row r="37" spans="1:28">
      <c r="A37" s="26">
        <v>1928</v>
      </c>
      <c r="B37" s="1">
        <v>58.51</v>
      </c>
      <c r="C37" s="1"/>
      <c r="D37" s="1">
        <v>30.03</v>
      </c>
      <c r="E37" s="1"/>
      <c r="F37" s="1"/>
      <c r="G37" s="1"/>
      <c r="H37" s="1">
        <v>26.65</v>
      </c>
      <c r="I37" s="1"/>
      <c r="J37" s="1"/>
      <c r="K37" s="1">
        <v>16.93</v>
      </c>
      <c r="L37" s="1"/>
      <c r="M37" s="1"/>
      <c r="N37" s="1"/>
      <c r="O37" s="1"/>
      <c r="P37" s="1">
        <v>35.57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>
        <v>19.29</v>
      </c>
      <c r="AB37" s="1">
        <v>18.89</v>
      </c>
    </row>
    <row r="38" spans="1:28">
      <c r="A38" s="26">
        <v>1929</v>
      </c>
      <c r="B38" s="1">
        <v>58.87</v>
      </c>
      <c r="C38" s="1"/>
      <c r="D38" s="1">
        <v>30.17</v>
      </c>
      <c r="E38" s="1"/>
      <c r="F38" s="1"/>
      <c r="G38" s="1"/>
      <c r="H38" s="1">
        <v>26.66</v>
      </c>
      <c r="I38" s="1"/>
      <c r="J38" s="1"/>
      <c r="K38" s="1">
        <v>17.05</v>
      </c>
      <c r="L38" s="1"/>
      <c r="M38" s="1"/>
      <c r="N38" s="1"/>
      <c r="O38" s="1"/>
      <c r="P38" s="1">
        <v>35.770000000000003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>
        <v>20.100000000000001</v>
      </c>
      <c r="AB38" s="1">
        <v>19.829999999999998</v>
      </c>
    </row>
    <row r="39" spans="1:28">
      <c r="A39" s="26">
        <v>1930</v>
      </c>
      <c r="B39" s="1">
        <v>59.22</v>
      </c>
      <c r="C39" s="1"/>
      <c r="D39" s="1">
        <v>30.31</v>
      </c>
      <c r="E39" s="1"/>
      <c r="F39" s="1"/>
      <c r="G39" s="1"/>
      <c r="H39" s="1">
        <v>26.67</v>
      </c>
      <c r="I39" s="1"/>
      <c r="J39" s="1"/>
      <c r="K39" s="1">
        <v>17.190000000000001</v>
      </c>
      <c r="L39" s="1"/>
      <c r="M39" s="1"/>
      <c r="N39" s="1"/>
      <c r="O39" s="1">
        <v>33.5</v>
      </c>
      <c r="P39" s="1">
        <v>35.97</v>
      </c>
      <c r="Q39" s="1">
        <v>30.1</v>
      </c>
      <c r="R39" s="1"/>
      <c r="S39" s="1"/>
      <c r="T39" s="1">
        <v>38.299999999999997</v>
      </c>
      <c r="U39" s="1"/>
      <c r="V39" s="1"/>
      <c r="W39" s="1"/>
      <c r="X39" s="1">
        <v>49.4</v>
      </c>
      <c r="Y39" s="1">
        <v>30.3</v>
      </c>
      <c r="Z39" s="1"/>
      <c r="AA39" s="1">
        <v>20.95</v>
      </c>
      <c r="AB39" s="1">
        <v>20.83</v>
      </c>
    </row>
    <row r="40" spans="1:28">
      <c r="A40" s="26">
        <v>1931</v>
      </c>
      <c r="B40" s="1">
        <v>59.56</v>
      </c>
      <c r="C40" s="1"/>
      <c r="D40" s="1">
        <v>30.45</v>
      </c>
      <c r="E40" s="1"/>
      <c r="F40" s="1"/>
      <c r="G40" s="1"/>
      <c r="H40" s="1">
        <v>26.67</v>
      </c>
      <c r="I40" s="1"/>
      <c r="J40" s="1"/>
      <c r="K40" s="1">
        <v>17.329999999999998</v>
      </c>
      <c r="L40" s="1"/>
      <c r="M40" s="1"/>
      <c r="N40" s="1"/>
      <c r="O40" s="1">
        <v>33.619999999999997</v>
      </c>
      <c r="P40" s="1">
        <v>36.17</v>
      </c>
      <c r="Q40" s="1">
        <v>30.52</v>
      </c>
      <c r="R40" s="1"/>
      <c r="S40" s="1"/>
      <c r="T40" s="1">
        <v>38.17</v>
      </c>
      <c r="U40" s="1"/>
      <c r="V40" s="1"/>
      <c r="W40" s="1"/>
      <c r="X40" s="1">
        <v>49.63</v>
      </c>
      <c r="Y40" s="1">
        <v>30.17</v>
      </c>
      <c r="Z40" s="1"/>
      <c r="AA40" s="1">
        <v>21.84</v>
      </c>
      <c r="AB40" s="1">
        <v>21.9</v>
      </c>
    </row>
    <row r="41" spans="1:28">
      <c r="A41" s="26">
        <v>1932</v>
      </c>
      <c r="B41" s="1">
        <v>59.88</v>
      </c>
      <c r="C41" s="1"/>
      <c r="D41" s="1">
        <v>30.6</v>
      </c>
      <c r="E41" s="1"/>
      <c r="F41" s="1"/>
      <c r="G41" s="1"/>
      <c r="H41" s="1">
        <v>26.68</v>
      </c>
      <c r="I41" s="1"/>
      <c r="J41" s="1"/>
      <c r="K41" s="1">
        <v>17.48</v>
      </c>
      <c r="L41" s="1"/>
      <c r="M41" s="1"/>
      <c r="N41" s="1"/>
      <c r="O41" s="1">
        <v>33.74</v>
      </c>
      <c r="P41" s="1">
        <v>36.35</v>
      </c>
      <c r="Q41" s="1">
        <v>30.93</v>
      </c>
      <c r="R41" s="1"/>
      <c r="S41" s="1"/>
      <c r="T41" s="1">
        <v>38.03</v>
      </c>
      <c r="U41" s="1"/>
      <c r="V41" s="1"/>
      <c r="W41" s="1"/>
      <c r="X41" s="1">
        <v>49.86</v>
      </c>
      <c r="Y41" s="1">
        <v>30.03</v>
      </c>
      <c r="Z41" s="1"/>
      <c r="AA41" s="1">
        <v>22.74</v>
      </c>
      <c r="AB41" s="1">
        <v>23.02</v>
      </c>
    </row>
    <row r="42" spans="1:28">
      <c r="A42" s="26">
        <v>1933</v>
      </c>
      <c r="B42" s="1">
        <v>60.19</v>
      </c>
      <c r="C42" s="1"/>
      <c r="D42" s="1">
        <v>30.75</v>
      </c>
      <c r="E42" s="1"/>
      <c r="F42" s="1"/>
      <c r="G42" s="1"/>
      <c r="H42" s="1">
        <v>26.68</v>
      </c>
      <c r="I42" s="1"/>
      <c r="J42" s="1"/>
      <c r="K42" s="1">
        <v>17.64</v>
      </c>
      <c r="L42" s="1"/>
      <c r="M42" s="1"/>
      <c r="N42" s="1"/>
      <c r="O42" s="1">
        <v>33.86</v>
      </c>
      <c r="P42" s="1">
        <v>36.53</v>
      </c>
      <c r="Q42" s="1">
        <v>31.34</v>
      </c>
      <c r="R42" s="1"/>
      <c r="S42" s="1"/>
      <c r="T42" s="1">
        <v>37.9</v>
      </c>
      <c r="U42" s="1"/>
      <c r="V42" s="1"/>
      <c r="W42" s="1"/>
      <c r="X42" s="1">
        <v>50.11</v>
      </c>
      <c r="Y42" s="1">
        <v>29.9</v>
      </c>
      <c r="Z42" s="1"/>
      <c r="AA42" s="1">
        <v>23.65</v>
      </c>
      <c r="AB42" s="1">
        <v>24.17</v>
      </c>
    </row>
    <row r="43" spans="1:28">
      <c r="A43" s="26">
        <v>1934</v>
      </c>
      <c r="B43" s="1">
        <v>60.48</v>
      </c>
      <c r="C43" s="1"/>
      <c r="D43" s="1">
        <v>30.91</v>
      </c>
      <c r="E43" s="1"/>
      <c r="F43" s="1"/>
      <c r="G43" s="1"/>
      <c r="H43" s="1">
        <v>26.69</v>
      </c>
      <c r="I43" s="1"/>
      <c r="J43" s="1"/>
      <c r="K43" s="1">
        <v>17.809999999999999</v>
      </c>
      <c r="L43" s="1"/>
      <c r="M43" s="1"/>
      <c r="N43" s="1"/>
      <c r="O43" s="1">
        <v>33.99</v>
      </c>
      <c r="P43" s="1">
        <v>36.69</v>
      </c>
      <c r="Q43" s="1">
        <v>31.74</v>
      </c>
      <c r="R43" s="1"/>
      <c r="S43" s="1"/>
      <c r="T43" s="1">
        <v>37.770000000000003</v>
      </c>
      <c r="U43" s="1"/>
      <c r="V43" s="1"/>
      <c r="W43" s="1"/>
      <c r="X43" s="1">
        <v>50.36</v>
      </c>
      <c r="Y43" s="1">
        <v>29.77</v>
      </c>
      <c r="Z43" s="1"/>
      <c r="AA43" s="1">
        <v>24.55</v>
      </c>
      <c r="AB43" s="1">
        <v>25.35</v>
      </c>
    </row>
    <row r="44" spans="1:28">
      <c r="A44" s="26">
        <v>1935</v>
      </c>
      <c r="B44" s="1">
        <v>60.76</v>
      </c>
      <c r="C44" s="1"/>
      <c r="D44" s="1">
        <v>31.07</v>
      </c>
      <c r="E44" s="1"/>
      <c r="F44" s="1"/>
      <c r="G44" s="1"/>
      <c r="H44" s="1">
        <v>26.69</v>
      </c>
      <c r="I44" s="1"/>
      <c r="J44" s="1"/>
      <c r="K44" s="1">
        <v>18</v>
      </c>
      <c r="L44" s="1"/>
      <c r="M44" s="1"/>
      <c r="N44" s="1"/>
      <c r="O44" s="1">
        <v>34.14</v>
      </c>
      <c r="P44" s="1">
        <v>36.83</v>
      </c>
      <c r="Q44" s="1">
        <v>32.130000000000003</v>
      </c>
      <c r="R44" s="1"/>
      <c r="S44" s="1"/>
      <c r="T44" s="1">
        <v>37.64</v>
      </c>
      <c r="U44" s="1"/>
      <c r="V44" s="1"/>
      <c r="W44" s="1"/>
      <c r="X44" s="1">
        <v>50.64</v>
      </c>
      <c r="Y44" s="1">
        <v>29.64</v>
      </c>
      <c r="Z44" s="1"/>
      <c r="AA44" s="1">
        <v>25.41</v>
      </c>
      <c r="AB44" s="1">
        <v>26.54</v>
      </c>
    </row>
    <row r="45" spans="1:28">
      <c r="A45" s="26">
        <v>1936</v>
      </c>
      <c r="B45" s="1">
        <v>61.02</v>
      </c>
      <c r="C45" s="1"/>
      <c r="D45" s="1">
        <v>31.23</v>
      </c>
      <c r="E45" s="1"/>
      <c r="F45" s="1">
        <v>35</v>
      </c>
      <c r="G45" s="1"/>
      <c r="H45" s="1">
        <v>26.69</v>
      </c>
      <c r="I45" s="1"/>
      <c r="J45" s="1"/>
      <c r="K45" s="1">
        <v>18.21</v>
      </c>
      <c r="L45" s="1"/>
      <c r="M45" s="1"/>
      <c r="N45" s="1"/>
      <c r="O45" s="1">
        <v>34.29</v>
      </c>
      <c r="P45" s="1">
        <v>36.96</v>
      </c>
      <c r="Q45" s="1">
        <v>32.5</v>
      </c>
      <c r="R45" s="1"/>
      <c r="S45" s="1"/>
      <c r="T45" s="1">
        <v>37.51</v>
      </c>
      <c r="U45" s="1"/>
      <c r="V45" s="1"/>
      <c r="W45" s="1"/>
      <c r="X45" s="1">
        <v>50.93</v>
      </c>
      <c r="Y45" s="1">
        <v>29.51</v>
      </c>
      <c r="Z45" s="1"/>
      <c r="AA45" s="1">
        <v>26.24</v>
      </c>
      <c r="AB45" s="1">
        <v>27.72</v>
      </c>
    </row>
    <row r="46" spans="1:28">
      <c r="A46" s="26">
        <v>1937</v>
      </c>
      <c r="B46" s="1">
        <v>61.26</v>
      </c>
      <c r="C46" s="1"/>
      <c r="D46" s="1">
        <v>31.39</v>
      </c>
      <c r="E46" s="1"/>
      <c r="F46" s="1">
        <v>35.67</v>
      </c>
      <c r="G46" s="1"/>
      <c r="H46" s="1">
        <v>26.7</v>
      </c>
      <c r="I46" s="1"/>
      <c r="J46" s="1"/>
      <c r="K46" s="1">
        <v>18.46</v>
      </c>
      <c r="L46" s="1"/>
      <c r="M46" s="1"/>
      <c r="N46" s="1"/>
      <c r="O46" s="1">
        <v>34.46</v>
      </c>
      <c r="P46" s="1">
        <v>37.06</v>
      </c>
      <c r="Q46" s="1">
        <v>32.86</v>
      </c>
      <c r="R46" s="1"/>
      <c r="S46" s="1"/>
      <c r="T46" s="1">
        <v>37.39</v>
      </c>
      <c r="U46" s="1"/>
      <c r="V46" s="1"/>
      <c r="W46" s="1"/>
      <c r="X46" s="1">
        <v>51.25</v>
      </c>
      <c r="Y46" s="1">
        <v>29.39</v>
      </c>
      <c r="Z46" s="1"/>
      <c r="AA46" s="1">
        <v>27</v>
      </c>
      <c r="AB46" s="1">
        <v>28.9</v>
      </c>
    </row>
    <row r="47" spans="1:28">
      <c r="A47" s="26">
        <v>1938</v>
      </c>
      <c r="B47" s="1">
        <v>61.49</v>
      </c>
      <c r="C47" s="1"/>
      <c r="D47" s="1">
        <v>31.56</v>
      </c>
      <c r="E47" s="1"/>
      <c r="F47" s="1">
        <v>36.369999999999997</v>
      </c>
      <c r="G47" s="1"/>
      <c r="H47" s="1">
        <v>26.7</v>
      </c>
      <c r="I47" s="1"/>
      <c r="J47" s="1"/>
      <c r="K47" s="1">
        <v>18.739999999999998</v>
      </c>
      <c r="L47" s="1">
        <v>29.1</v>
      </c>
      <c r="M47" s="1"/>
      <c r="N47" s="1"/>
      <c r="O47" s="1">
        <v>34.65</v>
      </c>
      <c r="P47" s="1">
        <v>37.14</v>
      </c>
      <c r="Q47" s="1">
        <v>33.200000000000003</v>
      </c>
      <c r="R47" s="1"/>
      <c r="S47" s="1"/>
      <c r="T47" s="1">
        <v>37.28</v>
      </c>
      <c r="U47" s="1"/>
      <c r="V47" s="1"/>
      <c r="W47" s="1"/>
      <c r="X47" s="1">
        <v>51.6</v>
      </c>
      <c r="Y47" s="1">
        <v>29.28</v>
      </c>
      <c r="Z47" s="1"/>
      <c r="AA47" s="1">
        <v>27.64</v>
      </c>
      <c r="AB47" s="1">
        <v>30.2</v>
      </c>
    </row>
    <row r="48" spans="1:28">
      <c r="A48" s="26">
        <v>1939</v>
      </c>
      <c r="B48" s="1">
        <v>61.69</v>
      </c>
      <c r="C48" s="1"/>
      <c r="D48" s="1">
        <v>31.73</v>
      </c>
      <c r="E48" s="1"/>
      <c r="F48" s="1">
        <v>37.14</v>
      </c>
      <c r="G48" s="1"/>
      <c r="H48" s="1">
        <v>26.7</v>
      </c>
      <c r="I48" s="1"/>
      <c r="J48" s="1"/>
      <c r="K48" s="1">
        <v>19.059999999999999</v>
      </c>
      <c r="L48" s="1">
        <v>30.29</v>
      </c>
      <c r="M48" s="1"/>
      <c r="N48" s="1"/>
      <c r="O48" s="1">
        <v>34.869999999999997</v>
      </c>
      <c r="P48" s="1">
        <v>37.18</v>
      </c>
      <c r="Q48" s="1">
        <v>33.51</v>
      </c>
      <c r="R48" s="1"/>
      <c r="S48" s="1"/>
      <c r="T48" s="1">
        <v>37.17</v>
      </c>
      <c r="U48" s="1"/>
      <c r="V48" s="1"/>
      <c r="W48" s="1"/>
      <c r="X48" s="1">
        <v>51.98</v>
      </c>
      <c r="Y48" s="1">
        <v>29.17</v>
      </c>
      <c r="Z48" s="1"/>
      <c r="AA48" s="1">
        <v>28.3</v>
      </c>
      <c r="AB48" s="1">
        <v>31.5</v>
      </c>
    </row>
    <row r="49" spans="1:28">
      <c r="A49" s="26">
        <v>1940</v>
      </c>
      <c r="B49" s="1">
        <v>61.87</v>
      </c>
      <c r="C49" s="1"/>
      <c r="D49" s="1">
        <v>31.91</v>
      </c>
      <c r="E49" s="1">
        <v>31.2</v>
      </c>
      <c r="F49" s="1">
        <v>38</v>
      </c>
      <c r="G49" s="1"/>
      <c r="H49" s="1">
        <v>26.7</v>
      </c>
      <c r="I49" s="1"/>
      <c r="J49" s="1"/>
      <c r="K49" s="1">
        <v>19.41</v>
      </c>
      <c r="L49" s="1">
        <v>31.47</v>
      </c>
      <c r="M49" s="1"/>
      <c r="N49" s="1"/>
      <c r="O49" s="1">
        <v>35.1</v>
      </c>
      <c r="P49" s="1">
        <v>37.200000000000003</v>
      </c>
      <c r="Q49" s="1">
        <v>33.799999999999997</v>
      </c>
      <c r="R49" s="1"/>
      <c r="S49" s="1">
        <v>36.1</v>
      </c>
      <c r="T49" s="1">
        <v>37.06</v>
      </c>
      <c r="U49" s="1"/>
      <c r="V49" s="1"/>
      <c r="W49" s="1"/>
      <c r="X49" s="1">
        <v>52.4</v>
      </c>
      <c r="Y49" s="1">
        <v>29.06</v>
      </c>
      <c r="Z49" s="1"/>
      <c r="AA49" s="1">
        <v>29.11</v>
      </c>
      <c r="AB49" s="1">
        <v>32.65</v>
      </c>
    </row>
    <row r="50" spans="1:28">
      <c r="A50" s="26">
        <v>1941</v>
      </c>
      <c r="B50" s="1">
        <v>62.03</v>
      </c>
      <c r="C50" s="1"/>
      <c r="D50" s="1">
        <v>32.090000000000003</v>
      </c>
      <c r="E50" s="1">
        <v>31.7</v>
      </c>
      <c r="F50" s="1">
        <v>39</v>
      </c>
      <c r="G50" s="1"/>
      <c r="H50" s="1">
        <v>26.65</v>
      </c>
      <c r="I50" s="1"/>
      <c r="J50" s="1"/>
      <c r="K50" s="1">
        <v>19.78</v>
      </c>
      <c r="L50" s="1">
        <v>32.65</v>
      </c>
      <c r="M50" s="1"/>
      <c r="N50" s="1"/>
      <c r="O50" s="1">
        <v>35.39</v>
      </c>
      <c r="P50" s="1">
        <v>37.14</v>
      </c>
      <c r="Q50" s="1">
        <v>34.06</v>
      </c>
      <c r="R50" s="1"/>
      <c r="S50" s="1">
        <v>35.979999999999997</v>
      </c>
      <c r="T50" s="1">
        <v>36.96</v>
      </c>
      <c r="U50" s="1"/>
      <c r="V50" s="1"/>
      <c r="W50" s="1"/>
      <c r="X50" s="1">
        <v>52.92</v>
      </c>
      <c r="Y50" s="1">
        <v>28.96</v>
      </c>
      <c r="Z50" s="1"/>
      <c r="AA50" s="1">
        <v>29.96</v>
      </c>
      <c r="AB50" s="1">
        <v>33.79</v>
      </c>
    </row>
    <row r="51" spans="1:28">
      <c r="A51" s="26">
        <v>1942</v>
      </c>
      <c r="B51" s="1">
        <v>62.17</v>
      </c>
      <c r="C51" s="1"/>
      <c r="D51" s="1">
        <v>32.270000000000003</v>
      </c>
      <c r="E51" s="1">
        <v>32.21</v>
      </c>
      <c r="F51" s="1">
        <v>40.21</v>
      </c>
      <c r="G51" s="1"/>
      <c r="H51" s="1">
        <v>26.52</v>
      </c>
      <c r="I51" s="1"/>
      <c r="J51" s="1"/>
      <c r="K51" s="1">
        <v>20.18</v>
      </c>
      <c r="L51" s="1">
        <v>33.82</v>
      </c>
      <c r="M51" s="1"/>
      <c r="N51" s="1"/>
      <c r="O51" s="1">
        <v>35.75</v>
      </c>
      <c r="P51" s="1">
        <v>36.96</v>
      </c>
      <c r="Q51" s="1">
        <v>34.28</v>
      </c>
      <c r="R51" s="1"/>
      <c r="S51" s="1">
        <v>35.86</v>
      </c>
      <c r="T51" s="1">
        <v>36.869999999999997</v>
      </c>
      <c r="U51" s="1"/>
      <c r="V51" s="1"/>
      <c r="W51" s="1"/>
      <c r="X51" s="1">
        <v>53.58</v>
      </c>
      <c r="Y51" s="1">
        <v>28.87</v>
      </c>
      <c r="Z51" s="1"/>
      <c r="AA51" s="1">
        <v>30.86</v>
      </c>
      <c r="AB51" s="1">
        <v>34.909999999999997</v>
      </c>
    </row>
    <row r="52" spans="1:28">
      <c r="A52" s="26">
        <v>1943</v>
      </c>
      <c r="B52" s="1">
        <v>62.29</v>
      </c>
      <c r="C52" s="1"/>
      <c r="D52" s="1">
        <v>32.46</v>
      </c>
      <c r="E52" s="1">
        <v>32.72</v>
      </c>
      <c r="F52" s="1">
        <v>41.64</v>
      </c>
      <c r="G52" s="1"/>
      <c r="H52" s="1">
        <v>26.33</v>
      </c>
      <c r="I52" s="1"/>
      <c r="J52" s="1"/>
      <c r="K52" s="1">
        <v>20.6</v>
      </c>
      <c r="L52" s="1">
        <v>34.979999999999997</v>
      </c>
      <c r="M52" s="1"/>
      <c r="N52" s="1">
        <v>54.6</v>
      </c>
      <c r="O52" s="1">
        <v>36.18</v>
      </c>
      <c r="P52" s="1">
        <v>36.700000000000003</v>
      </c>
      <c r="Q52" s="1">
        <v>34.479999999999997</v>
      </c>
      <c r="R52" s="1"/>
      <c r="S52" s="1">
        <v>35.75</v>
      </c>
      <c r="T52" s="1">
        <v>36.79</v>
      </c>
      <c r="U52" s="1"/>
      <c r="V52" s="1"/>
      <c r="W52" s="1"/>
      <c r="X52" s="1">
        <v>54.34</v>
      </c>
      <c r="Y52" s="1">
        <v>28.79</v>
      </c>
      <c r="Z52" s="1">
        <v>18.2</v>
      </c>
      <c r="AA52" s="1">
        <v>31.79</v>
      </c>
      <c r="AB52" s="1">
        <v>36.020000000000003</v>
      </c>
    </row>
    <row r="53" spans="1:28">
      <c r="A53" s="26">
        <v>1944</v>
      </c>
      <c r="B53" s="1">
        <v>62.38</v>
      </c>
      <c r="C53" s="1"/>
      <c r="D53" s="1">
        <v>32.65</v>
      </c>
      <c r="E53" s="1">
        <v>33.229999999999997</v>
      </c>
      <c r="F53" s="1">
        <v>43.25</v>
      </c>
      <c r="G53" s="1"/>
      <c r="H53" s="1">
        <v>26.1</v>
      </c>
      <c r="I53" s="1"/>
      <c r="J53" s="1"/>
      <c r="K53" s="1">
        <v>21.03</v>
      </c>
      <c r="L53" s="1">
        <v>36.14</v>
      </c>
      <c r="M53" s="1"/>
      <c r="N53" s="1">
        <v>54.71</v>
      </c>
      <c r="O53" s="1">
        <v>36.68</v>
      </c>
      <c r="P53" s="1">
        <v>36.39</v>
      </c>
      <c r="Q53" s="1">
        <v>34.67</v>
      </c>
      <c r="R53" s="1"/>
      <c r="S53" s="1">
        <v>35.65</v>
      </c>
      <c r="T53" s="1">
        <v>36.72</v>
      </c>
      <c r="U53" s="1"/>
      <c r="V53" s="1"/>
      <c r="W53" s="1"/>
      <c r="X53" s="1">
        <v>55.2</v>
      </c>
      <c r="Y53" s="1">
        <v>28.72</v>
      </c>
      <c r="Z53" s="1">
        <v>19.57</v>
      </c>
      <c r="AA53" s="1">
        <v>32.76</v>
      </c>
      <c r="AB53" s="1">
        <v>37.119999999999997</v>
      </c>
    </row>
    <row r="54" spans="1:28">
      <c r="A54" s="26">
        <v>1945</v>
      </c>
      <c r="B54" s="1">
        <v>62.45</v>
      </c>
      <c r="C54" s="1"/>
      <c r="D54" s="1">
        <v>32.85</v>
      </c>
      <c r="E54" s="1">
        <v>33.75</v>
      </c>
      <c r="F54" s="1">
        <v>44.98</v>
      </c>
      <c r="G54" s="1"/>
      <c r="H54" s="1">
        <v>25.85</v>
      </c>
      <c r="I54" s="1"/>
      <c r="J54" s="1">
        <v>29</v>
      </c>
      <c r="K54" s="1">
        <v>21.49</v>
      </c>
      <c r="L54" s="1">
        <v>37.28</v>
      </c>
      <c r="M54" s="1"/>
      <c r="N54" s="1">
        <v>54.81</v>
      </c>
      <c r="O54" s="1">
        <v>37.229999999999997</v>
      </c>
      <c r="P54" s="1">
        <v>36.049999999999997</v>
      </c>
      <c r="Q54" s="1">
        <v>34.85</v>
      </c>
      <c r="R54" s="1"/>
      <c r="S54" s="1">
        <v>35.549999999999997</v>
      </c>
      <c r="T54" s="1">
        <v>36.65</v>
      </c>
      <c r="U54" s="1"/>
      <c r="V54" s="1"/>
      <c r="W54" s="1"/>
      <c r="X54" s="1">
        <v>56.12</v>
      </c>
      <c r="Y54" s="1">
        <v>28.65</v>
      </c>
      <c r="Z54" s="1">
        <v>20.92</v>
      </c>
      <c r="AA54" s="1">
        <v>33.75</v>
      </c>
      <c r="AB54" s="1">
        <v>38.200000000000003</v>
      </c>
    </row>
    <row r="55" spans="1:28">
      <c r="A55" s="26">
        <v>1946</v>
      </c>
      <c r="B55" s="1">
        <v>62.49</v>
      </c>
      <c r="C55" s="1"/>
      <c r="D55" s="1">
        <v>33.049999999999997</v>
      </c>
      <c r="E55" s="1">
        <v>34.28</v>
      </c>
      <c r="F55" s="1">
        <v>46.79</v>
      </c>
      <c r="G55" s="1"/>
      <c r="H55" s="1">
        <v>25.6</v>
      </c>
      <c r="I55" s="1"/>
      <c r="J55" s="1">
        <v>29.59</v>
      </c>
      <c r="K55" s="1">
        <v>21.95</v>
      </c>
      <c r="L55" s="1">
        <v>38.4</v>
      </c>
      <c r="M55" s="1"/>
      <c r="N55" s="1">
        <v>54.9</v>
      </c>
      <c r="O55" s="1">
        <v>37.82</v>
      </c>
      <c r="P55" s="1">
        <v>35.71</v>
      </c>
      <c r="Q55" s="1">
        <v>35.04</v>
      </c>
      <c r="R55" s="1"/>
      <c r="S55" s="1">
        <v>35.47</v>
      </c>
      <c r="T55" s="1">
        <v>36.6</v>
      </c>
      <c r="U55" s="1"/>
      <c r="V55" s="1"/>
      <c r="W55" s="1"/>
      <c r="X55" s="1">
        <v>57.07</v>
      </c>
      <c r="Y55" s="1">
        <v>28.6</v>
      </c>
      <c r="Z55" s="1">
        <v>22.23</v>
      </c>
      <c r="AA55" s="1">
        <v>34.770000000000003</v>
      </c>
      <c r="AB55" s="1">
        <v>39.28</v>
      </c>
    </row>
    <row r="56" spans="1:28">
      <c r="A56" s="26">
        <v>1947</v>
      </c>
      <c r="B56" s="1">
        <v>62.5</v>
      </c>
      <c r="C56" s="1"/>
      <c r="D56" s="1">
        <v>33.25</v>
      </c>
      <c r="E56" s="1">
        <v>34.81</v>
      </c>
      <c r="F56" s="1">
        <v>48.62</v>
      </c>
      <c r="G56" s="1"/>
      <c r="H56" s="1">
        <v>25.37</v>
      </c>
      <c r="I56" s="1"/>
      <c r="J56" s="1">
        <v>30.14</v>
      </c>
      <c r="K56" s="1">
        <v>22.43</v>
      </c>
      <c r="L56" s="1">
        <v>39.51</v>
      </c>
      <c r="M56" s="1"/>
      <c r="N56" s="1">
        <v>54.98</v>
      </c>
      <c r="O56" s="1">
        <v>38.450000000000003</v>
      </c>
      <c r="P56" s="1">
        <v>35.4</v>
      </c>
      <c r="Q56" s="1">
        <v>35.24</v>
      </c>
      <c r="R56" s="1"/>
      <c r="S56" s="1">
        <v>35.4</v>
      </c>
      <c r="T56" s="1">
        <v>36.56</v>
      </c>
      <c r="U56" s="1"/>
      <c r="V56" s="1"/>
      <c r="W56" s="1"/>
      <c r="X56" s="1">
        <v>58.03</v>
      </c>
      <c r="Y56" s="1">
        <v>28.56</v>
      </c>
      <c r="Z56" s="1">
        <v>23.49</v>
      </c>
      <c r="AA56" s="1">
        <v>35.799999999999997</v>
      </c>
      <c r="AB56" s="1">
        <v>40.340000000000003</v>
      </c>
    </row>
    <row r="57" spans="1:28">
      <c r="A57" s="26">
        <v>1948</v>
      </c>
      <c r="B57" s="1">
        <v>62.5</v>
      </c>
      <c r="C57" s="1"/>
      <c r="D57" s="1">
        <v>33.47</v>
      </c>
      <c r="E57" s="1">
        <v>35.36</v>
      </c>
      <c r="F57" s="1">
        <v>50.41</v>
      </c>
      <c r="G57" s="1"/>
      <c r="H57" s="1">
        <v>25.18</v>
      </c>
      <c r="I57" s="1"/>
      <c r="J57" s="1">
        <v>30.58</v>
      </c>
      <c r="K57" s="1">
        <v>22.92</v>
      </c>
      <c r="L57" s="1">
        <v>40.590000000000003</v>
      </c>
      <c r="M57" s="1"/>
      <c r="N57" s="1">
        <v>55.04</v>
      </c>
      <c r="O57" s="1">
        <v>39.11</v>
      </c>
      <c r="P57" s="1">
        <v>35.14</v>
      </c>
      <c r="Q57" s="1">
        <v>35.46</v>
      </c>
      <c r="R57" s="1"/>
      <c r="S57" s="1">
        <v>35.340000000000003</v>
      </c>
      <c r="T57" s="1">
        <v>36.53</v>
      </c>
      <c r="U57" s="1"/>
      <c r="V57" s="1"/>
      <c r="W57" s="1"/>
      <c r="X57" s="1">
        <v>58.97</v>
      </c>
      <c r="Y57" s="1">
        <v>28.53</v>
      </c>
      <c r="Z57" s="1">
        <v>24.66</v>
      </c>
      <c r="AA57" s="1">
        <v>36.85</v>
      </c>
      <c r="AB57" s="1">
        <v>41.39</v>
      </c>
    </row>
    <row r="58" spans="1:28">
      <c r="A58" s="26">
        <v>1949</v>
      </c>
      <c r="B58" s="1">
        <v>62.5</v>
      </c>
      <c r="C58" s="1"/>
      <c r="D58" s="1">
        <v>33.68</v>
      </c>
      <c r="E58" s="1">
        <v>35.92</v>
      </c>
      <c r="F58" s="1">
        <v>52.12</v>
      </c>
      <c r="G58" s="1"/>
      <c r="H58" s="1">
        <v>25.05</v>
      </c>
      <c r="I58" s="1"/>
      <c r="J58" s="1">
        <v>30.89</v>
      </c>
      <c r="K58" s="1">
        <v>23.41</v>
      </c>
      <c r="L58" s="1">
        <v>41.66</v>
      </c>
      <c r="M58" s="1"/>
      <c r="N58" s="1">
        <v>55.09</v>
      </c>
      <c r="O58" s="1">
        <v>39.799999999999997</v>
      </c>
      <c r="P58" s="1">
        <v>34.96</v>
      </c>
      <c r="Q58" s="1">
        <v>35.71</v>
      </c>
      <c r="R58" s="1"/>
      <c r="S58" s="1">
        <v>35.31</v>
      </c>
      <c r="T58" s="1">
        <v>36.51</v>
      </c>
      <c r="U58" s="1"/>
      <c r="V58" s="1"/>
      <c r="W58" s="1"/>
      <c r="X58" s="1">
        <v>59.87</v>
      </c>
      <c r="Y58" s="1">
        <v>28.51</v>
      </c>
      <c r="Z58" s="1">
        <v>25.74</v>
      </c>
      <c r="AA58" s="1">
        <v>37.909999999999997</v>
      </c>
      <c r="AB58" s="1">
        <v>42.43</v>
      </c>
    </row>
    <row r="59" spans="1:28">
      <c r="A59" s="26">
        <v>1950</v>
      </c>
      <c r="B59" s="1">
        <v>62.5</v>
      </c>
      <c r="C59" s="1">
        <v>56.5</v>
      </c>
      <c r="D59" s="1">
        <v>33.9</v>
      </c>
      <c r="E59" s="1">
        <v>36.5</v>
      </c>
      <c r="F59" s="1">
        <v>53.7</v>
      </c>
      <c r="G59" s="1">
        <v>12.2</v>
      </c>
      <c r="H59" s="1">
        <v>25</v>
      </c>
      <c r="I59" s="1">
        <v>28.1</v>
      </c>
      <c r="J59" s="1">
        <v>31</v>
      </c>
      <c r="K59" s="1">
        <v>23.9</v>
      </c>
      <c r="L59" s="1">
        <v>42.7</v>
      </c>
      <c r="M59" s="1">
        <v>33.5</v>
      </c>
      <c r="N59" s="1">
        <v>55.1</v>
      </c>
      <c r="O59" s="1">
        <v>40.5</v>
      </c>
      <c r="P59" s="1">
        <v>34.9</v>
      </c>
      <c r="Q59" s="1">
        <v>36</v>
      </c>
      <c r="R59" s="1">
        <v>34.6</v>
      </c>
      <c r="S59" s="1">
        <v>35.299999999999997</v>
      </c>
      <c r="T59" s="1">
        <v>36.5</v>
      </c>
      <c r="U59" s="1">
        <v>47</v>
      </c>
      <c r="V59" s="1">
        <v>78</v>
      </c>
      <c r="W59" s="1">
        <v>52</v>
      </c>
      <c r="X59" s="1">
        <v>60.7</v>
      </c>
      <c r="Y59" s="1">
        <v>28.5</v>
      </c>
      <c r="Z59" s="1">
        <v>26.7</v>
      </c>
      <c r="AA59" s="1">
        <v>38.97</v>
      </c>
      <c r="AB59" s="1">
        <v>43.46</v>
      </c>
    </row>
    <row r="60" spans="1:28">
      <c r="A60" s="26">
        <v>1951</v>
      </c>
      <c r="B60" s="1">
        <v>62.75</v>
      </c>
      <c r="C60" s="1">
        <v>56.23</v>
      </c>
      <c r="D60" s="1">
        <v>34.200000000000003</v>
      </c>
      <c r="E60" s="1">
        <v>37.08</v>
      </c>
      <c r="F60" s="1">
        <v>55.19</v>
      </c>
      <c r="G60" s="1">
        <v>12.51</v>
      </c>
      <c r="H60" s="1">
        <v>25.2</v>
      </c>
      <c r="I60" s="1">
        <v>28.2</v>
      </c>
      <c r="J60" s="1">
        <v>30.98</v>
      </c>
      <c r="K60" s="1">
        <v>24.41</v>
      </c>
      <c r="L60" s="1">
        <v>43.72</v>
      </c>
      <c r="M60" s="1">
        <v>33.56</v>
      </c>
      <c r="N60" s="1">
        <v>55.09</v>
      </c>
      <c r="O60" s="1">
        <v>41.28</v>
      </c>
      <c r="P60" s="1">
        <v>35.01</v>
      </c>
      <c r="Q60" s="1">
        <v>36.36</v>
      </c>
      <c r="R60" s="1">
        <v>34.72</v>
      </c>
      <c r="S60" s="1">
        <v>35.53</v>
      </c>
      <c r="T60" s="1">
        <v>36.54</v>
      </c>
      <c r="U60" s="1">
        <v>47.03</v>
      </c>
      <c r="V60" s="1">
        <v>78.319999999999993</v>
      </c>
      <c r="W60" s="1">
        <v>53.46</v>
      </c>
      <c r="X60" s="1">
        <v>61.48</v>
      </c>
      <c r="Y60" s="1">
        <v>28.63</v>
      </c>
      <c r="Z60" s="1">
        <v>27.56</v>
      </c>
      <c r="AA60" s="1">
        <v>40.03</v>
      </c>
      <c r="AB60" s="1">
        <v>44.48</v>
      </c>
    </row>
    <row r="61" spans="1:28">
      <c r="A61" s="26">
        <v>1952</v>
      </c>
      <c r="B61" s="1">
        <v>63.45</v>
      </c>
      <c r="C61" s="1">
        <v>55.96</v>
      </c>
      <c r="D61" s="1">
        <v>34.64</v>
      </c>
      <c r="E61" s="1">
        <v>37.65</v>
      </c>
      <c r="F61" s="1">
        <v>56.67</v>
      </c>
      <c r="G61" s="1">
        <v>12.83</v>
      </c>
      <c r="H61" s="1">
        <v>25.76</v>
      </c>
      <c r="I61" s="1">
        <v>28.3</v>
      </c>
      <c r="J61" s="1">
        <v>30.94</v>
      </c>
      <c r="K61" s="1">
        <v>24.97</v>
      </c>
      <c r="L61" s="1">
        <v>44.74</v>
      </c>
      <c r="M61" s="1">
        <v>33.630000000000003</v>
      </c>
      <c r="N61" s="1">
        <v>55.08</v>
      </c>
      <c r="O61" s="1">
        <v>42.18</v>
      </c>
      <c r="P61" s="1">
        <v>35.32</v>
      </c>
      <c r="Q61" s="1">
        <v>36.79</v>
      </c>
      <c r="R61" s="1">
        <v>34.840000000000003</v>
      </c>
      <c r="S61" s="1">
        <v>36.17</v>
      </c>
      <c r="T61" s="1">
        <v>36.67</v>
      </c>
      <c r="U61" s="1">
        <v>47.06</v>
      </c>
      <c r="V61" s="1">
        <v>78.64</v>
      </c>
      <c r="W61" s="1">
        <v>54.89</v>
      </c>
      <c r="X61" s="1">
        <v>62.26</v>
      </c>
      <c r="Y61" s="1">
        <v>29</v>
      </c>
      <c r="Z61" s="1">
        <v>28.35</v>
      </c>
      <c r="AA61" s="1">
        <v>41.08</v>
      </c>
      <c r="AB61" s="1">
        <v>45.5</v>
      </c>
    </row>
    <row r="62" spans="1:28">
      <c r="A62" s="26">
        <v>1953</v>
      </c>
      <c r="B62" s="1">
        <v>64.489999999999995</v>
      </c>
      <c r="C62" s="1">
        <v>55.68</v>
      </c>
      <c r="D62" s="1">
        <v>35.18</v>
      </c>
      <c r="E62" s="1">
        <v>38.22</v>
      </c>
      <c r="F62" s="1">
        <v>58.13</v>
      </c>
      <c r="G62" s="1">
        <v>13.15</v>
      </c>
      <c r="H62" s="1">
        <v>26.59</v>
      </c>
      <c r="I62" s="1">
        <v>28.41</v>
      </c>
      <c r="J62" s="1">
        <v>30.87</v>
      </c>
      <c r="K62" s="1">
        <v>25.57</v>
      </c>
      <c r="L62" s="1">
        <v>45.74</v>
      </c>
      <c r="M62" s="1">
        <v>33.700000000000003</v>
      </c>
      <c r="N62" s="1">
        <v>55.06</v>
      </c>
      <c r="O62" s="1">
        <v>43.18</v>
      </c>
      <c r="P62" s="1">
        <v>35.79</v>
      </c>
      <c r="Q62" s="1">
        <v>37.29</v>
      </c>
      <c r="R62" s="1">
        <v>34.950000000000003</v>
      </c>
      <c r="S62" s="1">
        <v>37.15</v>
      </c>
      <c r="T62" s="1">
        <v>36.85</v>
      </c>
      <c r="U62" s="1">
        <v>47.09</v>
      </c>
      <c r="V62" s="1">
        <v>78.95</v>
      </c>
      <c r="W62" s="1">
        <v>56.3</v>
      </c>
      <c r="X62" s="1">
        <v>63.03</v>
      </c>
      <c r="Y62" s="1">
        <v>29.56</v>
      </c>
      <c r="Z62" s="1">
        <v>29.09</v>
      </c>
      <c r="AA62" s="1">
        <v>42.13</v>
      </c>
      <c r="AB62" s="1">
        <v>46.5</v>
      </c>
    </row>
    <row r="63" spans="1:28">
      <c r="A63" s="26">
        <v>1954</v>
      </c>
      <c r="B63" s="1">
        <v>65.790000000000006</v>
      </c>
      <c r="C63" s="1">
        <v>55.41</v>
      </c>
      <c r="D63" s="1">
        <v>35.799999999999997</v>
      </c>
      <c r="E63" s="1">
        <v>38.799999999999997</v>
      </c>
      <c r="F63" s="1">
        <v>59.57</v>
      </c>
      <c r="G63" s="1">
        <v>13.47</v>
      </c>
      <c r="H63" s="1">
        <v>27.62</v>
      </c>
      <c r="I63" s="1">
        <v>28.5</v>
      </c>
      <c r="J63" s="1">
        <v>30.79</v>
      </c>
      <c r="K63" s="1">
        <v>26.2</v>
      </c>
      <c r="L63" s="1">
        <v>46.72</v>
      </c>
      <c r="M63" s="1">
        <v>33.78</v>
      </c>
      <c r="N63" s="1">
        <v>55.03</v>
      </c>
      <c r="O63" s="1">
        <v>44.25</v>
      </c>
      <c r="P63" s="1">
        <v>36.4</v>
      </c>
      <c r="Q63" s="1">
        <v>37.83</v>
      </c>
      <c r="R63" s="1">
        <v>35.07</v>
      </c>
      <c r="S63" s="1">
        <v>38.4</v>
      </c>
      <c r="T63" s="1">
        <v>37.08</v>
      </c>
      <c r="U63" s="1">
        <v>47.11</v>
      </c>
      <c r="V63" s="1">
        <v>79.27</v>
      </c>
      <c r="W63" s="1">
        <v>57.65</v>
      </c>
      <c r="X63" s="1">
        <v>63.78</v>
      </c>
      <c r="Y63" s="1">
        <v>30.28</v>
      </c>
      <c r="Z63" s="1">
        <v>29.78</v>
      </c>
      <c r="AA63" s="1">
        <v>43.16</v>
      </c>
      <c r="AB63" s="1">
        <v>47.5</v>
      </c>
    </row>
    <row r="64" spans="1:28">
      <c r="A64" s="26">
        <v>1955</v>
      </c>
      <c r="B64" s="1">
        <v>67.260000000000005</v>
      </c>
      <c r="C64" s="1">
        <v>55.14</v>
      </c>
      <c r="D64" s="1">
        <v>36.46</v>
      </c>
      <c r="E64" s="1">
        <v>39.4</v>
      </c>
      <c r="F64" s="1">
        <v>60.98</v>
      </c>
      <c r="G64" s="1">
        <v>13.8</v>
      </c>
      <c r="H64" s="1">
        <v>28.77</v>
      </c>
      <c r="I64" s="1">
        <v>28.6</v>
      </c>
      <c r="J64" s="1">
        <v>30.7</v>
      </c>
      <c r="K64" s="1">
        <v>26.86</v>
      </c>
      <c r="L64" s="1">
        <v>47.68</v>
      </c>
      <c r="M64" s="1">
        <v>33.869999999999997</v>
      </c>
      <c r="N64" s="1">
        <v>55</v>
      </c>
      <c r="O64" s="1">
        <v>45.36</v>
      </c>
      <c r="P64" s="1">
        <v>37.1</v>
      </c>
      <c r="Q64" s="1">
        <v>38.42</v>
      </c>
      <c r="R64" s="1">
        <v>35.19</v>
      </c>
      <c r="S64" s="1">
        <v>39.840000000000003</v>
      </c>
      <c r="T64" s="1">
        <v>37.33</v>
      </c>
      <c r="U64" s="1">
        <v>47.14</v>
      </c>
      <c r="V64" s="1">
        <v>79.569999999999993</v>
      </c>
      <c r="W64" s="1">
        <v>58.92</v>
      </c>
      <c r="X64" s="1">
        <v>64.540000000000006</v>
      </c>
      <c r="Y64" s="1">
        <v>31.1</v>
      </c>
      <c r="Z64" s="1">
        <v>30.45</v>
      </c>
      <c r="AA64" s="1">
        <v>44.16</v>
      </c>
      <c r="AB64" s="1">
        <v>48.49</v>
      </c>
    </row>
    <row r="65" spans="1:28">
      <c r="A65" s="26">
        <v>1956</v>
      </c>
      <c r="B65" s="1">
        <v>68.8</v>
      </c>
      <c r="C65" s="1">
        <v>54.87</v>
      </c>
      <c r="D65" s="1">
        <v>37.130000000000003</v>
      </c>
      <c r="E65" s="1">
        <v>40.03</v>
      </c>
      <c r="F65" s="1">
        <v>62.36</v>
      </c>
      <c r="G65" s="1">
        <v>14.14</v>
      </c>
      <c r="H65" s="1">
        <v>29.96</v>
      </c>
      <c r="I65" s="1">
        <v>28.69</v>
      </c>
      <c r="J65" s="1">
        <v>30.61</v>
      </c>
      <c r="K65" s="1">
        <v>27.54</v>
      </c>
      <c r="L65" s="1">
        <v>48.62</v>
      </c>
      <c r="M65" s="1">
        <v>33.96</v>
      </c>
      <c r="N65" s="1">
        <v>54.97</v>
      </c>
      <c r="O65" s="1">
        <v>46.5</v>
      </c>
      <c r="P65" s="1">
        <v>37.869999999999997</v>
      </c>
      <c r="Q65" s="1">
        <v>39.03</v>
      </c>
      <c r="R65" s="1">
        <v>35.31</v>
      </c>
      <c r="S65" s="1">
        <v>41.4</v>
      </c>
      <c r="T65" s="1">
        <v>37.6</v>
      </c>
      <c r="U65" s="1">
        <v>47.16</v>
      </c>
      <c r="V65" s="1">
        <v>79.88</v>
      </c>
      <c r="W65" s="1">
        <v>60.11</v>
      </c>
      <c r="X65" s="1">
        <v>65.28</v>
      </c>
      <c r="Y65" s="1">
        <v>31.98</v>
      </c>
      <c r="Z65" s="1">
        <v>31.1</v>
      </c>
      <c r="AA65" s="1">
        <v>45.15</v>
      </c>
      <c r="AB65" s="1">
        <v>49.48</v>
      </c>
    </row>
    <row r="66" spans="1:28">
      <c r="A66" s="26">
        <v>1957</v>
      </c>
      <c r="B66" s="1">
        <v>70.31</v>
      </c>
      <c r="C66" s="1">
        <v>54.6</v>
      </c>
      <c r="D66" s="1">
        <v>37.79</v>
      </c>
      <c r="E66" s="1">
        <v>40.69</v>
      </c>
      <c r="F66" s="1">
        <v>63.7</v>
      </c>
      <c r="G66" s="1">
        <v>14.49</v>
      </c>
      <c r="H66" s="1">
        <v>31.12</v>
      </c>
      <c r="I66" s="1">
        <v>28.78</v>
      </c>
      <c r="J66" s="1">
        <v>30.53</v>
      </c>
      <c r="K66" s="1">
        <v>28.26</v>
      </c>
      <c r="L66" s="1">
        <v>49.54</v>
      </c>
      <c r="M66" s="1">
        <v>34.07</v>
      </c>
      <c r="N66" s="1">
        <v>54.94</v>
      </c>
      <c r="O66" s="1">
        <v>47.62</v>
      </c>
      <c r="P66" s="1">
        <v>38.67</v>
      </c>
      <c r="Q66" s="1">
        <v>39.659999999999997</v>
      </c>
      <c r="R66" s="1">
        <v>35.43</v>
      </c>
      <c r="S66" s="1">
        <v>43.01</v>
      </c>
      <c r="T66" s="1">
        <v>37.869999999999997</v>
      </c>
      <c r="U66" s="1">
        <v>47.18</v>
      </c>
      <c r="V66" s="1">
        <v>80.17</v>
      </c>
      <c r="W66" s="1">
        <v>61.19</v>
      </c>
      <c r="X66" s="1">
        <v>66.02</v>
      </c>
      <c r="Y66" s="1">
        <v>32.89</v>
      </c>
      <c r="Z66" s="1">
        <v>31.74</v>
      </c>
      <c r="AA66" s="1">
        <v>46.1</v>
      </c>
      <c r="AB66" s="1">
        <v>50.46</v>
      </c>
    </row>
    <row r="67" spans="1:28">
      <c r="A67" s="26">
        <v>1958</v>
      </c>
      <c r="B67" s="1">
        <v>71.709999999999994</v>
      </c>
      <c r="C67" s="1">
        <v>54.33</v>
      </c>
      <c r="D67" s="1">
        <v>38.380000000000003</v>
      </c>
      <c r="E67" s="1">
        <v>41.4</v>
      </c>
      <c r="F67" s="1">
        <v>64.989999999999995</v>
      </c>
      <c r="G67" s="1">
        <v>14.85</v>
      </c>
      <c r="H67" s="1">
        <v>32.159999999999997</v>
      </c>
      <c r="I67" s="1">
        <v>28.86</v>
      </c>
      <c r="J67" s="1">
        <v>30.46</v>
      </c>
      <c r="K67" s="1">
        <v>28.99</v>
      </c>
      <c r="L67" s="1">
        <v>50.42</v>
      </c>
      <c r="M67" s="1">
        <v>34.200000000000003</v>
      </c>
      <c r="N67" s="1">
        <v>54.92</v>
      </c>
      <c r="O67" s="1">
        <v>48.72</v>
      </c>
      <c r="P67" s="1">
        <v>39.46</v>
      </c>
      <c r="Q67" s="1">
        <v>40.29</v>
      </c>
      <c r="R67" s="1">
        <v>35.549999999999997</v>
      </c>
      <c r="S67" s="1">
        <v>44.59</v>
      </c>
      <c r="T67" s="1">
        <v>38.119999999999997</v>
      </c>
      <c r="U67" s="1">
        <v>47.19</v>
      </c>
      <c r="V67" s="1">
        <v>80.459999999999994</v>
      </c>
      <c r="W67" s="1">
        <v>62.14</v>
      </c>
      <c r="X67" s="1">
        <v>66.75</v>
      </c>
      <c r="Y67" s="1">
        <v>33.770000000000003</v>
      </c>
      <c r="Z67" s="1">
        <v>32.4</v>
      </c>
      <c r="AA67" s="1">
        <v>47.02</v>
      </c>
      <c r="AB67" s="1">
        <v>51.43</v>
      </c>
    </row>
    <row r="68" spans="1:28">
      <c r="A68" s="26">
        <v>1959</v>
      </c>
      <c r="B68" s="1">
        <v>72.91</v>
      </c>
      <c r="C68" s="1">
        <v>54.07</v>
      </c>
      <c r="D68" s="1">
        <v>38.9</v>
      </c>
      <c r="E68" s="1">
        <v>42.17</v>
      </c>
      <c r="F68" s="1">
        <v>66.22</v>
      </c>
      <c r="G68" s="1">
        <v>15.22</v>
      </c>
      <c r="H68" s="1">
        <v>33.020000000000003</v>
      </c>
      <c r="I68" s="1">
        <v>28.93</v>
      </c>
      <c r="J68" s="1">
        <v>30.42</v>
      </c>
      <c r="K68" s="1">
        <v>29.74</v>
      </c>
      <c r="L68" s="1">
        <v>51.28</v>
      </c>
      <c r="M68" s="1">
        <v>34.340000000000003</v>
      </c>
      <c r="N68" s="1">
        <v>54.91</v>
      </c>
      <c r="O68" s="1">
        <v>49.75</v>
      </c>
      <c r="P68" s="1">
        <v>40.22</v>
      </c>
      <c r="Q68" s="1">
        <v>40.909999999999997</v>
      </c>
      <c r="R68" s="1">
        <v>35.68</v>
      </c>
      <c r="S68" s="1">
        <v>46.08</v>
      </c>
      <c r="T68" s="1">
        <v>38.340000000000003</v>
      </c>
      <c r="U68" s="1">
        <v>47.2</v>
      </c>
      <c r="V68" s="1">
        <v>80.73</v>
      </c>
      <c r="W68" s="1">
        <v>62.95</v>
      </c>
      <c r="X68" s="1">
        <v>67.48</v>
      </c>
      <c r="Y68" s="1">
        <v>34.590000000000003</v>
      </c>
      <c r="Z68" s="1">
        <v>33.08</v>
      </c>
      <c r="AA68" s="1">
        <v>47.9</v>
      </c>
      <c r="AB68" s="1">
        <v>52.4</v>
      </c>
    </row>
    <row r="69" spans="1:28">
      <c r="A69" s="26">
        <v>1960</v>
      </c>
      <c r="B69" s="1">
        <v>73.8</v>
      </c>
      <c r="C69" s="1">
        <v>53.8</v>
      </c>
      <c r="D69" s="1">
        <v>39.299999999999997</v>
      </c>
      <c r="E69" s="1">
        <v>43</v>
      </c>
      <c r="F69" s="1">
        <v>67.400000000000006</v>
      </c>
      <c r="G69" s="1">
        <v>15.6</v>
      </c>
      <c r="H69" s="1">
        <v>33.6</v>
      </c>
      <c r="I69" s="1">
        <v>29</v>
      </c>
      <c r="J69" s="1">
        <v>30.4</v>
      </c>
      <c r="K69" s="1">
        <v>30.5</v>
      </c>
      <c r="L69" s="1">
        <v>52.1</v>
      </c>
      <c r="M69" s="1">
        <v>34.5</v>
      </c>
      <c r="N69" s="1">
        <v>54.9</v>
      </c>
      <c r="O69" s="1">
        <v>50.7</v>
      </c>
      <c r="P69" s="1">
        <v>40.9</v>
      </c>
      <c r="Q69" s="1">
        <v>41.5</v>
      </c>
      <c r="R69" s="1">
        <v>35.799999999999997</v>
      </c>
      <c r="S69" s="1">
        <v>47.4</v>
      </c>
      <c r="T69" s="1">
        <v>38.5</v>
      </c>
      <c r="U69" s="1">
        <v>47.2</v>
      </c>
      <c r="V69" s="1">
        <v>81</v>
      </c>
      <c r="W69" s="1">
        <v>63.6</v>
      </c>
      <c r="X69" s="1">
        <v>68.2</v>
      </c>
      <c r="Y69" s="1">
        <v>35.299999999999997</v>
      </c>
      <c r="Z69" s="1">
        <v>33.799999999999997</v>
      </c>
      <c r="AA69" s="1">
        <v>48.75</v>
      </c>
      <c r="AB69" s="1">
        <v>53.36</v>
      </c>
    </row>
    <row r="70" spans="1:28">
      <c r="A70" s="26">
        <v>1961</v>
      </c>
      <c r="B70" s="1">
        <v>74.48</v>
      </c>
      <c r="C70" s="1">
        <v>53.53</v>
      </c>
      <c r="D70" s="1">
        <v>39.6</v>
      </c>
      <c r="E70" s="1">
        <v>43.95</v>
      </c>
      <c r="F70" s="1">
        <v>68.53</v>
      </c>
      <c r="G70" s="1">
        <v>16.010000000000002</v>
      </c>
      <c r="H70" s="1">
        <v>34.020000000000003</v>
      </c>
      <c r="I70" s="1">
        <v>29.06</v>
      </c>
      <c r="J70" s="1">
        <v>30.57</v>
      </c>
      <c r="K70" s="1">
        <v>31.29</v>
      </c>
      <c r="L70" s="1">
        <v>52.88</v>
      </c>
      <c r="M70" s="1">
        <v>34.770000000000003</v>
      </c>
      <c r="N70" s="1">
        <v>55</v>
      </c>
      <c r="O70" s="1">
        <v>51.58</v>
      </c>
      <c r="P70" s="1">
        <v>41.57</v>
      </c>
      <c r="Q70" s="1">
        <v>42.1</v>
      </c>
      <c r="R70" s="1">
        <v>35.92</v>
      </c>
      <c r="S70" s="1">
        <v>48.65</v>
      </c>
      <c r="T70" s="1">
        <v>38.619999999999997</v>
      </c>
      <c r="U70" s="1">
        <v>47.17</v>
      </c>
      <c r="V70" s="1">
        <v>81.25</v>
      </c>
      <c r="W70" s="1">
        <v>64.13</v>
      </c>
      <c r="X70" s="1">
        <v>68.91</v>
      </c>
      <c r="Y70" s="1">
        <v>35.93</v>
      </c>
      <c r="Z70" s="1">
        <v>34.56</v>
      </c>
      <c r="AA70" s="1">
        <v>49.57</v>
      </c>
      <c r="AB70" s="1">
        <v>54.31</v>
      </c>
    </row>
    <row r="71" spans="1:28">
      <c r="A71" s="26">
        <v>1962</v>
      </c>
      <c r="B71" s="1">
        <v>75.11</v>
      </c>
      <c r="C71" s="1">
        <v>53.26</v>
      </c>
      <c r="D71" s="1">
        <v>39.85</v>
      </c>
      <c r="E71" s="1">
        <v>45.06</v>
      </c>
      <c r="F71" s="1">
        <v>69.62</v>
      </c>
      <c r="G71" s="1">
        <v>16.440000000000001</v>
      </c>
      <c r="H71" s="1">
        <v>34.43</v>
      </c>
      <c r="I71" s="1">
        <v>29.11</v>
      </c>
      <c r="J71" s="1">
        <v>31.03</v>
      </c>
      <c r="K71" s="1">
        <v>32.1</v>
      </c>
      <c r="L71" s="1">
        <v>53.61</v>
      </c>
      <c r="M71" s="1">
        <v>35.200000000000003</v>
      </c>
      <c r="N71" s="1">
        <v>55.28</v>
      </c>
      <c r="O71" s="1">
        <v>52.43</v>
      </c>
      <c r="P71" s="1">
        <v>42.3</v>
      </c>
      <c r="Q71" s="1">
        <v>42.75</v>
      </c>
      <c r="R71" s="1">
        <v>36.03</v>
      </c>
      <c r="S71" s="1">
        <v>49.96</v>
      </c>
      <c r="T71" s="1">
        <v>38.729999999999997</v>
      </c>
      <c r="U71" s="1">
        <v>47.08</v>
      </c>
      <c r="V71" s="1">
        <v>81.48</v>
      </c>
      <c r="W71" s="1">
        <v>64.59</v>
      </c>
      <c r="X71" s="1">
        <v>69.61</v>
      </c>
      <c r="Y71" s="1">
        <v>36.54</v>
      </c>
      <c r="Z71" s="1">
        <v>35.35</v>
      </c>
      <c r="AA71" s="1">
        <v>50.37</v>
      </c>
      <c r="AB71" s="1">
        <v>55.25</v>
      </c>
    </row>
    <row r="72" spans="1:28">
      <c r="A72" s="26">
        <v>1963</v>
      </c>
      <c r="B72" s="1">
        <v>75.69</v>
      </c>
      <c r="C72" s="1">
        <v>52.99</v>
      </c>
      <c r="D72" s="1">
        <v>40.07</v>
      </c>
      <c r="E72" s="1">
        <v>46.28</v>
      </c>
      <c r="F72" s="1">
        <v>70.69</v>
      </c>
      <c r="G72" s="1">
        <v>16.89</v>
      </c>
      <c r="H72" s="1">
        <v>34.83</v>
      </c>
      <c r="I72" s="1">
        <v>29.16</v>
      </c>
      <c r="J72" s="1">
        <v>31.71</v>
      </c>
      <c r="K72" s="1">
        <v>32.950000000000003</v>
      </c>
      <c r="L72" s="1">
        <v>54.32</v>
      </c>
      <c r="M72" s="1">
        <v>35.770000000000003</v>
      </c>
      <c r="N72" s="1">
        <v>55.72</v>
      </c>
      <c r="O72" s="1">
        <v>53.25</v>
      </c>
      <c r="P72" s="1">
        <v>43.07</v>
      </c>
      <c r="Q72" s="1">
        <v>43.43</v>
      </c>
      <c r="R72" s="1">
        <v>36.130000000000003</v>
      </c>
      <c r="S72" s="1">
        <v>51.3</v>
      </c>
      <c r="T72" s="1">
        <v>38.83</v>
      </c>
      <c r="U72" s="1">
        <v>46.94</v>
      </c>
      <c r="V72" s="1">
        <v>81.7</v>
      </c>
      <c r="W72" s="1">
        <v>65</v>
      </c>
      <c r="X72" s="1">
        <v>70.31</v>
      </c>
      <c r="Y72" s="1">
        <v>37.14</v>
      </c>
      <c r="Z72" s="1">
        <v>36.15</v>
      </c>
      <c r="AA72" s="1">
        <v>51.16</v>
      </c>
      <c r="AB72" s="1">
        <v>56.17</v>
      </c>
    </row>
    <row r="73" spans="1:28">
      <c r="A73" s="26">
        <v>1964</v>
      </c>
      <c r="B73" s="1">
        <v>76.22</v>
      </c>
      <c r="C73" s="1">
        <v>52.71</v>
      </c>
      <c r="D73" s="1">
        <v>40.26</v>
      </c>
      <c r="E73" s="1">
        <v>47.61</v>
      </c>
      <c r="F73" s="1">
        <v>71.72</v>
      </c>
      <c r="G73" s="1">
        <v>17.36</v>
      </c>
      <c r="H73" s="1">
        <v>35.19</v>
      </c>
      <c r="I73" s="1">
        <v>29.2</v>
      </c>
      <c r="J73" s="1">
        <v>32.56</v>
      </c>
      <c r="K73" s="1">
        <v>33.83</v>
      </c>
      <c r="L73" s="1">
        <v>55</v>
      </c>
      <c r="M73" s="1">
        <v>36.44</v>
      </c>
      <c r="N73" s="1">
        <v>56.29</v>
      </c>
      <c r="O73" s="1">
        <v>54.05</v>
      </c>
      <c r="P73" s="1">
        <v>43.85</v>
      </c>
      <c r="Q73" s="1">
        <v>44.11</v>
      </c>
      <c r="R73" s="1">
        <v>36.229999999999997</v>
      </c>
      <c r="S73" s="1">
        <v>52.66</v>
      </c>
      <c r="T73" s="1">
        <v>38.909999999999997</v>
      </c>
      <c r="U73" s="1">
        <v>46.78</v>
      </c>
      <c r="V73" s="1">
        <v>81.900000000000006</v>
      </c>
      <c r="W73" s="1">
        <v>65.38</v>
      </c>
      <c r="X73" s="1">
        <v>70.989999999999995</v>
      </c>
      <c r="Y73" s="1">
        <v>37.72</v>
      </c>
      <c r="Z73" s="1">
        <v>36.97</v>
      </c>
      <c r="AA73" s="1">
        <v>51.92</v>
      </c>
      <c r="AB73" s="1">
        <v>57.08</v>
      </c>
    </row>
    <row r="74" spans="1:28">
      <c r="A74" s="26">
        <v>1965</v>
      </c>
      <c r="B74" s="1">
        <v>76.73</v>
      </c>
      <c r="C74" s="1">
        <v>52.44</v>
      </c>
      <c r="D74" s="1">
        <v>40.44</v>
      </c>
      <c r="E74" s="1">
        <v>49</v>
      </c>
      <c r="F74" s="1">
        <v>72.72</v>
      </c>
      <c r="G74" s="1">
        <v>17.829999999999998</v>
      </c>
      <c r="H74" s="1">
        <v>35.53</v>
      </c>
      <c r="I74" s="1">
        <v>29.24</v>
      </c>
      <c r="J74" s="1">
        <v>33.49</v>
      </c>
      <c r="K74" s="1">
        <v>34.74</v>
      </c>
      <c r="L74" s="1">
        <v>55.66</v>
      </c>
      <c r="M74" s="1">
        <v>37.17</v>
      </c>
      <c r="N74" s="1">
        <v>56.95</v>
      </c>
      <c r="O74" s="1">
        <v>54.84</v>
      </c>
      <c r="P74" s="1">
        <v>44.63</v>
      </c>
      <c r="Q74" s="1">
        <v>44.79</v>
      </c>
      <c r="R74" s="1">
        <v>36.340000000000003</v>
      </c>
      <c r="S74" s="1">
        <v>53.99</v>
      </c>
      <c r="T74" s="1">
        <v>39</v>
      </c>
      <c r="U74" s="1">
        <v>46.6</v>
      </c>
      <c r="V74" s="1">
        <v>82.11</v>
      </c>
      <c r="W74" s="1">
        <v>65.72</v>
      </c>
      <c r="X74" s="1">
        <v>71.67</v>
      </c>
      <c r="Y74" s="1">
        <v>38.31</v>
      </c>
      <c r="Z74" s="1">
        <v>37.79</v>
      </c>
      <c r="AA74" s="1">
        <v>52.68</v>
      </c>
      <c r="AB74" s="1">
        <v>57.98</v>
      </c>
    </row>
    <row r="75" spans="1:28">
      <c r="A75" s="26">
        <v>1966</v>
      </c>
      <c r="B75" s="1">
        <v>77.2</v>
      </c>
      <c r="C75" s="1">
        <v>52.18</v>
      </c>
      <c r="D75" s="1">
        <v>40.630000000000003</v>
      </c>
      <c r="E75" s="1">
        <v>50.42</v>
      </c>
      <c r="F75" s="1">
        <v>73.69</v>
      </c>
      <c r="G75" s="1">
        <v>18.32</v>
      </c>
      <c r="H75" s="1">
        <v>35.82</v>
      </c>
      <c r="I75" s="1">
        <v>29.29</v>
      </c>
      <c r="J75" s="1">
        <v>34.450000000000003</v>
      </c>
      <c r="K75" s="1">
        <v>35.68</v>
      </c>
      <c r="L75" s="1">
        <v>56.32</v>
      </c>
      <c r="M75" s="1">
        <v>37.93</v>
      </c>
      <c r="N75" s="1">
        <v>57.68</v>
      </c>
      <c r="O75" s="1">
        <v>55.61</v>
      </c>
      <c r="P75" s="1">
        <v>45.38</v>
      </c>
      <c r="Q75" s="1">
        <v>45.46</v>
      </c>
      <c r="R75" s="1">
        <v>36.46</v>
      </c>
      <c r="S75" s="1">
        <v>55.29</v>
      </c>
      <c r="T75" s="1">
        <v>39.08</v>
      </c>
      <c r="U75" s="1">
        <v>46.42</v>
      </c>
      <c r="V75" s="1">
        <v>82.32</v>
      </c>
      <c r="W75" s="1">
        <v>66.03</v>
      </c>
      <c r="X75" s="1">
        <v>72.349999999999994</v>
      </c>
      <c r="Y75" s="1">
        <v>38.9</v>
      </c>
      <c r="Z75" s="1">
        <v>38.590000000000003</v>
      </c>
      <c r="AA75" s="1">
        <v>53.42</v>
      </c>
      <c r="AB75" s="1">
        <v>58.87</v>
      </c>
    </row>
    <row r="76" spans="1:28">
      <c r="A76" s="26">
        <v>1967</v>
      </c>
      <c r="B76" s="1">
        <v>77.66</v>
      </c>
      <c r="C76" s="1">
        <v>51.92</v>
      </c>
      <c r="D76" s="1">
        <v>40.840000000000003</v>
      </c>
      <c r="E76" s="1">
        <v>51.85</v>
      </c>
      <c r="F76" s="1">
        <v>74.62</v>
      </c>
      <c r="G76" s="1">
        <v>18.8</v>
      </c>
      <c r="H76" s="1">
        <v>36.06</v>
      </c>
      <c r="I76" s="1">
        <v>29.33</v>
      </c>
      <c r="J76" s="1">
        <v>35.369999999999997</v>
      </c>
      <c r="K76" s="1">
        <v>36.65</v>
      </c>
      <c r="L76" s="1">
        <v>56.99</v>
      </c>
      <c r="M76" s="1">
        <v>38.69</v>
      </c>
      <c r="N76" s="1">
        <v>58.44</v>
      </c>
      <c r="O76" s="1">
        <v>56.38</v>
      </c>
      <c r="P76" s="1">
        <v>46.08</v>
      </c>
      <c r="Q76" s="1">
        <v>46.08</v>
      </c>
      <c r="R76" s="1">
        <v>36.590000000000003</v>
      </c>
      <c r="S76" s="1">
        <v>56.51</v>
      </c>
      <c r="T76" s="1">
        <v>39.17</v>
      </c>
      <c r="U76" s="1">
        <v>46.26</v>
      </c>
      <c r="V76" s="1">
        <v>82.54</v>
      </c>
      <c r="W76" s="1">
        <v>66.34</v>
      </c>
      <c r="X76" s="1">
        <v>73.03</v>
      </c>
      <c r="Y76" s="1">
        <v>39.49</v>
      </c>
      <c r="Z76" s="1">
        <v>39.380000000000003</v>
      </c>
      <c r="AA76" s="1">
        <v>54.15</v>
      </c>
      <c r="AB76" s="1">
        <v>59.74</v>
      </c>
    </row>
    <row r="77" spans="1:28">
      <c r="A77" s="26">
        <v>1968</v>
      </c>
      <c r="B77" s="1">
        <v>78.11</v>
      </c>
      <c r="C77" s="1">
        <v>51.67</v>
      </c>
      <c r="D77" s="1">
        <v>41.07</v>
      </c>
      <c r="E77" s="1">
        <v>53.26</v>
      </c>
      <c r="F77" s="1">
        <v>75.52</v>
      </c>
      <c r="G77" s="1">
        <v>19.28</v>
      </c>
      <c r="H77" s="1">
        <v>36.24</v>
      </c>
      <c r="I77" s="1">
        <v>29.38</v>
      </c>
      <c r="J77" s="1">
        <v>36.18</v>
      </c>
      <c r="K77" s="1">
        <v>37.64</v>
      </c>
      <c r="L77" s="1">
        <v>57.67</v>
      </c>
      <c r="M77" s="1">
        <v>39.409999999999997</v>
      </c>
      <c r="N77" s="1">
        <v>59.22</v>
      </c>
      <c r="O77" s="1">
        <v>57.15</v>
      </c>
      <c r="P77" s="1">
        <v>46.72</v>
      </c>
      <c r="Q77" s="1">
        <v>46.66</v>
      </c>
      <c r="R77" s="1">
        <v>36.729999999999997</v>
      </c>
      <c r="S77" s="1">
        <v>57.64</v>
      </c>
      <c r="T77" s="1">
        <v>39.270000000000003</v>
      </c>
      <c r="U77" s="1">
        <v>46.12</v>
      </c>
      <c r="V77" s="1">
        <v>82.77</v>
      </c>
      <c r="W77" s="1">
        <v>66.650000000000006</v>
      </c>
      <c r="X77" s="1">
        <v>73.72</v>
      </c>
      <c r="Y77" s="1">
        <v>40.11</v>
      </c>
      <c r="Z77" s="1">
        <v>40.130000000000003</v>
      </c>
      <c r="AA77" s="1">
        <v>54.87</v>
      </c>
      <c r="AB77" s="1">
        <v>60.61</v>
      </c>
    </row>
    <row r="78" spans="1:28">
      <c r="A78" s="26">
        <v>1969</v>
      </c>
      <c r="B78" s="1">
        <v>78.55</v>
      </c>
      <c r="C78" s="1">
        <v>51.43</v>
      </c>
      <c r="D78" s="1">
        <v>41.36</v>
      </c>
      <c r="E78" s="1">
        <v>54.62</v>
      </c>
      <c r="F78" s="1">
        <v>76.38</v>
      </c>
      <c r="G78" s="1">
        <v>19.75</v>
      </c>
      <c r="H78" s="1">
        <v>36.36</v>
      </c>
      <c r="I78" s="1">
        <v>29.44</v>
      </c>
      <c r="J78" s="1">
        <v>36.81</v>
      </c>
      <c r="K78" s="1">
        <v>38.659999999999997</v>
      </c>
      <c r="L78" s="1">
        <v>58.37</v>
      </c>
      <c r="M78" s="1">
        <v>40.06</v>
      </c>
      <c r="N78" s="1">
        <v>59.98</v>
      </c>
      <c r="O78" s="1">
        <v>57.92</v>
      </c>
      <c r="P78" s="1">
        <v>47.26</v>
      </c>
      <c r="Q78" s="1">
        <v>47.17</v>
      </c>
      <c r="R78" s="1">
        <v>36.9</v>
      </c>
      <c r="S78" s="1">
        <v>58.64</v>
      </c>
      <c r="T78" s="1">
        <v>39.369999999999997</v>
      </c>
      <c r="U78" s="1">
        <v>46.03</v>
      </c>
      <c r="V78" s="1">
        <v>83.02</v>
      </c>
      <c r="W78" s="1">
        <v>66.959999999999994</v>
      </c>
      <c r="X78" s="1">
        <v>74.400000000000006</v>
      </c>
      <c r="Y78" s="1">
        <v>40.74</v>
      </c>
      <c r="Z78" s="1">
        <v>40.840000000000003</v>
      </c>
      <c r="AA78" s="1">
        <v>55.59</v>
      </c>
      <c r="AB78" s="1">
        <v>61.46</v>
      </c>
    </row>
    <row r="79" spans="1:28">
      <c r="A79" s="26">
        <v>1970</v>
      </c>
      <c r="B79" s="1">
        <v>79</v>
      </c>
      <c r="C79" s="1">
        <v>51.2</v>
      </c>
      <c r="D79" s="1">
        <v>41.7</v>
      </c>
      <c r="E79" s="1">
        <v>55.9</v>
      </c>
      <c r="F79" s="1">
        <v>77.2</v>
      </c>
      <c r="G79" s="1">
        <v>20.2</v>
      </c>
      <c r="H79" s="1">
        <v>36.4</v>
      </c>
      <c r="I79" s="1">
        <v>29.5</v>
      </c>
      <c r="J79" s="1">
        <v>37.200000000000003</v>
      </c>
      <c r="K79" s="1">
        <v>39.700000000000003</v>
      </c>
      <c r="L79" s="1">
        <v>59.1</v>
      </c>
      <c r="M79" s="1">
        <v>40.6</v>
      </c>
      <c r="N79" s="1">
        <v>60.7</v>
      </c>
      <c r="O79" s="1">
        <v>58.7</v>
      </c>
      <c r="P79" s="1">
        <v>47.7</v>
      </c>
      <c r="Q79" s="1">
        <v>47.6</v>
      </c>
      <c r="R79" s="1">
        <v>37.1</v>
      </c>
      <c r="S79" s="1">
        <v>59.5</v>
      </c>
      <c r="T79" s="1">
        <v>39.5</v>
      </c>
      <c r="U79" s="1">
        <v>46</v>
      </c>
      <c r="V79" s="1">
        <v>83.3</v>
      </c>
      <c r="W79" s="1">
        <v>67.3</v>
      </c>
      <c r="X79" s="1">
        <v>75.099999999999994</v>
      </c>
      <c r="Y79" s="1">
        <v>41.4</v>
      </c>
      <c r="Z79" s="1">
        <v>41.5</v>
      </c>
      <c r="AA79" s="1">
        <v>56.3</v>
      </c>
      <c r="AB79" s="1">
        <v>62.3</v>
      </c>
    </row>
    <row r="80" spans="1:28">
      <c r="A80" s="26">
        <v>1971</v>
      </c>
      <c r="B80" s="1">
        <v>79.44</v>
      </c>
      <c r="C80" s="1">
        <v>50.99</v>
      </c>
      <c r="D80" s="1">
        <v>42.18</v>
      </c>
      <c r="E80" s="1">
        <v>57.12</v>
      </c>
      <c r="F80" s="1">
        <v>78.03</v>
      </c>
      <c r="G80" s="1">
        <v>20.64</v>
      </c>
      <c r="H80" s="1">
        <v>36.299999999999997</v>
      </c>
      <c r="I80" s="1">
        <v>29.57</v>
      </c>
      <c r="J80" s="1">
        <v>37.42</v>
      </c>
      <c r="K80" s="1">
        <v>40.840000000000003</v>
      </c>
      <c r="L80" s="1">
        <v>59.89</v>
      </c>
      <c r="M80" s="1">
        <v>41.07</v>
      </c>
      <c r="N80" s="1">
        <v>61.43</v>
      </c>
      <c r="O80" s="1">
        <v>59.5</v>
      </c>
      <c r="P80" s="1">
        <v>48.05</v>
      </c>
      <c r="Q80" s="1">
        <v>47.96</v>
      </c>
      <c r="R80" s="1">
        <v>37.369999999999997</v>
      </c>
      <c r="S80" s="1">
        <v>60.24</v>
      </c>
      <c r="T80" s="1">
        <v>39.64</v>
      </c>
      <c r="U80" s="1">
        <v>46.16</v>
      </c>
      <c r="V80" s="1">
        <v>83.61</v>
      </c>
      <c r="W80" s="1">
        <v>67.64</v>
      </c>
      <c r="X80" s="1">
        <v>75.849999999999994</v>
      </c>
      <c r="Y80" s="1">
        <v>42.1</v>
      </c>
      <c r="Z80" s="1">
        <v>42.11</v>
      </c>
      <c r="AA80" s="1">
        <v>57.02</v>
      </c>
      <c r="AB80" s="1">
        <v>63.14</v>
      </c>
    </row>
    <row r="81" spans="1:28">
      <c r="A81" s="26">
        <v>1972</v>
      </c>
      <c r="B81" s="1">
        <v>79.86</v>
      </c>
      <c r="C81" s="1">
        <v>50.78</v>
      </c>
      <c r="D81" s="1">
        <v>42.85</v>
      </c>
      <c r="E81" s="1">
        <v>58.33</v>
      </c>
      <c r="F81" s="1">
        <v>78.91</v>
      </c>
      <c r="G81" s="1">
        <v>21.07</v>
      </c>
      <c r="H81" s="1">
        <v>36.020000000000003</v>
      </c>
      <c r="I81" s="1">
        <v>29.65</v>
      </c>
      <c r="J81" s="1">
        <v>37.590000000000003</v>
      </c>
      <c r="K81" s="1">
        <v>42.13</v>
      </c>
      <c r="L81" s="1">
        <v>60.74</v>
      </c>
      <c r="M81" s="1">
        <v>41.52</v>
      </c>
      <c r="N81" s="1">
        <v>62.25</v>
      </c>
      <c r="O81" s="1">
        <v>60.31</v>
      </c>
      <c r="P81" s="1">
        <v>48.35</v>
      </c>
      <c r="Q81" s="1">
        <v>48.29</v>
      </c>
      <c r="R81" s="1">
        <v>37.76</v>
      </c>
      <c r="S81" s="1">
        <v>60.92</v>
      </c>
      <c r="T81" s="1">
        <v>39.78</v>
      </c>
      <c r="U81" s="1">
        <v>46.62</v>
      </c>
      <c r="V81" s="1">
        <v>83.97</v>
      </c>
      <c r="W81" s="1">
        <v>67.98</v>
      </c>
      <c r="X81" s="1">
        <v>76.66</v>
      </c>
      <c r="Y81" s="1">
        <v>42.84</v>
      </c>
      <c r="Z81" s="1">
        <v>42.7</v>
      </c>
      <c r="AA81" s="1">
        <v>57.76</v>
      </c>
      <c r="AB81" s="1">
        <v>64</v>
      </c>
    </row>
    <row r="82" spans="1:28">
      <c r="A82" s="26">
        <v>1973</v>
      </c>
      <c r="B82" s="1">
        <v>80.27</v>
      </c>
      <c r="C82" s="1">
        <v>50.58</v>
      </c>
      <c r="D82" s="1">
        <v>43.66</v>
      </c>
      <c r="E82" s="1">
        <v>59.52</v>
      </c>
      <c r="F82" s="1">
        <v>79.8</v>
      </c>
      <c r="G82" s="1">
        <v>21.49</v>
      </c>
      <c r="H82" s="1">
        <v>35.6</v>
      </c>
      <c r="I82" s="1">
        <v>29.74</v>
      </c>
      <c r="J82" s="1">
        <v>37.72</v>
      </c>
      <c r="K82" s="1">
        <v>43.52</v>
      </c>
      <c r="L82" s="1">
        <v>61.63</v>
      </c>
      <c r="M82" s="1">
        <v>41.96</v>
      </c>
      <c r="N82" s="1">
        <v>63.12</v>
      </c>
      <c r="O82" s="1">
        <v>61.14</v>
      </c>
      <c r="P82" s="1">
        <v>48.61</v>
      </c>
      <c r="Q82" s="1">
        <v>48.58</v>
      </c>
      <c r="R82" s="1">
        <v>38.229999999999997</v>
      </c>
      <c r="S82" s="1">
        <v>61.54</v>
      </c>
      <c r="T82" s="1">
        <v>39.94</v>
      </c>
      <c r="U82" s="1">
        <v>47.32</v>
      </c>
      <c r="V82" s="1">
        <v>84.36</v>
      </c>
      <c r="W82" s="1">
        <v>68.3</v>
      </c>
      <c r="X82" s="1">
        <v>77.52</v>
      </c>
      <c r="Y82" s="1">
        <v>43.61</v>
      </c>
      <c r="Z82" s="1">
        <v>43.25</v>
      </c>
      <c r="AA82" s="1">
        <v>58.49</v>
      </c>
      <c r="AB82" s="1">
        <v>64.86</v>
      </c>
    </row>
    <row r="83" spans="1:28">
      <c r="A83" s="26">
        <v>1974</v>
      </c>
      <c r="B83" s="1">
        <v>80.66</v>
      </c>
      <c r="C83" s="1">
        <v>50.39</v>
      </c>
      <c r="D83" s="1">
        <v>44.59</v>
      </c>
      <c r="E83" s="1">
        <v>60.71</v>
      </c>
      <c r="F83" s="1">
        <v>80.680000000000007</v>
      </c>
      <c r="G83" s="1">
        <v>21.91</v>
      </c>
      <c r="H83" s="1">
        <v>35.1</v>
      </c>
      <c r="I83" s="1">
        <v>29.84</v>
      </c>
      <c r="J83" s="1">
        <v>37.840000000000003</v>
      </c>
      <c r="K83" s="1">
        <v>44.96</v>
      </c>
      <c r="L83" s="1">
        <v>62.54</v>
      </c>
      <c r="M83" s="1">
        <v>42.38</v>
      </c>
      <c r="N83" s="1">
        <v>64.040000000000006</v>
      </c>
      <c r="O83" s="1">
        <v>61.97</v>
      </c>
      <c r="P83" s="1">
        <v>48.85</v>
      </c>
      <c r="Q83" s="1">
        <v>48.85</v>
      </c>
      <c r="R83" s="1">
        <v>38.79</v>
      </c>
      <c r="S83" s="1">
        <v>62.12</v>
      </c>
      <c r="T83" s="1">
        <v>40.11</v>
      </c>
      <c r="U83" s="1">
        <v>48.21</v>
      </c>
      <c r="V83" s="1">
        <v>84.77</v>
      </c>
      <c r="W83" s="1">
        <v>68.62</v>
      </c>
      <c r="X83" s="1">
        <v>78.400000000000006</v>
      </c>
      <c r="Y83" s="1">
        <v>44.4</v>
      </c>
      <c r="Z83" s="1">
        <v>43.79</v>
      </c>
      <c r="AA83" s="1">
        <v>59.22</v>
      </c>
      <c r="AB83" s="1">
        <v>65.7</v>
      </c>
    </row>
    <row r="84" spans="1:28">
      <c r="A84" s="26">
        <v>1975</v>
      </c>
      <c r="B84" s="1">
        <v>81.05</v>
      </c>
      <c r="C84" s="1">
        <v>50.2</v>
      </c>
      <c r="D84" s="1">
        <v>45.6</v>
      </c>
      <c r="E84" s="1">
        <v>61.88</v>
      </c>
      <c r="F84" s="1">
        <v>81.510000000000005</v>
      </c>
      <c r="G84" s="1">
        <v>22.33</v>
      </c>
      <c r="H84" s="1">
        <v>34.549999999999997</v>
      </c>
      <c r="I84" s="1">
        <v>29.94</v>
      </c>
      <c r="J84" s="1">
        <v>37.94</v>
      </c>
      <c r="K84" s="1">
        <v>46.4</v>
      </c>
      <c r="L84" s="1">
        <v>63.44</v>
      </c>
      <c r="M84" s="1">
        <v>42.78</v>
      </c>
      <c r="N84" s="1">
        <v>64.959999999999994</v>
      </c>
      <c r="O84" s="1">
        <v>62.78</v>
      </c>
      <c r="P84" s="1">
        <v>49.07</v>
      </c>
      <c r="Q84" s="1">
        <v>49.1</v>
      </c>
      <c r="R84" s="1">
        <v>39.4</v>
      </c>
      <c r="S84" s="1">
        <v>62.66</v>
      </c>
      <c r="T84" s="1">
        <v>40.299999999999997</v>
      </c>
      <c r="U84" s="1">
        <v>49.25</v>
      </c>
      <c r="V84" s="1">
        <v>85.2</v>
      </c>
      <c r="W84" s="1">
        <v>68.94</v>
      </c>
      <c r="X84" s="1">
        <v>79.25</v>
      </c>
      <c r="Y84" s="1">
        <v>45.2</v>
      </c>
      <c r="Z84" s="1">
        <v>44.31</v>
      </c>
      <c r="AA84" s="1">
        <v>59.92</v>
      </c>
      <c r="AB84" s="1">
        <v>66.52</v>
      </c>
    </row>
    <row r="85" spans="1:28">
      <c r="A85" s="26">
        <v>1976</v>
      </c>
      <c r="B85" s="1">
        <v>81.430000000000007</v>
      </c>
      <c r="C85" s="1">
        <v>50.02</v>
      </c>
      <c r="D85" s="1">
        <v>46.64</v>
      </c>
      <c r="E85" s="1">
        <v>63.04</v>
      </c>
      <c r="F85" s="1">
        <v>82.27</v>
      </c>
      <c r="G85" s="1">
        <v>22.75</v>
      </c>
      <c r="H85" s="1">
        <v>34</v>
      </c>
      <c r="I85" s="1">
        <v>30.06</v>
      </c>
      <c r="J85" s="1">
        <v>38.04</v>
      </c>
      <c r="K85" s="1">
        <v>47.8</v>
      </c>
      <c r="L85" s="1">
        <v>64.319999999999993</v>
      </c>
      <c r="M85" s="1">
        <v>43.17</v>
      </c>
      <c r="N85" s="1">
        <v>65.88</v>
      </c>
      <c r="O85" s="1">
        <v>63.58</v>
      </c>
      <c r="P85" s="1">
        <v>49.29</v>
      </c>
      <c r="Q85" s="1">
        <v>49.35</v>
      </c>
      <c r="R85" s="1">
        <v>40.06</v>
      </c>
      <c r="S85" s="1">
        <v>63.18</v>
      </c>
      <c r="T85" s="1">
        <v>40.5</v>
      </c>
      <c r="U85" s="1">
        <v>50.38</v>
      </c>
      <c r="V85" s="1">
        <v>85.63</v>
      </c>
      <c r="W85" s="1">
        <v>69.260000000000005</v>
      </c>
      <c r="X85" s="1">
        <v>80.06</v>
      </c>
      <c r="Y85" s="1">
        <v>46</v>
      </c>
      <c r="Z85" s="1">
        <v>44.82</v>
      </c>
      <c r="AA85" s="1">
        <v>60.6</v>
      </c>
      <c r="AB85" s="1">
        <v>67.3</v>
      </c>
    </row>
    <row r="86" spans="1:28">
      <c r="A86" s="26">
        <v>1977</v>
      </c>
      <c r="B86" s="1">
        <v>81.81</v>
      </c>
      <c r="C86" s="1">
        <v>49.84</v>
      </c>
      <c r="D86" s="1">
        <v>47.69</v>
      </c>
      <c r="E86" s="1">
        <v>64.19</v>
      </c>
      <c r="F86" s="1">
        <v>82.93</v>
      </c>
      <c r="G86" s="1">
        <v>23.17</v>
      </c>
      <c r="H86" s="1">
        <v>33.5</v>
      </c>
      <c r="I86" s="1">
        <v>30.18</v>
      </c>
      <c r="J86" s="1">
        <v>38.15</v>
      </c>
      <c r="K86" s="1">
        <v>49.1</v>
      </c>
      <c r="L86" s="1">
        <v>65.16</v>
      </c>
      <c r="M86" s="1">
        <v>43.53</v>
      </c>
      <c r="N86" s="1">
        <v>66.77</v>
      </c>
      <c r="O86" s="1">
        <v>64.349999999999994</v>
      </c>
      <c r="P86" s="1">
        <v>49.51</v>
      </c>
      <c r="Q86" s="1">
        <v>49.59</v>
      </c>
      <c r="R86" s="1">
        <v>40.75</v>
      </c>
      <c r="S86" s="1">
        <v>63.68</v>
      </c>
      <c r="T86" s="1">
        <v>40.729999999999997</v>
      </c>
      <c r="U86" s="1">
        <v>51.56</v>
      </c>
      <c r="V86" s="1">
        <v>86.07</v>
      </c>
      <c r="W86" s="1">
        <v>69.59</v>
      </c>
      <c r="X86" s="1">
        <v>80.78</v>
      </c>
      <c r="Y86" s="1">
        <v>46.79</v>
      </c>
      <c r="Z86" s="1">
        <v>45.32</v>
      </c>
      <c r="AA86" s="1">
        <v>61.22</v>
      </c>
      <c r="AB86" s="1">
        <v>68.03</v>
      </c>
    </row>
    <row r="87" spans="1:28">
      <c r="A87" s="26">
        <v>1978</v>
      </c>
      <c r="B87" s="1">
        <v>82.2</v>
      </c>
      <c r="C87" s="1">
        <v>49.66</v>
      </c>
      <c r="D87" s="1">
        <v>48.71</v>
      </c>
      <c r="E87" s="1">
        <v>65.34</v>
      </c>
      <c r="F87" s="1">
        <v>83.45</v>
      </c>
      <c r="G87" s="1">
        <v>23.6</v>
      </c>
      <c r="H87" s="1">
        <v>33.08</v>
      </c>
      <c r="I87" s="1">
        <v>30.31</v>
      </c>
      <c r="J87" s="1">
        <v>38.29</v>
      </c>
      <c r="K87" s="1">
        <v>50.27</v>
      </c>
      <c r="L87" s="1">
        <v>65.94</v>
      </c>
      <c r="M87" s="1">
        <v>43.88</v>
      </c>
      <c r="N87" s="1">
        <v>67.599999999999994</v>
      </c>
      <c r="O87" s="1">
        <v>65.08</v>
      </c>
      <c r="P87" s="1">
        <v>49.74</v>
      </c>
      <c r="Q87" s="1">
        <v>49.84</v>
      </c>
      <c r="R87" s="1">
        <v>41.45</v>
      </c>
      <c r="S87" s="1">
        <v>64.180000000000007</v>
      </c>
      <c r="T87" s="1">
        <v>40.99</v>
      </c>
      <c r="U87" s="1">
        <v>52.74</v>
      </c>
      <c r="V87" s="1">
        <v>86.5</v>
      </c>
      <c r="W87" s="1">
        <v>69.92</v>
      </c>
      <c r="X87" s="1">
        <v>81.400000000000006</v>
      </c>
      <c r="Y87" s="1">
        <v>47.56</v>
      </c>
      <c r="Z87" s="1">
        <v>45.81</v>
      </c>
      <c r="AA87" s="1">
        <v>61.8</v>
      </c>
      <c r="AB87" s="1">
        <v>68.7</v>
      </c>
    </row>
    <row r="88" spans="1:28">
      <c r="A88" s="26">
        <v>1979</v>
      </c>
      <c r="B88" s="1">
        <v>82.59</v>
      </c>
      <c r="C88" s="1">
        <v>49.48</v>
      </c>
      <c r="D88" s="1">
        <v>49.66</v>
      </c>
      <c r="E88" s="1">
        <v>66.47</v>
      </c>
      <c r="F88" s="1">
        <v>83.82</v>
      </c>
      <c r="G88" s="1">
        <v>24.05</v>
      </c>
      <c r="H88" s="1">
        <v>32.799999999999997</v>
      </c>
      <c r="I88" s="1">
        <v>30.45</v>
      </c>
      <c r="J88" s="1">
        <v>38.47</v>
      </c>
      <c r="K88" s="1">
        <v>51.25</v>
      </c>
      <c r="L88" s="1">
        <v>66.62</v>
      </c>
      <c r="M88" s="1">
        <v>44.2</v>
      </c>
      <c r="N88" s="1">
        <v>68.349999999999994</v>
      </c>
      <c r="O88" s="1">
        <v>65.77</v>
      </c>
      <c r="P88" s="1">
        <v>50</v>
      </c>
      <c r="Q88" s="1">
        <v>50.11</v>
      </c>
      <c r="R88" s="1">
        <v>42.13</v>
      </c>
      <c r="S88" s="1">
        <v>64.680000000000007</v>
      </c>
      <c r="T88" s="1">
        <v>41.28</v>
      </c>
      <c r="U88" s="1">
        <v>53.87</v>
      </c>
      <c r="V88" s="1">
        <v>86.91</v>
      </c>
      <c r="W88" s="1">
        <v>70.25</v>
      </c>
      <c r="X88" s="1">
        <v>81.89</v>
      </c>
      <c r="Y88" s="1">
        <v>48.3</v>
      </c>
      <c r="Z88" s="1">
        <v>46.3</v>
      </c>
      <c r="AA88" s="1">
        <v>62.3</v>
      </c>
      <c r="AB88" s="1">
        <v>69.3</v>
      </c>
    </row>
    <row r="89" spans="1:28">
      <c r="A89" s="26">
        <v>1980</v>
      </c>
      <c r="B89" s="1">
        <v>83</v>
      </c>
      <c r="C89" s="1">
        <v>49.3</v>
      </c>
      <c r="D89" s="1">
        <v>50.5</v>
      </c>
      <c r="E89" s="1">
        <v>67.599999999999994</v>
      </c>
      <c r="F89" s="1">
        <v>84</v>
      </c>
      <c r="G89" s="1">
        <v>24.5</v>
      </c>
      <c r="H89" s="1">
        <v>32.700000000000003</v>
      </c>
      <c r="I89" s="1">
        <v>30.6</v>
      </c>
      <c r="J89" s="1">
        <v>38.700000000000003</v>
      </c>
      <c r="K89" s="1">
        <v>52</v>
      </c>
      <c r="L89" s="1">
        <v>67.2</v>
      </c>
      <c r="M89" s="1">
        <v>44.5</v>
      </c>
      <c r="N89" s="1">
        <v>69</v>
      </c>
      <c r="O89" s="1">
        <v>66.400000000000006</v>
      </c>
      <c r="P89" s="1">
        <v>50.3</v>
      </c>
      <c r="Q89" s="1">
        <v>50.4</v>
      </c>
      <c r="R89" s="1">
        <v>42.8</v>
      </c>
      <c r="S89" s="1">
        <v>65.2</v>
      </c>
      <c r="T89" s="1">
        <v>41.6</v>
      </c>
      <c r="U89" s="1">
        <v>54.9</v>
      </c>
      <c r="V89" s="1">
        <v>87.3</v>
      </c>
      <c r="W89" s="1">
        <v>70.599999999999994</v>
      </c>
      <c r="X89" s="1">
        <v>82.2</v>
      </c>
      <c r="Y89" s="1">
        <v>49</v>
      </c>
      <c r="Z89" s="1">
        <v>46.8</v>
      </c>
      <c r="AA89" s="1">
        <v>62.75</v>
      </c>
      <c r="AB89" s="1">
        <v>69.84</v>
      </c>
    </row>
    <row r="90" spans="1:28">
      <c r="A90" s="26">
        <v>1981</v>
      </c>
      <c r="B90" s="1">
        <v>83.42</v>
      </c>
      <c r="C90" s="1">
        <v>49.11</v>
      </c>
      <c r="D90" s="1">
        <v>51.28</v>
      </c>
      <c r="E90" s="1">
        <v>68.77</v>
      </c>
      <c r="F90" s="1">
        <v>84.07</v>
      </c>
      <c r="G90" s="1">
        <v>24.97</v>
      </c>
      <c r="H90" s="1">
        <v>32.729999999999997</v>
      </c>
      <c r="I90" s="1">
        <v>30.77</v>
      </c>
      <c r="J90" s="1">
        <v>39.15</v>
      </c>
      <c r="K90" s="1">
        <v>52.59</v>
      </c>
      <c r="L90" s="1">
        <v>67.69</v>
      </c>
      <c r="M90" s="1">
        <v>44.76</v>
      </c>
      <c r="N90" s="1">
        <v>69.59</v>
      </c>
      <c r="O90" s="1">
        <v>67.02</v>
      </c>
      <c r="P90" s="1">
        <v>50.65</v>
      </c>
      <c r="Q90" s="1">
        <v>50.69</v>
      </c>
      <c r="R90" s="1">
        <v>43.46</v>
      </c>
      <c r="S90" s="1">
        <v>65.73</v>
      </c>
      <c r="T90" s="1">
        <v>42.05</v>
      </c>
      <c r="U90" s="1">
        <v>55.89</v>
      </c>
      <c r="V90" s="1">
        <v>87.69</v>
      </c>
      <c r="W90" s="1">
        <v>70.98</v>
      </c>
      <c r="X90" s="1">
        <v>82.4</v>
      </c>
      <c r="Y90" s="1">
        <v>49.66</v>
      </c>
      <c r="Z90" s="1">
        <v>47.33</v>
      </c>
      <c r="AA90" s="1">
        <v>63.17</v>
      </c>
      <c r="AB90" s="1">
        <v>70.34</v>
      </c>
    </row>
    <row r="91" spans="1:28">
      <c r="A91" s="26">
        <v>1982</v>
      </c>
      <c r="B91" s="1">
        <v>83.86</v>
      </c>
      <c r="C91" s="1">
        <v>48.89</v>
      </c>
      <c r="D91" s="1">
        <v>52.04</v>
      </c>
      <c r="E91" s="1">
        <v>70.02</v>
      </c>
      <c r="F91" s="1">
        <v>84.12</v>
      </c>
      <c r="G91" s="1">
        <v>25.44</v>
      </c>
      <c r="H91" s="1">
        <v>32.82</v>
      </c>
      <c r="I91" s="1">
        <v>30.98</v>
      </c>
      <c r="J91" s="1">
        <v>39.94</v>
      </c>
      <c r="K91" s="1">
        <v>53.12</v>
      </c>
      <c r="L91" s="1">
        <v>68.13</v>
      </c>
      <c r="M91" s="1">
        <v>44.99</v>
      </c>
      <c r="N91" s="1">
        <v>70.16</v>
      </c>
      <c r="O91" s="1">
        <v>67.680000000000007</v>
      </c>
      <c r="P91" s="1">
        <v>51.06</v>
      </c>
      <c r="Q91" s="1">
        <v>50.97</v>
      </c>
      <c r="R91" s="1">
        <v>44.16</v>
      </c>
      <c r="S91" s="1">
        <v>66.27</v>
      </c>
      <c r="T91" s="1">
        <v>42.68</v>
      </c>
      <c r="U91" s="1">
        <v>56.92</v>
      </c>
      <c r="V91" s="1">
        <v>88.09</v>
      </c>
      <c r="W91" s="1">
        <v>71.41</v>
      </c>
      <c r="X91" s="1">
        <v>82.56</v>
      </c>
      <c r="Y91" s="1">
        <v>50.3</v>
      </c>
      <c r="Z91" s="1">
        <v>47.89</v>
      </c>
      <c r="AA91" s="1">
        <v>63.57</v>
      </c>
      <c r="AB91" s="1">
        <v>70.81</v>
      </c>
    </row>
    <row r="92" spans="1:28">
      <c r="A92" s="26">
        <v>1983</v>
      </c>
      <c r="B92" s="1">
        <v>84.31</v>
      </c>
      <c r="C92" s="1">
        <v>48.67</v>
      </c>
      <c r="D92" s="1">
        <v>52.8</v>
      </c>
      <c r="E92" s="1">
        <v>71.3</v>
      </c>
      <c r="F92" s="1">
        <v>84.15</v>
      </c>
      <c r="G92" s="1">
        <v>25.91</v>
      </c>
      <c r="H92" s="1">
        <v>32.96</v>
      </c>
      <c r="I92" s="1">
        <v>31.21</v>
      </c>
      <c r="J92" s="1">
        <v>40.98</v>
      </c>
      <c r="K92" s="1">
        <v>53.61</v>
      </c>
      <c r="L92" s="1">
        <v>68.540000000000006</v>
      </c>
      <c r="M92" s="1">
        <v>45.18</v>
      </c>
      <c r="N92" s="1">
        <v>70.709999999999994</v>
      </c>
      <c r="O92" s="1">
        <v>68.34</v>
      </c>
      <c r="P92" s="1">
        <v>51.5</v>
      </c>
      <c r="Q92" s="1">
        <v>51.23</v>
      </c>
      <c r="R92" s="1">
        <v>44.87</v>
      </c>
      <c r="S92" s="1">
        <v>66.81</v>
      </c>
      <c r="T92" s="1">
        <v>43.47</v>
      </c>
      <c r="U92" s="1">
        <v>57.98</v>
      </c>
      <c r="V92" s="1">
        <v>88.5</v>
      </c>
      <c r="W92" s="1">
        <v>71.87</v>
      </c>
      <c r="X92" s="1">
        <v>82.69</v>
      </c>
      <c r="Y92" s="1">
        <v>50.92</v>
      </c>
      <c r="Z92" s="1">
        <v>48.48</v>
      </c>
      <c r="AA92" s="1">
        <v>63.95</v>
      </c>
      <c r="AB92" s="1">
        <v>71.260000000000005</v>
      </c>
    </row>
    <row r="93" spans="1:28">
      <c r="A93" s="26">
        <v>1984</v>
      </c>
      <c r="B93" s="1">
        <v>84.76</v>
      </c>
      <c r="C93" s="1">
        <v>48.44</v>
      </c>
      <c r="D93" s="1">
        <v>53.53</v>
      </c>
      <c r="E93" s="1">
        <v>72.59</v>
      </c>
      <c r="F93" s="1">
        <v>84.18</v>
      </c>
      <c r="G93" s="1">
        <v>26.4</v>
      </c>
      <c r="H93" s="1">
        <v>33.14</v>
      </c>
      <c r="I93" s="1">
        <v>31.47</v>
      </c>
      <c r="J93" s="1">
        <v>42.17</v>
      </c>
      <c r="K93" s="1">
        <v>54.06</v>
      </c>
      <c r="L93" s="1">
        <v>68.91</v>
      </c>
      <c r="M93" s="1">
        <v>45.35</v>
      </c>
      <c r="N93" s="1">
        <v>71.239999999999995</v>
      </c>
      <c r="O93" s="1">
        <v>68.989999999999995</v>
      </c>
      <c r="P93" s="1">
        <v>51.97</v>
      </c>
      <c r="Q93" s="1">
        <v>51.5</v>
      </c>
      <c r="R93" s="1">
        <v>45.61</v>
      </c>
      <c r="S93" s="1">
        <v>67.349999999999994</v>
      </c>
      <c r="T93" s="1">
        <v>44.38</v>
      </c>
      <c r="U93" s="1">
        <v>59.07</v>
      </c>
      <c r="V93" s="1">
        <v>88.91</v>
      </c>
      <c r="W93" s="1">
        <v>72.349999999999994</v>
      </c>
      <c r="X93" s="1">
        <v>82.8</v>
      </c>
      <c r="Y93" s="1">
        <v>51.53</v>
      </c>
      <c r="Z93" s="1">
        <v>49.07</v>
      </c>
      <c r="AA93" s="1">
        <v>64.3</v>
      </c>
      <c r="AB93" s="1">
        <v>71.680000000000007</v>
      </c>
    </row>
    <row r="94" spans="1:28">
      <c r="A94" s="26">
        <v>1985</v>
      </c>
      <c r="B94" s="1">
        <v>85.21</v>
      </c>
      <c r="C94" s="1">
        <v>48.23</v>
      </c>
      <c r="D94" s="1">
        <v>54.25</v>
      </c>
      <c r="E94" s="1">
        <v>73.849999999999994</v>
      </c>
      <c r="F94" s="1">
        <v>84.21</v>
      </c>
      <c r="G94" s="1">
        <v>26.89</v>
      </c>
      <c r="H94" s="1">
        <v>33.369999999999997</v>
      </c>
      <c r="I94" s="1">
        <v>31.75</v>
      </c>
      <c r="J94" s="1">
        <v>43.42</v>
      </c>
      <c r="K94" s="1">
        <v>54.47</v>
      </c>
      <c r="L94" s="1">
        <v>69.27</v>
      </c>
      <c r="M94" s="1">
        <v>45.53</v>
      </c>
      <c r="N94" s="1">
        <v>71.739999999999995</v>
      </c>
      <c r="O94" s="1">
        <v>69.599999999999994</v>
      </c>
      <c r="P94" s="1">
        <v>52.45</v>
      </c>
      <c r="Q94" s="1">
        <v>51.78</v>
      </c>
      <c r="R94" s="1">
        <v>46.37</v>
      </c>
      <c r="S94" s="1">
        <v>67.87</v>
      </c>
      <c r="T94" s="1">
        <v>45.38</v>
      </c>
      <c r="U94" s="1">
        <v>60.16</v>
      </c>
      <c r="V94" s="1">
        <v>89.31</v>
      </c>
      <c r="W94" s="1">
        <v>72.81</v>
      </c>
      <c r="X94" s="1">
        <v>82.9</v>
      </c>
      <c r="Y94" s="1">
        <v>52.12</v>
      </c>
      <c r="Z94" s="1">
        <v>49.64</v>
      </c>
      <c r="AA94" s="1">
        <v>64.64</v>
      </c>
      <c r="AB94" s="1">
        <v>72.09</v>
      </c>
    </row>
    <row r="95" spans="1:28">
      <c r="A95" s="26">
        <v>1986</v>
      </c>
      <c r="B95" s="1">
        <v>85.66</v>
      </c>
      <c r="C95" s="1">
        <v>48.03</v>
      </c>
      <c r="D95" s="1">
        <v>54.95</v>
      </c>
      <c r="E95" s="1">
        <v>75.040000000000006</v>
      </c>
      <c r="F95" s="1">
        <v>84.23</v>
      </c>
      <c r="G95" s="1">
        <v>27.39</v>
      </c>
      <c r="H95" s="1">
        <v>33.64</v>
      </c>
      <c r="I95" s="1">
        <v>32.03</v>
      </c>
      <c r="J95" s="1">
        <v>44.65</v>
      </c>
      <c r="K95" s="1">
        <v>54.85</v>
      </c>
      <c r="L95" s="1">
        <v>69.599999999999994</v>
      </c>
      <c r="M95" s="1">
        <v>45.71</v>
      </c>
      <c r="N95" s="1">
        <v>72.209999999999994</v>
      </c>
      <c r="O95" s="1">
        <v>70.150000000000006</v>
      </c>
      <c r="P95" s="1">
        <v>52.92</v>
      </c>
      <c r="Q95" s="1">
        <v>52.09</v>
      </c>
      <c r="R95" s="1">
        <v>47.14</v>
      </c>
      <c r="S95" s="1">
        <v>68.38</v>
      </c>
      <c r="T95" s="1">
        <v>46.42</v>
      </c>
      <c r="U95" s="1">
        <v>61.26</v>
      </c>
      <c r="V95" s="1">
        <v>89.69</v>
      </c>
      <c r="W95" s="1">
        <v>73.25</v>
      </c>
      <c r="X95" s="1">
        <v>82.99</v>
      </c>
      <c r="Y95" s="1">
        <v>52.71</v>
      </c>
      <c r="Z95" s="1">
        <v>50.17</v>
      </c>
      <c r="AA95" s="1">
        <v>64.97</v>
      </c>
      <c r="AB95" s="1">
        <v>72.48</v>
      </c>
    </row>
    <row r="96" spans="1:28">
      <c r="A96" s="26">
        <v>1987</v>
      </c>
      <c r="B96" s="1">
        <v>86.09</v>
      </c>
      <c r="C96" s="1">
        <v>47.85</v>
      </c>
      <c r="D96" s="1">
        <v>55.63</v>
      </c>
      <c r="E96" s="1">
        <v>76.12</v>
      </c>
      <c r="F96" s="1">
        <v>84.26</v>
      </c>
      <c r="G96" s="1">
        <v>27.9</v>
      </c>
      <c r="H96" s="1">
        <v>33.94</v>
      </c>
      <c r="I96" s="1">
        <v>32.33</v>
      </c>
      <c r="J96" s="1">
        <v>45.76</v>
      </c>
      <c r="K96" s="1">
        <v>55.19</v>
      </c>
      <c r="L96" s="1">
        <v>69.94</v>
      </c>
      <c r="M96" s="1">
        <v>45.92</v>
      </c>
      <c r="N96" s="1">
        <v>72.63</v>
      </c>
      <c r="O96" s="1">
        <v>70.62</v>
      </c>
      <c r="P96" s="1">
        <v>53.36</v>
      </c>
      <c r="Q96" s="1">
        <v>52.42</v>
      </c>
      <c r="R96" s="1">
        <v>47.92</v>
      </c>
      <c r="S96" s="1">
        <v>68.86</v>
      </c>
      <c r="T96" s="1">
        <v>47.48</v>
      </c>
      <c r="U96" s="1">
        <v>62.34</v>
      </c>
      <c r="V96" s="1">
        <v>90.03</v>
      </c>
      <c r="W96" s="1">
        <v>73.650000000000006</v>
      </c>
      <c r="X96" s="1">
        <v>83.09</v>
      </c>
      <c r="Y96" s="1">
        <v>53.3</v>
      </c>
      <c r="Z96" s="1">
        <v>50.64</v>
      </c>
      <c r="AA96" s="1">
        <v>65.28</v>
      </c>
      <c r="AB96" s="1">
        <v>72.86</v>
      </c>
    </row>
    <row r="97" spans="1:28">
      <c r="A97" s="26">
        <v>1988</v>
      </c>
      <c r="B97" s="1">
        <v>86.52</v>
      </c>
      <c r="C97" s="1">
        <v>47.72</v>
      </c>
      <c r="D97" s="1">
        <v>56.28</v>
      </c>
      <c r="E97" s="1">
        <v>77.069999999999993</v>
      </c>
      <c r="F97" s="1">
        <v>84.29</v>
      </c>
      <c r="G97" s="1">
        <v>28.42</v>
      </c>
      <c r="H97" s="1">
        <v>34.270000000000003</v>
      </c>
      <c r="I97" s="1">
        <v>32.619999999999997</v>
      </c>
      <c r="J97" s="1">
        <v>46.67</v>
      </c>
      <c r="K97" s="1">
        <v>55.51</v>
      </c>
      <c r="L97" s="1">
        <v>70.28</v>
      </c>
      <c r="M97" s="1">
        <v>46.16</v>
      </c>
      <c r="N97" s="1">
        <v>73.010000000000005</v>
      </c>
      <c r="O97" s="1">
        <v>70.98</v>
      </c>
      <c r="P97" s="1">
        <v>53.77</v>
      </c>
      <c r="Q97" s="1">
        <v>52.79</v>
      </c>
      <c r="R97" s="1">
        <v>48.71</v>
      </c>
      <c r="S97" s="1">
        <v>69.31</v>
      </c>
      <c r="T97" s="1">
        <v>48.52</v>
      </c>
      <c r="U97" s="1">
        <v>63.4</v>
      </c>
      <c r="V97" s="1">
        <v>90.34</v>
      </c>
      <c r="W97" s="1">
        <v>73.989999999999995</v>
      </c>
      <c r="X97" s="1">
        <v>83.2</v>
      </c>
      <c r="Y97" s="1">
        <v>53.89</v>
      </c>
      <c r="Z97" s="1">
        <v>51.03</v>
      </c>
      <c r="AA97" s="1">
        <v>65.59</v>
      </c>
      <c r="AB97" s="1">
        <v>73.23</v>
      </c>
    </row>
    <row r="98" spans="1:28">
      <c r="A98" s="26">
        <v>1989</v>
      </c>
      <c r="B98" s="1">
        <v>86.92</v>
      </c>
      <c r="C98" s="1">
        <v>47.63</v>
      </c>
      <c r="D98" s="1">
        <v>56.91</v>
      </c>
      <c r="E98" s="1">
        <v>77.84</v>
      </c>
      <c r="F98" s="1">
        <v>84.34</v>
      </c>
      <c r="G98" s="1">
        <v>28.96</v>
      </c>
      <c r="H98" s="1">
        <v>34.630000000000003</v>
      </c>
      <c r="I98" s="1">
        <v>32.92</v>
      </c>
      <c r="J98" s="1">
        <v>47.28</v>
      </c>
      <c r="K98" s="1">
        <v>55.82</v>
      </c>
      <c r="L98" s="1">
        <v>70.63</v>
      </c>
      <c r="M98" s="1">
        <v>46.45</v>
      </c>
      <c r="N98" s="1">
        <v>73.33</v>
      </c>
      <c r="O98" s="1">
        <v>71.22</v>
      </c>
      <c r="P98" s="1">
        <v>54.12</v>
      </c>
      <c r="Q98" s="1">
        <v>53.22</v>
      </c>
      <c r="R98" s="1">
        <v>49.51</v>
      </c>
      <c r="S98" s="1">
        <v>69.73</v>
      </c>
      <c r="T98" s="1">
        <v>49.51</v>
      </c>
      <c r="U98" s="1">
        <v>64.42</v>
      </c>
      <c r="V98" s="1">
        <v>90.6</v>
      </c>
      <c r="W98" s="1">
        <v>74.239999999999995</v>
      </c>
      <c r="X98" s="1">
        <v>83.34</v>
      </c>
      <c r="Y98" s="1">
        <v>54.49</v>
      </c>
      <c r="Z98" s="1">
        <v>51.33</v>
      </c>
      <c r="AA98" s="1">
        <v>65.900000000000006</v>
      </c>
      <c r="AB98" s="1">
        <v>73.599999999999994</v>
      </c>
    </row>
    <row r="99" spans="1:28">
      <c r="A99" s="26">
        <v>1990</v>
      </c>
      <c r="B99" s="1">
        <v>87.3</v>
      </c>
      <c r="C99" s="1">
        <v>47.6</v>
      </c>
      <c r="D99" s="1">
        <v>57.5</v>
      </c>
      <c r="E99" s="1">
        <v>78.400000000000006</v>
      </c>
      <c r="F99" s="1">
        <v>84.4</v>
      </c>
      <c r="G99" s="1">
        <v>29.5</v>
      </c>
      <c r="H99" s="1">
        <v>35</v>
      </c>
      <c r="I99" s="1">
        <v>33.200000000000003</v>
      </c>
      <c r="J99" s="1">
        <v>47.5</v>
      </c>
      <c r="K99" s="1">
        <v>56.1</v>
      </c>
      <c r="L99" s="1">
        <v>71</v>
      </c>
      <c r="M99" s="1">
        <v>46.8</v>
      </c>
      <c r="N99" s="1">
        <v>73.599999999999994</v>
      </c>
      <c r="O99" s="1">
        <v>71.3</v>
      </c>
      <c r="P99" s="1">
        <v>54.4</v>
      </c>
      <c r="Q99" s="1">
        <v>53.7</v>
      </c>
      <c r="R99" s="1">
        <v>50.3</v>
      </c>
      <c r="S99" s="1">
        <v>70.099999999999994</v>
      </c>
      <c r="T99" s="1">
        <v>50.4</v>
      </c>
      <c r="U99" s="1">
        <v>65.400000000000006</v>
      </c>
      <c r="V99" s="1">
        <v>90.8</v>
      </c>
      <c r="W99" s="1">
        <v>74.400000000000006</v>
      </c>
      <c r="X99" s="1">
        <v>83.5</v>
      </c>
      <c r="Y99" s="1">
        <v>55.1</v>
      </c>
      <c r="Z99" s="1">
        <v>51.5</v>
      </c>
      <c r="AA99" s="1"/>
      <c r="AB99" s="1"/>
    </row>
    <row r="100" spans="1:28">
      <c r="A100" s="26">
        <v>1991</v>
      </c>
      <c r="B100" s="1">
        <v>87.66</v>
      </c>
      <c r="C100" s="1">
        <v>47.6</v>
      </c>
      <c r="D100" s="1">
        <v>58.06</v>
      </c>
      <c r="E100" s="1">
        <v>78.819999999999993</v>
      </c>
      <c r="F100" s="1">
        <v>84.5</v>
      </c>
      <c r="G100" s="1">
        <v>30.06</v>
      </c>
      <c r="H100" s="1">
        <v>35.49</v>
      </c>
      <c r="I100" s="1">
        <v>33.479999999999997</v>
      </c>
      <c r="J100" s="1">
        <v>47.47</v>
      </c>
      <c r="K100" s="1">
        <v>56.37</v>
      </c>
      <c r="L100" s="1">
        <v>71.39</v>
      </c>
      <c r="M100" s="1">
        <v>47.31</v>
      </c>
      <c r="N100" s="1">
        <v>73.83</v>
      </c>
      <c r="O100" s="1">
        <v>71.28</v>
      </c>
      <c r="P100" s="1">
        <v>54.63</v>
      </c>
      <c r="Q100" s="1">
        <v>54.31</v>
      </c>
      <c r="R100" s="1">
        <v>51.1</v>
      </c>
      <c r="S100" s="1">
        <v>70.44</v>
      </c>
      <c r="T100" s="1">
        <v>51.23</v>
      </c>
      <c r="U100" s="1">
        <v>66.34</v>
      </c>
      <c r="V100" s="1">
        <v>90.96</v>
      </c>
      <c r="W100" s="1">
        <v>74.5</v>
      </c>
      <c r="X100" s="1">
        <v>83.7</v>
      </c>
      <c r="Y100" s="1">
        <v>55.72</v>
      </c>
      <c r="Z100" s="1">
        <v>51.6</v>
      </c>
      <c r="AA100" s="1"/>
      <c r="AB100" s="1"/>
    </row>
    <row r="101" spans="1:28">
      <c r="A101" s="26">
        <v>1992</v>
      </c>
      <c r="B101" s="1">
        <v>88.01</v>
      </c>
      <c r="C101" s="1">
        <v>47.62</v>
      </c>
      <c r="D101" s="1">
        <v>58.6</v>
      </c>
      <c r="E101" s="1">
        <v>79.2</v>
      </c>
      <c r="F101" s="1">
        <v>84.64</v>
      </c>
      <c r="G101" s="1">
        <v>30.63</v>
      </c>
      <c r="H101" s="1">
        <v>36.17</v>
      </c>
      <c r="I101" s="1">
        <v>33.770000000000003</v>
      </c>
      <c r="J101" s="1">
        <v>47.39</v>
      </c>
      <c r="K101" s="1">
        <v>56.62</v>
      </c>
      <c r="L101" s="1">
        <v>71.77</v>
      </c>
      <c r="M101" s="1">
        <v>48.04</v>
      </c>
      <c r="N101" s="1">
        <v>74.03</v>
      </c>
      <c r="O101" s="1">
        <v>71.22</v>
      </c>
      <c r="P101" s="1">
        <v>54.84</v>
      </c>
      <c r="Q101" s="1">
        <v>55.11</v>
      </c>
      <c r="R101" s="1">
        <v>51.91</v>
      </c>
      <c r="S101" s="1">
        <v>70.75</v>
      </c>
      <c r="T101" s="1">
        <v>52.05</v>
      </c>
      <c r="U101" s="1">
        <v>67.260000000000005</v>
      </c>
      <c r="V101" s="1">
        <v>91.1</v>
      </c>
      <c r="W101" s="1">
        <v>74.58</v>
      </c>
      <c r="X101" s="1">
        <v>83.94</v>
      </c>
      <c r="Y101" s="1">
        <v>56.35</v>
      </c>
      <c r="Z101" s="1">
        <v>51.69</v>
      </c>
      <c r="AA101" s="1"/>
      <c r="AB101" s="1"/>
    </row>
    <row r="102" spans="1:28">
      <c r="A102" s="26">
        <v>1993</v>
      </c>
      <c r="B102" s="1">
        <v>88.34</v>
      </c>
      <c r="C102" s="1">
        <v>47.64</v>
      </c>
      <c r="D102" s="1">
        <v>59.12</v>
      </c>
      <c r="E102" s="1">
        <v>79.53</v>
      </c>
      <c r="F102" s="1">
        <v>84.83</v>
      </c>
      <c r="G102" s="1">
        <v>31.22</v>
      </c>
      <c r="H102" s="1">
        <v>37.03</v>
      </c>
      <c r="I102" s="1">
        <v>34.06</v>
      </c>
      <c r="J102" s="1">
        <v>47.26</v>
      </c>
      <c r="K102" s="1">
        <v>56.85</v>
      </c>
      <c r="L102" s="1">
        <v>72.16</v>
      </c>
      <c r="M102" s="1">
        <v>48.97</v>
      </c>
      <c r="N102" s="1">
        <v>74.22</v>
      </c>
      <c r="O102" s="1">
        <v>71.12</v>
      </c>
      <c r="P102" s="1">
        <v>55.04</v>
      </c>
      <c r="Q102" s="1">
        <v>56.07</v>
      </c>
      <c r="R102" s="1">
        <v>52.74</v>
      </c>
      <c r="S102" s="1">
        <v>71.05</v>
      </c>
      <c r="T102" s="1">
        <v>52.87</v>
      </c>
      <c r="U102" s="1">
        <v>68.16</v>
      </c>
      <c r="V102" s="1">
        <v>91.23</v>
      </c>
      <c r="W102" s="1">
        <v>74.66</v>
      </c>
      <c r="X102" s="1">
        <v>84.2</v>
      </c>
      <c r="Y102" s="1">
        <v>56.97</v>
      </c>
      <c r="Z102" s="1">
        <v>51.76</v>
      </c>
      <c r="AA102" s="1"/>
      <c r="AB102" s="1"/>
    </row>
    <row r="103" spans="1:28">
      <c r="A103" s="26">
        <v>1994</v>
      </c>
      <c r="B103" s="1">
        <v>88.67</v>
      </c>
      <c r="C103" s="1">
        <v>47.66</v>
      </c>
      <c r="D103" s="1">
        <v>59.63</v>
      </c>
      <c r="E103" s="1">
        <v>79.84</v>
      </c>
      <c r="F103" s="1">
        <v>85.05</v>
      </c>
      <c r="G103" s="1">
        <v>31.82</v>
      </c>
      <c r="H103" s="1">
        <v>38.04</v>
      </c>
      <c r="I103" s="1">
        <v>34.36</v>
      </c>
      <c r="J103" s="1">
        <v>47.08</v>
      </c>
      <c r="K103" s="1">
        <v>57.07</v>
      </c>
      <c r="L103" s="1">
        <v>72.55</v>
      </c>
      <c r="M103" s="1">
        <v>50.08</v>
      </c>
      <c r="N103" s="1">
        <v>74.39</v>
      </c>
      <c r="O103" s="1">
        <v>70.989999999999995</v>
      </c>
      <c r="P103" s="1">
        <v>55.22</v>
      </c>
      <c r="Q103" s="1">
        <v>57.17</v>
      </c>
      <c r="R103" s="1">
        <v>53.57</v>
      </c>
      <c r="S103" s="1">
        <v>71.33</v>
      </c>
      <c r="T103" s="1">
        <v>53.67</v>
      </c>
      <c r="U103" s="1">
        <v>69.040000000000006</v>
      </c>
      <c r="V103" s="1">
        <v>91.35</v>
      </c>
      <c r="W103" s="1">
        <v>74.72</v>
      </c>
      <c r="X103" s="1">
        <v>84.5</v>
      </c>
      <c r="Y103" s="1">
        <v>57.6</v>
      </c>
      <c r="Z103" s="1">
        <v>51.83</v>
      </c>
      <c r="AA103" s="1"/>
      <c r="AB103" s="1"/>
    </row>
    <row r="104" spans="1:28">
      <c r="A104" s="26">
        <v>1995</v>
      </c>
      <c r="B104" s="1">
        <v>88.99</v>
      </c>
      <c r="C104" s="1">
        <v>47.69</v>
      </c>
      <c r="D104" s="1">
        <v>60.11</v>
      </c>
      <c r="E104" s="1">
        <v>80.11</v>
      </c>
      <c r="F104" s="1">
        <v>85.31</v>
      </c>
      <c r="G104" s="1">
        <v>32.44</v>
      </c>
      <c r="H104" s="1">
        <v>39.18</v>
      </c>
      <c r="I104" s="1">
        <v>34.659999999999997</v>
      </c>
      <c r="J104" s="1">
        <v>46.88</v>
      </c>
      <c r="K104" s="1">
        <v>57.28</v>
      </c>
      <c r="L104" s="1">
        <v>72.94</v>
      </c>
      <c r="M104" s="1">
        <v>51.34</v>
      </c>
      <c r="N104" s="1">
        <v>74.55</v>
      </c>
      <c r="O104" s="1">
        <v>70.83</v>
      </c>
      <c r="P104" s="1">
        <v>55.38</v>
      </c>
      <c r="Q104" s="1">
        <v>58.39</v>
      </c>
      <c r="R104" s="1">
        <v>54.41</v>
      </c>
      <c r="S104" s="1">
        <v>71.599999999999994</v>
      </c>
      <c r="T104" s="1">
        <v>54.47</v>
      </c>
      <c r="U104" s="1">
        <v>69.900000000000006</v>
      </c>
      <c r="V104" s="1">
        <v>91.46</v>
      </c>
      <c r="W104" s="1">
        <v>74.78</v>
      </c>
      <c r="X104" s="1">
        <v>84.81</v>
      </c>
      <c r="Y104" s="1">
        <v>58.23</v>
      </c>
      <c r="Z104" s="1">
        <v>51.89</v>
      </c>
      <c r="AA104" s="1"/>
      <c r="AB104" s="1"/>
    </row>
    <row r="105" spans="1:28">
      <c r="A105" s="26">
        <v>1996</v>
      </c>
      <c r="B105" s="1">
        <v>89.3</v>
      </c>
      <c r="C105" s="1">
        <v>47.73</v>
      </c>
      <c r="D105" s="1">
        <v>60.59</v>
      </c>
      <c r="E105" s="1">
        <v>80.36</v>
      </c>
      <c r="F105" s="1">
        <v>85.6</v>
      </c>
      <c r="G105" s="1">
        <v>33.06</v>
      </c>
      <c r="H105" s="1">
        <v>40.44</v>
      </c>
      <c r="I105" s="1">
        <v>34.96</v>
      </c>
      <c r="J105" s="1">
        <v>46.64</v>
      </c>
      <c r="K105" s="1">
        <v>57.47</v>
      </c>
      <c r="L105" s="1">
        <v>73.33</v>
      </c>
      <c r="M105" s="1">
        <v>52.72</v>
      </c>
      <c r="N105" s="1">
        <v>74.69</v>
      </c>
      <c r="O105" s="1">
        <v>70.650000000000006</v>
      </c>
      <c r="P105" s="1">
        <v>55.54</v>
      </c>
      <c r="Q105" s="1">
        <v>59.71</v>
      </c>
      <c r="R105" s="1">
        <v>55.26</v>
      </c>
      <c r="S105" s="1">
        <v>71.849999999999994</v>
      </c>
      <c r="T105" s="1">
        <v>55.26</v>
      </c>
      <c r="U105" s="1">
        <v>70.760000000000005</v>
      </c>
      <c r="V105" s="1">
        <v>91.56</v>
      </c>
      <c r="W105" s="1">
        <v>74.83</v>
      </c>
      <c r="X105" s="1">
        <v>85.15</v>
      </c>
      <c r="Y105" s="1">
        <v>58.86</v>
      </c>
      <c r="Z105" s="1">
        <v>51.94</v>
      </c>
      <c r="AA105" s="1"/>
      <c r="AB105" s="1"/>
    </row>
    <row r="106" spans="1:28">
      <c r="A106" s="26">
        <v>1997</v>
      </c>
      <c r="B106" s="1">
        <v>89.6</v>
      </c>
      <c r="C106" s="1">
        <v>47.77</v>
      </c>
      <c r="D106" s="1">
        <v>61.05</v>
      </c>
      <c r="E106" s="1">
        <v>80.58</v>
      </c>
      <c r="F106" s="1">
        <v>85.9</v>
      </c>
      <c r="G106" s="1">
        <v>33.69</v>
      </c>
      <c r="H106" s="1">
        <v>41.77</v>
      </c>
      <c r="I106" s="1">
        <v>35.270000000000003</v>
      </c>
      <c r="J106" s="1">
        <v>46.37</v>
      </c>
      <c r="K106" s="1">
        <v>57.66</v>
      </c>
      <c r="L106" s="1">
        <v>73.72</v>
      </c>
      <c r="M106" s="1">
        <v>54.2</v>
      </c>
      <c r="N106" s="1">
        <v>74.83</v>
      </c>
      <c r="O106" s="1">
        <v>70.45</v>
      </c>
      <c r="P106" s="1">
        <v>55.69</v>
      </c>
      <c r="Q106" s="1">
        <v>61.11</v>
      </c>
      <c r="R106" s="1">
        <v>56.12</v>
      </c>
      <c r="S106" s="1">
        <v>72.099999999999994</v>
      </c>
      <c r="T106" s="1">
        <v>56.05</v>
      </c>
      <c r="U106" s="1">
        <v>71.599999999999994</v>
      </c>
      <c r="V106" s="1">
        <v>91.65</v>
      </c>
      <c r="W106" s="1">
        <v>74.88</v>
      </c>
      <c r="X106" s="1">
        <v>85.5</v>
      </c>
      <c r="Y106" s="1">
        <v>59.5</v>
      </c>
      <c r="Z106" s="1">
        <v>51.98</v>
      </c>
      <c r="AA106" s="1"/>
      <c r="AB106" s="1"/>
    </row>
    <row r="107" spans="1:28">
      <c r="A107" s="26">
        <v>1998</v>
      </c>
      <c r="B107" s="1">
        <v>89.91</v>
      </c>
      <c r="C107" s="1">
        <v>47.81</v>
      </c>
      <c r="D107" s="1">
        <v>61.5</v>
      </c>
      <c r="E107" s="1">
        <v>80.8</v>
      </c>
      <c r="F107" s="1">
        <v>86.23</v>
      </c>
      <c r="G107" s="1">
        <v>34.32</v>
      </c>
      <c r="H107" s="1">
        <v>43.18</v>
      </c>
      <c r="I107" s="1">
        <v>35.58</v>
      </c>
      <c r="J107" s="1">
        <v>46.09</v>
      </c>
      <c r="K107" s="1">
        <v>57.85</v>
      </c>
      <c r="L107" s="1">
        <v>74.12</v>
      </c>
      <c r="M107" s="1">
        <v>55.76</v>
      </c>
      <c r="N107" s="1">
        <v>74.95</v>
      </c>
      <c r="O107" s="1">
        <v>70.239999999999995</v>
      </c>
      <c r="P107" s="1">
        <v>55.83</v>
      </c>
      <c r="Q107" s="1">
        <v>62.57</v>
      </c>
      <c r="R107" s="1">
        <v>56.97</v>
      </c>
      <c r="S107" s="1">
        <v>72.34</v>
      </c>
      <c r="T107" s="1">
        <v>56.84</v>
      </c>
      <c r="U107" s="1">
        <v>72.44</v>
      </c>
      <c r="V107" s="1">
        <v>91.74</v>
      </c>
      <c r="W107" s="1">
        <v>74.92</v>
      </c>
      <c r="X107" s="1">
        <v>85.86</v>
      </c>
      <c r="Y107" s="1">
        <v>60.13</v>
      </c>
      <c r="Z107" s="1">
        <v>52.02</v>
      </c>
      <c r="AA107" s="1"/>
      <c r="AB107" s="1"/>
    </row>
    <row r="108" spans="1:28">
      <c r="A108" s="26">
        <v>1999</v>
      </c>
      <c r="B108" s="1">
        <v>90.2</v>
      </c>
      <c r="C108" s="1">
        <v>47.86</v>
      </c>
      <c r="D108" s="1">
        <v>61.95</v>
      </c>
      <c r="E108" s="1">
        <v>81</v>
      </c>
      <c r="F108" s="1">
        <v>86.56</v>
      </c>
      <c r="G108" s="1">
        <v>34.96</v>
      </c>
      <c r="H108" s="1">
        <v>44.63</v>
      </c>
      <c r="I108" s="1">
        <v>35.89</v>
      </c>
      <c r="J108" s="1">
        <v>45.8</v>
      </c>
      <c r="K108" s="1">
        <v>58.02</v>
      </c>
      <c r="L108" s="1">
        <v>74.510000000000005</v>
      </c>
      <c r="M108" s="1">
        <v>57.37</v>
      </c>
      <c r="N108" s="1">
        <v>75.08</v>
      </c>
      <c r="O108" s="1">
        <v>70.02</v>
      </c>
      <c r="P108" s="1">
        <v>55.96</v>
      </c>
      <c r="Q108" s="1">
        <v>64.08</v>
      </c>
      <c r="R108" s="1">
        <v>57.84</v>
      </c>
      <c r="S108" s="1">
        <v>72.569999999999993</v>
      </c>
      <c r="T108" s="1">
        <v>57.62</v>
      </c>
      <c r="U108" s="1">
        <v>73.27</v>
      </c>
      <c r="V108" s="1">
        <v>91.82</v>
      </c>
      <c r="W108" s="1">
        <v>74.959999999999994</v>
      </c>
      <c r="X108" s="1">
        <v>86.23</v>
      </c>
      <c r="Y108" s="1">
        <v>60.76</v>
      </c>
      <c r="Z108" s="1">
        <v>52.06</v>
      </c>
      <c r="AA108" s="1"/>
      <c r="AB108" s="1"/>
    </row>
    <row r="109" spans="1:28">
      <c r="A109" s="26">
        <v>2000</v>
      </c>
      <c r="B109" s="1">
        <v>90.5</v>
      </c>
      <c r="C109" s="1">
        <v>47.9</v>
      </c>
      <c r="D109" s="1">
        <v>62.4</v>
      </c>
      <c r="E109" s="1">
        <v>81.2</v>
      </c>
      <c r="F109" s="1">
        <v>86.9</v>
      </c>
      <c r="G109" s="1">
        <v>35.6</v>
      </c>
      <c r="H109" s="1">
        <v>46.1</v>
      </c>
      <c r="I109" s="1">
        <v>36.200000000000003</v>
      </c>
      <c r="J109" s="1">
        <v>45.5</v>
      </c>
      <c r="K109" s="1">
        <v>58.2</v>
      </c>
      <c r="L109" s="1">
        <v>74.900000000000006</v>
      </c>
      <c r="M109" s="1">
        <v>59</v>
      </c>
      <c r="N109" s="1">
        <v>75.2</v>
      </c>
      <c r="O109" s="1">
        <v>69.8</v>
      </c>
      <c r="P109" s="1">
        <v>56.1</v>
      </c>
      <c r="Q109" s="1">
        <v>65.599999999999994</v>
      </c>
      <c r="R109" s="1">
        <v>58.7</v>
      </c>
      <c r="S109" s="1">
        <v>72.8</v>
      </c>
      <c r="T109" s="1">
        <v>58.4</v>
      </c>
      <c r="U109" s="1">
        <v>74.099999999999994</v>
      </c>
      <c r="V109" s="1">
        <v>91.9</v>
      </c>
      <c r="W109" s="1">
        <v>75</v>
      </c>
      <c r="X109" s="1">
        <v>86.6</v>
      </c>
      <c r="Y109" s="1">
        <v>61.4</v>
      </c>
      <c r="Z109" s="1">
        <v>52.1</v>
      </c>
      <c r="AA109" s="1"/>
      <c r="AB109" s="1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984E-BBCE-4048-8E05-FBE2D1A2FA1E}">
  <dimension ref="A1:AB107"/>
  <sheetViews>
    <sheetView topLeftCell="A106" zoomScaleNormal="100" workbookViewId="0">
      <selection activeCell="AC117" sqref="AC117"/>
    </sheetView>
  </sheetViews>
  <sheetFormatPr defaultRowHeight="14.25"/>
  <sheetData>
    <row r="1" spans="1:28" ht="15">
      <c r="A1" s="11" t="s">
        <v>39</v>
      </c>
    </row>
    <row r="3" spans="1:28" ht="15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84</v>
      </c>
      <c r="AB3" s="12" t="s">
        <v>110</v>
      </c>
    </row>
    <row r="4" spans="1:28">
      <c r="A4" s="26">
        <v>1897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>
        <v>31.4</v>
      </c>
      <c r="AB4" s="1">
        <v>31.6</v>
      </c>
    </row>
    <row r="5" spans="1:28">
      <c r="A5" s="26">
        <v>1898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>
        <v>31.51</v>
      </c>
      <c r="AB5" s="1">
        <v>31.62</v>
      </c>
    </row>
    <row r="6" spans="1:28">
      <c r="A6" s="26">
        <v>1899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>
        <v>31.62</v>
      </c>
      <c r="AB6" s="1">
        <v>31.64</v>
      </c>
    </row>
    <row r="7" spans="1:28">
      <c r="A7" s="26">
        <v>1900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>
        <v>31.73</v>
      </c>
      <c r="AB7" s="1">
        <v>31.66</v>
      </c>
    </row>
    <row r="8" spans="1:28">
      <c r="A8" s="26">
        <v>1901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31.85</v>
      </c>
      <c r="AB8" s="1">
        <v>31.68</v>
      </c>
    </row>
    <row r="9" spans="1:28">
      <c r="A9" s="26">
        <v>1902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31.96</v>
      </c>
      <c r="AB9" s="1">
        <v>31.7</v>
      </c>
    </row>
    <row r="10" spans="1:28">
      <c r="A10" s="26">
        <v>1903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>
        <v>32.08</v>
      </c>
      <c r="AB10" s="1">
        <v>31.72</v>
      </c>
    </row>
    <row r="11" spans="1:28">
      <c r="A11" s="26">
        <v>1904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>
        <v>32.19</v>
      </c>
      <c r="AB11" s="1">
        <v>31.74</v>
      </c>
    </row>
    <row r="12" spans="1:28">
      <c r="A12" s="26">
        <v>1905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v>32.31</v>
      </c>
      <c r="AB12" s="1">
        <v>31.76</v>
      </c>
    </row>
    <row r="13" spans="1:28">
      <c r="A13" s="26">
        <v>1906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>
        <v>32.44</v>
      </c>
      <c r="AB13" s="1">
        <v>31.78</v>
      </c>
    </row>
    <row r="14" spans="1:28">
      <c r="A14" s="26">
        <v>1907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>
        <v>32.56</v>
      </c>
      <c r="AB14" s="1">
        <v>31.8</v>
      </c>
    </row>
    <row r="15" spans="1:28">
      <c r="A15" s="26">
        <v>1908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>
        <v>32.69</v>
      </c>
      <c r="AB15" s="1">
        <v>31.83</v>
      </c>
    </row>
    <row r="16" spans="1:28">
      <c r="A16" s="26">
        <v>1909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32.83</v>
      </c>
      <c r="AB16" s="1">
        <v>31.86</v>
      </c>
    </row>
    <row r="17" spans="1:28">
      <c r="A17" s="26">
        <v>1910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>
        <v>32.96</v>
      </c>
      <c r="AB17" s="1">
        <v>31.88</v>
      </c>
    </row>
    <row r="18" spans="1:28">
      <c r="A18" s="26">
        <v>1911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>
        <v>33.11</v>
      </c>
      <c r="AB18" s="1">
        <v>31.91</v>
      </c>
    </row>
    <row r="19" spans="1:28">
      <c r="A19" s="26">
        <v>1912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>
        <v>33.25</v>
      </c>
      <c r="AB19" s="1">
        <v>31.94</v>
      </c>
    </row>
    <row r="20" spans="1:28">
      <c r="A20" s="26">
        <v>1913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>
        <v>33.4</v>
      </c>
      <c r="AB20" s="1">
        <v>31.97</v>
      </c>
    </row>
    <row r="21" spans="1:28">
      <c r="A21" s="26">
        <v>1914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v>33.56</v>
      </c>
      <c r="AB21" s="1">
        <v>32.01</v>
      </c>
    </row>
    <row r="22" spans="1:28">
      <c r="A22" s="26">
        <v>1915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v>33.729999999999997</v>
      </c>
      <c r="AB22" s="1">
        <v>32.04</v>
      </c>
    </row>
    <row r="23" spans="1:28">
      <c r="A23" s="26">
        <v>1916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33.89</v>
      </c>
      <c r="AB23" s="1">
        <v>32.08</v>
      </c>
    </row>
    <row r="24" spans="1:28">
      <c r="A24" s="26">
        <v>1917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34.07</v>
      </c>
      <c r="AB24" s="1">
        <v>32.119999999999997</v>
      </c>
    </row>
    <row r="25" spans="1:28">
      <c r="A25" s="26">
        <v>1918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34.25</v>
      </c>
      <c r="AB25" s="1">
        <v>32.17</v>
      </c>
    </row>
    <row r="26" spans="1:28">
      <c r="A26" s="26">
        <v>1919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>
        <v>34.44</v>
      </c>
      <c r="AB26" s="1">
        <v>32.21</v>
      </c>
    </row>
    <row r="27" spans="1:28">
      <c r="A27" s="26">
        <v>1920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v>34.64</v>
      </c>
      <c r="AB27" s="1">
        <v>32.26</v>
      </c>
    </row>
    <row r="28" spans="1:28">
      <c r="A28" s="26">
        <v>1921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>
        <v>34.840000000000003</v>
      </c>
      <c r="AB28" s="1">
        <v>32.31</v>
      </c>
    </row>
    <row r="29" spans="1:28">
      <c r="A29" s="26">
        <v>1922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>
        <v>35.06</v>
      </c>
      <c r="AB29" s="1">
        <v>32.36</v>
      </c>
    </row>
    <row r="30" spans="1:28">
      <c r="A30" s="26">
        <v>1923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>
        <v>35.28</v>
      </c>
      <c r="AB30" s="1">
        <v>32.42</v>
      </c>
    </row>
    <row r="31" spans="1:28">
      <c r="A31" s="26">
        <v>1924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>
        <v>35.51</v>
      </c>
      <c r="AB31" s="1">
        <v>32.47</v>
      </c>
    </row>
    <row r="32" spans="1:28">
      <c r="A32" s="26">
        <v>1925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>
        <v>35.75</v>
      </c>
      <c r="AB32" s="1">
        <v>32.54</v>
      </c>
    </row>
    <row r="33" spans="1:28">
      <c r="A33" s="26">
        <v>1926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>
        <v>36</v>
      </c>
      <c r="AB33" s="1">
        <v>32.6</v>
      </c>
    </row>
    <row r="34" spans="1:28">
      <c r="A34" s="26">
        <v>1927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36.28</v>
      </c>
      <c r="AB34" s="1">
        <v>32.71</v>
      </c>
    </row>
    <row r="35" spans="1:28">
      <c r="A35" s="26">
        <v>1928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v>36.590000000000003</v>
      </c>
      <c r="AB35" s="1">
        <v>32.909999999999997</v>
      </c>
    </row>
    <row r="36" spans="1:28">
      <c r="A36" s="26">
        <v>1929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>
        <v>36.950000000000003</v>
      </c>
      <c r="AB36" s="1">
        <v>33.200000000000003</v>
      </c>
    </row>
    <row r="37" spans="1:28">
      <c r="A37" s="26">
        <v>1930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>
        <v>37.200000000000003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>
        <v>37.35</v>
      </c>
      <c r="AB37" s="1">
        <v>33.57</v>
      </c>
    </row>
    <row r="38" spans="1:28">
      <c r="A38" s="26">
        <v>1931</v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>
        <v>37.46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>
        <v>37.78</v>
      </c>
      <c r="AB38" s="1">
        <v>34.020000000000003</v>
      </c>
    </row>
    <row r="39" spans="1:28">
      <c r="A39" s="26">
        <v>1932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>
        <v>37.729999999999997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>
        <v>38.24</v>
      </c>
      <c r="AB39" s="1">
        <v>34.54</v>
      </c>
    </row>
    <row r="40" spans="1:28">
      <c r="A40" s="26">
        <v>1933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>
        <v>37.99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>
        <v>38.74</v>
      </c>
      <c r="AB40" s="1">
        <v>35.119999999999997</v>
      </c>
    </row>
    <row r="41" spans="1:28">
      <c r="A41" s="26">
        <v>1934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>
        <v>38.270000000000003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>
        <v>39.270000000000003</v>
      </c>
      <c r="AB41" s="1">
        <v>35.770000000000003</v>
      </c>
    </row>
    <row r="42" spans="1:28">
      <c r="A42" s="26">
        <v>1935</v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>
        <v>38.54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>
        <v>39.83</v>
      </c>
      <c r="AB42" s="1">
        <v>36.479999999999997</v>
      </c>
    </row>
    <row r="43" spans="1:28">
      <c r="A43" s="26">
        <v>1936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>
        <v>38.82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>
        <v>40.409999999999997</v>
      </c>
      <c r="AB43" s="1">
        <v>37.25</v>
      </c>
    </row>
    <row r="44" spans="1:28">
      <c r="A44" s="26">
        <v>1937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>
        <v>39.11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>
        <v>41.03</v>
      </c>
      <c r="AB44" s="1">
        <v>38.07</v>
      </c>
    </row>
    <row r="45" spans="1:28">
      <c r="A45" s="26">
        <v>1938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>
        <v>39.409999999999997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>
        <v>41.66</v>
      </c>
      <c r="AB45" s="1">
        <v>38.93</v>
      </c>
    </row>
    <row r="46" spans="1:28">
      <c r="A46" s="26">
        <v>1939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>
        <v>39.72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>
        <v>42.32</v>
      </c>
      <c r="AB46" s="1">
        <v>39.840000000000003</v>
      </c>
    </row>
    <row r="47" spans="1:28">
      <c r="A47" s="26">
        <v>1940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>
        <v>40.04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>
        <v>42.99</v>
      </c>
      <c r="AB47" s="1">
        <v>40.79</v>
      </c>
    </row>
    <row r="48" spans="1:28">
      <c r="A48" s="26">
        <v>1941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>
        <v>40.369999999999997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>
        <v>43.68</v>
      </c>
      <c r="AB48" s="1">
        <v>41.77</v>
      </c>
    </row>
    <row r="49" spans="1:28">
      <c r="A49" s="26">
        <v>1942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>
        <v>40.71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>
        <v>44.39</v>
      </c>
      <c r="AB49" s="1">
        <v>42.78</v>
      </c>
    </row>
    <row r="50" spans="1:28">
      <c r="A50" s="26">
        <v>1943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>
        <v>41.07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>
        <v>45.12</v>
      </c>
      <c r="AB50" s="1">
        <v>43.81</v>
      </c>
    </row>
    <row r="51" spans="1:28">
      <c r="A51" s="26">
        <v>1944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>
        <v>41.44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>
        <v>45.86</v>
      </c>
      <c r="AB51" s="1">
        <v>44.87</v>
      </c>
    </row>
    <row r="52" spans="1:28">
      <c r="A52" s="26">
        <v>1945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>
        <v>41.84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>
        <v>46.6</v>
      </c>
      <c r="AB52" s="1">
        <v>45.94</v>
      </c>
    </row>
    <row r="53" spans="1:28">
      <c r="A53" s="26">
        <v>1946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>
        <v>42.25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>
        <v>47.36</v>
      </c>
      <c r="AB53" s="1">
        <v>47.03</v>
      </c>
    </row>
    <row r="54" spans="1:28">
      <c r="A54" s="26">
        <v>1947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>
        <v>42.68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>
        <v>48.13</v>
      </c>
      <c r="AB54" s="1">
        <v>48.13</v>
      </c>
    </row>
    <row r="55" spans="1:28">
      <c r="A55" s="26">
        <v>1948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>
        <v>43.13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>
        <v>48.9</v>
      </c>
      <c r="AB55" s="1">
        <v>49.23</v>
      </c>
    </row>
    <row r="56" spans="1:28">
      <c r="A56" s="26">
        <v>1949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>
        <v>43.6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>
        <v>49.67</v>
      </c>
      <c r="AB56" s="1">
        <v>50.33</v>
      </c>
    </row>
    <row r="57" spans="1:28">
      <c r="A57" s="26">
        <v>1950</v>
      </c>
      <c r="B57" s="1">
        <v>64.3</v>
      </c>
      <c r="C57" s="1">
        <v>56.5</v>
      </c>
      <c r="D57" s="1">
        <v>25.6</v>
      </c>
      <c r="E57" s="1">
        <v>30.1</v>
      </c>
      <c r="F57" s="1">
        <v>51.8</v>
      </c>
      <c r="G57" s="1">
        <v>9.6999999999999993</v>
      </c>
      <c r="H57" s="1">
        <v>26.8</v>
      </c>
      <c r="I57" s="1">
        <v>28.1</v>
      </c>
      <c r="J57" s="1">
        <v>17.2</v>
      </c>
      <c r="K57" s="1">
        <v>21.6</v>
      </c>
      <c r="L57" s="1">
        <v>33.700000000000003</v>
      </c>
      <c r="M57" s="1">
        <v>29.9</v>
      </c>
      <c r="N57" s="1">
        <v>51.4</v>
      </c>
      <c r="O57" s="1">
        <v>44.1</v>
      </c>
      <c r="P57" s="1">
        <v>28</v>
      </c>
      <c r="Q57" s="1">
        <v>35.5</v>
      </c>
      <c r="R57" s="1">
        <v>31.3</v>
      </c>
      <c r="S57" s="1">
        <v>26.9</v>
      </c>
      <c r="T57" s="1">
        <v>27.9</v>
      </c>
      <c r="U57" s="1">
        <v>47</v>
      </c>
      <c r="V57" s="1">
        <v>78.3</v>
      </c>
      <c r="W57" s="1">
        <v>52</v>
      </c>
      <c r="X57" s="1">
        <v>58.8</v>
      </c>
      <c r="Y57" s="1">
        <v>28.2</v>
      </c>
      <c r="Z57" s="1">
        <v>26.7</v>
      </c>
      <c r="AA57" s="1">
        <v>50.44</v>
      </c>
      <c r="AB57" s="1">
        <v>51.43</v>
      </c>
    </row>
    <row r="58" spans="1:28">
      <c r="A58" s="26">
        <v>1951</v>
      </c>
      <c r="B58" s="1">
        <v>65.599999999999994</v>
      </c>
      <c r="C58" s="1">
        <v>56.23</v>
      </c>
      <c r="D58" s="1">
        <v>27.33</v>
      </c>
      <c r="E58" s="1">
        <v>30.81</v>
      </c>
      <c r="F58" s="1">
        <v>53.21</v>
      </c>
      <c r="G58" s="1">
        <v>10.39</v>
      </c>
      <c r="H58" s="1">
        <v>27.35</v>
      </c>
      <c r="I58" s="1">
        <v>28.2</v>
      </c>
      <c r="J58" s="1">
        <v>17.59</v>
      </c>
      <c r="K58" s="1">
        <v>22.3</v>
      </c>
      <c r="L58" s="1">
        <v>35.69</v>
      </c>
      <c r="M58" s="1">
        <v>30.07</v>
      </c>
      <c r="N58" s="1">
        <v>51.75</v>
      </c>
      <c r="O58" s="1">
        <v>44.71</v>
      </c>
      <c r="P58" s="1">
        <v>28.7</v>
      </c>
      <c r="Q58" s="1">
        <v>36.11</v>
      </c>
      <c r="R58" s="1">
        <v>31.77</v>
      </c>
      <c r="S58" s="1">
        <v>28.32</v>
      </c>
      <c r="T58" s="1">
        <v>28.32</v>
      </c>
      <c r="U58" s="1">
        <v>47.03</v>
      </c>
      <c r="V58" s="1">
        <v>78.3</v>
      </c>
      <c r="W58" s="1">
        <v>53.46</v>
      </c>
      <c r="X58" s="1">
        <v>59.36</v>
      </c>
      <c r="Y58" s="1">
        <v>29.03</v>
      </c>
      <c r="Z58" s="1">
        <v>27.4</v>
      </c>
      <c r="AA58" s="1">
        <v>51.22</v>
      </c>
      <c r="AB58" s="1">
        <v>52.51</v>
      </c>
    </row>
    <row r="59" spans="1:28">
      <c r="A59" s="26">
        <v>1952</v>
      </c>
      <c r="B59" s="1">
        <v>66.89</v>
      </c>
      <c r="C59" s="1">
        <v>55.96</v>
      </c>
      <c r="D59" s="1">
        <v>29.04</v>
      </c>
      <c r="E59" s="1">
        <v>31.52</v>
      </c>
      <c r="F59" s="1">
        <v>54.61</v>
      </c>
      <c r="G59" s="1">
        <v>11.06</v>
      </c>
      <c r="H59" s="1">
        <v>27.9</v>
      </c>
      <c r="I59" s="1">
        <v>28.3</v>
      </c>
      <c r="J59" s="1">
        <v>17.989999999999998</v>
      </c>
      <c r="K59" s="1">
        <v>23</v>
      </c>
      <c r="L59" s="1">
        <v>37.67</v>
      </c>
      <c r="M59" s="1">
        <v>30.25</v>
      </c>
      <c r="N59" s="1">
        <v>52.1</v>
      </c>
      <c r="O59" s="1">
        <v>45.48</v>
      </c>
      <c r="P59" s="1">
        <v>29.4</v>
      </c>
      <c r="Q59" s="1">
        <v>36.71</v>
      </c>
      <c r="R59" s="1">
        <v>32.229999999999997</v>
      </c>
      <c r="S59" s="1">
        <v>29.74</v>
      </c>
      <c r="T59" s="1">
        <v>28.74</v>
      </c>
      <c r="U59" s="1">
        <v>47.06</v>
      </c>
      <c r="V59" s="1">
        <v>78.3</v>
      </c>
      <c r="W59" s="1">
        <v>54.89</v>
      </c>
      <c r="X59" s="1">
        <v>59.93</v>
      </c>
      <c r="Y59" s="1">
        <v>29.85</v>
      </c>
      <c r="Z59" s="1">
        <v>28.09</v>
      </c>
      <c r="AA59" s="1">
        <v>51.99</v>
      </c>
      <c r="AB59" s="1">
        <v>53.59</v>
      </c>
    </row>
    <row r="60" spans="1:28">
      <c r="A60" s="26">
        <v>1953</v>
      </c>
      <c r="B60" s="1">
        <v>68.150000000000006</v>
      </c>
      <c r="C60" s="1">
        <v>55.68</v>
      </c>
      <c r="D60" s="1">
        <v>30.7</v>
      </c>
      <c r="E60" s="1">
        <v>32.24</v>
      </c>
      <c r="F60" s="1">
        <v>56</v>
      </c>
      <c r="G60" s="1">
        <v>11.73</v>
      </c>
      <c r="H60" s="1">
        <v>28.44</v>
      </c>
      <c r="I60" s="1">
        <v>28.41</v>
      </c>
      <c r="J60" s="1">
        <v>18.399999999999999</v>
      </c>
      <c r="K60" s="1">
        <v>23.71</v>
      </c>
      <c r="L60" s="1">
        <v>39.6</v>
      </c>
      <c r="M60" s="1">
        <v>30.43</v>
      </c>
      <c r="N60" s="1">
        <v>52.46</v>
      </c>
      <c r="O60" s="1">
        <v>46.39</v>
      </c>
      <c r="P60" s="1">
        <v>30.11</v>
      </c>
      <c r="Q60" s="1">
        <v>37.31</v>
      </c>
      <c r="R60" s="1">
        <v>32.68</v>
      </c>
      <c r="S60" s="1">
        <v>31.15</v>
      </c>
      <c r="T60" s="1">
        <v>29.16</v>
      </c>
      <c r="U60" s="1">
        <v>47.09</v>
      </c>
      <c r="V60" s="1">
        <v>78.3</v>
      </c>
      <c r="W60" s="1">
        <v>56.3</v>
      </c>
      <c r="X60" s="1">
        <v>60.5</v>
      </c>
      <c r="Y60" s="1">
        <v>30.67</v>
      </c>
      <c r="Z60" s="1">
        <v>28.79</v>
      </c>
      <c r="AA60" s="1">
        <v>52.76</v>
      </c>
      <c r="AB60" s="1">
        <v>54.65</v>
      </c>
    </row>
    <row r="61" spans="1:28">
      <c r="A61" s="26">
        <v>1954</v>
      </c>
      <c r="B61" s="1">
        <v>69.36</v>
      </c>
      <c r="C61" s="1">
        <v>55.41</v>
      </c>
      <c r="D61" s="1">
        <v>32.299999999999997</v>
      </c>
      <c r="E61" s="1">
        <v>32.979999999999997</v>
      </c>
      <c r="F61" s="1">
        <v>57.37</v>
      </c>
      <c r="G61" s="1">
        <v>12.38</v>
      </c>
      <c r="H61" s="1">
        <v>28.97</v>
      </c>
      <c r="I61" s="1">
        <v>28.5</v>
      </c>
      <c r="J61" s="1">
        <v>18.829999999999998</v>
      </c>
      <c r="K61" s="1">
        <v>24.43</v>
      </c>
      <c r="L61" s="1">
        <v>41.47</v>
      </c>
      <c r="M61" s="1">
        <v>30.62</v>
      </c>
      <c r="N61" s="1">
        <v>52.81</v>
      </c>
      <c r="O61" s="1">
        <v>47.41</v>
      </c>
      <c r="P61" s="1">
        <v>30.83</v>
      </c>
      <c r="Q61" s="1">
        <v>37.92</v>
      </c>
      <c r="R61" s="1">
        <v>33.11</v>
      </c>
      <c r="S61" s="1">
        <v>32.549999999999997</v>
      </c>
      <c r="T61" s="1">
        <v>29.57</v>
      </c>
      <c r="U61" s="1">
        <v>47.11</v>
      </c>
      <c r="V61" s="1">
        <v>78.3</v>
      </c>
      <c r="W61" s="1">
        <v>57.65</v>
      </c>
      <c r="X61" s="1">
        <v>61.07</v>
      </c>
      <c r="Y61" s="1">
        <v>31.48</v>
      </c>
      <c r="Z61" s="1">
        <v>29.49</v>
      </c>
      <c r="AA61" s="1">
        <v>53.53</v>
      </c>
      <c r="AB61" s="1">
        <v>55.68</v>
      </c>
    </row>
    <row r="62" spans="1:28">
      <c r="A62" s="26">
        <v>1955</v>
      </c>
      <c r="B62" s="1">
        <v>70.53</v>
      </c>
      <c r="C62" s="1">
        <v>55.14</v>
      </c>
      <c r="D62" s="1">
        <v>33.81</v>
      </c>
      <c r="E62" s="1">
        <v>33.74</v>
      </c>
      <c r="F62" s="1">
        <v>58.72</v>
      </c>
      <c r="G62" s="1">
        <v>13.01</v>
      </c>
      <c r="H62" s="1">
        <v>29.47</v>
      </c>
      <c r="I62" s="1">
        <v>28.6</v>
      </c>
      <c r="J62" s="1">
        <v>19.27</v>
      </c>
      <c r="K62" s="1">
        <v>25.16</v>
      </c>
      <c r="L62" s="1">
        <v>43.27</v>
      </c>
      <c r="M62" s="1">
        <v>30.83</v>
      </c>
      <c r="N62" s="1">
        <v>53.16</v>
      </c>
      <c r="O62" s="1">
        <v>48.5</v>
      </c>
      <c r="P62" s="1">
        <v>31.57</v>
      </c>
      <c r="Q62" s="1">
        <v>38.520000000000003</v>
      </c>
      <c r="R62" s="1">
        <v>33.53</v>
      </c>
      <c r="S62" s="1">
        <v>33.94</v>
      </c>
      <c r="T62" s="1">
        <v>29.97</v>
      </c>
      <c r="U62" s="1">
        <v>47.14</v>
      </c>
      <c r="V62" s="1">
        <v>78.3</v>
      </c>
      <c r="W62" s="1">
        <v>58.92</v>
      </c>
      <c r="X62" s="1">
        <v>61.65</v>
      </c>
      <c r="Y62" s="1">
        <v>32.28</v>
      </c>
      <c r="Z62" s="1">
        <v>30.2</v>
      </c>
      <c r="AA62" s="1">
        <v>54.28</v>
      </c>
      <c r="AB62" s="1">
        <v>56.69</v>
      </c>
    </row>
    <row r="63" spans="1:28">
      <c r="A63" s="26">
        <v>1956</v>
      </c>
      <c r="B63" s="1">
        <v>71.62</v>
      </c>
      <c r="C63" s="1">
        <v>54.87</v>
      </c>
      <c r="D63" s="1">
        <v>35.22</v>
      </c>
      <c r="E63" s="1">
        <v>34.53</v>
      </c>
      <c r="F63" s="1">
        <v>60.04</v>
      </c>
      <c r="G63" s="1">
        <v>13.61</v>
      </c>
      <c r="H63" s="1">
        <v>29.95</v>
      </c>
      <c r="I63" s="1">
        <v>28.69</v>
      </c>
      <c r="J63" s="1">
        <v>19.739999999999998</v>
      </c>
      <c r="K63" s="1">
        <v>25.9</v>
      </c>
      <c r="L63" s="1">
        <v>44.96</v>
      </c>
      <c r="M63" s="1">
        <v>31.05</v>
      </c>
      <c r="N63" s="1">
        <v>53.51</v>
      </c>
      <c r="O63" s="1">
        <v>49.62</v>
      </c>
      <c r="P63" s="1">
        <v>32.32</v>
      </c>
      <c r="Q63" s="1">
        <v>39.119999999999997</v>
      </c>
      <c r="R63" s="1">
        <v>33.92</v>
      </c>
      <c r="S63" s="1">
        <v>35.32</v>
      </c>
      <c r="T63" s="1">
        <v>30.36</v>
      </c>
      <c r="U63" s="1">
        <v>47.16</v>
      </c>
      <c r="V63" s="1">
        <v>78.3</v>
      </c>
      <c r="W63" s="1">
        <v>60.11</v>
      </c>
      <c r="X63" s="1">
        <v>62.24</v>
      </c>
      <c r="Y63" s="1">
        <v>33.06</v>
      </c>
      <c r="Z63" s="1">
        <v>30.9</v>
      </c>
      <c r="AA63" s="1">
        <v>55.03</v>
      </c>
      <c r="AB63" s="1">
        <v>57.68</v>
      </c>
    </row>
    <row r="64" spans="1:28">
      <c r="A64" s="26">
        <v>1957</v>
      </c>
      <c r="B64" s="1">
        <v>72.62</v>
      </c>
      <c r="C64" s="1">
        <v>54.6</v>
      </c>
      <c r="D64" s="1">
        <v>36.49</v>
      </c>
      <c r="E64" s="1">
        <v>35.36</v>
      </c>
      <c r="F64" s="1">
        <v>61.32</v>
      </c>
      <c r="G64" s="1">
        <v>14.17</v>
      </c>
      <c r="H64" s="1">
        <v>30.39</v>
      </c>
      <c r="I64" s="1">
        <v>28.78</v>
      </c>
      <c r="J64" s="1">
        <v>20.25</v>
      </c>
      <c r="K64" s="1">
        <v>26.67</v>
      </c>
      <c r="L64" s="1">
        <v>46.53</v>
      </c>
      <c r="M64" s="1">
        <v>31.3</v>
      </c>
      <c r="N64" s="1">
        <v>53.86</v>
      </c>
      <c r="O64" s="1">
        <v>50.75</v>
      </c>
      <c r="P64" s="1">
        <v>33.1</v>
      </c>
      <c r="Q64" s="1">
        <v>39.72</v>
      </c>
      <c r="R64" s="1">
        <v>34.270000000000003</v>
      </c>
      <c r="S64" s="1">
        <v>36.67</v>
      </c>
      <c r="T64" s="1">
        <v>30.74</v>
      </c>
      <c r="U64" s="1">
        <v>47.18</v>
      </c>
      <c r="V64" s="1">
        <v>78.3</v>
      </c>
      <c r="W64" s="1">
        <v>61.19</v>
      </c>
      <c r="X64" s="1">
        <v>62.83</v>
      </c>
      <c r="Y64" s="1">
        <v>33.83</v>
      </c>
      <c r="Z64" s="1">
        <v>31.62</v>
      </c>
      <c r="AA64" s="1">
        <v>55.77</v>
      </c>
      <c r="AB64" s="1">
        <v>58.62</v>
      </c>
    </row>
    <row r="65" spans="1:28">
      <c r="A65" s="26">
        <v>1958</v>
      </c>
      <c r="B65" s="1">
        <v>73.53</v>
      </c>
      <c r="C65" s="1">
        <v>54.33</v>
      </c>
      <c r="D65" s="1">
        <v>37.61</v>
      </c>
      <c r="E65" s="1">
        <v>36.229999999999997</v>
      </c>
      <c r="F65" s="1">
        <v>62.56</v>
      </c>
      <c r="G65" s="1">
        <v>14.7</v>
      </c>
      <c r="H65" s="1">
        <v>30.81</v>
      </c>
      <c r="I65" s="1">
        <v>28.86</v>
      </c>
      <c r="J65" s="1">
        <v>20.79</v>
      </c>
      <c r="K65" s="1">
        <v>27.45</v>
      </c>
      <c r="L65" s="1">
        <v>47.95</v>
      </c>
      <c r="M65" s="1">
        <v>31.57</v>
      </c>
      <c r="N65" s="1">
        <v>54.21</v>
      </c>
      <c r="O65" s="1">
        <v>51.84</v>
      </c>
      <c r="P65" s="1">
        <v>33.9</v>
      </c>
      <c r="Q65" s="1">
        <v>40.31</v>
      </c>
      <c r="R65" s="1">
        <v>34.590000000000003</v>
      </c>
      <c r="S65" s="1">
        <v>38.01</v>
      </c>
      <c r="T65" s="1">
        <v>31.11</v>
      </c>
      <c r="U65" s="1">
        <v>47.19</v>
      </c>
      <c r="V65" s="1">
        <v>78.3</v>
      </c>
      <c r="W65" s="1">
        <v>62.14</v>
      </c>
      <c r="X65" s="1">
        <v>63.44</v>
      </c>
      <c r="Y65" s="1">
        <v>34.58</v>
      </c>
      <c r="Z65" s="1">
        <v>32.340000000000003</v>
      </c>
      <c r="AA65" s="1">
        <v>56.49</v>
      </c>
      <c r="AB65" s="1">
        <v>59.53</v>
      </c>
    </row>
    <row r="66" spans="1:28">
      <c r="A66" s="26">
        <v>1959</v>
      </c>
      <c r="B66" s="1">
        <v>74.33</v>
      </c>
      <c r="C66" s="1">
        <v>54.07</v>
      </c>
      <c r="D66" s="1">
        <v>38.549999999999997</v>
      </c>
      <c r="E66" s="1">
        <v>37.14</v>
      </c>
      <c r="F66" s="1">
        <v>63.76</v>
      </c>
      <c r="G66" s="1">
        <v>15.17</v>
      </c>
      <c r="H66" s="1">
        <v>31.18</v>
      </c>
      <c r="I66" s="1">
        <v>28.93</v>
      </c>
      <c r="J66" s="1">
        <v>21.37</v>
      </c>
      <c r="K66" s="1">
        <v>28.26</v>
      </c>
      <c r="L66" s="1">
        <v>49.22</v>
      </c>
      <c r="M66" s="1">
        <v>31.87</v>
      </c>
      <c r="N66" s="1">
        <v>54.55</v>
      </c>
      <c r="O66" s="1">
        <v>52.87</v>
      </c>
      <c r="P66" s="1">
        <v>34.729999999999997</v>
      </c>
      <c r="Q66" s="1">
        <v>40.909999999999997</v>
      </c>
      <c r="R66" s="1">
        <v>34.869999999999997</v>
      </c>
      <c r="S66" s="1">
        <v>39.32</v>
      </c>
      <c r="T66" s="1">
        <v>31.46</v>
      </c>
      <c r="U66" s="1">
        <v>47.2</v>
      </c>
      <c r="V66" s="1">
        <v>78.3</v>
      </c>
      <c r="W66" s="1">
        <v>62.95</v>
      </c>
      <c r="X66" s="1">
        <v>64.06</v>
      </c>
      <c r="Y66" s="1">
        <v>35.299999999999997</v>
      </c>
      <c r="Z66" s="1">
        <v>33.07</v>
      </c>
      <c r="AA66" s="1">
        <v>57.2</v>
      </c>
      <c r="AB66" s="1">
        <v>60.4</v>
      </c>
    </row>
    <row r="67" spans="1:28">
      <c r="A67" s="26">
        <v>1960</v>
      </c>
      <c r="B67" s="1">
        <v>75</v>
      </c>
      <c r="C67" s="1">
        <v>53.8</v>
      </c>
      <c r="D67" s="1">
        <v>39.299999999999997</v>
      </c>
      <c r="E67" s="1">
        <v>38.1</v>
      </c>
      <c r="F67" s="1">
        <v>64.900000000000006</v>
      </c>
      <c r="G67" s="1">
        <v>15.6</v>
      </c>
      <c r="H67" s="1">
        <v>31.5</v>
      </c>
      <c r="I67" s="1">
        <v>29</v>
      </c>
      <c r="J67" s="1">
        <v>22</v>
      </c>
      <c r="K67" s="1">
        <v>29.1</v>
      </c>
      <c r="L67" s="1">
        <v>50.3</v>
      </c>
      <c r="M67" s="1">
        <v>32.200000000000003</v>
      </c>
      <c r="N67" s="1">
        <v>54.9</v>
      </c>
      <c r="O67" s="1">
        <v>53.8</v>
      </c>
      <c r="P67" s="1">
        <v>35.6</v>
      </c>
      <c r="Q67" s="1">
        <v>41.5</v>
      </c>
      <c r="R67" s="1">
        <v>35.1</v>
      </c>
      <c r="S67" s="1">
        <v>40.6</v>
      </c>
      <c r="T67" s="1">
        <v>31.8</v>
      </c>
      <c r="U67" s="1">
        <v>47.2</v>
      </c>
      <c r="V67" s="1">
        <v>78.3</v>
      </c>
      <c r="W67" s="1">
        <v>63.6</v>
      </c>
      <c r="X67" s="1">
        <v>64.7</v>
      </c>
      <c r="Y67" s="1">
        <v>36</v>
      </c>
      <c r="Z67" s="1">
        <v>33.799999999999997</v>
      </c>
      <c r="AA67" s="1">
        <v>57.95</v>
      </c>
      <c r="AB67" s="1">
        <v>61.31</v>
      </c>
    </row>
    <row r="68" spans="1:28">
      <c r="A68" s="26">
        <v>1961</v>
      </c>
      <c r="B68" s="1">
        <v>75.569999999999993</v>
      </c>
      <c r="C68" s="1">
        <v>53.53</v>
      </c>
      <c r="D68" s="1">
        <v>39.89</v>
      </c>
      <c r="E68" s="1">
        <v>39.15</v>
      </c>
      <c r="F68" s="1">
        <v>66</v>
      </c>
      <c r="G68" s="1">
        <v>15.97</v>
      </c>
      <c r="H68" s="1">
        <v>31.78</v>
      </c>
      <c r="I68" s="1">
        <v>29.06</v>
      </c>
      <c r="J68" s="1">
        <v>22.74</v>
      </c>
      <c r="K68" s="1">
        <v>29.97</v>
      </c>
      <c r="L68" s="1">
        <v>51.22</v>
      </c>
      <c r="M68" s="1">
        <v>32.64</v>
      </c>
      <c r="N68" s="1">
        <v>55.23</v>
      </c>
      <c r="O68" s="1">
        <v>54.66</v>
      </c>
      <c r="P68" s="1">
        <v>36.56</v>
      </c>
      <c r="Q68" s="1">
        <v>42.11</v>
      </c>
      <c r="R68" s="1">
        <v>35.28</v>
      </c>
      <c r="S68" s="1">
        <v>41.88</v>
      </c>
      <c r="T68" s="1">
        <v>32.11</v>
      </c>
      <c r="U68" s="1">
        <v>47.17</v>
      </c>
      <c r="V68" s="1">
        <v>78.37</v>
      </c>
      <c r="W68" s="1">
        <v>64.13</v>
      </c>
      <c r="X68" s="1">
        <v>65.36</v>
      </c>
      <c r="Y68" s="1">
        <v>36.659999999999997</v>
      </c>
      <c r="Z68" s="1">
        <v>34.56</v>
      </c>
      <c r="AA68" s="1">
        <v>58.79</v>
      </c>
      <c r="AB68" s="1">
        <v>62.34</v>
      </c>
    </row>
    <row r="69" spans="1:28">
      <c r="A69" s="26">
        <v>1962</v>
      </c>
      <c r="B69" s="1">
        <v>76.069999999999993</v>
      </c>
      <c r="C69" s="1">
        <v>53.26</v>
      </c>
      <c r="D69" s="1">
        <v>40.39</v>
      </c>
      <c r="E69" s="1">
        <v>40.29</v>
      </c>
      <c r="F69" s="1">
        <v>67.069999999999993</v>
      </c>
      <c r="G69" s="1">
        <v>16.309999999999999</v>
      </c>
      <c r="H69" s="1">
        <v>32.04</v>
      </c>
      <c r="I69" s="1">
        <v>29.11</v>
      </c>
      <c r="J69" s="1">
        <v>23.63</v>
      </c>
      <c r="K69" s="1">
        <v>30.87</v>
      </c>
      <c r="L69" s="1">
        <v>52.04</v>
      </c>
      <c r="M69" s="1">
        <v>33.229999999999997</v>
      </c>
      <c r="N69" s="1">
        <v>55.54</v>
      </c>
      <c r="O69" s="1">
        <v>55.5</v>
      </c>
      <c r="P69" s="1">
        <v>37.65</v>
      </c>
      <c r="Q69" s="1">
        <v>42.74</v>
      </c>
      <c r="R69" s="1">
        <v>35.43</v>
      </c>
      <c r="S69" s="1">
        <v>43.17</v>
      </c>
      <c r="T69" s="1">
        <v>32.380000000000003</v>
      </c>
      <c r="U69" s="1">
        <v>47.08</v>
      </c>
      <c r="V69" s="1">
        <v>78.55</v>
      </c>
      <c r="W69" s="1">
        <v>64.59</v>
      </c>
      <c r="X69" s="1">
        <v>66.040000000000006</v>
      </c>
      <c r="Y69" s="1">
        <v>37.28</v>
      </c>
      <c r="Z69" s="1">
        <v>35.35</v>
      </c>
      <c r="AA69" s="1">
        <v>59.68</v>
      </c>
      <c r="AB69" s="1">
        <v>63.44</v>
      </c>
    </row>
    <row r="70" spans="1:28">
      <c r="A70" s="26">
        <v>1963</v>
      </c>
      <c r="B70" s="1">
        <v>76.53</v>
      </c>
      <c r="C70" s="1">
        <v>52.99</v>
      </c>
      <c r="D70" s="1">
        <v>40.82</v>
      </c>
      <c r="E70" s="1">
        <v>41.52</v>
      </c>
      <c r="F70" s="1">
        <v>68.11</v>
      </c>
      <c r="G70" s="1">
        <v>16.61</v>
      </c>
      <c r="H70" s="1">
        <v>32.28</v>
      </c>
      <c r="I70" s="1">
        <v>29.16</v>
      </c>
      <c r="J70" s="1">
        <v>24.64</v>
      </c>
      <c r="K70" s="1">
        <v>31.8</v>
      </c>
      <c r="L70" s="1">
        <v>52.78</v>
      </c>
      <c r="M70" s="1">
        <v>33.94</v>
      </c>
      <c r="N70" s="1">
        <v>55.84</v>
      </c>
      <c r="O70" s="1">
        <v>56.32</v>
      </c>
      <c r="P70" s="1">
        <v>38.82</v>
      </c>
      <c r="Q70" s="1">
        <v>43.39</v>
      </c>
      <c r="R70" s="1">
        <v>35.56</v>
      </c>
      <c r="S70" s="1">
        <v>44.47</v>
      </c>
      <c r="T70" s="1">
        <v>32.630000000000003</v>
      </c>
      <c r="U70" s="1">
        <v>46.94</v>
      </c>
      <c r="V70" s="1">
        <v>78.819999999999993</v>
      </c>
      <c r="W70" s="1">
        <v>65</v>
      </c>
      <c r="X70" s="1">
        <v>66.739999999999995</v>
      </c>
      <c r="Y70" s="1">
        <v>37.869999999999997</v>
      </c>
      <c r="Z70" s="1">
        <v>36.15</v>
      </c>
      <c r="AA70" s="1">
        <v>60.61</v>
      </c>
      <c r="AB70" s="1">
        <v>64.56</v>
      </c>
    </row>
    <row r="71" spans="1:28">
      <c r="A71" s="26">
        <v>1964</v>
      </c>
      <c r="B71" s="1">
        <v>76.94</v>
      </c>
      <c r="C71" s="1">
        <v>52.71</v>
      </c>
      <c r="D71" s="1">
        <v>41.2</v>
      </c>
      <c r="E71" s="1">
        <v>42.82</v>
      </c>
      <c r="F71" s="1">
        <v>69.12</v>
      </c>
      <c r="G71" s="1">
        <v>16.88</v>
      </c>
      <c r="H71" s="1">
        <v>32.49</v>
      </c>
      <c r="I71" s="1">
        <v>29.2</v>
      </c>
      <c r="J71" s="1">
        <v>25.74</v>
      </c>
      <c r="K71" s="1">
        <v>32.76</v>
      </c>
      <c r="L71" s="1">
        <v>53.45</v>
      </c>
      <c r="M71" s="1">
        <v>34.74</v>
      </c>
      <c r="N71" s="1">
        <v>56.14</v>
      </c>
      <c r="O71" s="1">
        <v>57.12</v>
      </c>
      <c r="P71" s="1">
        <v>40.04</v>
      </c>
      <c r="Q71" s="1">
        <v>44.04</v>
      </c>
      <c r="R71" s="1">
        <v>35.67</v>
      </c>
      <c r="S71" s="1">
        <v>45.75</v>
      </c>
      <c r="T71" s="1">
        <v>32.869999999999997</v>
      </c>
      <c r="U71" s="1">
        <v>46.78</v>
      </c>
      <c r="V71" s="1">
        <v>79.17</v>
      </c>
      <c r="W71" s="1">
        <v>65.38</v>
      </c>
      <c r="X71" s="1">
        <v>67.459999999999994</v>
      </c>
      <c r="Y71" s="1">
        <v>38.43</v>
      </c>
      <c r="Z71" s="1">
        <v>36.97</v>
      </c>
      <c r="AA71" s="1">
        <v>61.54</v>
      </c>
      <c r="AB71" s="1">
        <v>65.67</v>
      </c>
    </row>
    <row r="72" spans="1:28">
      <c r="A72" s="26">
        <v>1965</v>
      </c>
      <c r="B72" s="1">
        <v>77.319999999999993</v>
      </c>
      <c r="C72" s="1">
        <v>52.44</v>
      </c>
      <c r="D72" s="1">
        <v>41.55</v>
      </c>
      <c r="E72" s="1">
        <v>44.16</v>
      </c>
      <c r="F72" s="1">
        <v>70.099999999999994</v>
      </c>
      <c r="G72" s="1">
        <v>17.149999999999999</v>
      </c>
      <c r="H72" s="1">
        <v>32.700000000000003</v>
      </c>
      <c r="I72" s="1">
        <v>29.24</v>
      </c>
      <c r="J72" s="1">
        <v>26.89</v>
      </c>
      <c r="K72" s="1">
        <v>33.74</v>
      </c>
      <c r="L72" s="1">
        <v>54.07</v>
      </c>
      <c r="M72" s="1">
        <v>35.590000000000003</v>
      </c>
      <c r="N72" s="1">
        <v>56.44</v>
      </c>
      <c r="O72" s="1">
        <v>57.9</v>
      </c>
      <c r="P72" s="1">
        <v>41.27</v>
      </c>
      <c r="Q72" s="1">
        <v>44.68</v>
      </c>
      <c r="R72" s="1">
        <v>35.770000000000003</v>
      </c>
      <c r="S72" s="1">
        <v>47.01</v>
      </c>
      <c r="T72" s="1">
        <v>33.11</v>
      </c>
      <c r="U72" s="1">
        <v>46.6</v>
      </c>
      <c r="V72" s="1">
        <v>79.569999999999993</v>
      </c>
      <c r="W72" s="1">
        <v>65.72</v>
      </c>
      <c r="X72" s="1">
        <v>68.19</v>
      </c>
      <c r="Y72" s="1">
        <v>39</v>
      </c>
      <c r="Z72" s="1">
        <v>37.79</v>
      </c>
      <c r="AA72" s="1">
        <v>62.45</v>
      </c>
      <c r="AB72" s="1">
        <v>66.73</v>
      </c>
    </row>
    <row r="73" spans="1:28">
      <c r="A73" s="26">
        <v>1966</v>
      </c>
      <c r="B73" s="1">
        <v>77.69</v>
      </c>
      <c r="C73" s="1">
        <v>52.18</v>
      </c>
      <c r="D73" s="1">
        <v>41.88</v>
      </c>
      <c r="E73" s="1">
        <v>45.55</v>
      </c>
      <c r="F73" s="1">
        <v>71.06</v>
      </c>
      <c r="G73" s="1">
        <v>17.41</v>
      </c>
      <c r="H73" s="1">
        <v>32.9</v>
      </c>
      <c r="I73" s="1">
        <v>29.29</v>
      </c>
      <c r="J73" s="1">
        <v>28.06</v>
      </c>
      <c r="K73" s="1">
        <v>34.75</v>
      </c>
      <c r="L73" s="1">
        <v>54.68</v>
      </c>
      <c r="M73" s="1">
        <v>36.46</v>
      </c>
      <c r="N73" s="1">
        <v>56.75</v>
      </c>
      <c r="O73" s="1">
        <v>58.68</v>
      </c>
      <c r="P73" s="1">
        <v>42.47</v>
      </c>
      <c r="Q73" s="1">
        <v>45.29</v>
      </c>
      <c r="R73" s="1">
        <v>35.869999999999997</v>
      </c>
      <c r="S73" s="1">
        <v>48.22</v>
      </c>
      <c r="T73" s="1">
        <v>33.35</v>
      </c>
      <c r="U73" s="1">
        <v>46.42</v>
      </c>
      <c r="V73" s="1">
        <v>80</v>
      </c>
      <c r="W73" s="1">
        <v>66.03</v>
      </c>
      <c r="X73" s="1">
        <v>68.92</v>
      </c>
      <c r="Y73" s="1">
        <v>39.56</v>
      </c>
      <c r="Z73" s="1">
        <v>38.590000000000003</v>
      </c>
      <c r="AA73" s="1">
        <v>63.3</v>
      </c>
      <c r="AB73" s="1">
        <v>67.69</v>
      </c>
    </row>
    <row r="74" spans="1:28">
      <c r="A74" s="26">
        <v>1967</v>
      </c>
      <c r="B74" s="1">
        <v>78.05</v>
      </c>
      <c r="C74" s="1">
        <v>51.92</v>
      </c>
      <c r="D74" s="1">
        <v>42.23</v>
      </c>
      <c r="E74" s="1">
        <v>46.95</v>
      </c>
      <c r="F74" s="1">
        <v>71.98</v>
      </c>
      <c r="G74" s="1">
        <v>17.670000000000002</v>
      </c>
      <c r="H74" s="1">
        <v>33.090000000000003</v>
      </c>
      <c r="I74" s="1">
        <v>29.33</v>
      </c>
      <c r="J74" s="1">
        <v>29.22</v>
      </c>
      <c r="K74" s="1">
        <v>35.78</v>
      </c>
      <c r="L74" s="1">
        <v>55.28</v>
      </c>
      <c r="M74" s="1">
        <v>37.31</v>
      </c>
      <c r="N74" s="1">
        <v>57.09</v>
      </c>
      <c r="O74" s="1">
        <v>59.44</v>
      </c>
      <c r="P74" s="1">
        <v>43.6</v>
      </c>
      <c r="Q74" s="1">
        <v>45.88</v>
      </c>
      <c r="R74" s="1">
        <v>35.99</v>
      </c>
      <c r="S74" s="1">
        <v>49.38</v>
      </c>
      <c r="T74" s="1">
        <v>33.61</v>
      </c>
      <c r="U74" s="1">
        <v>46.26</v>
      </c>
      <c r="V74" s="1">
        <v>80.44</v>
      </c>
      <c r="W74" s="1">
        <v>66.34</v>
      </c>
      <c r="X74" s="1">
        <v>69.650000000000006</v>
      </c>
      <c r="Y74" s="1">
        <v>40.14</v>
      </c>
      <c r="Z74" s="1">
        <v>39.380000000000003</v>
      </c>
      <c r="AA74" s="1">
        <v>64.08</v>
      </c>
      <c r="AB74" s="1">
        <v>68.5</v>
      </c>
    </row>
    <row r="75" spans="1:28">
      <c r="A75" s="26">
        <v>1968</v>
      </c>
      <c r="B75" s="1">
        <v>78.41</v>
      </c>
      <c r="C75" s="1">
        <v>51.67</v>
      </c>
      <c r="D75" s="1">
        <v>42.6</v>
      </c>
      <c r="E75" s="1">
        <v>48.35</v>
      </c>
      <c r="F75" s="1">
        <v>72.88</v>
      </c>
      <c r="G75" s="1">
        <v>17.95</v>
      </c>
      <c r="H75" s="1">
        <v>33.29</v>
      </c>
      <c r="I75" s="1">
        <v>29.38</v>
      </c>
      <c r="J75" s="1">
        <v>30.34</v>
      </c>
      <c r="K75" s="1">
        <v>36.83</v>
      </c>
      <c r="L75" s="1">
        <v>55.9</v>
      </c>
      <c r="M75" s="1">
        <v>38.1</v>
      </c>
      <c r="N75" s="1">
        <v>57.45</v>
      </c>
      <c r="O75" s="1">
        <v>60.2</v>
      </c>
      <c r="P75" s="1">
        <v>44.62</v>
      </c>
      <c r="Q75" s="1">
        <v>46.41</v>
      </c>
      <c r="R75" s="1">
        <v>36.130000000000003</v>
      </c>
      <c r="S75" s="1">
        <v>50.47</v>
      </c>
      <c r="T75" s="1">
        <v>33.9</v>
      </c>
      <c r="U75" s="1">
        <v>46.12</v>
      </c>
      <c r="V75" s="1">
        <v>80.87</v>
      </c>
      <c r="W75" s="1">
        <v>66.650000000000006</v>
      </c>
      <c r="X75" s="1">
        <v>70.38</v>
      </c>
      <c r="Y75" s="1">
        <v>40.75</v>
      </c>
      <c r="Z75" s="1">
        <v>40.130000000000003</v>
      </c>
      <c r="AA75" s="1">
        <v>64.760000000000005</v>
      </c>
      <c r="AB75" s="1">
        <v>69.14</v>
      </c>
    </row>
    <row r="76" spans="1:28">
      <c r="A76" s="26">
        <v>1969</v>
      </c>
      <c r="B76" s="1">
        <v>78.790000000000006</v>
      </c>
      <c r="C76" s="1">
        <v>51.43</v>
      </c>
      <c r="D76" s="1">
        <v>43.02</v>
      </c>
      <c r="E76" s="1">
        <v>49.74</v>
      </c>
      <c r="F76" s="1">
        <v>73.75</v>
      </c>
      <c r="G76" s="1">
        <v>18.260000000000002</v>
      </c>
      <c r="H76" s="1">
        <v>33.49</v>
      </c>
      <c r="I76" s="1">
        <v>29.44</v>
      </c>
      <c r="J76" s="1">
        <v>31.37</v>
      </c>
      <c r="K76" s="1">
        <v>37.909999999999997</v>
      </c>
      <c r="L76" s="1">
        <v>56.57</v>
      </c>
      <c r="M76" s="1">
        <v>38.81</v>
      </c>
      <c r="N76" s="1">
        <v>57.85</v>
      </c>
      <c r="O76" s="1">
        <v>60.95</v>
      </c>
      <c r="P76" s="1">
        <v>45.5</v>
      </c>
      <c r="Q76" s="1">
        <v>46.89</v>
      </c>
      <c r="R76" s="1">
        <v>36.29</v>
      </c>
      <c r="S76" s="1">
        <v>51.48</v>
      </c>
      <c r="T76" s="1">
        <v>34.229999999999997</v>
      </c>
      <c r="U76" s="1">
        <v>46.03</v>
      </c>
      <c r="V76" s="1">
        <v>81.260000000000005</v>
      </c>
      <c r="W76" s="1">
        <v>66.959999999999994</v>
      </c>
      <c r="X76" s="1">
        <v>71.099999999999994</v>
      </c>
      <c r="Y76" s="1">
        <v>41.4</v>
      </c>
      <c r="Z76" s="1">
        <v>40.840000000000003</v>
      </c>
      <c r="AA76" s="1">
        <v>65.31</v>
      </c>
      <c r="AB76" s="1">
        <v>69.55</v>
      </c>
    </row>
    <row r="77" spans="1:28">
      <c r="A77" s="26">
        <v>1970</v>
      </c>
      <c r="B77" s="1">
        <v>79.2</v>
      </c>
      <c r="C77" s="1">
        <v>51.2</v>
      </c>
      <c r="D77" s="1">
        <v>43.5</v>
      </c>
      <c r="E77" s="1">
        <v>51.1</v>
      </c>
      <c r="F77" s="1">
        <v>74.599999999999994</v>
      </c>
      <c r="G77" s="1">
        <v>18.600000000000001</v>
      </c>
      <c r="H77" s="1">
        <v>33.700000000000003</v>
      </c>
      <c r="I77" s="1">
        <v>29.5</v>
      </c>
      <c r="J77" s="1">
        <v>32.299999999999997</v>
      </c>
      <c r="K77" s="1">
        <v>39</v>
      </c>
      <c r="L77" s="1">
        <v>57.3</v>
      </c>
      <c r="M77" s="1">
        <v>39.4</v>
      </c>
      <c r="N77" s="1">
        <v>58.3</v>
      </c>
      <c r="O77" s="1">
        <v>61.7</v>
      </c>
      <c r="P77" s="1">
        <v>46.2</v>
      </c>
      <c r="Q77" s="1">
        <v>47.3</v>
      </c>
      <c r="R77" s="1">
        <v>36.5</v>
      </c>
      <c r="S77" s="1">
        <v>52.4</v>
      </c>
      <c r="T77" s="1">
        <v>34.6</v>
      </c>
      <c r="U77" s="1">
        <v>46</v>
      </c>
      <c r="V77" s="1">
        <v>81.599999999999994</v>
      </c>
      <c r="W77" s="1">
        <v>67.3</v>
      </c>
      <c r="X77" s="1">
        <v>71.8</v>
      </c>
      <c r="Y77" s="1">
        <v>42.1</v>
      </c>
      <c r="Z77" s="1">
        <v>41.5</v>
      </c>
      <c r="AA77" s="1">
        <v>65.7</v>
      </c>
      <c r="AB77" s="1">
        <v>69.7</v>
      </c>
    </row>
    <row r="78" spans="1:28">
      <c r="A78" s="26">
        <v>1971</v>
      </c>
      <c r="B78" s="1">
        <v>79.63</v>
      </c>
      <c r="C78" s="1">
        <v>50.99</v>
      </c>
      <c r="D78" s="1">
        <v>44.06</v>
      </c>
      <c r="E78" s="1">
        <v>52.48</v>
      </c>
      <c r="F78" s="1">
        <v>75.430000000000007</v>
      </c>
      <c r="G78" s="1">
        <v>19.02</v>
      </c>
      <c r="H78" s="1">
        <v>33.92</v>
      </c>
      <c r="I78" s="1">
        <v>29.57</v>
      </c>
      <c r="J78" s="1">
        <v>33.200000000000003</v>
      </c>
      <c r="K78" s="1">
        <v>40.18</v>
      </c>
      <c r="L78" s="1">
        <v>58.11</v>
      </c>
      <c r="M78" s="1">
        <v>39.869999999999997</v>
      </c>
      <c r="N78" s="1">
        <v>58.9</v>
      </c>
      <c r="O78" s="1">
        <v>62.45</v>
      </c>
      <c r="P78" s="1">
        <v>46.76</v>
      </c>
      <c r="Q78" s="1">
        <v>47.65</v>
      </c>
      <c r="R78" s="1">
        <v>36.81</v>
      </c>
      <c r="S78" s="1">
        <v>53.23</v>
      </c>
      <c r="T78" s="1">
        <v>35.06</v>
      </c>
      <c r="U78" s="1">
        <v>46.16</v>
      </c>
      <c r="V78" s="1">
        <v>81.92</v>
      </c>
      <c r="W78" s="1">
        <v>67.64</v>
      </c>
      <c r="X78" s="1">
        <v>72.5</v>
      </c>
      <c r="Y78" s="1">
        <v>42.88</v>
      </c>
      <c r="Z78" s="1">
        <v>42.11</v>
      </c>
      <c r="AA78" s="1">
        <v>65.989999999999995</v>
      </c>
      <c r="AB78" s="1">
        <v>69.62</v>
      </c>
    </row>
    <row r="79" spans="1:28">
      <c r="A79">
        <v>1972</v>
      </c>
      <c r="B79" s="1">
        <v>80.06</v>
      </c>
      <c r="C79" s="1">
        <v>50.78</v>
      </c>
      <c r="D79" s="1">
        <v>44.68</v>
      </c>
      <c r="E79" s="1">
        <v>53.92</v>
      </c>
      <c r="F79" s="1">
        <v>76.27</v>
      </c>
      <c r="G79" s="1">
        <v>19.53</v>
      </c>
      <c r="H79" s="1">
        <v>34.14</v>
      </c>
      <c r="I79" s="1">
        <v>29.65</v>
      </c>
      <c r="J79" s="1">
        <v>34.17</v>
      </c>
      <c r="K79" s="1">
        <v>41.49</v>
      </c>
      <c r="L79" s="1">
        <v>58.99</v>
      </c>
      <c r="M79" s="1">
        <v>40.270000000000003</v>
      </c>
      <c r="N79" s="1">
        <v>59.72</v>
      </c>
      <c r="O79" s="1">
        <v>63.22</v>
      </c>
      <c r="P79" s="1">
        <v>47.27</v>
      </c>
      <c r="Q79" s="1">
        <v>47.95</v>
      </c>
      <c r="R79" s="1">
        <v>37.270000000000003</v>
      </c>
      <c r="S79" s="1">
        <v>53.99</v>
      </c>
      <c r="T79" s="1">
        <v>35.630000000000003</v>
      </c>
      <c r="U79" s="1">
        <v>46.62</v>
      </c>
      <c r="V79" s="1">
        <v>82.26</v>
      </c>
      <c r="W79" s="1">
        <v>67.98</v>
      </c>
      <c r="X79" s="1">
        <v>73.209999999999994</v>
      </c>
      <c r="Y79" s="1">
        <v>43.76</v>
      </c>
      <c r="Z79" s="1">
        <v>42.7</v>
      </c>
      <c r="AA79" s="1">
        <v>66.239999999999995</v>
      </c>
      <c r="AB79" s="1">
        <v>69.41</v>
      </c>
    </row>
    <row r="80" spans="1:28">
      <c r="A80">
        <v>1973</v>
      </c>
      <c r="B80" s="1">
        <v>80.5</v>
      </c>
      <c r="C80" s="1">
        <v>50.58</v>
      </c>
      <c r="D80" s="1">
        <v>45.34</v>
      </c>
      <c r="E80" s="1">
        <v>55.4</v>
      </c>
      <c r="F80" s="1">
        <v>77.09</v>
      </c>
      <c r="G80" s="1">
        <v>20.100000000000001</v>
      </c>
      <c r="H80" s="1">
        <v>34.36</v>
      </c>
      <c r="I80" s="1">
        <v>29.74</v>
      </c>
      <c r="J80" s="1">
        <v>35.159999999999997</v>
      </c>
      <c r="K80" s="1">
        <v>42.88</v>
      </c>
      <c r="L80" s="1">
        <v>59.91</v>
      </c>
      <c r="M80" s="1">
        <v>40.619999999999997</v>
      </c>
      <c r="N80" s="1">
        <v>60.68</v>
      </c>
      <c r="O80" s="1">
        <v>63.98</v>
      </c>
      <c r="P80" s="1">
        <v>47.73</v>
      </c>
      <c r="Q80" s="1">
        <v>48.23</v>
      </c>
      <c r="R80" s="1">
        <v>37.840000000000003</v>
      </c>
      <c r="S80" s="1">
        <v>54.71</v>
      </c>
      <c r="T80" s="1">
        <v>36.29</v>
      </c>
      <c r="U80" s="1">
        <v>47.32</v>
      </c>
      <c r="V80" s="1">
        <v>82.62</v>
      </c>
      <c r="W80" s="1">
        <v>68.3</v>
      </c>
      <c r="X80" s="1">
        <v>73.91</v>
      </c>
      <c r="Y80" s="1">
        <v>44.7</v>
      </c>
      <c r="Z80" s="1">
        <v>43.25</v>
      </c>
      <c r="AA80" s="1">
        <v>66.459999999999994</v>
      </c>
      <c r="AB80" s="1">
        <v>69.099999999999994</v>
      </c>
    </row>
    <row r="81" spans="1:28">
      <c r="A81">
        <v>1974</v>
      </c>
      <c r="B81" s="1">
        <v>80.94</v>
      </c>
      <c r="C81" s="1">
        <v>50.39</v>
      </c>
      <c r="D81" s="1">
        <v>46.05</v>
      </c>
      <c r="E81" s="1">
        <v>56.9</v>
      </c>
      <c r="F81" s="1">
        <v>77.89</v>
      </c>
      <c r="G81" s="1">
        <v>20.7</v>
      </c>
      <c r="H81" s="1">
        <v>34.58</v>
      </c>
      <c r="I81" s="1">
        <v>29.84</v>
      </c>
      <c r="J81" s="1">
        <v>36.14</v>
      </c>
      <c r="K81" s="1">
        <v>44.32</v>
      </c>
      <c r="L81" s="1">
        <v>60.86</v>
      </c>
      <c r="M81" s="1">
        <v>40.94</v>
      </c>
      <c r="N81" s="1">
        <v>61.73</v>
      </c>
      <c r="O81" s="1">
        <v>64.739999999999995</v>
      </c>
      <c r="P81" s="1">
        <v>48.16</v>
      </c>
      <c r="Q81" s="1">
        <v>48.49</v>
      </c>
      <c r="R81" s="1">
        <v>38.51</v>
      </c>
      <c r="S81" s="1">
        <v>55.38</v>
      </c>
      <c r="T81" s="1">
        <v>37.020000000000003</v>
      </c>
      <c r="U81" s="1">
        <v>48.21</v>
      </c>
      <c r="V81" s="1">
        <v>82.97</v>
      </c>
      <c r="W81" s="1">
        <v>68.62</v>
      </c>
      <c r="X81" s="1">
        <v>74.62</v>
      </c>
      <c r="Y81" s="1">
        <v>45.68</v>
      </c>
      <c r="Z81" s="1">
        <v>43.79</v>
      </c>
      <c r="AA81" s="1">
        <v>66.650000000000006</v>
      </c>
      <c r="AB81" s="1">
        <v>68.739999999999995</v>
      </c>
    </row>
    <row r="82" spans="1:28">
      <c r="A82">
        <v>1975</v>
      </c>
      <c r="B82" s="1">
        <v>81.38</v>
      </c>
      <c r="C82" s="1">
        <v>50.2</v>
      </c>
      <c r="D82" s="1">
        <v>46.78</v>
      </c>
      <c r="E82" s="1">
        <v>58.39</v>
      </c>
      <c r="F82" s="1">
        <v>78.67</v>
      </c>
      <c r="G82" s="1">
        <v>21.3</v>
      </c>
      <c r="H82" s="1">
        <v>34.799999999999997</v>
      </c>
      <c r="I82" s="1">
        <v>29.94</v>
      </c>
      <c r="J82" s="1">
        <v>37.08</v>
      </c>
      <c r="K82" s="1">
        <v>45.75</v>
      </c>
      <c r="L82" s="1">
        <v>61.81</v>
      </c>
      <c r="M82" s="1">
        <v>41.25</v>
      </c>
      <c r="N82" s="1">
        <v>62.79</v>
      </c>
      <c r="O82" s="1">
        <v>65.489999999999995</v>
      </c>
      <c r="P82" s="1">
        <v>48.55</v>
      </c>
      <c r="Q82" s="1">
        <v>48.73</v>
      </c>
      <c r="R82" s="1">
        <v>39.24</v>
      </c>
      <c r="S82" s="1">
        <v>56.03</v>
      </c>
      <c r="T82" s="1">
        <v>37.79</v>
      </c>
      <c r="U82" s="1">
        <v>49.25</v>
      </c>
      <c r="V82" s="1">
        <v>83.31</v>
      </c>
      <c r="W82" s="1">
        <v>68.94</v>
      </c>
      <c r="X82" s="1">
        <v>75.319999999999993</v>
      </c>
      <c r="Y82" s="1">
        <v>46.68</v>
      </c>
      <c r="Z82" s="1">
        <v>44.31</v>
      </c>
      <c r="AA82" s="1">
        <v>66.83</v>
      </c>
      <c r="AB82" s="1">
        <v>68.36</v>
      </c>
    </row>
    <row r="83" spans="1:28">
      <c r="A83">
        <v>1976</v>
      </c>
      <c r="B83" s="1">
        <v>81.819999999999993</v>
      </c>
      <c r="C83" s="1">
        <v>50.02</v>
      </c>
      <c r="D83" s="1">
        <v>47.53</v>
      </c>
      <c r="E83" s="1">
        <v>59.85</v>
      </c>
      <c r="F83" s="1">
        <v>79.41</v>
      </c>
      <c r="G83" s="1">
        <v>21.86</v>
      </c>
      <c r="H83" s="1">
        <v>35.020000000000003</v>
      </c>
      <c r="I83" s="1">
        <v>30.06</v>
      </c>
      <c r="J83" s="1">
        <v>37.92</v>
      </c>
      <c r="K83" s="1">
        <v>47.14</v>
      </c>
      <c r="L83" s="1">
        <v>62.74</v>
      </c>
      <c r="M83" s="1">
        <v>41.57</v>
      </c>
      <c r="N83" s="1">
        <v>63.81</v>
      </c>
      <c r="O83" s="1">
        <v>66.209999999999994</v>
      </c>
      <c r="P83" s="1">
        <v>48.92</v>
      </c>
      <c r="Q83" s="1">
        <v>48.96</v>
      </c>
      <c r="R83" s="1">
        <v>40.01</v>
      </c>
      <c r="S83" s="1">
        <v>56.66</v>
      </c>
      <c r="T83" s="1">
        <v>38.590000000000003</v>
      </c>
      <c r="U83" s="1">
        <v>50.38</v>
      </c>
      <c r="V83" s="1">
        <v>83.63</v>
      </c>
      <c r="W83" s="1">
        <v>69.260000000000005</v>
      </c>
      <c r="X83" s="1">
        <v>76.02</v>
      </c>
      <c r="Y83" s="1">
        <v>47.68</v>
      </c>
      <c r="Z83" s="1">
        <v>44.82</v>
      </c>
      <c r="AA83" s="1">
        <v>66.989999999999995</v>
      </c>
      <c r="AB83" s="1">
        <v>68</v>
      </c>
    </row>
    <row r="84" spans="1:28">
      <c r="A84">
        <v>1977</v>
      </c>
      <c r="B84" s="1">
        <v>82.25</v>
      </c>
      <c r="C84" s="1">
        <v>49.84</v>
      </c>
      <c r="D84" s="1">
        <v>48.29</v>
      </c>
      <c r="E84" s="1">
        <v>61.25</v>
      </c>
      <c r="F84" s="1">
        <v>80.11</v>
      </c>
      <c r="G84" s="1">
        <v>22.35</v>
      </c>
      <c r="H84" s="1">
        <v>35.24</v>
      </c>
      <c r="I84" s="1">
        <v>30.18</v>
      </c>
      <c r="J84" s="1">
        <v>38.64</v>
      </c>
      <c r="K84" s="1">
        <v>48.44</v>
      </c>
      <c r="L84" s="1">
        <v>63.62</v>
      </c>
      <c r="M84" s="1">
        <v>41.93</v>
      </c>
      <c r="N84" s="1">
        <v>64.709999999999994</v>
      </c>
      <c r="O84" s="1">
        <v>66.92</v>
      </c>
      <c r="P84" s="1">
        <v>49.27</v>
      </c>
      <c r="Q84" s="1">
        <v>49.2</v>
      </c>
      <c r="R84" s="1">
        <v>40.78</v>
      </c>
      <c r="S84" s="1">
        <v>57.28</v>
      </c>
      <c r="T84" s="1">
        <v>39.39</v>
      </c>
      <c r="U84" s="1">
        <v>51.56</v>
      </c>
      <c r="V84" s="1">
        <v>83.91</v>
      </c>
      <c r="W84" s="1">
        <v>69.59</v>
      </c>
      <c r="X84" s="1">
        <v>76.69</v>
      </c>
      <c r="Y84" s="1">
        <v>48.65</v>
      </c>
      <c r="Z84" s="1">
        <v>45.32</v>
      </c>
      <c r="AA84" s="1">
        <v>67.13</v>
      </c>
      <c r="AB84" s="1">
        <v>67.69</v>
      </c>
    </row>
    <row r="85" spans="1:28">
      <c r="A85">
        <v>1978</v>
      </c>
      <c r="B85" s="1">
        <v>82.68</v>
      </c>
      <c r="C85" s="1">
        <v>49.66</v>
      </c>
      <c r="D85" s="1">
        <v>49.04</v>
      </c>
      <c r="E85" s="1">
        <v>62.58</v>
      </c>
      <c r="F85" s="1">
        <v>80.77</v>
      </c>
      <c r="G85" s="1">
        <v>22.75</v>
      </c>
      <c r="H85" s="1">
        <v>35.46</v>
      </c>
      <c r="I85" s="1">
        <v>30.31</v>
      </c>
      <c r="J85" s="1">
        <v>39.21</v>
      </c>
      <c r="K85" s="1">
        <v>49.62</v>
      </c>
      <c r="L85" s="1">
        <v>64.44</v>
      </c>
      <c r="M85" s="1">
        <v>42.34</v>
      </c>
      <c r="N85" s="1">
        <v>65.44</v>
      </c>
      <c r="O85" s="1">
        <v>67.59</v>
      </c>
      <c r="P85" s="1">
        <v>49.61</v>
      </c>
      <c r="Q85" s="1">
        <v>49.45</v>
      </c>
      <c r="R85" s="1">
        <v>41.54</v>
      </c>
      <c r="S85" s="1">
        <v>57.9</v>
      </c>
      <c r="T85" s="1">
        <v>40.17</v>
      </c>
      <c r="U85" s="1">
        <v>52.74</v>
      </c>
      <c r="V85" s="1">
        <v>84.14</v>
      </c>
      <c r="W85" s="1">
        <v>69.92</v>
      </c>
      <c r="X85" s="1">
        <v>77.349999999999994</v>
      </c>
      <c r="Y85" s="1">
        <v>49.55</v>
      </c>
      <c r="Z85" s="1">
        <v>45.81</v>
      </c>
      <c r="AA85" s="1">
        <v>67.27</v>
      </c>
      <c r="AB85" s="1">
        <v>67.48</v>
      </c>
    </row>
    <row r="86" spans="1:28">
      <c r="A86">
        <v>1979</v>
      </c>
      <c r="B86" s="1">
        <v>83.1</v>
      </c>
      <c r="C86" s="1">
        <v>49.48</v>
      </c>
      <c r="D86" s="1">
        <v>49.78</v>
      </c>
      <c r="E86" s="1">
        <v>63.8</v>
      </c>
      <c r="F86" s="1">
        <v>81.37</v>
      </c>
      <c r="G86" s="1">
        <v>23.01</v>
      </c>
      <c r="H86" s="1">
        <v>35.68</v>
      </c>
      <c r="I86" s="1">
        <v>30.45</v>
      </c>
      <c r="J86" s="1">
        <v>39.57</v>
      </c>
      <c r="K86" s="1">
        <v>50.62</v>
      </c>
      <c r="L86" s="1">
        <v>65.180000000000007</v>
      </c>
      <c r="M86" s="1">
        <v>42.82</v>
      </c>
      <c r="N86" s="1">
        <v>65.92</v>
      </c>
      <c r="O86" s="1">
        <v>68.22</v>
      </c>
      <c r="P86" s="1">
        <v>49.95</v>
      </c>
      <c r="Q86" s="1">
        <v>49.71</v>
      </c>
      <c r="R86" s="1">
        <v>42.26</v>
      </c>
      <c r="S86" s="1">
        <v>58.54</v>
      </c>
      <c r="T86" s="1">
        <v>40.92</v>
      </c>
      <c r="U86" s="1">
        <v>53.87</v>
      </c>
      <c r="V86" s="1">
        <v>84.3</v>
      </c>
      <c r="W86" s="1">
        <v>70.25</v>
      </c>
      <c r="X86" s="1">
        <v>77.989999999999995</v>
      </c>
      <c r="Y86" s="1">
        <v>50.38</v>
      </c>
      <c r="Z86" s="1">
        <v>46.3</v>
      </c>
      <c r="AA86" s="1">
        <v>67.400000000000006</v>
      </c>
      <c r="AB86" s="1">
        <v>67.400000000000006</v>
      </c>
    </row>
    <row r="87" spans="1:28">
      <c r="A87">
        <v>1980</v>
      </c>
      <c r="B87" s="1">
        <v>83.5</v>
      </c>
      <c r="C87" s="1">
        <v>49.3</v>
      </c>
      <c r="D87" s="1">
        <v>50.5</v>
      </c>
      <c r="E87" s="1">
        <v>64.900000000000006</v>
      </c>
      <c r="F87" s="1">
        <v>81.900000000000006</v>
      </c>
      <c r="G87" s="1">
        <v>23.1</v>
      </c>
      <c r="H87" s="1">
        <v>35.9</v>
      </c>
      <c r="I87" s="1">
        <v>30.6</v>
      </c>
      <c r="J87" s="1">
        <v>39.700000000000003</v>
      </c>
      <c r="K87" s="1">
        <v>51.4</v>
      </c>
      <c r="L87" s="1">
        <v>65.8</v>
      </c>
      <c r="M87" s="1">
        <v>43.4</v>
      </c>
      <c r="N87" s="1">
        <v>66.099999999999994</v>
      </c>
      <c r="O87" s="1">
        <v>68.8</v>
      </c>
      <c r="P87" s="1">
        <v>50.3</v>
      </c>
      <c r="Q87" s="1">
        <v>50</v>
      </c>
      <c r="R87" s="1">
        <v>42.9</v>
      </c>
      <c r="S87" s="1">
        <v>59.2</v>
      </c>
      <c r="T87" s="1">
        <v>41.6</v>
      </c>
      <c r="U87" s="1">
        <v>54.9</v>
      </c>
      <c r="V87" s="1">
        <v>84.4</v>
      </c>
      <c r="W87" s="1">
        <v>70.599999999999994</v>
      </c>
      <c r="X87" s="1">
        <v>78.599999999999994</v>
      </c>
      <c r="Y87" s="1">
        <v>51.1</v>
      </c>
      <c r="Z87" s="1">
        <v>46.8</v>
      </c>
      <c r="AA87" s="1"/>
      <c r="AB87" s="1">
        <v>67.48</v>
      </c>
    </row>
    <row r="88" spans="1:28">
      <c r="A88">
        <v>1981</v>
      </c>
      <c r="B88" s="1">
        <v>83.9</v>
      </c>
      <c r="C88" s="1">
        <v>49.11</v>
      </c>
      <c r="D88" s="1">
        <v>51.21</v>
      </c>
      <c r="E88" s="1">
        <v>65.900000000000006</v>
      </c>
      <c r="F88" s="1">
        <v>82.38</v>
      </c>
      <c r="G88" s="1">
        <v>23.1</v>
      </c>
      <c r="H88" s="1">
        <v>36.11</v>
      </c>
      <c r="I88" s="1">
        <v>30.77</v>
      </c>
      <c r="J88" s="1">
        <v>39.69</v>
      </c>
      <c r="K88" s="1">
        <v>52.01</v>
      </c>
      <c r="L88" s="1">
        <v>66.34</v>
      </c>
      <c r="M88" s="1">
        <v>44.35</v>
      </c>
      <c r="N88" s="1">
        <v>66.099999999999994</v>
      </c>
      <c r="O88" s="1">
        <v>69.37</v>
      </c>
      <c r="P88" s="1">
        <v>50.65</v>
      </c>
      <c r="Q88" s="1">
        <v>50.3</v>
      </c>
      <c r="R88" s="1">
        <v>43.49</v>
      </c>
      <c r="S88" s="1">
        <v>59.88</v>
      </c>
      <c r="T88" s="1">
        <v>42.24</v>
      </c>
      <c r="U88" s="1">
        <v>55.89</v>
      </c>
      <c r="V88" s="1">
        <v>84.45</v>
      </c>
      <c r="W88" s="1">
        <v>70.98</v>
      </c>
      <c r="X88" s="1">
        <v>79.2</v>
      </c>
      <c r="Y88" s="1">
        <v>51.73</v>
      </c>
      <c r="Z88" s="1">
        <v>47.33</v>
      </c>
      <c r="AA88" s="1"/>
      <c r="AB88" s="1">
        <v>67.709999999999994</v>
      </c>
    </row>
    <row r="89" spans="1:28">
      <c r="A89">
        <v>1982</v>
      </c>
      <c r="B89" s="1">
        <v>84.31</v>
      </c>
      <c r="C89" s="1">
        <v>48.89</v>
      </c>
      <c r="D89" s="1">
        <v>51.93</v>
      </c>
      <c r="E89" s="1">
        <v>66.84</v>
      </c>
      <c r="F89" s="1">
        <v>82.83</v>
      </c>
      <c r="G89" s="1">
        <v>23.1</v>
      </c>
      <c r="H89" s="1">
        <v>36.299999999999997</v>
      </c>
      <c r="I89" s="1">
        <v>30.98</v>
      </c>
      <c r="J89" s="1">
        <v>39.67</v>
      </c>
      <c r="K89" s="1">
        <v>52.54</v>
      </c>
      <c r="L89" s="1">
        <v>66.84</v>
      </c>
      <c r="M89" s="1">
        <v>45.81</v>
      </c>
      <c r="N89" s="1">
        <v>66.099999999999994</v>
      </c>
      <c r="O89" s="1">
        <v>69.94</v>
      </c>
      <c r="P89" s="1">
        <v>50.98</v>
      </c>
      <c r="Q89" s="1">
        <v>50.6</v>
      </c>
      <c r="R89" s="1">
        <v>44.07</v>
      </c>
      <c r="S89" s="1">
        <v>60.56</v>
      </c>
      <c r="T89" s="1">
        <v>42.87</v>
      </c>
      <c r="U89" s="1">
        <v>56.92</v>
      </c>
      <c r="V89" s="1">
        <v>84.49</v>
      </c>
      <c r="W89" s="1">
        <v>71.41</v>
      </c>
      <c r="X89" s="1">
        <v>79.819999999999993</v>
      </c>
      <c r="Y89" s="1">
        <v>52.32</v>
      </c>
      <c r="Z89" s="1">
        <v>47.89</v>
      </c>
      <c r="AA89" s="1"/>
      <c r="AB89" s="1">
        <v>68.08</v>
      </c>
    </row>
    <row r="90" spans="1:28">
      <c r="A90">
        <v>1983</v>
      </c>
      <c r="B90" s="1">
        <v>84.73</v>
      </c>
      <c r="C90" s="1">
        <v>48.67</v>
      </c>
      <c r="D90" s="1">
        <v>52.67</v>
      </c>
      <c r="E90" s="1">
        <v>67.73</v>
      </c>
      <c r="F90" s="1">
        <v>83.25</v>
      </c>
      <c r="G90" s="1">
        <v>23.1</v>
      </c>
      <c r="H90" s="1">
        <v>36.47</v>
      </c>
      <c r="I90" s="1">
        <v>31.21</v>
      </c>
      <c r="J90" s="1">
        <v>39.64</v>
      </c>
      <c r="K90" s="1">
        <v>53</v>
      </c>
      <c r="L90" s="1">
        <v>67.31</v>
      </c>
      <c r="M90" s="1">
        <v>47.66</v>
      </c>
      <c r="N90" s="1">
        <v>66.099999999999994</v>
      </c>
      <c r="O90" s="1">
        <v>70.5</v>
      </c>
      <c r="P90" s="1">
        <v>51.31</v>
      </c>
      <c r="Q90" s="1">
        <v>50.9</v>
      </c>
      <c r="R90" s="1">
        <v>44.63</v>
      </c>
      <c r="S90" s="1">
        <v>61.24</v>
      </c>
      <c r="T90" s="1">
        <v>43.48</v>
      </c>
      <c r="U90" s="1">
        <v>57.98</v>
      </c>
      <c r="V90" s="1">
        <v>84.53</v>
      </c>
      <c r="W90" s="1">
        <v>71.87</v>
      </c>
      <c r="X90" s="1">
        <v>80.430000000000007</v>
      </c>
      <c r="Y90" s="1">
        <v>52.86</v>
      </c>
      <c r="Z90" s="1">
        <v>48.48</v>
      </c>
      <c r="AA90" s="1"/>
      <c r="AB90" s="1">
        <v>68.56</v>
      </c>
    </row>
    <row r="91" spans="1:28">
      <c r="A91">
        <v>1984</v>
      </c>
      <c r="B91" s="1">
        <v>85.13</v>
      </c>
      <c r="C91" s="1">
        <v>48.44</v>
      </c>
      <c r="D91" s="1">
        <v>53.4</v>
      </c>
      <c r="E91" s="1">
        <v>68.58</v>
      </c>
      <c r="F91" s="1">
        <v>83.65</v>
      </c>
      <c r="G91" s="1">
        <v>23.1</v>
      </c>
      <c r="H91" s="1">
        <v>36.65</v>
      </c>
      <c r="I91" s="1">
        <v>31.47</v>
      </c>
      <c r="J91" s="1">
        <v>39.590000000000003</v>
      </c>
      <c r="K91" s="1">
        <v>53.41</v>
      </c>
      <c r="L91" s="1">
        <v>67.75</v>
      </c>
      <c r="M91" s="1">
        <v>49.74</v>
      </c>
      <c r="N91" s="1">
        <v>66.099999999999994</v>
      </c>
      <c r="O91" s="1">
        <v>71.05</v>
      </c>
      <c r="P91" s="1">
        <v>51.62</v>
      </c>
      <c r="Q91" s="1">
        <v>51.2</v>
      </c>
      <c r="R91" s="1">
        <v>45.19</v>
      </c>
      <c r="S91" s="1">
        <v>61.92</v>
      </c>
      <c r="T91" s="1">
        <v>44.09</v>
      </c>
      <c r="U91" s="1">
        <v>59.07</v>
      </c>
      <c r="V91" s="1">
        <v>84.57</v>
      </c>
      <c r="W91" s="1">
        <v>72.349999999999994</v>
      </c>
      <c r="X91" s="1">
        <v>81.03</v>
      </c>
      <c r="Y91" s="1">
        <v>53.38</v>
      </c>
      <c r="Z91" s="1">
        <v>49.07</v>
      </c>
      <c r="AA91" s="1"/>
      <c r="AB91" s="1">
        <v>69.150000000000006</v>
      </c>
    </row>
    <row r="92" spans="1:28">
      <c r="A92">
        <v>1985</v>
      </c>
      <c r="B92" s="1">
        <v>85.53</v>
      </c>
      <c r="C92" s="1">
        <v>48.23</v>
      </c>
      <c r="D92" s="1">
        <v>54.13</v>
      </c>
      <c r="E92" s="1">
        <v>69.39</v>
      </c>
      <c r="F92" s="1">
        <v>84.02</v>
      </c>
      <c r="G92" s="1">
        <v>23.1</v>
      </c>
      <c r="H92" s="1">
        <v>36.83</v>
      </c>
      <c r="I92" s="1">
        <v>31.75</v>
      </c>
      <c r="J92" s="1">
        <v>39.549999999999997</v>
      </c>
      <c r="K92" s="1">
        <v>53.79</v>
      </c>
      <c r="L92" s="1">
        <v>68.17</v>
      </c>
      <c r="M92" s="1">
        <v>51.89</v>
      </c>
      <c r="N92" s="1">
        <v>66.099999999999994</v>
      </c>
      <c r="O92" s="1">
        <v>71.58</v>
      </c>
      <c r="P92" s="1">
        <v>51.93</v>
      </c>
      <c r="Q92" s="1">
        <v>51.52</v>
      </c>
      <c r="R92" s="1">
        <v>45.74</v>
      </c>
      <c r="S92" s="1">
        <v>62.6</v>
      </c>
      <c r="T92" s="1">
        <v>44.69</v>
      </c>
      <c r="U92" s="1">
        <v>60.16</v>
      </c>
      <c r="V92" s="1">
        <v>84.6</v>
      </c>
      <c r="W92" s="1">
        <v>72.81</v>
      </c>
      <c r="X92" s="1">
        <v>81.62</v>
      </c>
      <c r="Y92" s="1">
        <v>53.87</v>
      </c>
      <c r="Z92" s="1">
        <v>49.64</v>
      </c>
      <c r="AA92" s="1"/>
      <c r="AB92" s="1">
        <v>69.819999999999993</v>
      </c>
    </row>
    <row r="93" spans="1:28">
      <c r="A93">
        <v>1986</v>
      </c>
      <c r="B93" s="1">
        <v>85.92</v>
      </c>
      <c r="C93" s="1">
        <v>48.03</v>
      </c>
      <c r="D93" s="1">
        <v>54.85</v>
      </c>
      <c r="E93" s="1">
        <v>70.17</v>
      </c>
      <c r="F93" s="1">
        <v>84.38</v>
      </c>
      <c r="G93" s="1">
        <v>23.1</v>
      </c>
      <c r="H93" s="1">
        <v>37.020000000000003</v>
      </c>
      <c r="I93" s="1">
        <v>32.03</v>
      </c>
      <c r="J93" s="1">
        <v>39.51</v>
      </c>
      <c r="K93" s="1">
        <v>54.16</v>
      </c>
      <c r="L93" s="1">
        <v>68.56</v>
      </c>
      <c r="M93" s="1">
        <v>53.99</v>
      </c>
      <c r="N93" s="1">
        <v>66.099999999999994</v>
      </c>
      <c r="O93" s="1">
        <v>72.06</v>
      </c>
      <c r="P93" s="1">
        <v>52.23</v>
      </c>
      <c r="Q93" s="1">
        <v>51.86</v>
      </c>
      <c r="R93" s="1">
        <v>46.29</v>
      </c>
      <c r="S93" s="1">
        <v>63.28</v>
      </c>
      <c r="T93" s="1">
        <v>45.28</v>
      </c>
      <c r="U93" s="1">
        <v>61.26</v>
      </c>
      <c r="V93" s="1">
        <v>84.62</v>
      </c>
      <c r="W93" s="1">
        <v>73.25</v>
      </c>
      <c r="X93" s="1">
        <v>82.17</v>
      </c>
      <c r="Y93" s="1">
        <v>54.35</v>
      </c>
      <c r="Z93" s="1">
        <v>50.17</v>
      </c>
      <c r="AA93" s="1"/>
      <c r="AB93" s="1">
        <v>70.56</v>
      </c>
    </row>
    <row r="94" spans="1:28">
      <c r="A94">
        <v>1987</v>
      </c>
      <c r="B94" s="1">
        <v>86.28</v>
      </c>
      <c r="C94" s="1">
        <v>47.85</v>
      </c>
      <c r="D94" s="1">
        <v>55.55</v>
      </c>
      <c r="E94" s="1">
        <v>70.92</v>
      </c>
      <c r="F94" s="1">
        <v>84.72</v>
      </c>
      <c r="G94" s="1">
        <v>23.1</v>
      </c>
      <c r="H94" s="1">
        <v>37.24</v>
      </c>
      <c r="I94" s="1">
        <v>32.33</v>
      </c>
      <c r="J94" s="1">
        <v>39.46</v>
      </c>
      <c r="K94" s="1">
        <v>54.53</v>
      </c>
      <c r="L94" s="1">
        <v>68.930000000000007</v>
      </c>
      <c r="M94" s="1">
        <v>55.87</v>
      </c>
      <c r="N94" s="1">
        <v>66.099999999999994</v>
      </c>
      <c r="O94" s="1">
        <v>72.5</v>
      </c>
      <c r="P94" s="1">
        <v>52.53</v>
      </c>
      <c r="Q94" s="1">
        <v>52.22</v>
      </c>
      <c r="R94" s="1">
        <v>46.84</v>
      </c>
      <c r="S94" s="1">
        <v>63.96</v>
      </c>
      <c r="T94" s="1">
        <v>45.86</v>
      </c>
      <c r="U94" s="1">
        <v>62.34</v>
      </c>
      <c r="V94" s="1">
        <v>84.64</v>
      </c>
      <c r="W94" s="1">
        <v>73.650000000000006</v>
      </c>
      <c r="X94" s="1">
        <v>82.69</v>
      </c>
      <c r="Y94" s="1">
        <v>54.82</v>
      </c>
      <c r="Z94" s="1">
        <v>50.64</v>
      </c>
      <c r="AA94" s="1"/>
      <c r="AB94" s="1">
        <v>71.34</v>
      </c>
    </row>
    <row r="95" spans="1:28">
      <c r="A95">
        <v>1988</v>
      </c>
      <c r="B95" s="1">
        <v>86.62</v>
      </c>
      <c r="C95" s="1">
        <v>47.72</v>
      </c>
      <c r="D95" s="1">
        <v>56.23</v>
      </c>
      <c r="E95" s="1">
        <v>71.66</v>
      </c>
      <c r="F95" s="1">
        <v>85.06</v>
      </c>
      <c r="G95" s="1">
        <v>23.1</v>
      </c>
      <c r="H95" s="1">
        <v>37.479999999999997</v>
      </c>
      <c r="I95" s="1">
        <v>32.619999999999997</v>
      </c>
      <c r="J95" s="1">
        <v>39.43</v>
      </c>
      <c r="K95" s="1">
        <v>54.94</v>
      </c>
      <c r="L95" s="1">
        <v>69.3</v>
      </c>
      <c r="M95" s="1">
        <v>57.4</v>
      </c>
      <c r="N95" s="1">
        <v>66.099999999999994</v>
      </c>
      <c r="O95" s="1">
        <v>72.87</v>
      </c>
      <c r="P95" s="1">
        <v>52.82</v>
      </c>
      <c r="Q95" s="1">
        <v>52.61</v>
      </c>
      <c r="R95" s="1">
        <v>47.39</v>
      </c>
      <c r="S95" s="1">
        <v>64.64</v>
      </c>
      <c r="T95" s="1">
        <v>46.44</v>
      </c>
      <c r="U95" s="1">
        <v>63.4</v>
      </c>
      <c r="V95" s="1">
        <v>84.66</v>
      </c>
      <c r="W95" s="1">
        <v>73.989999999999995</v>
      </c>
      <c r="X95" s="1">
        <v>83.15</v>
      </c>
      <c r="Y95" s="1">
        <v>55.3</v>
      </c>
      <c r="Z95" s="1">
        <v>51.03</v>
      </c>
      <c r="AA95" s="1"/>
      <c r="AB95" s="1">
        <v>72.16</v>
      </c>
    </row>
    <row r="96" spans="1:28">
      <c r="A96">
        <v>1989</v>
      </c>
      <c r="B96" s="1">
        <v>86.93</v>
      </c>
      <c r="C96" s="1">
        <v>47.63</v>
      </c>
      <c r="D96" s="1">
        <v>56.88</v>
      </c>
      <c r="E96" s="1">
        <v>72.38</v>
      </c>
      <c r="F96" s="1">
        <v>85.38</v>
      </c>
      <c r="G96" s="1">
        <v>23.1</v>
      </c>
      <c r="H96" s="1">
        <v>37.770000000000003</v>
      </c>
      <c r="I96" s="1">
        <v>32.92</v>
      </c>
      <c r="J96" s="1">
        <v>39.409999999999997</v>
      </c>
      <c r="K96" s="1">
        <v>55.39</v>
      </c>
      <c r="L96" s="1">
        <v>69.650000000000006</v>
      </c>
      <c r="M96" s="1">
        <v>58.43</v>
      </c>
      <c r="N96" s="1">
        <v>66.099999999999994</v>
      </c>
      <c r="O96" s="1">
        <v>73.180000000000007</v>
      </c>
      <c r="P96" s="1">
        <v>53.11</v>
      </c>
      <c r="Q96" s="1">
        <v>53.03</v>
      </c>
      <c r="R96" s="1">
        <v>47.94</v>
      </c>
      <c r="S96" s="1">
        <v>65.319999999999993</v>
      </c>
      <c r="T96" s="1">
        <v>47.02</v>
      </c>
      <c r="U96" s="1">
        <v>64.42</v>
      </c>
      <c r="V96" s="1">
        <v>84.68</v>
      </c>
      <c r="W96" s="1">
        <v>74.239999999999995</v>
      </c>
      <c r="X96" s="1">
        <v>83.56</v>
      </c>
      <c r="Y96" s="1">
        <v>55.79</v>
      </c>
      <c r="Z96" s="1">
        <v>51.33</v>
      </c>
      <c r="AA96" s="1"/>
      <c r="AB96" s="1">
        <v>73</v>
      </c>
    </row>
    <row r="97" spans="1:28">
      <c r="A97">
        <v>1990</v>
      </c>
      <c r="B97" s="1">
        <v>87.2</v>
      </c>
      <c r="C97" s="1">
        <v>47.6</v>
      </c>
      <c r="D97" s="1">
        <v>57.5</v>
      </c>
      <c r="E97" s="1">
        <v>73.099999999999994</v>
      </c>
      <c r="F97" s="1">
        <v>85.7</v>
      </c>
      <c r="G97" s="1">
        <v>23.1</v>
      </c>
      <c r="H97" s="1">
        <v>38.1</v>
      </c>
      <c r="I97" s="1">
        <v>33.200000000000003</v>
      </c>
      <c r="J97" s="1">
        <v>39.4</v>
      </c>
      <c r="K97" s="1">
        <v>55.9</v>
      </c>
      <c r="L97" s="1">
        <v>70</v>
      </c>
      <c r="M97" s="1">
        <v>58.8</v>
      </c>
      <c r="N97" s="1">
        <v>66.099999999999994</v>
      </c>
      <c r="O97" s="1">
        <v>73.400000000000006</v>
      </c>
      <c r="P97" s="1">
        <v>53.4</v>
      </c>
      <c r="Q97" s="1">
        <v>53.5</v>
      </c>
      <c r="R97" s="1">
        <v>48.5</v>
      </c>
      <c r="S97" s="1">
        <v>66</v>
      </c>
      <c r="T97" s="1">
        <v>47.6</v>
      </c>
      <c r="U97" s="1">
        <v>65.400000000000006</v>
      </c>
      <c r="V97" s="1">
        <v>84.7</v>
      </c>
      <c r="W97" s="1">
        <v>74.400000000000006</v>
      </c>
      <c r="X97" s="1">
        <v>83.9</v>
      </c>
      <c r="Y97" s="1">
        <v>56.3</v>
      </c>
      <c r="Z97" s="1">
        <v>51.5</v>
      </c>
      <c r="AA97" s="1"/>
      <c r="AB97" s="1"/>
    </row>
    <row r="98" spans="1:28">
      <c r="A98">
        <v>1991</v>
      </c>
      <c r="B98" s="1">
        <v>87.44</v>
      </c>
      <c r="C98" s="1">
        <v>47.63</v>
      </c>
      <c r="D98" s="1">
        <v>58.09</v>
      </c>
      <c r="E98" s="1">
        <v>73.81</v>
      </c>
      <c r="F98" s="1"/>
      <c r="G98" s="1"/>
      <c r="H98" s="1">
        <v>38.549999999999997</v>
      </c>
      <c r="I98" s="1">
        <v>33.479999999999997</v>
      </c>
      <c r="J98" s="1">
        <v>39.47</v>
      </c>
      <c r="K98" s="1">
        <v>56.47</v>
      </c>
      <c r="L98" s="1"/>
      <c r="M98" s="1">
        <v>58.73</v>
      </c>
      <c r="N98" s="1"/>
      <c r="O98" s="1">
        <v>73.569999999999993</v>
      </c>
      <c r="P98" s="1"/>
      <c r="Q98" s="1">
        <v>54.04</v>
      </c>
      <c r="R98" s="1">
        <v>49.07</v>
      </c>
      <c r="S98" s="1"/>
      <c r="T98" s="1"/>
      <c r="U98" s="1">
        <v>66.34</v>
      </c>
      <c r="V98" s="1"/>
      <c r="W98" s="1">
        <v>74.5</v>
      </c>
      <c r="X98" s="1">
        <v>84.19</v>
      </c>
      <c r="Y98" s="1">
        <v>56.83</v>
      </c>
      <c r="Z98" s="1">
        <v>51.6</v>
      </c>
      <c r="AA98" s="1"/>
      <c r="AB98" s="1"/>
    </row>
    <row r="99" spans="1:28">
      <c r="A99">
        <v>1992</v>
      </c>
      <c r="B99" s="1">
        <v>87.67</v>
      </c>
      <c r="C99" s="1">
        <v>47.71</v>
      </c>
      <c r="D99" s="1">
        <v>58.65</v>
      </c>
      <c r="E99" s="1">
        <v>74.489999999999995</v>
      </c>
      <c r="F99" s="1"/>
      <c r="G99" s="1"/>
      <c r="H99" s="1">
        <v>39.15</v>
      </c>
      <c r="I99" s="1">
        <v>33.770000000000003</v>
      </c>
      <c r="J99" s="1">
        <v>39.65</v>
      </c>
      <c r="K99" s="1">
        <v>57.09</v>
      </c>
      <c r="L99" s="1"/>
      <c r="M99" s="1">
        <v>58.54</v>
      </c>
      <c r="N99" s="1"/>
      <c r="O99" s="1">
        <v>73.72</v>
      </c>
      <c r="P99" s="1"/>
      <c r="Q99" s="1">
        <v>54.66</v>
      </c>
      <c r="R99" s="1">
        <v>49.63</v>
      </c>
      <c r="S99" s="1"/>
      <c r="T99" s="1"/>
      <c r="U99" s="1">
        <v>67.260000000000005</v>
      </c>
      <c r="V99" s="1"/>
      <c r="W99" s="1">
        <v>74.58</v>
      </c>
      <c r="X99" s="1">
        <v>84.45</v>
      </c>
      <c r="Y99" s="1">
        <v>57.35</v>
      </c>
      <c r="Z99" s="1">
        <v>51.69</v>
      </c>
      <c r="AA99" s="1"/>
      <c r="AB99" s="1"/>
    </row>
    <row r="100" spans="1:28">
      <c r="A100">
        <v>1993</v>
      </c>
      <c r="B100" s="1">
        <v>87.88</v>
      </c>
      <c r="C100" s="1">
        <v>47.84</v>
      </c>
      <c r="D100" s="1">
        <v>59.2</v>
      </c>
      <c r="E100" s="1">
        <v>75.16</v>
      </c>
      <c r="F100" s="1"/>
      <c r="G100" s="1"/>
      <c r="H100" s="1">
        <v>39.909999999999997</v>
      </c>
      <c r="I100" s="1">
        <v>34.06</v>
      </c>
      <c r="J100" s="1">
        <v>39.950000000000003</v>
      </c>
      <c r="K100" s="1">
        <v>57.75</v>
      </c>
      <c r="L100" s="1"/>
      <c r="M100" s="1">
        <v>58.24</v>
      </c>
      <c r="N100" s="1"/>
      <c r="O100" s="1">
        <v>73.849999999999994</v>
      </c>
      <c r="P100" s="1"/>
      <c r="Q100" s="1">
        <v>55.36</v>
      </c>
      <c r="R100" s="1">
        <v>50.2</v>
      </c>
      <c r="S100" s="1"/>
      <c r="T100" s="1"/>
      <c r="U100" s="1">
        <v>68.16</v>
      </c>
      <c r="V100" s="1"/>
      <c r="W100" s="1">
        <v>74.66</v>
      </c>
      <c r="X100" s="1">
        <v>84.69</v>
      </c>
      <c r="Y100" s="1">
        <v>57.88</v>
      </c>
      <c r="Z100" s="1">
        <v>51.76</v>
      </c>
      <c r="AA100" s="1"/>
      <c r="AB100" s="1"/>
    </row>
    <row r="101" spans="1:28">
      <c r="A101">
        <v>1994</v>
      </c>
      <c r="B101" s="1">
        <v>88.08</v>
      </c>
      <c r="C101" s="1">
        <v>48.02</v>
      </c>
      <c r="D101" s="1">
        <v>59.73</v>
      </c>
      <c r="E101" s="1">
        <v>75.81</v>
      </c>
      <c r="F101" s="1"/>
      <c r="G101" s="1"/>
      <c r="H101" s="1">
        <v>40.78</v>
      </c>
      <c r="I101" s="1">
        <v>34.36</v>
      </c>
      <c r="J101" s="1">
        <v>40.340000000000003</v>
      </c>
      <c r="K101" s="1">
        <v>58.43</v>
      </c>
      <c r="L101" s="1"/>
      <c r="M101" s="1">
        <v>57.84</v>
      </c>
      <c r="N101" s="1"/>
      <c r="O101" s="1">
        <v>73.97</v>
      </c>
      <c r="P101" s="1"/>
      <c r="Q101" s="1">
        <v>56.12</v>
      </c>
      <c r="R101" s="1">
        <v>50.77</v>
      </c>
      <c r="S101" s="1"/>
      <c r="T101" s="1"/>
      <c r="U101" s="1">
        <v>69.040000000000006</v>
      </c>
      <c r="V101" s="1"/>
      <c r="W101" s="1">
        <v>74.72</v>
      </c>
      <c r="X101" s="1">
        <v>84.91</v>
      </c>
      <c r="Y101" s="1">
        <v>58.41</v>
      </c>
      <c r="Z101" s="1">
        <v>51.83</v>
      </c>
      <c r="AA101" s="1"/>
      <c r="AB101" s="1"/>
    </row>
    <row r="102" spans="1:28">
      <c r="A102">
        <v>1995</v>
      </c>
      <c r="B102" s="1">
        <v>88.26</v>
      </c>
      <c r="C102" s="1">
        <v>48.22</v>
      </c>
      <c r="D102" s="1">
        <v>60.24</v>
      </c>
      <c r="E102" s="1">
        <v>76.45</v>
      </c>
      <c r="F102" s="1"/>
      <c r="G102" s="1"/>
      <c r="H102" s="1">
        <v>41.77</v>
      </c>
      <c r="I102" s="1">
        <v>34.659999999999997</v>
      </c>
      <c r="J102" s="1">
        <v>40.81</v>
      </c>
      <c r="K102" s="1">
        <v>59.15</v>
      </c>
      <c r="L102" s="1"/>
      <c r="M102" s="1">
        <v>57.36</v>
      </c>
      <c r="N102" s="1"/>
      <c r="O102" s="1">
        <v>74.08</v>
      </c>
      <c r="P102" s="1"/>
      <c r="Q102" s="1">
        <v>56.95</v>
      </c>
      <c r="R102" s="1">
        <v>51.34</v>
      </c>
      <c r="S102" s="1"/>
      <c r="T102" s="1"/>
      <c r="U102" s="1">
        <v>69.900000000000006</v>
      </c>
      <c r="V102" s="1"/>
      <c r="W102" s="1">
        <v>74.78</v>
      </c>
      <c r="X102" s="1">
        <v>85.12</v>
      </c>
      <c r="Y102" s="1">
        <v>58.94</v>
      </c>
      <c r="Z102" s="1">
        <v>51.89</v>
      </c>
      <c r="AA102" s="1"/>
      <c r="AB102" s="1"/>
    </row>
    <row r="103" spans="1:28">
      <c r="A103">
        <v>1996</v>
      </c>
      <c r="B103" s="1">
        <v>88.44</v>
      </c>
      <c r="C103" s="1">
        <v>48.46</v>
      </c>
      <c r="D103" s="1">
        <v>60.75</v>
      </c>
      <c r="E103" s="1">
        <v>77.069999999999993</v>
      </c>
      <c r="F103" s="1"/>
      <c r="G103" s="1"/>
      <c r="H103" s="1">
        <v>42.85</v>
      </c>
      <c r="I103" s="1">
        <v>34.96</v>
      </c>
      <c r="J103" s="1">
        <v>41.34</v>
      </c>
      <c r="K103" s="1">
        <v>59.89</v>
      </c>
      <c r="L103" s="1"/>
      <c r="M103" s="1">
        <v>56.81</v>
      </c>
      <c r="N103" s="1"/>
      <c r="O103" s="1">
        <v>74.17</v>
      </c>
      <c r="P103" s="1"/>
      <c r="Q103" s="1">
        <v>57.82</v>
      </c>
      <c r="R103" s="1">
        <v>51.91</v>
      </c>
      <c r="S103" s="1"/>
      <c r="T103" s="1"/>
      <c r="U103" s="1">
        <v>70.760000000000005</v>
      </c>
      <c r="V103" s="1"/>
      <c r="W103" s="1">
        <v>74.83</v>
      </c>
      <c r="X103" s="1">
        <v>85.31</v>
      </c>
      <c r="Y103" s="1">
        <v>59.47</v>
      </c>
      <c r="Z103" s="1">
        <v>51.94</v>
      </c>
      <c r="AA103" s="1"/>
      <c r="AB103" s="1"/>
    </row>
    <row r="104" spans="1:28">
      <c r="A104">
        <v>1997</v>
      </c>
      <c r="B104" s="1">
        <v>88.61</v>
      </c>
      <c r="C104" s="1">
        <v>48.73</v>
      </c>
      <c r="D104" s="1">
        <v>61.24</v>
      </c>
      <c r="E104" s="1">
        <v>77.69</v>
      </c>
      <c r="F104" s="1"/>
      <c r="G104" s="1"/>
      <c r="H104" s="1">
        <v>44</v>
      </c>
      <c r="I104" s="1">
        <v>35.270000000000003</v>
      </c>
      <c r="J104" s="1">
        <v>41.94</v>
      </c>
      <c r="K104" s="1">
        <v>60.65</v>
      </c>
      <c r="L104" s="1"/>
      <c r="M104" s="1">
        <v>56.21</v>
      </c>
      <c r="N104" s="1"/>
      <c r="O104" s="1">
        <v>74.260000000000005</v>
      </c>
      <c r="P104" s="1"/>
      <c r="Q104" s="1">
        <v>58.73</v>
      </c>
      <c r="R104" s="1">
        <v>52.48</v>
      </c>
      <c r="S104" s="1"/>
      <c r="T104" s="1"/>
      <c r="U104" s="1">
        <v>71.599999999999994</v>
      </c>
      <c r="V104" s="1"/>
      <c r="W104" s="1">
        <v>74.88</v>
      </c>
      <c r="X104" s="1">
        <v>85.49</v>
      </c>
      <c r="Y104" s="1">
        <v>60</v>
      </c>
      <c r="Z104" s="1">
        <v>51.98</v>
      </c>
      <c r="AA104" s="1"/>
      <c r="AB104" s="1"/>
    </row>
    <row r="105" spans="1:28">
      <c r="A105">
        <v>1998</v>
      </c>
      <c r="B105" s="1">
        <v>88.78</v>
      </c>
      <c r="C105" s="1">
        <v>49.01</v>
      </c>
      <c r="D105" s="1">
        <v>61.73</v>
      </c>
      <c r="E105" s="1">
        <v>78.3</v>
      </c>
      <c r="F105" s="1"/>
      <c r="G105" s="1"/>
      <c r="H105" s="1">
        <v>45.2</v>
      </c>
      <c r="I105" s="1">
        <v>35.58</v>
      </c>
      <c r="J105" s="1">
        <v>42.57</v>
      </c>
      <c r="K105" s="1">
        <v>61.43</v>
      </c>
      <c r="L105" s="1"/>
      <c r="M105" s="1">
        <v>55.56</v>
      </c>
      <c r="N105" s="1"/>
      <c r="O105" s="1">
        <v>74.34</v>
      </c>
      <c r="P105" s="1"/>
      <c r="Q105" s="1">
        <v>59.67</v>
      </c>
      <c r="R105" s="1">
        <v>53.06</v>
      </c>
      <c r="S105" s="1"/>
      <c r="T105" s="1"/>
      <c r="U105" s="1">
        <v>72.44</v>
      </c>
      <c r="V105" s="1"/>
      <c r="W105" s="1">
        <v>74.92</v>
      </c>
      <c r="X105" s="1">
        <v>85.67</v>
      </c>
      <c r="Y105" s="1">
        <v>60.54</v>
      </c>
      <c r="Z105" s="1">
        <v>52.02</v>
      </c>
      <c r="AA105" s="1"/>
      <c r="AB105" s="1"/>
    </row>
    <row r="106" spans="1:28">
      <c r="A106">
        <v>1999</v>
      </c>
      <c r="B106" s="1">
        <v>88.94</v>
      </c>
      <c r="C106" s="1">
        <v>49.3</v>
      </c>
      <c r="D106" s="1">
        <v>62.22</v>
      </c>
      <c r="E106" s="1">
        <v>78.900000000000006</v>
      </c>
      <c r="F106" s="1"/>
      <c r="G106" s="1"/>
      <c r="H106" s="1">
        <v>46.44</v>
      </c>
      <c r="I106" s="1">
        <v>35.89</v>
      </c>
      <c r="J106" s="1">
        <v>43.23</v>
      </c>
      <c r="K106" s="1">
        <v>62.21</v>
      </c>
      <c r="L106" s="1"/>
      <c r="M106" s="1">
        <v>54.89</v>
      </c>
      <c r="N106" s="1"/>
      <c r="O106" s="1">
        <v>74.42</v>
      </c>
      <c r="P106" s="1"/>
      <c r="Q106" s="1">
        <v>60.63</v>
      </c>
      <c r="R106" s="1">
        <v>53.63</v>
      </c>
      <c r="S106" s="1"/>
      <c r="T106" s="1"/>
      <c r="U106" s="1">
        <v>73.27</v>
      </c>
      <c r="V106" s="1"/>
      <c r="W106" s="1">
        <v>74.959999999999994</v>
      </c>
      <c r="X106" s="1">
        <v>85.83</v>
      </c>
      <c r="Y106" s="1">
        <v>61.07</v>
      </c>
      <c r="Z106" s="1">
        <v>52.06</v>
      </c>
      <c r="AA106" s="1"/>
      <c r="AB106" s="1"/>
    </row>
    <row r="107" spans="1:28">
      <c r="A107">
        <v>2000</v>
      </c>
      <c r="B107" s="1">
        <v>89.1</v>
      </c>
      <c r="C107" s="1">
        <v>49.6</v>
      </c>
      <c r="D107" s="1">
        <v>62.7</v>
      </c>
      <c r="E107" s="1">
        <v>79.5</v>
      </c>
      <c r="F107" s="1"/>
      <c r="G107" s="1"/>
      <c r="H107" s="1">
        <v>47.7</v>
      </c>
      <c r="I107" s="1">
        <v>36.200000000000003</v>
      </c>
      <c r="J107" s="1">
        <v>43.9</v>
      </c>
      <c r="K107" s="1">
        <v>63</v>
      </c>
      <c r="L107" s="1"/>
      <c r="M107" s="1">
        <v>54.2</v>
      </c>
      <c r="N107" s="1"/>
      <c r="O107" s="1">
        <v>74.5</v>
      </c>
      <c r="P107" s="1"/>
      <c r="Q107" s="1">
        <v>61.6</v>
      </c>
      <c r="R107" s="1">
        <v>54.2</v>
      </c>
      <c r="S107" s="1"/>
      <c r="T107" s="1"/>
      <c r="U107" s="1">
        <v>74.099999999999994</v>
      </c>
      <c r="V107" s="1"/>
      <c r="W107" s="1">
        <v>75</v>
      </c>
      <c r="X107" s="1">
        <v>86</v>
      </c>
      <c r="Y107" s="1">
        <v>61.6</v>
      </c>
      <c r="Z107" s="1">
        <v>52.1</v>
      </c>
      <c r="AA107" s="1"/>
      <c r="AB107" s="1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DD28-6E25-464A-B40F-1EF8CF88CBAD}">
  <dimension ref="A1:AF149"/>
  <sheetViews>
    <sheetView topLeftCell="A148" zoomScaleNormal="100" workbookViewId="0">
      <selection activeCell="AE4" sqref="AE4:AF149"/>
    </sheetView>
  </sheetViews>
  <sheetFormatPr defaultRowHeight="14.25"/>
  <sheetData>
    <row r="1" spans="1:32" ht="15">
      <c r="A1" s="11" t="s">
        <v>92</v>
      </c>
    </row>
    <row r="3" spans="1:32" ht="15">
      <c r="A3" s="12" t="s">
        <v>42</v>
      </c>
      <c r="B3" s="12" t="s">
        <v>6</v>
      </c>
      <c r="C3" s="12" t="s">
        <v>31</v>
      </c>
      <c r="D3" s="12" t="s">
        <v>32</v>
      </c>
      <c r="E3" s="12" t="s">
        <v>19</v>
      </c>
      <c r="F3" s="12" t="s">
        <v>7</v>
      </c>
      <c r="G3" s="12" t="s">
        <v>8</v>
      </c>
      <c r="H3" s="12" t="s">
        <v>18</v>
      </c>
      <c r="I3" s="12" t="s">
        <v>34</v>
      </c>
      <c r="J3" s="12" t="s">
        <v>24</v>
      </c>
      <c r="K3" s="12" t="s">
        <v>23</v>
      </c>
      <c r="L3" s="12" t="s">
        <v>25</v>
      </c>
      <c r="M3" s="12" t="s">
        <v>33</v>
      </c>
      <c r="N3" s="12" t="s">
        <v>30</v>
      </c>
      <c r="O3" s="12" t="s">
        <v>10</v>
      </c>
      <c r="P3" s="12" t="s">
        <v>20</v>
      </c>
      <c r="Q3" s="12" t="s">
        <v>21</v>
      </c>
      <c r="R3" s="12" t="s">
        <v>27</v>
      </c>
      <c r="S3" s="12" t="s">
        <v>28</v>
      </c>
      <c r="T3" s="12" t="s">
        <v>29</v>
      </c>
      <c r="U3" s="12" t="s">
        <v>14</v>
      </c>
      <c r="V3" s="12" t="s">
        <v>15</v>
      </c>
      <c r="W3" s="12" t="s">
        <v>22</v>
      </c>
      <c r="X3" s="12" t="s">
        <v>35</v>
      </c>
      <c r="Y3" s="12" t="s">
        <v>36</v>
      </c>
      <c r="Z3" s="12" t="s">
        <v>37</v>
      </c>
      <c r="AA3" s="12" t="s">
        <v>17</v>
      </c>
      <c r="AB3" s="12" t="s">
        <v>9</v>
      </c>
      <c r="AC3" s="12" t="s">
        <v>11</v>
      </c>
      <c r="AD3" s="12" t="s">
        <v>26</v>
      </c>
      <c r="AE3" s="12" t="s">
        <v>84</v>
      </c>
      <c r="AF3" s="12" t="s">
        <v>110</v>
      </c>
    </row>
    <row r="4" spans="1:32">
      <c r="A4" s="26">
        <v>1865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>
        <v>16</v>
      </c>
      <c r="AC4" s="1"/>
      <c r="AD4" s="1"/>
      <c r="AE4" s="1"/>
      <c r="AF4" s="1"/>
    </row>
    <row r="5" spans="1:32">
      <c r="A5" s="26">
        <v>1866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>
        <v>16.12</v>
      </c>
      <c r="AC5" s="1"/>
      <c r="AD5" s="1"/>
      <c r="AE5" s="1"/>
      <c r="AF5" s="1"/>
    </row>
    <row r="6" spans="1:32">
      <c r="A6" s="26">
        <v>1867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>
        <v>16.239999999999998</v>
      </c>
      <c r="AC6" s="1"/>
      <c r="AD6" s="1"/>
      <c r="AE6" s="1"/>
      <c r="AF6" s="1"/>
    </row>
    <row r="7" spans="1:32">
      <c r="A7" s="26">
        <v>1868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>
        <v>16.36</v>
      </c>
      <c r="AC7" s="1"/>
      <c r="AD7" s="1"/>
      <c r="AE7" s="1"/>
      <c r="AF7" s="1"/>
    </row>
    <row r="8" spans="1:32">
      <c r="A8" s="26">
        <v>1869</v>
      </c>
      <c r="B8" s="1">
        <v>24.8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>
        <v>16.48</v>
      </c>
      <c r="AC8" s="1"/>
      <c r="AD8" s="1"/>
      <c r="AE8" s="1"/>
      <c r="AF8" s="1"/>
    </row>
    <row r="9" spans="1:32">
      <c r="A9" s="26">
        <v>1870</v>
      </c>
      <c r="B9" s="1">
        <v>25.05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>
        <v>16.600000000000001</v>
      </c>
      <c r="AC9" s="1"/>
      <c r="AD9" s="1"/>
      <c r="AE9" s="1"/>
      <c r="AF9" s="1"/>
    </row>
    <row r="10" spans="1:32">
      <c r="A10" s="26">
        <v>1871</v>
      </c>
      <c r="B10" s="1">
        <v>25.31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>
        <v>16.73</v>
      </c>
      <c r="AC10" s="1"/>
      <c r="AD10" s="1"/>
      <c r="AE10" s="1"/>
      <c r="AF10" s="1"/>
    </row>
    <row r="11" spans="1:32">
      <c r="A11" s="26">
        <v>1872</v>
      </c>
      <c r="B11" s="1">
        <v>25.56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>
        <v>16.87</v>
      </c>
      <c r="AC11" s="1"/>
      <c r="AD11" s="1"/>
      <c r="AE11" s="1"/>
      <c r="AF11" s="1"/>
    </row>
    <row r="12" spans="1:32">
      <c r="A12" s="26">
        <v>1873</v>
      </c>
      <c r="B12" s="1">
        <v>25.81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>
        <v>17</v>
      </c>
      <c r="AC12" s="1"/>
      <c r="AD12" s="1"/>
      <c r="AE12" s="1"/>
      <c r="AF12" s="1"/>
    </row>
    <row r="13" spans="1:32">
      <c r="A13" s="26">
        <v>1874</v>
      </c>
      <c r="B13" s="1">
        <v>26.07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>
        <v>17.149999999999999</v>
      </c>
      <c r="AC13" s="1"/>
      <c r="AD13" s="1"/>
      <c r="AE13" s="1"/>
      <c r="AF13" s="1"/>
    </row>
    <row r="14" spans="1:32">
      <c r="A14" s="26">
        <v>1875</v>
      </c>
      <c r="B14" s="1">
        <v>26.32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>
        <v>17.3</v>
      </c>
      <c r="AC14" s="1"/>
      <c r="AD14" s="1"/>
      <c r="AE14" s="1"/>
      <c r="AF14" s="1"/>
    </row>
    <row r="15" spans="1:32">
      <c r="A15" s="26">
        <v>1876</v>
      </c>
      <c r="B15" s="1">
        <v>26.58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>
        <v>7.5</v>
      </c>
      <c r="W15" s="1"/>
      <c r="X15" s="1"/>
      <c r="Y15" s="1"/>
      <c r="Z15" s="1"/>
      <c r="AA15" s="1"/>
      <c r="AB15" s="1">
        <v>17.45</v>
      </c>
      <c r="AC15" s="1"/>
      <c r="AD15" s="1"/>
      <c r="AE15" s="1"/>
      <c r="AF15" s="1"/>
    </row>
    <row r="16" spans="1:32">
      <c r="A16" s="26">
        <v>1877</v>
      </c>
      <c r="B16" s="1">
        <v>26.84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>
        <v>7.45</v>
      </c>
      <c r="W16" s="1"/>
      <c r="X16" s="1"/>
      <c r="Y16" s="1"/>
      <c r="Z16" s="1"/>
      <c r="AA16" s="1"/>
      <c r="AB16" s="1">
        <v>17.61</v>
      </c>
      <c r="AC16" s="1"/>
      <c r="AD16" s="1"/>
      <c r="AE16" s="1"/>
      <c r="AF16" s="1"/>
    </row>
    <row r="17" spans="1:32">
      <c r="A17" s="26">
        <v>1878</v>
      </c>
      <c r="B17" s="1">
        <v>27.1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>
        <v>7.4</v>
      </c>
      <c r="W17" s="1"/>
      <c r="X17" s="1"/>
      <c r="Y17" s="1"/>
      <c r="Z17" s="1"/>
      <c r="AA17" s="1"/>
      <c r="AB17" s="1">
        <v>17.760000000000002</v>
      </c>
      <c r="AC17" s="1"/>
      <c r="AD17" s="1"/>
      <c r="AE17" s="1"/>
      <c r="AF17" s="1"/>
    </row>
    <row r="18" spans="1:32">
      <c r="A18" s="26">
        <v>1879</v>
      </c>
      <c r="B18" s="1">
        <v>27.36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>
        <v>7.35</v>
      </c>
      <c r="W18" s="1"/>
      <c r="X18" s="1"/>
      <c r="Y18" s="1"/>
      <c r="Z18" s="1"/>
      <c r="AA18" s="1"/>
      <c r="AB18" s="1">
        <v>17.93</v>
      </c>
      <c r="AC18" s="1"/>
      <c r="AD18" s="1"/>
      <c r="AE18" s="1"/>
      <c r="AF18" s="1"/>
    </row>
    <row r="19" spans="1:32">
      <c r="A19" s="26">
        <v>1880</v>
      </c>
      <c r="B19" s="1">
        <v>27.62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>
        <v>7.3</v>
      </c>
      <c r="W19" s="1"/>
      <c r="X19" s="1"/>
      <c r="Y19" s="1"/>
      <c r="Z19" s="1"/>
      <c r="AA19" s="1"/>
      <c r="AB19" s="1">
        <v>18.100000000000001</v>
      </c>
      <c r="AC19" s="1"/>
      <c r="AD19" s="1"/>
      <c r="AE19" s="1"/>
      <c r="AF19" s="1"/>
    </row>
    <row r="20" spans="1:32">
      <c r="A20" s="26">
        <v>1881</v>
      </c>
      <c r="B20" s="1">
        <v>27.88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>
        <v>7.25</v>
      </c>
      <c r="W20" s="1"/>
      <c r="X20" s="1"/>
      <c r="Y20" s="1"/>
      <c r="Z20" s="1"/>
      <c r="AA20" s="1"/>
      <c r="AB20" s="1">
        <v>18.29</v>
      </c>
      <c r="AC20" s="1"/>
      <c r="AD20" s="1"/>
      <c r="AE20" s="1"/>
      <c r="AF20" s="1"/>
    </row>
    <row r="21" spans="1:32">
      <c r="A21" s="26">
        <v>1882</v>
      </c>
      <c r="B21" s="1">
        <v>28.14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>
        <v>7.2</v>
      </c>
      <c r="W21" s="1"/>
      <c r="X21" s="1"/>
      <c r="Y21" s="1"/>
      <c r="Z21" s="1"/>
      <c r="AA21" s="1"/>
      <c r="AB21" s="1">
        <v>18.48</v>
      </c>
      <c r="AC21" s="1"/>
      <c r="AD21" s="1"/>
      <c r="AE21" s="1"/>
      <c r="AF21" s="1"/>
    </row>
    <row r="22" spans="1:32">
      <c r="A22" s="26">
        <v>1883</v>
      </c>
      <c r="B22" s="1">
        <v>28.41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>
        <v>7.15</v>
      </c>
      <c r="W22" s="1"/>
      <c r="X22" s="1"/>
      <c r="Y22" s="1"/>
      <c r="Z22" s="1"/>
      <c r="AA22" s="1"/>
      <c r="AB22" s="1">
        <v>18.7</v>
      </c>
      <c r="AC22" s="1"/>
      <c r="AD22" s="1"/>
      <c r="AE22" s="1"/>
      <c r="AF22" s="1"/>
    </row>
    <row r="23" spans="1:32">
      <c r="A23" s="26">
        <v>1884</v>
      </c>
      <c r="B23" s="1">
        <v>28.68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>
        <v>7.1</v>
      </c>
      <c r="W23" s="1"/>
      <c r="X23" s="1"/>
      <c r="Y23" s="1"/>
      <c r="Z23" s="1"/>
      <c r="AA23" s="1"/>
      <c r="AB23" s="1">
        <v>18.940000000000001</v>
      </c>
      <c r="AC23" s="1"/>
      <c r="AD23" s="1"/>
      <c r="AE23" s="1"/>
      <c r="AF23" s="1"/>
    </row>
    <row r="24" spans="1:32">
      <c r="A24" s="26">
        <v>1885</v>
      </c>
      <c r="B24" s="1">
        <v>28.95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>
        <v>7.05</v>
      </c>
      <c r="W24" s="1"/>
      <c r="X24" s="1"/>
      <c r="Y24" s="1"/>
      <c r="Z24" s="1"/>
      <c r="AA24" s="1"/>
      <c r="AB24" s="1">
        <v>19.2</v>
      </c>
      <c r="AC24" s="1"/>
      <c r="AD24" s="1"/>
      <c r="AE24" s="1"/>
      <c r="AF24" s="1"/>
    </row>
    <row r="25" spans="1:32">
      <c r="A25" s="26">
        <v>1886</v>
      </c>
      <c r="B25" s="1">
        <v>29.22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>
        <v>7</v>
      </c>
      <c r="W25" s="1"/>
      <c r="X25" s="1"/>
      <c r="Y25" s="1"/>
      <c r="Z25" s="1"/>
      <c r="AA25" s="1"/>
      <c r="AB25" s="1">
        <v>19.53</v>
      </c>
      <c r="AC25" s="1"/>
      <c r="AD25" s="1"/>
      <c r="AE25" s="1"/>
      <c r="AF25" s="1"/>
    </row>
    <row r="26" spans="1:32">
      <c r="A26" s="26">
        <v>1887</v>
      </c>
      <c r="B26" s="1">
        <v>29.5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>
        <v>6.95</v>
      </c>
      <c r="W26" s="1"/>
      <c r="X26" s="1"/>
      <c r="Y26" s="1"/>
      <c r="Z26" s="1"/>
      <c r="AA26" s="1"/>
      <c r="AB26" s="1">
        <v>19.940000000000001</v>
      </c>
      <c r="AC26" s="1"/>
      <c r="AD26" s="1"/>
      <c r="AE26" s="1"/>
      <c r="AF26" s="1"/>
    </row>
    <row r="27" spans="1:32">
      <c r="A27" s="26">
        <v>1888</v>
      </c>
      <c r="B27" s="1">
        <v>29.77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>
        <v>6.9</v>
      </c>
      <c r="W27" s="1"/>
      <c r="X27" s="1"/>
      <c r="Y27" s="1"/>
      <c r="Z27" s="1"/>
      <c r="AA27" s="1"/>
      <c r="AB27" s="1">
        <v>20.43</v>
      </c>
      <c r="AC27" s="1"/>
      <c r="AD27" s="1"/>
      <c r="AE27" s="1"/>
      <c r="AF27" s="1"/>
    </row>
    <row r="28" spans="1:32">
      <c r="A28" s="26">
        <v>1889</v>
      </c>
      <c r="B28" s="1">
        <v>30.05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>
        <v>6.85</v>
      </c>
      <c r="W28" s="1"/>
      <c r="X28" s="1"/>
      <c r="Y28" s="1"/>
      <c r="Z28" s="1"/>
      <c r="AA28" s="1"/>
      <c r="AB28" s="1">
        <v>20.96</v>
      </c>
      <c r="AC28" s="1"/>
      <c r="AD28" s="1"/>
      <c r="AE28" s="1"/>
      <c r="AF28" s="1"/>
    </row>
    <row r="29" spans="1:32">
      <c r="A29" s="26">
        <v>1890</v>
      </c>
      <c r="B29" s="1">
        <v>30.34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>
        <v>6.81</v>
      </c>
      <c r="W29" s="1"/>
      <c r="X29" s="1"/>
      <c r="Y29" s="1"/>
      <c r="Z29" s="1"/>
      <c r="AA29" s="1"/>
      <c r="AB29" s="1">
        <v>21.53</v>
      </c>
      <c r="AC29" s="1"/>
      <c r="AD29" s="1"/>
      <c r="AE29" s="1"/>
      <c r="AF29" s="1"/>
    </row>
    <row r="30" spans="1:32">
      <c r="A30" s="26">
        <v>1891</v>
      </c>
      <c r="B30" s="1">
        <v>30.62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>
        <v>6.76</v>
      </c>
      <c r="W30" s="1"/>
      <c r="X30" s="1"/>
      <c r="Y30" s="1"/>
      <c r="Z30" s="1"/>
      <c r="AA30" s="1"/>
      <c r="AB30" s="1">
        <v>22.1</v>
      </c>
      <c r="AC30" s="1"/>
      <c r="AD30" s="1"/>
      <c r="AE30" s="1"/>
      <c r="AF30" s="1"/>
    </row>
    <row r="31" spans="1:32">
      <c r="A31" s="26">
        <v>1892</v>
      </c>
      <c r="B31" s="1">
        <v>30.91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>
        <v>6.72</v>
      </c>
      <c r="W31" s="1"/>
      <c r="X31" s="1"/>
      <c r="Y31" s="1"/>
      <c r="Z31" s="1"/>
      <c r="AA31" s="1"/>
      <c r="AB31" s="1">
        <v>22.67</v>
      </c>
      <c r="AC31" s="1"/>
      <c r="AD31" s="1"/>
      <c r="AE31" s="1"/>
      <c r="AF31" s="1"/>
    </row>
    <row r="32" spans="1:32">
      <c r="A32" s="26">
        <v>1893</v>
      </c>
      <c r="B32" s="1">
        <v>31.2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>
        <v>6.67</v>
      </c>
      <c r="W32" s="1"/>
      <c r="X32" s="1"/>
      <c r="Y32" s="1"/>
      <c r="Z32" s="1"/>
      <c r="AA32" s="1"/>
      <c r="AB32" s="1">
        <v>23.2</v>
      </c>
      <c r="AC32" s="1"/>
      <c r="AD32" s="1"/>
      <c r="AE32" s="1"/>
      <c r="AF32" s="1"/>
    </row>
    <row r="33" spans="1:32">
      <c r="A33" s="26">
        <v>1894</v>
      </c>
      <c r="B33" s="1">
        <v>31.5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>
        <v>6.63</v>
      </c>
      <c r="W33" s="1"/>
      <c r="X33" s="1"/>
      <c r="Y33" s="1"/>
      <c r="Z33" s="1"/>
      <c r="AA33" s="1"/>
      <c r="AB33" s="1">
        <v>23.69</v>
      </c>
      <c r="AC33" s="1"/>
      <c r="AD33" s="1"/>
      <c r="AE33" s="1"/>
      <c r="AF33" s="1"/>
    </row>
    <row r="34" spans="1:32">
      <c r="A34" s="26">
        <v>1895</v>
      </c>
      <c r="B34" s="1">
        <v>31.8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>
        <v>6.59</v>
      </c>
      <c r="W34" s="1"/>
      <c r="X34" s="1"/>
      <c r="Y34" s="1"/>
      <c r="Z34" s="1"/>
      <c r="AA34" s="1"/>
      <c r="AB34" s="1">
        <v>24.1</v>
      </c>
      <c r="AC34" s="1"/>
      <c r="AD34" s="1"/>
      <c r="AE34" s="1"/>
      <c r="AF34" s="1"/>
    </row>
    <row r="35" spans="1:32">
      <c r="A35" s="26">
        <v>1896</v>
      </c>
      <c r="B35" s="1">
        <v>32.11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>
        <v>6.55</v>
      </c>
      <c r="W35" s="1"/>
      <c r="X35" s="1"/>
      <c r="Y35" s="1"/>
      <c r="Z35" s="1"/>
      <c r="AA35" s="1"/>
      <c r="AB35" s="1">
        <v>24.48</v>
      </c>
      <c r="AC35" s="1"/>
      <c r="AD35" s="1"/>
      <c r="AE35" s="1"/>
      <c r="AF35" s="1"/>
    </row>
    <row r="36" spans="1:32">
      <c r="A36" s="26">
        <v>1897</v>
      </c>
      <c r="B36" s="1">
        <v>32.450000000000003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>
        <v>6.51</v>
      </c>
      <c r="W36" s="1"/>
      <c r="X36" s="1"/>
      <c r="Y36" s="1"/>
      <c r="Z36" s="1"/>
      <c r="AA36" s="1"/>
      <c r="AB36" s="1">
        <v>24.87</v>
      </c>
      <c r="AC36" s="1"/>
      <c r="AD36" s="1"/>
      <c r="AE36" s="1">
        <v>8.9</v>
      </c>
      <c r="AF36" s="1">
        <v>9</v>
      </c>
    </row>
    <row r="37" spans="1:32">
      <c r="A37" s="26">
        <v>1898</v>
      </c>
      <c r="B37" s="1">
        <v>32.81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>
        <v>6.47</v>
      </c>
      <c r="W37" s="1"/>
      <c r="X37" s="1"/>
      <c r="Y37" s="1"/>
      <c r="Z37" s="1"/>
      <c r="AA37" s="1"/>
      <c r="AB37" s="1">
        <v>25.27</v>
      </c>
      <c r="AC37" s="1"/>
      <c r="AD37" s="1"/>
      <c r="AE37" s="1">
        <v>8.93</v>
      </c>
      <c r="AF37" s="1">
        <v>9.06</v>
      </c>
    </row>
    <row r="38" spans="1:32">
      <c r="A38" s="26">
        <v>1899</v>
      </c>
      <c r="B38" s="1">
        <v>33.19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>
        <v>6.43</v>
      </c>
      <c r="W38" s="1"/>
      <c r="X38" s="1"/>
      <c r="Y38" s="1"/>
      <c r="Z38" s="1"/>
      <c r="AA38" s="1"/>
      <c r="AB38" s="1">
        <v>25.66</v>
      </c>
      <c r="AC38" s="1"/>
      <c r="AD38" s="1"/>
      <c r="AE38" s="1">
        <v>8.9600000000000009</v>
      </c>
      <c r="AF38" s="1">
        <v>9.1199999999999992</v>
      </c>
    </row>
    <row r="39" spans="1:32">
      <c r="A39" s="26">
        <v>1900</v>
      </c>
      <c r="B39" s="1">
        <v>33.58</v>
      </c>
      <c r="C39" s="1"/>
      <c r="D39" s="1"/>
      <c r="E39" s="1"/>
      <c r="F39" s="1">
        <v>8.6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21.5</v>
      </c>
      <c r="S39" s="1"/>
      <c r="T39" s="1"/>
      <c r="U39" s="1"/>
      <c r="V39" s="1">
        <v>6.39</v>
      </c>
      <c r="W39" s="1"/>
      <c r="X39" s="1"/>
      <c r="Y39" s="1"/>
      <c r="Z39" s="1"/>
      <c r="AA39" s="1"/>
      <c r="AB39" s="1">
        <v>26.04</v>
      </c>
      <c r="AC39" s="1"/>
      <c r="AD39" s="1"/>
      <c r="AE39" s="1">
        <v>8.99</v>
      </c>
      <c r="AF39" s="1">
        <v>9.17</v>
      </c>
    </row>
    <row r="40" spans="1:32">
      <c r="A40" s="26">
        <v>1901</v>
      </c>
      <c r="B40" s="1">
        <v>33.979999999999997</v>
      </c>
      <c r="C40" s="1"/>
      <c r="D40" s="1"/>
      <c r="E40" s="1"/>
      <c r="F40" s="1">
        <v>8.76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21.78</v>
      </c>
      <c r="S40" s="1"/>
      <c r="T40" s="1"/>
      <c r="U40" s="1"/>
      <c r="V40" s="1">
        <v>6.36</v>
      </c>
      <c r="W40" s="1"/>
      <c r="X40" s="1"/>
      <c r="Y40" s="1"/>
      <c r="Z40" s="1"/>
      <c r="AA40" s="1"/>
      <c r="AB40" s="1">
        <v>26.39</v>
      </c>
      <c r="AC40" s="1"/>
      <c r="AD40" s="1"/>
      <c r="AE40" s="1">
        <v>9.02</v>
      </c>
      <c r="AF40" s="1">
        <v>9.23</v>
      </c>
    </row>
    <row r="41" spans="1:32">
      <c r="A41" s="26">
        <v>1902</v>
      </c>
      <c r="B41" s="1">
        <v>34.380000000000003</v>
      </c>
      <c r="C41" s="1"/>
      <c r="D41" s="1"/>
      <c r="E41" s="1"/>
      <c r="F41" s="1">
        <v>8.93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22.06</v>
      </c>
      <c r="S41" s="1"/>
      <c r="T41" s="1"/>
      <c r="U41" s="1"/>
      <c r="V41" s="1">
        <v>6.33</v>
      </c>
      <c r="W41" s="1"/>
      <c r="X41" s="1"/>
      <c r="Y41" s="1"/>
      <c r="Z41" s="1"/>
      <c r="AA41" s="1"/>
      <c r="AB41" s="1">
        <v>26.73</v>
      </c>
      <c r="AC41" s="1"/>
      <c r="AD41" s="1"/>
      <c r="AE41" s="1">
        <v>9.0500000000000007</v>
      </c>
      <c r="AF41" s="1">
        <v>9.2899999999999991</v>
      </c>
    </row>
    <row r="42" spans="1:32">
      <c r="A42" s="26">
        <v>1903</v>
      </c>
      <c r="B42" s="1">
        <v>34.78</v>
      </c>
      <c r="C42" s="1"/>
      <c r="D42" s="1"/>
      <c r="E42" s="1"/>
      <c r="F42" s="1">
        <v>9.09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22.35</v>
      </c>
      <c r="S42" s="1"/>
      <c r="T42" s="1"/>
      <c r="U42" s="1"/>
      <c r="V42" s="1">
        <v>6.29</v>
      </c>
      <c r="W42" s="1"/>
      <c r="X42" s="1"/>
      <c r="Y42" s="1"/>
      <c r="Z42" s="1"/>
      <c r="AA42" s="1"/>
      <c r="AB42" s="1">
        <v>27.02</v>
      </c>
      <c r="AC42" s="1"/>
      <c r="AD42" s="1"/>
      <c r="AE42" s="1">
        <v>9.09</v>
      </c>
      <c r="AF42" s="1">
        <v>9.36</v>
      </c>
    </row>
    <row r="43" spans="1:32">
      <c r="A43" s="26">
        <v>1904</v>
      </c>
      <c r="B43" s="1">
        <v>35.19</v>
      </c>
      <c r="C43" s="1"/>
      <c r="D43" s="1"/>
      <c r="E43" s="1"/>
      <c r="F43" s="1">
        <v>9.25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22.64</v>
      </c>
      <c r="S43" s="1"/>
      <c r="T43" s="1"/>
      <c r="U43" s="1"/>
      <c r="V43" s="1">
        <v>6.26</v>
      </c>
      <c r="W43" s="1"/>
      <c r="X43" s="1"/>
      <c r="Y43" s="1"/>
      <c r="Z43" s="1"/>
      <c r="AA43" s="1"/>
      <c r="AB43" s="1">
        <v>27.27</v>
      </c>
      <c r="AC43" s="1"/>
      <c r="AD43" s="1"/>
      <c r="AE43" s="1">
        <v>9.1199999999999992</v>
      </c>
      <c r="AF43" s="1">
        <v>9.42</v>
      </c>
    </row>
    <row r="44" spans="1:32">
      <c r="A44" s="26">
        <v>1905</v>
      </c>
      <c r="B44" s="1">
        <v>35.590000000000003</v>
      </c>
      <c r="C44" s="1"/>
      <c r="D44" s="1"/>
      <c r="E44" s="1"/>
      <c r="F44" s="1">
        <v>9.42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>
        <v>22.95</v>
      </c>
      <c r="S44" s="1"/>
      <c r="T44" s="1"/>
      <c r="U44" s="1"/>
      <c r="V44" s="1">
        <v>6.23</v>
      </c>
      <c r="W44" s="1"/>
      <c r="X44" s="1"/>
      <c r="Y44" s="1"/>
      <c r="Z44" s="1"/>
      <c r="AA44" s="1"/>
      <c r="AB44" s="1">
        <v>27.48</v>
      </c>
      <c r="AC44" s="1"/>
      <c r="AD44" s="1"/>
      <c r="AE44" s="1">
        <v>9.15</v>
      </c>
      <c r="AF44" s="1">
        <v>9.49</v>
      </c>
    </row>
    <row r="45" spans="1:32">
      <c r="A45" s="26">
        <v>1906</v>
      </c>
      <c r="B45" s="1">
        <v>35.97</v>
      </c>
      <c r="C45" s="1"/>
      <c r="D45" s="1"/>
      <c r="E45" s="1"/>
      <c r="F45" s="1">
        <v>9.58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>
        <v>23.26</v>
      </c>
      <c r="S45" s="1"/>
      <c r="T45" s="1"/>
      <c r="U45" s="1"/>
      <c r="V45" s="1">
        <v>6.2</v>
      </c>
      <c r="W45" s="1"/>
      <c r="X45" s="1"/>
      <c r="Y45" s="1"/>
      <c r="Z45" s="1"/>
      <c r="AA45" s="1"/>
      <c r="AB45" s="1">
        <v>27.62</v>
      </c>
      <c r="AC45" s="1"/>
      <c r="AD45" s="1"/>
      <c r="AE45" s="1">
        <v>9.19</v>
      </c>
      <c r="AF45" s="1">
        <v>9.5500000000000007</v>
      </c>
    </row>
    <row r="46" spans="1:32">
      <c r="A46" s="26">
        <v>1907</v>
      </c>
      <c r="B46" s="1">
        <v>36.35</v>
      </c>
      <c r="C46" s="1"/>
      <c r="D46" s="1"/>
      <c r="E46" s="1"/>
      <c r="F46" s="1">
        <v>9.75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>
        <v>23.6</v>
      </c>
      <c r="S46" s="1"/>
      <c r="T46" s="1"/>
      <c r="U46" s="1"/>
      <c r="V46" s="1">
        <v>6.18</v>
      </c>
      <c r="W46" s="1"/>
      <c r="X46" s="1"/>
      <c r="Y46" s="1"/>
      <c r="Z46" s="1"/>
      <c r="AA46" s="1"/>
      <c r="AB46" s="1">
        <v>27.7</v>
      </c>
      <c r="AC46" s="1"/>
      <c r="AD46" s="1"/>
      <c r="AE46" s="1">
        <v>9.23</v>
      </c>
      <c r="AF46" s="1">
        <v>9.6199999999999992</v>
      </c>
    </row>
    <row r="47" spans="1:32">
      <c r="A47" s="26">
        <v>1908</v>
      </c>
      <c r="B47" s="1">
        <v>36.71</v>
      </c>
      <c r="C47" s="1"/>
      <c r="D47" s="1"/>
      <c r="E47" s="1"/>
      <c r="F47" s="1">
        <v>9.92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>
        <v>23.94</v>
      </c>
      <c r="S47" s="1"/>
      <c r="T47" s="1"/>
      <c r="U47" s="1"/>
      <c r="V47" s="1">
        <v>6.15</v>
      </c>
      <c r="W47" s="1"/>
      <c r="X47" s="1"/>
      <c r="Y47" s="1"/>
      <c r="Z47" s="1"/>
      <c r="AA47" s="1"/>
      <c r="AB47" s="1">
        <v>27.74</v>
      </c>
      <c r="AC47" s="1"/>
      <c r="AD47" s="1"/>
      <c r="AE47" s="1">
        <v>9.27</v>
      </c>
      <c r="AF47" s="1">
        <v>9.6999999999999993</v>
      </c>
    </row>
    <row r="48" spans="1:32">
      <c r="A48" s="26">
        <v>1909</v>
      </c>
      <c r="B48" s="1">
        <v>37.049999999999997</v>
      </c>
      <c r="C48" s="1"/>
      <c r="D48" s="1"/>
      <c r="E48" s="1"/>
      <c r="F48" s="1">
        <v>10.09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>
        <v>24.31</v>
      </c>
      <c r="S48" s="1"/>
      <c r="T48" s="1"/>
      <c r="U48" s="1"/>
      <c r="V48" s="1">
        <v>6.13</v>
      </c>
      <c r="W48" s="1"/>
      <c r="X48" s="1"/>
      <c r="Y48" s="1"/>
      <c r="Z48" s="1"/>
      <c r="AA48" s="1"/>
      <c r="AB48" s="1">
        <v>27.77</v>
      </c>
      <c r="AC48" s="1"/>
      <c r="AD48" s="1"/>
      <c r="AE48" s="1">
        <v>9.32</v>
      </c>
      <c r="AF48" s="1">
        <v>9.77</v>
      </c>
    </row>
    <row r="49" spans="1:32">
      <c r="A49" s="26">
        <v>1910</v>
      </c>
      <c r="B49" s="1">
        <v>37.36</v>
      </c>
      <c r="C49" s="1"/>
      <c r="D49" s="1"/>
      <c r="E49" s="1"/>
      <c r="F49" s="1">
        <v>10.26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>
        <v>24.7</v>
      </c>
      <c r="S49" s="1"/>
      <c r="T49" s="1"/>
      <c r="U49" s="1"/>
      <c r="V49" s="1">
        <v>6.11</v>
      </c>
      <c r="W49" s="1"/>
      <c r="X49" s="1"/>
      <c r="Y49" s="1"/>
      <c r="Z49" s="1"/>
      <c r="AA49" s="1"/>
      <c r="AB49" s="1">
        <v>27.79</v>
      </c>
      <c r="AC49" s="1"/>
      <c r="AD49" s="1"/>
      <c r="AE49" s="1">
        <v>9.36</v>
      </c>
      <c r="AF49" s="1">
        <v>9.85</v>
      </c>
    </row>
    <row r="50" spans="1:32">
      <c r="A50" s="26">
        <v>1911</v>
      </c>
      <c r="B50" s="1">
        <v>37.65</v>
      </c>
      <c r="C50" s="1"/>
      <c r="D50" s="1"/>
      <c r="E50" s="1"/>
      <c r="F50" s="1">
        <v>10.43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>
        <v>25.17</v>
      </c>
      <c r="S50" s="1"/>
      <c r="T50" s="1"/>
      <c r="U50" s="1"/>
      <c r="V50" s="1">
        <v>6.09</v>
      </c>
      <c r="W50" s="1"/>
      <c r="X50" s="1"/>
      <c r="Y50" s="1"/>
      <c r="Z50" s="1"/>
      <c r="AA50" s="1"/>
      <c r="AB50" s="1">
        <v>27.81</v>
      </c>
      <c r="AC50" s="1"/>
      <c r="AD50" s="1"/>
      <c r="AE50" s="1">
        <v>9.41</v>
      </c>
      <c r="AF50" s="1">
        <v>9.94</v>
      </c>
    </row>
    <row r="51" spans="1:32">
      <c r="A51" s="26">
        <v>1912</v>
      </c>
      <c r="B51" s="1">
        <v>37.9</v>
      </c>
      <c r="C51" s="1"/>
      <c r="D51" s="1"/>
      <c r="E51" s="1"/>
      <c r="F51" s="1">
        <v>10.6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>
        <v>25.75</v>
      </c>
      <c r="S51" s="1"/>
      <c r="T51" s="1"/>
      <c r="U51" s="1"/>
      <c r="V51" s="1">
        <v>6.07</v>
      </c>
      <c r="W51" s="1"/>
      <c r="X51" s="1"/>
      <c r="Y51" s="1"/>
      <c r="Z51" s="1"/>
      <c r="AA51" s="1"/>
      <c r="AB51" s="1">
        <v>27.83</v>
      </c>
      <c r="AC51" s="1"/>
      <c r="AD51" s="1"/>
      <c r="AE51" s="1">
        <v>9.4600000000000009</v>
      </c>
      <c r="AF51" s="1">
        <v>10.02</v>
      </c>
    </row>
    <row r="52" spans="1:32">
      <c r="A52" s="26">
        <v>1913</v>
      </c>
      <c r="B52" s="1">
        <v>38.119999999999997</v>
      </c>
      <c r="C52" s="1"/>
      <c r="D52" s="1"/>
      <c r="E52" s="1"/>
      <c r="F52" s="1">
        <v>10.77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>
        <v>26.41</v>
      </c>
      <c r="S52" s="1"/>
      <c r="T52" s="1"/>
      <c r="U52" s="1"/>
      <c r="V52" s="1">
        <v>6.05</v>
      </c>
      <c r="W52" s="1"/>
      <c r="X52" s="1"/>
      <c r="Y52" s="1"/>
      <c r="Z52" s="1"/>
      <c r="AA52" s="1"/>
      <c r="AB52" s="1">
        <v>27.84</v>
      </c>
      <c r="AC52" s="1"/>
      <c r="AD52" s="1"/>
      <c r="AE52" s="1">
        <v>9.52</v>
      </c>
      <c r="AF52" s="1">
        <v>10.11</v>
      </c>
    </row>
    <row r="53" spans="1:32">
      <c r="A53" s="26">
        <v>1914</v>
      </c>
      <c r="B53" s="1">
        <v>38.299999999999997</v>
      </c>
      <c r="C53" s="1"/>
      <c r="D53" s="1"/>
      <c r="E53" s="1"/>
      <c r="F53" s="1">
        <v>10.95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>
        <v>27.12</v>
      </c>
      <c r="S53" s="1"/>
      <c r="T53" s="1"/>
      <c r="U53" s="1"/>
      <c r="V53" s="1">
        <v>6.04</v>
      </c>
      <c r="W53" s="1"/>
      <c r="X53" s="1"/>
      <c r="Y53" s="1"/>
      <c r="Z53" s="1"/>
      <c r="AA53" s="1"/>
      <c r="AB53" s="1">
        <v>27.85</v>
      </c>
      <c r="AC53" s="1"/>
      <c r="AD53" s="1"/>
      <c r="AE53" s="1">
        <v>9.57</v>
      </c>
      <c r="AF53" s="1">
        <v>10.210000000000001</v>
      </c>
    </row>
    <row r="54" spans="1:32">
      <c r="A54" s="26">
        <v>1915</v>
      </c>
      <c r="B54" s="1">
        <v>38.450000000000003</v>
      </c>
      <c r="C54" s="1"/>
      <c r="D54" s="1"/>
      <c r="E54" s="1"/>
      <c r="F54" s="1">
        <v>11.13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>
        <v>27.85</v>
      </c>
      <c r="S54" s="1"/>
      <c r="T54" s="1"/>
      <c r="U54" s="1"/>
      <c r="V54" s="1">
        <v>6.03</v>
      </c>
      <c r="W54" s="1"/>
      <c r="X54" s="1"/>
      <c r="Y54" s="1"/>
      <c r="Z54" s="1"/>
      <c r="AA54" s="1"/>
      <c r="AB54" s="1">
        <v>27.87</v>
      </c>
      <c r="AC54" s="1"/>
      <c r="AD54" s="1"/>
      <c r="AE54" s="1">
        <v>9.6300000000000008</v>
      </c>
      <c r="AF54" s="1">
        <v>10.31</v>
      </c>
    </row>
    <row r="55" spans="1:32">
      <c r="A55" s="26">
        <v>1916</v>
      </c>
      <c r="B55" s="1">
        <v>38.590000000000003</v>
      </c>
      <c r="C55" s="1"/>
      <c r="D55" s="1"/>
      <c r="E55" s="1"/>
      <c r="F55" s="1">
        <v>11.31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>
        <v>28.55</v>
      </c>
      <c r="S55" s="1"/>
      <c r="T55" s="1"/>
      <c r="U55" s="1"/>
      <c r="V55" s="1">
        <v>6.02</v>
      </c>
      <c r="W55" s="1"/>
      <c r="X55" s="1"/>
      <c r="Y55" s="1"/>
      <c r="Z55" s="1"/>
      <c r="AA55" s="1"/>
      <c r="AB55" s="1">
        <v>27.88</v>
      </c>
      <c r="AC55" s="1"/>
      <c r="AD55" s="1"/>
      <c r="AE55" s="1">
        <v>9.6999999999999993</v>
      </c>
      <c r="AF55" s="1">
        <v>10.41</v>
      </c>
    </row>
    <row r="56" spans="1:32">
      <c r="A56" s="26">
        <v>1917</v>
      </c>
      <c r="B56" s="1">
        <v>38.72</v>
      </c>
      <c r="C56" s="1"/>
      <c r="D56" s="1"/>
      <c r="E56" s="1"/>
      <c r="F56" s="1">
        <v>11.49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>
        <v>29.2</v>
      </c>
      <c r="S56" s="1"/>
      <c r="T56" s="1"/>
      <c r="U56" s="1"/>
      <c r="V56" s="1">
        <v>6.01</v>
      </c>
      <c r="W56" s="1"/>
      <c r="X56" s="1"/>
      <c r="Y56" s="1"/>
      <c r="Z56" s="1"/>
      <c r="AA56" s="1"/>
      <c r="AB56" s="1">
        <v>27.9</v>
      </c>
      <c r="AC56" s="1"/>
      <c r="AD56" s="1"/>
      <c r="AE56" s="1">
        <v>9.77</v>
      </c>
      <c r="AF56" s="1">
        <v>10.52</v>
      </c>
    </row>
    <row r="57" spans="1:32">
      <c r="A57" s="26">
        <v>1918</v>
      </c>
      <c r="B57" s="1">
        <v>38.83</v>
      </c>
      <c r="C57" s="1"/>
      <c r="D57" s="1"/>
      <c r="E57" s="1"/>
      <c r="F57" s="1">
        <v>11.68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>
        <v>29.76</v>
      </c>
      <c r="S57" s="1"/>
      <c r="T57" s="1"/>
      <c r="U57" s="1"/>
      <c r="V57" s="1">
        <v>6</v>
      </c>
      <c r="W57" s="1"/>
      <c r="X57" s="1"/>
      <c r="Y57" s="1"/>
      <c r="Z57" s="1"/>
      <c r="AA57" s="1"/>
      <c r="AB57" s="1">
        <v>27.93</v>
      </c>
      <c r="AC57" s="1"/>
      <c r="AD57" s="1"/>
      <c r="AE57" s="1">
        <v>9.84</v>
      </c>
      <c r="AF57" s="1">
        <v>10.64</v>
      </c>
    </row>
    <row r="58" spans="1:32">
      <c r="A58" s="26">
        <v>1919</v>
      </c>
      <c r="B58" s="1">
        <v>38.93</v>
      </c>
      <c r="C58" s="1"/>
      <c r="D58" s="1"/>
      <c r="E58" s="1"/>
      <c r="F58" s="1">
        <v>11.86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>
        <v>27.9</v>
      </c>
      <c r="R58" s="1">
        <v>30.21</v>
      </c>
      <c r="S58" s="1"/>
      <c r="T58" s="1"/>
      <c r="U58" s="1"/>
      <c r="V58" s="1">
        <v>6</v>
      </c>
      <c r="W58" s="1"/>
      <c r="X58" s="1"/>
      <c r="Y58" s="1"/>
      <c r="Z58" s="1"/>
      <c r="AA58" s="1"/>
      <c r="AB58" s="1">
        <v>27.96</v>
      </c>
      <c r="AC58" s="1"/>
      <c r="AD58" s="1"/>
      <c r="AE58" s="1">
        <v>9.92</v>
      </c>
      <c r="AF58" s="1">
        <v>10.76</v>
      </c>
    </row>
    <row r="59" spans="1:32">
      <c r="A59" s="26">
        <v>1920</v>
      </c>
      <c r="B59" s="1">
        <v>39.03</v>
      </c>
      <c r="C59" s="1"/>
      <c r="D59" s="1"/>
      <c r="E59" s="1"/>
      <c r="F59" s="1">
        <v>12.05</v>
      </c>
      <c r="G59" s="1">
        <v>13</v>
      </c>
      <c r="H59" s="1">
        <v>11</v>
      </c>
      <c r="I59" s="1"/>
      <c r="J59" s="1"/>
      <c r="K59" s="1"/>
      <c r="L59" s="1"/>
      <c r="M59" s="1"/>
      <c r="N59" s="1">
        <v>5.4</v>
      </c>
      <c r="O59" s="1">
        <v>7</v>
      </c>
      <c r="P59" s="1"/>
      <c r="Q59" s="1">
        <v>28.14</v>
      </c>
      <c r="R59" s="1">
        <v>30.5</v>
      </c>
      <c r="S59" s="1">
        <v>4.4000000000000004</v>
      </c>
      <c r="T59" s="1"/>
      <c r="U59" s="1"/>
      <c r="V59" s="1">
        <v>6</v>
      </c>
      <c r="W59" s="1"/>
      <c r="X59" s="1"/>
      <c r="Y59" s="1"/>
      <c r="Z59" s="1"/>
      <c r="AA59" s="1">
        <v>30</v>
      </c>
      <c r="AB59" s="1">
        <v>28</v>
      </c>
      <c r="AC59" s="1">
        <v>10</v>
      </c>
      <c r="AD59" s="1"/>
      <c r="AE59" s="1">
        <v>10</v>
      </c>
      <c r="AF59" s="1">
        <v>10.89</v>
      </c>
    </row>
    <row r="60" spans="1:32">
      <c r="A60" s="26">
        <v>1921</v>
      </c>
      <c r="B60" s="1">
        <v>39.11</v>
      </c>
      <c r="C60" s="1"/>
      <c r="D60" s="1"/>
      <c r="E60" s="1"/>
      <c r="F60" s="1">
        <v>12.25</v>
      </c>
      <c r="G60" s="1">
        <v>13.1</v>
      </c>
      <c r="H60" s="1">
        <v>11.13</v>
      </c>
      <c r="I60" s="1"/>
      <c r="J60" s="1"/>
      <c r="K60" s="1"/>
      <c r="L60" s="1"/>
      <c r="M60" s="1"/>
      <c r="N60" s="1">
        <v>5.49</v>
      </c>
      <c r="O60" s="1">
        <v>7.25</v>
      </c>
      <c r="P60" s="1"/>
      <c r="Q60" s="1">
        <v>28.38</v>
      </c>
      <c r="R60" s="1">
        <v>30.6</v>
      </c>
      <c r="S60" s="1">
        <v>4.5</v>
      </c>
      <c r="T60" s="1"/>
      <c r="U60" s="1"/>
      <c r="V60" s="1">
        <v>6.08</v>
      </c>
      <c r="W60" s="1"/>
      <c r="X60" s="1"/>
      <c r="Y60" s="1"/>
      <c r="Z60" s="1"/>
      <c r="AA60" s="1">
        <v>30.56</v>
      </c>
      <c r="AB60" s="1">
        <v>28.13</v>
      </c>
      <c r="AC60" s="1">
        <v>10.3</v>
      </c>
      <c r="AD60" s="1">
        <v>10.3</v>
      </c>
      <c r="AE60" s="1">
        <v>10.18</v>
      </c>
      <c r="AF60" s="1">
        <v>11.02</v>
      </c>
    </row>
    <row r="61" spans="1:32">
      <c r="A61" s="26">
        <v>1922</v>
      </c>
      <c r="B61" s="1">
        <v>39.200000000000003</v>
      </c>
      <c r="C61" s="1"/>
      <c r="D61" s="1"/>
      <c r="E61" s="1"/>
      <c r="F61" s="1">
        <v>12.44</v>
      </c>
      <c r="G61" s="1">
        <v>13.2</v>
      </c>
      <c r="H61" s="1">
        <v>11.27</v>
      </c>
      <c r="I61" s="1"/>
      <c r="J61" s="1"/>
      <c r="K61" s="1"/>
      <c r="L61" s="1"/>
      <c r="M61" s="1"/>
      <c r="N61" s="1">
        <v>5.58</v>
      </c>
      <c r="O61" s="1">
        <v>7.51</v>
      </c>
      <c r="P61" s="1"/>
      <c r="Q61" s="1">
        <v>28.61</v>
      </c>
      <c r="R61" s="1">
        <v>30.56</v>
      </c>
      <c r="S61" s="1">
        <v>4.6100000000000003</v>
      </c>
      <c r="T61" s="1"/>
      <c r="U61" s="1"/>
      <c r="V61" s="1">
        <v>6.29</v>
      </c>
      <c r="W61" s="1"/>
      <c r="X61" s="1"/>
      <c r="Y61" s="1"/>
      <c r="Z61" s="1"/>
      <c r="AA61" s="1">
        <v>31.12</v>
      </c>
      <c r="AB61" s="1">
        <v>28.42</v>
      </c>
      <c r="AC61" s="1">
        <v>10.6</v>
      </c>
      <c r="AD61" s="1">
        <v>10.7</v>
      </c>
      <c r="AE61" s="1">
        <v>10.5</v>
      </c>
      <c r="AF61" s="1">
        <v>11.16</v>
      </c>
    </row>
    <row r="62" spans="1:32">
      <c r="A62" s="26">
        <v>1923</v>
      </c>
      <c r="B62" s="1">
        <v>39.270000000000003</v>
      </c>
      <c r="C62" s="1"/>
      <c r="D62" s="1"/>
      <c r="E62" s="1"/>
      <c r="F62" s="1">
        <v>12.64</v>
      </c>
      <c r="G62" s="1">
        <v>13.3</v>
      </c>
      <c r="H62" s="1">
        <v>11.42</v>
      </c>
      <c r="I62" s="1"/>
      <c r="J62" s="1"/>
      <c r="K62" s="1"/>
      <c r="L62" s="1"/>
      <c r="M62" s="1"/>
      <c r="N62" s="1">
        <v>5.67</v>
      </c>
      <c r="O62" s="1">
        <v>7.77</v>
      </c>
      <c r="P62" s="1"/>
      <c r="Q62" s="1">
        <v>28.83</v>
      </c>
      <c r="R62" s="1">
        <v>30.43</v>
      </c>
      <c r="S62" s="1">
        <v>4.71</v>
      </c>
      <c r="T62" s="1"/>
      <c r="U62" s="1"/>
      <c r="V62" s="1">
        <v>6.61</v>
      </c>
      <c r="W62" s="1"/>
      <c r="X62" s="1"/>
      <c r="Y62" s="1"/>
      <c r="Z62" s="1"/>
      <c r="AA62" s="1">
        <v>31.67</v>
      </c>
      <c r="AB62" s="1">
        <v>28.84</v>
      </c>
      <c r="AC62" s="1">
        <v>10.9</v>
      </c>
      <c r="AD62" s="1">
        <v>11.09</v>
      </c>
      <c r="AE62" s="1">
        <v>10.91</v>
      </c>
      <c r="AF62" s="1">
        <v>11.31</v>
      </c>
    </row>
    <row r="63" spans="1:32">
      <c r="A63" s="26">
        <v>1924</v>
      </c>
      <c r="B63" s="1">
        <v>39.340000000000003</v>
      </c>
      <c r="C63" s="1"/>
      <c r="D63" s="1"/>
      <c r="E63" s="1"/>
      <c r="F63" s="1">
        <v>12.84</v>
      </c>
      <c r="G63" s="1">
        <v>13.4</v>
      </c>
      <c r="H63" s="1">
        <v>11.57</v>
      </c>
      <c r="I63" s="1"/>
      <c r="J63" s="1"/>
      <c r="K63" s="1"/>
      <c r="L63" s="1"/>
      <c r="M63" s="1"/>
      <c r="N63" s="1">
        <v>5.77</v>
      </c>
      <c r="O63" s="1">
        <v>8.0399999999999991</v>
      </c>
      <c r="P63" s="1"/>
      <c r="Q63" s="1">
        <v>29.03</v>
      </c>
      <c r="R63" s="1">
        <v>30.24</v>
      </c>
      <c r="S63" s="1">
        <v>4.82</v>
      </c>
      <c r="T63" s="1"/>
      <c r="U63" s="1"/>
      <c r="V63" s="1">
        <v>7.02</v>
      </c>
      <c r="W63" s="1"/>
      <c r="X63" s="1"/>
      <c r="Y63" s="1"/>
      <c r="Z63" s="1"/>
      <c r="AA63" s="1">
        <v>32.21</v>
      </c>
      <c r="AB63" s="1">
        <v>29.36</v>
      </c>
      <c r="AC63" s="1">
        <v>11.2</v>
      </c>
      <c r="AD63" s="1">
        <v>11.48</v>
      </c>
      <c r="AE63" s="1">
        <v>11.35</v>
      </c>
      <c r="AF63" s="1">
        <v>11.47</v>
      </c>
    </row>
    <row r="64" spans="1:32">
      <c r="A64" s="26">
        <v>1925</v>
      </c>
      <c r="B64" s="1">
        <v>39.409999999999997</v>
      </c>
      <c r="C64" s="1"/>
      <c r="D64" s="1"/>
      <c r="E64" s="1"/>
      <c r="F64" s="1">
        <v>13.05</v>
      </c>
      <c r="G64" s="1">
        <v>13.5</v>
      </c>
      <c r="H64" s="1">
        <v>11.75</v>
      </c>
      <c r="I64" s="1"/>
      <c r="J64" s="1"/>
      <c r="K64" s="1"/>
      <c r="L64" s="1"/>
      <c r="M64" s="1"/>
      <c r="N64" s="1">
        <v>5.87</v>
      </c>
      <c r="O64" s="1">
        <v>8.32</v>
      </c>
      <c r="P64" s="1"/>
      <c r="Q64" s="1">
        <v>29.23</v>
      </c>
      <c r="R64" s="1">
        <v>30</v>
      </c>
      <c r="S64" s="1">
        <v>4.93</v>
      </c>
      <c r="T64" s="1"/>
      <c r="U64" s="1"/>
      <c r="V64" s="1">
        <v>7.49</v>
      </c>
      <c r="W64" s="1"/>
      <c r="X64" s="1"/>
      <c r="Y64" s="1"/>
      <c r="Z64" s="1"/>
      <c r="AA64" s="1">
        <v>32.729999999999997</v>
      </c>
      <c r="AB64" s="1">
        <v>29.94</v>
      </c>
      <c r="AC64" s="1">
        <v>11.5</v>
      </c>
      <c r="AD64" s="1">
        <v>11.87</v>
      </c>
      <c r="AE64" s="1">
        <v>11.77</v>
      </c>
      <c r="AF64" s="1">
        <v>11.63</v>
      </c>
    </row>
    <row r="65" spans="1:32">
      <c r="A65" s="26">
        <v>1926</v>
      </c>
      <c r="B65" s="1">
        <v>39.479999999999997</v>
      </c>
      <c r="C65" s="1"/>
      <c r="D65" s="1"/>
      <c r="E65" s="1"/>
      <c r="F65" s="1">
        <v>13.26</v>
      </c>
      <c r="G65" s="1">
        <v>13.6</v>
      </c>
      <c r="H65" s="1">
        <v>11.94</v>
      </c>
      <c r="I65" s="1"/>
      <c r="J65" s="1"/>
      <c r="K65" s="1"/>
      <c r="L65" s="1"/>
      <c r="M65" s="1"/>
      <c r="N65" s="1">
        <v>5.96</v>
      </c>
      <c r="O65" s="1">
        <v>8.61</v>
      </c>
      <c r="P65" s="1"/>
      <c r="Q65" s="1">
        <v>29.4</v>
      </c>
      <c r="R65" s="1">
        <v>29.72</v>
      </c>
      <c r="S65" s="1">
        <v>5.05</v>
      </c>
      <c r="T65" s="1"/>
      <c r="U65" s="1"/>
      <c r="V65" s="1">
        <v>8.01</v>
      </c>
      <c r="W65" s="1"/>
      <c r="X65" s="1"/>
      <c r="Y65" s="1"/>
      <c r="Z65" s="1"/>
      <c r="AA65" s="1">
        <v>33.24</v>
      </c>
      <c r="AB65" s="1">
        <v>30.56</v>
      </c>
      <c r="AC65" s="1">
        <v>11.8</v>
      </c>
      <c r="AD65" s="1">
        <v>12.25</v>
      </c>
      <c r="AE65" s="1">
        <v>12.1</v>
      </c>
      <c r="AF65" s="1">
        <v>11.8</v>
      </c>
    </row>
    <row r="66" spans="1:32">
      <c r="A66" s="26">
        <v>1927</v>
      </c>
      <c r="B66" s="1">
        <v>39.549999999999997</v>
      </c>
      <c r="C66" s="1"/>
      <c r="D66" s="1"/>
      <c r="E66" s="1"/>
      <c r="F66" s="1">
        <v>13.47</v>
      </c>
      <c r="G66" s="1">
        <v>13.7</v>
      </c>
      <c r="H66" s="1">
        <v>12.16</v>
      </c>
      <c r="I66" s="1"/>
      <c r="J66" s="1"/>
      <c r="K66" s="1"/>
      <c r="L66" s="1"/>
      <c r="M66" s="1"/>
      <c r="N66" s="1">
        <v>6.07</v>
      </c>
      <c r="O66" s="1">
        <v>8.93</v>
      </c>
      <c r="P66" s="1">
        <v>18.899999999999999</v>
      </c>
      <c r="Q66" s="1">
        <v>29.56</v>
      </c>
      <c r="R66" s="1">
        <v>29.41</v>
      </c>
      <c r="S66" s="1">
        <v>5.17</v>
      </c>
      <c r="T66" s="1"/>
      <c r="U66" s="1"/>
      <c r="V66" s="1">
        <v>8.5399999999999991</v>
      </c>
      <c r="W66" s="1"/>
      <c r="X66" s="1"/>
      <c r="Y66" s="1"/>
      <c r="Z66" s="1"/>
      <c r="AA66" s="1">
        <v>33.72</v>
      </c>
      <c r="AB66" s="1">
        <v>31.19</v>
      </c>
      <c r="AC66" s="1">
        <v>12.1</v>
      </c>
      <c r="AD66" s="1">
        <v>12.62</v>
      </c>
      <c r="AE66" s="1">
        <v>12.32</v>
      </c>
      <c r="AF66" s="1">
        <v>12.02</v>
      </c>
    </row>
    <row r="67" spans="1:32">
      <c r="A67" s="26">
        <v>1928</v>
      </c>
      <c r="B67" s="1">
        <v>39.619999999999997</v>
      </c>
      <c r="C67" s="1"/>
      <c r="D67" s="1"/>
      <c r="E67" s="1"/>
      <c r="F67" s="1">
        <v>13.69</v>
      </c>
      <c r="G67" s="1">
        <v>13.8</v>
      </c>
      <c r="H67" s="1">
        <v>12.41</v>
      </c>
      <c r="I67" s="1"/>
      <c r="J67" s="1"/>
      <c r="K67" s="1"/>
      <c r="L67" s="1"/>
      <c r="M67" s="1"/>
      <c r="N67" s="1">
        <v>6.18</v>
      </c>
      <c r="O67" s="1">
        <v>9.26</v>
      </c>
      <c r="P67" s="1">
        <v>18.87</v>
      </c>
      <c r="Q67" s="1">
        <v>29.69</v>
      </c>
      <c r="R67" s="1">
        <v>29.1</v>
      </c>
      <c r="S67" s="1">
        <v>5.29</v>
      </c>
      <c r="T67" s="1"/>
      <c r="U67" s="1"/>
      <c r="V67" s="1">
        <v>9.07</v>
      </c>
      <c r="W67" s="1"/>
      <c r="X67" s="1"/>
      <c r="Y67" s="1"/>
      <c r="Z67" s="1"/>
      <c r="AA67" s="1">
        <v>34.18</v>
      </c>
      <c r="AB67" s="1">
        <v>31.79</v>
      </c>
      <c r="AC67" s="1">
        <v>12.4</v>
      </c>
      <c r="AD67" s="1">
        <v>12.98</v>
      </c>
      <c r="AE67" s="1">
        <v>12.5</v>
      </c>
      <c r="AF67" s="1">
        <v>12.31</v>
      </c>
    </row>
    <row r="68" spans="1:32">
      <c r="A68" s="26">
        <v>1929</v>
      </c>
      <c r="B68" s="1">
        <v>39.69</v>
      </c>
      <c r="C68" s="1"/>
      <c r="D68" s="1"/>
      <c r="E68" s="1"/>
      <c r="F68" s="1">
        <v>13.91</v>
      </c>
      <c r="G68" s="1">
        <v>13.9</v>
      </c>
      <c r="H68" s="1">
        <v>12.69</v>
      </c>
      <c r="I68" s="1"/>
      <c r="J68" s="1"/>
      <c r="K68" s="1"/>
      <c r="L68" s="1"/>
      <c r="M68" s="1"/>
      <c r="N68" s="1">
        <v>6.29</v>
      </c>
      <c r="O68" s="1">
        <v>9.6199999999999992</v>
      </c>
      <c r="P68" s="1">
        <v>18.829999999999998</v>
      </c>
      <c r="Q68" s="1">
        <v>29.79</v>
      </c>
      <c r="R68" s="1">
        <v>28.79</v>
      </c>
      <c r="S68" s="1">
        <v>5.43</v>
      </c>
      <c r="T68" s="1"/>
      <c r="U68" s="1"/>
      <c r="V68" s="1">
        <v>9.56</v>
      </c>
      <c r="W68" s="1"/>
      <c r="X68" s="1"/>
      <c r="Y68" s="1"/>
      <c r="Z68" s="1"/>
      <c r="AA68" s="1">
        <v>34.61</v>
      </c>
      <c r="AB68" s="1">
        <v>32.340000000000003</v>
      </c>
      <c r="AC68" s="1">
        <v>12.7</v>
      </c>
      <c r="AD68" s="1">
        <v>13.33</v>
      </c>
      <c r="AE68" s="1">
        <v>12.7</v>
      </c>
      <c r="AF68" s="1">
        <v>12.69</v>
      </c>
    </row>
    <row r="69" spans="1:32">
      <c r="A69" s="26">
        <v>1930</v>
      </c>
      <c r="B69" s="1">
        <v>39.76</v>
      </c>
      <c r="C69" s="1"/>
      <c r="D69" s="1"/>
      <c r="E69" s="1"/>
      <c r="F69" s="1">
        <v>14.13</v>
      </c>
      <c r="G69" s="1">
        <v>14</v>
      </c>
      <c r="H69" s="1">
        <v>13</v>
      </c>
      <c r="I69" s="1"/>
      <c r="J69" s="1"/>
      <c r="K69" s="1"/>
      <c r="L69" s="1"/>
      <c r="M69" s="1"/>
      <c r="N69" s="1">
        <v>6.41</v>
      </c>
      <c r="O69" s="1">
        <v>10</v>
      </c>
      <c r="P69" s="1">
        <v>18.8</v>
      </c>
      <c r="Q69" s="1">
        <v>29.86</v>
      </c>
      <c r="R69" s="1">
        <v>28.5</v>
      </c>
      <c r="S69" s="1">
        <v>5.56</v>
      </c>
      <c r="T69" s="1">
        <v>24.3</v>
      </c>
      <c r="U69" s="1"/>
      <c r="V69" s="1">
        <v>10</v>
      </c>
      <c r="W69" s="1">
        <v>10.199999999999999</v>
      </c>
      <c r="X69" s="1"/>
      <c r="Y69" s="1"/>
      <c r="Z69" s="1"/>
      <c r="AA69" s="1">
        <v>35</v>
      </c>
      <c r="AB69" s="1">
        <v>32.799999999999997</v>
      </c>
      <c r="AC69" s="1">
        <v>13</v>
      </c>
      <c r="AD69" s="1">
        <v>13.67</v>
      </c>
      <c r="AE69" s="1">
        <v>13</v>
      </c>
      <c r="AF69" s="1">
        <v>13.14</v>
      </c>
    </row>
    <row r="70" spans="1:32">
      <c r="A70" s="26">
        <v>1931</v>
      </c>
      <c r="B70" s="1">
        <v>39.840000000000003</v>
      </c>
      <c r="C70" s="1"/>
      <c r="D70" s="1"/>
      <c r="E70" s="1"/>
      <c r="F70" s="1">
        <v>14.36</v>
      </c>
      <c r="G70" s="1">
        <v>14.09</v>
      </c>
      <c r="H70" s="1">
        <v>13.68</v>
      </c>
      <c r="I70" s="1"/>
      <c r="J70" s="1"/>
      <c r="K70" s="1"/>
      <c r="L70" s="1"/>
      <c r="M70" s="1"/>
      <c r="N70" s="1">
        <v>6.53</v>
      </c>
      <c r="O70" s="1">
        <v>10.44</v>
      </c>
      <c r="P70" s="1">
        <v>18.77</v>
      </c>
      <c r="Q70" s="1">
        <v>29.9</v>
      </c>
      <c r="R70" s="1">
        <v>28.2</v>
      </c>
      <c r="S70" s="1">
        <v>5.71</v>
      </c>
      <c r="T70" s="1">
        <v>24.74</v>
      </c>
      <c r="U70" s="1"/>
      <c r="V70" s="1">
        <v>10.42</v>
      </c>
      <c r="W70" s="1">
        <v>10.38</v>
      </c>
      <c r="X70" s="1"/>
      <c r="Y70" s="1"/>
      <c r="Z70" s="1"/>
      <c r="AA70" s="1">
        <v>35.340000000000003</v>
      </c>
      <c r="AB70" s="1">
        <v>33.19</v>
      </c>
      <c r="AC70" s="1">
        <v>13.31</v>
      </c>
      <c r="AD70" s="1">
        <v>14</v>
      </c>
      <c r="AE70" s="1">
        <v>13.53</v>
      </c>
      <c r="AF70" s="1">
        <v>13.66</v>
      </c>
    </row>
    <row r="71" spans="1:32">
      <c r="A71" s="26">
        <v>1932</v>
      </c>
      <c r="B71" s="1">
        <v>39.93</v>
      </c>
      <c r="C71" s="1"/>
      <c r="D71" s="1"/>
      <c r="E71" s="1"/>
      <c r="F71" s="1">
        <v>14.6</v>
      </c>
      <c r="G71" s="1">
        <v>14.18</v>
      </c>
      <c r="H71" s="1">
        <v>14.88</v>
      </c>
      <c r="I71" s="1"/>
      <c r="J71" s="1"/>
      <c r="K71" s="1"/>
      <c r="L71" s="1"/>
      <c r="M71" s="1"/>
      <c r="N71" s="1">
        <v>6.66</v>
      </c>
      <c r="O71" s="1">
        <v>10.95</v>
      </c>
      <c r="P71" s="1">
        <v>18.739999999999998</v>
      </c>
      <c r="Q71" s="1">
        <v>29.92</v>
      </c>
      <c r="R71" s="1">
        <v>27.87</v>
      </c>
      <c r="S71" s="1">
        <v>5.86</v>
      </c>
      <c r="T71" s="1">
        <v>25.18</v>
      </c>
      <c r="U71" s="1"/>
      <c r="V71" s="1">
        <v>10.86</v>
      </c>
      <c r="W71" s="1">
        <v>10.57</v>
      </c>
      <c r="X71" s="1"/>
      <c r="Y71" s="1"/>
      <c r="Z71" s="1"/>
      <c r="AA71" s="1">
        <v>35.630000000000003</v>
      </c>
      <c r="AB71" s="1">
        <v>33.53</v>
      </c>
      <c r="AC71" s="1">
        <v>13.62</v>
      </c>
      <c r="AD71" s="1">
        <v>14.31</v>
      </c>
      <c r="AE71" s="1">
        <v>14.35</v>
      </c>
      <c r="AF71" s="1">
        <v>14.25</v>
      </c>
    </row>
    <row r="72" spans="1:32">
      <c r="A72" s="26">
        <v>1933</v>
      </c>
      <c r="B72" s="1">
        <v>40.03</v>
      </c>
      <c r="C72" s="1"/>
      <c r="D72" s="1"/>
      <c r="E72" s="1"/>
      <c r="F72" s="1">
        <v>14.83</v>
      </c>
      <c r="G72" s="1">
        <v>14.25</v>
      </c>
      <c r="H72" s="1">
        <v>16.3</v>
      </c>
      <c r="I72" s="1"/>
      <c r="J72" s="1"/>
      <c r="K72" s="1"/>
      <c r="L72" s="1"/>
      <c r="M72" s="1"/>
      <c r="N72" s="1">
        <v>6.8</v>
      </c>
      <c r="O72" s="1">
        <v>11.52</v>
      </c>
      <c r="P72" s="1">
        <v>18.71</v>
      </c>
      <c r="Q72" s="1">
        <v>29.93</v>
      </c>
      <c r="R72" s="1">
        <v>27.5</v>
      </c>
      <c r="S72" s="1">
        <v>6.03</v>
      </c>
      <c r="T72" s="1">
        <v>25.6</v>
      </c>
      <c r="U72" s="1"/>
      <c r="V72" s="1">
        <v>11.32</v>
      </c>
      <c r="W72" s="1">
        <v>10.76</v>
      </c>
      <c r="X72" s="1"/>
      <c r="Y72" s="1"/>
      <c r="Z72" s="1"/>
      <c r="AA72" s="1">
        <v>35.89</v>
      </c>
      <c r="AB72" s="1">
        <v>33.840000000000003</v>
      </c>
      <c r="AC72" s="1">
        <v>13.94</v>
      </c>
      <c r="AD72" s="1">
        <v>14.61</v>
      </c>
      <c r="AE72" s="1">
        <v>15.39</v>
      </c>
      <c r="AF72" s="1">
        <v>14.9</v>
      </c>
    </row>
    <row r="73" spans="1:32">
      <c r="A73" s="26">
        <v>1934</v>
      </c>
      <c r="B73" s="1">
        <v>40.130000000000003</v>
      </c>
      <c r="C73" s="1"/>
      <c r="D73" s="1"/>
      <c r="E73" s="1"/>
      <c r="F73" s="1">
        <v>15.08</v>
      </c>
      <c r="G73" s="1">
        <v>14.33</v>
      </c>
      <c r="H73" s="1">
        <v>17.670000000000002</v>
      </c>
      <c r="I73" s="1"/>
      <c r="J73" s="1"/>
      <c r="K73" s="1"/>
      <c r="L73" s="1"/>
      <c r="M73" s="1"/>
      <c r="N73" s="1">
        <v>6.95</v>
      </c>
      <c r="O73" s="1">
        <v>12.13</v>
      </c>
      <c r="P73" s="1">
        <v>18.68</v>
      </c>
      <c r="Q73" s="1">
        <v>29.94</v>
      </c>
      <c r="R73" s="1">
        <v>27.1</v>
      </c>
      <c r="S73" s="1">
        <v>6.2</v>
      </c>
      <c r="T73" s="1">
        <v>26</v>
      </c>
      <c r="U73" s="1"/>
      <c r="V73" s="1">
        <v>11.79</v>
      </c>
      <c r="W73" s="1">
        <v>10.94</v>
      </c>
      <c r="X73" s="1"/>
      <c r="Y73" s="1"/>
      <c r="Z73" s="1"/>
      <c r="AA73" s="1">
        <v>36.119999999999997</v>
      </c>
      <c r="AB73" s="1">
        <v>34.14</v>
      </c>
      <c r="AC73" s="1">
        <v>14.26</v>
      </c>
      <c r="AD73" s="1">
        <v>14.88</v>
      </c>
      <c r="AE73" s="1">
        <v>16.59</v>
      </c>
      <c r="AF73" s="1">
        <v>15.61</v>
      </c>
    </row>
    <row r="74" spans="1:32">
      <c r="A74" s="26">
        <v>1935</v>
      </c>
      <c r="B74" s="1">
        <v>40.24</v>
      </c>
      <c r="C74" s="1"/>
      <c r="D74" s="1"/>
      <c r="E74" s="1"/>
      <c r="F74" s="1">
        <v>15.32</v>
      </c>
      <c r="G74" s="1">
        <v>14.41</v>
      </c>
      <c r="H74" s="1">
        <v>18.690000000000001</v>
      </c>
      <c r="I74" s="1"/>
      <c r="J74" s="1"/>
      <c r="K74" s="1"/>
      <c r="L74" s="1"/>
      <c r="M74" s="1"/>
      <c r="N74" s="1">
        <v>7.1</v>
      </c>
      <c r="O74" s="1">
        <v>12.77</v>
      </c>
      <c r="P74" s="1">
        <v>18.649999999999999</v>
      </c>
      <c r="Q74" s="1">
        <v>29.95</v>
      </c>
      <c r="R74" s="1">
        <v>26.68</v>
      </c>
      <c r="S74" s="1">
        <v>6.39</v>
      </c>
      <c r="T74" s="1">
        <v>26.38</v>
      </c>
      <c r="U74" s="1"/>
      <c r="V74" s="1">
        <v>12.24</v>
      </c>
      <c r="W74" s="1">
        <v>11.13</v>
      </c>
      <c r="X74" s="1"/>
      <c r="Y74" s="1"/>
      <c r="Z74" s="1"/>
      <c r="AA74" s="1">
        <v>36.35</v>
      </c>
      <c r="AB74" s="1">
        <v>34.44</v>
      </c>
      <c r="AC74" s="1">
        <v>14.57</v>
      </c>
      <c r="AD74" s="1">
        <v>15.14</v>
      </c>
      <c r="AE74" s="1">
        <v>17.899999999999999</v>
      </c>
      <c r="AF74" s="1">
        <v>16.37</v>
      </c>
    </row>
    <row r="75" spans="1:32">
      <c r="A75" s="26">
        <v>1936</v>
      </c>
      <c r="B75" s="1">
        <v>40.369999999999997</v>
      </c>
      <c r="C75" s="1"/>
      <c r="D75" s="1"/>
      <c r="E75" s="1"/>
      <c r="F75" s="1">
        <v>15.57</v>
      </c>
      <c r="G75" s="1">
        <v>14.49</v>
      </c>
      <c r="H75" s="1">
        <v>19.100000000000001</v>
      </c>
      <c r="I75" s="1"/>
      <c r="J75" s="1"/>
      <c r="K75" s="1"/>
      <c r="L75" s="1"/>
      <c r="M75" s="1"/>
      <c r="N75" s="1">
        <v>7.26</v>
      </c>
      <c r="O75" s="1">
        <v>13.42</v>
      </c>
      <c r="P75" s="1">
        <v>18.62</v>
      </c>
      <c r="Q75" s="1">
        <v>29.95</v>
      </c>
      <c r="R75" s="1">
        <v>26.24</v>
      </c>
      <c r="S75" s="1">
        <v>6.58</v>
      </c>
      <c r="T75" s="1">
        <v>26.72</v>
      </c>
      <c r="U75" s="1"/>
      <c r="V75" s="1">
        <v>12.69</v>
      </c>
      <c r="W75" s="1">
        <v>11.33</v>
      </c>
      <c r="X75" s="1"/>
      <c r="Y75" s="1"/>
      <c r="Z75" s="1"/>
      <c r="AA75" s="1">
        <v>36.590000000000003</v>
      </c>
      <c r="AB75" s="1">
        <v>34.75</v>
      </c>
      <c r="AC75" s="1">
        <v>14.89</v>
      </c>
      <c r="AD75" s="1">
        <v>15.38</v>
      </c>
      <c r="AE75" s="1">
        <v>19.25</v>
      </c>
      <c r="AF75" s="1">
        <v>17.190000000000001</v>
      </c>
    </row>
    <row r="76" spans="1:32">
      <c r="A76" s="26">
        <v>1937</v>
      </c>
      <c r="B76" s="1">
        <v>40.5</v>
      </c>
      <c r="C76" s="1"/>
      <c r="D76" s="1"/>
      <c r="E76" s="1"/>
      <c r="F76" s="1">
        <v>15.83</v>
      </c>
      <c r="G76" s="1">
        <v>14.59</v>
      </c>
      <c r="H76" s="1">
        <v>19</v>
      </c>
      <c r="I76" s="1"/>
      <c r="J76" s="1"/>
      <c r="K76" s="1"/>
      <c r="L76" s="1"/>
      <c r="M76" s="1"/>
      <c r="N76" s="1">
        <v>7.44</v>
      </c>
      <c r="O76" s="1">
        <v>14.07</v>
      </c>
      <c r="P76" s="1">
        <v>18.59</v>
      </c>
      <c r="Q76" s="1">
        <v>29.96</v>
      </c>
      <c r="R76" s="1">
        <v>25.8</v>
      </c>
      <c r="S76" s="1">
        <v>6.79</v>
      </c>
      <c r="T76" s="1">
        <v>27.02</v>
      </c>
      <c r="U76" s="1">
        <v>11.2</v>
      </c>
      <c r="V76" s="1">
        <v>13.1</v>
      </c>
      <c r="W76" s="1">
        <v>11.53</v>
      </c>
      <c r="X76" s="1"/>
      <c r="Y76" s="1"/>
      <c r="Z76" s="1"/>
      <c r="AA76" s="1">
        <v>36.86</v>
      </c>
      <c r="AB76" s="1">
        <v>35.090000000000003</v>
      </c>
      <c r="AC76" s="1">
        <v>15.19</v>
      </c>
      <c r="AD76" s="1">
        <v>15.59</v>
      </c>
      <c r="AE76" s="1">
        <v>20.6</v>
      </c>
      <c r="AF76" s="1">
        <v>18.05</v>
      </c>
    </row>
    <row r="77" spans="1:32">
      <c r="A77" s="26">
        <v>1938</v>
      </c>
      <c r="B77" s="1">
        <v>40.65</v>
      </c>
      <c r="C77" s="1"/>
      <c r="D77" s="1"/>
      <c r="E77" s="1"/>
      <c r="F77" s="1">
        <v>16.09</v>
      </c>
      <c r="G77" s="1">
        <v>14.7</v>
      </c>
      <c r="H77" s="1">
        <v>18.75</v>
      </c>
      <c r="I77" s="1"/>
      <c r="J77" s="1"/>
      <c r="K77" s="1"/>
      <c r="L77" s="1"/>
      <c r="M77" s="1"/>
      <c r="N77" s="1">
        <v>7.63</v>
      </c>
      <c r="O77" s="1">
        <v>14.7</v>
      </c>
      <c r="P77" s="1">
        <v>18.57</v>
      </c>
      <c r="Q77" s="1">
        <v>29.97</v>
      </c>
      <c r="R77" s="1">
        <v>25.35</v>
      </c>
      <c r="S77" s="1">
        <v>7.01</v>
      </c>
      <c r="T77" s="1">
        <v>27.27</v>
      </c>
      <c r="U77" s="1">
        <v>11.95</v>
      </c>
      <c r="V77" s="1">
        <v>13.48</v>
      </c>
      <c r="W77" s="1">
        <v>11.73</v>
      </c>
      <c r="X77" s="1"/>
      <c r="Y77" s="1"/>
      <c r="Z77" s="1"/>
      <c r="AA77" s="1">
        <v>37.17</v>
      </c>
      <c r="AB77" s="1">
        <v>35.47</v>
      </c>
      <c r="AC77" s="1">
        <v>15.48</v>
      </c>
      <c r="AD77" s="1">
        <v>15.78</v>
      </c>
      <c r="AE77" s="1">
        <v>21.88</v>
      </c>
      <c r="AF77" s="1">
        <v>18.96</v>
      </c>
    </row>
    <row r="78" spans="1:32">
      <c r="A78" s="26">
        <v>1939</v>
      </c>
      <c r="B78" s="1">
        <v>40.82</v>
      </c>
      <c r="C78" s="1"/>
      <c r="D78" s="1"/>
      <c r="E78" s="1"/>
      <c r="F78" s="1">
        <v>16.36</v>
      </c>
      <c r="G78" s="1">
        <v>14.84</v>
      </c>
      <c r="H78" s="1">
        <v>18.45</v>
      </c>
      <c r="I78" s="1"/>
      <c r="J78" s="1"/>
      <c r="K78" s="1"/>
      <c r="L78" s="1"/>
      <c r="M78" s="1"/>
      <c r="N78" s="1">
        <v>7.83</v>
      </c>
      <c r="O78" s="1">
        <v>15.3</v>
      </c>
      <c r="P78" s="1">
        <v>18.54</v>
      </c>
      <c r="Q78" s="1">
        <v>29.98</v>
      </c>
      <c r="R78" s="1">
        <v>24.9</v>
      </c>
      <c r="S78" s="1">
        <v>7.25</v>
      </c>
      <c r="T78" s="1">
        <v>27.47</v>
      </c>
      <c r="U78" s="1">
        <v>12.69</v>
      </c>
      <c r="V78" s="1">
        <v>13.82</v>
      </c>
      <c r="W78" s="1">
        <v>11.93</v>
      </c>
      <c r="X78" s="1"/>
      <c r="Y78" s="1"/>
      <c r="Z78" s="1"/>
      <c r="AA78" s="1">
        <v>37.549999999999997</v>
      </c>
      <c r="AB78" s="1">
        <v>35.9</v>
      </c>
      <c r="AC78" s="1">
        <v>15.75</v>
      </c>
      <c r="AD78" s="1">
        <v>15.94</v>
      </c>
      <c r="AE78" s="1">
        <v>23.03</v>
      </c>
      <c r="AF78" s="1">
        <v>19.899999999999999</v>
      </c>
    </row>
    <row r="79" spans="1:32">
      <c r="A79" s="26">
        <v>1940</v>
      </c>
      <c r="B79" s="1">
        <v>41</v>
      </c>
      <c r="C79" s="1"/>
      <c r="D79" s="1"/>
      <c r="E79" s="1"/>
      <c r="F79" s="1">
        <v>16.63</v>
      </c>
      <c r="G79" s="1">
        <v>15</v>
      </c>
      <c r="H79" s="1">
        <v>18.2</v>
      </c>
      <c r="I79" s="1"/>
      <c r="J79" s="1"/>
      <c r="K79" s="1">
        <v>5.8</v>
      </c>
      <c r="L79" s="1">
        <v>6.1</v>
      </c>
      <c r="M79" s="1"/>
      <c r="N79" s="1">
        <v>8.0500000000000007</v>
      </c>
      <c r="O79" s="1">
        <v>15.88</v>
      </c>
      <c r="P79" s="1">
        <v>18.52</v>
      </c>
      <c r="Q79" s="1">
        <v>30</v>
      </c>
      <c r="R79" s="1">
        <v>24.46</v>
      </c>
      <c r="S79" s="1">
        <v>7.5</v>
      </c>
      <c r="T79" s="1">
        <v>27.6</v>
      </c>
      <c r="U79" s="1">
        <v>13.42</v>
      </c>
      <c r="V79" s="1">
        <v>14.1</v>
      </c>
      <c r="W79" s="1">
        <v>12.14</v>
      </c>
      <c r="X79" s="1"/>
      <c r="Y79" s="1"/>
      <c r="Z79" s="1"/>
      <c r="AA79" s="1">
        <v>38</v>
      </c>
      <c r="AB79" s="1">
        <v>36.4</v>
      </c>
      <c r="AC79" s="1">
        <v>16</v>
      </c>
      <c r="AD79" s="1">
        <v>16.07</v>
      </c>
      <c r="AE79" s="1">
        <v>24</v>
      </c>
      <c r="AF79" s="1">
        <v>20.88</v>
      </c>
    </row>
    <row r="80" spans="1:32">
      <c r="A80" s="26">
        <v>1941</v>
      </c>
      <c r="B80" s="1">
        <v>41.5</v>
      </c>
      <c r="C80" s="1"/>
      <c r="D80" s="1"/>
      <c r="E80" s="1"/>
      <c r="F80" s="1">
        <v>16.91</v>
      </c>
      <c r="G80" s="1">
        <v>15.27</v>
      </c>
      <c r="H80" s="1">
        <v>18.100000000000001</v>
      </c>
      <c r="I80" s="1"/>
      <c r="J80" s="1"/>
      <c r="K80" s="1">
        <v>6.67</v>
      </c>
      <c r="L80" s="1">
        <v>6.14</v>
      </c>
      <c r="M80" s="1"/>
      <c r="N80" s="1">
        <v>8.2799999999999994</v>
      </c>
      <c r="O80" s="1">
        <v>16.45</v>
      </c>
      <c r="P80" s="1">
        <v>18.5</v>
      </c>
      <c r="Q80" s="1">
        <v>30.7</v>
      </c>
      <c r="R80" s="1">
        <v>24.04</v>
      </c>
      <c r="S80" s="1">
        <v>7.85</v>
      </c>
      <c r="T80" s="1">
        <v>27.69</v>
      </c>
      <c r="U80" s="1">
        <v>14.15</v>
      </c>
      <c r="V80" s="1">
        <v>14.32</v>
      </c>
      <c r="W80" s="1">
        <v>12.36</v>
      </c>
      <c r="X80" s="1"/>
      <c r="Y80" s="1"/>
      <c r="Z80" s="1"/>
      <c r="AA80" s="1">
        <v>38.630000000000003</v>
      </c>
      <c r="AB80" s="1">
        <v>37.049999999999997</v>
      </c>
      <c r="AC80" s="1">
        <v>16.22</v>
      </c>
      <c r="AD80" s="1">
        <v>16.18</v>
      </c>
      <c r="AE80" s="1">
        <v>24.84</v>
      </c>
      <c r="AF80" s="1">
        <v>21.89</v>
      </c>
    </row>
    <row r="81" spans="1:32">
      <c r="A81" s="26">
        <v>1942</v>
      </c>
      <c r="B81" s="1">
        <v>42.5</v>
      </c>
      <c r="C81" s="1"/>
      <c r="D81" s="1"/>
      <c r="E81" s="1"/>
      <c r="F81" s="1">
        <v>17.2</v>
      </c>
      <c r="G81" s="1">
        <v>15.73</v>
      </c>
      <c r="H81" s="1">
        <v>18.63</v>
      </c>
      <c r="I81" s="1"/>
      <c r="J81" s="1"/>
      <c r="K81" s="1">
        <v>7.54</v>
      </c>
      <c r="L81" s="1">
        <v>6.19</v>
      </c>
      <c r="M81" s="1"/>
      <c r="N81" s="1">
        <v>8.5299999999999994</v>
      </c>
      <c r="O81" s="1">
        <v>17.02</v>
      </c>
      <c r="P81" s="1">
        <v>18.48</v>
      </c>
      <c r="Q81" s="1">
        <v>32.14</v>
      </c>
      <c r="R81" s="1">
        <v>23.63</v>
      </c>
      <c r="S81" s="1">
        <v>8.3800000000000008</v>
      </c>
      <c r="T81" s="1">
        <v>27.76</v>
      </c>
      <c r="U81" s="1">
        <v>14.86</v>
      </c>
      <c r="V81" s="1">
        <v>14.5</v>
      </c>
      <c r="W81" s="1">
        <v>12.59</v>
      </c>
      <c r="X81" s="1"/>
      <c r="Y81" s="1"/>
      <c r="Z81" s="1"/>
      <c r="AA81" s="1">
        <v>39.520000000000003</v>
      </c>
      <c r="AB81" s="1">
        <v>37.909999999999997</v>
      </c>
      <c r="AC81" s="1">
        <v>16.41</v>
      </c>
      <c r="AD81" s="1">
        <v>16.260000000000002</v>
      </c>
      <c r="AE81" s="1">
        <v>25.63</v>
      </c>
      <c r="AF81" s="1">
        <v>22.93</v>
      </c>
    </row>
    <row r="82" spans="1:32">
      <c r="A82" s="26">
        <v>1943</v>
      </c>
      <c r="B82" s="1">
        <v>43.84</v>
      </c>
      <c r="C82" s="1"/>
      <c r="D82" s="1"/>
      <c r="E82" s="1"/>
      <c r="F82" s="1">
        <v>17.489999999999998</v>
      </c>
      <c r="G82" s="1">
        <v>16.329999999999998</v>
      </c>
      <c r="H82" s="1">
        <v>20.100000000000001</v>
      </c>
      <c r="I82" s="1"/>
      <c r="J82" s="1"/>
      <c r="K82" s="1">
        <v>8.4</v>
      </c>
      <c r="L82" s="1">
        <v>6.24</v>
      </c>
      <c r="M82" s="1"/>
      <c r="N82" s="1">
        <v>8.7899999999999991</v>
      </c>
      <c r="O82" s="1">
        <v>17.59</v>
      </c>
      <c r="P82" s="1">
        <v>18.46</v>
      </c>
      <c r="Q82" s="1">
        <v>33.4</v>
      </c>
      <c r="R82" s="1">
        <v>23.25</v>
      </c>
      <c r="S82" s="1">
        <v>9.0500000000000007</v>
      </c>
      <c r="T82" s="1">
        <v>27.81</v>
      </c>
      <c r="U82" s="1">
        <v>15.55</v>
      </c>
      <c r="V82" s="1">
        <v>14.65</v>
      </c>
      <c r="W82" s="1">
        <v>12.82</v>
      </c>
      <c r="X82" s="1"/>
      <c r="Y82" s="1"/>
      <c r="Z82" s="1"/>
      <c r="AA82" s="1">
        <v>40.64</v>
      </c>
      <c r="AB82" s="1">
        <v>38.93</v>
      </c>
      <c r="AC82" s="1">
        <v>16.579999999999998</v>
      </c>
      <c r="AD82" s="1">
        <v>16.3</v>
      </c>
      <c r="AE82" s="1">
        <v>26.4</v>
      </c>
      <c r="AF82" s="1">
        <v>23.99</v>
      </c>
    </row>
    <row r="83" spans="1:32">
      <c r="A83" s="26">
        <v>1944</v>
      </c>
      <c r="B83" s="1">
        <v>45.34</v>
      </c>
      <c r="C83" s="1"/>
      <c r="D83" s="1"/>
      <c r="E83" s="1"/>
      <c r="F83" s="1">
        <v>17.79</v>
      </c>
      <c r="G83" s="1">
        <v>17.04</v>
      </c>
      <c r="H83" s="1">
        <v>22.28</v>
      </c>
      <c r="I83" s="1"/>
      <c r="J83" s="1"/>
      <c r="K83" s="1">
        <v>9.25</v>
      </c>
      <c r="L83" s="1">
        <v>6.29</v>
      </c>
      <c r="M83" s="1"/>
      <c r="N83" s="1">
        <v>9.07</v>
      </c>
      <c r="O83" s="1">
        <v>18.170000000000002</v>
      </c>
      <c r="P83" s="1">
        <v>18.45</v>
      </c>
      <c r="Q83" s="1">
        <v>34.26</v>
      </c>
      <c r="R83" s="1">
        <v>22.9</v>
      </c>
      <c r="S83" s="1">
        <v>9.84</v>
      </c>
      <c r="T83" s="1">
        <v>27.85</v>
      </c>
      <c r="U83" s="1">
        <v>16.22</v>
      </c>
      <c r="V83" s="1">
        <v>14.79</v>
      </c>
      <c r="W83" s="1">
        <v>13.06</v>
      </c>
      <c r="X83" s="1"/>
      <c r="Y83" s="1"/>
      <c r="Z83" s="1"/>
      <c r="AA83" s="1">
        <v>41.96</v>
      </c>
      <c r="AB83" s="1">
        <v>40.06</v>
      </c>
      <c r="AC83" s="1">
        <v>16.73</v>
      </c>
      <c r="AD83" s="1">
        <v>16.32</v>
      </c>
      <c r="AE83" s="1">
        <v>27.13</v>
      </c>
      <c r="AF83" s="1">
        <v>25.07</v>
      </c>
    </row>
    <row r="84" spans="1:32">
      <c r="A84" s="26">
        <v>1945</v>
      </c>
      <c r="B84" s="1">
        <v>46.83</v>
      </c>
      <c r="C84" s="1"/>
      <c r="D84" s="1"/>
      <c r="E84" s="1"/>
      <c r="F84" s="1">
        <v>18.09</v>
      </c>
      <c r="G84" s="1">
        <v>17.84</v>
      </c>
      <c r="H84" s="1">
        <v>24.97</v>
      </c>
      <c r="I84" s="1"/>
      <c r="J84" s="1"/>
      <c r="K84" s="1">
        <v>10.08</v>
      </c>
      <c r="L84" s="1">
        <v>6.35</v>
      </c>
      <c r="M84" s="1"/>
      <c r="N84" s="1">
        <v>9.36</v>
      </c>
      <c r="O84" s="1">
        <v>18.78</v>
      </c>
      <c r="P84" s="1">
        <v>18.43</v>
      </c>
      <c r="Q84" s="1">
        <v>35.090000000000003</v>
      </c>
      <c r="R84" s="1">
        <v>22.59</v>
      </c>
      <c r="S84" s="1">
        <v>10.7</v>
      </c>
      <c r="T84" s="1">
        <v>27.89</v>
      </c>
      <c r="U84" s="1">
        <v>16.87</v>
      </c>
      <c r="V84" s="1">
        <v>14.91</v>
      </c>
      <c r="W84" s="1">
        <v>13.31</v>
      </c>
      <c r="X84" s="1"/>
      <c r="Y84" s="1"/>
      <c r="Z84" s="1"/>
      <c r="AA84" s="1">
        <v>43.45</v>
      </c>
      <c r="AB84" s="1">
        <v>41.28</v>
      </c>
      <c r="AC84" s="1">
        <v>16.89</v>
      </c>
      <c r="AD84" s="1">
        <v>16.34</v>
      </c>
      <c r="AE84" s="1">
        <v>27.83</v>
      </c>
      <c r="AF84" s="1">
        <v>26.17</v>
      </c>
    </row>
    <row r="85" spans="1:32">
      <c r="A85" s="26">
        <v>1946</v>
      </c>
      <c r="B85" s="1">
        <v>48.14</v>
      </c>
      <c r="C85" s="1"/>
      <c r="D85" s="1"/>
      <c r="E85" s="1"/>
      <c r="F85" s="1">
        <v>18.399999999999999</v>
      </c>
      <c r="G85" s="1">
        <v>18.7</v>
      </c>
      <c r="H85" s="1">
        <v>27.96</v>
      </c>
      <c r="I85" s="1"/>
      <c r="J85" s="1"/>
      <c r="K85" s="1">
        <v>10.88</v>
      </c>
      <c r="L85" s="1">
        <v>6.42</v>
      </c>
      <c r="M85" s="1"/>
      <c r="N85" s="1">
        <v>9.67</v>
      </c>
      <c r="O85" s="1">
        <v>19.420000000000002</v>
      </c>
      <c r="P85" s="1">
        <v>18.420000000000002</v>
      </c>
      <c r="Q85" s="1">
        <v>35.89</v>
      </c>
      <c r="R85" s="1">
        <v>22.32</v>
      </c>
      <c r="S85" s="1">
        <v>11.62</v>
      </c>
      <c r="T85" s="1">
        <v>27.93</v>
      </c>
      <c r="U85" s="1">
        <v>17.489999999999998</v>
      </c>
      <c r="V85" s="1">
        <v>15.04</v>
      </c>
      <c r="W85" s="1">
        <v>13.57</v>
      </c>
      <c r="X85" s="1"/>
      <c r="Y85" s="1"/>
      <c r="Z85" s="1"/>
      <c r="AA85" s="1">
        <v>45.08</v>
      </c>
      <c r="AB85" s="1">
        <v>42.53</v>
      </c>
      <c r="AC85" s="1">
        <v>17.05</v>
      </c>
      <c r="AD85" s="1">
        <v>16.350000000000001</v>
      </c>
      <c r="AE85" s="1">
        <v>28.51</v>
      </c>
      <c r="AF85" s="1">
        <v>27.28</v>
      </c>
    </row>
    <row r="86" spans="1:32">
      <c r="A86" s="26">
        <v>1947</v>
      </c>
      <c r="B86" s="1">
        <v>49.1</v>
      </c>
      <c r="C86" s="1"/>
      <c r="D86" s="1"/>
      <c r="E86" s="1"/>
      <c r="F86" s="1">
        <v>18.71</v>
      </c>
      <c r="G86" s="1">
        <v>19.57</v>
      </c>
      <c r="H86" s="1">
        <v>31.04</v>
      </c>
      <c r="I86" s="1"/>
      <c r="J86" s="1"/>
      <c r="K86" s="1">
        <v>11.66</v>
      </c>
      <c r="L86" s="1">
        <v>6.5</v>
      </c>
      <c r="M86" s="1"/>
      <c r="N86" s="1">
        <v>10</v>
      </c>
      <c r="O86" s="1">
        <v>20.11</v>
      </c>
      <c r="P86" s="1">
        <v>18.41</v>
      </c>
      <c r="Q86" s="1">
        <v>36.619999999999997</v>
      </c>
      <c r="R86" s="1">
        <v>22.1</v>
      </c>
      <c r="S86" s="1">
        <v>12.56</v>
      </c>
      <c r="T86" s="1">
        <v>27.97</v>
      </c>
      <c r="U86" s="1">
        <v>18.07</v>
      </c>
      <c r="V86" s="1">
        <v>15.2</v>
      </c>
      <c r="W86" s="1">
        <v>13.83</v>
      </c>
      <c r="X86" s="1"/>
      <c r="Y86" s="1"/>
      <c r="Z86" s="1"/>
      <c r="AA86" s="1">
        <v>46.82</v>
      </c>
      <c r="AB86" s="1">
        <v>43.78</v>
      </c>
      <c r="AC86" s="1">
        <v>17.23</v>
      </c>
      <c r="AD86" s="1">
        <v>16.350000000000001</v>
      </c>
      <c r="AE86" s="1">
        <v>29.16</v>
      </c>
      <c r="AF86" s="1">
        <v>28.39</v>
      </c>
    </row>
    <row r="87" spans="1:32">
      <c r="A87" s="26">
        <v>1948</v>
      </c>
      <c r="B87" s="1">
        <v>49.69</v>
      </c>
      <c r="C87" s="1"/>
      <c r="D87" s="1"/>
      <c r="E87" s="1"/>
      <c r="F87" s="1">
        <v>19.04</v>
      </c>
      <c r="G87" s="1">
        <v>20.43</v>
      </c>
      <c r="H87" s="1">
        <v>34</v>
      </c>
      <c r="I87" s="1"/>
      <c r="J87" s="1"/>
      <c r="K87" s="1">
        <v>12.41</v>
      </c>
      <c r="L87" s="1">
        <v>6.59</v>
      </c>
      <c r="M87" s="1"/>
      <c r="N87" s="1">
        <v>10.35</v>
      </c>
      <c r="O87" s="1">
        <v>20.84</v>
      </c>
      <c r="P87" s="1">
        <v>18.41</v>
      </c>
      <c r="Q87" s="1">
        <v>37.28</v>
      </c>
      <c r="R87" s="1">
        <v>21.94</v>
      </c>
      <c r="S87" s="1">
        <v>13.49</v>
      </c>
      <c r="T87" s="1">
        <v>28.03</v>
      </c>
      <c r="U87" s="1">
        <v>18.62</v>
      </c>
      <c r="V87" s="1">
        <v>15.38</v>
      </c>
      <c r="W87" s="1">
        <v>14.11</v>
      </c>
      <c r="X87" s="1"/>
      <c r="Y87" s="1"/>
      <c r="Z87" s="1"/>
      <c r="AA87" s="1">
        <v>48.65</v>
      </c>
      <c r="AB87" s="1">
        <v>44.99</v>
      </c>
      <c r="AC87" s="1">
        <v>17.440000000000001</v>
      </c>
      <c r="AD87" s="1">
        <v>16.36</v>
      </c>
      <c r="AE87" s="1">
        <v>29.79</v>
      </c>
      <c r="AF87" s="1">
        <v>29.51</v>
      </c>
    </row>
    <row r="88" spans="1:32">
      <c r="A88" s="26">
        <v>1949</v>
      </c>
      <c r="B88" s="1">
        <v>50.15</v>
      </c>
      <c r="C88" s="1"/>
      <c r="D88" s="1"/>
      <c r="E88" s="1"/>
      <c r="F88" s="1">
        <v>19.36</v>
      </c>
      <c r="G88" s="1">
        <v>21.25</v>
      </c>
      <c r="H88" s="1">
        <v>36.619999999999997</v>
      </c>
      <c r="I88" s="1"/>
      <c r="J88" s="1"/>
      <c r="K88" s="1">
        <v>13.13</v>
      </c>
      <c r="L88" s="1">
        <v>6.69</v>
      </c>
      <c r="M88" s="1"/>
      <c r="N88" s="1">
        <v>10.72</v>
      </c>
      <c r="O88" s="1">
        <v>21.64</v>
      </c>
      <c r="P88" s="1">
        <v>18.399999999999999</v>
      </c>
      <c r="Q88" s="1">
        <v>37.840000000000003</v>
      </c>
      <c r="R88" s="1">
        <v>21.84</v>
      </c>
      <c r="S88" s="1">
        <v>14.38</v>
      </c>
      <c r="T88" s="1">
        <v>28.1</v>
      </c>
      <c r="U88" s="1">
        <v>19.13</v>
      </c>
      <c r="V88" s="1">
        <v>15.61</v>
      </c>
      <c r="W88" s="1">
        <v>14.4</v>
      </c>
      <c r="X88" s="1"/>
      <c r="Y88" s="1"/>
      <c r="Z88" s="1"/>
      <c r="AA88" s="1">
        <v>50.54</v>
      </c>
      <c r="AB88" s="1">
        <v>46.11</v>
      </c>
      <c r="AC88" s="1">
        <v>17.7</v>
      </c>
      <c r="AD88" s="1">
        <v>16.38</v>
      </c>
      <c r="AE88" s="1">
        <v>30.4</v>
      </c>
      <c r="AF88" s="1">
        <v>30.64</v>
      </c>
    </row>
    <row r="89" spans="1:32">
      <c r="A89" s="26">
        <v>1950</v>
      </c>
      <c r="B89" s="1">
        <v>50.7</v>
      </c>
      <c r="C89" s="1">
        <v>54.4</v>
      </c>
      <c r="D89" s="1">
        <v>45.5</v>
      </c>
      <c r="E89" s="1">
        <v>37</v>
      </c>
      <c r="F89" s="1">
        <v>19.7</v>
      </c>
      <c r="G89" s="1">
        <v>22</v>
      </c>
      <c r="H89" s="1">
        <v>38.700000000000003</v>
      </c>
      <c r="I89" s="1">
        <v>24.5</v>
      </c>
      <c r="J89" s="1">
        <v>5.5</v>
      </c>
      <c r="K89" s="1">
        <v>13.8</v>
      </c>
      <c r="L89" s="1">
        <v>6.8</v>
      </c>
      <c r="M89" s="1"/>
      <c r="N89" s="1">
        <v>11.1</v>
      </c>
      <c r="O89" s="1">
        <v>22.5</v>
      </c>
      <c r="P89" s="1">
        <v>18.399999999999999</v>
      </c>
      <c r="Q89" s="1">
        <v>38.299999999999997</v>
      </c>
      <c r="R89" s="1">
        <v>21.8</v>
      </c>
      <c r="S89" s="1">
        <v>15.2</v>
      </c>
      <c r="T89" s="1">
        <v>28.2</v>
      </c>
      <c r="U89" s="1">
        <v>19.600000000000001</v>
      </c>
      <c r="V89" s="1">
        <v>15.9</v>
      </c>
      <c r="W89" s="1">
        <v>14.7</v>
      </c>
      <c r="X89" s="1"/>
      <c r="Y89" s="1">
        <v>32</v>
      </c>
      <c r="Z89" s="1">
        <v>22.1</v>
      </c>
      <c r="AA89" s="1">
        <v>52.45</v>
      </c>
      <c r="AB89" s="1">
        <v>47.1</v>
      </c>
      <c r="AC89" s="1">
        <v>18</v>
      </c>
      <c r="AD89" s="1">
        <v>16.399999999999999</v>
      </c>
      <c r="AE89" s="1">
        <v>31</v>
      </c>
      <c r="AF89" s="1">
        <v>31.75</v>
      </c>
    </row>
    <row r="90" spans="1:32">
      <c r="A90" s="26">
        <v>1951</v>
      </c>
      <c r="B90" s="1">
        <v>51.44</v>
      </c>
      <c r="C90" s="1">
        <v>55.55</v>
      </c>
      <c r="D90" s="1">
        <v>45.57</v>
      </c>
      <c r="E90" s="1">
        <v>38.090000000000003</v>
      </c>
      <c r="F90" s="1">
        <v>20.079999999999998</v>
      </c>
      <c r="G90" s="1">
        <v>22.68</v>
      </c>
      <c r="H90" s="1">
        <v>40.39</v>
      </c>
      <c r="I90" s="1"/>
      <c r="J90" s="1">
        <v>5.92</v>
      </c>
      <c r="K90" s="1">
        <v>14.45</v>
      </c>
      <c r="L90" s="1">
        <v>6.97</v>
      </c>
      <c r="M90" s="1"/>
      <c r="N90" s="1">
        <v>11.55</v>
      </c>
      <c r="O90" s="1">
        <v>23.55</v>
      </c>
      <c r="P90" s="1">
        <v>18.47</v>
      </c>
      <c r="Q90" s="1">
        <v>38.68</v>
      </c>
      <c r="R90" s="1">
        <v>21.96</v>
      </c>
      <c r="S90" s="1">
        <v>15.98</v>
      </c>
      <c r="T90" s="1">
        <v>28.42</v>
      </c>
      <c r="U90" s="1">
        <v>20.02</v>
      </c>
      <c r="V90" s="1">
        <v>16.45</v>
      </c>
      <c r="W90" s="1">
        <v>15.05</v>
      </c>
      <c r="X90" s="1"/>
      <c r="Y90" s="1">
        <v>32.65</v>
      </c>
      <c r="Z90" s="1">
        <v>24.24</v>
      </c>
      <c r="AA90" s="1">
        <v>54.36</v>
      </c>
      <c r="AB90" s="1">
        <v>48</v>
      </c>
      <c r="AC90" s="1">
        <v>18.46</v>
      </c>
      <c r="AD90" s="1">
        <v>16.59</v>
      </c>
      <c r="AE90" s="1">
        <v>31.58</v>
      </c>
      <c r="AF90" s="1">
        <v>32.86</v>
      </c>
    </row>
    <row r="91" spans="1:32">
      <c r="A91" s="26">
        <v>1952</v>
      </c>
      <c r="B91" s="1">
        <v>52.28</v>
      </c>
      <c r="C91" s="1">
        <v>56.68</v>
      </c>
      <c r="D91" s="1">
        <v>45.64</v>
      </c>
      <c r="E91" s="1">
        <v>39.159999999999997</v>
      </c>
      <c r="F91" s="1">
        <v>20.52</v>
      </c>
      <c r="G91" s="1">
        <v>23.34</v>
      </c>
      <c r="H91" s="1">
        <v>41.99</v>
      </c>
      <c r="I91" s="1"/>
      <c r="J91" s="1">
        <v>6.34</v>
      </c>
      <c r="K91" s="1">
        <v>15.08</v>
      </c>
      <c r="L91" s="1">
        <v>7.25</v>
      </c>
      <c r="M91" s="1"/>
      <c r="N91" s="1">
        <v>12.1</v>
      </c>
      <c r="O91" s="1">
        <v>24.84</v>
      </c>
      <c r="P91" s="1">
        <v>18.68</v>
      </c>
      <c r="Q91" s="1">
        <v>39.03</v>
      </c>
      <c r="R91" s="1">
        <v>22.4</v>
      </c>
      <c r="S91" s="1">
        <v>16.77</v>
      </c>
      <c r="T91" s="1">
        <v>28.84</v>
      </c>
      <c r="U91" s="1">
        <v>20.399999999999999</v>
      </c>
      <c r="V91" s="1">
        <v>17.420000000000002</v>
      </c>
      <c r="W91" s="1">
        <v>15.49</v>
      </c>
      <c r="X91" s="1"/>
      <c r="Y91" s="1">
        <v>33.29</v>
      </c>
      <c r="Z91" s="1">
        <v>26.34</v>
      </c>
      <c r="AA91" s="1">
        <v>56.25</v>
      </c>
      <c r="AB91" s="1">
        <v>48.87</v>
      </c>
      <c r="AC91" s="1">
        <v>19.16</v>
      </c>
      <c r="AD91" s="1">
        <v>17.07</v>
      </c>
      <c r="AE91" s="1">
        <v>32.14</v>
      </c>
      <c r="AF91" s="1">
        <v>33.96</v>
      </c>
    </row>
    <row r="92" spans="1:32">
      <c r="A92" s="26">
        <v>1953</v>
      </c>
      <c r="B92" s="1">
        <v>53.21</v>
      </c>
      <c r="C92" s="1">
        <v>57.76</v>
      </c>
      <c r="D92" s="1">
        <v>45.7</v>
      </c>
      <c r="E92" s="1">
        <v>40.19</v>
      </c>
      <c r="F92" s="1">
        <v>21.02</v>
      </c>
      <c r="G92" s="1">
        <v>23.99</v>
      </c>
      <c r="H92" s="1">
        <v>43.52</v>
      </c>
      <c r="I92" s="1"/>
      <c r="J92" s="1">
        <v>6.76</v>
      </c>
      <c r="K92" s="1">
        <v>15.71</v>
      </c>
      <c r="L92" s="1">
        <v>7.61</v>
      </c>
      <c r="M92" s="1"/>
      <c r="N92" s="1">
        <v>12.74</v>
      </c>
      <c r="O92" s="1">
        <v>26.33</v>
      </c>
      <c r="P92" s="1">
        <v>18.989999999999998</v>
      </c>
      <c r="Q92" s="1">
        <v>39.36</v>
      </c>
      <c r="R92" s="1">
        <v>23.07</v>
      </c>
      <c r="S92" s="1">
        <v>17.57</v>
      </c>
      <c r="T92" s="1">
        <v>29.41</v>
      </c>
      <c r="U92" s="1">
        <v>20.74</v>
      </c>
      <c r="V92" s="1">
        <v>18.72</v>
      </c>
      <c r="W92" s="1">
        <v>15.99</v>
      </c>
      <c r="X92" s="1"/>
      <c r="Y92" s="1">
        <v>33.92</v>
      </c>
      <c r="Z92" s="1">
        <v>28.36</v>
      </c>
      <c r="AA92" s="1">
        <v>58.08</v>
      </c>
      <c r="AB92" s="1">
        <v>49.71</v>
      </c>
      <c r="AC92" s="1">
        <v>20.05</v>
      </c>
      <c r="AD92" s="1">
        <v>17.79</v>
      </c>
      <c r="AE92" s="1">
        <v>32.68</v>
      </c>
      <c r="AF92" s="1">
        <v>35.04</v>
      </c>
    </row>
    <row r="93" spans="1:32">
      <c r="A93" s="26">
        <v>1954</v>
      </c>
      <c r="B93" s="1">
        <v>54.19</v>
      </c>
      <c r="C93" s="1">
        <v>58.77</v>
      </c>
      <c r="D93" s="1">
        <v>45.77</v>
      </c>
      <c r="E93" s="1">
        <v>41.15</v>
      </c>
      <c r="F93" s="1">
        <v>21.59</v>
      </c>
      <c r="G93" s="1">
        <v>24.63</v>
      </c>
      <c r="H93" s="1">
        <v>44.97</v>
      </c>
      <c r="I93" s="1"/>
      <c r="J93" s="1">
        <v>7.18</v>
      </c>
      <c r="K93" s="1">
        <v>16.309999999999999</v>
      </c>
      <c r="L93" s="1">
        <v>8.0399999999999991</v>
      </c>
      <c r="M93" s="1"/>
      <c r="N93" s="1">
        <v>13.46</v>
      </c>
      <c r="O93" s="1">
        <v>27.95</v>
      </c>
      <c r="P93" s="1">
        <v>19.399999999999999</v>
      </c>
      <c r="Q93" s="1">
        <v>39.67</v>
      </c>
      <c r="R93" s="1">
        <v>23.91</v>
      </c>
      <c r="S93" s="1">
        <v>18.38</v>
      </c>
      <c r="T93" s="1">
        <v>30.1</v>
      </c>
      <c r="U93" s="1">
        <v>21.06</v>
      </c>
      <c r="V93" s="1">
        <v>20.28</v>
      </c>
      <c r="W93" s="1">
        <v>16.52</v>
      </c>
      <c r="X93" s="1"/>
      <c r="Y93" s="1">
        <v>34.54</v>
      </c>
      <c r="Z93" s="1">
        <v>30.26</v>
      </c>
      <c r="AA93" s="1">
        <v>59.82</v>
      </c>
      <c r="AB93" s="1">
        <v>50.52</v>
      </c>
      <c r="AC93" s="1">
        <v>21.07</v>
      </c>
      <c r="AD93" s="1">
        <v>18.68</v>
      </c>
      <c r="AE93" s="1">
        <v>33.200000000000003</v>
      </c>
      <c r="AF93" s="1">
        <v>36.11</v>
      </c>
    </row>
    <row r="94" spans="1:32">
      <c r="A94" s="26">
        <v>1955</v>
      </c>
      <c r="B94" s="1">
        <v>55.21</v>
      </c>
      <c r="C94" s="1">
        <v>59.69</v>
      </c>
      <c r="D94" s="1">
        <v>45.84</v>
      </c>
      <c r="E94" s="1">
        <v>42.02</v>
      </c>
      <c r="F94" s="1">
        <v>22.2</v>
      </c>
      <c r="G94" s="1">
        <v>25.28</v>
      </c>
      <c r="H94" s="1">
        <v>46.36</v>
      </c>
      <c r="I94" s="1"/>
      <c r="J94" s="1">
        <v>7.6</v>
      </c>
      <c r="K94" s="1">
        <v>16.89</v>
      </c>
      <c r="L94" s="1">
        <v>8.5299999999999994</v>
      </c>
      <c r="M94" s="1"/>
      <c r="N94" s="1">
        <v>14.24</v>
      </c>
      <c r="O94" s="1">
        <v>29.64</v>
      </c>
      <c r="P94" s="1">
        <v>19.89</v>
      </c>
      <c r="Q94" s="1">
        <v>39.96</v>
      </c>
      <c r="R94" s="1">
        <v>24.88</v>
      </c>
      <c r="S94" s="1">
        <v>19.170000000000002</v>
      </c>
      <c r="T94" s="1">
        <v>30.88</v>
      </c>
      <c r="U94" s="1">
        <v>21.37</v>
      </c>
      <c r="V94" s="1">
        <v>22.02</v>
      </c>
      <c r="W94" s="1">
        <v>17.079999999999998</v>
      </c>
      <c r="X94" s="1"/>
      <c r="Y94" s="1">
        <v>35.130000000000003</v>
      </c>
      <c r="Z94" s="1">
        <v>31.99</v>
      </c>
      <c r="AA94" s="1">
        <v>61.45</v>
      </c>
      <c r="AB94" s="1">
        <v>51.32</v>
      </c>
      <c r="AC94" s="1">
        <v>22.2</v>
      </c>
      <c r="AD94" s="1">
        <v>19.71</v>
      </c>
      <c r="AE94" s="1">
        <v>33.71</v>
      </c>
      <c r="AF94" s="1">
        <v>37.15</v>
      </c>
    </row>
    <row r="95" spans="1:32">
      <c r="A95" s="26">
        <v>1956</v>
      </c>
      <c r="B95" s="1">
        <v>56.24</v>
      </c>
      <c r="C95" s="1">
        <v>60.5</v>
      </c>
      <c r="D95" s="1">
        <v>45.91</v>
      </c>
      <c r="E95" s="1">
        <v>42.78</v>
      </c>
      <c r="F95" s="1">
        <v>22.87</v>
      </c>
      <c r="G95" s="1">
        <v>25.95</v>
      </c>
      <c r="H95" s="1">
        <v>47.7</v>
      </c>
      <c r="I95" s="1"/>
      <c r="J95" s="1">
        <v>8.02</v>
      </c>
      <c r="K95" s="1">
        <v>17.440000000000001</v>
      </c>
      <c r="L95" s="1">
        <v>9.07</v>
      </c>
      <c r="M95" s="1"/>
      <c r="N95" s="1">
        <v>15.07</v>
      </c>
      <c r="O95" s="1">
        <v>31.35</v>
      </c>
      <c r="P95" s="1">
        <v>20.43</v>
      </c>
      <c r="Q95" s="1">
        <v>40.229999999999997</v>
      </c>
      <c r="R95" s="1">
        <v>25.91</v>
      </c>
      <c r="S95" s="1">
        <v>19.97</v>
      </c>
      <c r="T95" s="1">
        <v>31.69</v>
      </c>
      <c r="U95" s="1">
        <v>21.67</v>
      </c>
      <c r="V95" s="1">
        <v>23.86</v>
      </c>
      <c r="W95" s="1">
        <v>17.64</v>
      </c>
      <c r="X95" s="1"/>
      <c r="Y95" s="1">
        <v>35.700000000000003</v>
      </c>
      <c r="Z95" s="1">
        <v>33.520000000000003</v>
      </c>
      <c r="AA95" s="1">
        <v>62.94</v>
      </c>
      <c r="AB95" s="1">
        <v>52.1</v>
      </c>
      <c r="AC95" s="1">
        <v>23.38</v>
      </c>
      <c r="AD95" s="1">
        <v>20.81</v>
      </c>
      <c r="AE95" s="1">
        <v>34.200000000000003</v>
      </c>
      <c r="AF95" s="1">
        <v>38.159999999999997</v>
      </c>
    </row>
    <row r="96" spans="1:32">
      <c r="A96" s="26">
        <v>1957</v>
      </c>
      <c r="B96" s="1">
        <v>57.25</v>
      </c>
      <c r="C96" s="1">
        <v>61.16</v>
      </c>
      <c r="D96" s="1">
        <v>45.98</v>
      </c>
      <c r="E96" s="1">
        <v>43.41</v>
      </c>
      <c r="F96" s="1">
        <v>23.57</v>
      </c>
      <c r="G96" s="1">
        <v>26.64</v>
      </c>
      <c r="H96" s="1">
        <v>49</v>
      </c>
      <c r="I96" s="1"/>
      <c r="J96" s="1">
        <v>8.43</v>
      </c>
      <c r="K96" s="1">
        <v>17.96</v>
      </c>
      <c r="L96" s="1">
        <v>9.65</v>
      </c>
      <c r="M96" s="1"/>
      <c r="N96" s="1">
        <v>15.95</v>
      </c>
      <c r="O96" s="1">
        <v>33.020000000000003</v>
      </c>
      <c r="P96" s="1">
        <v>21.02</v>
      </c>
      <c r="Q96" s="1">
        <v>40.49</v>
      </c>
      <c r="R96" s="1">
        <v>26.95</v>
      </c>
      <c r="S96" s="1">
        <v>20.75</v>
      </c>
      <c r="T96" s="1">
        <v>32.51</v>
      </c>
      <c r="U96" s="1">
        <v>21.97</v>
      </c>
      <c r="V96" s="1">
        <v>25.73</v>
      </c>
      <c r="W96" s="1">
        <v>18.190000000000001</v>
      </c>
      <c r="X96" s="1"/>
      <c r="Y96" s="1">
        <v>36.24</v>
      </c>
      <c r="Z96" s="1">
        <v>34.81</v>
      </c>
      <c r="AA96" s="1">
        <v>64.260000000000005</v>
      </c>
      <c r="AB96" s="1">
        <v>52.86</v>
      </c>
      <c r="AC96" s="1">
        <v>24.56</v>
      </c>
      <c r="AD96" s="1">
        <v>21.94</v>
      </c>
      <c r="AE96" s="1">
        <v>34.68</v>
      </c>
      <c r="AF96" s="1">
        <v>39.14</v>
      </c>
    </row>
    <row r="97" spans="1:32">
      <c r="A97" s="26">
        <v>1958</v>
      </c>
      <c r="B97" s="1">
        <v>58.24</v>
      </c>
      <c r="C97" s="1">
        <v>61.67</v>
      </c>
      <c r="D97" s="1">
        <v>46.05</v>
      </c>
      <c r="E97" s="1">
        <v>43.89</v>
      </c>
      <c r="F97" s="1">
        <v>24.31</v>
      </c>
      <c r="G97" s="1">
        <v>27.37</v>
      </c>
      <c r="H97" s="1">
        <v>50.26</v>
      </c>
      <c r="I97" s="1"/>
      <c r="J97" s="1">
        <v>8.85</v>
      </c>
      <c r="K97" s="1">
        <v>18.45</v>
      </c>
      <c r="L97" s="1">
        <v>10.26</v>
      </c>
      <c r="M97" s="1"/>
      <c r="N97" s="1">
        <v>16.850000000000001</v>
      </c>
      <c r="O97" s="1">
        <v>34.590000000000003</v>
      </c>
      <c r="P97" s="1">
        <v>21.62</v>
      </c>
      <c r="Q97" s="1">
        <v>40.74</v>
      </c>
      <c r="R97" s="1">
        <v>27.95</v>
      </c>
      <c r="S97" s="1">
        <v>21.52</v>
      </c>
      <c r="T97" s="1">
        <v>33.29</v>
      </c>
      <c r="U97" s="1">
        <v>22.29</v>
      </c>
      <c r="V97" s="1">
        <v>27.54</v>
      </c>
      <c r="W97" s="1">
        <v>18.690000000000001</v>
      </c>
      <c r="X97" s="1"/>
      <c r="Y97" s="1">
        <v>36.74</v>
      </c>
      <c r="Z97" s="1">
        <v>35.81</v>
      </c>
      <c r="AA97" s="1">
        <v>65.38</v>
      </c>
      <c r="AB97" s="1">
        <v>53.61</v>
      </c>
      <c r="AC97" s="1">
        <v>25.71</v>
      </c>
      <c r="AD97" s="1">
        <v>23.03</v>
      </c>
      <c r="AE97" s="1">
        <v>35.15</v>
      </c>
      <c r="AF97" s="1">
        <v>40.090000000000003</v>
      </c>
    </row>
    <row r="98" spans="1:32">
      <c r="A98" s="26">
        <v>1959</v>
      </c>
      <c r="B98" s="1">
        <v>59.16</v>
      </c>
      <c r="C98" s="1">
        <v>61.99</v>
      </c>
      <c r="D98" s="1">
        <v>46.13</v>
      </c>
      <c r="E98" s="1">
        <v>44.19</v>
      </c>
      <c r="F98" s="1">
        <v>25.08</v>
      </c>
      <c r="G98" s="1">
        <v>28.16</v>
      </c>
      <c r="H98" s="1">
        <v>51.49</v>
      </c>
      <c r="I98" s="1"/>
      <c r="J98" s="1">
        <v>9.27</v>
      </c>
      <c r="K98" s="1">
        <v>18.899999999999999</v>
      </c>
      <c r="L98" s="1">
        <v>10.88</v>
      </c>
      <c r="M98" s="1"/>
      <c r="N98" s="1">
        <v>17.77</v>
      </c>
      <c r="O98" s="1">
        <v>36</v>
      </c>
      <c r="P98" s="1">
        <v>22.22</v>
      </c>
      <c r="Q98" s="1">
        <v>40.98</v>
      </c>
      <c r="R98" s="1">
        <v>28.85</v>
      </c>
      <c r="S98" s="1">
        <v>22.27</v>
      </c>
      <c r="T98" s="1">
        <v>34</v>
      </c>
      <c r="U98" s="1">
        <v>22.63</v>
      </c>
      <c r="V98" s="1">
        <v>29.23</v>
      </c>
      <c r="W98" s="1">
        <v>19.13</v>
      </c>
      <c r="X98" s="1"/>
      <c r="Y98" s="1">
        <v>37.19</v>
      </c>
      <c r="Z98" s="1">
        <v>36.49</v>
      </c>
      <c r="AA98" s="1">
        <v>66.27</v>
      </c>
      <c r="AB98" s="1">
        <v>54.36</v>
      </c>
      <c r="AC98" s="1">
        <v>26.77</v>
      </c>
      <c r="AD98" s="1">
        <v>24.03</v>
      </c>
      <c r="AE98" s="1">
        <v>35.6</v>
      </c>
      <c r="AF98" s="1">
        <v>41</v>
      </c>
    </row>
    <row r="99" spans="1:32">
      <c r="A99" s="26">
        <v>1960</v>
      </c>
      <c r="B99" s="1">
        <v>60</v>
      </c>
      <c r="C99" s="1">
        <v>62.1</v>
      </c>
      <c r="D99" s="1">
        <v>46.2</v>
      </c>
      <c r="E99" s="1">
        <v>44.3</v>
      </c>
      <c r="F99" s="1">
        <v>25.88</v>
      </c>
      <c r="G99" s="1">
        <v>29</v>
      </c>
      <c r="H99" s="1">
        <v>52.7</v>
      </c>
      <c r="I99" s="1"/>
      <c r="J99" s="1">
        <v>9.68</v>
      </c>
      <c r="K99" s="1">
        <v>19.3</v>
      </c>
      <c r="L99" s="1">
        <v>11.5</v>
      </c>
      <c r="M99" s="1">
        <v>30.3</v>
      </c>
      <c r="N99" s="1">
        <v>18.7</v>
      </c>
      <c r="O99" s="1">
        <v>37.200000000000003</v>
      </c>
      <c r="P99" s="1">
        <v>22.8</v>
      </c>
      <c r="Q99" s="1">
        <v>41.21</v>
      </c>
      <c r="R99" s="1">
        <v>29.6</v>
      </c>
      <c r="S99" s="1">
        <v>23</v>
      </c>
      <c r="T99" s="1">
        <v>34.6</v>
      </c>
      <c r="U99" s="1">
        <v>23</v>
      </c>
      <c r="V99" s="1">
        <v>30.7</v>
      </c>
      <c r="W99" s="1">
        <v>19.5</v>
      </c>
      <c r="X99" s="1">
        <v>25.6</v>
      </c>
      <c r="Y99" s="1">
        <v>37.6</v>
      </c>
      <c r="Z99" s="1">
        <v>36.799999999999997</v>
      </c>
      <c r="AA99" s="1">
        <v>66.900000000000006</v>
      </c>
      <c r="AB99" s="1">
        <v>55.1</v>
      </c>
      <c r="AC99" s="1">
        <v>27.7</v>
      </c>
      <c r="AD99" s="1">
        <v>24.9</v>
      </c>
      <c r="AE99" s="1">
        <v>36</v>
      </c>
      <c r="AF99" s="1">
        <v>41.89</v>
      </c>
    </row>
    <row r="100" spans="1:32">
      <c r="A100" s="26">
        <v>1961</v>
      </c>
      <c r="B100" s="1">
        <v>60.79</v>
      </c>
      <c r="C100" s="1">
        <v>62.04</v>
      </c>
      <c r="D100" s="1">
        <v>46.28</v>
      </c>
      <c r="E100" s="1">
        <v>44.15</v>
      </c>
      <c r="F100" s="1">
        <v>26.7</v>
      </c>
      <c r="G100" s="1">
        <v>29.93</v>
      </c>
      <c r="H100" s="1">
        <v>53.9</v>
      </c>
      <c r="I100" s="1"/>
      <c r="J100" s="1">
        <v>10.09</v>
      </c>
      <c r="K100" s="1">
        <v>19.690000000000001</v>
      </c>
      <c r="L100" s="1">
        <v>12.18</v>
      </c>
      <c r="M100" s="1">
        <v>30.47</v>
      </c>
      <c r="N100" s="1">
        <v>19.670000000000002</v>
      </c>
      <c r="O100" s="1">
        <v>38.22</v>
      </c>
      <c r="P100" s="1">
        <v>23.44</v>
      </c>
      <c r="Q100" s="1">
        <v>41.44</v>
      </c>
      <c r="R100" s="1">
        <v>30.24</v>
      </c>
      <c r="S100" s="1">
        <v>23.71</v>
      </c>
      <c r="T100" s="1">
        <v>35.11</v>
      </c>
      <c r="U100" s="1">
        <v>23.4</v>
      </c>
      <c r="V100" s="1">
        <v>32.04</v>
      </c>
      <c r="W100" s="1">
        <v>19.79</v>
      </c>
      <c r="X100" s="1">
        <v>25.81</v>
      </c>
      <c r="Y100" s="1">
        <v>37.99</v>
      </c>
      <c r="Z100" s="1">
        <v>36.9</v>
      </c>
      <c r="AA100" s="1">
        <v>67.37</v>
      </c>
      <c r="AB100" s="1">
        <v>55.83</v>
      </c>
      <c r="AC100" s="1">
        <v>28.54</v>
      </c>
      <c r="AD100" s="1">
        <v>25.67</v>
      </c>
      <c r="AE100" s="1">
        <v>36.58</v>
      </c>
      <c r="AF100" s="1">
        <v>42.79</v>
      </c>
    </row>
    <row r="101" spans="1:32">
      <c r="A101" s="26">
        <v>1962</v>
      </c>
      <c r="B101" s="1">
        <v>61.56</v>
      </c>
      <c r="C101" s="1">
        <v>61.89</v>
      </c>
      <c r="D101" s="1">
        <v>46.38</v>
      </c>
      <c r="E101" s="1">
        <v>43.72</v>
      </c>
      <c r="F101" s="1">
        <v>27.53</v>
      </c>
      <c r="G101" s="1">
        <v>30.97</v>
      </c>
      <c r="H101" s="1">
        <v>55.07</v>
      </c>
      <c r="I101" s="1"/>
      <c r="J101" s="1">
        <v>10.5</v>
      </c>
      <c r="K101" s="1">
        <v>20.09</v>
      </c>
      <c r="L101" s="1">
        <v>12.96</v>
      </c>
      <c r="M101" s="1">
        <v>30.65</v>
      </c>
      <c r="N101" s="1">
        <v>20.74</v>
      </c>
      <c r="O101" s="1">
        <v>39.159999999999997</v>
      </c>
      <c r="P101" s="1">
        <v>24.22</v>
      </c>
      <c r="Q101" s="1">
        <v>41.67</v>
      </c>
      <c r="R101" s="1">
        <v>30.86</v>
      </c>
      <c r="S101" s="1">
        <v>24.41</v>
      </c>
      <c r="T101" s="1">
        <v>35.6</v>
      </c>
      <c r="U101" s="1">
        <v>23.82</v>
      </c>
      <c r="V101" s="1">
        <v>33.39</v>
      </c>
      <c r="W101" s="1">
        <v>20.05</v>
      </c>
      <c r="X101" s="1">
        <v>26.01</v>
      </c>
      <c r="Y101" s="1">
        <v>38.39</v>
      </c>
      <c r="Z101" s="1">
        <v>36.979999999999997</v>
      </c>
      <c r="AA101" s="1">
        <v>67.77</v>
      </c>
      <c r="AB101" s="1">
        <v>56.55</v>
      </c>
      <c r="AC101" s="1">
        <v>29.34</v>
      </c>
      <c r="AD101" s="1">
        <v>26.44</v>
      </c>
      <c r="AE101" s="1">
        <v>37.24</v>
      </c>
      <c r="AF101" s="1">
        <v>43.7</v>
      </c>
    </row>
    <row r="102" spans="1:32">
      <c r="A102" s="26">
        <v>1963</v>
      </c>
      <c r="B102" s="1">
        <v>62.32</v>
      </c>
      <c r="C102" s="1">
        <v>61.67</v>
      </c>
      <c r="D102" s="1">
        <v>46.48</v>
      </c>
      <c r="E102" s="1">
        <v>43.07</v>
      </c>
      <c r="F102" s="1">
        <v>28.38</v>
      </c>
      <c r="G102" s="1">
        <v>32.08</v>
      </c>
      <c r="H102" s="1">
        <v>56.22</v>
      </c>
      <c r="I102" s="1"/>
      <c r="J102" s="1">
        <v>10.91</v>
      </c>
      <c r="K102" s="1">
        <v>20.48</v>
      </c>
      <c r="L102" s="1">
        <v>13.84</v>
      </c>
      <c r="M102" s="1">
        <v>30.82</v>
      </c>
      <c r="N102" s="1">
        <v>21.88</v>
      </c>
      <c r="O102" s="1">
        <v>40.020000000000003</v>
      </c>
      <c r="P102" s="1">
        <v>25.09</v>
      </c>
      <c r="Q102" s="1">
        <v>41.91</v>
      </c>
      <c r="R102" s="1">
        <v>31.44</v>
      </c>
      <c r="S102" s="1">
        <v>25.09</v>
      </c>
      <c r="T102" s="1">
        <v>36.06</v>
      </c>
      <c r="U102" s="1">
        <v>24.25</v>
      </c>
      <c r="V102" s="1">
        <v>34.72</v>
      </c>
      <c r="W102" s="1">
        <v>20.27</v>
      </c>
      <c r="X102" s="1">
        <v>26.21</v>
      </c>
      <c r="Y102" s="1">
        <v>38.79</v>
      </c>
      <c r="Z102" s="1">
        <v>37.03</v>
      </c>
      <c r="AA102" s="1">
        <v>68.13</v>
      </c>
      <c r="AB102" s="1">
        <v>57.25</v>
      </c>
      <c r="AC102" s="1">
        <v>30.13</v>
      </c>
      <c r="AD102" s="1">
        <v>27.19</v>
      </c>
      <c r="AE102" s="1">
        <v>37.97</v>
      </c>
      <c r="AF102" s="1">
        <v>44.6</v>
      </c>
    </row>
    <row r="103" spans="1:32">
      <c r="A103" s="26">
        <v>1964</v>
      </c>
      <c r="B103" s="1">
        <v>63.06</v>
      </c>
      <c r="C103" s="1">
        <v>61.4</v>
      </c>
      <c r="D103" s="1">
        <v>46.59</v>
      </c>
      <c r="E103" s="1">
        <v>42.24</v>
      </c>
      <c r="F103" s="1">
        <v>29.22</v>
      </c>
      <c r="G103" s="1">
        <v>33.26</v>
      </c>
      <c r="H103" s="1">
        <v>57.35</v>
      </c>
      <c r="I103" s="1"/>
      <c r="J103" s="1">
        <v>11.32</v>
      </c>
      <c r="K103" s="1">
        <v>20.87</v>
      </c>
      <c r="L103" s="1">
        <v>14.77</v>
      </c>
      <c r="M103" s="1">
        <v>30.99</v>
      </c>
      <c r="N103" s="1">
        <v>23.07</v>
      </c>
      <c r="O103" s="1">
        <v>40.840000000000003</v>
      </c>
      <c r="P103" s="1">
        <v>26.01</v>
      </c>
      <c r="Q103" s="1">
        <v>42.14</v>
      </c>
      <c r="R103" s="1">
        <v>32.01</v>
      </c>
      <c r="S103" s="1">
        <v>25.77</v>
      </c>
      <c r="T103" s="1">
        <v>36.5</v>
      </c>
      <c r="U103" s="1">
        <v>24.7</v>
      </c>
      <c r="V103" s="1">
        <v>36.03</v>
      </c>
      <c r="W103" s="1">
        <v>20.47</v>
      </c>
      <c r="X103" s="1">
        <v>26.4</v>
      </c>
      <c r="Y103" s="1">
        <v>39.17</v>
      </c>
      <c r="Z103" s="1">
        <v>37.08</v>
      </c>
      <c r="AA103" s="1">
        <v>68.45</v>
      </c>
      <c r="AB103" s="1">
        <v>57.95</v>
      </c>
      <c r="AC103" s="1">
        <v>30.89</v>
      </c>
      <c r="AD103" s="1">
        <v>27.93</v>
      </c>
      <c r="AE103" s="1">
        <v>38.76</v>
      </c>
      <c r="AF103" s="1">
        <v>45.51</v>
      </c>
    </row>
    <row r="104" spans="1:32">
      <c r="A104" s="26">
        <v>1965</v>
      </c>
      <c r="B104" s="1">
        <v>63.78</v>
      </c>
      <c r="C104" s="1">
        <v>61.1</v>
      </c>
      <c r="D104" s="1">
        <v>46.69</v>
      </c>
      <c r="E104" s="1">
        <v>41.27</v>
      </c>
      <c r="F104" s="1">
        <v>30.07</v>
      </c>
      <c r="G104" s="1">
        <v>34.49</v>
      </c>
      <c r="H104" s="1">
        <v>58.44</v>
      </c>
      <c r="I104" s="1"/>
      <c r="J104" s="1">
        <v>11.72</v>
      </c>
      <c r="K104" s="1">
        <v>21.22</v>
      </c>
      <c r="L104" s="1">
        <v>15.75</v>
      </c>
      <c r="M104" s="1">
        <v>31.16</v>
      </c>
      <c r="N104" s="1">
        <v>24.31</v>
      </c>
      <c r="O104" s="1">
        <v>41.62</v>
      </c>
      <c r="P104" s="1">
        <v>26.96</v>
      </c>
      <c r="Q104" s="1">
        <v>42.38</v>
      </c>
      <c r="R104" s="1">
        <v>32.57</v>
      </c>
      <c r="S104" s="1">
        <v>26.43</v>
      </c>
      <c r="T104" s="1">
        <v>36.94</v>
      </c>
      <c r="U104" s="1">
        <v>25.16</v>
      </c>
      <c r="V104" s="1">
        <v>37.31</v>
      </c>
      <c r="W104" s="1">
        <v>20.66</v>
      </c>
      <c r="X104" s="1">
        <v>26.56</v>
      </c>
      <c r="Y104" s="1">
        <v>39.53</v>
      </c>
      <c r="Z104" s="1">
        <v>37.119999999999997</v>
      </c>
      <c r="AA104" s="1">
        <v>68.73</v>
      </c>
      <c r="AB104" s="1">
        <v>58.63</v>
      </c>
      <c r="AC104" s="1">
        <v>31.64</v>
      </c>
      <c r="AD104" s="1">
        <v>28.66</v>
      </c>
      <c r="AE104" s="1">
        <v>39.61</v>
      </c>
      <c r="AF104" s="1">
        <v>46.41</v>
      </c>
    </row>
    <row r="105" spans="1:32">
      <c r="A105" s="26">
        <v>1966</v>
      </c>
      <c r="B105" s="1">
        <v>64.47</v>
      </c>
      <c r="C105" s="1">
        <v>60.8</v>
      </c>
      <c r="D105" s="1">
        <v>46.79</v>
      </c>
      <c r="E105" s="1">
        <v>40.229999999999997</v>
      </c>
      <c r="F105" s="1">
        <v>30.91</v>
      </c>
      <c r="G105" s="1">
        <v>35.74</v>
      </c>
      <c r="H105" s="1">
        <v>59.49</v>
      </c>
      <c r="I105" s="1"/>
      <c r="J105" s="1">
        <v>12.12</v>
      </c>
      <c r="K105" s="1">
        <v>21.54</v>
      </c>
      <c r="L105" s="1">
        <v>16.75</v>
      </c>
      <c r="M105" s="1">
        <v>31.32</v>
      </c>
      <c r="N105" s="1">
        <v>25.56</v>
      </c>
      <c r="O105" s="1">
        <v>42.39</v>
      </c>
      <c r="P105" s="1">
        <v>27.9</v>
      </c>
      <c r="Q105" s="1">
        <v>42.64</v>
      </c>
      <c r="R105" s="1">
        <v>33.11</v>
      </c>
      <c r="S105" s="1">
        <v>27.08</v>
      </c>
      <c r="T105" s="1">
        <v>37.36</v>
      </c>
      <c r="U105" s="1">
        <v>25.63</v>
      </c>
      <c r="V105" s="1">
        <v>38.549999999999997</v>
      </c>
      <c r="W105" s="1">
        <v>20.85</v>
      </c>
      <c r="X105" s="1">
        <v>26.71</v>
      </c>
      <c r="Y105" s="1">
        <v>39.85</v>
      </c>
      <c r="Z105" s="1">
        <v>37.15</v>
      </c>
      <c r="AA105" s="1">
        <v>68.989999999999995</v>
      </c>
      <c r="AB105" s="1">
        <v>59.31</v>
      </c>
      <c r="AC105" s="1">
        <v>32.380000000000003</v>
      </c>
      <c r="AD105" s="1">
        <v>29.38</v>
      </c>
      <c r="AE105" s="1">
        <v>40.49</v>
      </c>
      <c r="AF105" s="1">
        <v>47.31</v>
      </c>
    </row>
    <row r="106" spans="1:32">
      <c r="A106" s="26">
        <v>1967</v>
      </c>
      <c r="B106" s="1">
        <v>65.13</v>
      </c>
      <c r="C106" s="1">
        <v>60.53</v>
      </c>
      <c r="D106" s="1">
        <v>46.87</v>
      </c>
      <c r="E106" s="1">
        <v>39.15</v>
      </c>
      <c r="F106" s="1">
        <v>31.74</v>
      </c>
      <c r="G106" s="1">
        <v>37.01</v>
      </c>
      <c r="H106" s="1">
        <v>60.51</v>
      </c>
      <c r="I106" s="1"/>
      <c r="J106" s="1">
        <v>12.52</v>
      </c>
      <c r="K106" s="1">
        <v>21.81</v>
      </c>
      <c r="L106" s="1">
        <v>17.739999999999998</v>
      </c>
      <c r="M106" s="1">
        <v>31.47</v>
      </c>
      <c r="N106" s="1">
        <v>26.83</v>
      </c>
      <c r="O106" s="1">
        <v>43.15</v>
      </c>
      <c r="P106" s="1">
        <v>28.79</v>
      </c>
      <c r="Q106" s="1">
        <v>42.9</v>
      </c>
      <c r="R106" s="1">
        <v>33.65</v>
      </c>
      <c r="S106" s="1">
        <v>27.73</v>
      </c>
      <c r="T106" s="1">
        <v>37.79</v>
      </c>
      <c r="U106" s="1">
        <v>26.12</v>
      </c>
      <c r="V106" s="1">
        <v>39.75</v>
      </c>
      <c r="W106" s="1">
        <v>21.06</v>
      </c>
      <c r="X106" s="1">
        <v>26.83</v>
      </c>
      <c r="Y106" s="1">
        <v>40.11</v>
      </c>
      <c r="Z106" s="1">
        <v>37.19</v>
      </c>
      <c r="AA106" s="1">
        <v>69.22</v>
      </c>
      <c r="AB106" s="1">
        <v>59.98</v>
      </c>
      <c r="AC106" s="1">
        <v>33.11</v>
      </c>
      <c r="AD106" s="1">
        <v>30.08</v>
      </c>
      <c r="AE106" s="1">
        <v>41.42</v>
      </c>
      <c r="AF106" s="1">
        <v>48.2</v>
      </c>
    </row>
    <row r="107" spans="1:32">
      <c r="A107" s="26">
        <v>1968</v>
      </c>
      <c r="B107" s="1">
        <v>65.760000000000005</v>
      </c>
      <c r="C107" s="1">
        <v>60.31</v>
      </c>
      <c r="D107" s="1">
        <v>46.94</v>
      </c>
      <c r="E107" s="1">
        <v>38.090000000000003</v>
      </c>
      <c r="F107" s="1">
        <v>32.549999999999997</v>
      </c>
      <c r="G107" s="1">
        <v>38.270000000000003</v>
      </c>
      <c r="H107" s="1">
        <v>61.49</v>
      </c>
      <c r="I107" s="1"/>
      <c r="J107" s="1">
        <v>12.92</v>
      </c>
      <c r="K107" s="1">
        <v>22.02</v>
      </c>
      <c r="L107" s="1">
        <v>18.71</v>
      </c>
      <c r="M107" s="1">
        <v>31.62</v>
      </c>
      <c r="N107" s="1">
        <v>28.08</v>
      </c>
      <c r="O107" s="1">
        <v>43.93</v>
      </c>
      <c r="P107" s="1">
        <v>29.59</v>
      </c>
      <c r="Q107" s="1">
        <v>43.18</v>
      </c>
      <c r="R107" s="1">
        <v>34.19</v>
      </c>
      <c r="S107" s="1">
        <v>28.36</v>
      </c>
      <c r="T107" s="1">
        <v>38.21</v>
      </c>
      <c r="U107" s="1">
        <v>26.61</v>
      </c>
      <c r="V107" s="1">
        <v>40.9</v>
      </c>
      <c r="W107" s="1">
        <v>21.3</v>
      </c>
      <c r="X107" s="1">
        <v>26.92</v>
      </c>
      <c r="Y107" s="1">
        <v>40.32</v>
      </c>
      <c r="Z107" s="1">
        <v>37.24</v>
      </c>
      <c r="AA107" s="1">
        <v>69.45</v>
      </c>
      <c r="AB107" s="1">
        <v>60.66</v>
      </c>
      <c r="AC107" s="1">
        <v>33.840000000000003</v>
      </c>
      <c r="AD107" s="1">
        <v>30.77</v>
      </c>
      <c r="AE107" s="1">
        <v>42.36</v>
      </c>
      <c r="AF107" s="1">
        <v>49.08</v>
      </c>
    </row>
    <row r="108" spans="1:32">
      <c r="A108" s="26">
        <v>1969</v>
      </c>
      <c r="B108" s="1">
        <v>66.349999999999994</v>
      </c>
      <c r="C108" s="1">
        <v>60.16</v>
      </c>
      <c r="D108" s="1">
        <v>46.98</v>
      </c>
      <c r="E108" s="1">
        <v>37.090000000000003</v>
      </c>
      <c r="F108" s="1">
        <v>33.340000000000003</v>
      </c>
      <c r="G108" s="1">
        <v>39.51</v>
      </c>
      <c r="H108" s="1">
        <v>62.42</v>
      </c>
      <c r="I108" s="1"/>
      <c r="J108" s="1">
        <v>13.31</v>
      </c>
      <c r="K108" s="1">
        <v>22.15</v>
      </c>
      <c r="L108" s="1">
        <v>19.64</v>
      </c>
      <c r="M108" s="1">
        <v>31.77</v>
      </c>
      <c r="N108" s="1">
        <v>29.31</v>
      </c>
      <c r="O108" s="1">
        <v>44.74</v>
      </c>
      <c r="P108" s="1">
        <v>30.27</v>
      </c>
      <c r="Q108" s="1">
        <v>43.48</v>
      </c>
      <c r="R108" s="1">
        <v>34.74</v>
      </c>
      <c r="S108" s="1">
        <v>28.98</v>
      </c>
      <c r="T108" s="1">
        <v>38.65</v>
      </c>
      <c r="U108" s="1">
        <v>27.1</v>
      </c>
      <c r="V108" s="1">
        <v>41.99</v>
      </c>
      <c r="W108" s="1">
        <v>21.57</v>
      </c>
      <c r="X108" s="1">
        <v>26.98</v>
      </c>
      <c r="Y108" s="1">
        <v>40.450000000000003</v>
      </c>
      <c r="Z108" s="1">
        <v>37.31</v>
      </c>
      <c r="AA108" s="1">
        <v>69.67</v>
      </c>
      <c r="AB108" s="1">
        <v>61.33</v>
      </c>
      <c r="AC108" s="1">
        <v>34.56</v>
      </c>
      <c r="AD108" s="1">
        <v>31.44</v>
      </c>
      <c r="AE108" s="1">
        <v>43.33</v>
      </c>
      <c r="AF108" s="1">
        <v>49.95</v>
      </c>
    </row>
    <row r="109" spans="1:32">
      <c r="A109" s="26">
        <v>1970</v>
      </c>
      <c r="B109" s="1">
        <v>66.900000000000006</v>
      </c>
      <c r="C109" s="1">
        <v>60.1</v>
      </c>
      <c r="D109" s="1">
        <v>47</v>
      </c>
      <c r="E109" s="1">
        <v>36.200000000000003</v>
      </c>
      <c r="F109" s="1">
        <v>34.1</v>
      </c>
      <c r="G109" s="1">
        <v>40.700000000000003</v>
      </c>
      <c r="H109" s="1">
        <v>63.3</v>
      </c>
      <c r="I109" s="1"/>
      <c r="J109" s="1">
        <v>13.7</v>
      </c>
      <c r="K109" s="1">
        <v>22.2</v>
      </c>
      <c r="L109" s="1">
        <v>20.5</v>
      </c>
      <c r="M109" s="1">
        <v>31.9</v>
      </c>
      <c r="N109" s="1">
        <v>30.5</v>
      </c>
      <c r="O109" s="1">
        <v>45.6</v>
      </c>
      <c r="P109" s="1">
        <v>30.8</v>
      </c>
      <c r="Q109" s="1">
        <v>43.8</v>
      </c>
      <c r="R109" s="1">
        <v>35.299999999999997</v>
      </c>
      <c r="S109" s="1">
        <v>29.6</v>
      </c>
      <c r="T109" s="1">
        <v>39.1</v>
      </c>
      <c r="U109" s="1">
        <v>27.6</v>
      </c>
      <c r="V109" s="1">
        <v>43</v>
      </c>
      <c r="W109" s="1">
        <v>21.9</v>
      </c>
      <c r="X109" s="1">
        <v>27</v>
      </c>
      <c r="Y109" s="1">
        <v>40.5</v>
      </c>
      <c r="Z109" s="1">
        <v>37.4</v>
      </c>
      <c r="AA109" s="1">
        <v>69.900000000000006</v>
      </c>
      <c r="AB109" s="1">
        <v>62</v>
      </c>
      <c r="AC109" s="1">
        <v>35.299999999999997</v>
      </c>
      <c r="AD109" s="1">
        <v>32.1</v>
      </c>
      <c r="AE109" s="1">
        <v>44.3</v>
      </c>
      <c r="AF109" s="1">
        <v>50.8</v>
      </c>
    </row>
    <row r="110" spans="1:32">
      <c r="A110" s="26">
        <v>1971</v>
      </c>
      <c r="B110" s="1">
        <v>67.41</v>
      </c>
      <c r="C110" s="1">
        <v>60.17</v>
      </c>
      <c r="D110" s="1">
        <v>46.99</v>
      </c>
      <c r="E110" s="1">
        <v>35.380000000000003</v>
      </c>
      <c r="F110" s="1">
        <v>34.86</v>
      </c>
      <c r="G110" s="1">
        <v>41.89</v>
      </c>
      <c r="H110" s="1">
        <v>64.180000000000007</v>
      </c>
      <c r="I110" s="1"/>
      <c r="J110" s="1">
        <v>14.07</v>
      </c>
      <c r="K110" s="1">
        <v>22.19</v>
      </c>
      <c r="L110" s="1">
        <v>21.34</v>
      </c>
      <c r="M110" s="1">
        <v>32.03</v>
      </c>
      <c r="N110" s="1">
        <v>31.71</v>
      </c>
      <c r="O110" s="1">
        <v>46.54</v>
      </c>
      <c r="P110" s="1">
        <v>31.2</v>
      </c>
      <c r="Q110" s="1">
        <v>44.15</v>
      </c>
      <c r="R110" s="1">
        <v>35.880000000000003</v>
      </c>
      <c r="S110" s="1">
        <v>30.23</v>
      </c>
      <c r="T110" s="1">
        <v>39.57</v>
      </c>
      <c r="U110" s="1">
        <v>28.11</v>
      </c>
      <c r="V110" s="1">
        <v>43.96</v>
      </c>
      <c r="W110" s="1">
        <v>22.28</v>
      </c>
      <c r="X110" s="1">
        <v>26.98</v>
      </c>
      <c r="Y110" s="1">
        <v>40.46</v>
      </c>
      <c r="Z110" s="1">
        <v>37.54</v>
      </c>
      <c r="AA110" s="1">
        <v>70.12</v>
      </c>
      <c r="AB110" s="1">
        <v>62.69</v>
      </c>
      <c r="AC110" s="1">
        <v>36.04</v>
      </c>
      <c r="AD110" s="1">
        <v>32.74</v>
      </c>
      <c r="AE110" s="1">
        <v>45.31</v>
      </c>
      <c r="AF110" s="1">
        <v>51.66</v>
      </c>
    </row>
    <row r="111" spans="1:32">
      <c r="A111" s="26">
        <v>1972</v>
      </c>
      <c r="B111" s="1">
        <v>67.900000000000006</v>
      </c>
      <c r="C111" s="1">
        <v>60.35</v>
      </c>
      <c r="D111" s="1">
        <v>46.98</v>
      </c>
      <c r="E111" s="1">
        <v>34.549999999999997</v>
      </c>
      <c r="F111" s="1">
        <v>35.64</v>
      </c>
      <c r="G111" s="1">
        <v>43.13</v>
      </c>
      <c r="H111" s="1">
        <v>65.08</v>
      </c>
      <c r="I111" s="1"/>
      <c r="J111" s="1">
        <v>14.42</v>
      </c>
      <c r="K111" s="1">
        <v>22.18</v>
      </c>
      <c r="L111" s="1">
        <v>22.22</v>
      </c>
      <c r="M111" s="1">
        <v>32.15</v>
      </c>
      <c r="N111" s="1">
        <v>33.01</v>
      </c>
      <c r="O111" s="1">
        <v>47.55</v>
      </c>
      <c r="P111" s="1">
        <v>31.53</v>
      </c>
      <c r="Q111" s="1">
        <v>44.53</v>
      </c>
      <c r="R111" s="1">
        <v>36.47</v>
      </c>
      <c r="S111" s="1">
        <v>30.9</v>
      </c>
      <c r="T111" s="1">
        <v>40.06</v>
      </c>
      <c r="U111" s="1">
        <v>28.63</v>
      </c>
      <c r="V111" s="1">
        <v>44.88</v>
      </c>
      <c r="W111" s="1">
        <v>22.72</v>
      </c>
      <c r="X111" s="1">
        <v>26.93</v>
      </c>
      <c r="Y111" s="1">
        <v>40.35</v>
      </c>
      <c r="Z111" s="1">
        <v>37.74</v>
      </c>
      <c r="AA111" s="1">
        <v>70.33</v>
      </c>
      <c r="AB111" s="1">
        <v>63.39</v>
      </c>
      <c r="AC111" s="1">
        <v>36.799999999999997</v>
      </c>
      <c r="AD111" s="1">
        <v>33.36</v>
      </c>
      <c r="AE111" s="1">
        <v>46.37</v>
      </c>
      <c r="AF111" s="1">
        <v>52.55</v>
      </c>
    </row>
    <row r="112" spans="1:32">
      <c r="A112" s="26">
        <v>1973</v>
      </c>
      <c r="B112" s="1">
        <v>68.36</v>
      </c>
      <c r="C112" s="1">
        <v>60.65</v>
      </c>
      <c r="D112" s="1">
        <v>46.95</v>
      </c>
      <c r="E112" s="1">
        <v>33.729999999999997</v>
      </c>
      <c r="F112" s="1">
        <v>36.43</v>
      </c>
      <c r="G112" s="1">
        <v>44.39</v>
      </c>
      <c r="H112" s="1">
        <v>65.989999999999995</v>
      </c>
      <c r="I112" s="1"/>
      <c r="J112" s="1">
        <v>14.75</v>
      </c>
      <c r="K112" s="1">
        <v>22.16</v>
      </c>
      <c r="L112" s="1">
        <v>23.1</v>
      </c>
      <c r="M112" s="1">
        <v>32.270000000000003</v>
      </c>
      <c r="N112" s="1">
        <v>34.340000000000003</v>
      </c>
      <c r="O112" s="1">
        <v>48.6</v>
      </c>
      <c r="P112" s="1">
        <v>31.82</v>
      </c>
      <c r="Q112" s="1">
        <v>44.94</v>
      </c>
      <c r="R112" s="1">
        <v>37.07</v>
      </c>
      <c r="S112" s="1">
        <v>31.59</v>
      </c>
      <c r="T112" s="1">
        <v>40.549999999999997</v>
      </c>
      <c r="U112" s="1">
        <v>29.17</v>
      </c>
      <c r="V112" s="1">
        <v>45.76</v>
      </c>
      <c r="W112" s="1">
        <v>23.21</v>
      </c>
      <c r="X112" s="1">
        <v>26.84</v>
      </c>
      <c r="Y112" s="1">
        <v>40.18</v>
      </c>
      <c r="Z112" s="1">
        <v>38</v>
      </c>
      <c r="AA112" s="1">
        <v>70.52</v>
      </c>
      <c r="AB112" s="1">
        <v>64.11</v>
      </c>
      <c r="AC112" s="1">
        <v>37.549999999999997</v>
      </c>
      <c r="AD112" s="1">
        <v>33.97</v>
      </c>
      <c r="AE112" s="1">
        <v>47.49</v>
      </c>
      <c r="AF112" s="1">
        <v>53.44</v>
      </c>
    </row>
    <row r="113" spans="1:32">
      <c r="A113" s="26">
        <v>1974</v>
      </c>
      <c r="B113" s="1">
        <v>68.790000000000006</v>
      </c>
      <c r="C113" s="1">
        <v>61.04</v>
      </c>
      <c r="D113" s="1">
        <v>46.92</v>
      </c>
      <c r="E113" s="1">
        <v>32.9</v>
      </c>
      <c r="F113" s="1">
        <v>37.24</v>
      </c>
      <c r="G113" s="1">
        <v>45.65</v>
      </c>
      <c r="H113" s="1">
        <v>66.87</v>
      </c>
      <c r="I113" s="1"/>
      <c r="J113" s="1">
        <v>15.07</v>
      </c>
      <c r="K113" s="1">
        <v>22.13</v>
      </c>
      <c r="L113" s="1">
        <v>23.99</v>
      </c>
      <c r="M113" s="1">
        <v>32.380000000000003</v>
      </c>
      <c r="N113" s="1">
        <v>35.69</v>
      </c>
      <c r="O113" s="1">
        <v>49.68</v>
      </c>
      <c r="P113" s="1">
        <v>32.07</v>
      </c>
      <c r="Q113" s="1">
        <v>45.37</v>
      </c>
      <c r="R113" s="1">
        <v>37.67</v>
      </c>
      <c r="S113" s="1">
        <v>32.299999999999997</v>
      </c>
      <c r="T113" s="1">
        <v>41.05</v>
      </c>
      <c r="U113" s="1">
        <v>29.71</v>
      </c>
      <c r="V113" s="1">
        <v>46.62</v>
      </c>
      <c r="W113" s="1">
        <v>23.74</v>
      </c>
      <c r="X113" s="1">
        <v>26.73</v>
      </c>
      <c r="Y113" s="1">
        <v>39.96</v>
      </c>
      <c r="Z113" s="1">
        <v>38.299999999999997</v>
      </c>
      <c r="AA113" s="1">
        <v>70.7</v>
      </c>
      <c r="AB113" s="1">
        <v>64.819999999999993</v>
      </c>
      <c r="AC113" s="1">
        <v>38.299999999999997</v>
      </c>
      <c r="AD113" s="1">
        <v>34.57</v>
      </c>
      <c r="AE113" s="1">
        <v>48.66</v>
      </c>
      <c r="AF113" s="1">
        <v>54.33</v>
      </c>
    </row>
    <row r="114" spans="1:32">
      <c r="A114" s="26">
        <v>1975</v>
      </c>
      <c r="B114" s="1">
        <v>69.22</v>
      </c>
      <c r="C114" s="1">
        <v>61.51</v>
      </c>
      <c r="D114" s="1">
        <v>46.87</v>
      </c>
      <c r="E114" s="1">
        <v>32.07</v>
      </c>
      <c r="F114" s="1">
        <v>38.07</v>
      </c>
      <c r="G114" s="1">
        <v>46.9</v>
      </c>
      <c r="H114" s="1">
        <v>67.709999999999994</v>
      </c>
      <c r="I114" s="1"/>
      <c r="J114" s="1">
        <v>15.4</v>
      </c>
      <c r="K114" s="1">
        <v>22.1</v>
      </c>
      <c r="L114" s="1">
        <v>24.84</v>
      </c>
      <c r="M114" s="1">
        <v>32.49</v>
      </c>
      <c r="N114" s="1">
        <v>37.01</v>
      </c>
      <c r="O114" s="1">
        <v>50.75</v>
      </c>
      <c r="P114" s="1">
        <v>32.31</v>
      </c>
      <c r="Q114" s="1">
        <v>45.8</v>
      </c>
      <c r="R114" s="1">
        <v>38.270000000000003</v>
      </c>
      <c r="S114" s="1">
        <v>33.03</v>
      </c>
      <c r="T114" s="1">
        <v>41.55</v>
      </c>
      <c r="U114" s="1">
        <v>30.26</v>
      </c>
      <c r="V114" s="1">
        <v>47.43</v>
      </c>
      <c r="W114" s="1">
        <v>24.31</v>
      </c>
      <c r="X114" s="1">
        <v>26.59</v>
      </c>
      <c r="Y114" s="1">
        <v>39.69</v>
      </c>
      <c r="Z114" s="1">
        <v>38.65</v>
      </c>
      <c r="AA114" s="1">
        <v>70.87</v>
      </c>
      <c r="AB114" s="1">
        <v>65.53</v>
      </c>
      <c r="AC114" s="1">
        <v>39.04</v>
      </c>
      <c r="AD114" s="1">
        <v>35.159999999999997</v>
      </c>
      <c r="AE114" s="1">
        <v>49.86</v>
      </c>
      <c r="AF114" s="1">
        <v>55.18</v>
      </c>
    </row>
    <row r="115" spans="1:32">
      <c r="A115" s="26">
        <v>1976</v>
      </c>
      <c r="B115" s="1">
        <v>69.62</v>
      </c>
      <c r="C115" s="1">
        <v>62.04</v>
      </c>
      <c r="D115" s="1">
        <v>46.83</v>
      </c>
      <c r="E115" s="1">
        <v>31.24</v>
      </c>
      <c r="F115" s="1">
        <v>38.9</v>
      </c>
      <c r="G115" s="1">
        <v>48.12</v>
      </c>
      <c r="H115" s="1">
        <v>68.489999999999995</v>
      </c>
      <c r="I115" s="1"/>
      <c r="J115" s="1">
        <v>15.73</v>
      </c>
      <c r="K115" s="1">
        <v>22.07</v>
      </c>
      <c r="L115" s="1">
        <v>25.65</v>
      </c>
      <c r="M115" s="1">
        <v>32.590000000000003</v>
      </c>
      <c r="N115" s="1">
        <v>38.26</v>
      </c>
      <c r="O115" s="1">
        <v>51.79</v>
      </c>
      <c r="P115" s="1">
        <v>32.54</v>
      </c>
      <c r="Q115" s="1">
        <v>46.25</v>
      </c>
      <c r="R115" s="1">
        <v>38.85</v>
      </c>
      <c r="S115" s="1">
        <v>33.770000000000003</v>
      </c>
      <c r="T115" s="1">
        <v>42.04</v>
      </c>
      <c r="U115" s="1">
        <v>30.83</v>
      </c>
      <c r="V115" s="1">
        <v>48.22</v>
      </c>
      <c r="W115" s="1">
        <v>24.93</v>
      </c>
      <c r="X115" s="1">
        <v>26.44</v>
      </c>
      <c r="Y115" s="1">
        <v>39.380000000000003</v>
      </c>
      <c r="Z115" s="1">
        <v>39.04</v>
      </c>
      <c r="AA115" s="1">
        <v>71.040000000000006</v>
      </c>
      <c r="AB115" s="1">
        <v>66.22</v>
      </c>
      <c r="AC115" s="1">
        <v>39.78</v>
      </c>
      <c r="AD115" s="1">
        <v>35.74</v>
      </c>
      <c r="AE115" s="1">
        <v>51.09</v>
      </c>
      <c r="AF115" s="1">
        <v>56</v>
      </c>
    </row>
    <row r="116" spans="1:32">
      <c r="A116" s="26">
        <v>1977</v>
      </c>
      <c r="B116" s="1">
        <v>70.02</v>
      </c>
      <c r="C116" s="1">
        <v>62.64</v>
      </c>
      <c r="D116" s="1">
        <v>46.77</v>
      </c>
      <c r="E116" s="1">
        <v>30.4</v>
      </c>
      <c r="F116" s="1">
        <v>39.729999999999997</v>
      </c>
      <c r="G116" s="1">
        <v>49.29</v>
      </c>
      <c r="H116" s="1">
        <v>69.180000000000007</v>
      </c>
      <c r="I116" s="1"/>
      <c r="J116" s="1">
        <v>16.09</v>
      </c>
      <c r="K116" s="1">
        <v>22.04</v>
      </c>
      <c r="L116" s="1">
        <v>26.39</v>
      </c>
      <c r="M116" s="1">
        <v>32.700000000000003</v>
      </c>
      <c r="N116" s="1">
        <v>39.42</v>
      </c>
      <c r="O116" s="1">
        <v>52.77</v>
      </c>
      <c r="P116" s="1">
        <v>32.79</v>
      </c>
      <c r="Q116" s="1">
        <v>46.68</v>
      </c>
      <c r="R116" s="1">
        <v>39.409999999999997</v>
      </c>
      <c r="S116" s="1">
        <v>34.5</v>
      </c>
      <c r="T116" s="1">
        <v>42.51</v>
      </c>
      <c r="U116" s="1">
        <v>31.39</v>
      </c>
      <c r="V116" s="1">
        <v>48.98</v>
      </c>
      <c r="W116" s="1">
        <v>25.58</v>
      </c>
      <c r="X116" s="1">
        <v>26.27</v>
      </c>
      <c r="Y116" s="1">
        <v>39.03</v>
      </c>
      <c r="Z116" s="1">
        <v>39.46</v>
      </c>
      <c r="AA116" s="1">
        <v>71.22</v>
      </c>
      <c r="AB116" s="1">
        <v>66.88</v>
      </c>
      <c r="AC116" s="1">
        <v>40.49</v>
      </c>
      <c r="AD116" s="1">
        <v>36.31</v>
      </c>
      <c r="AE116" s="1">
        <v>52.35</v>
      </c>
      <c r="AF116" s="1">
        <v>56.75</v>
      </c>
    </row>
    <row r="117" spans="1:32">
      <c r="A117" s="26">
        <v>1978</v>
      </c>
      <c r="B117" s="1">
        <v>70.41</v>
      </c>
      <c r="C117" s="1">
        <v>63.27</v>
      </c>
      <c r="D117" s="1">
        <v>46.72</v>
      </c>
      <c r="E117" s="1">
        <v>29.57</v>
      </c>
      <c r="F117" s="1">
        <v>40.57</v>
      </c>
      <c r="G117" s="1">
        <v>50.39</v>
      </c>
      <c r="H117" s="1">
        <v>69.760000000000005</v>
      </c>
      <c r="I117" s="1"/>
      <c r="J117" s="1">
        <v>16.48</v>
      </c>
      <c r="K117" s="1">
        <v>22.02</v>
      </c>
      <c r="L117" s="1">
        <v>27.04</v>
      </c>
      <c r="M117" s="1">
        <v>32.799999999999997</v>
      </c>
      <c r="N117" s="1">
        <v>40.43</v>
      </c>
      <c r="O117" s="1">
        <v>53.66</v>
      </c>
      <c r="P117" s="1">
        <v>33.07</v>
      </c>
      <c r="Q117" s="1">
        <v>47.11</v>
      </c>
      <c r="R117" s="1">
        <v>39.950000000000003</v>
      </c>
      <c r="S117" s="1">
        <v>35.229999999999997</v>
      </c>
      <c r="T117" s="1">
        <v>42.97</v>
      </c>
      <c r="U117" s="1">
        <v>31.96</v>
      </c>
      <c r="V117" s="1">
        <v>49.71</v>
      </c>
      <c r="W117" s="1">
        <v>26.26</v>
      </c>
      <c r="X117" s="1">
        <v>26.08</v>
      </c>
      <c r="Y117" s="1">
        <v>38.67</v>
      </c>
      <c r="Z117" s="1">
        <v>39.89</v>
      </c>
      <c r="AA117" s="1">
        <v>71.400000000000006</v>
      </c>
      <c r="AB117" s="1">
        <v>67.5</v>
      </c>
      <c r="AC117" s="1">
        <v>41.19</v>
      </c>
      <c r="AD117" s="1">
        <v>36.880000000000003</v>
      </c>
      <c r="AE117" s="1">
        <v>53.62</v>
      </c>
      <c r="AF117" s="1">
        <v>57.42</v>
      </c>
    </row>
    <row r="118" spans="1:32">
      <c r="A118" s="26">
        <v>1979</v>
      </c>
      <c r="B118" s="1">
        <v>70.81</v>
      </c>
      <c r="C118" s="1">
        <v>63.93</v>
      </c>
      <c r="D118" s="1">
        <v>46.66</v>
      </c>
      <c r="E118" s="1">
        <v>28.74</v>
      </c>
      <c r="F118" s="1">
        <v>41.4</v>
      </c>
      <c r="G118" s="1">
        <v>51.4</v>
      </c>
      <c r="H118" s="1">
        <v>70.209999999999994</v>
      </c>
      <c r="I118" s="1"/>
      <c r="J118" s="1">
        <v>16.920000000000002</v>
      </c>
      <c r="K118" s="1">
        <v>22.01</v>
      </c>
      <c r="L118" s="1">
        <v>27.58</v>
      </c>
      <c r="M118" s="1">
        <v>32.9</v>
      </c>
      <c r="N118" s="1">
        <v>41.27</v>
      </c>
      <c r="O118" s="1">
        <v>54.45</v>
      </c>
      <c r="P118" s="1">
        <v>33.409999999999997</v>
      </c>
      <c r="Q118" s="1">
        <v>47.52</v>
      </c>
      <c r="R118" s="1">
        <v>40.450000000000003</v>
      </c>
      <c r="S118" s="1">
        <v>35.950000000000003</v>
      </c>
      <c r="T118" s="1">
        <v>43.4</v>
      </c>
      <c r="U118" s="1">
        <v>32.53</v>
      </c>
      <c r="V118" s="1">
        <v>50.42</v>
      </c>
      <c r="W118" s="1">
        <v>26.97</v>
      </c>
      <c r="X118" s="1">
        <v>25.89</v>
      </c>
      <c r="Y118" s="1">
        <v>38.29</v>
      </c>
      <c r="Z118" s="1">
        <v>40.340000000000003</v>
      </c>
      <c r="AA118" s="1">
        <v>71.59</v>
      </c>
      <c r="AB118" s="1">
        <v>68.08</v>
      </c>
      <c r="AC118" s="1">
        <v>41.86</v>
      </c>
      <c r="AD118" s="1">
        <v>37.44</v>
      </c>
      <c r="AE118" s="1">
        <v>54.9</v>
      </c>
      <c r="AF118" s="1">
        <v>58</v>
      </c>
    </row>
    <row r="119" spans="1:32">
      <c r="A119" s="26">
        <v>1980</v>
      </c>
      <c r="B119" s="1">
        <v>71.2</v>
      </c>
      <c r="C119" s="1">
        <v>64.599999999999994</v>
      </c>
      <c r="D119" s="1">
        <v>46.6</v>
      </c>
      <c r="E119" s="1">
        <v>27.9</v>
      </c>
      <c r="F119" s="1">
        <v>42.23</v>
      </c>
      <c r="G119" s="1">
        <v>52.3</v>
      </c>
      <c r="H119" s="1">
        <v>70.5</v>
      </c>
      <c r="I119" s="1"/>
      <c r="J119" s="1">
        <v>17.399999999999999</v>
      </c>
      <c r="K119" s="1">
        <v>22</v>
      </c>
      <c r="L119" s="1">
        <v>28</v>
      </c>
      <c r="M119" s="1">
        <v>33</v>
      </c>
      <c r="N119" s="1">
        <v>41.9</v>
      </c>
      <c r="O119" s="1">
        <v>55.1</v>
      </c>
      <c r="P119" s="1">
        <v>33.799999999999997</v>
      </c>
      <c r="Q119" s="1">
        <v>47.9</v>
      </c>
      <c r="R119" s="1">
        <v>40.9</v>
      </c>
      <c r="S119" s="1">
        <v>36.64</v>
      </c>
      <c r="T119" s="1">
        <v>43.8</v>
      </c>
      <c r="U119" s="1">
        <v>33.1</v>
      </c>
      <c r="V119" s="1">
        <v>51.1</v>
      </c>
      <c r="W119" s="1">
        <v>27.7</v>
      </c>
      <c r="X119" s="1">
        <v>25.7</v>
      </c>
      <c r="Y119" s="1">
        <v>37.9</v>
      </c>
      <c r="Z119" s="1">
        <v>40.799999999999997</v>
      </c>
      <c r="AA119" s="1">
        <v>71.8</v>
      </c>
      <c r="AB119" s="1">
        <v>68.599999999999994</v>
      </c>
      <c r="AC119" s="1">
        <v>42.5</v>
      </c>
      <c r="AD119" s="1">
        <v>38</v>
      </c>
      <c r="AE119" s="1"/>
      <c r="AF119" s="1">
        <v>58.5</v>
      </c>
    </row>
    <row r="120" spans="1:32">
      <c r="A120" s="26">
        <v>1981</v>
      </c>
      <c r="B120" s="1">
        <v>71.599999999999994</v>
      </c>
      <c r="C120" s="1"/>
      <c r="D120" s="1"/>
      <c r="E120" s="1"/>
      <c r="F120" s="1">
        <v>43.06</v>
      </c>
      <c r="G120" s="1">
        <v>53.11</v>
      </c>
      <c r="H120" s="1">
        <v>70.69</v>
      </c>
      <c r="I120" s="1"/>
      <c r="J120" s="1">
        <v>17.940000000000001</v>
      </c>
      <c r="K120" s="1">
        <v>22.02</v>
      </c>
      <c r="L120" s="1">
        <v>28.33</v>
      </c>
      <c r="M120" s="1"/>
      <c r="N120" s="1">
        <v>42.37</v>
      </c>
      <c r="O120" s="1">
        <v>55.64</v>
      </c>
      <c r="P120" s="1">
        <v>34.26</v>
      </c>
      <c r="Q120" s="1">
        <v>48.27</v>
      </c>
      <c r="R120" s="1">
        <v>41.3</v>
      </c>
      <c r="S120" s="1">
        <v>37.31</v>
      </c>
      <c r="T120" s="1">
        <v>44.15</v>
      </c>
      <c r="U120" s="1">
        <v>33.67</v>
      </c>
      <c r="V120" s="1">
        <v>51.75</v>
      </c>
      <c r="W120" s="1">
        <v>28.45</v>
      </c>
      <c r="X120" s="1"/>
      <c r="Y120" s="1"/>
      <c r="Z120" s="1"/>
      <c r="AA120" s="1">
        <v>72.040000000000006</v>
      </c>
      <c r="AB120" s="1">
        <v>69.069999999999993</v>
      </c>
      <c r="AC120" s="1">
        <v>43.11</v>
      </c>
      <c r="AD120" s="1"/>
      <c r="AE120" s="1"/>
      <c r="AF120" s="1">
        <v>58.97</v>
      </c>
    </row>
    <row r="121" spans="1:32">
      <c r="A121" s="26">
        <v>1982</v>
      </c>
      <c r="B121" s="1">
        <v>72.02</v>
      </c>
      <c r="C121" s="1"/>
      <c r="D121" s="1"/>
      <c r="E121" s="1"/>
      <c r="F121" s="1">
        <v>43.87</v>
      </c>
      <c r="G121" s="1">
        <v>53.87</v>
      </c>
      <c r="H121" s="1">
        <v>70.84</v>
      </c>
      <c r="I121" s="1"/>
      <c r="J121" s="1">
        <v>18.52</v>
      </c>
      <c r="K121" s="1">
        <v>22.09</v>
      </c>
      <c r="L121" s="1">
        <v>28.62</v>
      </c>
      <c r="M121" s="1"/>
      <c r="N121" s="1">
        <v>42.75</v>
      </c>
      <c r="O121" s="1">
        <v>56.11</v>
      </c>
      <c r="P121" s="1">
        <v>34.78</v>
      </c>
      <c r="Q121" s="1">
        <v>48.66</v>
      </c>
      <c r="R121" s="1">
        <v>41.63</v>
      </c>
      <c r="S121" s="1">
        <v>37.950000000000003</v>
      </c>
      <c r="T121" s="1">
        <v>44.46</v>
      </c>
      <c r="U121" s="1">
        <v>34.26</v>
      </c>
      <c r="V121" s="1">
        <v>52.37</v>
      </c>
      <c r="W121" s="1">
        <v>29.22</v>
      </c>
      <c r="X121" s="1"/>
      <c r="Y121" s="1"/>
      <c r="Z121" s="1"/>
      <c r="AA121" s="1">
        <v>72.34</v>
      </c>
      <c r="AB121" s="1">
        <v>69.5</v>
      </c>
      <c r="AC121" s="1">
        <v>43.68</v>
      </c>
      <c r="AD121" s="1"/>
      <c r="AE121" s="1"/>
      <c r="AF121" s="1">
        <v>59.41</v>
      </c>
    </row>
    <row r="122" spans="1:32">
      <c r="A122" s="26">
        <v>1983</v>
      </c>
      <c r="B122" s="1">
        <v>72.44</v>
      </c>
      <c r="C122" s="1"/>
      <c r="D122" s="1"/>
      <c r="E122" s="1"/>
      <c r="F122" s="1">
        <v>44.67</v>
      </c>
      <c r="G122" s="1">
        <v>54.58</v>
      </c>
      <c r="H122" s="1">
        <v>70.959999999999994</v>
      </c>
      <c r="I122" s="1"/>
      <c r="J122" s="1">
        <v>19.14</v>
      </c>
      <c r="K122" s="1">
        <v>22.19</v>
      </c>
      <c r="L122" s="1">
        <v>28.88</v>
      </c>
      <c r="M122" s="1"/>
      <c r="N122" s="1">
        <v>43.08</v>
      </c>
      <c r="O122" s="1">
        <v>56.52</v>
      </c>
      <c r="P122" s="1">
        <v>35.35</v>
      </c>
      <c r="Q122" s="1">
        <v>49.05</v>
      </c>
      <c r="R122" s="1">
        <v>41.93</v>
      </c>
      <c r="S122" s="1">
        <v>38.54</v>
      </c>
      <c r="T122" s="1">
        <v>44.74</v>
      </c>
      <c r="U122" s="1">
        <v>34.840000000000003</v>
      </c>
      <c r="V122" s="1">
        <v>52.97</v>
      </c>
      <c r="W122" s="1">
        <v>30</v>
      </c>
      <c r="X122" s="1"/>
      <c r="Y122" s="1"/>
      <c r="Z122" s="1"/>
      <c r="AA122" s="1">
        <v>72.66</v>
      </c>
      <c r="AB122" s="1">
        <v>69.900000000000006</v>
      </c>
      <c r="AC122" s="1">
        <v>44.23</v>
      </c>
      <c r="AD122" s="1"/>
      <c r="AE122" s="1"/>
      <c r="AF122" s="1">
        <v>59.82</v>
      </c>
    </row>
    <row r="123" spans="1:32">
      <c r="A123" s="26">
        <v>1984</v>
      </c>
      <c r="B123" s="1">
        <v>72.849999999999994</v>
      </c>
      <c r="C123" s="1"/>
      <c r="D123" s="1"/>
      <c r="E123" s="1"/>
      <c r="F123" s="1">
        <v>45.45</v>
      </c>
      <c r="G123" s="1">
        <v>55.25</v>
      </c>
      <c r="H123" s="1">
        <v>71.06</v>
      </c>
      <c r="I123" s="1"/>
      <c r="J123" s="1">
        <v>19.809999999999999</v>
      </c>
      <c r="K123" s="1">
        <v>22.34</v>
      </c>
      <c r="L123" s="1">
        <v>29.12</v>
      </c>
      <c r="M123" s="1"/>
      <c r="N123" s="1">
        <v>43.36</v>
      </c>
      <c r="O123" s="1">
        <v>56.91</v>
      </c>
      <c r="P123" s="1">
        <v>35.96</v>
      </c>
      <c r="Q123" s="1">
        <v>49.45</v>
      </c>
      <c r="R123" s="1">
        <v>42.2</v>
      </c>
      <c r="S123" s="1">
        <v>39.090000000000003</v>
      </c>
      <c r="T123" s="1">
        <v>45.01</v>
      </c>
      <c r="U123" s="1">
        <v>35.44</v>
      </c>
      <c r="V123" s="1">
        <v>53.54</v>
      </c>
      <c r="W123" s="1">
        <v>30.79</v>
      </c>
      <c r="X123" s="1"/>
      <c r="Y123" s="1"/>
      <c r="Z123" s="1"/>
      <c r="AA123" s="1">
        <v>72.989999999999995</v>
      </c>
      <c r="AB123" s="1">
        <v>70.28</v>
      </c>
      <c r="AC123" s="1">
        <v>44.77</v>
      </c>
      <c r="AD123" s="1"/>
      <c r="AE123" s="1"/>
      <c r="AF123" s="1">
        <v>60.2</v>
      </c>
    </row>
    <row r="124" spans="1:32">
      <c r="A124" s="26">
        <v>1985</v>
      </c>
      <c r="B124" s="1">
        <v>73.260000000000005</v>
      </c>
      <c r="C124" s="1"/>
      <c r="D124" s="1"/>
      <c r="E124" s="1"/>
      <c r="F124" s="1">
        <v>46.21</v>
      </c>
      <c r="G124" s="1">
        <v>55.89</v>
      </c>
      <c r="H124" s="1">
        <v>71.150000000000006</v>
      </c>
      <c r="I124" s="1"/>
      <c r="J124" s="1">
        <v>20.52</v>
      </c>
      <c r="K124" s="1">
        <v>22.51</v>
      </c>
      <c r="L124" s="1">
        <v>29.33</v>
      </c>
      <c r="M124" s="1"/>
      <c r="N124" s="1">
        <v>43.62</v>
      </c>
      <c r="O124" s="1">
        <v>57.27</v>
      </c>
      <c r="P124" s="1">
        <v>36.619999999999997</v>
      </c>
      <c r="Q124" s="1">
        <v>49.85</v>
      </c>
      <c r="R124" s="1">
        <v>42.47</v>
      </c>
      <c r="S124" s="1">
        <v>39.58</v>
      </c>
      <c r="T124" s="1">
        <v>45.27</v>
      </c>
      <c r="U124" s="1">
        <v>36.03</v>
      </c>
      <c r="V124" s="1">
        <v>54.1</v>
      </c>
      <c r="W124" s="1">
        <v>31.58</v>
      </c>
      <c r="X124" s="1"/>
      <c r="Y124" s="1"/>
      <c r="Z124" s="1"/>
      <c r="AA124" s="1">
        <v>73.319999999999993</v>
      </c>
      <c r="AB124" s="1">
        <v>70.650000000000006</v>
      </c>
      <c r="AC124" s="1">
        <v>45.3</v>
      </c>
      <c r="AD124" s="1"/>
      <c r="AE124" s="1"/>
      <c r="AF124" s="1">
        <v>60.57</v>
      </c>
    </row>
    <row r="125" spans="1:32">
      <c r="A125" s="26">
        <v>1986</v>
      </c>
      <c r="B125" s="1">
        <v>73.64</v>
      </c>
      <c r="C125" s="1"/>
      <c r="D125" s="1"/>
      <c r="E125" s="1"/>
      <c r="F125" s="1">
        <v>46.95</v>
      </c>
      <c r="G125" s="1">
        <v>56.5</v>
      </c>
      <c r="H125" s="1">
        <v>71.239999999999995</v>
      </c>
      <c r="I125" s="1"/>
      <c r="J125" s="1">
        <v>21.26</v>
      </c>
      <c r="K125" s="1">
        <v>22.71</v>
      </c>
      <c r="L125" s="1">
        <v>29.53</v>
      </c>
      <c r="M125" s="1"/>
      <c r="N125" s="1">
        <v>43.87</v>
      </c>
      <c r="O125" s="1">
        <v>57.61</v>
      </c>
      <c r="P125" s="1">
        <v>37.32</v>
      </c>
      <c r="Q125" s="1">
        <v>50.26</v>
      </c>
      <c r="R125" s="1">
        <v>42.75</v>
      </c>
      <c r="S125" s="1">
        <v>40.01</v>
      </c>
      <c r="T125" s="1">
        <v>45.54</v>
      </c>
      <c r="U125" s="1">
        <v>36.630000000000003</v>
      </c>
      <c r="V125" s="1">
        <v>54.65</v>
      </c>
      <c r="W125" s="1">
        <v>32.380000000000003</v>
      </c>
      <c r="X125" s="1"/>
      <c r="Y125" s="1"/>
      <c r="Z125" s="1"/>
      <c r="AA125" s="1">
        <v>73.63</v>
      </c>
      <c r="AB125" s="1">
        <v>71</v>
      </c>
      <c r="AC125" s="1">
        <v>45.82</v>
      </c>
      <c r="AD125" s="1"/>
      <c r="AE125" s="1"/>
      <c r="AF125" s="1">
        <v>60.91</v>
      </c>
    </row>
    <row r="126" spans="1:32">
      <c r="A126" s="26">
        <v>1987</v>
      </c>
      <c r="B126" s="1">
        <v>74.010000000000005</v>
      </c>
      <c r="C126" s="1"/>
      <c r="D126" s="1"/>
      <c r="E126" s="1"/>
      <c r="F126" s="1">
        <v>47.66</v>
      </c>
      <c r="G126" s="1">
        <v>57.11</v>
      </c>
      <c r="H126" s="1">
        <v>71.33</v>
      </c>
      <c r="I126" s="1"/>
      <c r="J126" s="1">
        <v>22.04</v>
      </c>
      <c r="K126" s="1">
        <v>22.93</v>
      </c>
      <c r="L126" s="1">
        <v>29.71</v>
      </c>
      <c r="M126" s="1"/>
      <c r="N126" s="1">
        <v>44.14</v>
      </c>
      <c r="O126" s="1">
        <v>57.97</v>
      </c>
      <c r="P126" s="1">
        <v>38.06</v>
      </c>
      <c r="Q126" s="1">
        <v>50.66</v>
      </c>
      <c r="R126" s="1">
        <v>43.07</v>
      </c>
      <c r="S126" s="1">
        <v>40.380000000000003</v>
      </c>
      <c r="T126" s="1">
        <v>45.83</v>
      </c>
      <c r="U126" s="1">
        <v>37.22</v>
      </c>
      <c r="V126" s="1">
        <v>55.18</v>
      </c>
      <c r="W126" s="1">
        <v>33.17</v>
      </c>
      <c r="X126" s="1"/>
      <c r="Y126" s="1"/>
      <c r="Z126" s="1"/>
      <c r="AA126" s="1">
        <v>73.900000000000006</v>
      </c>
      <c r="AB126" s="1">
        <v>71.36</v>
      </c>
      <c r="AC126" s="1">
        <v>46.34</v>
      </c>
      <c r="AD126" s="1"/>
      <c r="AE126" s="1"/>
      <c r="AF126" s="1">
        <v>61.25</v>
      </c>
    </row>
    <row r="127" spans="1:32">
      <c r="A127" s="26">
        <v>1988</v>
      </c>
      <c r="B127" s="1">
        <v>74.34</v>
      </c>
      <c r="C127" s="1"/>
      <c r="D127" s="1"/>
      <c r="E127" s="1"/>
      <c r="F127" s="1">
        <v>48.34</v>
      </c>
      <c r="G127" s="1">
        <v>57.7</v>
      </c>
      <c r="H127" s="1">
        <v>71.430000000000007</v>
      </c>
      <c r="I127" s="1"/>
      <c r="J127" s="1">
        <v>22.84</v>
      </c>
      <c r="K127" s="1">
        <v>23.17</v>
      </c>
      <c r="L127" s="1">
        <v>29.88</v>
      </c>
      <c r="M127" s="1"/>
      <c r="N127" s="1">
        <v>44.44</v>
      </c>
      <c r="O127" s="1">
        <v>58.34</v>
      </c>
      <c r="P127" s="1">
        <v>38.83</v>
      </c>
      <c r="Q127" s="1">
        <v>51.05</v>
      </c>
      <c r="R127" s="1">
        <v>43.44</v>
      </c>
      <c r="S127" s="1">
        <v>40.67</v>
      </c>
      <c r="T127" s="1">
        <v>46.16</v>
      </c>
      <c r="U127" s="1">
        <v>37.82</v>
      </c>
      <c r="V127" s="1">
        <v>55.72</v>
      </c>
      <c r="W127" s="1">
        <v>33.96</v>
      </c>
      <c r="X127" s="1"/>
      <c r="Y127" s="1"/>
      <c r="Z127" s="1"/>
      <c r="AA127" s="1">
        <v>74.11</v>
      </c>
      <c r="AB127" s="1">
        <v>71.72</v>
      </c>
      <c r="AC127" s="1">
        <v>46.88</v>
      </c>
      <c r="AD127" s="1"/>
      <c r="AE127" s="1"/>
      <c r="AF127" s="1">
        <v>61.58</v>
      </c>
    </row>
    <row r="128" spans="1:32">
      <c r="A128" s="26">
        <v>1989</v>
      </c>
      <c r="B128" s="1">
        <v>74.64</v>
      </c>
      <c r="C128" s="1"/>
      <c r="D128" s="1"/>
      <c r="E128" s="1"/>
      <c r="F128" s="1">
        <v>48.99</v>
      </c>
      <c r="G128" s="1">
        <v>58.3</v>
      </c>
      <c r="H128" s="1">
        <v>71.55</v>
      </c>
      <c r="I128" s="1"/>
      <c r="J128" s="1">
        <v>23.68</v>
      </c>
      <c r="K128" s="1">
        <v>23.43</v>
      </c>
      <c r="L128" s="1">
        <v>30.04</v>
      </c>
      <c r="M128" s="1"/>
      <c r="N128" s="1">
        <v>44.78</v>
      </c>
      <c r="O128" s="1">
        <v>58.75</v>
      </c>
      <c r="P128" s="1">
        <v>39.630000000000003</v>
      </c>
      <c r="Q128" s="1">
        <v>51.44</v>
      </c>
      <c r="R128" s="1">
        <v>43.88</v>
      </c>
      <c r="S128" s="1">
        <v>40.880000000000003</v>
      </c>
      <c r="T128" s="1">
        <v>46.55</v>
      </c>
      <c r="U128" s="1">
        <v>38.409999999999997</v>
      </c>
      <c r="V128" s="1">
        <v>56.26</v>
      </c>
      <c r="W128" s="1">
        <v>34.74</v>
      </c>
      <c r="X128" s="1"/>
      <c r="Y128" s="1"/>
      <c r="Z128" s="1"/>
      <c r="AA128" s="1">
        <v>74.25</v>
      </c>
      <c r="AB128" s="1">
        <v>72.099999999999994</v>
      </c>
      <c r="AC128" s="1">
        <v>47.43</v>
      </c>
      <c r="AD128" s="1"/>
      <c r="AE128" s="1"/>
      <c r="AF128" s="1">
        <v>61.9</v>
      </c>
    </row>
    <row r="129" spans="1:32">
      <c r="A129" s="26">
        <v>1990</v>
      </c>
      <c r="B129" s="1">
        <v>74.900000000000006</v>
      </c>
      <c r="C129" s="1"/>
      <c r="D129" s="1"/>
      <c r="E129" s="1"/>
      <c r="F129" s="1">
        <v>49.6</v>
      </c>
      <c r="G129" s="1">
        <v>58.9</v>
      </c>
      <c r="H129" s="1">
        <v>71.7</v>
      </c>
      <c r="I129" s="1"/>
      <c r="J129" s="1">
        <v>24.54</v>
      </c>
      <c r="K129" s="1">
        <v>23.7</v>
      </c>
      <c r="L129" s="1">
        <v>30.2</v>
      </c>
      <c r="M129" s="1"/>
      <c r="N129" s="1">
        <v>45.2</v>
      </c>
      <c r="O129" s="1">
        <v>59.2</v>
      </c>
      <c r="P129" s="1">
        <v>40.450000000000003</v>
      </c>
      <c r="Q129" s="1">
        <v>51.83</v>
      </c>
      <c r="R129" s="1">
        <v>44.4</v>
      </c>
      <c r="S129" s="1">
        <v>41</v>
      </c>
      <c r="T129" s="1">
        <v>47</v>
      </c>
      <c r="U129" s="1">
        <v>39</v>
      </c>
      <c r="V129" s="1">
        <v>56.8</v>
      </c>
      <c r="W129" s="1">
        <v>35.5</v>
      </c>
      <c r="X129" s="1"/>
      <c r="Y129" s="1"/>
      <c r="Z129" s="1"/>
      <c r="AA129" s="1">
        <v>74.3</v>
      </c>
      <c r="AB129" s="1">
        <v>72.5</v>
      </c>
      <c r="AC129" s="1">
        <v>48</v>
      </c>
      <c r="AD129" s="1"/>
      <c r="AE129" s="1"/>
      <c r="AF129" s="1"/>
    </row>
    <row r="130" spans="1:32">
      <c r="A130" s="26">
        <v>1991</v>
      </c>
      <c r="B130" s="1">
        <v>75.12</v>
      </c>
      <c r="C130" s="1"/>
      <c r="D130" s="1"/>
      <c r="E130" s="1"/>
      <c r="F130" s="1">
        <v>50.17</v>
      </c>
      <c r="G130" s="1">
        <v>59.5</v>
      </c>
      <c r="H130" s="1">
        <v>71.88</v>
      </c>
      <c r="I130" s="1"/>
      <c r="J130" s="1">
        <v>25.43</v>
      </c>
      <c r="K130" s="1">
        <v>24.04</v>
      </c>
      <c r="L130" s="1">
        <v>30.36</v>
      </c>
      <c r="M130" s="1"/>
      <c r="N130" s="1">
        <v>45.7</v>
      </c>
      <c r="O130" s="1">
        <v>59.75</v>
      </c>
      <c r="P130" s="1">
        <v>41.3</v>
      </c>
      <c r="Q130" s="1">
        <v>52.19</v>
      </c>
      <c r="R130" s="1">
        <v>45.21</v>
      </c>
      <c r="S130" s="1">
        <v>41.07</v>
      </c>
      <c r="T130" s="1">
        <v>47.64</v>
      </c>
      <c r="U130" s="1">
        <v>39.58</v>
      </c>
      <c r="V130" s="1">
        <v>57.34</v>
      </c>
      <c r="W130" s="1">
        <v>36.270000000000003</v>
      </c>
      <c r="X130" s="1"/>
      <c r="Y130" s="1"/>
      <c r="Z130" s="1"/>
      <c r="AA130" s="1">
        <v>74.239999999999995</v>
      </c>
      <c r="AB130" s="1">
        <v>72.92</v>
      </c>
      <c r="AC130" s="1">
        <v>48.58</v>
      </c>
      <c r="AD130" s="1"/>
      <c r="AE130" s="1"/>
      <c r="AF130" s="1"/>
    </row>
    <row r="131" spans="1:32">
      <c r="A131" s="26">
        <v>1992</v>
      </c>
      <c r="B131" s="1">
        <v>75.3</v>
      </c>
      <c r="C131" s="1"/>
      <c r="D131" s="1"/>
      <c r="E131" s="1"/>
      <c r="F131" s="1">
        <v>50.7</v>
      </c>
      <c r="G131" s="1">
        <v>60.09</v>
      </c>
      <c r="H131" s="1">
        <v>72.08</v>
      </c>
      <c r="I131" s="1"/>
      <c r="J131" s="1">
        <v>26.34</v>
      </c>
      <c r="K131" s="1">
        <v>24.49</v>
      </c>
      <c r="L131" s="1">
        <v>30.52</v>
      </c>
      <c r="M131" s="1"/>
      <c r="N131" s="1">
        <v>46.26</v>
      </c>
      <c r="O131" s="1">
        <v>60.42</v>
      </c>
      <c r="P131" s="1">
        <v>42.16</v>
      </c>
      <c r="Q131" s="1">
        <v>52.55</v>
      </c>
      <c r="R131" s="1">
        <v>46.42</v>
      </c>
      <c r="S131" s="1">
        <v>41.13</v>
      </c>
      <c r="T131" s="1">
        <v>48.56</v>
      </c>
      <c r="U131" s="1">
        <v>40.17</v>
      </c>
      <c r="V131" s="1">
        <v>57.86</v>
      </c>
      <c r="W131" s="1">
        <v>37.06</v>
      </c>
      <c r="X131" s="1"/>
      <c r="Y131" s="1"/>
      <c r="Z131" s="1"/>
      <c r="AA131" s="1">
        <v>74.06</v>
      </c>
      <c r="AB131" s="1">
        <v>73.36</v>
      </c>
      <c r="AC131" s="1">
        <v>49.16</v>
      </c>
      <c r="AD131" s="1"/>
      <c r="AE131" s="1"/>
      <c r="AF131" s="1"/>
    </row>
    <row r="132" spans="1:32">
      <c r="A132" s="26">
        <v>1993</v>
      </c>
      <c r="B132" s="1">
        <v>75.47</v>
      </c>
      <c r="C132" s="1"/>
      <c r="D132" s="1"/>
      <c r="E132" s="1"/>
      <c r="F132" s="1">
        <v>51.2</v>
      </c>
      <c r="G132" s="1">
        <v>60.66</v>
      </c>
      <c r="H132" s="1">
        <v>72.31</v>
      </c>
      <c r="I132" s="1"/>
      <c r="J132" s="1">
        <v>27.27</v>
      </c>
      <c r="K132" s="1">
        <v>25.04</v>
      </c>
      <c r="L132" s="1">
        <v>30.7</v>
      </c>
      <c r="M132" s="1"/>
      <c r="N132" s="1">
        <v>46.9</v>
      </c>
      <c r="O132" s="1">
        <v>61.16</v>
      </c>
      <c r="P132" s="1">
        <v>43.03</v>
      </c>
      <c r="Q132" s="1">
        <v>52.88</v>
      </c>
      <c r="R132" s="1">
        <v>47.96</v>
      </c>
      <c r="S132" s="1">
        <v>41.18</v>
      </c>
      <c r="T132" s="1">
        <v>49.67</v>
      </c>
      <c r="U132" s="1">
        <v>40.75</v>
      </c>
      <c r="V132" s="1">
        <v>58.37</v>
      </c>
      <c r="W132" s="1">
        <v>37.880000000000003</v>
      </c>
      <c r="X132" s="1"/>
      <c r="Y132" s="1"/>
      <c r="Z132" s="1"/>
      <c r="AA132" s="1">
        <v>73.8</v>
      </c>
      <c r="AB132" s="1">
        <v>73.819999999999993</v>
      </c>
      <c r="AC132" s="1">
        <v>49.74</v>
      </c>
      <c r="AD132" s="1"/>
      <c r="AE132" s="1"/>
      <c r="AF132" s="1"/>
    </row>
    <row r="133" spans="1:32">
      <c r="A133" s="26">
        <v>1994</v>
      </c>
      <c r="B133" s="1">
        <v>75.62</v>
      </c>
      <c r="C133" s="1"/>
      <c r="D133" s="1"/>
      <c r="E133" s="1"/>
      <c r="F133" s="1">
        <v>51.67</v>
      </c>
      <c r="G133" s="1">
        <v>61.23</v>
      </c>
      <c r="H133" s="1">
        <v>72.56</v>
      </c>
      <c r="I133" s="1"/>
      <c r="J133" s="1">
        <v>28.21</v>
      </c>
      <c r="K133" s="1">
        <v>25.68</v>
      </c>
      <c r="L133" s="1">
        <v>30.89</v>
      </c>
      <c r="M133" s="1"/>
      <c r="N133" s="1">
        <v>47.59</v>
      </c>
      <c r="O133" s="1">
        <v>61.93</v>
      </c>
      <c r="P133" s="1">
        <v>43.92</v>
      </c>
      <c r="Q133" s="1">
        <v>53.2</v>
      </c>
      <c r="R133" s="1">
        <v>49.73</v>
      </c>
      <c r="S133" s="1">
        <v>41.23</v>
      </c>
      <c r="T133" s="1">
        <v>50.91</v>
      </c>
      <c r="U133" s="1">
        <v>41.33</v>
      </c>
      <c r="V133" s="1">
        <v>58.87</v>
      </c>
      <c r="W133" s="1">
        <v>38.72</v>
      </c>
      <c r="X133" s="1"/>
      <c r="Y133" s="1"/>
      <c r="Z133" s="1"/>
      <c r="AA133" s="1">
        <v>73.489999999999995</v>
      </c>
      <c r="AB133" s="1">
        <v>74.28</v>
      </c>
      <c r="AC133" s="1">
        <v>50.32</v>
      </c>
      <c r="AD133" s="1"/>
      <c r="AE133" s="1"/>
      <c r="AF133" s="1"/>
    </row>
    <row r="134" spans="1:32">
      <c r="A134" s="26">
        <v>1995</v>
      </c>
      <c r="B134" s="1">
        <v>75.760000000000005</v>
      </c>
      <c r="C134" s="1"/>
      <c r="D134" s="1"/>
      <c r="E134" s="1"/>
      <c r="F134" s="1">
        <v>52.13</v>
      </c>
      <c r="G134" s="1">
        <v>61.78</v>
      </c>
      <c r="H134" s="1">
        <v>72.819999999999993</v>
      </c>
      <c r="I134" s="1"/>
      <c r="J134" s="1">
        <v>29.17</v>
      </c>
      <c r="K134" s="1">
        <v>26.4</v>
      </c>
      <c r="L134" s="1">
        <v>31.09</v>
      </c>
      <c r="M134" s="1"/>
      <c r="N134" s="1">
        <v>48.34</v>
      </c>
      <c r="O134" s="1">
        <v>62.7</v>
      </c>
      <c r="P134" s="1">
        <v>44.81</v>
      </c>
      <c r="Q134" s="1">
        <v>53.49</v>
      </c>
      <c r="R134" s="1">
        <v>51.66</v>
      </c>
      <c r="S134" s="1">
        <v>41.27</v>
      </c>
      <c r="T134" s="1">
        <v>52.21</v>
      </c>
      <c r="U134" s="1">
        <v>41.91</v>
      </c>
      <c r="V134" s="1">
        <v>59.37</v>
      </c>
      <c r="W134" s="1">
        <v>39.57</v>
      </c>
      <c r="X134" s="1"/>
      <c r="Y134" s="1"/>
      <c r="Z134" s="1"/>
      <c r="AA134" s="1">
        <v>73.150000000000006</v>
      </c>
      <c r="AB134" s="1">
        <v>74.739999999999995</v>
      </c>
      <c r="AC134" s="1">
        <v>50.91</v>
      </c>
      <c r="AD134" s="1"/>
      <c r="AE134" s="1"/>
      <c r="AF134" s="1"/>
    </row>
    <row r="135" spans="1:32">
      <c r="A135" s="26">
        <v>1996</v>
      </c>
      <c r="B135" s="1">
        <v>75.91</v>
      </c>
      <c r="C135" s="1"/>
      <c r="D135" s="1"/>
      <c r="E135" s="1"/>
      <c r="F135" s="1">
        <v>52.57</v>
      </c>
      <c r="G135" s="1">
        <v>62.34</v>
      </c>
      <c r="H135" s="1">
        <v>73.099999999999994</v>
      </c>
      <c r="I135" s="1"/>
      <c r="J135" s="1">
        <v>30.14</v>
      </c>
      <c r="K135" s="1">
        <v>27.18</v>
      </c>
      <c r="L135" s="1">
        <v>31.31</v>
      </c>
      <c r="M135" s="1"/>
      <c r="N135" s="1">
        <v>49.13</v>
      </c>
      <c r="O135" s="1">
        <v>63.42</v>
      </c>
      <c r="P135" s="1">
        <v>45.7</v>
      </c>
      <c r="Q135" s="1">
        <v>53.75</v>
      </c>
      <c r="R135" s="1">
        <v>53.64</v>
      </c>
      <c r="S135" s="1">
        <v>41.3</v>
      </c>
      <c r="T135" s="1">
        <v>53.51</v>
      </c>
      <c r="U135" s="1">
        <v>42.49</v>
      </c>
      <c r="V135" s="1">
        <v>59.88</v>
      </c>
      <c r="W135" s="1">
        <v>40.44</v>
      </c>
      <c r="X135" s="1"/>
      <c r="Y135" s="1"/>
      <c r="Z135" s="1"/>
      <c r="AA135" s="1">
        <v>72.81</v>
      </c>
      <c r="AB135" s="1">
        <v>75.2</v>
      </c>
      <c r="AC135" s="1">
        <v>51.53</v>
      </c>
      <c r="AD135" s="1"/>
      <c r="AE135" s="1"/>
      <c r="AF135" s="1"/>
    </row>
    <row r="136" spans="1:32">
      <c r="A136" s="26">
        <v>1997</v>
      </c>
      <c r="B136" s="1">
        <v>76.05</v>
      </c>
      <c r="C136" s="1"/>
      <c r="D136" s="1"/>
      <c r="E136" s="1"/>
      <c r="F136" s="1">
        <v>53.02</v>
      </c>
      <c r="G136" s="1">
        <v>62.89</v>
      </c>
      <c r="H136" s="1">
        <v>73.39</v>
      </c>
      <c r="I136" s="1"/>
      <c r="J136" s="1">
        <v>31.12</v>
      </c>
      <c r="K136" s="1">
        <v>28.02</v>
      </c>
      <c r="L136" s="1">
        <v>31.56</v>
      </c>
      <c r="M136" s="1"/>
      <c r="N136" s="1">
        <v>49.96</v>
      </c>
      <c r="O136" s="1">
        <v>64.05</v>
      </c>
      <c r="P136" s="1">
        <v>46.59</v>
      </c>
      <c r="Q136" s="1">
        <v>53.99</v>
      </c>
      <c r="R136" s="1">
        <v>55.61</v>
      </c>
      <c r="S136" s="1">
        <v>41.33</v>
      </c>
      <c r="T136" s="1">
        <v>54.74</v>
      </c>
      <c r="U136" s="1">
        <v>43.07</v>
      </c>
      <c r="V136" s="1">
        <v>60.4</v>
      </c>
      <c r="W136" s="1">
        <v>41.32</v>
      </c>
      <c r="X136" s="1"/>
      <c r="Y136" s="1"/>
      <c r="Z136" s="1"/>
      <c r="AA136" s="1">
        <v>72.5</v>
      </c>
      <c r="AB136" s="1">
        <v>75.650000000000006</v>
      </c>
      <c r="AC136" s="1">
        <v>52.17</v>
      </c>
      <c r="AD136" s="1"/>
      <c r="AE136" s="1"/>
      <c r="AF136" s="1"/>
    </row>
    <row r="137" spans="1:32">
      <c r="A137" s="26">
        <v>1998</v>
      </c>
      <c r="B137" s="1">
        <v>76.209999999999994</v>
      </c>
      <c r="C137" s="1"/>
      <c r="D137" s="1"/>
      <c r="E137" s="1"/>
      <c r="F137" s="1">
        <v>53.46</v>
      </c>
      <c r="G137" s="1">
        <v>63.45</v>
      </c>
      <c r="H137" s="1">
        <v>73.69</v>
      </c>
      <c r="I137" s="1"/>
      <c r="J137" s="1">
        <v>32.11</v>
      </c>
      <c r="K137" s="1">
        <v>28.89</v>
      </c>
      <c r="L137" s="1">
        <v>31.84</v>
      </c>
      <c r="M137" s="1"/>
      <c r="N137" s="1">
        <v>50.82</v>
      </c>
      <c r="O137" s="1">
        <v>64.55</v>
      </c>
      <c r="P137" s="1">
        <v>47.47</v>
      </c>
      <c r="Q137" s="1">
        <v>54.19</v>
      </c>
      <c r="R137" s="1">
        <v>57.46</v>
      </c>
      <c r="S137" s="1">
        <v>41.35</v>
      </c>
      <c r="T137" s="1">
        <v>55.82</v>
      </c>
      <c r="U137" s="1">
        <v>43.64</v>
      </c>
      <c r="V137" s="1">
        <v>60.94</v>
      </c>
      <c r="W137" s="1">
        <v>42.21</v>
      </c>
      <c r="X137" s="1"/>
      <c r="Y137" s="1"/>
      <c r="Z137" s="1"/>
      <c r="AA137" s="1">
        <v>72.239999999999995</v>
      </c>
      <c r="AB137" s="1">
        <v>76.08</v>
      </c>
      <c r="AC137" s="1">
        <v>52.84</v>
      </c>
      <c r="AD137" s="1"/>
      <c r="AE137" s="1"/>
      <c r="AF137" s="1"/>
    </row>
    <row r="138" spans="1:32">
      <c r="A138" s="26">
        <v>1999</v>
      </c>
      <c r="B138" s="1">
        <v>76.39</v>
      </c>
      <c r="C138" s="1"/>
      <c r="D138" s="1"/>
      <c r="E138" s="1"/>
      <c r="F138" s="1">
        <v>53.92</v>
      </c>
      <c r="G138" s="1">
        <v>64.02</v>
      </c>
      <c r="H138" s="1">
        <v>73.989999999999995</v>
      </c>
      <c r="I138" s="1"/>
      <c r="J138" s="1">
        <v>33.1</v>
      </c>
      <c r="K138" s="1">
        <v>29.79</v>
      </c>
      <c r="L138" s="1">
        <v>32.15</v>
      </c>
      <c r="M138" s="1"/>
      <c r="N138" s="1">
        <v>51.7</v>
      </c>
      <c r="O138" s="1">
        <v>64.88</v>
      </c>
      <c r="P138" s="1">
        <v>48.34</v>
      </c>
      <c r="Q138" s="1">
        <v>54.37</v>
      </c>
      <c r="R138" s="1">
        <v>59.12</v>
      </c>
      <c r="S138" s="1">
        <v>41.38</v>
      </c>
      <c r="T138" s="1">
        <v>56.7</v>
      </c>
      <c r="U138" s="1">
        <v>44.22</v>
      </c>
      <c r="V138" s="1">
        <v>61.51</v>
      </c>
      <c r="W138" s="1">
        <v>43.1</v>
      </c>
      <c r="X138" s="1"/>
      <c r="Y138" s="1"/>
      <c r="Z138" s="1"/>
      <c r="AA138" s="1">
        <v>72.06</v>
      </c>
      <c r="AB138" s="1">
        <v>76.5</v>
      </c>
      <c r="AC138" s="1">
        <v>53.55</v>
      </c>
      <c r="AD138" s="1"/>
      <c r="AE138" s="1"/>
      <c r="AF138" s="1"/>
    </row>
    <row r="139" spans="1:32">
      <c r="A139" s="26">
        <v>2000</v>
      </c>
      <c r="B139" s="1">
        <v>76.599999999999994</v>
      </c>
      <c r="C139" s="1"/>
      <c r="D139" s="1"/>
      <c r="E139" s="1"/>
      <c r="F139" s="1">
        <v>54.4</v>
      </c>
      <c r="G139" s="1">
        <v>64.599999999999994</v>
      </c>
      <c r="H139" s="1">
        <v>74.3</v>
      </c>
      <c r="I139" s="1"/>
      <c r="J139" s="1">
        <v>34.1</v>
      </c>
      <c r="K139" s="1">
        <v>30.7</v>
      </c>
      <c r="L139" s="1">
        <v>32.5</v>
      </c>
      <c r="M139" s="1"/>
      <c r="N139" s="1">
        <v>52.6</v>
      </c>
      <c r="O139" s="1">
        <v>65</v>
      </c>
      <c r="P139" s="1">
        <v>49.2</v>
      </c>
      <c r="Q139" s="1">
        <v>54.5</v>
      </c>
      <c r="R139" s="1">
        <v>60.5</v>
      </c>
      <c r="S139" s="1">
        <v>41.4</v>
      </c>
      <c r="T139" s="1">
        <v>57.3</v>
      </c>
      <c r="U139" s="1">
        <v>44.8</v>
      </c>
      <c r="V139" s="1">
        <v>62.1</v>
      </c>
      <c r="W139" s="1">
        <v>44</v>
      </c>
      <c r="X139" s="1"/>
      <c r="Y139" s="1"/>
      <c r="Z139" s="1"/>
      <c r="AA139" s="1">
        <v>72</v>
      </c>
      <c r="AB139" s="1">
        <v>76.900000000000006</v>
      </c>
      <c r="AC139" s="1">
        <v>54.3</v>
      </c>
      <c r="AD139" s="1"/>
      <c r="AE139" s="1"/>
      <c r="AF139" s="1"/>
    </row>
    <row r="140" spans="1:32">
      <c r="A140" s="26">
        <v>2001</v>
      </c>
      <c r="B140" s="1">
        <v>76.84</v>
      </c>
      <c r="C140" s="1"/>
      <c r="D140" s="1"/>
      <c r="E140" s="1"/>
      <c r="F140" s="1">
        <v>54.89</v>
      </c>
      <c r="G140" s="1">
        <v>65.19</v>
      </c>
      <c r="H140" s="1">
        <v>74.61</v>
      </c>
      <c r="I140" s="1"/>
      <c r="J140" s="1"/>
      <c r="K140" s="1"/>
      <c r="L140" s="1">
        <v>32.96</v>
      </c>
      <c r="M140" s="1"/>
      <c r="N140" s="1">
        <v>53.54</v>
      </c>
      <c r="O140" s="1">
        <v>65</v>
      </c>
      <c r="P140" s="1">
        <v>50.06</v>
      </c>
      <c r="Q140" s="1">
        <v>54.61</v>
      </c>
      <c r="R140" s="1">
        <v>61.68</v>
      </c>
      <c r="S140" s="1"/>
      <c r="T140" s="1">
        <v>57.72</v>
      </c>
      <c r="U140" s="1"/>
      <c r="V140" s="1">
        <v>62.73</v>
      </c>
      <c r="W140" s="1"/>
      <c r="X140" s="1"/>
      <c r="Y140" s="1"/>
      <c r="Z140" s="1"/>
      <c r="AA140" s="1">
        <v>72.08</v>
      </c>
      <c r="AB140" s="1">
        <v>77.28</v>
      </c>
      <c r="AC140" s="1">
        <v>55.11</v>
      </c>
      <c r="AD140" s="1"/>
      <c r="AE140" s="1"/>
      <c r="AF140" s="1"/>
    </row>
    <row r="141" spans="1:32">
      <c r="A141" s="26">
        <v>2002</v>
      </c>
      <c r="B141" s="1">
        <v>77.099999999999994</v>
      </c>
      <c r="C141" s="1"/>
      <c r="D141" s="1"/>
      <c r="E141" s="1"/>
      <c r="F141" s="1">
        <v>55.39</v>
      </c>
      <c r="G141" s="1">
        <v>65.78</v>
      </c>
      <c r="H141" s="1">
        <v>74.95</v>
      </c>
      <c r="I141" s="1"/>
      <c r="J141" s="1"/>
      <c r="K141" s="1"/>
      <c r="L141" s="1">
        <v>33.58</v>
      </c>
      <c r="M141" s="1"/>
      <c r="N141" s="1">
        <v>54.55</v>
      </c>
      <c r="O141" s="1">
        <v>64.989999999999995</v>
      </c>
      <c r="P141" s="1">
        <v>50.96</v>
      </c>
      <c r="Q141" s="1">
        <v>54.71</v>
      </c>
      <c r="R141" s="1">
        <v>62.79</v>
      </c>
      <c r="S141" s="1"/>
      <c r="T141" s="1">
        <v>58.09</v>
      </c>
      <c r="U141" s="1"/>
      <c r="V141" s="1">
        <v>63.38</v>
      </c>
      <c r="W141" s="1"/>
      <c r="X141" s="1"/>
      <c r="Y141" s="1"/>
      <c r="Z141" s="1"/>
      <c r="AA141" s="1">
        <v>72.319999999999993</v>
      </c>
      <c r="AB141" s="1">
        <v>77.64</v>
      </c>
      <c r="AC141" s="1">
        <v>55.98</v>
      </c>
      <c r="AD141" s="1"/>
      <c r="AE141" s="1"/>
      <c r="AF141" s="1"/>
    </row>
    <row r="142" spans="1:32">
      <c r="A142" s="26">
        <v>2003</v>
      </c>
      <c r="B142" s="1">
        <v>77.39</v>
      </c>
      <c r="C142" s="1"/>
      <c r="D142" s="1"/>
      <c r="E142" s="1"/>
      <c r="F142" s="1">
        <v>55.88</v>
      </c>
      <c r="G142" s="1">
        <v>66.37</v>
      </c>
      <c r="H142" s="1">
        <v>75.290000000000006</v>
      </c>
      <c r="I142" s="1"/>
      <c r="J142" s="1"/>
      <c r="K142" s="1"/>
      <c r="L142" s="1">
        <v>34.36</v>
      </c>
      <c r="M142" s="1"/>
      <c r="N142" s="1">
        <v>55.62</v>
      </c>
      <c r="O142" s="1">
        <v>64.989999999999995</v>
      </c>
      <c r="P142" s="1">
        <v>51.87</v>
      </c>
      <c r="Q142" s="1">
        <v>54.79</v>
      </c>
      <c r="R142" s="1">
        <v>63.84</v>
      </c>
      <c r="S142" s="1"/>
      <c r="T142" s="1">
        <v>58.43</v>
      </c>
      <c r="U142" s="1"/>
      <c r="V142" s="1">
        <v>64.06</v>
      </c>
      <c r="W142" s="1"/>
      <c r="X142" s="1"/>
      <c r="Y142" s="1"/>
      <c r="Z142" s="1"/>
      <c r="AA142" s="1">
        <v>72.7</v>
      </c>
      <c r="AB142" s="1">
        <v>78</v>
      </c>
      <c r="AC142" s="1">
        <v>56.91</v>
      </c>
      <c r="AD142" s="1"/>
      <c r="AE142" s="1"/>
      <c r="AF142" s="1"/>
    </row>
    <row r="143" spans="1:32">
      <c r="A143" s="26">
        <v>2004</v>
      </c>
      <c r="B143" s="1">
        <v>77.69</v>
      </c>
      <c r="C143" s="1"/>
      <c r="D143" s="1"/>
      <c r="E143" s="1"/>
      <c r="F143" s="1">
        <v>56.38</v>
      </c>
      <c r="G143" s="1">
        <v>66.97</v>
      </c>
      <c r="H143" s="1">
        <v>75.66</v>
      </c>
      <c r="I143" s="1"/>
      <c r="J143" s="1"/>
      <c r="K143" s="1"/>
      <c r="L143" s="1">
        <v>35.26</v>
      </c>
      <c r="M143" s="1"/>
      <c r="N143" s="1">
        <v>56.75</v>
      </c>
      <c r="O143" s="1">
        <v>64.98</v>
      </c>
      <c r="P143" s="1">
        <v>52.81</v>
      </c>
      <c r="Q143" s="1">
        <v>54.87</v>
      </c>
      <c r="R143" s="1">
        <v>64.84</v>
      </c>
      <c r="S143" s="1"/>
      <c r="T143" s="1">
        <v>58.73</v>
      </c>
      <c r="U143" s="1"/>
      <c r="V143" s="1">
        <v>64.77</v>
      </c>
      <c r="W143" s="1"/>
      <c r="X143" s="1"/>
      <c r="Y143" s="1"/>
      <c r="Z143" s="1"/>
      <c r="AA143" s="1">
        <v>73.209999999999994</v>
      </c>
      <c r="AB143" s="1">
        <v>78.34</v>
      </c>
      <c r="AC143" s="1">
        <v>57.89</v>
      </c>
      <c r="AD143" s="1"/>
      <c r="AE143" s="1"/>
      <c r="AF143" s="1"/>
    </row>
    <row r="144" spans="1:32">
      <c r="A144" s="26">
        <v>2005</v>
      </c>
      <c r="B144" s="1">
        <v>78.02</v>
      </c>
      <c r="C144" s="1"/>
      <c r="D144" s="1"/>
      <c r="E144" s="1"/>
      <c r="F144" s="1">
        <v>56.88</v>
      </c>
      <c r="G144" s="1">
        <v>67.569999999999993</v>
      </c>
      <c r="H144" s="1">
        <v>76.03</v>
      </c>
      <c r="I144" s="1"/>
      <c r="J144" s="1"/>
      <c r="K144" s="1"/>
      <c r="L144" s="1">
        <v>36.28</v>
      </c>
      <c r="M144" s="1"/>
      <c r="N144" s="1">
        <v>57.92</v>
      </c>
      <c r="O144" s="1">
        <v>64.97</v>
      </c>
      <c r="P144" s="1">
        <v>53.76</v>
      </c>
      <c r="Q144" s="1">
        <v>54.94</v>
      </c>
      <c r="R144" s="1">
        <v>65.8</v>
      </c>
      <c r="S144" s="1"/>
      <c r="T144" s="1">
        <v>59</v>
      </c>
      <c r="U144" s="1"/>
      <c r="V144" s="1">
        <v>65.489999999999995</v>
      </c>
      <c r="W144" s="1"/>
      <c r="X144" s="1"/>
      <c r="Y144" s="1"/>
      <c r="Z144" s="1"/>
      <c r="AA144" s="1">
        <v>73.81</v>
      </c>
      <c r="AB144" s="1">
        <v>78.680000000000007</v>
      </c>
      <c r="AC144" s="1">
        <v>58.91</v>
      </c>
      <c r="AD144" s="1"/>
      <c r="AE144" s="1"/>
      <c r="AF144" s="1"/>
    </row>
    <row r="145" spans="1:32">
      <c r="A145" s="26">
        <v>2006</v>
      </c>
      <c r="B145" s="1">
        <v>78.36</v>
      </c>
      <c r="C145" s="1"/>
      <c r="D145" s="1"/>
      <c r="E145" s="1"/>
      <c r="F145" s="1">
        <v>57.38</v>
      </c>
      <c r="G145" s="1">
        <v>68.17</v>
      </c>
      <c r="H145" s="1">
        <v>76.41</v>
      </c>
      <c r="I145" s="1"/>
      <c r="J145" s="1"/>
      <c r="K145" s="1"/>
      <c r="L145" s="1">
        <v>37.39</v>
      </c>
      <c r="M145" s="1"/>
      <c r="N145" s="1">
        <v>59.13</v>
      </c>
      <c r="O145" s="1">
        <v>64.959999999999994</v>
      </c>
      <c r="P145" s="1">
        <v>54.73</v>
      </c>
      <c r="Q145" s="1">
        <v>55</v>
      </c>
      <c r="R145" s="1">
        <v>66.72</v>
      </c>
      <c r="S145" s="1"/>
      <c r="T145" s="1">
        <v>59.25</v>
      </c>
      <c r="U145" s="1"/>
      <c r="V145" s="1">
        <v>66.239999999999995</v>
      </c>
      <c r="W145" s="1"/>
      <c r="X145" s="1"/>
      <c r="Y145" s="1"/>
      <c r="Z145" s="1"/>
      <c r="AA145" s="1">
        <v>74.510000000000005</v>
      </c>
      <c r="AB145" s="1">
        <v>79.010000000000005</v>
      </c>
      <c r="AC145" s="1">
        <v>59.97</v>
      </c>
      <c r="AD145" s="1"/>
      <c r="AE145" s="1"/>
      <c r="AF145" s="1"/>
    </row>
    <row r="146" spans="1:32">
      <c r="A146" s="26">
        <v>2007</v>
      </c>
      <c r="B146" s="1">
        <v>78.709999999999994</v>
      </c>
      <c r="C146" s="1"/>
      <c r="D146" s="1"/>
      <c r="E146" s="1"/>
      <c r="F146" s="1">
        <v>57.89</v>
      </c>
      <c r="G146" s="1">
        <v>68.78</v>
      </c>
      <c r="H146" s="1">
        <v>76.8</v>
      </c>
      <c r="I146" s="1"/>
      <c r="J146" s="1"/>
      <c r="K146" s="1"/>
      <c r="L146" s="1">
        <v>38.58</v>
      </c>
      <c r="M146" s="1"/>
      <c r="N146" s="1">
        <v>60.37</v>
      </c>
      <c r="O146" s="1">
        <v>64.94</v>
      </c>
      <c r="P146" s="1">
        <v>55.71</v>
      </c>
      <c r="Q146" s="1">
        <v>55.05</v>
      </c>
      <c r="R146" s="1">
        <v>67.62</v>
      </c>
      <c r="S146" s="1"/>
      <c r="T146" s="1">
        <v>59.48</v>
      </c>
      <c r="U146" s="1"/>
      <c r="V146" s="1">
        <v>66.989999999999995</v>
      </c>
      <c r="W146" s="1"/>
      <c r="X146" s="1"/>
      <c r="Y146" s="1"/>
      <c r="Z146" s="1"/>
      <c r="AA146" s="1">
        <v>75.27</v>
      </c>
      <c r="AB146" s="1">
        <v>79.34</v>
      </c>
      <c r="AC146" s="1">
        <v>61.05</v>
      </c>
      <c r="AD146" s="1"/>
      <c r="AE146" s="1"/>
      <c r="AF146" s="1"/>
    </row>
    <row r="147" spans="1:32">
      <c r="A147" s="26">
        <v>2008</v>
      </c>
      <c r="B147" s="1">
        <v>79.069999999999993</v>
      </c>
      <c r="C147" s="1"/>
      <c r="D147" s="1"/>
      <c r="E147" s="1"/>
      <c r="F147" s="1">
        <v>58.39</v>
      </c>
      <c r="G147" s="1">
        <v>69.39</v>
      </c>
      <c r="H147" s="1">
        <v>77.2</v>
      </c>
      <c r="I147" s="1"/>
      <c r="J147" s="1"/>
      <c r="K147" s="1"/>
      <c r="L147" s="1">
        <v>39.82</v>
      </c>
      <c r="M147" s="1"/>
      <c r="N147" s="1">
        <v>61.63</v>
      </c>
      <c r="O147" s="1">
        <v>64.930000000000007</v>
      </c>
      <c r="P147" s="1">
        <v>56.7</v>
      </c>
      <c r="Q147" s="1">
        <v>55.1</v>
      </c>
      <c r="R147" s="1">
        <v>68.489999999999995</v>
      </c>
      <c r="S147" s="1"/>
      <c r="T147" s="1">
        <v>59.69</v>
      </c>
      <c r="U147" s="1"/>
      <c r="V147" s="1">
        <v>67.75</v>
      </c>
      <c r="W147" s="1"/>
      <c r="X147" s="1"/>
      <c r="Y147" s="1"/>
      <c r="Z147" s="1"/>
      <c r="AA147" s="1">
        <v>76.08</v>
      </c>
      <c r="AB147" s="1">
        <v>79.66</v>
      </c>
      <c r="AC147" s="1">
        <v>62.16</v>
      </c>
      <c r="AD147" s="1"/>
      <c r="AE147" s="1"/>
      <c r="AF147" s="1"/>
    </row>
    <row r="148" spans="1:32">
      <c r="A148" s="26">
        <v>2009</v>
      </c>
      <c r="B148" s="1">
        <v>79.430000000000007</v>
      </c>
      <c r="C148" s="1"/>
      <c r="D148" s="1"/>
      <c r="E148" s="1"/>
      <c r="F148" s="1">
        <v>58.89</v>
      </c>
      <c r="G148" s="1">
        <v>69.989999999999995</v>
      </c>
      <c r="H148" s="1">
        <v>77.599999999999994</v>
      </c>
      <c r="I148" s="1"/>
      <c r="J148" s="1"/>
      <c r="K148" s="1"/>
      <c r="L148" s="1">
        <v>41.1</v>
      </c>
      <c r="M148" s="1"/>
      <c r="N148" s="1">
        <v>62.91</v>
      </c>
      <c r="O148" s="1">
        <v>64.91</v>
      </c>
      <c r="P148" s="1">
        <v>57.7</v>
      </c>
      <c r="Q148" s="1">
        <v>55.15</v>
      </c>
      <c r="R148" s="1">
        <v>69.349999999999994</v>
      </c>
      <c r="S148" s="1"/>
      <c r="T148" s="1">
        <v>59.9</v>
      </c>
      <c r="U148" s="1"/>
      <c r="V148" s="1">
        <v>68.53</v>
      </c>
      <c r="W148" s="1"/>
      <c r="X148" s="1"/>
      <c r="Y148" s="1"/>
      <c r="Z148" s="1"/>
      <c r="AA148" s="1">
        <v>76.930000000000007</v>
      </c>
      <c r="AB148" s="1">
        <v>79.98</v>
      </c>
      <c r="AC148" s="1">
        <v>63.27</v>
      </c>
      <c r="AD148" s="1"/>
      <c r="AE148" s="1"/>
      <c r="AF148" s="1"/>
    </row>
    <row r="149" spans="1:32">
      <c r="A149" s="26">
        <v>2010</v>
      </c>
      <c r="B149" s="1">
        <v>79.8</v>
      </c>
      <c r="C149" s="1"/>
      <c r="D149" s="1"/>
      <c r="E149" s="1"/>
      <c r="F149" s="1">
        <v>59.4</v>
      </c>
      <c r="G149" s="1">
        <v>70.599999999999994</v>
      </c>
      <c r="H149" s="1">
        <v>78</v>
      </c>
      <c r="I149" s="1"/>
      <c r="J149" s="1"/>
      <c r="K149" s="1"/>
      <c r="L149" s="1">
        <v>42.4</v>
      </c>
      <c r="M149" s="1"/>
      <c r="N149" s="1">
        <v>64.2</v>
      </c>
      <c r="O149" s="1">
        <v>64.900000000000006</v>
      </c>
      <c r="P149" s="1">
        <v>58.7</v>
      </c>
      <c r="Q149" s="1">
        <v>55.2</v>
      </c>
      <c r="R149" s="1">
        <v>70.2</v>
      </c>
      <c r="S149" s="1"/>
      <c r="T149" s="1">
        <v>60.1</v>
      </c>
      <c r="U149" s="1"/>
      <c r="V149" s="1">
        <v>69.3</v>
      </c>
      <c r="W149" s="1"/>
      <c r="X149" s="1"/>
      <c r="Y149" s="1"/>
      <c r="Z149" s="1"/>
      <c r="AA149" s="1">
        <v>77.8</v>
      </c>
      <c r="AB149" s="1">
        <v>80.3</v>
      </c>
      <c r="AC149" s="1">
        <v>64.400000000000006</v>
      </c>
      <c r="AD149" s="1"/>
      <c r="AE149" s="1"/>
      <c r="AF149" s="1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DEDA-49EE-42E1-A7C4-B2B9FBAD5D4A}">
  <dimension ref="A1:Z149"/>
  <sheetViews>
    <sheetView topLeftCell="A148" zoomScaleNormal="100" workbookViewId="0">
      <selection activeCell="AE158" sqref="AE158"/>
    </sheetView>
  </sheetViews>
  <sheetFormatPr defaultRowHeight="14.25"/>
  <sheetData>
    <row r="1" spans="1:26" ht="15">
      <c r="A1" s="11" t="s">
        <v>93</v>
      </c>
    </row>
    <row r="3" spans="1:26" ht="15">
      <c r="A3" s="12" t="s">
        <v>42</v>
      </c>
      <c r="B3" s="12" t="s">
        <v>6</v>
      </c>
      <c r="C3" s="12" t="s">
        <v>7</v>
      </c>
      <c r="D3" s="12" t="s">
        <v>8</v>
      </c>
      <c r="E3" s="12" t="s">
        <v>18</v>
      </c>
      <c r="F3" s="12" t="s">
        <v>34</v>
      </c>
      <c r="G3" s="12" t="s">
        <v>24</v>
      </c>
      <c r="H3" s="12" t="s">
        <v>23</v>
      </c>
      <c r="I3" s="12" t="s">
        <v>25</v>
      </c>
      <c r="J3" s="12" t="s">
        <v>30</v>
      </c>
      <c r="K3" s="12" t="s">
        <v>10</v>
      </c>
      <c r="L3" s="12" t="s">
        <v>20</v>
      </c>
      <c r="M3" s="12" t="s">
        <v>21</v>
      </c>
      <c r="N3" s="12" t="s">
        <v>27</v>
      </c>
      <c r="O3" s="12" t="s">
        <v>28</v>
      </c>
      <c r="P3" s="12" t="s">
        <v>29</v>
      </c>
      <c r="Q3" s="12" t="s">
        <v>14</v>
      </c>
      <c r="R3" s="12" t="s">
        <v>15</v>
      </c>
      <c r="S3" s="12" t="s">
        <v>22</v>
      </c>
      <c r="T3" s="12" t="s">
        <v>37</v>
      </c>
      <c r="U3" s="12" t="s">
        <v>17</v>
      </c>
      <c r="V3" s="12" t="s">
        <v>9</v>
      </c>
      <c r="W3" s="12" t="s">
        <v>11</v>
      </c>
      <c r="X3" s="12" t="s">
        <v>26</v>
      </c>
      <c r="Y3" s="12" t="s">
        <v>64</v>
      </c>
      <c r="Z3" s="12" t="s">
        <v>110</v>
      </c>
    </row>
    <row r="4" spans="1:26">
      <c r="A4" s="26">
        <v>1865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>
        <v>11</v>
      </c>
      <c r="W4" s="1"/>
      <c r="X4" s="1"/>
      <c r="Y4" s="1"/>
      <c r="Z4" s="1"/>
    </row>
    <row r="5" spans="1:26">
      <c r="A5" s="26">
        <v>1866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>
        <v>11.08</v>
      </c>
      <c r="W5" s="1"/>
      <c r="X5" s="1"/>
      <c r="Y5" s="1"/>
      <c r="Z5" s="1"/>
    </row>
    <row r="6" spans="1:26">
      <c r="A6" s="26">
        <v>1867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>
        <v>11.16</v>
      </c>
      <c r="W6" s="1"/>
      <c r="X6" s="1"/>
      <c r="Y6" s="1"/>
      <c r="Z6" s="1"/>
    </row>
    <row r="7" spans="1:26">
      <c r="A7" s="26">
        <v>1868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>
        <v>11.23</v>
      </c>
      <c r="W7" s="1"/>
      <c r="X7" s="1"/>
      <c r="Y7" s="1"/>
      <c r="Z7" s="1"/>
    </row>
    <row r="8" spans="1:26">
      <c r="A8" s="26">
        <v>1869</v>
      </c>
      <c r="B8" s="1">
        <v>16.399999999999999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>
        <v>11.31</v>
      </c>
      <c r="W8" s="1"/>
      <c r="X8" s="1"/>
      <c r="Y8" s="1"/>
      <c r="Z8" s="1"/>
    </row>
    <row r="9" spans="1:26">
      <c r="A9" s="26">
        <v>1870</v>
      </c>
      <c r="B9" s="1">
        <v>16.690000000000001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>
        <v>11.39</v>
      </c>
      <c r="W9" s="1"/>
      <c r="X9" s="1"/>
      <c r="Y9" s="1"/>
      <c r="Z9" s="1"/>
    </row>
    <row r="10" spans="1:26">
      <c r="A10" s="26">
        <v>1871</v>
      </c>
      <c r="B10" s="1">
        <v>16.989999999999998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>
        <v>11.47</v>
      </c>
      <c r="W10" s="1"/>
      <c r="X10" s="1"/>
      <c r="Y10" s="1"/>
      <c r="Z10" s="1"/>
    </row>
    <row r="11" spans="1:26">
      <c r="A11" s="26">
        <v>1872</v>
      </c>
      <c r="B11" s="1">
        <v>17.28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11.55</v>
      </c>
      <c r="W11" s="1"/>
      <c r="X11" s="1"/>
      <c r="Y11" s="1"/>
      <c r="Z11" s="1"/>
    </row>
    <row r="12" spans="1:26">
      <c r="A12" s="26">
        <v>1873</v>
      </c>
      <c r="B12" s="1">
        <v>17.57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>
        <v>11.63</v>
      </c>
      <c r="W12" s="1"/>
      <c r="X12" s="1"/>
      <c r="Y12" s="1"/>
      <c r="Z12" s="1"/>
    </row>
    <row r="13" spans="1:26">
      <c r="A13" s="26">
        <v>1874</v>
      </c>
      <c r="B13" s="1">
        <v>17.87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>
        <v>11.72</v>
      </c>
      <c r="W13" s="1"/>
      <c r="X13" s="1"/>
      <c r="Y13" s="1"/>
      <c r="Z13" s="1"/>
    </row>
    <row r="14" spans="1:26">
      <c r="A14" s="26">
        <v>1875</v>
      </c>
      <c r="B14" s="1">
        <v>18.16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>
        <v>11.8</v>
      </c>
      <c r="W14" s="1"/>
      <c r="X14" s="1"/>
      <c r="Y14" s="1"/>
      <c r="Z14" s="1"/>
    </row>
    <row r="15" spans="1:26">
      <c r="A15" s="26">
        <v>1876</v>
      </c>
      <c r="B15" s="1">
        <v>18.46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>
        <v>3.8</v>
      </c>
      <c r="S15" s="1"/>
      <c r="T15" s="1"/>
      <c r="U15" s="1"/>
      <c r="V15" s="1">
        <v>11.88</v>
      </c>
      <c r="W15" s="1"/>
      <c r="X15" s="1"/>
      <c r="Y15" s="1"/>
      <c r="Z15" s="1"/>
    </row>
    <row r="16" spans="1:26">
      <c r="A16" s="26">
        <v>1877</v>
      </c>
      <c r="B16" s="1">
        <v>18.760000000000002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>
        <v>3.85</v>
      </c>
      <c r="S16" s="1"/>
      <c r="T16" s="1"/>
      <c r="U16" s="1"/>
      <c r="V16" s="1">
        <v>11.96</v>
      </c>
      <c r="W16" s="1"/>
      <c r="X16" s="1"/>
      <c r="Y16" s="1"/>
      <c r="Z16" s="1"/>
    </row>
    <row r="17" spans="1:26">
      <c r="A17" s="26">
        <v>1878</v>
      </c>
      <c r="B17" s="1">
        <v>19.059999999999999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>
        <v>3.91</v>
      </c>
      <c r="S17" s="1"/>
      <c r="T17" s="1"/>
      <c r="U17" s="1"/>
      <c r="V17" s="1">
        <v>12.03</v>
      </c>
      <c r="W17" s="1"/>
      <c r="X17" s="1"/>
      <c r="Y17" s="1"/>
      <c r="Z17" s="1"/>
    </row>
    <row r="18" spans="1:26">
      <c r="A18" s="26">
        <v>1879</v>
      </c>
      <c r="B18" s="1">
        <v>19.36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>
        <v>3.96</v>
      </c>
      <c r="S18" s="1"/>
      <c r="T18" s="1"/>
      <c r="U18" s="1"/>
      <c r="V18" s="1">
        <v>12.11</v>
      </c>
      <c r="W18" s="1"/>
      <c r="X18" s="1"/>
      <c r="Y18" s="1"/>
      <c r="Z18" s="1"/>
    </row>
    <row r="19" spans="1:26">
      <c r="A19" s="26">
        <v>1880</v>
      </c>
      <c r="B19" s="1">
        <v>19.66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>
        <v>4.0199999999999996</v>
      </c>
      <c r="S19" s="1"/>
      <c r="T19" s="1"/>
      <c r="U19" s="1"/>
      <c r="V19" s="1">
        <v>12.18</v>
      </c>
      <c r="W19" s="1"/>
      <c r="X19" s="1"/>
      <c r="Y19" s="1"/>
      <c r="Z19" s="1"/>
    </row>
    <row r="20" spans="1:26">
      <c r="A20" s="26">
        <v>1881</v>
      </c>
      <c r="B20" s="1">
        <v>19.97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>
        <v>4.08</v>
      </c>
      <c r="S20" s="1"/>
      <c r="T20" s="1"/>
      <c r="U20" s="1"/>
      <c r="V20" s="1">
        <v>12.27</v>
      </c>
      <c r="W20" s="1"/>
      <c r="X20" s="1"/>
      <c r="Y20" s="1"/>
      <c r="Z20" s="1"/>
    </row>
    <row r="21" spans="1:26">
      <c r="A21" s="26">
        <v>1882</v>
      </c>
      <c r="B21" s="1">
        <v>20.28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>
        <v>4.13</v>
      </c>
      <c r="S21" s="1"/>
      <c r="T21" s="1"/>
      <c r="U21" s="1"/>
      <c r="V21" s="1">
        <v>12.36</v>
      </c>
      <c r="W21" s="1"/>
      <c r="X21" s="1"/>
      <c r="Y21" s="1"/>
      <c r="Z21" s="1"/>
    </row>
    <row r="22" spans="1:26">
      <c r="A22" s="26">
        <v>1883</v>
      </c>
      <c r="B22" s="1">
        <v>20.59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>
        <v>4.1900000000000004</v>
      </c>
      <c r="S22" s="1"/>
      <c r="T22" s="1"/>
      <c r="U22" s="1"/>
      <c r="V22" s="1">
        <v>12.46</v>
      </c>
      <c r="W22" s="1"/>
      <c r="X22" s="1"/>
      <c r="Y22" s="1"/>
      <c r="Z22" s="1"/>
    </row>
    <row r="23" spans="1:26">
      <c r="A23" s="26">
        <v>1884</v>
      </c>
      <c r="B23" s="1">
        <v>20.9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>
        <v>4.24</v>
      </c>
      <c r="S23" s="1"/>
      <c r="T23" s="1"/>
      <c r="U23" s="1"/>
      <c r="V23" s="1">
        <v>12.57</v>
      </c>
      <c r="W23" s="1"/>
      <c r="X23" s="1"/>
      <c r="Y23" s="1"/>
      <c r="Z23" s="1"/>
    </row>
    <row r="24" spans="1:26">
      <c r="A24" s="26">
        <v>1885</v>
      </c>
      <c r="B24" s="1">
        <v>21.22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>
        <v>4.3</v>
      </c>
      <c r="S24" s="1"/>
      <c r="T24" s="1"/>
      <c r="U24" s="1"/>
      <c r="V24" s="1">
        <v>12.7</v>
      </c>
      <c r="W24" s="1"/>
      <c r="X24" s="1"/>
      <c r="Y24" s="1"/>
      <c r="Z24" s="1"/>
    </row>
    <row r="25" spans="1:26">
      <c r="A25" s="26">
        <v>1886</v>
      </c>
      <c r="B25" s="1">
        <v>21.54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>
        <v>4.3499999999999996</v>
      </c>
      <c r="S25" s="1"/>
      <c r="T25" s="1"/>
      <c r="U25" s="1"/>
      <c r="V25" s="1">
        <v>12.88</v>
      </c>
      <c r="W25" s="1"/>
      <c r="X25" s="1"/>
      <c r="Y25" s="1"/>
      <c r="Z25" s="1"/>
    </row>
    <row r="26" spans="1:26">
      <c r="A26" s="26">
        <v>1887</v>
      </c>
      <c r="B26" s="1">
        <v>21.86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>
        <v>4.41</v>
      </c>
      <c r="S26" s="1"/>
      <c r="T26" s="1"/>
      <c r="U26" s="1"/>
      <c r="V26" s="1">
        <v>13.12</v>
      </c>
      <c r="W26" s="1"/>
      <c r="X26" s="1"/>
      <c r="Y26" s="1"/>
      <c r="Z26" s="1"/>
    </row>
    <row r="27" spans="1:26">
      <c r="A27" s="26">
        <v>1888</v>
      </c>
      <c r="B27" s="1">
        <v>22.19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>
        <v>4.47</v>
      </c>
      <c r="S27" s="1"/>
      <c r="T27" s="1"/>
      <c r="U27" s="1"/>
      <c r="V27" s="1">
        <v>13.42</v>
      </c>
      <c r="W27" s="1"/>
      <c r="X27" s="1"/>
      <c r="Y27" s="1"/>
      <c r="Z27" s="1"/>
    </row>
    <row r="28" spans="1:26">
      <c r="A28" s="26">
        <v>1889</v>
      </c>
      <c r="B28" s="1">
        <v>22.52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>
        <v>4.5199999999999996</v>
      </c>
      <c r="S28" s="1"/>
      <c r="T28" s="1"/>
      <c r="U28" s="1"/>
      <c r="V28" s="1">
        <v>13.75</v>
      </c>
      <c r="W28" s="1"/>
      <c r="X28" s="1"/>
      <c r="Y28" s="1"/>
      <c r="Z28" s="1"/>
    </row>
    <row r="29" spans="1:26">
      <c r="A29" s="26">
        <v>1890</v>
      </c>
      <c r="B29" s="1">
        <v>22.86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>
        <v>4.58</v>
      </c>
      <c r="S29" s="1"/>
      <c r="T29" s="1"/>
      <c r="U29" s="1"/>
      <c r="V29" s="1">
        <v>14.1</v>
      </c>
      <c r="W29" s="1"/>
      <c r="X29" s="1"/>
      <c r="Y29" s="1"/>
      <c r="Z29" s="1"/>
    </row>
    <row r="30" spans="1:26">
      <c r="A30" s="26">
        <v>1891</v>
      </c>
      <c r="B30" s="1">
        <v>23.2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>
        <v>4.6399999999999997</v>
      </c>
      <c r="S30" s="1"/>
      <c r="T30" s="1"/>
      <c r="U30" s="1"/>
      <c r="V30" s="1">
        <v>14.46</v>
      </c>
      <c r="W30" s="1"/>
      <c r="X30" s="1"/>
      <c r="Y30" s="1"/>
      <c r="Z30" s="1"/>
    </row>
    <row r="31" spans="1:26">
      <c r="A31" s="26">
        <v>1892</v>
      </c>
      <c r="B31" s="1">
        <v>23.54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>
        <v>4.7</v>
      </c>
      <c r="S31" s="1"/>
      <c r="T31" s="1"/>
      <c r="U31" s="1"/>
      <c r="V31" s="1">
        <v>14.8</v>
      </c>
      <c r="W31" s="1"/>
      <c r="X31" s="1"/>
      <c r="Y31" s="1"/>
      <c r="Z31" s="1"/>
    </row>
    <row r="32" spans="1:26">
      <c r="A32" s="26">
        <v>1893</v>
      </c>
      <c r="B32" s="1">
        <v>23.89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>
        <v>4.75</v>
      </c>
      <c r="S32" s="1"/>
      <c r="T32" s="1"/>
      <c r="U32" s="1"/>
      <c r="V32" s="1">
        <v>15.12</v>
      </c>
      <c r="W32" s="1"/>
      <c r="X32" s="1"/>
      <c r="Y32" s="1"/>
      <c r="Z32" s="1"/>
    </row>
    <row r="33" spans="1:26">
      <c r="A33" s="26">
        <v>1894</v>
      </c>
      <c r="B33" s="1">
        <v>24.24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>
        <v>4.8099999999999996</v>
      </c>
      <c r="S33" s="1"/>
      <c r="T33" s="1"/>
      <c r="U33" s="1"/>
      <c r="V33" s="1">
        <v>15.39</v>
      </c>
      <c r="W33" s="1"/>
      <c r="X33" s="1"/>
      <c r="Y33" s="1"/>
      <c r="Z33" s="1"/>
    </row>
    <row r="34" spans="1:26">
      <c r="A34" s="26">
        <v>1895</v>
      </c>
      <c r="B34" s="1">
        <v>24.6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>
        <v>4.87</v>
      </c>
      <c r="S34" s="1"/>
      <c r="T34" s="1"/>
      <c r="U34" s="1"/>
      <c r="V34" s="1">
        <v>15.6</v>
      </c>
      <c r="W34" s="1"/>
      <c r="X34" s="1"/>
      <c r="Y34" s="1"/>
      <c r="Z34" s="1"/>
    </row>
    <row r="35" spans="1:26">
      <c r="A35" s="26">
        <v>1896</v>
      </c>
      <c r="B35" s="1">
        <v>24.97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>
        <v>4.93</v>
      </c>
      <c r="S35" s="1"/>
      <c r="T35" s="1"/>
      <c r="U35" s="1"/>
      <c r="V35" s="1">
        <v>15.76</v>
      </c>
      <c r="W35" s="1"/>
      <c r="X35" s="1"/>
      <c r="Y35" s="1"/>
      <c r="Z35" s="1"/>
    </row>
    <row r="36" spans="1:26">
      <c r="A36" s="26">
        <v>1897</v>
      </c>
      <c r="B36" s="1">
        <v>25.37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>
        <v>4.99</v>
      </c>
      <c r="S36" s="1"/>
      <c r="T36" s="1"/>
      <c r="U36" s="1"/>
      <c r="V36" s="1">
        <v>15.91</v>
      </c>
      <c r="W36" s="1"/>
      <c r="X36" s="1"/>
      <c r="Y36" s="1"/>
      <c r="Z36" s="1"/>
    </row>
    <row r="37" spans="1:26">
      <c r="A37" s="26">
        <v>1898</v>
      </c>
      <c r="B37" s="1">
        <v>25.79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>
        <v>5.05</v>
      </c>
      <c r="S37" s="1"/>
      <c r="T37" s="1"/>
      <c r="U37" s="1"/>
      <c r="V37" s="1">
        <v>16.04</v>
      </c>
      <c r="W37" s="1"/>
      <c r="X37" s="1"/>
      <c r="Y37" s="1"/>
      <c r="Z37" s="1"/>
    </row>
    <row r="38" spans="1:26">
      <c r="A38" s="26">
        <v>1899</v>
      </c>
      <c r="B38" s="1">
        <v>26.22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>
        <v>5.1100000000000003</v>
      </c>
      <c r="S38" s="1"/>
      <c r="T38" s="1"/>
      <c r="U38" s="1"/>
      <c r="V38" s="1">
        <v>16.16</v>
      </c>
      <c r="W38" s="1"/>
      <c r="X38" s="1"/>
      <c r="Y38" s="1"/>
      <c r="Z38" s="1"/>
    </row>
    <row r="39" spans="1:26">
      <c r="A39" s="26">
        <v>1900</v>
      </c>
      <c r="B39" s="1">
        <v>26.67</v>
      </c>
      <c r="C39" s="1">
        <v>3.1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5.18</v>
      </c>
      <c r="S39" s="1"/>
      <c r="T39" s="1"/>
      <c r="U39" s="1"/>
      <c r="V39" s="1">
        <v>16.27</v>
      </c>
      <c r="W39" s="1"/>
      <c r="X39" s="1"/>
      <c r="Y39" s="1"/>
      <c r="Z39" s="1"/>
    </row>
    <row r="40" spans="1:26">
      <c r="A40" s="26">
        <v>1901</v>
      </c>
      <c r="B40" s="1">
        <v>27.12</v>
      </c>
      <c r="C40" s="1">
        <v>3.2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5.24</v>
      </c>
      <c r="S40" s="1"/>
      <c r="T40" s="1"/>
      <c r="U40" s="1"/>
      <c r="V40" s="1">
        <v>16.38</v>
      </c>
      <c r="W40" s="1"/>
      <c r="X40" s="1"/>
      <c r="Y40" s="1"/>
      <c r="Z40" s="1"/>
    </row>
    <row r="41" spans="1:26">
      <c r="A41" s="26">
        <v>1902</v>
      </c>
      <c r="B41" s="1">
        <v>27.59</v>
      </c>
      <c r="C41" s="1">
        <v>3.29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5.3</v>
      </c>
      <c r="S41" s="1"/>
      <c r="T41" s="1"/>
      <c r="U41" s="1"/>
      <c r="V41" s="1">
        <v>16.489999999999998</v>
      </c>
      <c r="W41" s="1"/>
      <c r="X41" s="1"/>
      <c r="Y41" s="1"/>
      <c r="Z41" s="1"/>
    </row>
    <row r="42" spans="1:26">
      <c r="A42" s="26">
        <v>1903</v>
      </c>
      <c r="B42" s="1">
        <v>28.06</v>
      </c>
      <c r="C42" s="1">
        <v>3.39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5.36</v>
      </c>
      <c r="S42" s="1"/>
      <c r="T42" s="1"/>
      <c r="U42" s="1"/>
      <c r="V42" s="1">
        <v>16.59</v>
      </c>
      <c r="W42" s="1"/>
      <c r="X42" s="1"/>
      <c r="Y42" s="1"/>
      <c r="Z42" s="1"/>
    </row>
    <row r="43" spans="1:26">
      <c r="A43" s="26">
        <v>1904</v>
      </c>
      <c r="B43" s="1">
        <v>28.53</v>
      </c>
      <c r="C43" s="1">
        <v>3.49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5.43</v>
      </c>
      <c r="S43" s="1"/>
      <c r="T43" s="1"/>
      <c r="U43" s="1"/>
      <c r="V43" s="1">
        <v>16.7</v>
      </c>
      <c r="W43" s="1"/>
      <c r="X43" s="1"/>
      <c r="Y43" s="1"/>
      <c r="Z43" s="1"/>
    </row>
    <row r="44" spans="1:26">
      <c r="A44" s="26">
        <v>1905</v>
      </c>
      <c r="B44" s="1">
        <v>29</v>
      </c>
      <c r="C44" s="1">
        <v>3.59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>
        <v>5.49</v>
      </c>
      <c r="S44" s="1"/>
      <c r="T44" s="1"/>
      <c r="U44" s="1"/>
      <c r="V44" s="1">
        <v>16.82</v>
      </c>
      <c r="W44" s="1"/>
      <c r="X44" s="1"/>
      <c r="Y44" s="1"/>
      <c r="Z44" s="1"/>
    </row>
    <row r="45" spans="1:26">
      <c r="A45" s="26">
        <v>1906</v>
      </c>
      <c r="B45" s="1">
        <v>29.46</v>
      </c>
      <c r="C45" s="1">
        <v>3.68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>
        <v>5.56</v>
      </c>
      <c r="S45" s="1"/>
      <c r="T45" s="1"/>
      <c r="U45" s="1"/>
      <c r="V45" s="1">
        <v>16.95</v>
      </c>
      <c r="W45" s="1"/>
      <c r="X45" s="1"/>
      <c r="Y45" s="1"/>
      <c r="Z45" s="1"/>
    </row>
    <row r="46" spans="1:26">
      <c r="A46" s="26">
        <v>1907</v>
      </c>
      <c r="B46" s="1">
        <v>29.91</v>
      </c>
      <c r="C46" s="1">
        <v>3.78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>
        <v>5.63</v>
      </c>
      <c r="S46" s="1"/>
      <c r="T46" s="1"/>
      <c r="U46" s="1"/>
      <c r="V46" s="1">
        <v>17.100000000000001</v>
      </c>
      <c r="W46" s="1"/>
      <c r="X46" s="1"/>
      <c r="Y46" s="1"/>
      <c r="Z46" s="1"/>
    </row>
    <row r="47" spans="1:26">
      <c r="A47" s="26">
        <v>1908</v>
      </c>
      <c r="B47" s="1">
        <v>30.36</v>
      </c>
      <c r="C47" s="1">
        <v>3.88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>
        <v>5.69</v>
      </c>
      <c r="S47" s="1"/>
      <c r="T47" s="1"/>
      <c r="U47" s="1"/>
      <c r="V47" s="1">
        <v>17.260000000000002</v>
      </c>
      <c r="W47" s="1"/>
      <c r="X47" s="1"/>
      <c r="Y47" s="1"/>
      <c r="Z47" s="1"/>
    </row>
    <row r="48" spans="1:26">
      <c r="A48" s="26">
        <v>1909</v>
      </c>
      <c r="B48" s="1">
        <v>30.78</v>
      </c>
      <c r="C48" s="1">
        <v>3.98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>
        <v>5.76</v>
      </c>
      <c r="S48" s="1"/>
      <c r="T48" s="1"/>
      <c r="U48" s="1"/>
      <c r="V48" s="1">
        <v>17.440000000000001</v>
      </c>
      <c r="W48" s="1"/>
      <c r="X48" s="1"/>
      <c r="Y48" s="1"/>
      <c r="Z48" s="1"/>
    </row>
    <row r="49" spans="1:26">
      <c r="A49" s="26">
        <v>1910</v>
      </c>
      <c r="B49" s="1">
        <v>31.2</v>
      </c>
      <c r="C49" s="1">
        <v>4.09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>
        <v>5.83</v>
      </c>
      <c r="S49" s="1"/>
      <c r="T49" s="1"/>
      <c r="U49" s="1"/>
      <c r="V49" s="1">
        <v>17.63</v>
      </c>
      <c r="W49" s="1"/>
      <c r="X49" s="1"/>
      <c r="Y49" s="1"/>
      <c r="Z49" s="1"/>
    </row>
    <row r="50" spans="1:26">
      <c r="A50" s="26">
        <v>1911</v>
      </c>
      <c r="B50" s="1">
        <v>31.59</v>
      </c>
      <c r="C50" s="1">
        <v>4.1900000000000004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>
        <v>5.9</v>
      </c>
      <c r="S50" s="1"/>
      <c r="T50" s="1"/>
      <c r="U50" s="1"/>
      <c r="V50" s="1">
        <v>17.829999999999998</v>
      </c>
      <c r="W50" s="1"/>
      <c r="X50" s="1"/>
      <c r="Y50" s="1"/>
      <c r="Z50" s="1"/>
    </row>
    <row r="51" spans="1:26">
      <c r="A51" s="26">
        <v>1912</v>
      </c>
      <c r="B51" s="1">
        <v>31.95</v>
      </c>
      <c r="C51" s="1">
        <v>4.3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>
        <v>5.97</v>
      </c>
      <c r="S51" s="1"/>
      <c r="T51" s="1"/>
      <c r="U51" s="1"/>
      <c r="V51" s="1">
        <v>18.04</v>
      </c>
      <c r="W51" s="1"/>
      <c r="X51" s="1"/>
      <c r="Y51" s="1"/>
      <c r="Z51" s="1"/>
    </row>
    <row r="52" spans="1:26">
      <c r="A52" s="26">
        <v>1913</v>
      </c>
      <c r="B52" s="1">
        <v>32.29</v>
      </c>
      <c r="C52" s="1">
        <v>4.4000000000000004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>
        <v>6.04</v>
      </c>
      <c r="S52" s="1"/>
      <c r="T52" s="1"/>
      <c r="U52" s="1"/>
      <c r="V52" s="1">
        <v>18.260000000000002</v>
      </c>
      <c r="W52" s="1"/>
      <c r="X52" s="1"/>
      <c r="Y52" s="1"/>
      <c r="Z52" s="1"/>
    </row>
    <row r="53" spans="1:26">
      <c r="A53" s="26">
        <v>1914</v>
      </c>
      <c r="B53" s="1">
        <v>32.6</v>
      </c>
      <c r="C53" s="1">
        <v>4.51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>
        <v>6.11</v>
      </c>
      <c r="S53" s="1"/>
      <c r="T53" s="1"/>
      <c r="U53" s="1"/>
      <c r="V53" s="1">
        <v>18.5</v>
      </c>
      <c r="W53" s="1"/>
      <c r="X53" s="1"/>
      <c r="Y53" s="1"/>
      <c r="Z53" s="1"/>
    </row>
    <row r="54" spans="1:26">
      <c r="A54" s="26">
        <v>1915</v>
      </c>
      <c r="B54" s="1">
        <v>32.880000000000003</v>
      </c>
      <c r="C54" s="1">
        <v>4.62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>
        <v>6.19</v>
      </c>
      <c r="S54" s="1"/>
      <c r="T54" s="1"/>
      <c r="U54" s="1"/>
      <c r="V54" s="1">
        <v>18.760000000000002</v>
      </c>
      <c r="W54" s="1"/>
      <c r="X54" s="1"/>
      <c r="Y54" s="1"/>
      <c r="Z54" s="1"/>
    </row>
    <row r="55" spans="1:26">
      <c r="A55" s="26">
        <v>1916</v>
      </c>
      <c r="B55" s="1">
        <v>33.15</v>
      </c>
      <c r="C55" s="1">
        <v>4.7300000000000004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>
        <v>6.26</v>
      </c>
      <c r="S55" s="1"/>
      <c r="T55" s="1"/>
      <c r="U55" s="1"/>
      <c r="V55" s="1">
        <v>19.059999999999999</v>
      </c>
      <c r="W55" s="1"/>
      <c r="X55" s="1"/>
      <c r="Y55" s="1"/>
      <c r="Z55" s="1"/>
    </row>
    <row r="56" spans="1:26">
      <c r="A56" s="26">
        <v>1917</v>
      </c>
      <c r="B56" s="1">
        <v>33.409999999999997</v>
      </c>
      <c r="C56" s="1">
        <v>4.8499999999999996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>
        <v>6.34</v>
      </c>
      <c r="S56" s="1"/>
      <c r="T56" s="1"/>
      <c r="U56" s="1"/>
      <c r="V56" s="1">
        <v>19.37</v>
      </c>
      <c r="W56" s="1"/>
      <c r="X56" s="1"/>
      <c r="Y56" s="1"/>
      <c r="Z56" s="1"/>
    </row>
    <row r="57" spans="1:26">
      <c r="A57" s="26">
        <v>1918</v>
      </c>
      <c r="B57" s="1">
        <v>33.65</v>
      </c>
      <c r="C57" s="1">
        <v>4.96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>
        <v>6.41</v>
      </c>
      <c r="S57" s="1"/>
      <c r="T57" s="1"/>
      <c r="U57" s="1"/>
      <c r="V57" s="1">
        <v>19.690000000000001</v>
      </c>
      <c r="W57" s="1"/>
      <c r="X57" s="1"/>
      <c r="Y57" s="1"/>
      <c r="Z57" s="1"/>
    </row>
    <row r="58" spans="1:26">
      <c r="A58" s="26">
        <v>1919</v>
      </c>
      <c r="B58" s="1">
        <v>33.869999999999997</v>
      </c>
      <c r="C58" s="1">
        <v>5.08</v>
      </c>
      <c r="D58" s="1"/>
      <c r="E58" s="1"/>
      <c r="F58" s="1"/>
      <c r="G58" s="1"/>
      <c r="H58" s="1"/>
      <c r="I58" s="1"/>
      <c r="J58" s="1"/>
      <c r="K58" s="1"/>
      <c r="L58" s="1"/>
      <c r="M58" s="1">
        <v>16.100000000000001</v>
      </c>
      <c r="N58" s="1"/>
      <c r="O58" s="1"/>
      <c r="P58" s="1"/>
      <c r="Q58" s="1"/>
      <c r="R58" s="1">
        <v>6.49</v>
      </c>
      <c r="S58" s="1"/>
      <c r="T58" s="1"/>
      <c r="U58" s="1"/>
      <c r="V58" s="1">
        <v>20.010000000000002</v>
      </c>
      <c r="W58" s="1"/>
      <c r="X58" s="1"/>
      <c r="Y58" s="1"/>
      <c r="Z58" s="1"/>
    </row>
    <row r="59" spans="1:26">
      <c r="A59" s="26">
        <v>1920</v>
      </c>
      <c r="B59" s="1">
        <v>34.090000000000003</v>
      </c>
      <c r="C59" s="1">
        <v>5.2</v>
      </c>
      <c r="D59" s="1">
        <v>8.6999999999999993</v>
      </c>
      <c r="E59" s="1"/>
      <c r="F59" s="1"/>
      <c r="G59" s="1"/>
      <c r="H59" s="1"/>
      <c r="I59" s="1"/>
      <c r="J59" s="1">
        <v>3.5</v>
      </c>
      <c r="K59" s="1"/>
      <c r="L59" s="1"/>
      <c r="M59" s="1">
        <v>16.600000000000001</v>
      </c>
      <c r="N59" s="1"/>
      <c r="O59" s="1">
        <v>4.4000000000000004</v>
      </c>
      <c r="P59" s="1"/>
      <c r="Q59" s="1"/>
      <c r="R59" s="1">
        <v>6.57</v>
      </c>
      <c r="S59" s="1"/>
      <c r="T59" s="1"/>
      <c r="U59" s="1"/>
      <c r="V59" s="1">
        <v>20.3</v>
      </c>
      <c r="W59" s="1"/>
      <c r="X59" s="1"/>
      <c r="Y59" s="1"/>
      <c r="Z59" s="1"/>
    </row>
    <row r="60" spans="1:26">
      <c r="A60" s="26">
        <v>1921</v>
      </c>
      <c r="B60" s="1">
        <v>34.299999999999997</v>
      </c>
      <c r="C60" s="1">
        <v>5.33</v>
      </c>
      <c r="D60" s="1">
        <v>8.77</v>
      </c>
      <c r="E60" s="1"/>
      <c r="F60" s="1"/>
      <c r="G60" s="1"/>
      <c r="H60" s="1"/>
      <c r="I60" s="1"/>
      <c r="J60" s="1">
        <v>3.56</v>
      </c>
      <c r="K60" s="1"/>
      <c r="L60" s="1"/>
      <c r="M60" s="1">
        <v>17.100000000000001</v>
      </c>
      <c r="N60" s="1"/>
      <c r="O60" s="1">
        <v>4.53</v>
      </c>
      <c r="P60" s="1"/>
      <c r="Q60" s="1"/>
      <c r="R60" s="1">
        <v>6.65</v>
      </c>
      <c r="S60" s="1"/>
      <c r="T60" s="1"/>
      <c r="U60" s="1"/>
      <c r="V60" s="1">
        <v>20.58</v>
      </c>
      <c r="W60" s="1"/>
      <c r="X60" s="1"/>
      <c r="Y60" s="1"/>
      <c r="Z60" s="1"/>
    </row>
    <row r="61" spans="1:26">
      <c r="A61" s="26">
        <v>1922</v>
      </c>
      <c r="B61" s="1">
        <v>34.49</v>
      </c>
      <c r="C61" s="1">
        <v>5.45</v>
      </c>
      <c r="D61" s="1">
        <v>8.85</v>
      </c>
      <c r="E61" s="1"/>
      <c r="F61" s="1"/>
      <c r="G61" s="1"/>
      <c r="H61" s="1"/>
      <c r="I61" s="1"/>
      <c r="J61" s="1">
        <v>3.62</v>
      </c>
      <c r="K61" s="1"/>
      <c r="L61" s="1"/>
      <c r="M61" s="1">
        <v>17.59</v>
      </c>
      <c r="N61" s="1"/>
      <c r="O61" s="1">
        <v>4.67</v>
      </c>
      <c r="P61" s="1"/>
      <c r="Q61" s="1"/>
      <c r="R61" s="1">
        <v>6.73</v>
      </c>
      <c r="S61" s="1"/>
      <c r="T61" s="1"/>
      <c r="U61" s="1"/>
      <c r="V61" s="1">
        <v>20.86</v>
      </c>
      <c r="W61" s="1"/>
      <c r="X61" s="1"/>
      <c r="Y61" s="1"/>
      <c r="Z61" s="1"/>
    </row>
    <row r="62" spans="1:26">
      <c r="A62" s="26">
        <v>1923</v>
      </c>
      <c r="B62" s="1">
        <v>34.68</v>
      </c>
      <c r="C62" s="1">
        <v>5.58</v>
      </c>
      <c r="D62" s="1">
        <v>8.92</v>
      </c>
      <c r="E62" s="1"/>
      <c r="F62" s="1"/>
      <c r="G62" s="1"/>
      <c r="H62" s="1"/>
      <c r="I62" s="1"/>
      <c r="J62" s="1">
        <v>3.68</v>
      </c>
      <c r="K62" s="1"/>
      <c r="L62" s="1"/>
      <c r="M62" s="1">
        <v>18.059999999999999</v>
      </c>
      <c r="N62" s="1"/>
      <c r="O62" s="1">
        <v>4.8</v>
      </c>
      <c r="P62" s="1"/>
      <c r="Q62" s="1"/>
      <c r="R62" s="1">
        <v>6.81</v>
      </c>
      <c r="S62" s="1"/>
      <c r="T62" s="1"/>
      <c r="U62" s="1"/>
      <c r="V62" s="1">
        <v>21.13</v>
      </c>
      <c r="W62" s="1"/>
      <c r="X62" s="1"/>
      <c r="Y62" s="1"/>
      <c r="Z62" s="1"/>
    </row>
    <row r="63" spans="1:26">
      <c r="A63" s="26">
        <v>1924</v>
      </c>
      <c r="B63" s="1">
        <v>34.869999999999997</v>
      </c>
      <c r="C63" s="1">
        <v>5.71</v>
      </c>
      <c r="D63" s="1">
        <v>9</v>
      </c>
      <c r="E63" s="1"/>
      <c r="F63" s="1"/>
      <c r="G63" s="1"/>
      <c r="H63" s="1"/>
      <c r="I63" s="1"/>
      <c r="J63" s="1">
        <v>3.74</v>
      </c>
      <c r="K63" s="1"/>
      <c r="L63" s="1"/>
      <c r="M63" s="1">
        <v>18.52</v>
      </c>
      <c r="N63" s="1"/>
      <c r="O63" s="1">
        <v>4.93</v>
      </c>
      <c r="P63" s="1"/>
      <c r="Q63" s="1"/>
      <c r="R63" s="1">
        <v>6.89</v>
      </c>
      <c r="S63" s="1"/>
      <c r="T63" s="1"/>
      <c r="U63" s="1"/>
      <c r="V63" s="1">
        <v>21.41</v>
      </c>
      <c r="W63" s="1"/>
      <c r="X63" s="1"/>
      <c r="Y63" s="1"/>
      <c r="Z63" s="1"/>
    </row>
    <row r="64" spans="1:26">
      <c r="A64" s="26">
        <v>1925</v>
      </c>
      <c r="B64" s="1">
        <v>35.04</v>
      </c>
      <c r="C64" s="1">
        <v>5.85</v>
      </c>
      <c r="D64" s="1">
        <v>9.08</v>
      </c>
      <c r="E64" s="1"/>
      <c r="F64" s="1"/>
      <c r="G64" s="1"/>
      <c r="H64" s="1"/>
      <c r="I64" s="1"/>
      <c r="J64" s="1">
        <v>3.81</v>
      </c>
      <c r="K64" s="1"/>
      <c r="L64" s="1"/>
      <c r="M64" s="1">
        <v>18.95</v>
      </c>
      <c r="N64" s="1"/>
      <c r="O64" s="1">
        <v>5.07</v>
      </c>
      <c r="P64" s="1"/>
      <c r="Q64" s="1"/>
      <c r="R64" s="1">
        <v>6.98</v>
      </c>
      <c r="S64" s="1"/>
      <c r="T64" s="1"/>
      <c r="U64" s="1"/>
      <c r="V64" s="1">
        <v>21.67</v>
      </c>
      <c r="W64" s="1"/>
      <c r="X64" s="1"/>
      <c r="Y64" s="1"/>
      <c r="Z64" s="1"/>
    </row>
    <row r="65" spans="1:26">
      <c r="A65" s="26">
        <v>1926</v>
      </c>
      <c r="B65" s="1">
        <v>35.22</v>
      </c>
      <c r="C65" s="1">
        <v>5.99</v>
      </c>
      <c r="D65" s="1">
        <v>9.16</v>
      </c>
      <c r="E65" s="1"/>
      <c r="F65" s="1"/>
      <c r="G65" s="1"/>
      <c r="H65" s="1"/>
      <c r="I65" s="1"/>
      <c r="J65" s="1">
        <v>3.88</v>
      </c>
      <c r="K65" s="1"/>
      <c r="L65" s="1"/>
      <c r="M65" s="1">
        <v>19.350000000000001</v>
      </c>
      <c r="N65" s="1"/>
      <c r="O65" s="1">
        <v>5.21</v>
      </c>
      <c r="P65" s="1"/>
      <c r="Q65" s="1"/>
      <c r="R65" s="1">
        <v>7.06</v>
      </c>
      <c r="S65" s="1"/>
      <c r="T65" s="1"/>
      <c r="U65" s="1"/>
      <c r="V65" s="1">
        <v>21.94</v>
      </c>
      <c r="W65" s="1"/>
      <c r="X65" s="1"/>
      <c r="Y65" s="1">
        <v>6.5</v>
      </c>
      <c r="Z65" s="1">
        <v>6.4</v>
      </c>
    </row>
    <row r="66" spans="1:26">
      <c r="A66" s="26">
        <v>1927</v>
      </c>
      <c r="B66" s="1">
        <v>35.39</v>
      </c>
      <c r="C66" s="1">
        <v>6.13</v>
      </c>
      <c r="D66" s="1">
        <v>9.24</v>
      </c>
      <c r="E66" s="1"/>
      <c r="F66" s="1"/>
      <c r="G66" s="1"/>
      <c r="H66" s="1"/>
      <c r="I66" s="1"/>
      <c r="J66" s="1">
        <v>3.95</v>
      </c>
      <c r="K66" s="1"/>
      <c r="L66" s="1">
        <v>15.9</v>
      </c>
      <c r="M66" s="1">
        <v>19.73</v>
      </c>
      <c r="N66" s="1"/>
      <c r="O66" s="1">
        <v>5.35</v>
      </c>
      <c r="P66" s="1"/>
      <c r="Q66" s="1"/>
      <c r="R66" s="1">
        <v>7.15</v>
      </c>
      <c r="S66" s="1"/>
      <c r="T66" s="1"/>
      <c r="U66" s="1"/>
      <c r="V66" s="1">
        <v>22.19</v>
      </c>
      <c r="W66" s="1"/>
      <c r="X66" s="1"/>
      <c r="Y66" s="1">
        <v>6.95</v>
      </c>
      <c r="Z66" s="1">
        <v>6.99</v>
      </c>
    </row>
    <row r="67" spans="1:26">
      <c r="A67" s="26">
        <v>1928</v>
      </c>
      <c r="B67" s="1">
        <v>35.56</v>
      </c>
      <c r="C67" s="1">
        <v>6.27</v>
      </c>
      <c r="D67" s="1">
        <v>9.33</v>
      </c>
      <c r="E67" s="1"/>
      <c r="F67" s="1"/>
      <c r="G67" s="1"/>
      <c r="H67" s="1"/>
      <c r="I67" s="1"/>
      <c r="J67" s="1">
        <v>4.0199999999999996</v>
      </c>
      <c r="K67" s="1"/>
      <c r="L67" s="1">
        <v>16.010000000000002</v>
      </c>
      <c r="M67" s="1">
        <v>20.059999999999999</v>
      </c>
      <c r="N67" s="1"/>
      <c r="O67" s="1">
        <v>5.49</v>
      </c>
      <c r="P67" s="1"/>
      <c r="Q67" s="1"/>
      <c r="R67" s="1">
        <v>7.24</v>
      </c>
      <c r="S67" s="1"/>
      <c r="T67" s="1"/>
      <c r="U67" s="1"/>
      <c r="V67" s="1">
        <v>22.44</v>
      </c>
      <c r="W67" s="1"/>
      <c r="X67" s="1"/>
      <c r="Y67" s="1">
        <v>7.41</v>
      </c>
      <c r="Z67" s="1">
        <v>7.57</v>
      </c>
    </row>
    <row r="68" spans="1:26">
      <c r="A68" s="26">
        <v>1929</v>
      </c>
      <c r="B68" s="1">
        <v>35.72</v>
      </c>
      <c r="C68" s="1">
        <v>6.42</v>
      </c>
      <c r="D68" s="1">
        <v>9.42</v>
      </c>
      <c r="E68" s="1"/>
      <c r="F68" s="1"/>
      <c r="G68" s="1"/>
      <c r="H68" s="1"/>
      <c r="I68" s="1"/>
      <c r="J68" s="1">
        <v>4.0999999999999996</v>
      </c>
      <c r="K68" s="1"/>
      <c r="L68" s="1">
        <v>16.12</v>
      </c>
      <c r="M68" s="1">
        <v>20.36</v>
      </c>
      <c r="N68" s="1"/>
      <c r="O68" s="1">
        <v>5.64</v>
      </c>
      <c r="P68" s="1"/>
      <c r="Q68" s="1"/>
      <c r="R68" s="1">
        <v>7.33</v>
      </c>
      <c r="S68" s="1"/>
      <c r="T68" s="1"/>
      <c r="U68" s="1"/>
      <c r="V68" s="1">
        <v>22.67</v>
      </c>
      <c r="W68" s="1"/>
      <c r="X68" s="1"/>
      <c r="Y68" s="1">
        <v>7.86</v>
      </c>
      <c r="Z68" s="1">
        <v>8.16</v>
      </c>
    </row>
    <row r="69" spans="1:26">
      <c r="A69" s="26">
        <v>1930</v>
      </c>
      <c r="B69" s="1">
        <v>35.89</v>
      </c>
      <c r="C69" s="1">
        <v>6.57</v>
      </c>
      <c r="D69" s="1">
        <v>9.52</v>
      </c>
      <c r="E69" s="1"/>
      <c r="F69" s="1"/>
      <c r="G69" s="1"/>
      <c r="H69" s="1"/>
      <c r="I69" s="1"/>
      <c r="J69" s="1">
        <v>4.18</v>
      </c>
      <c r="K69" s="1"/>
      <c r="L69" s="1">
        <v>16.23</v>
      </c>
      <c r="M69" s="1">
        <v>20.6</v>
      </c>
      <c r="N69" s="1"/>
      <c r="O69" s="1">
        <v>5.78</v>
      </c>
      <c r="P69" s="1">
        <v>17.399999999999999</v>
      </c>
      <c r="Q69" s="1"/>
      <c r="R69" s="1">
        <v>7.42</v>
      </c>
      <c r="S69" s="1">
        <v>6.2</v>
      </c>
      <c r="T69" s="1"/>
      <c r="U69" s="1"/>
      <c r="V69" s="1">
        <v>22.9</v>
      </c>
      <c r="W69" s="1"/>
      <c r="X69" s="1"/>
      <c r="Y69" s="1">
        <v>8.32</v>
      </c>
      <c r="Z69" s="1">
        <v>8.75</v>
      </c>
    </row>
    <row r="70" spans="1:26">
      <c r="A70" s="26">
        <v>1931</v>
      </c>
      <c r="B70" s="1">
        <v>36.06</v>
      </c>
      <c r="C70" s="1">
        <v>6.73</v>
      </c>
      <c r="D70" s="1">
        <v>9.6199999999999992</v>
      </c>
      <c r="E70" s="1"/>
      <c r="F70" s="1"/>
      <c r="G70" s="1"/>
      <c r="H70" s="1"/>
      <c r="I70" s="1"/>
      <c r="J70" s="1">
        <v>4.2699999999999996</v>
      </c>
      <c r="K70" s="1"/>
      <c r="L70" s="1">
        <v>16.34</v>
      </c>
      <c r="M70" s="1">
        <v>20.8</v>
      </c>
      <c r="N70" s="1"/>
      <c r="O70" s="1">
        <v>5.93</v>
      </c>
      <c r="P70" s="1">
        <v>17.64</v>
      </c>
      <c r="Q70" s="1"/>
      <c r="R70" s="1">
        <v>7.51</v>
      </c>
      <c r="S70" s="1">
        <v>6.4</v>
      </c>
      <c r="T70" s="1"/>
      <c r="U70" s="1"/>
      <c r="V70" s="1">
        <v>23.1</v>
      </c>
      <c r="W70" s="1"/>
      <c r="X70" s="1"/>
      <c r="Y70" s="1">
        <v>8.7799999999999994</v>
      </c>
      <c r="Z70" s="1">
        <v>9.33</v>
      </c>
    </row>
    <row r="71" spans="1:26">
      <c r="A71" s="26">
        <v>1932</v>
      </c>
      <c r="B71" s="1">
        <v>36.24</v>
      </c>
      <c r="C71" s="1">
        <v>6.89</v>
      </c>
      <c r="D71" s="1">
        <v>9.73</v>
      </c>
      <c r="E71" s="1"/>
      <c r="F71" s="1"/>
      <c r="G71" s="1"/>
      <c r="H71" s="1"/>
      <c r="I71" s="1"/>
      <c r="J71" s="1">
        <v>4.37</v>
      </c>
      <c r="K71" s="1"/>
      <c r="L71" s="1">
        <v>16.45</v>
      </c>
      <c r="M71" s="1">
        <v>20.95</v>
      </c>
      <c r="N71" s="1"/>
      <c r="O71" s="1">
        <v>6.09</v>
      </c>
      <c r="P71" s="1">
        <v>17.88</v>
      </c>
      <c r="Q71" s="1"/>
      <c r="R71" s="1">
        <v>7.6</v>
      </c>
      <c r="S71" s="1">
        <v>6.6</v>
      </c>
      <c r="T71" s="1"/>
      <c r="U71" s="1"/>
      <c r="V71" s="1">
        <v>23.28</v>
      </c>
      <c r="W71" s="1"/>
      <c r="X71" s="1"/>
      <c r="Y71" s="1">
        <v>9.24</v>
      </c>
      <c r="Z71" s="1">
        <v>9.92</v>
      </c>
    </row>
    <row r="72" spans="1:26">
      <c r="A72" s="26">
        <v>1933</v>
      </c>
      <c r="B72" s="1">
        <v>36.42</v>
      </c>
      <c r="C72" s="1">
        <v>7.05</v>
      </c>
      <c r="D72" s="1">
        <v>9.85</v>
      </c>
      <c r="E72" s="1"/>
      <c r="F72" s="1"/>
      <c r="G72" s="1"/>
      <c r="H72" s="1"/>
      <c r="I72" s="1"/>
      <c r="J72" s="1">
        <v>4.47</v>
      </c>
      <c r="K72" s="1"/>
      <c r="L72" s="1">
        <v>16.559999999999999</v>
      </c>
      <c r="M72" s="1">
        <v>21.08</v>
      </c>
      <c r="N72" s="1"/>
      <c r="O72" s="1">
        <v>6.25</v>
      </c>
      <c r="P72" s="1">
        <v>18.11</v>
      </c>
      <c r="Q72" s="1"/>
      <c r="R72" s="1">
        <v>7.7</v>
      </c>
      <c r="S72" s="1">
        <v>6.8</v>
      </c>
      <c r="T72" s="1"/>
      <c r="U72" s="1"/>
      <c r="V72" s="1">
        <v>23.44</v>
      </c>
      <c r="W72" s="1"/>
      <c r="X72" s="1"/>
      <c r="Y72" s="1">
        <v>9.6999999999999993</v>
      </c>
      <c r="Z72" s="1">
        <v>10.51</v>
      </c>
    </row>
    <row r="73" spans="1:26">
      <c r="A73" s="26">
        <v>1934</v>
      </c>
      <c r="B73" s="1">
        <v>36.6</v>
      </c>
      <c r="C73" s="1">
        <v>7.22</v>
      </c>
      <c r="D73" s="1">
        <v>9.9700000000000006</v>
      </c>
      <c r="E73" s="1"/>
      <c r="F73" s="1"/>
      <c r="G73" s="1"/>
      <c r="H73" s="1"/>
      <c r="I73" s="1"/>
      <c r="J73" s="1">
        <v>4.58</v>
      </c>
      <c r="K73" s="1"/>
      <c r="L73" s="1">
        <v>16.68</v>
      </c>
      <c r="M73" s="1">
        <v>21.19</v>
      </c>
      <c r="N73" s="1"/>
      <c r="O73" s="1">
        <v>6.41</v>
      </c>
      <c r="P73" s="1">
        <v>18.350000000000001</v>
      </c>
      <c r="Q73" s="1"/>
      <c r="R73" s="1">
        <v>7.79</v>
      </c>
      <c r="S73" s="1">
        <v>7</v>
      </c>
      <c r="T73" s="1"/>
      <c r="U73" s="1"/>
      <c r="V73" s="1">
        <v>23.59</v>
      </c>
      <c r="W73" s="1"/>
      <c r="X73" s="1"/>
      <c r="Y73" s="1">
        <v>10.16</v>
      </c>
      <c r="Z73" s="1">
        <v>11.1</v>
      </c>
    </row>
    <row r="74" spans="1:26">
      <c r="A74" s="26">
        <v>1935</v>
      </c>
      <c r="B74" s="1">
        <v>36.79</v>
      </c>
      <c r="C74" s="1">
        <v>7.4</v>
      </c>
      <c r="D74" s="1">
        <v>10.11</v>
      </c>
      <c r="E74" s="1"/>
      <c r="F74" s="1"/>
      <c r="G74" s="1"/>
      <c r="H74" s="1"/>
      <c r="I74" s="1"/>
      <c r="J74" s="1">
        <v>4.7</v>
      </c>
      <c r="K74" s="1"/>
      <c r="L74" s="1">
        <v>16.79</v>
      </c>
      <c r="M74" s="1">
        <v>21.28</v>
      </c>
      <c r="N74" s="1"/>
      <c r="O74" s="1">
        <v>6.58</v>
      </c>
      <c r="P74" s="1">
        <v>18.579999999999998</v>
      </c>
      <c r="Q74" s="1"/>
      <c r="R74" s="1">
        <v>7.89</v>
      </c>
      <c r="S74" s="1">
        <v>7.21</v>
      </c>
      <c r="T74" s="1"/>
      <c r="U74" s="1"/>
      <c r="V74" s="1">
        <v>23.74</v>
      </c>
      <c r="W74" s="1"/>
      <c r="X74" s="1"/>
      <c r="Y74" s="1">
        <v>10.62</v>
      </c>
      <c r="Z74" s="1">
        <v>11.7</v>
      </c>
    </row>
    <row r="75" spans="1:26">
      <c r="A75" s="26">
        <v>1936</v>
      </c>
      <c r="B75" s="1">
        <v>36.99</v>
      </c>
      <c r="C75" s="1">
        <v>7.57</v>
      </c>
      <c r="D75" s="1">
        <v>10.25</v>
      </c>
      <c r="E75" s="1">
        <v>11</v>
      </c>
      <c r="F75" s="1"/>
      <c r="G75" s="1"/>
      <c r="H75" s="1"/>
      <c r="I75" s="1"/>
      <c r="J75" s="1">
        <v>4.84</v>
      </c>
      <c r="K75" s="1"/>
      <c r="L75" s="1">
        <v>16.899999999999999</v>
      </c>
      <c r="M75" s="1">
        <v>21.36</v>
      </c>
      <c r="N75" s="1"/>
      <c r="O75" s="1">
        <v>6.75</v>
      </c>
      <c r="P75" s="1">
        <v>18.809999999999999</v>
      </c>
      <c r="Q75" s="1"/>
      <c r="R75" s="1">
        <v>7.99</v>
      </c>
      <c r="S75" s="1">
        <v>7.41</v>
      </c>
      <c r="T75" s="1"/>
      <c r="U75" s="1"/>
      <c r="V75" s="1">
        <v>23.9</v>
      </c>
      <c r="W75" s="1"/>
      <c r="X75" s="1"/>
      <c r="Y75" s="1">
        <v>11.09</v>
      </c>
      <c r="Z75" s="1">
        <v>12.29</v>
      </c>
    </row>
    <row r="76" spans="1:26">
      <c r="A76" s="26">
        <v>1937</v>
      </c>
      <c r="B76" s="1">
        <v>37.19</v>
      </c>
      <c r="C76" s="1">
        <v>7.75</v>
      </c>
      <c r="D76" s="1">
        <v>10.39</v>
      </c>
      <c r="E76" s="1">
        <v>11.19</v>
      </c>
      <c r="F76" s="1"/>
      <c r="G76" s="1"/>
      <c r="H76" s="1"/>
      <c r="I76" s="1"/>
      <c r="J76" s="1">
        <v>5</v>
      </c>
      <c r="K76" s="1"/>
      <c r="L76" s="1">
        <v>17.010000000000002</v>
      </c>
      <c r="M76" s="1">
        <v>21.44</v>
      </c>
      <c r="N76" s="1"/>
      <c r="O76" s="1">
        <v>6.93</v>
      </c>
      <c r="P76" s="1">
        <v>19.04</v>
      </c>
      <c r="Q76" s="1"/>
      <c r="R76" s="1">
        <v>8.09</v>
      </c>
      <c r="S76" s="1">
        <v>7.61</v>
      </c>
      <c r="T76" s="1"/>
      <c r="U76" s="1"/>
      <c r="V76" s="1">
        <v>24.08</v>
      </c>
      <c r="W76" s="1"/>
      <c r="X76" s="1"/>
      <c r="Y76" s="1">
        <v>11.56</v>
      </c>
      <c r="Z76" s="1">
        <v>12.89</v>
      </c>
    </row>
    <row r="77" spans="1:26">
      <c r="A77" s="26">
        <v>1938</v>
      </c>
      <c r="B77" s="1">
        <v>37.409999999999997</v>
      </c>
      <c r="C77" s="1">
        <v>7.94</v>
      </c>
      <c r="D77" s="1">
        <v>10.55</v>
      </c>
      <c r="E77" s="1">
        <v>11.4</v>
      </c>
      <c r="F77" s="1"/>
      <c r="G77" s="1"/>
      <c r="H77" s="1"/>
      <c r="I77" s="1"/>
      <c r="J77" s="1">
        <v>5.19</v>
      </c>
      <c r="K77" s="1">
        <v>9.5</v>
      </c>
      <c r="L77" s="1">
        <v>17.11</v>
      </c>
      <c r="M77" s="1">
        <v>21.51</v>
      </c>
      <c r="N77" s="1"/>
      <c r="O77" s="1">
        <v>7.11</v>
      </c>
      <c r="P77" s="1">
        <v>19.260000000000002</v>
      </c>
      <c r="Q77" s="1"/>
      <c r="R77" s="1">
        <v>8.19</v>
      </c>
      <c r="S77" s="1">
        <v>7.82</v>
      </c>
      <c r="T77" s="1"/>
      <c r="U77" s="1"/>
      <c r="V77" s="1">
        <v>24.28</v>
      </c>
      <c r="W77" s="1"/>
      <c r="X77" s="1"/>
      <c r="Y77" s="1">
        <v>12.03</v>
      </c>
      <c r="Z77" s="1">
        <v>13.49</v>
      </c>
    </row>
    <row r="78" spans="1:26">
      <c r="A78" s="26">
        <v>1939</v>
      </c>
      <c r="B78" s="1">
        <v>37.630000000000003</v>
      </c>
      <c r="C78" s="1">
        <v>8.1300000000000008</v>
      </c>
      <c r="D78" s="1">
        <v>10.72</v>
      </c>
      <c r="E78" s="1">
        <v>11.66</v>
      </c>
      <c r="F78" s="1"/>
      <c r="G78" s="1"/>
      <c r="H78" s="1"/>
      <c r="I78" s="1"/>
      <c r="J78" s="1">
        <v>5.4</v>
      </c>
      <c r="K78" s="1">
        <v>9.8800000000000008</v>
      </c>
      <c r="L78" s="1">
        <v>17.22</v>
      </c>
      <c r="M78" s="1">
        <v>21.6</v>
      </c>
      <c r="N78" s="1"/>
      <c r="O78" s="1">
        <v>7.3</v>
      </c>
      <c r="P78" s="1">
        <v>19.48</v>
      </c>
      <c r="Q78" s="1"/>
      <c r="R78" s="1">
        <v>8.3000000000000007</v>
      </c>
      <c r="S78" s="1">
        <v>8.02</v>
      </c>
      <c r="T78" s="1"/>
      <c r="U78" s="1"/>
      <c r="V78" s="1">
        <v>24.52</v>
      </c>
      <c r="W78" s="1"/>
      <c r="X78" s="1"/>
      <c r="Y78" s="1">
        <v>12.5</v>
      </c>
      <c r="Z78" s="1">
        <v>14.09</v>
      </c>
    </row>
    <row r="79" spans="1:26">
      <c r="A79" s="26">
        <v>1940</v>
      </c>
      <c r="B79" s="1">
        <v>37.869999999999997</v>
      </c>
      <c r="C79" s="1">
        <v>8.33</v>
      </c>
      <c r="D79" s="1">
        <v>10.9</v>
      </c>
      <c r="E79" s="1">
        <v>11.99</v>
      </c>
      <c r="F79" s="1"/>
      <c r="G79" s="1"/>
      <c r="H79" s="1">
        <v>5.7</v>
      </c>
      <c r="I79" s="1"/>
      <c r="J79" s="1">
        <v>5.62</v>
      </c>
      <c r="K79" s="1">
        <v>10.27</v>
      </c>
      <c r="L79" s="1">
        <v>17.329999999999998</v>
      </c>
      <c r="M79" s="1">
        <v>21.69</v>
      </c>
      <c r="N79" s="1">
        <v>10.199999999999999</v>
      </c>
      <c r="O79" s="1">
        <v>7.5</v>
      </c>
      <c r="P79" s="1">
        <v>19.7</v>
      </c>
      <c r="Q79" s="1"/>
      <c r="R79" s="1">
        <v>8.4</v>
      </c>
      <c r="S79" s="1">
        <v>8.23</v>
      </c>
      <c r="T79" s="1"/>
      <c r="U79" s="1"/>
      <c r="V79" s="1">
        <v>24.8</v>
      </c>
      <c r="W79" s="1"/>
      <c r="X79" s="1"/>
      <c r="Y79" s="1">
        <v>12.98</v>
      </c>
      <c r="Z79" s="1">
        <v>14.7</v>
      </c>
    </row>
    <row r="80" spans="1:26">
      <c r="A80" s="26">
        <v>1941</v>
      </c>
      <c r="B80" s="1">
        <v>38.130000000000003</v>
      </c>
      <c r="C80" s="1">
        <v>8.5299999999999994</v>
      </c>
      <c r="D80" s="1">
        <v>11.16</v>
      </c>
      <c r="E80" s="1">
        <v>12.4</v>
      </c>
      <c r="F80" s="1"/>
      <c r="G80" s="1"/>
      <c r="H80" s="1">
        <v>6.49</v>
      </c>
      <c r="I80" s="1"/>
      <c r="J80" s="1">
        <v>5.87</v>
      </c>
      <c r="K80" s="1">
        <v>10.67</v>
      </c>
      <c r="L80" s="1">
        <v>17.440000000000001</v>
      </c>
      <c r="M80" s="1">
        <v>21.8</v>
      </c>
      <c r="N80" s="1">
        <v>10.58</v>
      </c>
      <c r="O80" s="1">
        <v>7.71</v>
      </c>
      <c r="P80" s="1">
        <v>19.899999999999999</v>
      </c>
      <c r="Q80" s="1"/>
      <c r="R80" s="1">
        <v>8.51</v>
      </c>
      <c r="S80" s="1">
        <v>8.44</v>
      </c>
      <c r="T80" s="1"/>
      <c r="U80" s="1"/>
      <c r="V80" s="1">
        <v>25.22</v>
      </c>
      <c r="W80" s="1"/>
      <c r="X80" s="1"/>
      <c r="Y80" s="1">
        <v>13.46</v>
      </c>
      <c r="Z80" s="1">
        <v>15.31</v>
      </c>
    </row>
    <row r="81" spans="1:26">
      <c r="A81" s="26">
        <v>1942</v>
      </c>
      <c r="B81" s="1">
        <v>38.4</v>
      </c>
      <c r="C81" s="1">
        <v>8.74</v>
      </c>
      <c r="D81" s="1">
        <v>11.55</v>
      </c>
      <c r="E81" s="1">
        <v>13.06</v>
      </c>
      <c r="F81" s="1"/>
      <c r="G81" s="1"/>
      <c r="H81" s="1">
        <v>7.28</v>
      </c>
      <c r="I81" s="1"/>
      <c r="J81" s="1">
        <v>6.13</v>
      </c>
      <c r="K81" s="1">
        <v>11.08</v>
      </c>
      <c r="L81" s="1">
        <v>17.55</v>
      </c>
      <c r="M81" s="1">
        <v>21.94</v>
      </c>
      <c r="N81" s="1">
        <v>10.95</v>
      </c>
      <c r="O81" s="1">
        <v>7.93</v>
      </c>
      <c r="P81" s="1">
        <v>20.09</v>
      </c>
      <c r="Q81" s="1"/>
      <c r="R81" s="1">
        <v>8.6300000000000008</v>
      </c>
      <c r="S81" s="1">
        <v>8.65</v>
      </c>
      <c r="T81" s="1"/>
      <c r="U81" s="1"/>
      <c r="V81" s="1">
        <v>25.85</v>
      </c>
      <c r="W81" s="1"/>
      <c r="X81" s="1"/>
      <c r="Y81" s="1">
        <v>13.95</v>
      </c>
      <c r="Z81" s="1">
        <v>15.92</v>
      </c>
    </row>
    <row r="82" spans="1:26">
      <c r="A82" s="26">
        <v>1943</v>
      </c>
      <c r="B82" s="1">
        <v>38.68</v>
      </c>
      <c r="C82" s="1">
        <v>8.9499999999999993</v>
      </c>
      <c r="D82" s="1">
        <v>12.05</v>
      </c>
      <c r="E82" s="1">
        <v>14.06</v>
      </c>
      <c r="F82" s="1"/>
      <c r="G82" s="1"/>
      <c r="H82" s="1">
        <v>8.06</v>
      </c>
      <c r="I82" s="1"/>
      <c r="J82" s="1">
        <v>6.41</v>
      </c>
      <c r="K82" s="1">
        <v>11.52</v>
      </c>
      <c r="L82" s="1">
        <v>17.66</v>
      </c>
      <c r="M82" s="1">
        <v>22.1</v>
      </c>
      <c r="N82" s="1">
        <v>11.33</v>
      </c>
      <c r="O82" s="1">
        <v>8.17</v>
      </c>
      <c r="P82" s="1">
        <v>20.260000000000002</v>
      </c>
      <c r="Q82" s="1"/>
      <c r="R82" s="1">
        <v>8.77</v>
      </c>
      <c r="S82" s="1">
        <v>8.86</v>
      </c>
      <c r="T82" s="1"/>
      <c r="U82" s="1"/>
      <c r="V82" s="1">
        <v>26.64</v>
      </c>
      <c r="W82" s="1"/>
      <c r="X82" s="1"/>
      <c r="Y82" s="1">
        <v>14.44</v>
      </c>
      <c r="Z82" s="1">
        <v>16.53</v>
      </c>
    </row>
    <row r="83" spans="1:26">
      <c r="A83" s="26">
        <v>1944</v>
      </c>
      <c r="B83" s="1">
        <v>38.979999999999997</v>
      </c>
      <c r="C83" s="1">
        <v>9.17</v>
      </c>
      <c r="D83" s="1">
        <v>12.64</v>
      </c>
      <c r="E83" s="1">
        <v>15.33</v>
      </c>
      <c r="F83" s="1"/>
      <c r="G83" s="1"/>
      <c r="H83" s="1">
        <v>8.82</v>
      </c>
      <c r="I83" s="1"/>
      <c r="J83" s="1">
        <v>6.7</v>
      </c>
      <c r="K83" s="1">
        <v>11.97</v>
      </c>
      <c r="L83" s="1">
        <v>17.77</v>
      </c>
      <c r="M83" s="1">
        <v>22.39</v>
      </c>
      <c r="N83" s="1">
        <v>11.71</v>
      </c>
      <c r="O83" s="1">
        <v>8.43</v>
      </c>
      <c r="P83" s="1">
        <v>20.43</v>
      </c>
      <c r="Q83" s="1"/>
      <c r="R83" s="1">
        <v>8.93</v>
      </c>
      <c r="S83" s="1">
        <v>9.07</v>
      </c>
      <c r="T83" s="1"/>
      <c r="U83" s="1"/>
      <c r="V83" s="1">
        <v>27.55</v>
      </c>
      <c r="W83" s="1"/>
      <c r="X83" s="1"/>
      <c r="Y83" s="1">
        <v>14.93</v>
      </c>
      <c r="Z83" s="1">
        <v>17.149999999999999</v>
      </c>
    </row>
    <row r="84" spans="1:26">
      <c r="A84" s="26">
        <v>1945</v>
      </c>
      <c r="B84" s="1">
        <v>39.299999999999997</v>
      </c>
      <c r="C84" s="1">
        <v>9.39</v>
      </c>
      <c r="D84" s="1">
        <v>13.29</v>
      </c>
      <c r="E84" s="1">
        <v>16.8</v>
      </c>
      <c r="F84" s="1"/>
      <c r="G84" s="1"/>
      <c r="H84" s="1">
        <v>9.56</v>
      </c>
      <c r="I84" s="1"/>
      <c r="J84" s="1">
        <v>6.99</v>
      </c>
      <c r="K84" s="1">
        <v>12.46</v>
      </c>
      <c r="L84" s="1">
        <v>17.87</v>
      </c>
      <c r="M84" s="1">
        <v>22.85</v>
      </c>
      <c r="N84" s="1">
        <v>12.1</v>
      </c>
      <c r="O84" s="1">
        <v>8.6999999999999993</v>
      </c>
      <c r="P84" s="1">
        <v>20.61</v>
      </c>
      <c r="Q84" s="1"/>
      <c r="R84" s="1">
        <v>9.1</v>
      </c>
      <c r="S84" s="1">
        <v>9.2899999999999991</v>
      </c>
      <c r="T84" s="1"/>
      <c r="U84" s="1"/>
      <c r="V84" s="1">
        <v>28.52</v>
      </c>
      <c r="W84" s="1"/>
      <c r="X84" s="1"/>
      <c r="Y84" s="1">
        <v>15.43</v>
      </c>
      <c r="Z84" s="1">
        <v>17.77</v>
      </c>
    </row>
    <row r="85" spans="1:26">
      <c r="A85" s="26">
        <v>1946</v>
      </c>
      <c r="B85" s="1">
        <v>39.64</v>
      </c>
      <c r="C85" s="1">
        <v>9.6199999999999992</v>
      </c>
      <c r="D85" s="1">
        <v>13.97</v>
      </c>
      <c r="E85" s="1">
        <v>18.41</v>
      </c>
      <c r="F85" s="1"/>
      <c r="G85" s="1"/>
      <c r="H85" s="1">
        <v>10.28</v>
      </c>
      <c r="I85" s="1"/>
      <c r="J85" s="1">
        <v>7.29</v>
      </c>
      <c r="K85" s="1">
        <v>12.98</v>
      </c>
      <c r="L85" s="1">
        <v>17.98</v>
      </c>
      <c r="M85" s="1">
        <v>23.44</v>
      </c>
      <c r="N85" s="1">
        <v>12.49</v>
      </c>
      <c r="O85" s="1">
        <v>8.99</v>
      </c>
      <c r="P85" s="1">
        <v>20.79</v>
      </c>
      <c r="Q85" s="1"/>
      <c r="R85" s="1">
        <v>9.3000000000000007</v>
      </c>
      <c r="S85" s="1">
        <v>9.51</v>
      </c>
      <c r="T85" s="1"/>
      <c r="U85" s="1"/>
      <c r="V85" s="1">
        <v>29.51</v>
      </c>
      <c r="W85" s="1"/>
      <c r="X85" s="1"/>
      <c r="Y85" s="1">
        <v>15.93</v>
      </c>
      <c r="Z85" s="1">
        <v>18.399999999999999</v>
      </c>
    </row>
    <row r="86" spans="1:26">
      <c r="A86" s="26">
        <v>1947</v>
      </c>
      <c r="B86" s="1">
        <v>40</v>
      </c>
      <c r="C86" s="1">
        <v>9.86</v>
      </c>
      <c r="D86" s="1">
        <v>14.67</v>
      </c>
      <c r="E86" s="1">
        <v>20.100000000000001</v>
      </c>
      <c r="F86" s="1"/>
      <c r="G86" s="1"/>
      <c r="H86" s="1">
        <v>10.97</v>
      </c>
      <c r="I86" s="1"/>
      <c r="J86" s="1">
        <v>7.59</v>
      </c>
      <c r="K86" s="1">
        <v>13.54</v>
      </c>
      <c r="L86" s="1">
        <v>18.079999999999998</v>
      </c>
      <c r="M86" s="1">
        <v>24.07</v>
      </c>
      <c r="N86" s="1">
        <v>12.88</v>
      </c>
      <c r="O86" s="1">
        <v>9.2899999999999991</v>
      </c>
      <c r="P86" s="1">
        <v>20.98</v>
      </c>
      <c r="Q86" s="1"/>
      <c r="R86" s="1">
        <v>9.5299999999999994</v>
      </c>
      <c r="S86" s="1">
        <v>9.73</v>
      </c>
      <c r="T86" s="1"/>
      <c r="U86" s="1"/>
      <c r="V86" s="1">
        <v>30.48</v>
      </c>
      <c r="W86" s="1"/>
      <c r="X86" s="1"/>
      <c r="Y86" s="1">
        <v>16.440000000000001</v>
      </c>
      <c r="Z86" s="1">
        <v>19.03</v>
      </c>
    </row>
    <row r="87" spans="1:26">
      <c r="A87" s="26">
        <v>1948</v>
      </c>
      <c r="B87" s="1">
        <v>40.79</v>
      </c>
      <c r="C87" s="1">
        <v>10.1</v>
      </c>
      <c r="D87" s="1">
        <v>15.36</v>
      </c>
      <c r="E87" s="1">
        <v>21.78</v>
      </c>
      <c r="F87" s="1"/>
      <c r="G87" s="1"/>
      <c r="H87" s="1">
        <v>11.62</v>
      </c>
      <c r="I87" s="1"/>
      <c r="J87" s="1">
        <v>7.9</v>
      </c>
      <c r="K87" s="1">
        <v>14.14</v>
      </c>
      <c r="L87" s="1">
        <v>18.190000000000001</v>
      </c>
      <c r="M87" s="1">
        <v>24.7</v>
      </c>
      <c r="N87" s="1">
        <v>13.28</v>
      </c>
      <c r="O87" s="1">
        <v>9.61</v>
      </c>
      <c r="P87" s="1">
        <v>21.19</v>
      </c>
      <c r="Q87" s="1"/>
      <c r="R87" s="1">
        <v>9.7899999999999991</v>
      </c>
      <c r="S87" s="1">
        <v>9.9499999999999993</v>
      </c>
      <c r="T87" s="1"/>
      <c r="U87" s="1"/>
      <c r="V87" s="1">
        <v>31.38</v>
      </c>
      <c r="W87" s="1"/>
      <c r="X87" s="1"/>
      <c r="Y87" s="1">
        <v>16.96</v>
      </c>
      <c r="Z87" s="1">
        <v>19.66</v>
      </c>
    </row>
    <row r="88" spans="1:26">
      <c r="A88" s="26">
        <v>1949</v>
      </c>
      <c r="B88" s="1">
        <v>42.04</v>
      </c>
      <c r="C88" s="1">
        <v>10.35</v>
      </c>
      <c r="D88" s="1">
        <v>16.010000000000002</v>
      </c>
      <c r="E88" s="1">
        <v>23.41</v>
      </c>
      <c r="F88" s="1"/>
      <c r="G88" s="1"/>
      <c r="H88" s="1">
        <v>12.23</v>
      </c>
      <c r="I88" s="1"/>
      <c r="J88" s="1">
        <v>8.1999999999999993</v>
      </c>
      <c r="K88" s="1">
        <v>14.79</v>
      </c>
      <c r="L88" s="1">
        <v>18.3</v>
      </c>
      <c r="M88" s="1">
        <v>25.27</v>
      </c>
      <c r="N88" s="1">
        <v>13.69</v>
      </c>
      <c r="O88" s="1">
        <v>9.9499999999999993</v>
      </c>
      <c r="P88" s="1">
        <v>21.43</v>
      </c>
      <c r="Q88" s="1"/>
      <c r="R88" s="1">
        <v>10.08</v>
      </c>
      <c r="S88" s="1">
        <v>10.17</v>
      </c>
      <c r="T88" s="1"/>
      <c r="U88" s="1"/>
      <c r="V88" s="1">
        <v>32.17</v>
      </c>
      <c r="W88" s="1"/>
      <c r="X88" s="1"/>
      <c r="Y88" s="1">
        <v>17.47</v>
      </c>
      <c r="Z88" s="1">
        <v>20.3</v>
      </c>
    </row>
    <row r="89" spans="1:26">
      <c r="A89" s="26">
        <v>1950</v>
      </c>
      <c r="B89" s="1">
        <v>43.2</v>
      </c>
      <c r="C89" s="1">
        <v>10.6</v>
      </c>
      <c r="D89" s="1">
        <v>16.600000000000001</v>
      </c>
      <c r="E89" s="1">
        <v>24.9</v>
      </c>
      <c r="F89" s="1"/>
      <c r="G89" s="1">
        <v>4.7</v>
      </c>
      <c r="H89" s="1">
        <v>12.8</v>
      </c>
      <c r="I89" s="1"/>
      <c r="J89" s="1">
        <v>8.5</v>
      </c>
      <c r="K89" s="1">
        <v>15.5</v>
      </c>
      <c r="L89" s="1">
        <v>18.399999999999999</v>
      </c>
      <c r="M89" s="1">
        <v>25.7</v>
      </c>
      <c r="N89" s="1">
        <v>14.1</v>
      </c>
      <c r="O89" s="1">
        <v>10.3</v>
      </c>
      <c r="P89" s="1">
        <v>21.7</v>
      </c>
      <c r="Q89" s="1">
        <v>19.600000000000001</v>
      </c>
      <c r="R89" s="1">
        <v>10.4</v>
      </c>
      <c r="S89" s="1">
        <v>10.4</v>
      </c>
      <c r="T89" s="1"/>
      <c r="U89" s="1"/>
      <c r="V89" s="1">
        <v>32.799999999999997</v>
      </c>
      <c r="W89" s="1">
        <v>14.8</v>
      </c>
      <c r="X89" s="1">
        <v>16.399999999999999</v>
      </c>
      <c r="Y89" s="1">
        <v>18</v>
      </c>
      <c r="Z89" s="1">
        <v>20.95</v>
      </c>
    </row>
    <row r="90" spans="1:26">
      <c r="A90" s="26">
        <v>1951</v>
      </c>
      <c r="B90" s="1">
        <v>44.14</v>
      </c>
      <c r="C90" s="1">
        <v>10.93</v>
      </c>
      <c r="D90" s="1">
        <v>17.14</v>
      </c>
      <c r="E90" s="1">
        <v>26.33</v>
      </c>
      <c r="F90" s="1"/>
      <c r="G90" s="1">
        <v>5.0599999999999996</v>
      </c>
      <c r="H90" s="1">
        <v>13.34</v>
      </c>
      <c r="I90" s="1"/>
      <c r="J90" s="1">
        <v>8.8000000000000007</v>
      </c>
      <c r="K90" s="1">
        <v>16.39</v>
      </c>
      <c r="L90" s="1">
        <v>18.5</v>
      </c>
      <c r="M90" s="1">
        <v>26.05</v>
      </c>
      <c r="N90" s="1">
        <v>14.52</v>
      </c>
      <c r="O90" s="1">
        <v>10.68</v>
      </c>
      <c r="P90" s="1">
        <v>22.03</v>
      </c>
      <c r="Q90" s="1">
        <v>19.989999999999998</v>
      </c>
      <c r="R90" s="1">
        <v>10.9</v>
      </c>
      <c r="S90" s="1">
        <v>10.64</v>
      </c>
      <c r="T90" s="1"/>
      <c r="U90" s="1"/>
      <c r="V90" s="1">
        <v>33.299999999999997</v>
      </c>
      <c r="W90" s="1">
        <v>15.24</v>
      </c>
      <c r="X90" s="1">
        <v>17.25</v>
      </c>
      <c r="Y90" s="1">
        <v>18.54</v>
      </c>
      <c r="Z90" s="1">
        <v>21.6</v>
      </c>
    </row>
    <row r="91" spans="1:26">
      <c r="A91" s="26">
        <v>1952</v>
      </c>
      <c r="B91" s="1">
        <v>45.09</v>
      </c>
      <c r="C91" s="1">
        <v>11.38</v>
      </c>
      <c r="D91" s="1">
        <v>17.649999999999999</v>
      </c>
      <c r="E91" s="1">
        <v>27.79</v>
      </c>
      <c r="F91" s="1"/>
      <c r="G91" s="1">
        <v>5.41</v>
      </c>
      <c r="H91" s="1">
        <v>13.85</v>
      </c>
      <c r="I91" s="1"/>
      <c r="J91" s="1">
        <v>9.09</v>
      </c>
      <c r="K91" s="1">
        <v>17.55</v>
      </c>
      <c r="L91" s="1">
        <v>18.59</v>
      </c>
      <c r="M91" s="1">
        <v>26.38</v>
      </c>
      <c r="N91" s="1">
        <v>14.96</v>
      </c>
      <c r="O91" s="1">
        <v>11.12</v>
      </c>
      <c r="P91" s="1">
        <v>22.45</v>
      </c>
      <c r="Q91" s="1">
        <v>20.37</v>
      </c>
      <c r="R91" s="1">
        <v>11.7</v>
      </c>
      <c r="S91" s="1">
        <v>10.91</v>
      </c>
      <c r="T91" s="1"/>
      <c r="U91" s="1"/>
      <c r="V91" s="1">
        <v>33.74</v>
      </c>
      <c r="W91" s="1">
        <v>15.67</v>
      </c>
      <c r="X91" s="1">
        <v>18.100000000000001</v>
      </c>
      <c r="Y91" s="1">
        <v>19.079999999999998</v>
      </c>
      <c r="Z91" s="1">
        <v>22.25</v>
      </c>
    </row>
    <row r="92" spans="1:26">
      <c r="A92" s="26">
        <v>1953</v>
      </c>
      <c r="B92" s="1">
        <v>46.02</v>
      </c>
      <c r="C92" s="1">
        <v>11.96</v>
      </c>
      <c r="D92" s="1">
        <v>18.14</v>
      </c>
      <c r="E92" s="1">
        <v>29.27</v>
      </c>
      <c r="F92" s="1"/>
      <c r="G92" s="1">
        <v>5.77</v>
      </c>
      <c r="H92" s="1">
        <v>14.35</v>
      </c>
      <c r="I92" s="1"/>
      <c r="J92" s="1">
        <v>9.4</v>
      </c>
      <c r="K92" s="1">
        <v>18.91</v>
      </c>
      <c r="L92" s="1">
        <v>18.68</v>
      </c>
      <c r="M92" s="1">
        <v>26.71</v>
      </c>
      <c r="N92" s="1">
        <v>15.4</v>
      </c>
      <c r="O92" s="1">
        <v>11.59</v>
      </c>
      <c r="P92" s="1">
        <v>22.93</v>
      </c>
      <c r="Q92" s="1">
        <v>20.75</v>
      </c>
      <c r="R92" s="1">
        <v>12.72</v>
      </c>
      <c r="S92" s="1">
        <v>11.19</v>
      </c>
      <c r="T92" s="1"/>
      <c r="U92" s="1"/>
      <c r="V92" s="1">
        <v>34.14</v>
      </c>
      <c r="W92" s="1">
        <v>16.11</v>
      </c>
      <c r="X92" s="1">
        <v>18.920000000000002</v>
      </c>
      <c r="Y92" s="1">
        <v>19.649999999999999</v>
      </c>
      <c r="Z92" s="1">
        <v>22.91</v>
      </c>
    </row>
    <row r="93" spans="1:26">
      <c r="A93" s="26">
        <v>1954</v>
      </c>
      <c r="B93" s="1">
        <v>46.94</v>
      </c>
      <c r="C93" s="1">
        <v>12.64</v>
      </c>
      <c r="D93" s="1">
        <v>18.62</v>
      </c>
      <c r="E93" s="1">
        <v>30.76</v>
      </c>
      <c r="F93" s="1"/>
      <c r="G93" s="1">
        <v>6.12</v>
      </c>
      <c r="H93" s="1">
        <v>14.83</v>
      </c>
      <c r="I93" s="1"/>
      <c r="J93" s="1">
        <v>9.7100000000000009</v>
      </c>
      <c r="K93" s="1">
        <v>20.43</v>
      </c>
      <c r="L93" s="1">
        <v>18.77</v>
      </c>
      <c r="M93" s="1">
        <v>27.03</v>
      </c>
      <c r="N93" s="1">
        <v>15.84</v>
      </c>
      <c r="O93" s="1">
        <v>12.09</v>
      </c>
      <c r="P93" s="1">
        <v>23.47</v>
      </c>
      <c r="Q93" s="1">
        <v>21.12</v>
      </c>
      <c r="R93" s="1">
        <v>13.94</v>
      </c>
      <c r="S93" s="1">
        <v>11.48</v>
      </c>
      <c r="T93" s="1"/>
      <c r="U93" s="1"/>
      <c r="V93" s="1">
        <v>34.5</v>
      </c>
      <c r="W93" s="1">
        <v>16.54</v>
      </c>
      <c r="X93" s="1">
        <v>19.72</v>
      </c>
      <c r="Y93" s="1">
        <v>20.22</v>
      </c>
      <c r="Z93" s="1">
        <v>23.58</v>
      </c>
    </row>
    <row r="94" spans="1:26">
      <c r="A94" s="26">
        <v>1955</v>
      </c>
      <c r="B94" s="1">
        <v>47.83</v>
      </c>
      <c r="C94" s="1">
        <v>13.42</v>
      </c>
      <c r="D94" s="1">
        <v>19.11</v>
      </c>
      <c r="E94" s="1">
        <v>32.24</v>
      </c>
      <c r="F94" s="1"/>
      <c r="G94" s="1">
        <v>6.48</v>
      </c>
      <c r="H94" s="1">
        <v>15.29</v>
      </c>
      <c r="I94" s="1"/>
      <c r="J94" s="1">
        <v>10.039999999999999</v>
      </c>
      <c r="K94" s="1">
        <v>22.03</v>
      </c>
      <c r="L94" s="1">
        <v>18.850000000000001</v>
      </c>
      <c r="M94" s="1">
        <v>27.34</v>
      </c>
      <c r="N94" s="1">
        <v>16.3</v>
      </c>
      <c r="O94" s="1">
        <v>12.61</v>
      </c>
      <c r="P94" s="1">
        <v>24.04</v>
      </c>
      <c r="Q94" s="1">
        <v>21.48</v>
      </c>
      <c r="R94" s="1">
        <v>15.3</v>
      </c>
      <c r="S94" s="1">
        <v>11.77</v>
      </c>
      <c r="T94" s="1"/>
      <c r="U94" s="1"/>
      <c r="V94" s="1">
        <v>34.85</v>
      </c>
      <c r="W94" s="1">
        <v>16.98</v>
      </c>
      <c r="X94" s="1">
        <v>20.48</v>
      </c>
      <c r="Y94" s="1">
        <v>20.81</v>
      </c>
      <c r="Z94" s="1">
        <v>24.25</v>
      </c>
    </row>
    <row r="95" spans="1:26">
      <c r="A95" s="26">
        <v>1956</v>
      </c>
      <c r="B95" s="1">
        <v>48.69</v>
      </c>
      <c r="C95" s="1">
        <v>14.28</v>
      </c>
      <c r="D95" s="1">
        <v>19.61</v>
      </c>
      <c r="E95" s="1">
        <v>33.700000000000003</v>
      </c>
      <c r="F95" s="1"/>
      <c r="G95" s="1">
        <v>6.83</v>
      </c>
      <c r="H95" s="1">
        <v>15.73</v>
      </c>
      <c r="I95" s="1"/>
      <c r="J95" s="1">
        <v>10.39</v>
      </c>
      <c r="K95" s="1">
        <v>23.67</v>
      </c>
      <c r="L95" s="1">
        <v>18.940000000000001</v>
      </c>
      <c r="M95" s="1">
        <v>27.64</v>
      </c>
      <c r="N95" s="1">
        <v>16.760000000000002</v>
      </c>
      <c r="O95" s="1">
        <v>13.15</v>
      </c>
      <c r="P95" s="1">
        <v>24.63</v>
      </c>
      <c r="Q95" s="1">
        <v>21.82</v>
      </c>
      <c r="R95" s="1">
        <v>16.739999999999998</v>
      </c>
      <c r="S95" s="1">
        <v>12.05</v>
      </c>
      <c r="T95" s="1"/>
      <c r="U95" s="1"/>
      <c r="V95" s="1">
        <v>35.19</v>
      </c>
      <c r="W95" s="1">
        <v>17.420000000000002</v>
      </c>
      <c r="X95" s="1">
        <v>21.2</v>
      </c>
      <c r="Y95" s="1">
        <v>21.42</v>
      </c>
      <c r="Z95" s="1">
        <v>24.93</v>
      </c>
    </row>
    <row r="96" spans="1:26">
      <c r="A96" s="26">
        <v>1957</v>
      </c>
      <c r="B96" s="1">
        <v>49.5</v>
      </c>
      <c r="C96" s="1">
        <v>15.21</v>
      </c>
      <c r="D96" s="1">
        <v>20.14</v>
      </c>
      <c r="E96" s="1">
        <v>35.130000000000003</v>
      </c>
      <c r="F96" s="1"/>
      <c r="G96" s="1">
        <v>7.18</v>
      </c>
      <c r="H96" s="1">
        <v>16.14</v>
      </c>
      <c r="I96" s="1"/>
      <c r="J96" s="1">
        <v>10.77</v>
      </c>
      <c r="K96" s="1">
        <v>25.27</v>
      </c>
      <c r="L96" s="1">
        <v>19.04</v>
      </c>
      <c r="M96" s="1">
        <v>27.94</v>
      </c>
      <c r="N96" s="1">
        <v>17.22</v>
      </c>
      <c r="O96" s="1">
        <v>13.7</v>
      </c>
      <c r="P96" s="1">
        <v>25.22</v>
      </c>
      <c r="Q96" s="1">
        <v>22.15</v>
      </c>
      <c r="R96" s="1">
        <v>18.22</v>
      </c>
      <c r="S96" s="1">
        <v>12.31</v>
      </c>
      <c r="T96" s="1"/>
      <c r="U96" s="1"/>
      <c r="V96" s="1">
        <v>35.54</v>
      </c>
      <c r="W96" s="1">
        <v>17.86</v>
      </c>
      <c r="X96" s="1">
        <v>21.85</v>
      </c>
      <c r="Y96" s="1">
        <v>22.03</v>
      </c>
      <c r="Z96" s="1">
        <v>25.61</v>
      </c>
    </row>
    <row r="97" spans="1:26">
      <c r="A97" s="26">
        <v>1958</v>
      </c>
      <c r="B97" s="1">
        <v>50.27</v>
      </c>
      <c r="C97" s="1">
        <v>16.21</v>
      </c>
      <c r="D97" s="1">
        <v>20.71</v>
      </c>
      <c r="E97" s="1">
        <v>36.520000000000003</v>
      </c>
      <c r="F97" s="1"/>
      <c r="G97" s="1">
        <v>7.53</v>
      </c>
      <c r="H97" s="1">
        <v>16.52</v>
      </c>
      <c r="I97" s="1"/>
      <c r="J97" s="1">
        <v>11.18</v>
      </c>
      <c r="K97" s="1">
        <v>26.78</v>
      </c>
      <c r="L97" s="1">
        <v>19.149999999999999</v>
      </c>
      <c r="M97" s="1">
        <v>28.22</v>
      </c>
      <c r="N97" s="1">
        <v>17.68</v>
      </c>
      <c r="O97" s="1">
        <v>14.24</v>
      </c>
      <c r="P97" s="1">
        <v>25.81</v>
      </c>
      <c r="Q97" s="1">
        <v>22.46</v>
      </c>
      <c r="R97" s="1">
        <v>19.690000000000001</v>
      </c>
      <c r="S97" s="1">
        <v>12.54</v>
      </c>
      <c r="T97" s="1"/>
      <c r="U97" s="1"/>
      <c r="V97" s="1">
        <v>35.92</v>
      </c>
      <c r="W97" s="1">
        <v>18.309999999999999</v>
      </c>
      <c r="X97" s="1">
        <v>22.45</v>
      </c>
      <c r="Y97" s="1">
        <v>22.66</v>
      </c>
      <c r="Z97" s="1">
        <v>26.3</v>
      </c>
    </row>
    <row r="98" spans="1:26">
      <c r="A98" s="26">
        <v>1959</v>
      </c>
      <c r="B98" s="1">
        <v>50.97</v>
      </c>
      <c r="C98" s="1">
        <v>17.25</v>
      </c>
      <c r="D98" s="1">
        <v>21.33</v>
      </c>
      <c r="E98" s="1">
        <v>37.85</v>
      </c>
      <c r="F98" s="1"/>
      <c r="G98" s="1">
        <v>7.88</v>
      </c>
      <c r="H98" s="1">
        <v>16.87</v>
      </c>
      <c r="I98" s="1"/>
      <c r="J98" s="1">
        <v>11.62</v>
      </c>
      <c r="K98" s="1">
        <v>28.15</v>
      </c>
      <c r="L98" s="1">
        <v>19.27</v>
      </c>
      <c r="M98" s="1">
        <v>28.5</v>
      </c>
      <c r="N98" s="1">
        <v>18.14</v>
      </c>
      <c r="O98" s="1">
        <v>14.78</v>
      </c>
      <c r="P98" s="1">
        <v>26.38</v>
      </c>
      <c r="Q98" s="1">
        <v>22.74</v>
      </c>
      <c r="R98" s="1">
        <v>21.1</v>
      </c>
      <c r="S98" s="1">
        <v>12.74</v>
      </c>
      <c r="T98" s="1"/>
      <c r="U98" s="1"/>
      <c r="V98" s="1">
        <v>36.33</v>
      </c>
      <c r="W98" s="1">
        <v>18.75</v>
      </c>
      <c r="X98" s="1">
        <v>22.97</v>
      </c>
      <c r="Y98" s="1">
        <v>23.3</v>
      </c>
      <c r="Z98" s="1">
        <v>27</v>
      </c>
    </row>
    <row r="99" spans="1:26">
      <c r="A99" s="26">
        <v>1960</v>
      </c>
      <c r="B99" s="1">
        <v>51.6</v>
      </c>
      <c r="C99" s="1">
        <v>18.329999999999998</v>
      </c>
      <c r="D99" s="1">
        <v>22</v>
      </c>
      <c r="E99" s="1">
        <v>39.1</v>
      </c>
      <c r="F99" s="1">
        <v>26.5</v>
      </c>
      <c r="G99" s="1">
        <v>8.2200000000000006</v>
      </c>
      <c r="H99" s="1">
        <v>17.2</v>
      </c>
      <c r="I99" s="1">
        <v>7.1</v>
      </c>
      <c r="J99" s="1">
        <v>12.1</v>
      </c>
      <c r="K99" s="1">
        <v>29.3</v>
      </c>
      <c r="L99" s="1">
        <v>19.399999999999999</v>
      </c>
      <c r="M99" s="1">
        <v>28.77</v>
      </c>
      <c r="N99" s="1">
        <v>18.600000000000001</v>
      </c>
      <c r="O99" s="1">
        <v>15.3</v>
      </c>
      <c r="P99" s="1">
        <v>26.9</v>
      </c>
      <c r="Q99" s="1">
        <v>23</v>
      </c>
      <c r="R99" s="1">
        <v>22.4</v>
      </c>
      <c r="S99" s="1">
        <v>12.9</v>
      </c>
      <c r="T99" s="1">
        <v>30.2</v>
      </c>
      <c r="U99" s="1">
        <v>50.5</v>
      </c>
      <c r="V99" s="1">
        <v>36.799999999999997</v>
      </c>
      <c r="W99" s="1">
        <v>19.2</v>
      </c>
      <c r="X99" s="1">
        <v>23.4</v>
      </c>
      <c r="Y99" s="1">
        <v>23.95</v>
      </c>
      <c r="Z99" s="1">
        <v>27.72</v>
      </c>
    </row>
    <row r="100" spans="1:26">
      <c r="A100" s="26">
        <v>1961</v>
      </c>
      <c r="B100" s="1">
        <v>52.18</v>
      </c>
      <c r="C100" s="1">
        <v>19.43</v>
      </c>
      <c r="D100" s="1">
        <v>22.77</v>
      </c>
      <c r="E100" s="1">
        <v>40.29</v>
      </c>
      <c r="F100" s="1">
        <v>26.13</v>
      </c>
      <c r="G100" s="1">
        <v>8.57</v>
      </c>
      <c r="H100" s="1">
        <v>17.52</v>
      </c>
      <c r="I100" s="1">
        <v>8.1999999999999993</v>
      </c>
      <c r="J100" s="1">
        <v>12.67</v>
      </c>
      <c r="K100" s="1">
        <v>30.29</v>
      </c>
      <c r="L100" s="1">
        <v>19.559999999999999</v>
      </c>
      <c r="M100" s="1">
        <v>29.03</v>
      </c>
      <c r="N100" s="1">
        <v>19.04</v>
      </c>
      <c r="O100" s="1">
        <v>15.84</v>
      </c>
      <c r="P100" s="1">
        <v>27.41</v>
      </c>
      <c r="Q100" s="1">
        <v>23.23</v>
      </c>
      <c r="R100" s="1">
        <v>23.67</v>
      </c>
      <c r="S100" s="1">
        <v>13.02</v>
      </c>
      <c r="T100" s="1">
        <v>30.21</v>
      </c>
      <c r="U100" s="1">
        <v>50.47</v>
      </c>
      <c r="V100" s="1">
        <v>37.31</v>
      </c>
      <c r="W100" s="1">
        <v>19.64</v>
      </c>
      <c r="X100" s="1">
        <v>23.79</v>
      </c>
      <c r="Y100" s="1">
        <v>24.6</v>
      </c>
      <c r="Z100" s="1">
        <v>28.47</v>
      </c>
    </row>
    <row r="101" spans="1:26">
      <c r="A101" s="26">
        <v>1962</v>
      </c>
      <c r="B101" s="1">
        <v>52.73</v>
      </c>
      <c r="C101" s="1">
        <v>20.54</v>
      </c>
      <c r="D101" s="1">
        <v>23.64</v>
      </c>
      <c r="E101" s="1">
        <v>41.43</v>
      </c>
      <c r="F101" s="1">
        <v>25.76</v>
      </c>
      <c r="G101" s="1">
        <v>8.91</v>
      </c>
      <c r="H101" s="1">
        <v>17.850000000000001</v>
      </c>
      <c r="I101" s="1">
        <v>9.2899999999999991</v>
      </c>
      <c r="J101" s="1">
        <v>13.37</v>
      </c>
      <c r="K101" s="1">
        <v>31.2</v>
      </c>
      <c r="L101" s="1">
        <v>19.739999999999998</v>
      </c>
      <c r="M101" s="1">
        <v>29.28</v>
      </c>
      <c r="N101" s="1">
        <v>19.440000000000001</v>
      </c>
      <c r="O101" s="1">
        <v>16.440000000000001</v>
      </c>
      <c r="P101" s="1">
        <v>27.94</v>
      </c>
      <c r="Q101" s="1">
        <v>23.44</v>
      </c>
      <c r="R101" s="1">
        <v>25.01</v>
      </c>
      <c r="S101" s="1">
        <v>13.13</v>
      </c>
      <c r="T101" s="1">
        <v>30.22</v>
      </c>
      <c r="U101" s="1">
        <v>50.44</v>
      </c>
      <c r="V101" s="1">
        <v>37.840000000000003</v>
      </c>
      <c r="W101" s="1">
        <v>20.059999999999999</v>
      </c>
      <c r="X101" s="1">
        <v>24.18</v>
      </c>
      <c r="Y101" s="1">
        <v>25.27</v>
      </c>
      <c r="Z101" s="1">
        <v>29.25</v>
      </c>
    </row>
    <row r="102" spans="1:26">
      <c r="A102" s="26">
        <v>1963</v>
      </c>
      <c r="B102" s="1">
        <v>53.26</v>
      </c>
      <c r="C102" s="1">
        <v>21.66</v>
      </c>
      <c r="D102" s="1">
        <v>24.61</v>
      </c>
      <c r="E102" s="1">
        <v>42.53</v>
      </c>
      <c r="F102" s="1">
        <v>25.4</v>
      </c>
      <c r="G102" s="1">
        <v>9.24</v>
      </c>
      <c r="H102" s="1">
        <v>18.170000000000002</v>
      </c>
      <c r="I102" s="1">
        <v>10.36</v>
      </c>
      <c r="J102" s="1">
        <v>14.16</v>
      </c>
      <c r="K102" s="1">
        <v>32.049999999999997</v>
      </c>
      <c r="L102" s="1">
        <v>19.95</v>
      </c>
      <c r="M102" s="1">
        <v>29.52</v>
      </c>
      <c r="N102" s="1">
        <v>19.82</v>
      </c>
      <c r="O102" s="1">
        <v>17.059999999999999</v>
      </c>
      <c r="P102" s="1">
        <v>28.49</v>
      </c>
      <c r="Q102" s="1">
        <v>23.64</v>
      </c>
      <c r="R102" s="1">
        <v>26.39</v>
      </c>
      <c r="S102" s="1">
        <v>13.23</v>
      </c>
      <c r="T102" s="1">
        <v>30.24</v>
      </c>
      <c r="U102" s="1">
        <v>50.41</v>
      </c>
      <c r="V102" s="1">
        <v>38.39</v>
      </c>
      <c r="W102" s="1">
        <v>20.47</v>
      </c>
      <c r="X102" s="1">
        <v>24.56</v>
      </c>
      <c r="Y102" s="1">
        <v>25.94</v>
      </c>
      <c r="Z102" s="1">
        <v>30.06</v>
      </c>
    </row>
    <row r="103" spans="1:26">
      <c r="A103" s="26">
        <v>1964</v>
      </c>
      <c r="B103" s="1">
        <v>53.76</v>
      </c>
      <c r="C103" s="1">
        <v>22.76</v>
      </c>
      <c r="D103" s="1">
        <v>25.64</v>
      </c>
      <c r="E103" s="1">
        <v>43.59</v>
      </c>
      <c r="F103" s="1">
        <v>25.05</v>
      </c>
      <c r="G103" s="1">
        <v>9.58</v>
      </c>
      <c r="H103" s="1">
        <v>18.489999999999998</v>
      </c>
      <c r="I103" s="1">
        <v>11.38</v>
      </c>
      <c r="J103" s="1">
        <v>15.02</v>
      </c>
      <c r="K103" s="1">
        <v>32.86</v>
      </c>
      <c r="L103" s="1">
        <v>20.18</v>
      </c>
      <c r="M103" s="1">
        <v>29.76</v>
      </c>
      <c r="N103" s="1">
        <v>20.2</v>
      </c>
      <c r="O103" s="1">
        <v>17.690000000000001</v>
      </c>
      <c r="P103" s="1">
        <v>29.03</v>
      </c>
      <c r="Q103" s="1">
        <v>23.82</v>
      </c>
      <c r="R103" s="1">
        <v>27.78</v>
      </c>
      <c r="S103" s="1">
        <v>13.32</v>
      </c>
      <c r="T103" s="1">
        <v>30.25</v>
      </c>
      <c r="U103" s="1">
        <v>50.39</v>
      </c>
      <c r="V103" s="1">
        <v>38.979999999999997</v>
      </c>
      <c r="W103" s="1">
        <v>20.88</v>
      </c>
      <c r="X103" s="1">
        <v>24.91</v>
      </c>
      <c r="Y103" s="1">
        <v>26.63</v>
      </c>
      <c r="Z103" s="1">
        <v>30.87</v>
      </c>
    </row>
    <row r="104" spans="1:26">
      <c r="A104" s="26">
        <v>1965</v>
      </c>
      <c r="B104" s="1">
        <v>54.23</v>
      </c>
      <c r="C104" s="1">
        <v>23.84</v>
      </c>
      <c r="D104" s="1">
        <v>26.73</v>
      </c>
      <c r="E104" s="1">
        <v>44.63</v>
      </c>
      <c r="F104" s="1">
        <v>24.71</v>
      </c>
      <c r="G104" s="1">
        <v>9.91</v>
      </c>
      <c r="H104" s="1">
        <v>18.79</v>
      </c>
      <c r="I104" s="1">
        <v>12.36</v>
      </c>
      <c r="J104" s="1">
        <v>15.94</v>
      </c>
      <c r="K104" s="1">
        <v>33.630000000000003</v>
      </c>
      <c r="L104" s="1">
        <v>20.43</v>
      </c>
      <c r="M104" s="1">
        <v>29.98</v>
      </c>
      <c r="N104" s="1">
        <v>20.6</v>
      </c>
      <c r="O104" s="1">
        <v>18.309999999999999</v>
      </c>
      <c r="P104" s="1">
        <v>29.56</v>
      </c>
      <c r="Q104" s="1">
        <v>24</v>
      </c>
      <c r="R104" s="1">
        <v>29.17</v>
      </c>
      <c r="S104" s="1">
        <v>13.4</v>
      </c>
      <c r="T104" s="1">
        <v>30.27</v>
      </c>
      <c r="U104" s="1">
        <v>50.36</v>
      </c>
      <c r="V104" s="1">
        <v>39.6</v>
      </c>
      <c r="W104" s="1">
        <v>21.3</v>
      </c>
      <c r="X104" s="1">
        <v>25.24</v>
      </c>
      <c r="Y104" s="1">
        <v>27.33</v>
      </c>
      <c r="Z104" s="1">
        <v>31.7</v>
      </c>
    </row>
    <row r="105" spans="1:26">
      <c r="A105" s="26">
        <v>1966</v>
      </c>
      <c r="B105" s="1">
        <v>54.67</v>
      </c>
      <c r="C105" s="1">
        <v>24.89</v>
      </c>
      <c r="D105" s="1">
        <v>27.84</v>
      </c>
      <c r="E105" s="1">
        <v>45.65</v>
      </c>
      <c r="F105" s="1">
        <v>24.4</v>
      </c>
      <c r="G105" s="1">
        <v>10.23</v>
      </c>
      <c r="H105" s="1">
        <v>19.05</v>
      </c>
      <c r="I105" s="1">
        <v>13.27</v>
      </c>
      <c r="J105" s="1">
        <v>16.89</v>
      </c>
      <c r="K105" s="1">
        <v>34.39</v>
      </c>
      <c r="L105" s="1">
        <v>20.69</v>
      </c>
      <c r="M105" s="1">
        <v>30.2</v>
      </c>
      <c r="N105" s="1">
        <v>21.02</v>
      </c>
      <c r="O105" s="1">
        <v>18.899999999999999</v>
      </c>
      <c r="P105" s="1">
        <v>30.07</v>
      </c>
      <c r="Q105" s="1">
        <v>24.17</v>
      </c>
      <c r="R105" s="1">
        <v>30.51</v>
      </c>
      <c r="S105" s="1">
        <v>13.47</v>
      </c>
      <c r="T105" s="1">
        <v>30.29</v>
      </c>
      <c r="U105" s="1">
        <v>50.34</v>
      </c>
      <c r="V105" s="1">
        <v>40.26</v>
      </c>
      <c r="W105" s="1">
        <v>21.73</v>
      </c>
      <c r="X105" s="1">
        <v>25.52</v>
      </c>
      <c r="Y105" s="1">
        <v>28.06</v>
      </c>
      <c r="Z105" s="1">
        <v>32.54</v>
      </c>
    </row>
    <row r="106" spans="1:26">
      <c r="A106" s="26">
        <v>1967</v>
      </c>
      <c r="B106" s="1">
        <v>55.09</v>
      </c>
      <c r="C106" s="1">
        <v>25.89</v>
      </c>
      <c r="D106" s="1">
        <v>28.96</v>
      </c>
      <c r="E106" s="1">
        <v>46.66</v>
      </c>
      <c r="F106" s="1">
        <v>24.1</v>
      </c>
      <c r="G106" s="1">
        <v>10.56</v>
      </c>
      <c r="H106" s="1">
        <v>19.28</v>
      </c>
      <c r="I106" s="1">
        <v>14.1</v>
      </c>
      <c r="J106" s="1">
        <v>17.84</v>
      </c>
      <c r="K106" s="1">
        <v>35.14</v>
      </c>
      <c r="L106" s="1">
        <v>20.96</v>
      </c>
      <c r="M106" s="1">
        <v>30.41</v>
      </c>
      <c r="N106" s="1">
        <v>21.48</v>
      </c>
      <c r="O106" s="1">
        <v>19.43</v>
      </c>
      <c r="P106" s="1">
        <v>30.55</v>
      </c>
      <c r="Q106" s="1">
        <v>24.34</v>
      </c>
      <c r="R106" s="1">
        <v>31.78</v>
      </c>
      <c r="S106" s="1">
        <v>13.53</v>
      </c>
      <c r="T106" s="1">
        <v>30.31</v>
      </c>
      <c r="U106" s="1">
        <v>50.32</v>
      </c>
      <c r="V106" s="1">
        <v>40.950000000000003</v>
      </c>
      <c r="W106" s="1">
        <v>22.19</v>
      </c>
      <c r="X106" s="1">
        <v>25.76</v>
      </c>
      <c r="Y106" s="1">
        <v>28.8</v>
      </c>
      <c r="Z106" s="1">
        <v>33.369999999999997</v>
      </c>
    </row>
    <row r="107" spans="1:26">
      <c r="A107" s="26">
        <v>1968</v>
      </c>
      <c r="B107" s="1">
        <v>55.49</v>
      </c>
      <c r="C107" s="1">
        <v>26.84</v>
      </c>
      <c r="D107" s="1">
        <v>30.08</v>
      </c>
      <c r="E107" s="1">
        <v>47.67</v>
      </c>
      <c r="F107" s="1">
        <v>23.84</v>
      </c>
      <c r="G107" s="1">
        <v>10.88</v>
      </c>
      <c r="H107" s="1">
        <v>19.45</v>
      </c>
      <c r="I107" s="1">
        <v>14.84</v>
      </c>
      <c r="J107" s="1">
        <v>18.77</v>
      </c>
      <c r="K107" s="1">
        <v>35.9</v>
      </c>
      <c r="L107" s="1">
        <v>21.24</v>
      </c>
      <c r="M107" s="1">
        <v>30.62</v>
      </c>
      <c r="N107" s="1">
        <v>22.01</v>
      </c>
      <c r="O107" s="1">
        <v>19.89</v>
      </c>
      <c r="P107" s="1">
        <v>30.99</v>
      </c>
      <c r="Q107" s="1">
        <v>24.52</v>
      </c>
      <c r="R107" s="1">
        <v>32.950000000000003</v>
      </c>
      <c r="S107" s="1">
        <v>13.59</v>
      </c>
      <c r="T107" s="1">
        <v>30.34</v>
      </c>
      <c r="U107" s="1">
        <v>50.31</v>
      </c>
      <c r="V107" s="1">
        <v>41.69</v>
      </c>
      <c r="W107" s="1">
        <v>22.68</v>
      </c>
      <c r="X107" s="1">
        <v>25.94</v>
      </c>
      <c r="Y107" s="1">
        <v>29.57</v>
      </c>
      <c r="Z107" s="1">
        <v>34.19</v>
      </c>
    </row>
    <row r="108" spans="1:26">
      <c r="A108" s="26">
        <v>1969</v>
      </c>
      <c r="B108" s="1">
        <v>55.86</v>
      </c>
      <c r="C108" s="1">
        <v>27.71</v>
      </c>
      <c r="D108" s="1">
        <v>31.16</v>
      </c>
      <c r="E108" s="1">
        <v>48.68</v>
      </c>
      <c r="F108" s="1">
        <v>23.6</v>
      </c>
      <c r="G108" s="1">
        <v>11.19</v>
      </c>
      <c r="H108" s="1">
        <v>19.559999999999999</v>
      </c>
      <c r="I108" s="1">
        <v>15.48</v>
      </c>
      <c r="J108" s="1">
        <v>19.670000000000002</v>
      </c>
      <c r="K108" s="1">
        <v>36.68</v>
      </c>
      <c r="L108" s="1">
        <v>21.52</v>
      </c>
      <c r="M108" s="1">
        <v>30.81</v>
      </c>
      <c r="N108" s="1">
        <v>22.61</v>
      </c>
      <c r="O108" s="1">
        <v>20.25</v>
      </c>
      <c r="P108" s="1">
        <v>31.37</v>
      </c>
      <c r="Q108" s="1">
        <v>24.7</v>
      </c>
      <c r="R108" s="1">
        <v>34</v>
      </c>
      <c r="S108" s="1">
        <v>13.65</v>
      </c>
      <c r="T108" s="1">
        <v>30.37</v>
      </c>
      <c r="U108" s="1">
        <v>50.3</v>
      </c>
      <c r="V108" s="1">
        <v>42.47</v>
      </c>
      <c r="W108" s="1">
        <v>23.22</v>
      </c>
      <c r="X108" s="1">
        <v>26.06</v>
      </c>
      <c r="Y108" s="1">
        <v>30.37</v>
      </c>
      <c r="Z108" s="1">
        <v>35.01</v>
      </c>
    </row>
    <row r="109" spans="1:26">
      <c r="A109" s="26">
        <v>1970</v>
      </c>
      <c r="B109" s="1">
        <v>56.2</v>
      </c>
      <c r="C109" s="1">
        <v>28.5</v>
      </c>
      <c r="D109" s="1">
        <v>32.200000000000003</v>
      </c>
      <c r="E109" s="1">
        <v>49.7</v>
      </c>
      <c r="F109" s="1">
        <v>23.4</v>
      </c>
      <c r="G109" s="1">
        <v>11.5</v>
      </c>
      <c r="H109" s="1">
        <v>19.600000000000001</v>
      </c>
      <c r="I109" s="1">
        <v>16</v>
      </c>
      <c r="J109" s="1">
        <v>20.5</v>
      </c>
      <c r="K109" s="1">
        <v>37.5</v>
      </c>
      <c r="L109" s="1">
        <v>21.8</v>
      </c>
      <c r="M109" s="1">
        <v>31</v>
      </c>
      <c r="N109" s="1">
        <v>23.3</v>
      </c>
      <c r="O109" s="1">
        <v>20.5</v>
      </c>
      <c r="P109" s="1">
        <v>31.7</v>
      </c>
      <c r="Q109" s="1">
        <v>24.9</v>
      </c>
      <c r="R109" s="1">
        <v>34.9</v>
      </c>
      <c r="S109" s="1">
        <v>13.71</v>
      </c>
      <c r="T109" s="1">
        <v>30.4</v>
      </c>
      <c r="U109" s="1">
        <v>50.3</v>
      </c>
      <c r="V109" s="1">
        <v>43.3</v>
      </c>
      <c r="W109" s="1">
        <v>23.8</v>
      </c>
      <c r="X109" s="1">
        <v>26.1</v>
      </c>
      <c r="Y109" s="1">
        <v>31.2</v>
      </c>
      <c r="Z109" s="1">
        <v>35.799999999999997</v>
      </c>
    </row>
    <row r="110" spans="1:26">
      <c r="A110" s="26">
        <v>1971</v>
      </c>
      <c r="B110" s="1">
        <v>56.52</v>
      </c>
      <c r="C110" s="1">
        <v>29.24</v>
      </c>
      <c r="D110" s="1">
        <v>33.24</v>
      </c>
      <c r="E110" s="1">
        <v>50.81</v>
      </c>
      <c r="F110" s="1">
        <v>23.22</v>
      </c>
      <c r="G110" s="1">
        <v>11.79</v>
      </c>
      <c r="H110" s="1">
        <v>19.59</v>
      </c>
      <c r="I110" s="1">
        <v>16.43</v>
      </c>
      <c r="J110" s="1">
        <v>21.3</v>
      </c>
      <c r="K110" s="1">
        <v>38.39</v>
      </c>
      <c r="L110" s="1">
        <v>22.08</v>
      </c>
      <c r="M110" s="1">
        <v>31.17</v>
      </c>
      <c r="N110" s="1">
        <v>24.34</v>
      </c>
      <c r="O110" s="1">
        <v>20.68</v>
      </c>
      <c r="P110" s="1">
        <v>31.97</v>
      </c>
      <c r="Q110" s="1">
        <v>25.1</v>
      </c>
      <c r="R110" s="1">
        <v>35.67</v>
      </c>
      <c r="S110" s="1">
        <v>13.77</v>
      </c>
      <c r="T110" s="1">
        <v>30.46</v>
      </c>
      <c r="U110" s="1">
        <v>50.32</v>
      </c>
      <c r="V110" s="1">
        <v>44.28</v>
      </c>
      <c r="W110" s="1">
        <v>24.5</v>
      </c>
      <c r="X110" s="1">
        <v>26.07</v>
      </c>
      <c r="Y110" s="1">
        <v>32.07</v>
      </c>
      <c r="Z110" s="1">
        <v>36.61</v>
      </c>
    </row>
    <row r="111" spans="1:26">
      <c r="A111" s="26">
        <v>1972</v>
      </c>
      <c r="B111" s="1">
        <v>56.81</v>
      </c>
      <c r="C111" s="1">
        <v>29.98</v>
      </c>
      <c r="D111" s="1">
        <v>34.35</v>
      </c>
      <c r="E111" s="1">
        <v>52.06</v>
      </c>
      <c r="F111" s="1">
        <v>23.06</v>
      </c>
      <c r="G111" s="1">
        <v>12.06</v>
      </c>
      <c r="H111" s="1">
        <v>19.579999999999998</v>
      </c>
      <c r="I111" s="1">
        <v>16.82</v>
      </c>
      <c r="J111" s="1">
        <v>22.12</v>
      </c>
      <c r="K111" s="1">
        <v>39.340000000000003</v>
      </c>
      <c r="L111" s="1">
        <v>22.38</v>
      </c>
      <c r="M111" s="1">
        <v>31.32</v>
      </c>
      <c r="N111" s="1">
        <v>25.89</v>
      </c>
      <c r="O111" s="1">
        <v>20.86</v>
      </c>
      <c r="P111" s="1">
        <v>32.22</v>
      </c>
      <c r="Q111" s="1">
        <v>25.3</v>
      </c>
      <c r="R111" s="1">
        <v>36.35</v>
      </c>
      <c r="S111" s="1">
        <v>13.83</v>
      </c>
      <c r="T111" s="1">
        <v>30.55</v>
      </c>
      <c r="U111" s="1">
        <v>50.38</v>
      </c>
      <c r="V111" s="1">
        <v>45.47</v>
      </c>
      <c r="W111" s="1">
        <v>25.37</v>
      </c>
      <c r="X111" s="1">
        <v>25.98</v>
      </c>
      <c r="Y111" s="1">
        <v>33</v>
      </c>
      <c r="Z111" s="1">
        <v>37.47</v>
      </c>
    </row>
    <row r="112" spans="1:26">
      <c r="A112" s="26">
        <v>1973</v>
      </c>
      <c r="B112" s="1">
        <v>57.07</v>
      </c>
      <c r="C112" s="1">
        <v>30.72</v>
      </c>
      <c r="D112" s="1">
        <v>35.49</v>
      </c>
      <c r="E112" s="1">
        <v>53.37</v>
      </c>
      <c r="F112" s="1">
        <v>22.92</v>
      </c>
      <c r="G112" s="1">
        <v>12.31</v>
      </c>
      <c r="H112" s="1">
        <v>19.55</v>
      </c>
      <c r="I112" s="1">
        <v>17.170000000000002</v>
      </c>
      <c r="J112" s="1">
        <v>22.95</v>
      </c>
      <c r="K112" s="1">
        <v>40.33</v>
      </c>
      <c r="L112" s="1">
        <v>22.68</v>
      </c>
      <c r="M112" s="1">
        <v>31.45</v>
      </c>
      <c r="N112" s="1">
        <v>27.82</v>
      </c>
      <c r="O112" s="1">
        <v>21.03</v>
      </c>
      <c r="P112" s="1">
        <v>32.44</v>
      </c>
      <c r="Q112" s="1">
        <v>25.49</v>
      </c>
      <c r="R112" s="1">
        <v>36.979999999999997</v>
      </c>
      <c r="S112" s="1">
        <v>13.91</v>
      </c>
      <c r="T112" s="1">
        <v>30.68</v>
      </c>
      <c r="U112" s="1">
        <v>50.47</v>
      </c>
      <c r="V112" s="1">
        <v>46.81</v>
      </c>
      <c r="W112" s="1">
        <v>26.35</v>
      </c>
      <c r="X112" s="1">
        <v>25.84</v>
      </c>
      <c r="Y112" s="1">
        <v>33.97</v>
      </c>
      <c r="Z112" s="1">
        <v>38.35</v>
      </c>
    </row>
    <row r="113" spans="1:26">
      <c r="A113" s="26">
        <v>1974</v>
      </c>
      <c r="B113" s="1">
        <v>57.33</v>
      </c>
      <c r="C113" s="1">
        <v>31.45</v>
      </c>
      <c r="D113" s="1">
        <v>36.64</v>
      </c>
      <c r="E113" s="1">
        <v>54.7</v>
      </c>
      <c r="F113" s="1">
        <v>22.78</v>
      </c>
      <c r="G113" s="1">
        <v>12.55</v>
      </c>
      <c r="H113" s="1">
        <v>19.52</v>
      </c>
      <c r="I113" s="1">
        <v>17.48</v>
      </c>
      <c r="J113" s="1">
        <v>23.76</v>
      </c>
      <c r="K113" s="1">
        <v>41.34</v>
      </c>
      <c r="L113" s="1">
        <v>23</v>
      </c>
      <c r="M113" s="1">
        <v>31.56</v>
      </c>
      <c r="N113" s="1">
        <v>30</v>
      </c>
      <c r="O113" s="1">
        <v>21.19</v>
      </c>
      <c r="P113" s="1">
        <v>32.64</v>
      </c>
      <c r="Q113" s="1">
        <v>25.68</v>
      </c>
      <c r="R113" s="1">
        <v>37.56</v>
      </c>
      <c r="S113" s="1">
        <v>13.98</v>
      </c>
      <c r="T113" s="1">
        <v>30.84</v>
      </c>
      <c r="U113" s="1">
        <v>50.58</v>
      </c>
      <c r="V113" s="1">
        <v>48.25</v>
      </c>
      <c r="W113" s="1">
        <v>27.4</v>
      </c>
      <c r="X113" s="1">
        <v>25.66</v>
      </c>
      <c r="Y113" s="1">
        <v>34.979999999999997</v>
      </c>
      <c r="Z113" s="1">
        <v>39.22</v>
      </c>
    </row>
    <row r="114" spans="1:26">
      <c r="A114" s="26">
        <v>1975</v>
      </c>
      <c r="B114" s="1">
        <v>57.57</v>
      </c>
      <c r="C114" s="1">
        <v>32.17</v>
      </c>
      <c r="D114" s="1">
        <v>37.76</v>
      </c>
      <c r="E114" s="1">
        <v>55.99</v>
      </c>
      <c r="F114" s="1">
        <v>22.65</v>
      </c>
      <c r="G114" s="1">
        <v>12.8</v>
      </c>
      <c r="H114" s="1">
        <v>19.489999999999998</v>
      </c>
      <c r="I114" s="1">
        <v>17.77</v>
      </c>
      <c r="J114" s="1">
        <v>24.57</v>
      </c>
      <c r="K114" s="1">
        <v>42.33</v>
      </c>
      <c r="L114" s="1">
        <v>23.33</v>
      </c>
      <c r="M114" s="1">
        <v>31.68</v>
      </c>
      <c r="N114" s="1">
        <v>32.299999999999997</v>
      </c>
      <c r="O114" s="1">
        <v>21.35</v>
      </c>
      <c r="P114" s="1">
        <v>32.83</v>
      </c>
      <c r="Q114" s="1">
        <v>25.89</v>
      </c>
      <c r="R114" s="1">
        <v>38.1</v>
      </c>
      <c r="S114" s="1">
        <v>14.07</v>
      </c>
      <c r="T114" s="1">
        <v>31.03</v>
      </c>
      <c r="U114" s="1">
        <v>50.7</v>
      </c>
      <c r="V114" s="1">
        <v>49.73</v>
      </c>
      <c r="W114" s="1">
        <v>28.48</v>
      </c>
      <c r="X114" s="1">
        <v>25.44</v>
      </c>
      <c r="Y114" s="1">
        <v>36.020000000000003</v>
      </c>
      <c r="Z114" s="1">
        <v>40.06</v>
      </c>
    </row>
    <row r="115" spans="1:26">
      <c r="A115" s="26">
        <v>1976</v>
      </c>
      <c r="B115" s="1">
        <v>57.8</v>
      </c>
      <c r="C115" s="1">
        <v>32.880000000000003</v>
      </c>
      <c r="D115" s="1">
        <v>38.840000000000003</v>
      </c>
      <c r="E115" s="1">
        <v>57.17</v>
      </c>
      <c r="F115" s="1">
        <v>22.53</v>
      </c>
      <c r="G115" s="1">
        <v>13.05</v>
      </c>
      <c r="H115" s="1">
        <v>19.45</v>
      </c>
      <c r="I115" s="1">
        <v>18.04</v>
      </c>
      <c r="J115" s="1">
        <v>25.35</v>
      </c>
      <c r="K115" s="1">
        <v>43.29</v>
      </c>
      <c r="L115" s="1">
        <v>23.66</v>
      </c>
      <c r="M115" s="1">
        <v>31.79</v>
      </c>
      <c r="N115" s="1">
        <v>34.58</v>
      </c>
      <c r="O115" s="1">
        <v>21.51</v>
      </c>
      <c r="P115" s="1">
        <v>33.01</v>
      </c>
      <c r="Q115" s="1">
        <v>26.1</v>
      </c>
      <c r="R115" s="1">
        <v>38.630000000000003</v>
      </c>
      <c r="S115" s="1">
        <v>14.17</v>
      </c>
      <c r="T115" s="1">
        <v>31.24</v>
      </c>
      <c r="U115" s="1">
        <v>50.82</v>
      </c>
      <c r="V115" s="1">
        <v>51.19</v>
      </c>
      <c r="W115" s="1">
        <v>29.56</v>
      </c>
      <c r="X115" s="1">
        <v>25.19</v>
      </c>
      <c r="Y115" s="1">
        <v>37.1</v>
      </c>
      <c r="Z115" s="1">
        <v>40.86</v>
      </c>
    </row>
    <row r="116" spans="1:26">
      <c r="A116" s="26">
        <v>1977</v>
      </c>
      <c r="B116" s="1">
        <v>58.04</v>
      </c>
      <c r="C116" s="1">
        <v>33.58</v>
      </c>
      <c r="D116" s="1">
        <v>39.83</v>
      </c>
      <c r="E116" s="1">
        <v>58.19</v>
      </c>
      <c r="F116" s="1">
        <v>22.42</v>
      </c>
      <c r="G116" s="1">
        <v>13.31</v>
      </c>
      <c r="H116" s="1">
        <v>19.41</v>
      </c>
      <c r="I116" s="1">
        <v>18.3</v>
      </c>
      <c r="J116" s="1">
        <v>26.09</v>
      </c>
      <c r="K116" s="1">
        <v>44.18</v>
      </c>
      <c r="L116" s="1">
        <v>24.01</v>
      </c>
      <c r="M116" s="1">
        <v>31.92</v>
      </c>
      <c r="N116" s="1">
        <v>36.71</v>
      </c>
      <c r="O116" s="1">
        <v>21.66</v>
      </c>
      <c r="P116" s="1">
        <v>33.19</v>
      </c>
      <c r="Q116" s="1">
        <v>26.32</v>
      </c>
      <c r="R116" s="1">
        <v>39.159999999999997</v>
      </c>
      <c r="S116" s="1">
        <v>14.28</v>
      </c>
      <c r="T116" s="1">
        <v>31.46</v>
      </c>
      <c r="U116" s="1">
        <v>50.93</v>
      </c>
      <c r="V116" s="1">
        <v>52.59</v>
      </c>
      <c r="W116" s="1">
        <v>30.58</v>
      </c>
      <c r="X116" s="1">
        <v>24.92</v>
      </c>
      <c r="Y116" s="1">
        <v>38.19</v>
      </c>
      <c r="Z116" s="1">
        <v>41.58</v>
      </c>
    </row>
    <row r="117" spans="1:26">
      <c r="A117" s="26">
        <v>1978</v>
      </c>
      <c r="B117" s="1">
        <v>58.28</v>
      </c>
      <c r="C117" s="1">
        <v>34.270000000000003</v>
      </c>
      <c r="D117" s="1">
        <v>40.729999999999997</v>
      </c>
      <c r="E117" s="1">
        <v>58.99</v>
      </c>
      <c r="F117" s="1">
        <v>22.31</v>
      </c>
      <c r="G117" s="1">
        <v>13.61</v>
      </c>
      <c r="H117" s="1">
        <v>19.37</v>
      </c>
      <c r="I117" s="1">
        <v>18.559999999999999</v>
      </c>
      <c r="J117" s="1">
        <v>26.78</v>
      </c>
      <c r="K117" s="1">
        <v>44.98</v>
      </c>
      <c r="L117" s="1">
        <v>24.36</v>
      </c>
      <c r="M117" s="1">
        <v>32.06</v>
      </c>
      <c r="N117" s="1">
        <v>38.56</v>
      </c>
      <c r="O117" s="1">
        <v>21.8</v>
      </c>
      <c r="P117" s="1">
        <v>33.380000000000003</v>
      </c>
      <c r="Q117" s="1">
        <v>26.56</v>
      </c>
      <c r="R117" s="1">
        <v>39.700000000000003</v>
      </c>
      <c r="S117" s="1">
        <v>14.4</v>
      </c>
      <c r="T117" s="1">
        <v>31.7</v>
      </c>
      <c r="U117" s="1">
        <v>51.02</v>
      </c>
      <c r="V117" s="1">
        <v>53.86</v>
      </c>
      <c r="W117" s="1">
        <v>31.5</v>
      </c>
      <c r="X117" s="1">
        <v>24.62</v>
      </c>
      <c r="Y117" s="1">
        <v>39.29</v>
      </c>
      <c r="Z117" s="1">
        <v>42.2</v>
      </c>
    </row>
    <row r="118" spans="1:26">
      <c r="A118" s="26">
        <v>1979</v>
      </c>
      <c r="B118" s="1">
        <v>58.53</v>
      </c>
      <c r="C118" s="1">
        <v>34.950000000000003</v>
      </c>
      <c r="D118" s="1">
        <v>41.49</v>
      </c>
      <c r="E118" s="1">
        <v>59.51</v>
      </c>
      <c r="F118" s="1">
        <v>22.2</v>
      </c>
      <c r="G118" s="1">
        <v>13.93</v>
      </c>
      <c r="H118" s="1">
        <v>19.329999999999998</v>
      </c>
      <c r="I118" s="1">
        <v>18.829999999999998</v>
      </c>
      <c r="J118" s="1">
        <v>27.43</v>
      </c>
      <c r="K118" s="1">
        <v>45.66</v>
      </c>
      <c r="L118" s="1">
        <v>24.73</v>
      </c>
      <c r="M118" s="1">
        <v>32.21</v>
      </c>
      <c r="N118" s="1">
        <v>40</v>
      </c>
      <c r="O118" s="1">
        <v>21.93</v>
      </c>
      <c r="P118" s="1">
        <v>33.58</v>
      </c>
      <c r="Q118" s="1">
        <v>26.82</v>
      </c>
      <c r="R118" s="1">
        <v>40.28</v>
      </c>
      <c r="S118" s="1">
        <v>14.54</v>
      </c>
      <c r="T118" s="1">
        <v>31.95</v>
      </c>
      <c r="U118" s="1">
        <v>51.08</v>
      </c>
      <c r="V118" s="1">
        <v>54.95</v>
      </c>
      <c r="W118" s="1">
        <v>32.29</v>
      </c>
      <c r="X118" s="1">
        <v>24.31</v>
      </c>
      <c r="Y118" s="1">
        <v>40.4</v>
      </c>
      <c r="Z118" s="1">
        <v>42.7</v>
      </c>
    </row>
    <row r="119" spans="1:26">
      <c r="A119" s="26">
        <v>1980</v>
      </c>
      <c r="B119" s="1">
        <v>58.8</v>
      </c>
      <c r="C119" s="1">
        <v>35.61</v>
      </c>
      <c r="D119" s="1">
        <v>42.1</v>
      </c>
      <c r="E119" s="1">
        <v>59.7</v>
      </c>
      <c r="F119" s="1">
        <v>22.1</v>
      </c>
      <c r="G119" s="1">
        <v>14.3</v>
      </c>
      <c r="H119" s="1">
        <v>19.3</v>
      </c>
      <c r="I119" s="1">
        <v>19.100000000000001</v>
      </c>
      <c r="J119" s="1">
        <v>28</v>
      </c>
      <c r="K119" s="1">
        <v>46.2</v>
      </c>
      <c r="L119" s="1">
        <v>25.1</v>
      </c>
      <c r="M119" s="1">
        <v>32.4</v>
      </c>
      <c r="N119" s="1">
        <v>40.9</v>
      </c>
      <c r="O119" s="1">
        <v>22.05</v>
      </c>
      <c r="P119" s="1">
        <v>33.799999999999997</v>
      </c>
      <c r="Q119" s="1">
        <v>27.1</v>
      </c>
      <c r="R119" s="1">
        <v>40.9</v>
      </c>
      <c r="S119" s="1">
        <v>14.7</v>
      </c>
      <c r="T119" s="1">
        <v>32.200000000000003</v>
      </c>
      <c r="U119" s="1">
        <v>51.1</v>
      </c>
      <c r="V119" s="1">
        <v>55.8</v>
      </c>
      <c r="W119" s="1">
        <v>32.9</v>
      </c>
      <c r="X119" s="1">
        <v>24</v>
      </c>
      <c r="Y119" s="1"/>
      <c r="Z119" s="1">
        <v>43.11</v>
      </c>
    </row>
    <row r="120" spans="1:26">
      <c r="A120" s="26">
        <v>1981</v>
      </c>
      <c r="B120" s="1">
        <v>59.1</v>
      </c>
      <c r="C120" s="1">
        <v>36.26</v>
      </c>
      <c r="D120" s="1">
        <v>42.58</v>
      </c>
      <c r="E120" s="1">
        <v>59.69</v>
      </c>
      <c r="F120" s="1"/>
      <c r="G120" s="1">
        <v>14.71</v>
      </c>
      <c r="H120" s="1">
        <v>19.27</v>
      </c>
      <c r="I120" s="1">
        <v>19.38</v>
      </c>
      <c r="J120" s="1">
        <v>28.5</v>
      </c>
      <c r="K120" s="1">
        <v>46.62</v>
      </c>
      <c r="L120" s="1">
        <v>25.47</v>
      </c>
      <c r="M120" s="1">
        <v>32.630000000000003</v>
      </c>
      <c r="N120" s="1">
        <v>41.43</v>
      </c>
      <c r="O120" s="1">
        <v>22.17</v>
      </c>
      <c r="P120" s="1">
        <v>34.020000000000003</v>
      </c>
      <c r="Q120" s="1">
        <v>27.43</v>
      </c>
      <c r="R120" s="1">
        <v>41.57</v>
      </c>
      <c r="S120" s="1">
        <v>15.18</v>
      </c>
      <c r="T120" s="1"/>
      <c r="U120" s="1">
        <v>51.09</v>
      </c>
      <c r="V120" s="1">
        <v>56.49</v>
      </c>
      <c r="W120" s="1">
        <v>33.36</v>
      </c>
      <c r="X120" s="1"/>
      <c r="Y120" s="1"/>
      <c r="Z120" s="1">
        <v>43.49</v>
      </c>
    </row>
    <row r="121" spans="1:26">
      <c r="A121" s="26">
        <v>1982</v>
      </c>
      <c r="B121" s="1">
        <v>59.44</v>
      </c>
      <c r="C121" s="1">
        <v>36.9</v>
      </c>
      <c r="D121" s="1">
        <v>43.01</v>
      </c>
      <c r="E121" s="1">
        <v>59.68</v>
      </c>
      <c r="F121" s="1"/>
      <c r="G121" s="1">
        <v>15.15</v>
      </c>
      <c r="H121" s="1">
        <v>19.23</v>
      </c>
      <c r="I121" s="1">
        <v>19.64</v>
      </c>
      <c r="J121" s="1">
        <v>28.94</v>
      </c>
      <c r="K121" s="1">
        <v>46.99</v>
      </c>
      <c r="L121" s="1">
        <v>25.84</v>
      </c>
      <c r="M121" s="1">
        <v>32.9</v>
      </c>
      <c r="N121" s="1">
        <v>41.87</v>
      </c>
      <c r="O121" s="1">
        <v>22.27</v>
      </c>
      <c r="P121" s="1">
        <v>34.22</v>
      </c>
      <c r="Q121" s="1">
        <v>27.82</v>
      </c>
      <c r="R121" s="1">
        <v>42.27</v>
      </c>
      <c r="S121" s="1">
        <v>16.190000000000001</v>
      </c>
      <c r="T121" s="1"/>
      <c r="U121" s="1">
        <v>51.06</v>
      </c>
      <c r="V121" s="1">
        <v>57.12</v>
      </c>
      <c r="W121" s="1">
        <v>33.76</v>
      </c>
      <c r="X121" s="1"/>
      <c r="Y121" s="1"/>
      <c r="Z121" s="1">
        <v>43.83</v>
      </c>
    </row>
    <row r="122" spans="1:26">
      <c r="A122" s="26">
        <v>1983</v>
      </c>
      <c r="B122" s="1">
        <v>59.8</v>
      </c>
      <c r="C122" s="1">
        <v>37.520000000000003</v>
      </c>
      <c r="D122" s="1">
        <v>43.38</v>
      </c>
      <c r="E122" s="1">
        <v>59.66</v>
      </c>
      <c r="F122" s="1"/>
      <c r="G122" s="1">
        <v>15.63</v>
      </c>
      <c r="H122" s="1">
        <v>19.190000000000001</v>
      </c>
      <c r="I122" s="1">
        <v>19.899999999999999</v>
      </c>
      <c r="J122" s="1">
        <v>29.34</v>
      </c>
      <c r="K122" s="1">
        <v>47.31</v>
      </c>
      <c r="L122" s="1">
        <v>26.2</v>
      </c>
      <c r="M122" s="1">
        <v>33.21</v>
      </c>
      <c r="N122" s="1">
        <v>42.24</v>
      </c>
      <c r="O122" s="1">
        <v>22.37</v>
      </c>
      <c r="P122" s="1">
        <v>34.409999999999997</v>
      </c>
      <c r="Q122" s="1">
        <v>28.25</v>
      </c>
      <c r="R122" s="1">
        <v>43</v>
      </c>
      <c r="S122" s="1">
        <v>17.61</v>
      </c>
      <c r="T122" s="1"/>
      <c r="U122" s="1">
        <v>51.01</v>
      </c>
      <c r="V122" s="1">
        <v>57.7</v>
      </c>
      <c r="W122" s="1">
        <v>34.090000000000003</v>
      </c>
      <c r="X122" s="1"/>
      <c r="Y122" s="1"/>
      <c r="Z122" s="1">
        <v>44.15</v>
      </c>
    </row>
    <row r="123" spans="1:26">
      <c r="A123" s="26">
        <v>1984</v>
      </c>
      <c r="B123" s="1">
        <v>60.17</v>
      </c>
      <c r="C123" s="1">
        <v>38.119999999999997</v>
      </c>
      <c r="D123" s="1">
        <v>43.72</v>
      </c>
      <c r="E123" s="1">
        <v>59.63</v>
      </c>
      <c r="F123" s="1"/>
      <c r="G123" s="1">
        <v>16.149999999999999</v>
      </c>
      <c r="H123" s="1">
        <v>19.149999999999999</v>
      </c>
      <c r="I123" s="1">
        <v>20.149999999999999</v>
      </c>
      <c r="J123" s="1">
        <v>29.7</v>
      </c>
      <c r="K123" s="1">
        <v>47.59</v>
      </c>
      <c r="L123" s="1">
        <v>26.56</v>
      </c>
      <c r="M123" s="1">
        <v>33.56</v>
      </c>
      <c r="N123" s="1">
        <v>42.55</v>
      </c>
      <c r="O123" s="1">
        <v>22.45</v>
      </c>
      <c r="P123" s="1">
        <v>34.6</v>
      </c>
      <c r="Q123" s="1">
        <v>28.72</v>
      </c>
      <c r="R123" s="1">
        <v>43.74</v>
      </c>
      <c r="S123" s="1">
        <v>19.309999999999999</v>
      </c>
      <c r="T123" s="1"/>
      <c r="U123" s="1">
        <v>50.94</v>
      </c>
      <c r="V123" s="1">
        <v>58.24</v>
      </c>
      <c r="W123" s="1">
        <v>34.4</v>
      </c>
      <c r="X123" s="1"/>
      <c r="Y123" s="1"/>
      <c r="Z123" s="1">
        <v>44.45</v>
      </c>
    </row>
    <row r="124" spans="1:26">
      <c r="A124" s="26">
        <v>1985</v>
      </c>
      <c r="B124" s="1">
        <v>60.54</v>
      </c>
      <c r="C124" s="1">
        <v>38.700000000000003</v>
      </c>
      <c r="D124" s="1">
        <v>44.03</v>
      </c>
      <c r="E124" s="1">
        <v>59.6</v>
      </c>
      <c r="F124" s="1"/>
      <c r="G124" s="1">
        <v>16.690000000000001</v>
      </c>
      <c r="H124" s="1">
        <v>19.11</v>
      </c>
      <c r="I124" s="1">
        <v>20.39</v>
      </c>
      <c r="J124" s="1">
        <v>30.05</v>
      </c>
      <c r="K124" s="1">
        <v>47.86</v>
      </c>
      <c r="L124" s="1">
        <v>26.93</v>
      </c>
      <c r="M124" s="1">
        <v>33.94</v>
      </c>
      <c r="N124" s="1">
        <v>42.83</v>
      </c>
      <c r="O124" s="1">
        <v>22.53</v>
      </c>
      <c r="P124" s="1">
        <v>34.799999999999997</v>
      </c>
      <c r="Q124" s="1">
        <v>29.21</v>
      </c>
      <c r="R124" s="1">
        <v>44.49</v>
      </c>
      <c r="S124" s="1">
        <v>21.15</v>
      </c>
      <c r="T124" s="1"/>
      <c r="U124" s="1">
        <v>50.86</v>
      </c>
      <c r="V124" s="1">
        <v>58.74</v>
      </c>
      <c r="W124" s="1">
        <v>34.68</v>
      </c>
      <c r="X124" s="1"/>
      <c r="Y124" s="1"/>
      <c r="Z124" s="1">
        <v>44.72</v>
      </c>
    </row>
    <row r="125" spans="1:26">
      <c r="A125" s="26">
        <v>1986</v>
      </c>
      <c r="B125" s="1">
        <v>60.89</v>
      </c>
      <c r="C125" s="1">
        <v>39.270000000000003</v>
      </c>
      <c r="D125" s="1">
        <v>44.33</v>
      </c>
      <c r="E125" s="1">
        <v>59.57</v>
      </c>
      <c r="F125" s="1"/>
      <c r="G125" s="1">
        <v>17.260000000000002</v>
      </c>
      <c r="H125" s="1">
        <v>19.079999999999998</v>
      </c>
      <c r="I125" s="1">
        <v>20.62</v>
      </c>
      <c r="J125" s="1">
        <v>30.41</v>
      </c>
      <c r="K125" s="1">
        <v>48.11</v>
      </c>
      <c r="L125" s="1">
        <v>27.29</v>
      </c>
      <c r="M125" s="1">
        <v>34.340000000000003</v>
      </c>
      <c r="N125" s="1">
        <v>43.1</v>
      </c>
      <c r="O125" s="1">
        <v>22.59</v>
      </c>
      <c r="P125" s="1">
        <v>35.020000000000003</v>
      </c>
      <c r="Q125" s="1">
        <v>29.71</v>
      </c>
      <c r="R125" s="1">
        <v>45.23</v>
      </c>
      <c r="S125" s="1">
        <v>23</v>
      </c>
      <c r="T125" s="1"/>
      <c r="U125" s="1">
        <v>50.76</v>
      </c>
      <c r="V125" s="1">
        <v>59.21</v>
      </c>
      <c r="W125" s="1">
        <v>34.96</v>
      </c>
      <c r="X125" s="1"/>
      <c r="Y125" s="1"/>
      <c r="Z125" s="1">
        <v>44.98</v>
      </c>
    </row>
    <row r="126" spans="1:26">
      <c r="A126" s="26">
        <v>1987</v>
      </c>
      <c r="B126" s="1">
        <v>61.2</v>
      </c>
      <c r="C126" s="1">
        <v>39.81</v>
      </c>
      <c r="D126" s="1">
        <v>44.62</v>
      </c>
      <c r="E126" s="1">
        <v>59.54</v>
      </c>
      <c r="F126" s="1"/>
      <c r="G126" s="1">
        <v>17.86</v>
      </c>
      <c r="H126" s="1">
        <v>19.05</v>
      </c>
      <c r="I126" s="1">
        <v>20.86</v>
      </c>
      <c r="J126" s="1">
        <v>30.78</v>
      </c>
      <c r="K126" s="1">
        <v>48.37</v>
      </c>
      <c r="L126" s="1">
        <v>27.66</v>
      </c>
      <c r="M126" s="1">
        <v>34.770000000000003</v>
      </c>
      <c r="N126" s="1">
        <v>43.37</v>
      </c>
      <c r="O126" s="1">
        <v>22.64</v>
      </c>
      <c r="P126" s="1">
        <v>35.270000000000003</v>
      </c>
      <c r="Q126" s="1">
        <v>30.22</v>
      </c>
      <c r="R126" s="1">
        <v>45.96</v>
      </c>
      <c r="S126" s="1">
        <v>24.74</v>
      </c>
      <c r="T126" s="1"/>
      <c r="U126" s="1">
        <v>50.66</v>
      </c>
      <c r="V126" s="1">
        <v>59.64</v>
      </c>
      <c r="W126" s="1">
        <v>35.25</v>
      </c>
      <c r="X126" s="1"/>
      <c r="Y126" s="1"/>
      <c r="Z126" s="1">
        <v>45.23</v>
      </c>
    </row>
    <row r="127" spans="1:26">
      <c r="A127" s="26">
        <v>1988</v>
      </c>
      <c r="B127" s="1">
        <v>61.47</v>
      </c>
      <c r="C127" s="1">
        <v>40.33</v>
      </c>
      <c r="D127" s="1">
        <v>44.92</v>
      </c>
      <c r="E127" s="1">
        <v>59.52</v>
      </c>
      <c r="F127" s="1"/>
      <c r="G127" s="1">
        <v>18.48</v>
      </c>
      <c r="H127" s="1">
        <v>19.02</v>
      </c>
      <c r="I127" s="1">
        <v>21.09</v>
      </c>
      <c r="J127" s="1">
        <v>31.2</v>
      </c>
      <c r="K127" s="1">
        <v>48.65</v>
      </c>
      <c r="L127" s="1">
        <v>28.03</v>
      </c>
      <c r="M127" s="1">
        <v>35.200000000000003</v>
      </c>
      <c r="N127" s="1">
        <v>43.66</v>
      </c>
      <c r="O127" s="1">
        <v>22.67</v>
      </c>
      <c r="P127" s="1">
        <v>35.56</v>
      </c>
      <c r="Q127" s="1">
        <v>30.71</v>
      </c>
      <c r="R127" s="1">
        <v>46.68</v>
      </c>
      <c r="S127" s="1">
        <v>26.25</v>
      </c>
      <c r="T127" s="1"/>
      <c r="U127" s="1">
        <v>50.54</v>
      </c>
      <c r="V127" s="1">
        <v>60.05</v>
      </c>
      <c r="W127" s="1">
        <v>35.58</v>
      </c>
      <c r="X127" s="1"/>
      <c r="Y127" s="1"/>
      <c r="Z127" s="1">
        <v>45.46</v>
      </c>
    </row>
    <row r="128" spans="1:26">
      <c r="A128" s="26">
        <v>1989</v>
      </c>
      <c r="B128" s="1">
        <v>61.67</v>
      </c>
      <c r="C128" s="1">
        <v>40.83</v>
      </c>
      <c r="D128" s="1">
        <v>45.25</v>
      </c>
      <c r="E128" s="1">
        <v>59.51</v>
      </c>
      <c r="F128" s="1"/>
      <c r="G128" s="1">
        <v>19.13</v>
      </c>
      <c r="H128" s="1">
        <v>19.010000000000002</v>
      </c>
      <c r="I128" s="1">
        <v>21.32</v>
      </c>
      <c r="J128" s="1">
        <v>31.66</v>
      </c>
      <c r="K128" s="1">
        <v>48.95</v>
      </c>
      <c r="L128" s="1">
        <v>28.42</v>
      </c>
      <c r="M128" s="1">
        <v>35.65</v>
      </c>
      <c r="N128" s="1">
        <v>44</v>
      </c>
      <c r="O128" s="1">
        <v>22.69</v>
      </c>
      <c r="P128" s="1">
        <v>35.9</v>
      </c>
      <c r="Q128" s="1">
        <v>31.17</v>
      </c>
      <c r="R128" s="1">
        <v>47.36</v>
      </c>
      <c r="S128" s="1">
        <v>27.37</v>
      </c>
      <c r="T128" s="1"/>
      <c r="U128" s="1">
        <v>50.42</v>
      </c>
      <c r="V128" s="1">
        <v>60.43</v>
      </c>
      <c r="W128" s="1">
        <v>35.96</v>
      </c>
      <c r="X128" s="1"/>
      <c r="Y128" s="1"/>
      <c r="Z128" s="1">
        <v>45.7</v>
      </c>
    </row>
    <row r="129" spans="1:26">
      <c r="A129" s="26">
        <v>1990</v>
      </c>
      <c r="B129" s="1">
        <v>61.8</v>
      </c>
      <c r="C129" s="1">
        <v>41.3</v>
      </c>
      <c r="D129" s="1">
        <v>45.6</v>
      </c>
      <c r="E129" s="1">
        <v>59.5</v>
      </c>
      <c r="F129" s="1"/>
      <c r="G129" s="1">
        <v>19.8</v>
      </c>
      <c r="H129" s="1">
        <v>19</v>
      </c>
      <c r="I129" s="1">
        <v>21.55</v>
      </c>
      <c r="J129" s="1">
        <v>32.200000000000003</v>
      </c>
      <c r="K129" s="1">
        <v>49.3</v>
      </c>
      <c r="L129" s="1">
        <v>28.82</v>
      </c>
      <c r="M129" s="1">
        <v>36.090000000000003</v>
      </c>
      <c r="N129" s="1">
        <v>44.4</v>
      </c>
      <c r="O129" s="1">
        <v>22.7</v>
      </c>
      <c r="P129" s="1">
        <v>36.299999999999997</v>
      </c>
      <c r="Q129" s="1">
        <v>31.6</v>
      </c>
      <c r="R129" s="1">
        <v>48</v>
      </c>
      <c r="S129" s="1">
        <v>28</v>
      </c>
      <c r="T129" s="1"/>
      <c r="U129" s="1">
        <v>50.3</v>
      </c>
      <c r="V129" s="1">
        <v>60.8</v>
      </c>
      <c r="W129" s="1">
        <v>36.4</v>
      </c>
      <c r="X129" s="1"/>
      <c r="Y129" s="1"/>
      <c r="Z129" s="1"/>
    </row>
    <row r="130" spans="1:26">
      <c r="A130" s="26">
        <v>1991</v>
      </c>
      <c r="B130" s="1">
        <v>61.88</v>
      </c>
      <c r="C130" s="1">
        <v>41.73</v>
      </c>
      <c r="D130" s="1">
        <v>45.97</v>
      </c>
      <c r="E130" s="1">
        <v>59.54</v>
      </c>
      <c r="F130" s="1"/>
      <c r="G130" s="1">
        <v>20.48</v>
      </c>
      <c r="H130" s="1">
        <v>19.02</v>
      </c>
      <c r="I130" s="1">
        <v>21.79</v>
      </c>
      <c r="J130" s="1">
        <v>32.83</v>
      </c>
      <c r="K130" s="1">
        <v>49.73</v>
      </c>
      <c r="L130" s="1">
        <v>29.23</v>
      </c>
      <c r="M130" s="1">
        <v>36.54</v>
      </c>
      <c r="N130" s="1">
        <v>44.85</v>
      </c>
      <c r="O130" s="1">
        <v>22.69</v>
      </c>
      <c r="P130" s="1">
        <v>37.04</v>
      </c>
      <c r="Q130" s="1">
        <v>32</v>
      </c>
      <c r="R130" s="1">
        <v>48.61</v>
      </c>
      <c r="S130" s="1">
        <v>28.31</v>
      </c>
      <c r="T130" s="1"/>
      <c r="U130" s="1">
        <v>50.12</v>
      </c>
      <c r="V130" s="1">
        <v>61.13</v>
      </c>
      <c r="W130" s="1">
        <v>36.94</v>
      </c>
      <c r="X130" s="1"/>
      <c r="Y130" s="1"/>
      <c r="Z130" s="1"/>
    </row>
    <row r="131" spans="1:26">
      <c r="A131" s="26">
        <v>1992</v>
      </c>
      <c r="B131" s="1">
        <v>61.94</v>
      </c>
      <c r="C131" s="1">
        <v>42.11</v>
      </c>
      <c r="D131" s="1">
        <v>46.33</v>
      </c>
      <c r="E131" s="1">
        <v>59.65</v>
      </c>
      <c r="F131" s="1"/>
      <c r="G131" s="1">
        <v>21.18</v>
      </c>
      <c r="H131" s="1">
        <v>19.07</v>
      </c>
      <c r="I131" s="1">
        <v>22.03</v>
      </c>
      <c r="J131" s="1">
        <v>33.57</v>
      </c>
      <c r="K131" s="1">
        <v>50.25</v>
      </c>
      <c r="L131" s="1">
        <v>29.65</v>
      </c>
      <c r="M131" s="1">
        <v>36.97</v>
      </c>
      <c r="N131" s="1">
        <v>45.32</v>
      </c>
      <c r="O131" s="1">
        <v>22.66</v>
      </c>
      <c r="P131" s="1">
        <v>38.32</v>
      </c>
      <c r="Q131" s="1">
        <v>32.39</v>
      </c>
      <c r="R131" s="1">
        <v>49.19</v>
      </c>
      <c r="S131" s="1">
        <v>28.59</v>
      </c>
      <c r="T131" s="1"/>
      <c r="U131" s="1">
        <v>49.84</v>
      </c>
      <c r="V131" s="1">
        <v>61.41</v>
      </c>
      <c r="W131" s="1">
        <v>37.58</v>
      </c>
      <c r="X131" s="1"/>
      <c r="Y131" s="1"/>
      <c r="Z131" s="1"/>
    </row>
    <row r="132" spans="1:26">
      <c r="A132" s="26">
        <v>1993</v>
      </c>
      <c r="B132" s="1">
        <v>61.98</v>
      </c>
      <c r="C132" s="1">
        <v>42.45</v>
      </c>
      <c r="D132" s="1">
        <v>46.69</v>
      </c>
      <c r="E132" s="1">
        <v>59.83</v>
      </c>
      <c r="F132" s="1"/>
      <c r="G132" s="1">
        <v>21.9</v>
      </c>
      <c r="H132" s="1">
        <v>19.149999999999999</v>
      </c>
      <c r="I132" s="1">
        <v>22.27</v>
      </c>
      <c r="J132" s="1">
        <v>34.39</v>
      </c>
      <c r="K132" s="1">
        <v>50.84</v>
      </c>
      <c r="L132" s="1">
        <v>30.1</v>
      </c>
      <c r="M132" s="1">
        <v>37.39</v>
      </c>
      <c r="N132" s="1">
        <v>45.82</v>
      </c>
      <c r="O132" s="1">
        <v>22.6</v>
      </c>
      <c r="P132" s="1">
        <v>39.99</v>
      </c>
      <c r="Q132" s="1">
        <v>32.770000000000003</v>
      </c>
      <c r="R132" s="1">
        <v>49.75</v>
      </c>
      <c r="S132" s="1">
        <v>28.82</v>
      </c>
      <c r="T132" s="1"/>
      <c r="U132" s="1">
        <v>49.49</v>
      </c>
      <c r="V132" s="1">
        <v>61.66</v>
      </c>
      <c r="W132" s="1">
        <v>38.299999999999997</v>
      </c>
      <c r="X132" s="1"/>
      <c r="Y132" s="1"/>
      <c r="Z132" s="1"/>
    </row>
    <row r="133" spans="1:26">
      <c r="A133" s="26">
        <v>1994</v>
      </c>
      <c r="B133" s="1">
        <v>62.02</v>
      </c>
      <c r="C133" s="1">
        <v>42.77</v>
      </c>
      <c r="D133" s="1">
        <v>47.06</v>
      </c>
      <c r="E133" s="1">
        <v>60.05</v>
      </c>
      <c r="F133" s="1"/>
      <c r="G133" s="1">
        <v>22.64</v>
      </c>
      <c r="H133" s="1">
        <v>19.25</v>
      </c>
      <c r="I133" s="1">
        <v>22.53</v>
      </c>
      <c r="J133" s="1">
        <v>35.29</v>
      </c>
      <c r="K133" s="1">
        <v>51.45</v>
      </c>
      <c r="L133" s="1">
        <v>30.56</v>
      </c>
      <c r="M133" s="1">
        <v>37.799999999999997</v>
      </c>
      <c r="N133" s="1">
        <v>46.35</v>
      </c>
      <c r="O133" s="1">
        <v>22.53</v>
      </c>
      <c r="P133" s="1">
        <v>41.92</v>
      </c>
      <c r="Q133" s="1">
        <v>33.15</v>
      </c>
      <c r="R133" s="1">
        <v>50.3</v>
      </c>
      <c r="S133" s="1">
        <v>29.03</v>
      </c>
      <c r="T133" s="1"/>
      <c r="U133" s="1">
        <v>49.1</v>
      </c>
      <c r="V133" s="1">
        <v>61.89</v>
      </c>
      <c r="W133" s="1">
        <v>39.090000000000003</v>
      </c>
      <c r="X133" s="1"/>
      <c r="Y133" s="1"/>
      <c r="Z133" s="1"/>
    </row>
    <row r="134" spans="1:26">
      <c r="A134" s="26">
        <v>1995</v>
      </c>
      <c r="B134" s="1">
        <v>62.05</v>
      </c>
      <c r="C134" s="1">
        <v>43.07</v>
      </c>
      <c r="D134" s="1">
        <v>47.43</v>
      </c>
      <c r="E134" s="1">
        <v>60.3</v>
      </c>
      <c r="F134" s="1"/>
      <c r="G134" s="1">
        <v>23.38</v>
      </c>
      <c r="H134" s="1">
        <v>19.38</v>
      </c>
      <c r="I134" s="1">
        <v>22.79</v>
      </c>
      <c r="J134" s="1">
        <v>36.24</v>
      </c>
      <c r="K134" s="1">
        <v>52.06</v>
      </c>
      <c r="L134" s="1">
        <v>31.05</v>
      </c>
      <c r="M134" s="1">
        <v>38.18</v>
      </c>
      <c r="N134" s="1">
        <v>46.91</v>
      </c>
      <c r="O134" s="1">
        <v>22.45</v>
      </c>
      <c r="P134" s="1">
        <v>43.97</v>
      </c>
      <c r="Q134" s="1">
        <v>33.520000000000003</v>
      </c>
      <c r="R134" s="1">
        <v>50.84</v>
      </c>
      <c r="S134" s="1">
        <v>29.22</v>
      </c>
      <c r="T134" s="1"/>
      <c r="U134" s="1">
        <v>48.69</v>
      </c>
      <c r="V134" s="1">
        <v>62.12</v>
      </c>
      <c r="W134" s="1">
        <v>39.93</v>
      </c>
      <c r="X134" s="1"/>
      <c r="Y134" s="1"/>
      <c r="Z134" s="1"/>
    </row>
    <row r="135" spans="1:26">
      <c r="A135" s="26">
        <v>1996</v>
      </c>
      <c r="B135" s="1">
        <v>62.09</v>
      </c>
      <c r="C135" s="1">
        <v>43.38</v>
      </c>
      <c r="D135" s="1">
        <v>47.82</v>
      </c>
      <c r="E135" s="1">
        <v>60.57</v>
      </c>
      <c r="F135" s="1"/>
      <c r="G135" s="1">
        <v>24.13</v>
      </c>
      <c r="H135" s="1">
        <v>19.52</v>
      </c>
      <c r="I135" s="1">
        <v>23.06</v>
      </c>
      <c r="J135" s="1">
        <v>37.24</v>
      </c>
      <c r="K135" s="1">
        <v>52.64</v>
      </c>
      <c r="L135" s="1">
        <v>31.56</v>
      </c>
      <c r="M135" s="1">
        <v>38.520000000000003</v>
      </c>
      <c r="N135" s="1">
        <v>47.5</v>
      </c>
      <c r="O135" s="1">
        <v>22.35</v>
      </c>
      <c r="P135" s="1">
        <v>46</v>
      </c>
      <c r="Q135" s="1">
        <v>33.880000000000003</v>
      </c>
      <c r="R135" s="1">
        <v>51.37</v>
      </c>
      <c r="S135" s="1">
        <v>29.38</v>
      </c>
      <c r="T135" s="1"/>
      <c r="U135" s="1">
        <v>48.3</v>
      </c>
      <c r="V135" s="1">
        <v>62.35</v>
      </c>
      <c r="W135" s="1">
        <v>40.799999999999997</v>
      </c>
      <c r="X135" s="1"/>
      <c r="Y135" s="1"/>
      <c r="Z135" s="1"/>
    </row>
    <row r="136" spans="1:26">
      <c r="A136" s="26">
        <v>1997</v>
      </c>
      <c r="B136" s="1">
        <v>62.12</v>
      </c>
      <c r="C136" s="1">
        <v>43.7</v>
      </c>
      <c r="D136" s="1">
        <v>48.22</v>
      </c>
      <c r="E136" s="1">
        <v>60.85</v>
      </c>
      <c r="F136" s="1"/>
      <c r="G136" s="1">
        <v>24.89</v>
      </c>
      <c r="H136" s="1">
        <v>19.68</v>
      </c>
      <c r="I136" s="1">
        <v>23.35</v>
      </c>
      <c r="J136" s="1">
        <v>38.270000000000003</v>
      </c>
      <c r="K136" s="1">
        <v>53.14</v>
      </c>
      <c r="L136" s="1">
        <v>32.1</v>
      </c>
      <c r="M136" s="1">
        <v>38.83</v>
      </c>
      <c r="N136" s="1">
        <v>48.12</v>
      </c>
      <c r="O136" s="1">
        <v>22.25</v>
      </c>
      <c r="P136" s="1">
        <v>47.88</v>
      </c>
      <c r="Q136" s="1">
        <v>34.24</v>
      </c>
      <c r="R136" s="1">
        <v>51.89</v>
      </c>
      <c r="S136" s="1">
        <v>29.52</v>
      </c>
      <c r="T136" s="1"/>
      <c r="U136" s="1">
        <v>47.95</v>
      </c>
      <c r="V136" s="1">
        <v>62.6</v>
      </c>
      <c r="W136" s="1">
        <v>41.67</v>
      </c>
      <c r="X136" s="1"/>
      <c r="Y136" s="1"/>
      <c r="Z136" s="1"/>
    </row>
    <row r="137" spans="1:26">
      <c r="A137" s="26">
        <v>1998</v>
      </c>
      <c r="B137" s="1">
        <v>62.17</v>
      </c>
      <c r="C137" s="1">
        <v>44.06</v>
      </c>
      <c r="D137" s="1">
        <v>48.65</v>
      </c>
      <c r="E137" s="1">
        <v>61.13</v>
      </c>
      <c r="F137" s="1"/>
      <c r="G137" s="1">
        <v>25.66</v>
      </c>
      <c r="H137" s="1">
        <v>19.84</v>
      </c>
      <c r="I137" s="1">
        <v>23.65</v>
      </c>
      <c r="J137" s="1">
        <v>39.32</v>
      </c>
      <c r="K137" s="1">
        <v>53.54</v>
      </c>
      <c r="L137" s="1">
        <v>32.67</v>
      </c>
      <c r="M137" s="1">
        <v>39.1</v>
      </c>
      <c r="N137" s="1">
        <v>48.78</v>
      </c>
      <c r="O137" s="1">
        <v>22.14</v>
      </c>
      <c r="P137" s="1">
        <v>49.46</v>
      </c>
      <c r="Q137" s="1">
        <v>34.590000000000003</v>
      </c>
      <c r="R137" s="1">
        <v>52.42</v>
      </c>
      <c r="S137" s="1">
        <v>29.66</v>
      </c>
      <c r="T137" s="1"/>
      <c r="U137" s="1">
        <v>47.66</v>
      </c>
      <c r="V137" s="1">
        <v>62.88</v>
      </c>
      <c r="W137" s="1">
        <v>42.55</v>
      </c>
      <c r="X137" s="1"/>
      <c r="Y137" s="1"/>
      <c r="Z137" s="1"/>
    </row>
    <row r="138" spans="1:26">
      <c r="A138" s="26">
        <v>1999</v>
      </c>
      <c r="B138" s="1">
        <v>62.23</v>
      </c>
      <c r="C138" s="1">
        <v>44.45</v>
      </c>
      <c r="D138" s="1">
        <v>49.11</v>
      </c>
      <c r="E138" s="1">
        <v>61.38</v>
      </c>
      <c r="F138" s="1"/>
      <c r="G138" s="1">
        <v>26.43</v>
      </c>
      <c r="H138" s="1">
        <v>20.02</v>
      </c>
      <c r="I138" s="1">
        <v>23.97</v>
      </c>
      <c r="J138" s="1">
        <v>40.369999999999997</v>
      </c>
      <c r="K138" s="1">
        <v>53.8</v>
      </c>
      <c r="L138" s="1">
        <v>33.270000000000003</v>
      </c>
      <c r="M138" s="1">
        <v>39.33</v>
      </c>
      <c r="N138" s="1">
        <v>49.47</v>
      </c>
      <c r="O138" s="1">
        <v>22.02</v>
      </c>
      <c r="P138" s="1">
        <v>50.61</v>
      </c>
      <c r="Q138" s="1">
        <v>34.950000000000003</v>
      </c>
      <c r="R138" s="1">
        <v>52.96</v>
      </c>
      <c r="S138" s="1">
        <v>29.78</v>
      </c>
      <c r="T138" s="1"/>
      <c r="U138" s="1">
        <v>47.47</v>
      </c>
      <c r="V138" s="1">
        <v>63.21</v>
      </c>
      <c r="W138" s="1">
        <v>43.39</v>
      </c>
      <c r="X138" s="1"/>
      <c r="Y138" s="1"/>
      <c r="Z138" s="1"/>
    </row>
    <row r="139" spans="1:26">
      <c r="A139" s="26">
        <v>2000</v>
      </c>
      <c r="B139" s="1">
        <v>62.3</v>
      </c>
      <c r="C139" s="1">
        <v>44.9</v>
      </c>
      <c r="D139" s="1">
        <v>49.6</v>
      </c>
      <c r="E139" s="1">
        <v>61.6</v>
      </c>
      <c r="F139" s="1"/>
      <c r="G139" s="1">
        <v>27.2</v>
      </c>
      <c r="H139" s="1">
        <v>20.2</v>
      </c>
      <c r="I139" s="1">
        <v>24.3</v>
      </c>
      <c r="J139" s="1">
        <v>41.4</v>
      </c>
      <c r="K139" s="1">
        <v>53.9</v>
      </c>
      <c r="L139" s="1">
        <v>33.9</v>
      </c>
      <c r="M139" s="1">
        <v>39.5</v>
      </c>
      <c r="N139" s="1">
        <v>50.2</v>
      </c>
      <c r="O139" s="1">
        <v>21.9</v>
      </c>
      <c r="P139" s="1">
        <v>51.2</v>
      </c>
      <c r="Q139" s="1">
        <v>35.299999999999997</v>
      </c>
      <c r="R139" s="1">
        <v>53.5</v>
      </c>
      <c r="S139" s="1">
        <v>29.9</v>
      </c>
      <c r="T139" s="1"/>
      <c r="U139" s="1">
        <v>47.4</v>
      </c>
      <c r="V139" s="1">
        <v>63.6</v>
      </c>
      <c r="W139" s="1">
        <v>44.2</v>
      </c>
      <c r="X139" s="1"/>
      <c r="Y139" s="1"/>
      <c r="Z139" s="1"/>
    </row>
    <row r="140" spans="1:26">
      <c r="A140" s="26">
        <v>2001</v>
      </c>
      <c r="B140" s="1">
        <v>62.41</v>
      </c>
      <c r="C140" s="1">
        <v>45.42</v>
      </c>
      <c r="D140" s="1">
        <v>50.14</v>
      </c>
      <c r="E140" s="1">
        <v>61.8</v>
      </c>
      <c r="F140" s="1"/>
      <c r="G140" s="1"/>
      <c r="H140" s="1"/>
      <c r="I140" s="1">
        <v>24.67</v>
      </c>
      <c r="J140" s="1">
        <v>42.44</v>
      </c>
      <c r="K140" s="1">
        <v>53.9</v>
      </c>
      <c r="L140" s="1">
        <v>34.64</v>
      </c>
      <c r="M140" s="1">
        <v>39.64</v>
      </c>
      <c r="N140" s="1">
        <v>50.99</v>
      </c>
      <c r="O140" s="1"/>
      <c r="P140" s="1">
        <v>51.44</v>
      </c>
      <c r="Q140" s="1"/>
      <c r="R140" s="1">
        <v>54.05</v>
      </c>
      <c r="S140" s="1"/>
      <c r="T140" s="1"/>
      <c r="U140" s="1">
        <v>47.5</v>
      </c>
      <c r="V140" s="1">
        <v>64.09</v>
      </c>
      <c r="W140" s="1">
        <v>44.98</v>
      </c>
      <c r="X140" s="1"/>
      <c r="Y140" s="1"/>
      <c r="Z140" s="1"/>
    </row>
    <row r="141" spans="1:26">
      <c r="A141" s="26">
        <v>2002</v>
      </c>
      <c r="B141" s="1">
        <v>62.55</v>
      </c>
      <c r="C141" s="1">
        <v>46</v>
      </c>
      <c r="D141" s="1">
        <v>50.73</v>
      </c>
      <c r="E141" s="1">
        <v>61.99</v>
      </c>
      <c r="F141" s="1"/>
      <c r="G141" s="1"/>
      <c r="H141" s="1"/>
      <c r="I141" s="1">
        <v>25.07</v>
      </c>
      <c r="J141" s="1">
        <v>43.52</v>
      </c>
      <c r="K141" s="1">
        <v>53.9</v>
      </c>
      <c r="L141" s="1">
        <v>35.54</v>
      </c>
      <c r="M141" s="1">
        <v>39.76</v>
      </c>
      <c r="N141" s="1">
        <v>51.86</v>
      </c>
      <c r="O141" s="1"/>
      <c r="P141" s="1">
        <v>51.65</v>
      </c>
      <c r="Q141" s="1"/>
      <c r="R141" s="1">
        <v>54.6</v>
      </c>
      <c r="S141" s="1"/>
      <c r="T141" s="1"/>
      <c r="U141" s="1">
        <v>47.77</v>
      </c>
      <c r="V141" s="1">
        <v>64.709999999999994</v>
      </c>
      <c r="W141" s="1">
        <v>45.76</v>
      </c>
      <c r="X141" s="1"/>
      <c r="Y141" s="1"/>
      <c r="Z141" s="1"/>
    </row>
    <row r="142" spans="1:26">
      <c r="A142" s="26">
        <v>2003</v>
      </c>
      <c r="B142" s="1">
        <v>62.74</v>
      </c>
      <c r="C142" s="1">
        <v>46.65</v>
      </c>
      <c r="D142" s="1">
        <v>51.36</v>
      </c>
      <c r="E142" s="1">
        <v>62.19</v>
      </c>
      <c r="F142" s="1"/>
      <c r="G142" s="1"/>
      <c r="H142" s="1"/>
      <c r="I142" s="1">
        <v>25.52</v>
      </c>
      <c r="J142" s="1">
        <v>44.62</v>
      </c>
      <c r="K142" s="1">
        <v>53.9</v>
      </c>
      <c r="L142" s="1">
        <v>36.58</v>
      </c>
      <c r="M142" s="1">
        <v>39.869999999999997</v>
      </c>
      <c r="N142" s="1">
        <v>52.81</v>
      </c>
      <c r="O142" s="1"/>
      <c r="P142" s="1">
        <v>51.83</v>
      </c>
      <c r="Q142" s="1"/>
      <c r="R142" s="1">
        <v>55.15</v>
      </c>
      <c r="S142" s="1"/>
      <c r="T142" s="1"/>
      <c r="U142" s="1">
        <v>48.2</v>
      </c>
      <c r="V142" s="1">
        <v>65.44</v>
      </c>
      <c r="W142" s="1">
        <v>46.54</v>
      </c>
      <c r="X142" s="1"/>
      <c r="Y142" s="1"/>
      <c r="Z142" s="1"/>
    </row>
    <row r="143" spans="1:26">
      <c r="A143" s="26">
        <v>2004</v>
      </c>
      <c r="B143" s="1">
        <v>62.96</v>
      </c>
      <c r="C143" s="1">
        <v>47.34</v>
      </c>
      <c r="D143" s="1">
        <v>52.03</v>
      </c>
      <c r="E143" s="1">
        <v>62.38</v>
      </c>
      <c r="F143" s="1"/>
      <c r="G143" s="1"/>
      <c r="H143" s="1"/>
      <c r="I143" s="1">
        <v>26</v>
      </c>
      <c r="J143" s="1">
        <v>45.75</v>
      </c>
      <c r="K143" s="1">
        <v>53.9</v>
      </c>
      <c r="L143" s="1">
        <v>37.75</v>
      </c>
      <c r="M143" s="1">
        <v>39.96</v>
      </c>
      <c r="N143" s="1">
        <v>53.82</v>
      </c>
      <c r="O143" s="1"/>
      <c r="P143" s="1">
        <v>51.98</v>
      </c>
      <c r="Q143" s="1"/>
      <c r="R143" s="1">
        <v>55.7</v>
      </c>
      <c r="S143" s="1"/>
      <c r="T143" s="1"/>
      <c r="U143" s="1">
        <v>48.77</v>
      </c>
      <c r="V143" s="1">
        <v>66.27</v>
      </c>
      <c r="W143" s="1">
        <v>47.32</v>
      </c>
      <c r="X143" s="1"/>
      <c r="Y143" s="1"/>
      <c r="Z143" s="1"/>
    </row>
    <row r="144" spans="1:26">
      <c r="A144" s="26">
        <v>2005</v>
      </c>
      <c r="B144" s="1">
        <v>63.21</v>
      </c>
      <c r="C144" s="1">
        <v>48.09</v>
      </c>
      <c r="D144" s="1">
        <v>52.74</v>
      </c>
      <c r="E144" s="1">
        <v>62.57</v>
      </c>
      <c r="F144" s="1"/>
      <c r="G144" s="1"/>
      <c r="H144" s="1"/>
      <c r="I144" s="1">
        <v>26.5</v>
      </c>
      <c r="J144" s="1">
        <v>46.91</v>
      </c>
      <c r="K144" s="1">
        <v>53.9</v>
      </c>
      <c r="L144" s="1">
        <v>39.03</v>
      </c>
      <c r="M144" s="1">
        <v>40.049999999999997</v>
      </c>
      <c r="N144" s="1">
        <v>54.88</v>
      </c>
      <c r="O144" s="1"/>
      <c r="P144" s="1">
        <v>52.12</v>
      </c>
      <c r="Q144" s="1"/>
      <c r="R144" s="1">
        <v>56.25</v>
      </c>
      <c r="S144" s="1"/>
      <c r="T144" s="1"/>
      <c r="U144" s="1">
        <v>49.46</v>
      </c>
      <c r="V144" s="1">
        <v>67.180000000000007</v>
      </c>
      <c r="W144" s="1">
        <v>48.1</v>
      </c>
      <c r="X144" s="1"/>
      <c r="Y144" s="1"/>
      <c r="Z144" s="1"/>
    </row>
    <row r="145" spans="1:26">
      <c r="A145" s="26">
        <v>2006</v>
      </c>
      <c r="B145" s="1">
        <v>63.48</v>
      </c>
      <c r="C145" s="1">
        <v>48.86</v>
      </c>
      <c r="D145" s="1">
        <v>53.48</v>
      </c>
      <c r="E145" s="1">
        <v>62.76</v>
      </c>
      <c r="F145" s="1"/>
      <c r="G145" s="1"/>
      <c r="H145" s="1"/>
      <c r="I145" s="1">
        <v>27.03</v>
      </c>
      <c r="J145" s="1">
        <v>48.09</v>
      </c>
      <c r="K145" s="1">
        <v>53.9</v>
      </c>
      <c r="L145" s="1">
        <v>40.39</v>
      </c>
      <c r="M145" s="1">
        <v>40.130000000000003</v>
      </c>
      <c r="N145" s="1">
        <v>55.99</v>
      </c>
      <c r="O145" s="1"/>
      <c r="P145" s="1">
        <v>52.23</v>
      </c>
      <c r="Q145" s="1"/>
      <c r="R145" s="1">
        <v>56.8</v>
      </c>
      <c r="S145" s="1"/>
      <c r="T145" s="1"/>
      <c r="U145" s="1">
        <v>50.25</v>
      </c>
      <c r="V145" s="1">
        <v>68.16</v>
      </c>
      <c r="W145" s="1">
        <v>48.88</v>
      </c>
      <c r="X145" s="1"/>
      <c r="Y145" s="1"/>
      <c r="Z145" s="1"/>
    </row>
    <row r="146" spans="1:26">
      <c r="A146" s="26">
        <v>2007</v>
      </c>
      <c r="B146" s="1">
        <v>63.77</v>
      </c>
      <c r="C146" s="1">
        <v>49.67</v>
      </c>
      <c r="D146" s="1">
        <v>54.24</v>
      </c>
      <c r="E146" s="1">
        <v>62.94</v>
      </c>
      <c r="F146" s="1"/>
      <c r="G146" s="1"/>
      <c r="H146" s="1"/>
      <c r="I146" s="1">
        <v>27.58</v>
      </c>
      <c r="J146" s="1">
        <v>49.28</v>
      </c>
      <c r="K146" s="1">
        <v>53.9</v>
      </c>
      <c r="L146" s="1">
        <v>41.83</v>
      </c>
      <c r="M146" s="1">
        <v>40.200000000000003</v>
      </c>
      <c r="N146" s="1">
        <v>57.14</v>
      </c>
      <c r="O146" s="1"/>
      <c r="P146" s="1">
        <v>52.34</v>
      </c>
      <c r="Q146" s="1"/>
      <c r="R146" s="1">
        <v>57.35</v>
      </c>
      <c r="S146" s="1"/>
      <c r="T146" s="1"/>
      <c r="U146" s="1">
        <v>51.12</v>
      </c>
      <c r="V146" s="1">
        <v>69.2</v>
      </c>
      <c r="W146" s="1">
        <v>49.66</v>
      </c>
      <c r="X146" s="1"/>
      <c r="Y146" s="1"/>
      <c r="Z146" s="1"/>
    </row>
    <row r="147" spans="1:26">
      <c r="A147" s="26">
        <v>2008</v>
      </c>
      <c r="B147" s="1">
        <v>64.069999999999993</v>
      </c>
      <c r="C147" s="1">
        <v>50.5</v>
      </c>
      <c r="D147" s="1">
        <v>55.02</v>
      </c>
      <c r="E147" s="1">
        <v>63.13</v>
      </c>
      <c r="F147" s="1"/>
      <c r="G147" s="1"/>
      <c r="H147" s="1"/>
      <c r="I147" s="1">
        <v>28.15</v>
      </c>
      <c r="J147" s="1">
        <v>50.48</v>
      </c>
      <c r="K147" s="1">
        <v>53.9</v>
      </c>
      <c r="L147" s="1">
        <v>43.32</v>
      </c>
      <c r="M147" s="1">
        <v>40.270000000000003</v>
      </c>
      <c r="N147" s="1">
        <v>58.31</v>
      </c>
      <c r="O147" s="1"/>
      <c r="P147" s="1">
        <v>52.43</v>
      </c>
      <c r="Q147" s="1"/>
      <c r="R147" s="1">
        <v>57.9</v>
      </c>
      <c r="S147" s="1"/>
      <c r="T147" s="1"/>
      <c r="U147" s="1">
        <v>52.05</v>
      </c>
      <c r="V147" s="1">
        <v>70.27</v>
      </c>
      <c r="W147" s="1">
        <v>50.44</v>
      </c>
      <c r="X147" s="1"/>
      <c r="Y147" s="1"/>
      <c r="Z147" s="1"/>
    </row>
    <row r="148" spans="1:26">
      <c r="A148" s="26">
        <v>2009</v>
      </c>
      <c r="B148" s="1">
        <v>64.38</v>
      </c>
      <c r="C148" s="1">
        <v>51.35</v>
      </c>
      <c r="D148" s="1">
        <v>55.81</v>
      </c>
      <c r="E148" s="1">
        <v>63.31</v>
      </c>
      <c r="F148" s="1"/>
      <c r="G148" s="1"/>
      <c r="H148" s="1"/>
      <c r="I148" s="1">
        <v>28.72</v>
      </c>
      <c r="J148" s="1">
        <v>51.69</v>
      </c>
      <c r="K148" s="1">
        <v>53.9</v>
      </c>
      <c r="L148" s="1">
        <v>44.85</v>
      </c>
      <c r="M148" s="1">
        <v>40.340000000000003</v>
      </c>
      <c r="N148" s="1">
        <v>59.5</v>
      </c>
      <c r="O148" s="1"/>
      <c r="P148" s="1">
        <v>52.52</v>
      </c>
      <c r="Q148" s="1"/>
      <c r="R148" s="1">
        <v>58.45</v>
      </c>
      <c r="S148" s="1"/>
      <c r="T148" s="1"/>
      <c r="U148" s="1">
        <v>53.01</v>
      </c>
      <c r="V148" s="1">
        <v>71.38</v>
      </c>
      <c r="W148" s="1">
        <v>51.22</v>
      </c>
      <c r="X148" s="1"/>
      <c r="Y148" s="1"/>
      <c r="Z148" s="1"/>
    </row>
    <row r="149" spans="1:26">
      <c r="A149" s="26">
        <v>2010</v>
      </c>
      <c r="B149" s="1">
        <v>64.7</v>
      </c>
      <c r="C149" s="1">
        <v>52.2</v>
      </c>
      <c r="D149" s="1">
        <v>56.6</v>
      </c>
      <c r="E149" s="1">
        <v>63.5</v>
      </c>
      <c r="F149" s="1"/>
      <c r="G149" s="1"/>
      <c r="H149" s="1"/>
      <c r="I149" s="1">
        <v>29.3</v>
      </c>
      <c r="J149" s="1">
        <v>52.9</v>
      </c>
      <c r="K149" s="1">
        <v>53.9</v>
      </c>
      <c r="L149" s="1">
        <v>46.4</v>
      </c>
      <c r="M149" s="1">
        <v>40.4</v>
      </c>
      <c r="N149" s="1">
        <v>60.7</v>
      </c>
      <c r="O149" s="1"/>
      <c r="P149" s="1">
        <v>52.6</v>
      </c>
      <c r="Q149" s="1"/>
      <c r="R149" s="1">
        <v>59</v>
      </c>
      <c r="S149" s="1"/>
      <c r="T149" s="1"/>
      <c r="U149" s="1">
        <v>54</v>
      </c>
      <c r="V149" s="1">
        <v>72.5</v>
      </c>
      <c r="W149" s="1">
        <v>52</v>
      </c>
      <c r="X149" s="1"/>
      <c r="Y149" s="1"/>
      <c r="Z149" s="1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Notes</vt:lpstr>
      <vt:lpstr>Data-1</vt:lpstr>
      <vt:lpstr>Data-2</vt:lpstr>
      <vt:lpstr>Data-3</vt:lpstr>
      <vt:lpstr>Data-4</vt:lpstr>
      <vt:lpstr>Data-5</vt:lpstr>
      <vt:lpstr>Data-6</vt:lpstr>
      <vt:lpstr>Data-7</vt:lpstr>
      <vt:lpstr>Data-8</vt:lpstr>
      <vt:lpstr>Сводка-все</vt:lpstr>
      <vt:lpstr>Все-адм</vt:lpstr>
      <vt:lpstr>Все-2K</vt:lpstr>
      <vt:lpstr>Все-20K</vt:lpstr>
      <vt:lpstr>Все-100K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2026-06-14T23:02:20Z</dcterms:created>
  <dcterms:modified xsi:type="dcterms:W3CDTF">2026-06-17T18:03:47Z</dcterms:modified>
</cp:coreProperties>
</file>