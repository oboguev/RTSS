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802ED2EB-8FAA-4136-AF4A-7EFD45E3E00F}" xr6:coauthVersionLast="47" xr6:coauthVersionMax="47" xr10:uidLastSave="{00000000-0000-0000-0000-000000000000}"/>
  <bookViews>
    <workbookView xWindow="57480" yWindow="-120" windowWidth="51840" windowHeight="21120" activeTab="9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UR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6" i="11" l="1"/>
  <c r="O35" i="11"/>
  <c r="M38" i="11"/>
  <c r="O38" i="11" s="1"/>
  <c r="M37" i="11"/>
  <c r="O37" i="11" s="1"/>
  <c r="M36" i="11"/>
  <c r="M35" i="11"/>
  <c r="M34" i="11"/>
  <c r="O34" i="11" s="1"/>
  <c r="M32" i="11"/>
  <c r="O32" i="11" s="1"/>
  <c r="M31" i="11"/>
  <c r="O31" i="11" s="1"/>
  <c r="M30" i="11"/>
  <c r="O30" i="11" s="1"/>
  <c r="L38" i="11"/>
  <c r="N38" i="11" s="1"/>
  <c r="L37" i="11"/>
  <c r="N37" i="11" s="1"/>
  <c r="L36" i="11"/>
  <c r="N36" i="11" s="1"/>
  <c r="L35" i="11"/>
  <c r="N35" i="11" s="1"/>
  <c r="L34" i="11"/>
  <c r="N34" i="11" s="1"/>
  <c r="L32" i="11"/>
  <c r="N32" i="11" s="1"/>
  <c r="L31" i="11"/>
  <c r="N31" i="11" s="1"/>
  <c r="L30" i="11"/>
  <c r="N30" i="11" s="1"/>
  <c r="L28" i="11"/>
  <c r="N28" i="11" s="1"/>
  <c r="L27" i="11"/>
  <c r="N27" i="11" s="1"/>
  <c r="L26" i="11"/>
  <c r="N26" i="11" s="1"/>
  <c r="L25" i="11"/>
  <c r="N25" i="11" s="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L10" i="3"/>
  <c r="L9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M10" i="3" s="1"/>
  <c r="J9" i="3"/>
  <c r="M9" i="3" s="1"/>
  <c r="J22" i="3"/>
  <c r="M22" i="3" s="1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<sst xmlns="http://schemas.openxmlformats.org/spreadsheetml/2006/main" count="665" uniqueCount="112">
  <si>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</si>
  <si>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</si>
  <si>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</si>
  <si>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</si>
  <si>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</si>
  <si>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</si>
  <si>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</si>
  <si>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</si>
  <si>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</si>
  <si>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</si>
  <si>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</si>
  <si>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</si>
  <si>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</si>
  <si>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</si>
  <si>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</si>
  <si>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</si>
  <si>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</si>
  <si>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</si>
  <si>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</si>
  <si>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</si>
  <si>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</si>
  <si>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</si>
  <si>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</si>
  <si>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</si>
  <si>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</si>
  <si>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</si>
  <si>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</si>
  <si>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</si>
  <si>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</si>
  <si>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</si>
  <si>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</si>
  <si>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</si>
  <si>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</si>
  <si>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</si>
  <si>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</si>
  <si>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</si>
  <si>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</si>
  <si>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</si>
  <si>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</si>
  <si>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</si>
  <si>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</si>
  <si>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</si>
  <si>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</si>
  <si>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</si>
  <si>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</si>
  <si>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</si>
  <si>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</si>
  <si>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</si>
  <si>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</si>
  <si>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</si>
  <si>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</si>
  <si>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</si>
  <si>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</si>
  <si>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</si>
  <si>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</si>
  <si>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</si>
  <si>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</si>
  <si>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</si>
  <si>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</si>
  <si>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</si>
  <si>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</si>
  <si>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</si>
  <si>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</si>
  <si>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</si>
  <si>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</si>
  <si>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</si>
  <si>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Городское населление по переписям</t>
  </si>
  <si>
    <t>Аргентинна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</si>
  <si>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</si>
  <si>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</si>
  <si>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</si>
  <si>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</si>
  <si>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</si>
  <si>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</si>
  <si>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</si>
  <si>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</si>
  <si>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</si>
  <si>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</si>
  <si>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</si>
  <si>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</si>
  <si>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</si>
  <si>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</si>
  <si>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</si>
  <si>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</si>
  <si>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</si>
  <si>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</si>
  <si>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</si>
  <si>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</si>
  <si>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</si>
  <si>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</si>
  <si>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</si>
  <si>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</si>
  <si>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</si>
  <si>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</si>
  <si>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</si>
  <si>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</si>
  <si>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</si>
  <si>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</si>
  <si>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</si>
  <si>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</si>
  <si>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</si>
  <si>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</si>
  <si>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</si>
  <si>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</si>
  <si>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</si>
  <si>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</si>
  <si>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</si>
  <si>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</si>
  <si>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</si>
  <si>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</si>
  <si>
    <t>Для СССР и РСФСР см. urbanization.xlsx</t>
  </si>
  <si>
    <t>РСФСР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</si>
</sst>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27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1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Border="1" applyAlignment="1">
      <alignment horizontal="center"/>
    </xf>
    <xf numFmtId="164" fontId="10" fillId="0" borderId="0" xfId="0" applyNumberFormat="1" applyFont="1"/>
    <xf numFmtId="0" fontId="8" fillId="0" borderId="0" xfId="0" applyFont="1" applyAlignment="1">
      <alignment horizontal="right"/>
    </xf>
    <xf numFmtId="0" fontId="1" fillId="2" borderId="0" xfId="0" applyFont="1" applyFill="1" applyAlignment="1">
      <alignment horizontal="center"/>
    </xf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A2"/>
  <sheetViews>
    <sheetView workbookViewId="0">
      <selection activeCell="A2" sqref="A2"/>
    </sheetView>
  </sheetViews>
  <sheetFormatPr defaultRowHeight="14.4" x14ac:dyDescent="0.55000000000000004"/>
  <sheetData>
    <row r="1" spans="1:1" x14ac:dyDescent="0.55000000000000004">
      <c r="A1" t="s">
        <v>110</v>
      </c>
    </row>
    <row r="2" spans="1:1" x14ac:dyDescent="0.55000000000000004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workbookViewId="0">
      <selection activeCell="A96" sqref="A96"/>
    </sheetView>
  </sheetViews>
  <sheetFormatPr defaultRowHeight="14.4" x14ac:dyDescent="0.55000000000000004"/>
  <cols>
    <col min="1" max="1" width="31.3671875" customWidth="1"/>
  </cols>
  <sheetData>
    <row r="1" spans="1:7" x14ac:dyDescent="0.55000000000000004">
      <c r="A1" s="11" t="s">
        <v>85</v>
      </c>
    </row>
    <row r="2" spans="1:7" x14ac:dyDescent="0.55000000000000004">
      <c r="A2" t="s">
        <v>0</v>
      </c>
    </row>
    <row r="4" spans="1:7" x14ac:dyDescent="0.55000000000000004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 x14ac:dyDescent="0.55000000000000004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 x14ac:dyDescent="0.55000000000000004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 x14ac:dyDescent="0.55000000000000004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 x14ac:dyDescent="0.55000000000000004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 x14ac:dyDescent="0.55000000000000004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 x14ac:dyDescent="0.55000000000000004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 x14ac:dyDescent="0.55000000000000004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 x14ac:dyDescent="0.55000000000000004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 x14ac:dyDescent="0.55000000000000004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 x14ac:dyDescent="0.55000000000000004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 x14ac:dyDescent="0.55000000000000004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 x14ac:dyDescent="0.55000000000000004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 x14ac:dyDescent="0.55000000000000004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 x14ac:dyDescent="0.55000000000000004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 x14ac:dyDescent="0.55000000000000004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 x14ac:dyDescent="0.55000000000000004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 x14ac:dyDescent="0.55000000000000004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 x14ac:dyDescent="0.55000000000000004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 x14ac:dyDescent="0.55000000000000004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 x14ac:dyDescent="0.55000000000000004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 x14ac:dyDescent="0.55000000000000004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 x14ac:dyDescent="0.55000000000000004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 x14ac:dyDescent="0.55000000000000004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 x14ac:dyDescent="0.55000000000000004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 x14ac:dyDescent="0.55000000000000004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x14ac:dyDescent="0.55000000000000004">
      <c r="A31" s="11" t="s">
        <v>39</v>
      </c>
    </row>
    <row r="32" spans="1:7" x14ac:dyDescent="0.55000000000000004">
      <c r="A32" t="s">
        <v>1</v>
      </c>
    </row>
    <row r="34" spans="1:7" x14ac:dyDescent="0.55000000000000004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 x14ac:dyDescent="0.55000000000000004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 x14ac:dyDescent="0.55000000000000004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 x14ac:dyDescent="0.55000000000000004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 x14ac:dyDescent="0.55000000000000004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 x14ac:dyDescent="0.55000000000000004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 x14ac:dyDescent="0.55000000000000004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 x14ac:dyDescent="0.55000000000000004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 x14ac:dyDescent="0.55000000000000004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 x14ac:dyDescent="0.55000000000000004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 x14ac:dyDescent="0.55000000000000004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 x14ac:dyDescent="0.55000000000000004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 x14ac:dyDescent="0.55000000000000004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 x14ac:dyDescent="0.55000000000000004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 x14ac:dyDescent="0.55000000000000004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 x14ac:dyDescent="0.55000000000000004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 x14ac:dyDescent="0.55000000000000004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 x14ac:dyDescent="0.55000000000000004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 x14ac:dyDescent="0.55000000000000004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 x14ac:dyDescent="0.55000000000000004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 x14ac:dyDescent="0.55000000000000004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 x14ac:dyDescent="0.55000000000000004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 x14ac:dyDescent="0.55000000000000004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 x14ac:dyDescent="0.55000000000000004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 x14ac:dyDescent="0.55000000000000004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 x14ac:dyDescent="0.55000000000000004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x14ac:dyDescent="0.55000000000000004">
      <c r="A61" s="11" t="s">
        <v>40</v>
      </c>
    </row>
    <row r="62" spans="1:15" x14ac:dyDescent="0.55000000000000004">
      <c r="A62" t="s">
        <v>2</v>
      </c>
    </row>
    <row r="63" spans="1:15" x14ac:dyDescent="0.55000000000000004">
      <c r="A63" t="s">
        <v>4</v>
      </c>
    </row>
    <row r="64" spans="1:15" x14ac:dyDescent="0.55000000000000004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55000000000000004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x14ac:dyDescent="0.55000000000000004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x14ac:dyDescent="0.55000000000000004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x14ac:dyDescent="0.55000000000000004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x14ac:dyDescent="0.55000000000000004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x14ac:dyDescent="0.55000000000000004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x14ac:dyDescent="0.55000000000000004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x14ac:dyDescent="0.55000000000000004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x14ac:dyDescent="0.55000000000000004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x14ac:dyDescent="0.55000000000000004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x14ac:dyDescent="0.55000000000000004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x14ac:dyDescent="0.55000000000000004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x14ac:dyDescent="0.55000000000000004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x14ac:dyDescent="0.55000000000000004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x14ac:dyDescent="0.55000000000000004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x14ac:dyDescent="0.55000000000000004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x14ac:dyDescent="0.55000000000000004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x14ac:dyDescent="0.55000000000000004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x14ac:dyDescent="0.55000000000000004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x14ac:dyDescent="0.55000000000000004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x14ac:dyDescent="0.55000000000000004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x14ac:dyDescent="0.55000000000000004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x14ac:dyDescent="0.55000000000000004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x14ac:dyDescent="0.55000000000000004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x14ac:dyDescent="0.55000000000000004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x14ac:dyDescent="0.55000000000000004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x14ac:dyDescent="0.55000000000000004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x14ac:dyDescent="0.55000000000000004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x14ac:dyDescent="0.55000000000000004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x14ac:dyDescent="0.55000000000000004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x14ac:dyDescent="0.55000000000000004">
      <c r="A96" s="11" t="s">
        <v>41</v>
      </c>
    </row>
    <row r="97" spans="1:8" x14ac:dyDescent="0.55000000000000004">
      <c r="A97" t="s">
        <v>5</v>
      </c>
    </row>
    <row r="99" spans="1:8" x14ac:dyDescent="0.55000000000000004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x14ac:dyDescent="0.55000000000000004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x14ac:dyDescent="0.55000000000000004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x14ac:dyDescent="0.55000000000000004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x14ac:dyDescent="0.55000000000000004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x14ac:dyDescent="0.55000000000000004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x14ac:dyDescent="0.55000000000000004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x14ac:dyDescent="0.55000000000000004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x14ac:dyDescent="0.55000000000000004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x14ac:dyDescent="0.55000000000000004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x14ac:dyDescent="0.55000000000000004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x14ac:dyDescent="0.55000000000000004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x14ac:dyDescent="0.55000000000000004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x14ac:dyDescent="0.55000000000000004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x14ac:dyDescent="0.55000000000000004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x14ac:dyDescent="0.55000000000000004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x14ac:dyDescent="0.55000000000000004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x14ac:dyDescent="0.55000000000000004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x14ac:dyDescent="0.55000000000000004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x14ac:dyDescent="0.55000000000000004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x14ac:dyDescent="0.55000000000000004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x14ac:dyDescent="0.55000000000000004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x14ac:dyDescent="0.55000000000000004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x14ac:dyDescent="0.55000000000000004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x14ac:dyDescent="0.55000000000000004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/>
  </sheetViews>
  <sheetFormatPr defaultRowHeight="14.4" x14ac:dyDescent="0.55000000000000004"/>
  <cols>
    <col min="1" max="1" width="25" bestFit="1" customWidth="1"/>
    <col min="2" max="2" width="4.62890625" bestFit="1" customWidth="1"/>
    <col min="3" max="3" width="13.47265625" bestFit="1" customWidth="1"/>
    <col min="4" max="4" width="9.3671875" bestFit="1" customWidth="1"/>
    <col min="5" max="6" width="7.26171875" bestFit="1" customWidth="1"/>
    <col min="7" max="7" width="8.734375" bestFit="1" customWidth="1"/>
    <col min="8" max="8" width="8.26171875" bestFit="1" customWidth="1"/>
    <col min="9" max="9" width="11.26171875" bestFit="1" customWidth="1"/>
    <col min="10" max="10" width="10.3671875" bestFit="1" customWidth="1"/>
    <col min="12" max="12" width="9" bestFit="1" customWidth="1"/>
    <col min="13" max="13" width="9.62890625" bestFit="1" customWidth="1"/>
  </cols>
  <sheetData>
    <row r="1" spans="1:13" x14ac:dyDescent="0.55000000000000004">
      <c r="A1" s="11" t="s">
        <v>58</v>
      </c>
    </row>
    <row r="2" spans="1:13" x14ac:dyDescent="0.55000000000000004">
      <c r="A2" t="s">
        <v>57</v>
      </c>
    </row>
    <row r="4" spans="1:13" x14ac:dyDescent="0.55000000000000004">
      <c r="D4" s="26" t="s">
        <v>55</v>
      </c>
      <c r="E4" s="26"/>
      <c r="F4" s="26"/>
      <c r="G4" s="26"/>
      <c r="H4" s="26"/>
      <c r="I4" s="26"/>
      <c r="J4" s="26"/>
      <c r="L4" s="26" t="s">
        <v>56</v>
      </c>
      <c r="M4" s="26"/>
    </row>
    <row r="5" spans="1:13" x14ac:dyDescent="0.55000000000000004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 x14ac:dyDescent="0.55000000000000004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 x14ac:dyDescent="0.55000000000000004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 x14ac:dyDescent="0.55000000000000004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 x14ac:dyDescent="0.55000000000000004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 x14ac:dyDescent="0.55000000000000004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 x14ac:dyDescent="0.55000000000000004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 x14ac:dyDescent="0.55000000000000004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 x14ac:dyDescent="0.55000000000000004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 x14ac:dyDescent="0.55000000000000004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 x14ac:dyDescent="0.55000000000000004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 x14ac:dyDescent="0.55000000000000004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 x14ac:dyDescent="0.55000000000000004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 x14ac:dyDescent="0.55000000000000004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 x14ac:dyDescent="0.55000000000000004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 x14ac:dyDescent="0.55000000000000004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 x14ac:dyDescent="0.55000000000000004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 x14ac:dyDescent="0.55000000000000004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 x14ac:dyDescent="0.55000000000000004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 x14ac:dyDescent="0.55000000000000004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 x14ac:dyDescent="0.55000000000000004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 x14ac:dyDescent="0.55000000000000004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 x14ac:dyDescent="0.55000000000000004">
      <c r="C27" s="7"/>
      <c r="D27" s="7"/>
      <c r="E27" s="7"/>
      <c r="F27" s="7"/>
      <c r="G27" s="7"/>
      <c r="H27" s="7"/>
      <c r="I27" s="7"/>
      <c r="J27" s="7"/>
    </row>
    <row r="28" spans="1:13" x14ac:dyDescent="0.55000000000000004">
      <c r="C28" s="7"/>
      <c r="D28" s="7"/>
      <c r="E28" s="7"/>
      <c r="F28" s="7"/>
      <c r="G28" s="7"/>
      <c r="H28" s="7"/>
      <c r="I28" s="7"/>
      <c r="J28" s="7"/>
    </row>
    <row r="29" spans="1:13" x14ac:dyDescent="0.55000000000000004">
      <c r="C29" s="7"/>
      <c r="D29" s="7"/>
      <c r="E29" s="7"/>
      <c r="F29" s="7"/>
      <c r="G29" s="7"/>
      <c r="H29" s="7"/>
      <c r="I29" s="7"/>
      <c r="J29" s="7"/>
    </row>
    <row r="30" spans="1:13" x14ac:dyDescent="0.55000000000000004">
      <c r="C30" s="7"/>
      <c r="D30" s="7"/>
      <c r="E30" s="7"/>
      <c r="F30" s="7"/>
      <c r="G30" s="7"/>
      <c r="H30" s="7"/>
      <c r="I30" s="7"/>
      <c r="J30" s="7"/>
    </row>
    <row r="31" spans="1:13" x14ac:dyDescent="0.55000000000000004">
      <c r="C31" s="7"/>
      <c r="D31" s="7"/>
      <c r="E31" s="7"/>
      <c r="F31" s="7"/>
      <c r="G31" s="7"/>
      <c r="H31" s="7"/>
      <c r="I31" s="7"/>
      <c r="J31" s="7"/>
    </row>
    <row r="32" spans="1:13" x14ac:dyDescent="0.55000000000000004">
      <c r="C32" s="7"/>
      <c r="D32" s="7"/>
      <c r="E32" s="7"/>
      <c r="F32" s="7"/>
      <c r="G32" s="7"/>
      <c r="H32" s="7"/>
      <c r="I32" s="7"/>
      <c r="J32" s="7"/>
    </row>
    <row r="33" spans="3:10" x14ac:dyDescent="0.55000000000000004">
      <c r="C33" s="7"/>
      <c r="D33" s="7"/>
      <c r="E33" s="7"/>
      <c r="F33" s="7"/>
      <c r="G33" s="7"/>
      <c r="H33" s="7"/>
      <c r="I33" s="7"/>
      <c r="J33" s="7"/>
    </row>
    <row r="34" spans="3:10" x14ac:dyDescent="0.55000000000000004">
      <c r="C34" s="7"/>
      <c r="D34" s="7"/>
      <c r="E34" s="7"/>
      <c r="F34" s="7"/>
      <c r="G34" s="7"/>
      <c r="H34" s="7"/>
      <c r="I34" s="7"/>
      <c r="J34" s="7"/>
    </row>
    <row r="35" spans="3:10" x14ac:dyDescent="0.55000000000000004">
      <c r="C35" s="7"/>
      <c r="D35" s="7"/>
      <c r="E35" s="7"/>
      <c r="F35" s="7"/>
      <c r="G35" s="7"/>
      <c r="H35" s="7"/>
      <c r="I35" s="7"/>
      <c r="J35" s="7"/>
    </row>
    <row r="36" spans="3:10" x14ac:dyDescent="0.55000000000000004">
      <c r="C36" s="7"/>
      <c r="D36" s="7"/>
      <c r="E36" s="7"/>
      <c r="F36" s="7"/>
      <c r="G36" s="7"/>
      <c r="H36" s="7"/>
      <c r="I36" s="7"/>
      <c r="J36" s="7"/>
    </row>
    <row r="37" spans="3:10" x14ac:dyDescent="0.55000000000000004">
      <c r="C37" s="7"/>
      <c r="D37" s="7"/>
      <c r="E37" s="7"/>
      <c r="F37" s="7"/>
      <c r="G37" s="7"/>
      <c r="H37" s="7"/>
      <c r="I37" s="7"/>
      <c r="J37" s="7"/>
    </row>
    <row r="38" spans="3:10" x14ac:dyDescent="0.55000000000000004">
      <c r="C38" s="7"/>
      <c r="D38" s="7"/>
      <c r="E38" s="7"/>
      <c r="F38" s="7"/>
      <c r="G38" s="7"/>
      <c r="H38" s="7"/>
      <c r="I38" s="7"/>
      <c r="J38" s="7"/>
    </row>
    <row r="39" spans="3:10" x14ac:dyDescent="0.55000000000000004">
      <c r="C39" s="7"/>
      <c r="D39" s="7"/>
      <c r="E39" s="7"/>
      <c r="F39" s="7"/>
      <c r="G39" s="7"/>
      <c r="H39" s="7"/>
      <c r="I39" s="7"/>
      <c r="J39" s="7"/>
    </row>
    <row r="40" spans="3:10" x14ac:dyDescent="0.55000000000000004">
      <c r="C40" s="7"/>
      <c r="D40" s="7"/>
      <c r="E40" s="7"/>
      <c r="F40" s="7"/>
      <c r="G40" s="7"/>
      <c r="H40" s="7"/>
      <c r="I40" s="7"/>
      <c r="J40" s="7"/>
    </row>
    <row r="41" spans="3:10" x14ac:dyDescent="0.55000000000000004">
      <c r="C41" s="7"/>
      <c r="D41" s="7"/>
      <c r="E41" s="7"/>
      <c r="F41" s="7"/>
      <c r="G41" s="7"/>
      <c r="H41" s="7"/>
      <c r="I41" s="7"/>
      <c r="J41" s="7"/>
    </row>
    <row r="42" spans="3:10" x14ac:dyDescent="0.55000000000000004">
      <c r="C42" s="7"/>
      <c r="D42" s="7"/>
      <c r="E42" s="7"/>
      <c r="F42" s="7"/>
      <c r="G42" s="7"/>
      <c r="H42" s="7"/>
      <c r="I42" s="7"/>
      <c r="J42" s="7"/>
    </row>
    <row r="43" spans="3:10" x14ac:dyDescent="0.55000000000000004">
      <c r="C43" s="7"/>
      <c r="D43" s="7"/>
      <c r="E43" s="7"/>
      <c r="F43" s="7"/>
      <c r="G43" s="7"/>
      <c r="H43" s="7"/>
      <c r="I43" s="7"/>
      <c r="J43" s="7"/>
    </row>
    <row r="44" spans="3:10" x14ac:dyDescent="0.55000000000000004">
      <c r="C44" s="7"/>
      <c r="D44" s="7"/>
      <c r="E44" s="7"/>
      <c r="F44" s="7"/>
      <c r="G44" s="7"/>
      <c r="H44" s="7"/>
      <c r="I44" s="7"/>
      <c r="J44" s="7"/>
    </row>
    <row r="45" spans="3:10" x14ac:dyDescent="0.55000000000000004">
      <c r="C45" s="7"/>
      <c r="D45" s="7"/>
      <c r="E45" s="7"/>
      <c r="F45" s="7"/>
      <c r="G45" s="7"/>
      <c r="H45" s="7"/>
      <c r="I45" s="7"/>
    </row>
    <row r="46" spans="3:10" x14ac:dyDescent="0.55000000000000004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7"/>
  <sheetViews>
    <sheetView workbookViewId="0">
      <selection activeCell="A5" sqref="A5:E7"/>
    </sheetView>
  </sheetViews>
  <sheetFormatPr defaultRowHeight="14.4" x14ac:dyDescent="0.55000000000000004"/>
  <cols>
    <col min="3" max="3" width="13.89453125" customWidth="1"/>
    <col min="5" max="5" width="24.62890625" customWidth="1"/>
  </cols>
  <sheetData>
    <row r="1" spans="1:7" x14ac:dyDescent="0.55000000000000004">
      <c r="A1" t="s">
        <v>60</v>
      </c>
    </row>
    <row r="2" spans="1:7" x14ac:dyDescent="0.55000000000000004">
      <c r="A2" t="s">
        <v>59</v>
      </c>
    </row>
    <row r="3" spans="1:7" x14ac:dyDescent="0.55000000000000004">
      <c r="A3" t="s">
        <v>63</v>
      </c>
    </row>
    <row r="5" spans="1:7" x14ac:dyDescent="0.55000000000000004">
      <c r="A5" s="8" t="s">
        <v>38</v>
      </c>
      <c r="B5" s="8" t="s">
        <v>42</v>
      </c>
      <c r="C5" s="8" t="s">
        <v>61</v>
      </c>
      <c r="D5" s="8" t="s">
        <v>54</v>
      </c>
      <c r="E5" s="8" t="s">
        <v>62</v>
      </c>
      <c r="F5" s="8"/>
      <c r="G5" s="8"/>
    </row>
    <row r="6" spans="1:7" x14ac:dyDescent="0.55000000000000004">
      <c r="A6" t="s">
        <v>15</v>
      </c>
      <c r="B6">
        <v>1940</v>
      </c>
      <c r="C6">
        <v>13.9</v>
      </c>
      <c r="D6">
        <v>8.4</v>
      </c>
      <c r="E6">
        <v>36.1</v>
      </c>
    </row>
    <row r="7" spans="1:7" x14ac:dyDescent="0.55000000000000004">
      <c r="A7" t="s">
        <v>64</v>
      </c>
      <c r="B7">
        <v>1950</v>
      </c>
      <c r="C7">
        <v>31</v>
      </c>
      <c r="D7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8" sqref="A8:J51"/>
    </sheetView>
  </sheetViews>
  <sheetFormatPr defaultRowHeight="14.4" x14ac:dyDescent="0.55000000000000004"/>
  <cols>
    <col min="1" max="1" width="26" customWidth="1"/>
    <col min="2" max="2" width="5.62890625" bestFit="1" customWidth="1"/>
    <col min="3" max="4" width="13" bestFit="1" customWidth="1"/>
    <col min="5" max="5" width="12.89453125" bestFit="1" customWidth="1"/>
    <col min="6" max="6" width="9.47265625" bestFit="1" customWidth="1"/>
    <col min="7" max="7" width="12.3671875" bestFit="1" customWidth="1"/>
    <col min="9" max="9" width="9.26171875" customWidth="1"/>
  </cols>
  <sheetData>
    <row r="1" spans="1:10" x14ac:dyDescent="0.55000000000000004">
      <c r="A1" t="s">
        <v>60</v>
      </c>
    </row>
    <row r="2" spans="1:10" x14ac:dyDescent="0.55000000000000004">
      <c r="A2" t="s">
        <v>59</v>
      </c>
    </row>
    <row r="3" spans="1:10" x14ac:dyDescent="0.55000000000000004">
      <c r="A3" t="s">
        <v>65</v>
      </c>
    </row>
    <row r="6" spans="1:10" x14ac:dyDescent="0.55000000000000004">
      <c r="A6" s="2" t="s">
        <v>66</v>
      </c>
    </row>
    <row r="8" spans="1:10" x14ac:dyDescent="0.55000000000000004">
      <c r="A8" s="9" t="s">
        <v>38</v>
      </c>
      <c r="B8" s="9" t="s">
        <v>42</v>
      </c>
      <c r="C8" s="9" t="s">
        <v>52</v>
      </c>
      <c r="D8" s="9" t="s">
        <v>68</v>
      </c>
      <c r="E8" s="9" t="s">
        <v>70</v>
      </c>
      <c r="F8" s="9" t="s">
        <v>69</v>
      </c>
      <c r="G8" s="9" t="s">
        <v>71</v>
      </c>
      <c r="H8" s="9"/>
      <c r="I8" s="9" t="s">
        <v>61</v>
      </c>
      <c r="J8" s="9" t="s">
        <v>54</v>
      </c>
    </row>
    <row r="10" spans="1:10" x14ac:dyDescent="0.55000000000000004">
      <c r="A10" t="s">
        <v>67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 x14ac:dyDescent="0.55000000000000004">
      <c r="A11" t="s">
        <v>67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 x14ac:dyDescent="0.55000000000000004">
      <c r="A12" t="s">
        <v>67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 x14ac:dyDescent="0.55000000000000004">
      <c r="A13" t="s">
        <v>67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 x14ac:dyDescent="0.55000000000000004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 x14ac:dyDescent="0.55000000000000004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 x14ac:dyDescent="0.55000000000000004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 x14ac:dyDescent="0.55000000000000004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 x14ac:dyDescent="0.55000000000000004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 x14ac:dyDescent="0.55000000000000004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 x14ac:dyDescent="0.55000000000000004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 x14ac:dyDescent="0.55000000000000004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 x14ac:dyDescent="0.55000000000000004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 x14ac:dyDescent="0.55000000000000004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 x14ac:dyDescent="0.55000000000000004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 x14ac:dyDescent="0.55000000000000004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 x14ac:dyDescent="0.55000000000000004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 x14ac:dyDescent="0.55000000000000004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 x14ac:dyDescent="0.55000000000000004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 x14ac:dyDescent="0.55000000000000004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 x14ac:dyDescent="0.55000000000000004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 x14ac:dyDescent="0.55000000000000004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 x14ac:dyDescent="0.55000000000000004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 x14ac:dyDescent="0.55000000000000004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 x14ac:dyDescent="0.55000000000000004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 x14ac:dyDescent="0.55000000000000004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 x14ac:dyDescent="0.55000000000000004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 x14ac:dyDescent="0.55000000000000004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 x14ac:dyDescent="0.55000000000000004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 x14ac:dyDescent="0.55000000000000004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 x14ac:dyDescent="0.55000000000000004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 x14ac:dyDescent="0.55000000000000004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 x14ac:dyDescent="0.55000000000000004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 x14ac:dyDescent="0.55000000000000004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 x14ac:dyDescent="0.55000000000000004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 x14ac:dyDescent="0.55000000000000004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 x14ac:dyDescent="0.55000000000000004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 x14ac:dyDescent="0.55000000000000004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 x14ac:dyDescent="0.55000000000000004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 x14ac:dyDescent="0.55000000000000004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 x14ac:dyDescent="0.55000000000000004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 x14ac:dyDescent="0.55000000000000004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>
      <selection activeCell="D12" sqref="D12"/>
    </sheetView>
  </sheetViews>
  <sheetFormatPr defaultRowHeight="14.4" x14ac:dyDescent="0.55000000000000004"/>
  <cols>
    <col min="1" max="1" width="23" customWidth="1"/>
  </cols>
  <sheetData>
    <row r="1" spans="1:6" x14ac:dyDescent="0.55000000000000004">
      <c r="A1" s="2" t="s">
        <v>74</v>
      </c>
    </row>
    <row r="2" spans="1:6" x14ac:dyDescent="0.55000000000000004">
      <c r="A2" t="s">
        <v>73</v>
      </c>
    </row>
    <row r="3" spans="1:6" x14ac:dyDescent="0.55000000000000004">
      <c r="A3" t="s">
        <v>72</v>
      </c>
    </row>
    <row r="4" spans="1:6" x14ac:dyDescent="0.55000000000000004">
      <c r="A4" t="s">
        <v>75</v>
      </c>
    </row>
    <row r="6" spans="1:6" x14ac:dyDescent="0.55000000000000004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 x14ac:dyDescent="0.55000000000000004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 x14ac:dyDescent="0.55000000000000004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 x14ac:dyDescent="0.55000000000000004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 x14ac:dyDescent="0.55000000000000004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 x14ac:dyDescent="0.55000000000000004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 x14ac:dyDescent="0.55000000000000004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 x14ac:dyDescent="0.55000000000000004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 x14ac:dyDescent="0.55000000000000004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 x14ac:dyDescent="0.55000000000000004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 x14ac:dyDescent="0.55000000000000004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 x14ac:dyDescent="0.55000000000000004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topLeftCell="A4" workbookViewId="0">
      <selection activeCell="A9" sqref="A9:D70"/>
    </sheetView>
  </sheetViews>
  <sheetFormatPr defaultRowHeight="14.4" x14ac:dyDescent="0.55000000000000004"/>
  <cols>
    <col min="1" max="1" width="32" customWidth="1"/>
  </cols>
  <sheetData>
    <row r="1" spans="1:4" x14ac:dyDescent="0.55000000000000004">
      <c r="A1" s="2" t="s">
        <v>83</v>
      </c>
    </row>
    <row r="2" spans="1:4" x14ac:dyDescent="0.55000000000000004">
      <c r="A2" t="s">
        <v>77</v>
      </c>
    </row>
    <row r="3" spans="1:4" x14ac:dyDescent="0.55000000000000004">
      <c r="A3" t="s">
        <v>78</v>
      </c>
    </row>
    <row r="4" spans="1:4" x14ac:dyDescent="0.55000000000000004">
      <c r="A4" t="s">
        <v>79</v>
      </c>
    </row>
    <row r="5" spans="1:4" x14ac:dyDescent="0.55000000000000004">
      <c r="A5" t="s">
        <v>80</v>
      </c>
    </row>
    <row r="6" spans="1:4" x14ac:dyDescent="0.55000000000000004">
      <c r="A6" t="s">
        <v>81</v>
      </c>
    </row>
    <row r="7" spans="1:4" x14ac:dyDescent="0.55000000000000004">
      <c r="A7" t="s">
        <v>82</v>
      </c>
    </row>
    <row r="9" spans="1:4" x14ac:dyDescent="0.55000000000000004">
      <c r="A9" s="9" t="s">
        <v>38</v>
      </c>
      <c r="B9" s="9" t="s">
        <v>42</v>
      </c>
      <c r="C9" s="9" t="s">
        <v>61</v>
      </c>
      <c r="D9" s="9" t="s">
        <v>54</v>
      </c>
    </row>
    <row r="10" spans="1:4" x14ac:dyDescent="0.55000000000000004">
      <c r="A10" t="s">
        <v>6</v>
      </c>
      <c r="B10">
        <v>1947</v>
      </c>
      <c r="C10" s="1">
        <v>48.3</v>
      </c>
      <c r="D10" s="1">
        <v>36.799999999999997</v>
      </c>
    </row>
    <row r="11" spans="1:4" x14ac:dyDescent="0.55000000000000004">
      <c r="A11" t="s">
        <v>6</v>
      </c>
      <c r="B11">
        <v>1960</v>
      </c>
      <c r="C11" s="1">
        <v>57.5</v>
      </c>
      <c r="D11" s="1">
        <v>45.5</v>
      </c>
    </row>
    <row r="12" spans="1:4" x14ac:dyDescent="0.55000000000000004">
      <c r="A12" t="s">
        <v>7</v>
      </c>
      <c r="B12">
        <v>1950</v>
      </c>
      <c r="C12" s="1">
        <v>19.600000000000001</v>
      </c>
      <c r="D12" s="1">
        <v>10.6</v>
      </c>
    </row>
    <row r="13" spans="1:4" x14ac:dyDescent="0.55000000000000004">
      <c r="A13" t="s">
        <v>8</v>
      </c>
      <c r="B13">
        <v>1920</v>
      </c>
      <c r="C13" s="1">
        <v>11.3</v>
      </c>
      <c r="D13" s="1">
        <v>8.6999999999999993</v>
      </c>
    </row>
    <row r="14" spans="1:4" x14ac:dyDescent="0.55000000000000004">
      <c r="A14" t="s">
        <v>8</v>
      </c>
      <c r="B14">
        <v>1940</v>
      </c>
      <c r="C14" s="1">
        <v>15.3</v>
      </c>
      <c r="D14" s="1">
        <v>10.7</v>
      </c>
    </row>
    <row r="15" spans="1:4" x14ac:dyDescent="0.55000000000000004">
      <c r="A15" t="s">
        <v>8</v>
      </c>
      <c r="B15">
        <v>1950</v>
      </c>
      <c r="C15" s="1">
        <v>20.2</v>
      </c>
      <c r="D15" s="1">
        <v>13.2</v>
      </c>
    </row>
    <row r="16" spans="1:4" x14ac:dyDescent="0.55000000000000004">
      <c r="A16" t="s">
        <v>8</v>
      </c>
      <c r="B16">
        <v>1960</v>
      </c>
      <c r="C16" s="1">
        <v>28.1</v>
      </c>
      <c r="D16" s="1">
        <v>18.8</v>
      </c>
    </row>
    <row r="17" spans="1:4" x14ac:dyDescent="0.55000000000000004">
      <c r="A17" t="s">
        <v>18</v>
      </c>
      <c r="B17">
        <v>1936</v>
      </c>
      <c r="C17" s="1">
        <v>16.2</v>
      </c>
      <c r="D17" s="1">
        <v>10.3</v>
      </c>
    </row>
    <row r="18" spans="1:4" x14ac:dyDescent="0.55000000000000004">
      <c r="A18" t="s">
        <v>18</v>
      </c>
      <c r="B18">
        <v>1941</v>
      </c>
      <c r="C18" s="1">
        <v>18.100000000000001</v>
      </c>
      <c r="D18" s="1">
        <v>11.8</v>
      </c>
    </row>
    <row r="19" spans="1:4" x14ac:dyDescent="0.55000000000000004">
      <c r="A19" t="s">
        <v>18</v>
      </c>
      <c r="B19">
        <v>1950</v>
      </c>
      <c r="C19" s="1">
        <v>31.9</v>
      </c>
      <c r="D19" s="1">
        <v>20.3</v>
      </c>
    </row>
    <row r="20" spans="1:4" x14ac:dyDescent="0.55000000000000004">
      <c r="A20" t="s">
        <v>18</v>
      </c>
      <c r="B20">
        <v>1961</v>
      </c>
      <c r="C20" s="1">
        <v>47.2</v>
      </c>
      <c r="D20" s="1">
        <v>29.9</v>
      </c>
    </row>
    <row r="21" spans="1:4" x14ac:dyDescent="0.55000000000000004">
      <c r="A21" t="s">
        <v>24</v>
      </c>
      <c r="B21">
        <v>1950</v>
      </c>
      <c r="C21" s="1">
        <v>5.0999999999999996</v>
      </c>
      <c r="D21" s="1">
        <v>4.3</v>
      </c>
    </row>
    <row r="22" spans="1:4" x14ac:dyDescent="0.55000000000000004">
      <c r="A22" t="s">
        <v>23</v>
      </c>
      <c r="B22">
        <v>1950</v>
      </c>
      <c r="C22" s="1">
        <v>11.2</v>
      </c>
      <c r="D22" s="1">
        <v>10.199999999999999</v>
      </c>
    </row>
    <row r="23" spans="1:4" x14ac:dyDescent="0.55000000000000004">
      <c r="A23" t="s">
        <v>25</v>
      </c>
      <c r="B23">
        <v>1940</v>
      </c>
      <c r="C23" s="1">
        <v>6.1</v>
      </c>
      <c r="D23" s="1"/>
    </row>
    <row r="24" spans="1:4" x14ac:dyDescent="0.55000000000000004">
      <c r="A24" t="s">
        <v>25</v>
      </c>
      <c r="B24">
        <v>1950</v>
      </c>
      <c r="C24" s="1">
        <v>6.9</v>
      </c>
      <c r="D24" s="1"/>
    </row>
    <row r="25" spans="1:4" x14ac:dyDescent="0.55000000000000004">
      <c r="A25" t="s">
        <v>25</v>
      </c>
      <c r="B25">
        <v>1961</v>
      </c>
      <c r="C25" s="1">
        <v>11.6</v>
      </c>
      <c r="D25" s="1">
        <v>7.1</v>
      </c>
    </row>
    <row r="26" spans="1:4" x14ac:dyDescent="0.55000000000000004">
      <c r="A26" t="s">
        <v>50</v>
      </c>
      <c r="B26">
        <v>1920</v>
      </c>
      <c r="C26" s="1">
        <v>3.5</v>
      </c>
      <c r="D26" s="1"/>
    </row>
    <row r="27" spans="1:4" x14ac:dyDescent="0.55000000000000004">
      <c r="A27" t="s">
        <v>50</v>
      </c>
      <c r="B27">
        <v>1935</v>
      </c>
      <c r="C27" s="1">
        <v>7.1</v>
      </c>
      <c r="D27" s="1"/>
    </row>
    <row r="28" spans="1:4" x14ac:dyDescent="0.55000000000000004">
      <c r="A28" t="s">
        <v>50</v>
      </c>
      <c r="B28">
        <v>1950</v>
      </c>
      <c r="C28" s="1">
        <v>11.1</v>
      </c>
      <c r="D28" s="1">
        <v>8.5</v>
      </c>
    </row>
    <row r="29" spans="1:4" x14ac:dyDescent="0.55000000000000004">
      <c r="A29" t="s">
        <v>50</v>
      </c>
      <c r="B29">
        <v>1960</v>
      </c>
      <c r="C29" s="1">
        <v>18.7</v>
      </c>
      <c r="D29" s="1">
        <v>12.2</v>
      </c>
    </row>
    <row r="30" spans="1:4" x14ac:dyDescent="0.55000000000000004">
      <c r="A30" t="s">
        <v>10</v>
      </c>
      <c r="B30">
        <v>1938</v>
      </c>
      <c r="C30" s="1">
        <v>12.9</v>
      </c>
      <c r="D30" s="1">
        <v>7.1</v>
      </c>
    </row>
    <row r="31" spans="1:4" x14ac:dyDescent="0.55000000000000004">
      <c r="A31" t="s">
        <v>10</v>
      </c>
      <c r="B31">
        <v>1951</v>
      </c>
      <c r="C31" s="1">
        <v>22.2</v>
      </c>
      <c r="D31" s="1">
        <v>14.7</v>
      </c>
    </row>
    <row r="32" spans="1:4" x14ac:dyDescent="0.55000000000000004">
      <c r="A32" t="s">
        <v>20</v>
      </c>
      <c r="B32">
        <v>1927</v>
      </c>
      <c r="C32" s="1">
        <v>19.3</v>
      </c>
      <c r="D32" s="1"/>
    </row>
    <row r="33" spans="1:4" x14ac:dyDescent="0.55000000000000004">
      <c r="A33" t="s">
        <v>20</v>
      </c>
      <c r="B33">
        <v>1950</v>
      </c>
      <c r="C33" s="1">
        <v>22.3</v>
      </c>
      <c r="D33" s="1">
        <v>22.3</v>
      </c>
    </row>
    <row r="34" spans="1:4" x14ac:dyDescent="0.55000000000000004">
      <c r="A34" t="s">
        <v>20</v>
      </c>
      <c r="B34">
        <v>1963</v>
      </c>
      <c r="C34" s="1">
        <v>24</v>
      </c>
      <c r="D34" s="1">
        <v>24</v>
      </c>
    </row>
    <row r="35" spans="1:4" x14ac:dyDescent="0.55000000000000004">
      <c r="A35" t="s">
        <v>21</v>
      </c>
      <c r="B35">
        <v>1919</v>
      </c>
      <c r="C35" s="1">
        <v>24.3</v>
      </c>
      <c r="D35" s="1">
        <v>14.7</v>
      </c>
    </row>
    <row r="36" spans="1:4" x14ac:dyDescent="0.55000000000000004">
      <c r="A36" t="s">
        <v>21</v>
      </c>
      <c r="B36">
        <v>1931</v>
      </c>
      <c r="C36" s="1">
        <v>27.6</v>
      </c>
      <c r="D36" s="1">
        <v>18.5</v>
      </c>
    </row>
    <row r="37" spans="1:4" x14ac:dyDescent="0.55000000000000004">
      <c r="A37" t="s">
        <v>21</v>
      </c>
      <c r="B37">
        <v>1943</v>
      </c>
      <c r="C37" s="1">
        <v>30.7</v>
      </c>
      <c r="D37" s="1">
        <v>19.899999999999999</v>
      </c>
    </row>
    <row r="38" spans="1:4" x14ac:dyDescent="0.55000000000000004">
      <c r="A38" t="s">
        <v>21</v>
      </c>
      <c r="B38">
        <v>1953</v>
      </c>
      <c r="C38" s="1">
        <v>35.5</v>
      </c>
      <c r="D38" s="1">
        <v>22.9</v>
      </c>
    </row>
    <row r="39" spans="1:4" x14ac:dyDescent="0.5500000000000000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 x14ac:dyDescent="0.55000000000000004">
      <c r="A40" t="s">
        <v>27</v>
      </c>
      <c r="B40">
        <v>1950</v>
      </c>
      <c r="C40" s="1">
        <v>24.1</v>
      </c>
      <c r="D40" s="1">
        <v>15.1</v>
      </c>
    </row>
    <row r="41" spans="1:4" x14ac:dyDescent="0.55000000000000004">
      <c r="A41" t="s">
        <v>27</v>
      </c>
      <c r="B41">
        <v>1960</v>
      </c>
      <c r="C41" s="1">
        <v>29.6</v>
      </c>
      <c r="D41" s="1">
        <v>18.600000000000001</v>
      </c>
    </row>
    <row r="42" spans="1:4" x14ac:dyDescent="0.55000000000000004">
      <c r="A42" t="s">
        <v>28</v>
      </c>
      <c r="B42">
        <v>1950</v>
      </c>
      <c r="C42" s="1">
        <v>15.2</v>
      </c>
      <c r="D42" s="1">
        <v>10.3</v>
      </c>
    </row>
    <row r="43" spans="1:4" x14ac:dyDescent="0.55000000000000004">
      <c r="A43" t="s">
        <v>28</v>
      </c>
      <c r="B43">
        <v>1963</v>
      </c>
      <c r="C43" s="1">
        <v>23</v>
      </c>
      <c r="D43" s="1">
        <v>15.3</v>
      </c>
    </row>
    <row r="44" spans="1:4" x14ac:dyDescent="0.55000000000000004">
      <c r="A44" t="s">
        <v>29</v>
      </c>
      <c r="B44">
        <v>1930</v>
      </c>
      <c r="C44" s="1">
        <v>22.9</v>
      </c>
      <c r="D44" s="1"/>
    </row>
    <row r="45" spans="1:4" x14ac:dyDescent="0.55000000000000004">
      <c r="A45" t="s">
        <v>29</v>
      </c>
      <c r="B45">
        <v>1940</v>
      </c>
      <c r="C45" s="1">
        <v>26.6</v>
      </c>
      <c r="D45" s="1">
        <v>19.399999999999999</v>
      </c>
    </row>
    <row r="46" spans="1:4" x14ac:dyDescent="0.55000000000000004">
      <c r="A46" t="s">
        <v>29</v>
      </c>
      <c r="B46">
        <v>1950</v>
      </c>
      <c r="C46" s="1">
        <v>26.8</v>
      </c>
      <c r="D46" s="1">
        <v>20.399999999999999</v>
      </c>
    </row>
    <row r="47" spans="1:4" x14ac:dyDescent="0.55000000000000004">
      <c r="A47" t="s">
        <v>29</v>
      </c>
      <c r="B47">
        <v>1960</v>
      </c>
      <c r="C47" s="1">
        <v>33.1</v>
      </c>
      <c r="D47" s="1">
        <v>25.4</v>
      </c>
    </row>
    <row r="48" spans="1:4" x14ac:dyDescent="0.55000000000000004">
      <c r="A48" t="s">
        <v>15</v>
      </c>
      <c r="B48">
        <v>1940</v>
      </c>
      <c r="C48" s="1">
        <v>14.2</v>
      </c>
      <c r="D48" s="1">
        <v>8.4</v>
      </c>
    </row>
    <row r="49" spans="1:4" x14ac:dyDescent="0.55000000000000004">
      <c r="A49" t="s">
        <v>15</v>
      </c>
      <c r="B49">
        <v>1961</v>
      </c>
      <c r="C49" s="1">
        <v>28.9</v>
      </c>
      <c r="D49" s="1">
        <v>18.399999999999999</v>
      </c>
    </row>
    <row r="50" spans="1:4" x14ac:dyDescent="0.55000000000000004">
      <c r="A50" t="s">
        <v>76</v>
      </c>
      <c r="B50">
        <v>1920</v>
      </c>
      <c r="C50" s="1">
        <v>9.1999999999999993</v>
      </c>
      <c r="D50" s="1"/>
    </row>
    <row r="51" spans="1:4" x14ac:dyDescent="0.55000000000000004">
      <c r="A51" t="s">
        <v>76</v>
      </c>
      <c r="B51">
        <v>1930</v>
      </c>
      <c r="C51" s="1">
        <v>14.1</v>
      </c>
      <c r="D51" s="1">
        <v>8.3000000000000007</v>
      </c>
    </row>
    <row r="52" spans="1:4" x14ac:dyDescent="0.55000000000000004">
      <c r="A52" t="s">
        <v>76</v>
      </c>
      <c r="B52">
        <v>1940</v>
      </c>
      <c r="C52" s="1">
        <v>18.8</v>
      </c>
      <c r="D52" s="1">
        <v>10.1</v>
      </c>
    </row>
    <row r="53" spans="1:4" x14ac:dyDescent="0.55000000000000004">
      <c r="A53" t="s">
        <v>76</v>
      </c>
      <c r="B53">
        <v>1950</v>
      </c>
      <c r="C53" s="1">
        <v>27</v>
      </c>
      <c r="D53" s="1">
        <v>16.100000000000001</v>
      </c>
    </row>
    <row r="54" spans="1:4" x14ac:dyDescent="0.55000000000000004">
      <c r="A54" t="s">
        <v>76</v>
      </c>
      <c r="B54">
        <v>1960</v>
      </c>
      <c r="C54" s="1">
        <v>28</v>
      </c>
      <c r="D54" s="1">
        <v>23.3</v>
      </c>
    </row>
    <row r="55" spans="1:4" x14ac:dyDescent="0.55000000000000004">
      <c r="A55" t="s">
        <v>22</v>
      </c>
      <c r="B55">
        <v>1930</v>
      </c>
      <c r="C55" s="1">
        <v>9</v>
      </c>
      <c r="D55" s="1"/>
    </row>
    <row r="56" spans="1:4" x14ac:dyDescent="0.55000000000000004">
      <c r="A56" t="s">
        <v>22</v>
      </c>
      <c r="B56">
        <v>1950</v>
      </c>
      <c r="C56" s="1">
        <v>12.9</v>
      </c>
      <c r="D56" s="1">
        <v>8.6999999999999993</v>
      </c>
    </row>
    <row r="57" spans="1:4" x14ac:dyDescent="0.55000000000000004">
      <c r="A57" t="s">
        <v>22</v>
      </c>
      <c r="B57">
        <v>1961</v>
      </c>
      <c r="C57" s="1">
        <v>17.7</v>
      </c>
      <c r="D57" s="1">
        <v>10.199999999999999</v>
      </c>
    </row>
    <row r="58" spans="1:4" x14ac:dyDescent="0.55000000000000004">
      <c r="A58" t="s">
        <v>17</v>
      </c>
      <c r="B58">
        <v>1963</v>
      </c>
      <c r="C58" s="1"/>
      <c r="D58" s="1"/>
    </row>
    <row r="59" spans="1:4" x14ac:dyDescent="0.55000000000000004">
      <c r="A59" t="s">
        <v>9</v>
      </c>
      <c r="B59">
        <v>1920</v>
      </c>
      <c r="C59" s="1">
        <v>28</v>
      </c>
      <c r="D59" s="1">
        <v>18.399999999999999</v>
      </c>
    </row>
    <row r="60" spans="1:4" x14ac:dyDescent="0.55000000000000004">
      <c r="A60" t="s">
        <v>9</v>
      </c>
      <c r="B60">
        <v>1930</v>
      </c>
      <c r="C60" s="1">
        <v>32.5</v>
      </c>
      <c r="D60" s="1">
        <v>20.7</v>
      </c>
    </row>
    <row r="61" spans="1:4" x14ac:dyDescent="0.55000000000000004">
      <c r="A61" t="s">
        <v>9</v>
      </c>
      <c r="B61">
        <v>1940</v>
      </c>
      <c r="C61" s="1">
        <v>36.4</v>
      </c>
      <c r="D61" s="1">
        <v>23.1</v>
      </c>
    </row>
    <row r="62" spans="1:4" x14ac:dyDescent="0.55000000000000004">
      <c r="A62" t="s">
        <v>9</v>
      </c>
      <c r="B62">
        <v>1952</v>
      </c>
      <c r="C62" s="1">
        <v>42.8</v>
      </c>
      <c r="D62" s="1">
        <v>28.5</v>
      </c>
    </row>
    <row r="63" spans="1:4" x14ac:dyDescent="0.55000000000000004">
      <c r="A63" t="s">
        <v>9</v>
      </c>
      <c r="B63">
        <v>1960</v>
      </c>
      <c r="C63" s="1">
        <v>54.7</v>
      </c>
      <c r="D63" s="1">
        <v>33.299999999999997</v>
      </c>
    </row>
    <row r="64" spans="1:4" x14ac:dyDescent="0.55000000000000004">
      <c r="A64" t="s">
        <v>11</v>
      </c>
      <c r="B64">
        <v>1950</v>
      </c>
      <c r="C64" s="1">
        <v>17.8</v>
      </c>
      <c r="D64" s="1">
        <v>14.6</v>
      </c>
    </row>
    <row r="65" spans="1:4" x14ac:dyDescent="0.55000000000000004">
      <c r="A65" t="s">
        <v>11</v>
      </c>
      <c r="B65">
        <v>1962</v>
      </c>
      <c r="C65" s="1">
        <v>26.9</v>
      </c>
      <c r="D65" s="1">
        <v>18.899999999999999</v>
      </c>
    </row>
    <row r="66" spans="1:4" x14ac:dyDescent="0.55000000000000004">
      <c r="A66" t="s">
        <v>11</v>
      </c>
      <c r="B66">
        <v>1950</v>
      </c>
      <c r="C66" s="1">
        <v>16.5</v>
      </c>
      <c r="D66" s="1">
        <v>16.5</v>
      </c>
    </row>
    <row r="67" spans="1:4" x14ac:dyDescent="0.55000000000000004">
      <c r="A67" t="s">
        <v>11</v>
      </c>
      <c r="B67">
        <v>1962</v>
      </c>
      <c r="C67" s="1"/>
      <c r="D67" s="1">
        <v>16.8</v>
      </c>
    </row>
    <row r="68" spans="1:4" x14ac:dyDescent="0.55000000000000004">
      <c r="A68" t="s">
        <v>26</v>
      </c>
      <c r="B68">
        <v>1921</v>
      </c>
      <c r="C68" s="1">
        <v>10.3</v>
      </c>
      <c r="D68" s="1"/>
    </row>
    <row r="69" spans="1:4" x14ac:dyDescent="0.55000000000000004">
      <c r="A69" t="s">
        <v>26</v>
      </c>
      <c r="B69">
        <v>1943</v>
      </c>
      <c r="C69" s="1">
        <v>16.3</v>
      </c>
      <c r="D69" s="1">
        <v>16.3</v>
      </c>
    </row>
    <row r="70" spans="1:4" x14ac:dyDescent="0.5500000000000000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4" x14ac:dyDescent="0.55000000000000004"/>
  <cols>
    <col min="1" max="1" width="31.3671875" customWidth="1"/>
  </cols>
  <sheetData>
    <row r="1" spans="1:3" x14ac:dyDescent="0.55000000000000004">
      <c r="A1" s="11" t="s">
        <v>85</v>
      </c>
    </row>
    <row r="2" spans="1:3" x14ac:dyDescent="0.55000000000000004">
      <c r="A2" t="s">
        <v>86</v>
      </c>
    </row>
    <row r="3" spans="1:3" x14ac:dyDescent="0.55000000000000004">
      <c r="A3" t="s">
        <v>90</v>
      </c>
    </row>
    <row r="5" spans="1:3" x14ac:dyDescent="0.55000000000000004">
      <c r="A5" s="14" t="s">
        <v>87</v>
      </c>
      <c r="B5" s="14" t="s">
        <v>42</v>
      </c>
      <c r="C5" s="14" t="s">
        <v>88</v>
      </c>
    </row>
    <row r="6" spans="1:3" x14ac:dyDescent="0.55000000000000004">
      <c r="A6" t="s">
        <v>6</v>
      </c>
      <c r="B6">
        <v>1895</v>
      </c>
      <c r="C6" s="1">
        <v>37.4</v>
      </c>
    </row>
    <row r="7" spans="1:3" x14ac:dyDescent="0.55000000000000004">
      <c r="A7" t="s">
        <v>6</v>
      </c>
      <c r="B7">
        <v>1914</v>
      </c>
      <c r="C7" s="1">
        <v>52.7</v>
      </c>
    </row>
    <row r="8" spans="1:3" x14ac:dyDescent="0.55000000000000004">
      <c r="A8" t="s">
        <v>6</v>
      </c>
      <c r="B8">
        <v>1947</v>
      </c>
      <c r="C8" s="1">
        <v>62.5</v>
      </c>
    </row>
    <row r="9" spans="1:3" x14ac:dyDescent="0.55000000000000004">
      <c r="A9" t="s">
        <v>32</v>
      </c>
      <c r="B9">
        <v>1946</v>
      </c>
      <c r="C9" s="1">
        <v>39.6</v>
      </c>
    </row>
    <row r="10" spans="1:3" x14ac:dyDescent="0.55000000000000004">
      <c r="A10" t="s">
        <v>89</v>
      </c>
      <c r="B10">
        <v>1939</v>
      </c>
      <c r="C10" s="1">
        <v>13.9</v>
      </c>
    </row>
    <row r="11" spans="1:3" x14ac:dyDescent="0.55000000000000004">
      <c r="A11" t="s">
        <v>7</v>
      </c>
      <c r="B11">
        <v>1900</v>
      </c>
      <c r="C11" s="1">
        <v>26.9</v>
      </c>
    </row>
    <row r="12" spans="1:3" x14ac:dyDescent="0.55000000000000004">
      <c r="A12" t="s">
        <v>7</v>
      </c>
      <c r="B12">
        <v>1950</v>
      </c>
      <c r="C12" s="1">
        <v>33.6</v>
      </c>
    </row>
    <row r="13" spans="1:3" x14ac:dyDescent="0.55000000000000004">
      <c r="A13" t="s">
        <v>8</v>
      </c>
      <c r="B13">
        <v>1940</v>
      </c>
      <c r="C13" s="1">
        <v>31.2</v>
      </c>
    </row>
    <row r="14" spans="1:3" x14ac:dyDescent="0.55000000000000004">
      <c r="A14" t="s">
        <v>18</v>
      </c>
      <c r="B14">
        <v>1936</v>
      </c>
      <c r="C14" s="1">
        <v>35</v>
      </c>
    </row>
    <row r="15" spans="1:3" x14ac:dyDescent="0.55000000000000004">
      <c r="A15" t="s">
        <v>18</v>
      </c>
      <c r="B15">
        <v>1941</v>
      </c>
      <c r="C15" s="1">
        <v>39</v>
      </c>
    </row>
    <row r="16" spans="1:3" x14ac:dyDescent="0.55000000000000004">
      <c r="A16" t="s">
        <v>18</v>
      </c>
      <c r="B16">
        <v>1950</v>
      </c>
      <c r="C16" s="1">
        <v>49.8</v>
      </c>
    </row>
    <row r="17" spans="1:3" x14ac:dyDescent="0.55000000000000004">
      <c r="A17" t="s">
        <v>24</v>
      </c>
      <c r="B17">
        <v>1950</v>
      </c>
      <c r="C17" s="1">
        <v>12.5</v>
      </c>
    </row>
    <row r="18" spans="1:3" x14ac:dyDescent="0.55000000000000004">
      <c r="A18" t="s">
        <v>23</v>
      </c>
      <c r="B18">
        <v>1921</v>
      </c>
      <c r="C18" s="1">
        <v>26.6</v>
      </c>
    </row>
    <row r="19" spans="1:3" x14ac:dyDescent="0.55000000000000004">
      <c r="A19" t="s">
        <v>23</v>
      </c>
      <c r="B19">
        <v>1940</v>
      </c>
      <c r="C19" s="1">
        <v>26.7</v>
      </c>
    </row>
    <row r="20" spans="1:3" x14ac:dyDescent="0.55000000000000004">
      <c r="A20" t="s">
        <v>23</v>
      </c>
      <c r="B20">
        <v>1950</v>
      </c>
      <c r="C20" s="1">
        <v>31.6</v>
      </c>
    </row>
    <row r="21" spans="1:3" x14ac:dyDescent="0.55000000000000004">
      <c r="A21" t="s">
        <v>25</v>
      </c>
      <c r="B21">
        <v>1945</v>
      </c>
      <c r="C21" s="1">
        <v>29</v>
      </c>
    </row>
    <row r="22" spans="1:3" x14ac:dyDescent="0.55000000000000004">
      <c r="A22" t="s">
        <v>25</v>
      </c>
      <c r="B22">
        <v>1950</v>
      </c>
      <c r="C22" s="1">
        <v>31</v>
      </c>
    </row>
    <row r="23" spans="1:3" x14ac:dyDescent="0.55000000000000004">
      <c r="A23" t="s">
        <v>50</v>
      </c>
      <c r="B23">
        <v>1920</v>
      </c>
      <c r="C23" s="1">
        <v>16.100000000000001</v>
      </c>
    </row>
    <row r="24" spans="1:3" x14ac:dyDescent="0.55000000000000004">
      <c r="A24" t="s">
        <v>50</v>
      </c>
      <c r="B24">
        <v>1935</v>
      </c>
      <c r="C24" s="1">
        <v>18</v>
      </c>
    </row>
    <row r="25" spans="1:3" x14ac:dyDescent="0.55000000000000004">
      <c r="A25" t="s">
        <v>50</v>
      </c>
      <c r="B25">
        <v>1950</v>
      </c>
      <c r="C25" s="1">
        <v>23.8</v>
      </c>
    </row>
    <row r="26" spans="1:3" x14ac:dyDescent="0.55000000000000004">
      <c r="A26" t="s">
        <v>10</v>
      </c>
      <c r="B26">
        <v>1938</v>
      </c>
      <c r="C26" s="1">
        <v>29.1</v>
      </c>
    </row>
    <row r="27" spans="1:3" x14ac:dyDescent="0.55000000000000004">
      <c r="A27" t="s">
        <v>20</v>
      </c>
      <c r="B27">
        <v>1950</v>
      </c>
      <c r="C27" s="1">
        <v>33.5</v>
      </c>
    </row>
    <row r="28" spans="1:3" x14ac:dyDescent="0.55000000000000004">
      <c r="A28" t="s">
        <v>21</v>
      </c>
      <c r="B28">
        <v>1943</v>
      </c>
      <c r="C28" s="1">
        <v>54.6</v>
      </c>
    </row>
    <row r="29" spans="1:3" x14ac:dyDescent="0.55000000000000004">
      <c r="A29" t="s">
        <v>27</v>
      </c>
      <c r="B29">
        <v>1930</v>
      </c>
      <c r="C29" s="1">
        <v>33.5</v>
      </c>
    </row>
    <row r="30" spans="1:3" x14ac:dyDescent="0.55000000000000004">
      <c r="A30" t="s">
        <v>27</v>
      </c>
      <c r="B30">
        <v>1940</v>
      </c>
      <c r="C30" s="1">
        <v>35.1</v>
      </c>
    </row>
    <row r="31" spans="1:3" x14ac:dyDescent="0.55000000000000004">
      <c r="A31" t="s">
        <v>28</v>
      </c>
      <c r="B31">
        <v>1906</v>
      </c>
      <c r="C31" s="1">
        <v>33</v>
      </c>
    </row>
    <row r="32" spans="1:3" x14ac:dyDescent="0.55000000000000004">
      <c r="A32" t="s">
        <v>28</v>
      </c>
      <c r="B32">
        <v>1920</v>
      </c>
      <c r="C32" s="1">
        <v>34.200000000000003</v>
      </c>
    </row>
    <row r="33" spans="1:3" x14ac:dyDescent="0.55000000000000004">
      <c r="A33" t="s">
        <v>28</v>
      </c>
      <c r="B33">
        <v>1940</v>
      </c>
      <c r="C33" s="1">
        <v>37.200000000000003</v>
      </c>
    </row>
    <row r="34" spans="1:3" x14ac:dyDescent="0.55000000000000004">
      <c r="A34" t="s">
        <v>28</v>
      </c>
      <c r="B34">
        <v>1950</v>
      </c>
      <c r="C34" s="1">
        <v>34.6</v>
      </c>
    </row>
    <row r="35" spans="1:3" x14ac:dyDescent="0.55000000000000004">
      <c r="A35" t="s">
        <v>29</v>
      </c>
      <c r="B35">
        <v>1930</v>
      </c>
      <c r="C35" s="1">
        <v>30.1</v>
      </c>
    </row>
    <row r="36" spans="1:3" x14ac:dyDescent="0.55000000000000004">
      <c r="A36" t="s">
        <v>29</v>
      </c>
      <c r="B36">
        <v>1940</v>
      </c>
      <c r="C36" s="1">
        <v>33.799999999999997</v>
      </c>
    </row>
    <row r="37" spans="1:3" x14ac:dyDescent="0.55000000000000004">
      <c r="A37" t="s">
        <v>29</v>
      </c>
      <c r="B37">
        <v>1950</v>
      </c>
      <c r="C37" s="1">
        <v>35.9</v>
      </c>
    </row>
    <row r="38" spans="1:3" x14ac:dyDescent="0.55000000000000004">
      <c r="A38" t="s">
        <v>14</v>
      </c>
      <c r="B38">
        <v>1950</v>
      </c>
      <c r="C38" s="1">
        <v>35.9</v>
      </c>
    </row>
    <row r="39" spans="1:3" x14ac:dyDescent="0.55000000000000004">
      <c r="A39" t="s">
        <v>15</v>
      </c>
      <c r="B39">
        <v>1940</v>
      </c>
      <c r="C39" s="1">
        <v>35.4</v>
      </c>
    </row>
    <row r="40" spans="1:3" x14ac:dyDescent="0.55000000000000004">
      <c r="A40" t="s">
        <v>76</v>
      </c>
      <c r="B40">
        <v>1899</v>
      </c>
      <c r="C40" s="1">
        <v>14.6</v>
      </c>
    </row>
    <row r="41" spans="1:3" x14ac:dyDescent="0.55000000000000004">
      <c r="A41" t="s">
        <v>76</v>
      </c>
      <c r="B41">
        <v>1910</v>
      </c>
      <c r="C41" s="1">
        <v>20.100000000000001</v>
      </c>
    </row>
    <row r="42" spans="1:3" x14ac:dyDescent="0.55000000000000004">
      <c r="A42" t="s">
        <v>76</v>
      </c>
      <c r="B42">
        <v>1920</v>
      </c>
      <c r="C42" s="1">
        <v>21.8</v>
      </c>
    </row>
    <row r="43" spans="1:3" x14ac:dyDescent="0.55000000000000004">
      <c r="A43" t="s">
        <v>76</v>
      </c>
      <c r="B43">
        <v>1930</v>
      </c>
      <c r="C43" s="1">
        <v>27.7</v>
      </c>
    </row>
    <row r="44" spans="1:3" x14ac:dyDescent="0.55000000000000004">
      <c r="A44" t="s">
        <v>76</v>
      </c>
      <c r="B44">
        <v>1935</v>
      </c>
      <c r="C44" s="1">
        <v>29.7</v>
      </c>
    </row>
    <row r="45" spans="1:3" x14ac:dyDescent="0.55000000000000004">
      <c r="A45" t="s">
        <v>76</v>
      </c>
      <c r="B45">
        <v>1940</v>
      </c>
      <c r="C45" s="1">
        <v>30.3</v>
      </c>
    </row>
    <row r="46" spans="1:3" x14ac:dyDescent="0.55000000000000004">
      <c r="A46" t="s">
        <v>76</v>
      </c>
      <c r="B46">
        <v>1950</v>
      </c>
      <c r="C46" s="1">
        <v>40.5</v>
      </c>
    </row>
    <row r="47" spans="1:3" x14ac:dyDescent="0.55000000000000004">
      <c r="A47" t="s">
        <v>22</v>
      </c>
      <c r="B47">
        <v>1930</v>
      </c>
      <c r="C47" s="1">
        <v>38.299999999999997</v>
      </c>
    </row>
    <row r="48" spans="1:3" x14ac:dyDescent="0.55000000000000004">
      <c r="A48" t="s">
        <v>22</v>
      </c>
      <c r="B48">
        <v>1950</v>
      </c>
      <c r="C48" s="1">
        <v>36.5</v>
      </c>
    </row>
    <row r="49" spans="1:3" x14ac:dyDescent="0.55000000000000004">
      <c r="A49" t="s">
        <v>37</v>
      </c>
      <c r="B49">
        <v>1901</v>
      </c>
      <c r="C49" s="1">
        <v>24</v>
      </c>
    </row>
    <row r="50" spans="1:3" x14ac:dyDescent="0.55000000000000004">
      <c r="A50" t="s">
        <v>37</v>
      </c>
      <c r="B50">
        <v>1911</v>
      </c>
      <c r="C50" s="1">
        <v>21.7</v>
      </c>
    </row>
    <row r="51" spans="1:3" x14ac:dyDescent="0.55000000000000004">
      <c r="A51" t="s">
        <v>37</v>
      </c>
      <c r="B51">
        <v>1921</v>
      </c>
      <c r="C51" s="1">
        <v>20.9</v>
      </c>
    </row>
    <row r="52" spans="1:3" x14ac:dyDescent="0.55000000000000004">
      <c r="A52" t="s">
        <v>37</v>
      </c>
      <c r="B52">
        <v>1931</v>
      </c>
      <c r="C52" s="1">
        <v>21.7</v>
      </c>
    </row>
    <row r="53" spans="1:3" x14ac:dyDescent="0.55000000000000004">
      <c r="A53" t="s">
        <v>37</v>
      </c>
      <c r="B53">
        <v>1946</v>
      </c>
      <c r="C53" s="1">
        <v>23.2</v>
      </c>
    </row>
    <row r="54" spans="1:3" x14ac:dyDescent="0.55000000000000004">
      <c r="A54" t="s">
        <v>9</v>
      </c>
      <c r="B54">
        <v>1930</v>
      </c>
      <c r="C54" s="1">
        <v>49.4</v>
      </c>
    </row>
    <row r="55" spans="1:3" x14ac:dyDescent="0.55000000000000004">
      <c r="A55" t="s">
        <v>9</v>
      </c>
      <c r="B55">
        <v>1940</v>
      </c>
      <c r="C55" s="1">
        <v>52.4</v>
      </c>
    </row>
    <row r="56" spans="1:3" x14ac:dyDescent="0.55000000000000004">
      <c r="A56" t="s">
        <v>11</v>
      </c>
      <c r="B56">
        <v>1950</v>
      </c>
      <c r="C56" s="1">
        <v>30.3</v>
      </c>
    </row>
    <row r="57" spans="1:3" x14ac:dyDescent="0.55000000000000004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topLeftCell="A16" workbookViewId="0">
      <selection activeCell="A30" sqref="A30:O30"/>
    </sheetView>
  </sheetViews>
  <sheetFormatPr defaultRowHeight="14.4" x14ac:dyDescent="0.55000000000000004"/>
  <cols>
    <col min="2" max="2" width="10.89453125" bestFit="1" customWidth="1"/>
    <col min="3" max="3" width="11.1015625" customWidth="1"/>
    <col min="4" max="4" width="9.1015625" bestFit="1" customWidth="1"/>
    <col min="5" max="5" width="10" customWidth="1"/>
    <col min="6" max="6" width="12.1015625" customWidth="1"/>
    <col min="7" max="8" width="9.1015625" bestFit="1" customWidth="1"/>
    <col min="9" max="11" width="9.89453125" bestFit="1" customWidth="1"/>
    <col min="12" max="12" width="10.734375" customWidth="1"/>
    <col min="13" max="13" width="10.47265625" customWidth="1"/>
    <col min="14" max="14" width="10.1015625" customWidth="1"/>
    <col min="15" max="15" width="10.89453125" customWidth="1"/>
  </cols>
  <sheetData>
    <row r="1" spans="1:3" x14ac:dyDescent="0.55000000000000004">
      <c r="A1" s="13" t="s">
        <v>95</v>
      </c>
    </row>
    <row r="2" spans="1:3" x14ac:dyDescent="0.55000000000000004">
      <c r="A2" t="s">
        <v>94</v>
      </c>
    </row>
    <row r="4" spans="1:3" x14ac:dyDescent="0.55000000000000004">
      <c r="A4" t="s">
        <v>27</v>
      </c>
      <c r="B4">
        <v>1900</v>
      </c>
      <c r="C4">
        <v>28.3</v>
      </c>
    </row>
    <row r="5" spans="1:3" x14ac:dyDescent="0.55000000000000004">
      <c r="A5" t="s">
        <v>27</v>
      </c>
      <c r="B5">
        <v>1910</v>
      </c>
      <c r="C5">
        <v>28.7</v>
      </c>
    </row>
    <row r="6" spans="1:3" x14ac:dyDescent="0.55000000000000004">
      <c r="A6" t="s">
        <v>27</v>
      </c>
      <c r="B6">
        <v>1921</v>
      </c>
      <c r="C6">
        <v>31.2</v>
      </c>
    </row>
    <row r="7" spans="1:3" x14ac:dyDescent="0.55000000000000004">
      <c r="A7" t="s">
        <v>27</v>
      </c>
      <c r="B7">
        <v>1930</v>
      </c>
      <c r="C7">
        <v>33.5</v>
      </c>
    </row>
    <row r="8" spans="1:3" x14ac:dyDescent="0.55000000000000004">
      <c r="A8" t="s">
        <v>27</v>
      </c>
      <c r="B8">
        <v>1940</v>
      </c>
      <c r="C8">
        <v>35.1</v>
      </c>
    </row>
    <row r="9" spans="1:3" x14ac:dyDescent="0.55000000000000004">
      <c r="A9" t="s">
        <v>27</v>
      </c>
      <c r="B9">
        <v>1950</v>
      </c>
      <c r="C9">
        <v>42.6</v>
      </c>
    </row>
    <row r="10" spans="1:3" x14ac:dyDescent="0.55000000000000004">
      <c r="A10" t="s">
        <v>27</v>
      </c>
      <c r="B10">
        <v>1960</v>
      </c>
      <c r="C10">
        <v>50.7</v>
      </c>
    </row>
    <row r="11" spans="1:3" x14ac:dyDescent="0.55000000000000004">
      <c r="A11" t="s">
        <v>27</v>
      </c>
      <c r="B11">
        <v>1970</v>
      </c>
      <c r="C11">
        <v>57.8</v>
      </c>
    </row>
    <row r="12" spans="1:3" x14ac:dyDescent="0.55000000000000004">
      <c r="A12" t="s">
        <v>27</v>
      </c>
      <c r="B12">
        <v>1980</v>
      </c>
      <c r="C12">
        <v>66.3</v>
      </c>
    </row>
    <row r="13" spans="1:3" x14ac:dyDescent="0.55000000000000004">
      <c r="A13" t="s">
        <v>27</v>
      </c>
      <c r="B13">
        <v>1990</v>
      </c>
      <c r="C13">
        <v>71.3</v>
      </c>
    </row>
    <row r="14" spans="1:3" x14ac:dyDescent="0.55000000000000004">
      <c r="A14" t="s">
        <v>27</v>
      </c>
      <c r="B14">
        <v>1995</v>
      </c>
      <c r="C14">
        <v>73.5</v>
      </c>
    </row>
    <row r="15" spans="1:3" x14ac:dyDescent="0.55000000000000004">
      <c r="A15" t="s">
        <v>27</v>
      </c>
      <c r="B15">
        <v>2000</v>
      </c>
      <c r="C15">
        <v>74.599999999999994</v>
      </c>
    </row>
    <row r="16" spans="1:3" x14ac:dyDescent="0.55000000000000004">
      <c r="A16" t="s">
        <v>27</v>
      </c>
      <c r="B16">
        <v>2005</v>
      </c>
      <c r="C16">
        <v>78.5</v>
      </c>
    </row>
    <row r="17" spans="1:15" x14ac:dyDescent="0.55000000000000004">
      <c r="A17" t="s">
        <v>27</v>
      </c>
      <c r="B17">
        <v>2010</v>
      </c>
      <c r="C17">
        <v>76.8</v>
      </c>
    </row>
    <row r="20" spans="1:15" x14ac:dyDescent="0.55000000000000004">
      <c r="A20" s="13" t="s">
        <v>96</v>
      </c>
    </row>
    <row r="21" spans="1:15" x14ac:dyDescent="0.55000000000000004">
      <c r="A21" t="s">
        <v>97</v>
      </c>
    </row>
    <row r="24" spans="1:15" x14ac:dyDescent="0.55000000000000004">
      <c r="A24" s="16" t="s">
        <v>42</v>
      </c>
      <c r="B24" s="16" t="s">
        <v>98</v>
      </c>
      <c r="C24" s="16" t="s">
        <v>99</v>
      </c>
      <c r="D24" s="16" t="s">
        <v>100</v>
      </c>
      <c r="E24" s="16" t="s">
        <v>101</v>
      </c>
      <c r="F24" s="16" t="s">
        <v>102</v>
      </c>
      <c r="G24" s="16" t="s">
        <v>103</v>
      </c>
      <c r="H24" s="16" t="s">
        <v>104</v>
      </c>
      <c r="I24" s="16" t="s">
        <v>105</v>
      </c>
      <c r="J24" s="16" t="s">
        <v>107</v>
      </c>
      <c r="K24" s="23" t="s">
        <v>106</v>
      </c>
      <c r="L24" s="23" t="s">
        <v>108</v>
      </c>
      <c r="M24" s="23" t="s">
        <v>109</v>
      </c>
      <c r="N24" s="23" t="s">
        <v>61</v>
      </c>
      <c r="O24" s="23" t="s">
        <v>54</v>
      </c>
    </row>
    <row r="25" spans="1:15" x14ac:dyDescent="0.55000000000000004">
      <c r="A25" s="17">
        <v>1900</v>
      </c>
      <c r="B25" s="18">
        <v>13607272</v>
      </c>
      <c r="C25" s="18">
        <v>1003646</v>
      </c>
      <c r="D25" s="18">
        <v>1985468</v>
      </c>
      <c r="E25" s="18">
        <v>3330153</v>
      </c>
      <c r="F25" s="18">
        <v>4366941</v>
      </c>
      <c r="G25" s="18"/>
      <c r="H25" s="18"/>
      <c r="I25" s="18"/>
      <c r="J25" s="18"/>
      <c r="K25" s="18"/>
      <c r="L25" s="21">
        <f>B25-SUM(C25:F25)</f>
        <v>2921064</v>
      </c>
      <c r="M25" s="17"/>
      <c r="N25" s="22">
        <f>100*L25/B25</f>
        <v>21.466933269210756</v>
      </c>
      <c r="O25" s="22"/>
    </row>
    <row r="26" spans="1:15" x14ac:dyDescent="0.55000000000000004">
      <c r="A26" s="17">
        <v>1910</v>
      </c>
      <c r="B26" s="18">
        <v>15160369</v>
      </c>
      <c r="C26" s="18">
        <v>945632</v>
      </c>
      <c r="D26" s="18">
        <v>2053154</v>
      </c>
      <c r="E26" s="18">
        <v>3339000</v>
      </c>
      <c r="F26" s="18">
        <v>5078967</v>
      </c>
      <c r="G26" s="18"/>
      <c r="H26" s="18"/>
      <c r="I26" s="18"/>
      <c r="J26" s="18"/>
      <c r="K26" s="18"/>
      <c r="L26" s="21">
        <f t="shared" ref="L26:L28" si="0">B26-SUM(C26:F26)</f>
        <v>3743616</v>
      </c>
      <c r="M26" s="17"/>
      <c r="N26" s="22">
        <f t="shared" ref="N26:N38" si="1">100*L26/B26</f>
        <v>24.693435891962789</v>
      </c>
      <c r="O26" s="22"/>
    </row>
    <row r="27" spans="1:15" x14ac:dyDescent="0.55000000000000004">
      <c r="A27" s="17">
        <v>1921</v>
      </c>
      <c r="B27" s="18">
        <v>14330780</v>
      </c>
      <c r="C27" s="18">
        <v>843464</v>
      </c>
      <c r="D27" s="18">
        <v>1846928</v>
      </c>
      <c r="E27" s="18">
        <v>3103658</v>
      </c>
      <c r="F27" s="18">
        <v>4149139</v>
      </c>
      <c r="G27" s="18"/>
      <c r="H27" s="18"/>
      <c r="I27" s="18"/>
      <c r="J27" s="18"/>
      <c r="K27" s="18"/>
      <c r="L27" s="21">
        <f t="shared" si="0"/>
        <v>4387591</v>
      </c>
      <c r="M27" s="17"/>
      <c r="N27" s="22">
        <f t="shared" si="1"/>
        <v>30.616554018692632</v>
      </c>
      <c r="O27" s="22"/>
    </row>
    <row r="28" spans="1:15" x14ac:dyDescent="0.55000000000000004">
      <c r="A28" s="17">
        <v>1930</v>
      </c>
      <c r="B28" s="18">
        <v>16552722</v>
      </c>
      <c r="C28" s="18">
        <v>805014</v>
      </c>
      <c r="D28" s="18">
        <v>2171814</v>
      </c>
      <c r="E28" s="18">
        <v>3655794</v>
      </c>
      <c r="F28" s="18">
        <v>5210646</v>
      </c>
      <c r="G28" s="18"/>
      <c r="H28" s="18"/>
      <c r="I28" s="18"/>
      <c r="J28" s="18"/>
      <c r="K28" s="18"/>
      <c r="L28" s="21">
        <f t="shared" si="0"/>
        <v>4709454</v>
      </c>
      <c r="M28" s="17"/>
      <c r="N28" s="22">
        <f t="shared" si="1"/>
        <v>28.451235996109883</v>
      </c>
      <c r="O28" s="22"/>
    </row>
    <row r="29" spans="1:15" x14ac:dyDescent="0.55000000000000004">
      <c r="A29" s="17">
        <v>1940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7"/>
      <c r="M29" s="17"/>
      <c r="N29" s="22"/>
      <c r="O29" s="22"/>
    </row>
    <row r="30" spans="1:15" x14ac:dyDescent="0.55000000000000004">
      <c r="A30" s="17">
        <v>1950</v>
      </c>
      <c r="B30" s="18">
        <v>25791017</v>
      </c>
      <c r="C30" s="18">
        <v>14790299</v>
      </c>
      <c r="D30" s="18">
        <v>2063467</v>
      </c>
      <c r="E30" s="18">
        <v>1472397</v>
      </c>
      <c r="F30" s="18">
        <v>1281299</v>
      </c>
      <c r="G30" s="19">
        <v>1258428</v>
      </c>
      <c r="H30" s="19">
        <v>725296</v>
      </c>
      <c r="I30" s="19">
        <v>1406204</v>
      </c>
      <c r="J30" s="19">
        <v>2234795</v>
      </c>
      <c r="K30" s="18"/>
      <c r="L30" s="21">
        <f t="shared" ref="L30:L38" si="2">B30-SUM(C30:F30)</f>
        <v>6183555</v>
      </c>
      <c r="M30" s="21">
        <f>SUM(I30:K30)</f>
        <v>3640999</v>
      </c>
      <c r="N30" s="22">
        <f t="shared" si="1"/>
        <v>23.975615230682838</v>
      </c>
      <c r="O30" s="22">
        <f>M30/B30*100</f>
        <v>14.117314567316209</v>
      </c>
    </row>
    <row r="31" spans="1:15" x14ac:dyDescent="0.55000000000000004">
      <c r="A31" s="17">
        <v>1960</v>
      </c>
      <c r="B31" s="18">
        <v>34923129</v>
      </c>
      <c r="C31" s="18">
        <v>17218011</v>
      </c>
      <c r="D31" s="18">
        <v>2959460</v>
      </c>
      <c r="E31" s="18">
        <v>2366431</v>
      </c>
      <c r="F31" s="18">
        <v>2027511</v>
      </c>
      <c r="G31" s="19">
        <v>2108551</v>
      </c>
      <c r="H31" s="20">
        <v>1730933</v>
      </c>
      <c r="I31" s="19">
        <v>2346360</v>
      </c>
      <c r="J31" s="20">
        <v>4165872</v>
      </c>
      <c r="K31" s="18"/>
      <c r="L31" s="21">
        <f t="shared" si="2"/>
        <v>10351716</v>
      </c>
      <c r="M31" s="21">
        <f t="shared" ref="M31:M32" si="3">SUM(I31:K31)</f>
        <v>6512232</v>
      </c>
      <c r="N31" s="22">
        <f t="shared" si="1"/>
        <v>29.641433332047651</v>
      </c>
      <c r="O31" s="22">
        <f t="shared" ref="O31:O38" si="4">M31/B31*100</f>
        <v>18.647332545717767</v>
      </c>
    </row>
    <row r="32" spans="1:15" x14ac:dyDescent="0.55000000000000004">
      <c r="A32" s="17">
        <v>1970</v>
      </c>
      <c r="B32" s="19">
        <v>48225238</v>
      </c>
      <c r="C32" s="20">
        <v>19916682</v>
      </c>
      <c r="D32" s="19">
        <v>4129872</v>
      </c>
      <c r="E32" s="19">
        <v>3764208</v>
      </c>
      <c r="F32" s="19">
        <v>3409846</v>
      </c>
      <c r="G32" s="19">
        <v>3405818</v>
      </c>
      <c r="H32" s="20">
        <v>2356569</v>
      </c>
      <c r="I32" s="20">
        <v>5707130</v>
      </c>
      <c r="J32" s="19">
        <v>4341512</v>
      </c>
      <c r="K32" s="19">
        <v>1193601</v>
      </c>
      <c r="L32" s="21">
        <f t="shared" si="2"/>
        <v>17004630</v>
      </c>
      <c r="M32" s="21">
        <f t="shared" si="3"/>
        <v>11242243</v>
      </c>
      <c r="N32" s="22">
        <f t="shared" si="1"/>
        <v>35.260852419224967</v>
      </c>
      <c r="O32" s="22">
        <f t="shared" si="4"/>
        <v>23.311949232889219</v>
      </c>
    </row>
    <row r="33" spans="1:15" x14ac:dyDescent="0.55000000000000004">
      <c r="A33" s="17">
        <v>1980</v>
      </c>
      <c r="B33" s="19"/>
      <c r="C33" s="20"/>
      <c r="D33" s="19"/>
      <c r="E33" s="19"/>
      <c r="F33" s="19"/>
      <c r="G33" s="19"/>
      <c r="H33" s="20"/>
      <c r="I33" s="20"/>
      <c r="J33" s="19"/>
      <c r="K33" s="19"/>
      <c r="L33" s="21"/>
      <c r="M33" s="17"/>
      <c r="N33" s="22"/>
      <c r="O33" s="22"/>
    </row>
    <row r="34" spans="1:15" x14ac:dyDescent="0.55000000000000004">
      <c r="A34" s="17">
        <v>1990</v>
      </c>
      <c r="B34" s="20">
        <v>81249645</v>
      </c>
      <c r="C34" s="19">
        <v>23289924</v>
      </c>
      <c r="D34" s="19">
        <v>4647566</v>
      </c>
      <c r="E34" s="19">
        <v>6636745</v>
      </c>
      <c r="F34" s="19">
        <v>1675566</v>
      </c>
      <c r="G34" s="19">
        <v>5075188</v>
      </c>
      <c r="H34" s="19">
        <v>3854850</v>
      </c>
      <c r="I34" s="19">
        <v>18233313</v>
      </c>
      <c r="J34" s="19">
        <v>8878127</v>
      </c>
      <c r="K34" s="19">
        <v>8958366</v>
      </c>
      <c r="L34" s="21">
        <f t="shared" si="2"/>
        <v>44999844</v>
      </c>
      <c r="M34" s="21">
        <f t="shared" ref="M34:M38" si="5">SUM(I34:K34)</f>
        <v>36069806</v>
      </c>
      <c r="N34" s="22">
        <f t="shared" si="1"/>
        <v>55.384665372999478</v>
      </c>
      <c r="O34" s="22">
        <f t="shared" si="4"/>
        <v>44.393801351378215</v>
      </c>
    </row>
    <row r="35" spans="1:15" x14ac:dyDescent="0.55000000000000004">
      <c r="A35" s="17">
        <v>1995</v>
      </c>
      <c r="B35" s="19">
        <v>91158290</v>
      </c>
      <c r="C35" s="19">
        <v>24154775</v>
      </c>
      <c r="D35" s="19">
        <v>4996974</v>
      </c>
      <c r="E35" s="19">
        <v>7373112</v>
      </c>
      <c r="F35" s="19">
        <v>1859302</v>
      </c>
      <c r="G35" s="19">
        <v>6146276</v>
      </c>
      <c r="H35" s="19">
        <v>4340532</v>
      </c>
      <c r="I35" s="19">
        <v>19000266</v>
      </c>
      <c r="J35" s="19">
        <v>13765240</v>
      </c>
      <c r="K35" s="19">
        <v>9521813</v>
      </c>
      <c r="L35" s="21">
        <f t="shared" si="2"/>
        <v>52774127</v>
      </c>
      <c r="M35" s="21">
        <f t="shared" si="5"/>
        <v>42287319</v>
      </c>
      <c r="N35" s="22">
        <f t="shared" si="1"/>
        <v>57.89284441382128</v>
      </c>
      <c r="O35" s="22">
        <f t="shared" si="4"/>
        <v>46.388890138241948</v>
      </c>
    </row>
    <row r="36" spans="1:15" x14ac:dyDescent="0.55000000000000004">
      <c r="A36" s="17">
        <v>2000</v>
      </c>
      <c r="B36" s="20">
        <v>97483412</v>
      </c>
      <c r="C36" s="19">
        <v>24723590</v>
      </c>
      <c r="D36" s="19">
        <v>5462305</v>
      </c>
      <c r="E36" s="19">
        <v>7878309</v>
      </c>
      <c r="F36" s="19">
        <v>1888466</v>
      </c>
      <c r="G36" s="19">
        <v>6847942</v>
      </c>
      <c r="H36" s="19">
        <v>4549492</v>
      </c>
      <c r="I36" s="19">
        <v>20430268</v>
      </c>
      <c r="J36" s="19">
        <v>12461706</v>
      </c>
      <c r="K36" s="19">
        <v>13241334</v>
      </c>
      <c r="L36" s="21">
        <f t="shared" si="2"/>
        <v>57530742</v>
      </c>
      <c r="M36" s="21">
        <f t="shared" si="5"/>
        <v>46133308</v>
      </c>
      <c r="N36" s="22">
        <f t="shared" si="1"/>
        <v>59.015929807627167</v>
      </c>
      <c r="O36" s="22">
        <f t="shared" si="4"/>
        <v>47.324264768245904</v>
      </c>
    </row>
    <row r="37" spans="1:15" x14ac:dyDescent="0.55000000000000004">
      <c r="A37" s="17">
        <v>2005</v>
      </c>
      <c r="B37" s="19">
        <v>103263388</v>
      </c>
      <c r="C37" s="19">
        <v>24276536</v>
      </c>
      <c r="D37" s="19">
        <v>5663750</v>
      </c>
      <c r="E37" s="19">
        <v>8466969</v>
      </c>
      <c r="F37" s="19">
        <v>1837560</v>
      </c>
      <c r="G37" s="19">
        <v>7444004</v>
      </c>
      <c r="H37" s="19">
        <v>5082771</v>
      </c>
      <c r="I37" s="19">
        <v>21370547</v>
      </c>
      <c r="J37" s="19">
        <v>14398274</v>
      </c>
      <c r="K37" s="19">
        <v>14722977</v>
      </c>
      <c r="L37" s="21">
        <f t="shared" si="2"/>
        <v>63018573</v>
      </c>
      <c r="M37" s="21">
        <f t="shared" si="5"/>
        <v>50491798</v>
      </c>
      <c r="N37" s="22">
        <f t="shared" si="1"/>
        <v>61.027024408689748</v>
      </c>
      <c r="O37" s="22">
        <f t="shared" si="4"/>
        <v>48.896127638190606</v>
      </c>
    </row>
    <row r="38" spans="1:15" x14ac:dyDescent="0.55000000000000004">
      <c r="A38" s="17">
        <v>2010</v>
      </c>
      <c r="B38" s="19">
        <v>112336538</v>
      </c>
      <c r="C38" s="19">
        <v>26049769</v>
      </c>
      <c r="D38" s="19">
        <v>6360949</v>
      </c>
      <c r="E38" s="19">
        <v>9746684</v>
      </c>
      <c r="F38" s="19">
        <v>6417488</v>
      </c>
      <c r="G38" s="19">
        <v>4150450</v>
      </c>
      <c r="H38" s="19">
        <v>5946088</v>
      </c>
      <c r="I38" s="19">
        <v>22472661</v>
      </c>
      <c r="J38" s="19">
        <v>16363103</v>
      </c>
      <c r="K38" s="19">
        <v>14829346</v>
      </c>
      <c r="L38" s="21">
        <f t="shared" si="2"/>
        <v>63761648</v>
      </c>
      <c r="M38" s="21">
        <f t="shared" si="5"/>
        <v>53665110</v>
      </c>
      <c r="N38" s="22">
        <f t="shared" si="1"/>
        <v>56.759491733669059</v>
      </c>
      <c r="O38" s="22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F13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O38" sqref="O38"/>
    </sheetView>
  </sheetViews>
  <sheetFormatPr defaultRowHeight="14.4" x14ac:dyDescent="0.55000000000000004"/>
  <sheetData>
    <row r="1" spans="1:28" x14ac:dyDescent="0.55000000000000004">
      <c r="A1" s="11" t="s">
        <v>91</v>
      </c>
    </row>
    <row r="3" spans="1:28" x14ac:dyDescent="0.55000000000000004">
      <c r="A3" s="12" t="s">
        <v>38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111</v>
      </c>
    </row>
    <row r="4" spans="1:28" x14ac:dyDescent="0.55000000000000004">
      <c r="A4">
        <v>1895</v>
      </c>
      <c r="B4" s="1">
        <v>37.4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8" x14ac:dyDescent="0.55000000000000004">
      <c r="A5">
        <v>1897</v>
      </c>
      <c r="B5" s="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>
        <v>15</v>
      </c>
      <c r="AB5">
        <v>14.7</v>
      </c>
    </row>
    <row r="6" spans="1:28" x14ac:dyDescent="0.55000000000000004">
      <c r="A6">
        <v>1899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8" x14ac:dyDescent="0.55000000000000004">
      <c r="A7">
        <v>1900</v>
      </c>
      <c r="B7" s="12"/>
      <c r="C7" s="12"/>
      <c r="D7" s="1">
        <v>26.9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8" x14ac:dyDescent="0.55000000000000004">
      <c r="A8">
        <v>1901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8" x14ac:dyDescent="0.55000000000000004">
      <c r="A9">
        <v>1906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">
        <v>33</v>
      </c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8" x14ac:dyDescent="0.55000000000000004">
      <c r="A10">
        <v>1910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8" x14ac:dyDescent="0.55000000000000004">
      <c r="A11">
        <v>1911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8" x14ac:dyDescent="0.55000000000000004">
      <c r="A12">
        <v>1913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>
        <v>18</v>
      </c>
    </row>
    <row r="13" spans="1:28" x14ac:dyDescent="0.55000000000000004">
      <c r="A13">
        <v>1914</v>
      </c>
      <c r="B13" s="1">
        <v>52.7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8" x14ac:dyDescent="0.55000000000000004">
      <c r="A14">
        <v>1920</v>
      </c>
      <c r="B14" s="12"/>
      <c r="C14" s="12"/>
      <c r="D14" s="12"/>
      <c r="E14" s="12"/>
      <c r="F14" s="12"/>
      <c r="G14" s="12"/>
      <c r="H14" s="12"/>
      <c r="I14" s="12"/>
      <c r="J14" s="12"/>
      <c r="K14" s="1">
        <v>16.100000000000001</v>
      </c>
      <c r="L14" s="12"/>
      <c r="M14" s="12"/>
      <c r="N14" s="12"/>
      <c r="O14" s="12"/>
      <c r="P14" s="1">
        <v>34.200000000000003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>
        <v>15</v>
      </c>
      <c r="AB14">
        <v>14.2</v>
      </c>
    </row>
    <row r="15" spans="1:28" x14ac:dyDescent="0.55000000000000004">
      <c r="A15">
        <v>1921</v>
      </c>
      <c r="B15" s="12"/>
      <c r="C15" s="12"/>
      <c r="D15" s="12"/>
      <c r="E15" s="12"/>
      <c r="F15" s="12"/>
      <c r="G15" s="12"/>
      <c r="H15" s="1">
        <v>26.6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8" x14ac:dyDescent="0.55000000000000004">
      <c r="A16">
        <v>1926</v>
      </c>
      <c r="B16" s="12"/>
      <c r="C16" s="12"/>
      <c r="D16" s="12"/>
      <c r="E16" s="12"/>
      <c r="F16" s="12"/>
      <c r="G16" s="12"/>
      <c r="H16" s="1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>
        <v>17.899999999999999</v>
      </c>
      <c r="AB16">
        <v>17.3</v>
      </c>
    </row>
    <row r="17" spans="1:28" x14ac:dyDescent="0.55000000000000004">
      <c r="A17">
        <v>1930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">
        <v>33.5</v>
      </c>
      <c r="P17" s="12"/>
      <c r="Q17" s="1">
        <v>30.1</v>
      </c>
      <c r="R17" s="12"/>
      <c r="S17" s="12"/>
      <c r="T17" s="1">
        <v>38.299999999999997</v>
      </c>
      <c r="U17" s="12"/>
      <c r="V17" s="12"/>
      <c r="W17" s="12"/>
      <c r="X17" s="1">
        <v>49.4</v>
      </c>
      <c r="Y17" s="1">
        <v>30.3</v>
      </c>
      <c r="Z17" s="12"/>
    </row>
    <row r="18" spans="1:28" x14ac:dyDescent="0.55000000000000004">
      <c r="A18">
        <v>1931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8" x14ac:dyDescent="0.55000000000000004">
      <c r="A19">
        <v>1935</v>
      </c>
      <c r="B19" s="12"/>
      <c r="C19" s="12"/>
      <c r="D19" s="12"/>
      <c r="E19" s="12"/>
      <c r="F19" s="12"/>
      <c r="G19" s="12"/>
      <c r="H19" s="12"/>
      <c r="I19" s="12"/>
      <c r="J19" s="12"/>
      <c r="K19" s="1">
        <v>18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8" x14ac:dyDescent="0.55000000000000004">
      <c r="A20">
        <v>1936</v>
      </c>
      <c r="B20" s="12"/>
      <c r="C20" s="12"/>
      <c r="D20" s="12"/>
      <c r="E20" s="12"/>
      <c r="F20" s="1">
        <v>35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8" x14ac:dyDescent="0.55000000000000004">
      <c r="A21">
        <v>1937</v>
      </c>
      <c r="B21" s="12"/>
      <c r="C21" s="12"/>
      <c r="D21" s="12"/>
      <c r="E21" s="12"/>
      <c r="F21" s="1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">
        <v>27</v>
      </c>
      <c r="AB21">
        <v>28.9</v>
      </c>
    </row>
    <row r="22" spans="1:28" x14ac:dyDescent="0.55000000000000004">
      <c r="A22">
        <v>1938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">
        <v>29.1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8" x14ac:dyDescent="0.55000000000000004">
      <c r="A23">
        <v>1939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>
        <v>28.3</v>
      </c>
      <c r="AB23">
        <v>31.5</v>
      </c>
    </row>
    <row r="24" spans="1:28" x14ac:dyDescent="0.55000000000000004">
      <c r="A24">
        <v>1940</v>
      </c>
      <c r="B24" s="2"/>
      <c r="C24" s="2"/>
      <c r="D24" s="2"/>
      <c r="E24" s="1">
        <v>31.2</v>
      </c>
      <c r="F24" s="2"/>
      <c r="G24" s="2"/>
      <c r="H24" s="1">
        <v>26.7</v>
      </c>
      <c r="I24" s="2"/>
      <c r="J24" s="2"/>
      <c r="K24" s="2"/>
      <c r="L24" s="2"/>
      <c r="M24" s="2"/>
      <c r="N24" s="2"/>
      <c r="O24" s="1">
        <v>35.1</v>
      </c>
      <c r="P24" s="1">
        <v>37.200000000000003</v>
      </c>
      <c r="Q24" s="1">
        <v>33.799999999999997</v>
      </c>
      <c r="R24" s="2"/>
      <c r="S24">
        <v>36.1</v>
      </c>
      <c r="T24" s="2"/>
      <c r="U24" s="2"/>
      <c r="V24" s="2"/>
      <c r="W24" s="2"/>
      <c r="X24" s="1">
        <v>52.4</v>
      </c>
      <c r="Y24" s="2"/>
      <c r="Z24" s="2"/>
    </row>
    <row r="25" spans="1:28" x14ac:dyDescent="0.55000000000000004">
      <c r="A25">
        <v>1941</v>
      </c>
      <c r="B25" s="2"/>
      <c r="C25" s="2"/>
      <c r="D25" s="2"/>
      <c r="E25" s="2"/>
      <c r="F25" s="1">
        <v>39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  <c r="V25" s="2"/>
      <c r="W25" s="2"/>
      <c r="X25" s="2"/>
      <c r="Y25" s="2"/>
      <c r="Z25" s="2"/>
    </row>
    <row r="26" spans="1:28" x14ac:dyDescent="0.55000000000000004">
      <c r="A26">
        <v>1943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>
        <v>54.6</v>
      </c>
      <c r="O26" s="2"/>
      <c r="P26" s="2"/>
      <c r="Q26" s="2"/>
      <c r="R26" s="2"/>
      <c r="T26" s="2"/>
      <c r="U26" s="2"/>
      <c r="V26" s="2"/>
      <c r="W26" s="2"/>
      <c r="X26" s="2"/>
      <c r="Y26" s="2"/>
      <c r="Z26" s="1">
        <v>18.2</v>
      </c>
    </row>
    <row r="27" spans="1:28" x14ac:dyDescent="0.55000000000000004">
      <c r="A27">
        <v>1945</v>
      </c>
      <c r="B27" s="2"/>
      <c r="C27" s="2"/>
      <c r="D27" s="2"/>
      <c r="E27" s="2"/>
      <c r="F27" s="2"/>
      <c r="G27" s="2"/>
      <c r="H27" s="2"/>
      <c r="I27" s="2"/>
      <c r="J27" s="1">
        <v>29</v>
      </c>
      <c r="K27" s="2"/>
      <c r="L27" s="2"/>
      <c r="M27" s="2"/>
      <c r="N27" s="2"/>
      <c r="O27" s="2"/>
      <c r="P27" s="2"/>
      <c r="Q27" s="2"/>
      <c r="R27" s="2"/>
      <c r="T27" s="2"/>
      <c r="U27" s="2"/>
      <c r="V27" s="2"/>
      <c r="W27" s="2"/>
      <c r="X27" s="2"/>
      <c r="Y27" s="2"/>
      <c r="Z27" s="2"/>
    </row>
    <row r="28" spans="1:28" x14ac:dyDescent="0.55000000000000004">
      <c r="A28">
        <v>1946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  <c r="V28" s="2"/>
      <c r="W28" s="2"/>
      <c r="X28" s="2"/>
      <c r="Y28" s="2"/>
      <c r="Z28" s="2"/>
    </row>
    <row r="29" spans="1:28" x14ac:dyDescent="0.55000000000000004">
      <c r="A29">
        <v>1947</v>
      </c>
      <c r="B29" s="1">
        <v>62.5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  <c r="V29" s="2"/>
      <c r="W29" s="2"/>
      <c r="X29" s="2"/>
      <c r="Y29" s="2"/>
      <c r="Z29" s="2"/>
    </row>
    <row r="30" spans="1:28" x14ac:dyDescent="0.55000000000000004">
      <c r="A30">
        <v>1950</v>
      </c>
      <c r="B30" s="1">
        <v>62.5</v>
      </c>
      <c r="C30" s="1">
        <v>56.5</v>
      </c>
      <c r="D30" s="1">
        <v>33.9</v>
      </c>
      <c r="E30" s="1">
        <v>36.5</v>
      </c>
      <c r="F30" s="1">
        <v>53.7</v>
      </c>
      <c r="G30" s="1">
        <v>12.2</v>
      </c>
      <c r="H30" s="1">
        <v>25</v>
      </c>
      <c r="I30" s="1">
        <v>28.1</v>
      </c>
      <c r="J30" s="1">
        <v>31</v>
      </c>
      <c r="K30" s="1">
        <v>23.9</v>
      </c>
      <c r="L30" s="1">
        <v>42.7</v>
      </c>
      <c r="M30" s="1">
        <v>33.5</v>
      </c>
      <c r="N30" s="1">
        <v>55.1</v>
      </c>
      <c r="O30" s="1">
        <v>40.5</v>
      </c>
      <c r="P30" s="1">
        <v>34.9</v>
      </c>
      <c r="Q30" s="1">
        <v>36</v>
      </c>
      <c r="R30" s="1">
        <v>34.6</v>
      </c>
      <c r="S30" s="1">
        <v>35.299999999999997</v>
      </c>
      <c r="T30" s="1">
        <v>36.5</v>
      </c>
      <c r="U30" s="1">
        <v>47</v>
      </c>
      <c r="V30" s="1">
        <v>78</v>
      </c>
      <c r="W30" s="1">
        <v>52</v>
      </c>
      <c r="X30" s="1">
        <v>60.7</v>
      </c>
      <c r="Y30" s="1">
        <v>28.5</v>
      </c>
      <c r="Z30" s="1">
        <v>26.7</v>
      </c>
    </row>
    <row r="31" spans="1:28" x14ac:dyDescent="0.55000000000000004">
      <c r="A31">
        <v>1959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>
        <v>47.9</v>
      </c>
      <c r="AB31">
        <v>52.4</v>
      </c>
    </row>
    <row r="32" spans="1:28" x14ac:dyDescent="0.55000000000000004">
      <c r="A32">
        <v>1960</v>
      </c>
      <c r="B32" s="1">
        <v>73.8</v>
      </c>
      <c r="C32" s="1">
        <v>53.8</v>
      </c>
      <c r="D32" s="1">
        <v>39.299999999999997</v>
      </c>
      <c r="E32" s="1">
        <v>43</v>
      </c>
      <c r="F32" s="1">
        <v>67.400000000000006</v>
      </c>
      <c r="G32" s="1">
        <v>15.6</v>
      </c>
      <c r="H32" s="1">
        <v>33.6</v>
      </c>
      <c r="I32" s="1">
        <v>29</v>
      </c>
      <c r="J32" s="1">
        <v>30.4</v>
      </c>
      <c r="K32" s="1">
        <v>30.5</v>
      </c>
      <c r="L32" s="1">
        <v>52.1</v>
      </c>
      <c r="M32" s="1">
        <v>34.5</v>
      </c>
      <c r="N32" s="1">
        <v>54.9</v>
      </c>
      <c r="O32" s="1">
        <v>50.7</v>
      </c>
      <c r="P32" s="1">
        <v>40.9</v>
      </c>
      <c r="Q32" s="1">
        <v>41.5</v>
      </c>
      <c r="R32" s="1">
        <v>35.799999999999997</v>
      </c>
      <c r="S32" s="1">
        <v>47.4</v>
      </c>
      <c r="T32" s="1">
        <v>38.5</v>
      </c>
      <c r="U32" s="1">
        <v>47.2</v>
      </c>
      <c r="V32" s="1">
        <v>81</v>
      </c>
      <c r="W32" s="1">
        <v>63.6</v>
      </c>
      <c r="X32" s="1">
        <v>68.2</v>
      </c>
      <c r="Y32" s="1">
        <v>35.299999999999997</v>
      </c>
      <c r="Z32" s="1">
        <v>33.799999999999997</v>
      </c>
    </row>
    <row r="33" spans="1:28" x14ac:dyDescent="0.55000000000000004">
      <c r="A33">
        <v>1970</v>
      </c>
      <c r="B33" s="1">
        <v>79</v>
      </c>
      <c r="C33" s="1">
        <v>51.2</v>
      </c>
      <c r="D33" s="1">
        <v>41.7</v>
      </c>
      <c r="E33" s="1">
        <v>55.9</v>
      </c>
      <c r="F33" s="1">
        <v>77.2</v>
      </c>
      <c r="G33" s="1">
        <v>20.2</v>
      </c>
      <c r="H33" s="1">
        <v>36.4</v>
      </c>
      <c r="I33" s="1">
        <v>29.5</v>
      </c>
      <c r="J33" s="1">
        <v>37.200000000000003</v>
      </c>
      <c r="K33" s="1">
        <v>39.700000000000003</v>
      </c>
      <c r="L33" s="1">
        <v>59.1</v>
      </c>
      <c r="M33" s="1">
        <v>40.6</v>
      </c>
      <c r="N33" s="1">
        <v>60.7</v>
      </c>
      <c r="O33" s="1">
        <v>58.7</v>
      </c>
      <c r="P33" s="1">
        <v>47.7</v>
      </c>
      <c r="Q33" s="1">
        <v>47.6</v>
      </c>
      <c r="R33" s="1">
        <v>37.1</v>
      </c>
      <c r="S33" s="1">
        <v>59.5</v>
      </c>
      <c r="T33" s="1">
        <v>39.5</v>
      </c>
      <c r="U33" s="1">
        <v>46</v>
      </c>
      <c r="V33" s="1">
        <v>83.3</v>
      </c>
      <c r="W33" s="1">
        <v>67.3</v>
      </c>
      <c r="X33" s="1">
        <v>75.099999999999994</v>
      </c>
      <c r="Y33" s="1">
        <v>41.4</v>
      </c>
      <c r="Z33" s="1">
        <v>41.5</v>
      </c>
      <c r="AA33" s="1">
        <v>56.3</v>
      </c>
      <c r="AB33" s="1">
        <v>62.3</v>
      </c>
    </row>
    <row r="34" spans="1:28" x14ac:dyDescent="0.55000000000000004">
      <c r="A34">
        <v>1979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62.3</v>
      </c>
      <c r="AB34">
        <v>69.3</v>
      </c>
    </row>
    <row r="35" spans="1:28" x14ac:dyDescent="0.55000000000000004">
      <c r="A35">
        <v>1980</v>
      </c>
      <c r="B35" s="1">
        <v>83</v>
      </c>
      <c r="C35" s="1">
        <v>49.3</v>
      </c>
      <c r="D35" s="1">
        <v>50.5</v>
      </c>
      <c r="E35" s="1">
        <v>67.599999999999994</v>
      </c>
      <c r="F35" s="1">
        <v>84</v>
      </c>
      <c r="G35" s="1">
        <v>24.5</v>
      </c>
      <c r="H35" s="1">
        <v>32.700000000000003</v>
      </c>
      <c r="I35" s="1">
        <v>30.6</v>
      </c>
      <c r="J35" s="1">
        <v>38.700000000000003</v>
      </c>
      <c r="K35" s="1">
        <v>52</v>
      </c>
      <c r="L35" s="1">
        <v>67.2</v>
      </c>
      <c r="M35" s="1">
        <v>44.5</v>
      </c>
      <c r="N35" s="1">
        <v>69</v>
      </c>
      <c r="O35" s="1">
        <v>66.400000000000006</v>
      </c>
      <c r="P35" s="1">
        <v>50.3</v>
      </c>
      <c r="Q35" s="1">
        <v>50.4</v>
      </c>
      <c r="R35" s="1">
        <v>42.8</v>
      </c>
      <c r="S35" s="1">
        <v>65.2</v>
      </c>
      <c r="T35" s="1">
        <v>41.6</v>
      </c>
      <c r="U35" s="1">
        <v>54.9</v>
      </c>
      <c r="V35" s="1">
        <v>87.3</v>
      </c>
      <c r="W35" s="1">
        <v>70.599999999999994</v>
      </c>
      <c r="X35" s="1">
        <v>82.2</v>
      </c>
      <c r="Y35" s="1">
        <v>49</v>
      </c>
      <c r="Z35" s="1">
        <v>46.8</v>
      </c>
    </row>
    <row r="36" spans="1:28" x14ac:dyDescent="0.55000000000000004">
      <c r="A36">
        <v>1989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>
        <v>65.900000000000006</v>
      </c>
      <c r="AB36">
        <v>73.599999999999994</v>
      </c>
    </row>
    <row r="37" spans="1:28" x14ac:dyDescent="0.55000000000000004">
      <c r="A37">
        <v>1990</v>
      </c>
      <c r="B37" s="1">
        <v>87.3</v>
      </c>
      <c r="C37" s="1">
        <v>47.6</v>
      </c>
      <c r="D37" s="1">
        <v>57.5</v>
      </c>
      <c r="E37" s="1">
        <v>78.400000000000006</v>
      </c>
      <c r="F37" s="1">
        <v>84.4</v>
      </c>
      <c r="G37" s="1">
        <v>29.5</v>
      </c>
      <c r="H37" s="1">
        <v>35</v>
      </c>
      <c r="I37" s="1">
        <v>33.200000000000003</v>
      </c>
      <c r="J37" s="1">
        <v>47.5</v>
      </c>
      <c r="K37" s="1">
        <v>56.1</v>
      </c>
      <c r="L37" s="1">
        <v>71</v>
      </c>
      <c r="M37" s="1">
        <v>46.8</v>
      </c>
      <c r="N37" s="1">
        <v>73.599999999999994</v>
      </c>
      <c r="O37" s="1">
        <v>71.3</v>
      </c>
      <c r="P37" s="1">
        <v>54.4</v>
      </c>
      <c r="Q37" s="1">
        <v>53.7</v>
      </c>
      <c r="R37" s="1">
        <v>50.3</v>
      </c>
      <c r="S37" s="1">
        <v>70.099999999999994</v>
      </c>
      <c r="T37" s="1">
        <v>50.4</v>
      </c>
      <c r="U37" s="1">
        <v>65.400000000000006</v>
      </c>
      <c r="V37" s="1">
        <v>90.8</v>
      </c>
      <c r="W37" s="1">
        <v>74.400000000000006</v>
      </c>
      <c r="X37" s="1">
        <v>83.5</v>
      </c>
      <c r="Y37" s="1">
        <v>55.1</v>
      </c>
      <c r="Z37" s="1">
        <v>51.5</v>
      </c>
    </row>
    <row r="38" spans="1:28" x14ac:dyDescent="0.55000000000000004">
      <c r="A38">
        <v>2000</v>
      </c>
      <c r="B38" s="1">
        <v>90.5</v>
      </c>
      <c r="C38" s="1">
        <v>47.9</v>
      </c>
      <c r="D38" s="1">
        <v>62.4</v>
      </c>
      <c r="E38" s="1">
        <v>81.2</v>
      </c>
      <c r="F38" s="1">
        <v>86.9</v>
      </c>
      <c r="G38" s="1">
        <v>35.6</v>
      </c>
      <c r="H38" s="1">
        <v>46.1</v>
      </c>
      <c r="I38" s="1">
        <v>36.200000000000003</v>
      </c>
      <c r="J38" s="1">
        <v>45.5</v>
      </c>
      <c r="K38" s="1">
        <v>58.2</v>
      </c>
      <c r="L38" s="1">
        <v>74.900000000000006</v>
      </c>
      <c r="M38" s="1">
        <v>59</v>
      </c>
      <c r="N38" s="1">
        <v>75.2</v>
      </c>
      <c r="O38" s="1">
        <v>69.8</v>
      </c>
      <c r="P38" s="1">
        <v>56.1</v>
      </c>
      <c r="Q38" s="1">
        <v>65.599999999999994</v>
      </c>
      <c r="R38" s="1">
        <v>58.7</v>
      </c>
      <c r="S38" s="1">
        <v>72.8</v>
      </c>
      <c r="T38" s="1">
        <v>58.4</v>
      </c>
      <c r="U38" s="1">
        <v>74.099999999999994</v>
      </c>
      <c r="V38" s="1">
        <v>91.9</v>
      </c>
      <c r="W38" s="1">
        <v>75</v>
      </c>
      <c r="X38" s="1">
        <v>86.6</v>
      </c>
      <c r="Y38" s="1">
        <v>61.4</v>
      </c>
      <c r="Z38" s="1">
        <v>52.1</v>
      </c>
    </row>
    <row r="42" spans="1:28" x14ac:dyDescent="0.55000000000000004">
      <c r="A42" s="11" t="s">
        <v>39</v>
      </c>
    </row>
    <row r="44" spans="1:28" x14ac:dyDescent="0.55000000000000004">
      <c r="A44" s="12" t="s">
        <v>38</v>
      </c>
      <c r="B44" s="12" t="s">
        <v>6</v>
      </c>
      <c r="C44" s="12" t="s">
        <v>19</v>
      </c>
      <c r="D44" s="12" t="s">
        <v>7</v>
      </c>
      <c r="E44" s="12" t="s">
        <v>8</v>
      </c>
      <c r="F44" s="12" t="s">
        <v>18</v>
      </c>
      <c r="G44" s="12" t="s">
        <v>24</v>
      </c>
      <c r="H44" s="12" t="s">
        <v>23</v>
      </c>
      <c r="I44" s="12" t="s">
        <v>12</v>
      </c>
      <c r="J44" s="12" t="s">
        <v>25</v>
      </c>
      <c r="K44" s="12" t="s">
        <v>30</v>
      </c>
      <c r="L44" s="12" t="s">
        <v>10</v>
      </c>
      <c r="M44" s="12" t="s">
        <v>20</v>
      </c>
      <c r="N44" s="12" t="s">
        <v>21</v>
      </c>
      <c r="O44" s="12" t="s">
        <v>27</v>
      </c>
      <c r="P44" s="12" t="s">
        <v>28</v>
      </c>
      <c r="Q44" s="12" t="s">
        <v>29</v>
      </c>
      <c r="R44" s="12" t="s">
        <v>14</v>
      </c>
      <c r="S44" s="12" t="s">
        <v>15</v>
      </c>
      <c r="T44" s="12" t="s">
        <v>22</v>
      </c>
      <c r="U44" s="12" t="s">
        <v>16</v>
      </c>
      <c r="V44" s="12" t="s">
        <v>17</v>
      </c>
      <c r="W44" s="12" t="s">
        <v>13</v>
      </c>
      <c r="X44" s="12" t="s">
        <v>9</v>
      </c>
      <c r="Y44" s="12" t="s">
        <v>11</v>
      </c>
      <c r="Z44" s="12" t="s">
        <v>26</v>
      </c>
      <c r="AA44" s="12" t="s">
        <v>84</v>
      </c>
      <c r="AB44" s="12" t="s">
        <v>111</v>
      </c>
    </row>
    <row r="45" spans="1:28" x14ac:dyDescent="0.55000000000000004">
      <c r="A45" s="15">
        <v>1926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">
        <v>36</v>
      </c>
      <c r="AB45" s="1">
        <v>32.6</v>
      </c>
    </row>
    <row r="46" spans="1:28" x14ac:dyDescent="0.55000000000000004">
      <c r="A46" s="15">
        <v>1930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25">
        <v>37.200000000000003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"/>
      <c r="AB46" s="1"/>
    </row>
    <row r="47" spans="1:28" x14ac:dyDescent="0.55000000000000004">
      <c r="A47">
        <v>1950</v>
      </c>
      <c r="B47" s="1">
        <v>64.3</v>
      </c>
      <c r="C47" s="1">
        <v>56.5</v>
      </c>
      <c r="D47" s="1">
        <v>25.6</v>
      </c>
      <c r="E47" s="1">
        <v>30.1</v>
      </c>
      <c r="F47" s="1">
        <v>51.8</v>
      </c>
      <c r="G47" s="1">
        <v>9.6999999999999993</v>
      </c>
      <c r="H47" s="1">
        <v>26.8</v>
      </c>
      <c r="I47" s="1">
        <v>28.1</v>
      </c>
      <c r="J47" s="1">
        <v>17.2</v>
      </c>
      <c r="K47" s="1">
        <v>21.6</v>
      </c>
      <c r="L47" s="1">
        <v>33.700000000000003</v>
      </c>
      <c r="M47" s="1">
        <v>29.9</v>
      </c>
      <c r="N47" s="1">
        <v>51.4</v>
      </c>
      <c r="O47" s="1">
        <v>44.1</v>
      </c>
      <c r="P47" s="1">
        <v>28</v>
      </c>
      <c r="Q47" s="1">
        <v>35.5</v>
      </c>
      <c r="R47" s="1">
        <v>31.3</v>
      </c>
      <c r="S47" s="1">
        <v>26.9</v>
      </c>
      <c r="T47" s="1">
        <v>27.9</v>
      </c>
      <c r="U47" s="1">
        <v>47</v>
      </c>
      <c r="V47" s="1">
        <v>78.3</v>
      </c>
      <c r="W47" s="1">
        <v>52</v>
      </c>
      <c r="X47" s="1">
        <v>58.8</v>
      </c>
      <c r="Y47" s="1">
        <v>28.2</v>
      </c>
      <c r="Z47" s="1">
        <v>26.7</v>
      </c>
    </row>
    <row r="48" spans="1:28" x14ac:dyDescent="0.55000000000000004">
      <c r="A48">
        <v>1959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>
        <v>57.2</v>
      </c>
      <c r="AB48" s="1">
        <v>60.4</v>
      </c>
    </row>
    <row r="49" spans="1:32" x14ac:dyDescent="0.55000000000000004">
      <c r="A49">
        <v>1960</v>
      </c>
      <c r="B49" s="1">
        <v>75</v>
      </c>
      <c r="C49" s="1">
        <v>53.8</v>
      </c>
      <c r="D49" s="1">
        <v>39.299999999999997</v>
      </c>
      <c r="E49" s="1">
        <v>38.1</v>
      </c>
      <c r="F49" s="1">
        <v>64.900000000000006</v>
      </c>
      <c r="G49" s="1">
        <v>15.6</v>
      </c>
      <c r="H49" s="1">
        <v>31.5</v>
      </c>
      <c r="I49" s="1">
        <v>29</v>
      </c>
      <c r="J49" s="1">
        <v>22</v>
      </c>
      <c r="K49" s="1">
        <v>29.1</v>
      </c>
      <c r="L49" s="1">
        <v>50.3</v>
      </c>
      <c r="M49" s="1">
        <v>32.200000000000003</v>
      </c>
      <c r="N49" s="1">
        <v>54.9</v>
      </c>
      <c r="O49" s="1">
        <v>53.8</v>
      </c>
      <c r="P49" s="1">
        <v>35.6</v>
      </c>
      <c r="Q49" s="1">
        <v>41.5</v>
      </c>
      <c r="R49" s="1">
        <v>35.1</v>
      </c>
      <c r="S49" s="1">
        <v>40.6</v>
      </c>
      <c r="T49" s="1">
        <v>31.8</v>
      </c>
      <c r="U49" s="1">
        <v>47.2</v>
      </c>
      <c r="V49" s="1">
        <v>78.3</v>
      </c>
      <c r="W49" s="1">
        <v>63.6</v>
      </c>
      <c r="X49" s="1">
        <v>64.7</v>
      </c>
      <c r="Y49" s="1">
        <v>36</v>
      </c>
      <c r="Z49" s="1">
        <v>33.799999999999997</v>
      </c>
    </row>
    <row r="50" spans="1:32" x14ac:dyDescent="0.55000000000000004">
      <c r="A50">
        <v>1970</v>
      </c>
      <c r="B50" s="1">
        <v>79.2</v>
      </c>
      <c r="C50" s="1">
        <v>51.2</v>
      </c>
      <c r="D50" s="1">
        <v>43.5</v>
      </c>
      <c r="E50" s="1">
        <v>51.1</v>
      </c>
      <c r="F50" s="1">
        <v>74.599999999999994</v>
      </c>
      <c r="G50" s="1">
        <v>18.600000000000001</v>
      </c>
      <c r="H50" s="1">
        <v>33.700000000000003</v>
      </c>
      <c r="I50" s="1">
        <v>29.5</v>
      </c>
      <c r="J50" s="1">
        <v>32.299999999999997</v>
      </c>
      <c r="K50" s="1">
        <v>39</v>
      </c>
      <c r="L50" s="1">
        <v>57.3</v>
      </c>
      <c r="M50" s="1">
        <v>39.4</v>
      </c>
      <c r="N50" s="1">
        <v>58.3</v>
      </c>
      <c r="O50" s="1">
        <v>61.7</v>
      </c>
      <c r="P50" s="1">
        <v>46.2</v>
      </c>
      <c r="Q50" s="1">
        <v>47.3</v>
      </c>
      <c r="R50" s="1">
        <v>36.5</v>
      </c>
      <c r="S50" s="1">
        <v>52.4</v>
      </c>
      <c r="T50" s="1">
        <v>34.6</v>
      </c>
      <c r="U50" s="1">
        <v>46</v>
      </c>
      <c r="V50" s="1">
        <v>81.599999999999994</v>
      </c>
      <c r="W50" s="1">
        <v>67.3</v>
      </c>
      <c r="X50" s="1">
        <v>71.8</v>
      </c>
      <c r="Y50" s="1">
        <v>42.1</v>
      </c>
      <c r="Z50" s="1">
        <v>41.5</v>
      </c>
      <c r="AA50" s="1">
        <v>65.7</v>
      </c>
      <c r="AB50" s="1">
        <v>69.7</v>
      </c>
    </row>
    <row r="51" spans="1:32" x14ac:dyDescent="0.55000000000000004">
      <c r="A51">
        <v>1980</v>
      </c>
      <c r="B51" s="1">
        <v>83.5</v>
      </c>
      <c r="C51" s="1">
        <v>49.3</v>
      </c>
      <c r="D51" s="1">
        <v>50.5</v>
      </c>
      <c r="E51" s="1">
        <v>64.900000000000006</v>
      </c>
      <c r="F51" s="1">
        <v>81.900000000000006</v>
      </c>
      <c r="G51" s="1">
        <v>23.1</v>
      </c>
      <c r="H51" s="1">
        <v>35.9</v>
      </c>
      <c r="I51" s="1">
        <v>30.6</v>
      </c>
      <c r="J51" s="1">
        <v>39.700000000000003</v>
      </c>
      <c r="K51" s="1">
        <v>51.4</v>
      </c>
      <c r="L51" s="1">
        <v>65.8</v>
      </c>
      <c r="M51" s="1">
        <v>43.4</v>
      </c>
      <c r="N51" s="1">
        <v>66.099999999999994</v>
      </c>
      <c r="O51" s="1">
        <v>68.8</v>
      </c>
      <c r="P51" s="1">
        <v>50.3</v>
      </c>
      <c r="Q51" s="1">
        <v>50</v>
      </c>
      <c r="R51" s="1">
        <v>42.9</v>
      </c>
      <c r="S51" s="1">
        <v>59.2</v>
      </c>
      <c r="T51" s="1">
        <v>41.6</v>
      </c>
      <c r="U51" s="1">
        <v>54.9</v>
      </c>
      <c r="V51" s="1">
        <v>84.4</v>
      </c>
      <c r="W51" s="1">
        <v>70.599999999999994</v>
      </c>
      <c r="X51" s="1">
        <v>78.599999999999994</v>
      </c>
      <c r="Y51" s="1">
        <v>51.1</v>
      </c>
      <c r="Z51" s="1">
        <v>46.8</v>
      </c>
    </row>
    <row r="52" spans="1:32" x14ac:dyDescent="0.55000000000000004">
      <c r="A52">
        <v>1990</v>
      </c>
      <c r="B52" s="1">
        <v>87.2</v>
      </c>
      <c r="C52" s="1">
        <v>47.6</v>
      </c>
      <c r="D52" s="1">
        <v>57.5</v>
      </c>
      <c r="E52" s="1">
        <v>73.099999999999994</v>
      </c>
      <c r="F52" s="1">
        <v>85.7</v>
      </c>
      <c r="G52" s="1">
        <v>23.1</v>
      </c>
      <c r="H52" s="1">
        <v>38.1</v>
      </c>
      <c r="I52" s="1">
        <v>33.200000000000003</v>
      </c>
      <c r="J52" s="1">
        <v>39.4</v>
      </c>
      <c r="K52" s="1">
        <v>55.9</v>
      </c>
      <c r="L52" s="1">
        <v>70</v>
      </c>
      <c r="M52" s="1">
        <v>58.8</v>
      </c>
      <c r="N52" s="1">
        <v>66.099999999999994</v>
      </c>
      <c r="O52" s="1">
        <v>73.400000000000006</v>
      </c>
      <c r="P52" s="1">
        <v>53.4</v>
      </c>
      <c r="Q52" s="1">
        <v>53.5</v>
      </c>
      <c r="R52" s="1">
        <v>48.5</v>
      </c>
      <c r="S52" s="1">
        <v>66</v>
      </c>
      <c r="T52" s="1">
        <v>47.6</v>
      </c>
      <c r="U52" s="1">
        <v>65.400000000000006</v>
      </c>
      <c r="V52" s="1">
        <v>84.7</v>
      </c>
      <c r="W52" s="1">
        <v>74.400000000000006</v>
      </c>
      <c r="X52" s="1">
        <v>83.9</v>
      </c>
      <c r="Y52" s="1">
        <v>56.3</v>
      </c>
      <c r="Z52" s="1">
        <v>51.5</v>
      </c>
    </row>
    <row r="53" spans="1:32" x14ac:dyDescent="0.55000000000000004">
      <c r="A53">
        <v>2000</v>
      </c>
      <c r="B53" s="1">
        <v>89.1</v>
      </c>
      <c r="C53" s="1">
        <v>49.6</v>
      </c>
      <c r="D53" s="1">
        <v>62.7</v>
      </c>
      <c r="E53" s="1">
        <v>79.5</v>
      </c>
      <c r="F53" s="1"/>
      <c r="G53" s="1"/>
      <c r="H53" s="1">
        <v>47.7</v>
      </c>
      <c r="I53" s="1">
        <v>36.200000000000003</v>
      </c>
      <c r="J53" s="1">
        <v>43.9</v>
      </c>
      <c r="K53" s="1">
        <v>63</v>
      </c>
      <c r="L53" s="1"/>
      <c r="M53" s="1">
        <v>54.2</v>
      </c>
      <c r="N53" s="1"/>
      <c r="O53" s="1">
        <v>74.5</v>
      </c>
      <c r="P53" s="1"/>
      <c r="Q53" s="1">
        <v>61.6</v>
      </c>
      <c r="R53" s="1">
        <v>54.2</v>
      </c>
      <c r="S53" s="1"/>
      <c r="T53" s="1"/>
      <c r="U53" s="1">
        <v>74.099999999999994</v>
      </c>
      <c r="V53" s="1"/>
      <c r="W53" s="1">
        <v>75</v>
      </c>
      <c r="X53" s="1">
        <v>86</v>
      </c>
      <c r="Y53" s="1">
        <v>61.6</v>
      </c>
      <c r="Z53" s="1">
        <v>52.1</v>
      </c>
    </row>
    <row r="57" spans="1:32" x14ac:dyDescent="0.55000000000000004">
      <c r="A57" s="11" t="s">
        <v>92</v>
      </c>
    </row>
    <row r="59" spans="1:32" x14ac:dyDescent="0.55000000000000004">
      <c r="A59" s="12" t="s">
        <v>38</v>
      </c>
      <c r="B59" s="12" t="s">
        <v>6</v>
      </c>
      <c r="C59" s="12" t="s">
        <v>31</v>
      </c>
      <c r="D59" s="12" t="s">
        <v>32</v>
      </c>
      <c r="E59" s="12" t="s">
        <v>19</v>
      </c>
      <c r="F59" s="12" t="s">
        <v>7</v>
      </c>
      <c r="G59" s="12" t="s">
        <v>8</v>
      </c>
      <c r="H59" s="12" t="s">
        <v>18</v>
      </c>
      <c r="I59" s="12" t="s">
        <v>34</v>
      </c>
      <c r="J59" s="12" t="s">
        <v>24</v>
      </c>
      <c r="K59" s="12" t="s">
        <v>23</v>
      </c>
      <c r="L59" s="12" t="s">
        <v>25</v>
      </c>
      <c r="M59" s="12" t="s">
        <v>33</v>
      </c>
      <c r="N59" s="12" t="s">
        <v>30</v>
      </c>
      <c r="O59" s="12" t="s">
        <v>10</v>
      </c>
      <c r="P59" s="12" t="s">
        <v>20</v>
      </c>
      <c r="Q59" s="12" t="s">
        <v>21</v>
      </c>
      <c r="R59" s="12" t="s">
        <v>27</v>
      </c>
      <c r="S59" s="12" t="s">
        <v>28</v>
      </c>
      <c r="T59" s="12" t="s">
        <v>29</v>
      </c>
      <c r="U59" s="12" t="s">
        <v>14</v>
      </c>
      <c r="V59" s="12" t="s">
        <v>15</v>
      </c>
      <c r="W59" s="12" t="s">
        <v>22</v>
      </c>
      <c r="X59" s="12" t="s">
        <v>35</v>
      </c>
      <c r="Y59" s="12" t="s">
        <v>36</v>
      </c>
      <c r="Z59" s="12" t="s">
        <v>37</v>
      </c>
      <c r="AA59" s="12" t="s">
        <v>17</v>
      </c>
      <c r="AB59" s="12" t="s">
        <v>9</v>
      </c>
      <c r="AC59" s="12" t="s">
        <v>11</v>
      </c>
      <c r="AD59" s="12" t="s">
        <v>26</v>
      </c>
      <c r="AE59" s="12" t="s">
        <v>84</v>
      </c>
      <c r="AF59" s="12" t="s">
        <v>111</v>
      </c>
    </row>
    <row r="60" spans="1:32" x14ac:dyDescent="0.55000000000000004">
      <c r="A60">
        <v>1865</v>
      </c>
      <c r="AB60" s="1">
        <v>15.973962510368438</v>
      </c>
    </row>
    <row r="61" spans="1:32" x14ac:dyDescent="0.55000000000000004">
      <c r="A61">
        <v>1869</v>
      </c>
      <c r="B61" s="1">
        <v>24.82533867257391</v>
      </c>
    </row>
    <row r="62" spans="1:32" x14ac:dyDescent="0.55000000000000004">
      <c r="A62">
        <v>1875</v>
      </c>
      <c r="B62" s="1"/>
      <c r="AB62" s="1">
        <v>17.277987023903513</v>
      </c>
    </row>
    <row r="63" spans="1:32" x14ac:dyDescent="0.55000000000000004">
      <c r="A63">
        <v>1876</v>
      </c>
      <c r="B63" s="1"/>
      <c r="V63" s="1">
        <v>7.4535049753510974</v>
      </c>
      <c r="AB63" s="1"/>
    </row>
    <row r="64" spans="1:32" x14ac:dyDescent="0.55000000000000004">
      <c r="A64">
        <v>1885</v>
      </c>
      <c r="B64" s="1"/>
      <c r="AB64" s="1">
        <v>19.212369940391472</v>
      </c>
    </row>
    <row r="65" spans="1:32" x14ac:dyDescent="0.55000000000000004">
      <c r="A65">
        <v>1895</v>
      </c>
      <c r="B65" s="1">
        <v>31.833737851496533</v>
      </c>
      <c r="AB65" s="1">
        <v>24.121981380841554</v>
      </c>
    </row>
    <row r="66" spans="1:32" x14ac:dyDescent="0.55000000000000004">
      <c r="A66">
        <v>1900</v>
      </c>
      <c r="B66" s="1"/>
      <c r="F66" s="1">
        <v>8.5972647960386706</v>
      </c>
      <c r="R66" s="1">
        <v>21.466933269210756</v>
      </c>
      <c r="AB66" s="1"/>
    </row>
    <row r="67" spans="1:32" x14ac:dyDescent="0.55000000000000004">
      <c r="A67">
        <v>1907</v>
      </c>
      <c r="B67" s="1"/>
      <c r="AB67" s="1">
        <v>27.698910521277391</v>
      </c>
    </row>
    <row r="68" spans="1:32" x14ac:dyDescent="0.55000000000000004">
      <c r="A68">
        <v>1910</v>
      </c>
      <c r="B68" s="1"/>
      <c r="R68">
        <v>24.7</v>
      </c>
      <c r="AB68" s="1"/>
    </row>
    <row r="69" spans="1:32" x14ac:dyDescent="0.55000000000000004">
      <c r="A69">
        <v>1913</v>
      </c>
      <c r="B69" s="1"/>
      <c r="AB69" s="1"/>
    </row>
    <row r="70" spans="1:32" x14ac:dyDescent="0.55000000000000004">
      <c r="A70">
        <v>1914</v>
      </c>
      <c r="B70" s="1">
        <v>38.26516565069636</v>
      </c>
    </row>
    <row r="71" spans="1:32" ht="13.5" customHeight="1" x14ac:dyDescent="0.55000000000000004">
      <c r="A71">
        <v>1919</v>
      </c>
      <c r="Q71" s="1">
        <v>27.859047616410361</v>
      </c>
    </row>
    <row r="72" spans="1:32" x14ac:dyDescent="0.55000000000000004">
      <c r="A72">
        <v>1920</v>
      </c>
      <c r="G72">
        <v>13</v>
      </c>
      <c r="H72">
        <v>11</v>
      </c>
      <c r="N72" s="1">
        <v>5.3757551709299012</v>
      </c>
      <c r="O72">
        <v>7</v>
      </c>
      <c r="S72" s="1">
        <v>4.3936290090937495</v>
      </c>
      <c r="V72">
        <v>6</v>
      </c>
      <c r="AA72">
        <v>30</v>
      </c>
      <c r="AB72" s="1">
        <v>27.96247421409107</v>
      </c>
      <c r="AC72">
        <v>10</v>
      </c>
      <c r="AE72">
        <v>10</v>
      </c>
    </row>
    <row r="73" spans="1:32" x14ac:dyDescent="0.55000000000000004">
      <c r="A73">
        <v>1921</v>
      </c>
      <c r="N73" s="1"/>
      <c r="R73" s="1">
        <v>30.616554018692632</v>
      </c>
      <c r="S73" s="1"/>
      <c r="AB73" s="1"/>
      <c r="AD73">
        <v>10.3</v>
      </c>
    </row>
    <row r="74" spans="1:32" x14ac:dyDescent="0.55000000000000004">
      <c r="A74">
        <v>1926</v>
      </c>
      <c r="N74" s="1"/>
      <c r="R74" s="1"/>
      <c r="S74" s="1"/>
      <c r="AB74" s="1"/>
      <c r="AE74">
        <v>12.1</v>
      </c>
      <c r="AF74">
        <v>11.8</v>
      </c>
    </row>
    <row r="75" spans="1:32" x14ac:dyDescent="0.55000000000000004">
      <c r="A75">
        <v>1927</v>
      </c>
      <c r="P75" s="1">
        <v>18.87623959756025</v>
      </c>
    </row>
    <row r="76" spans="1:32" x14ac:dyDescent="0.55000000000000004">
      <c r="A76">
        <v>1930</v>
      </c>
      <c r="G76">
        <v>14</v>
      </c>
      <c r="H76">
        <v>13</v>
      </c>
      <c r="O76">
        <v>10</v>
      </c>
      <c r="R76">
        <v>28.5</v>
      </c>
      <c r="T76" s="1">
        <v>24.338525446181379</v>
      </c>
      <c r="V76">
        <v>10</v>
      </c>
      <c r="W76" s="1">
        <v>10.216396011882644</v>
      </c>
      <c r="AA76">
        <v>35</v>
      </c>
      <c r="AB76" s="1">
        <v>32.849564250969983</v>
      </c>
      <c r="AC76">
        <v>13</v>
      </c>
      <c r="AE76">
        <v>13</v>
      </c>
    </row>
    <row r="77" spans="1:32" x14ac:dyDescent="0.55000000000000004">
      <c r="A77">
        <v>1931</v>
      </c>
      <c r="Q77" s="1">
        <v>29.864393399462539</v>
      </c>
    </row>
    <row r="78" spans="1:32" x14ac:dyDescent="0.55000000000000004">
      <c r="A78">
        <v>1935</v>
      </c>
      <c r="N78" s="1">
        <v>7.1153704466016006</v>
      </c>
    </row>
    <row r="79" spans="1:32" x14ac:dyDescent="0.55000000000000004">
      <c r="A79">
        <v>1936</v>
      </c>
      <c r="H79" s="1">
        <v>19.091253072290105</v>
      </c>
    </row>
    <row r="80" spans="1:32" x14ac:dyDescent="0.55000000000000004">
      <c r="A80">
        <v>1937</v>
      </c>
      <c r="H80" s="1"/>
      <c r="U80" s="1">
        <v>11.197210631902117</v>
      </c>
    </row>
    <row r="81" spans="1:32" x14ac:dyDescent="0.55000000000000004">
      <c r="A81">
        <v>1938</v>
      </c>
      <c r="O81" s="1">
        <v>14.737441012312832</v>
      </c>
    </row>
    <row r="82" spans="1:32" x14ac:dyDescent="0.55000000000000004">
      <c r="A82">
        <v>1939</v>
      </c>
      <c r="O82" s="1"/>
    </row>
    <row r="83" spans="1:32" x14ac:dyDescent="0.55000000000000004">
      <c r="A83">
        <v>1940</v>
      </c>
      <c r="B83">
        <v>41</v>
      </c>
      <c r="G83" s="1">
        <v>14.979631374994044</v>
      </c>
      <c r="K83" s="1">
        <v>5.7838535408498206</v>
      </c>
      <c r="L83">
        <v>6.1</v>
      </c>
      <c r="Q83">
        <v>30</v>
      </c>
      <c r="S83" s="1">
        <v>7.5335821390138475</v>
      </c>
      <c r="T83" s="1">
        <v>27.583662937332001</v>
      </c>
      <c r="V83" s="1">
        <v>14.12009761005495</v>
      </c>
      <c r="AA83">
        <v>38</v>
      </c>
      <c r="AB83" s="1">
        <v>36.418648287591672</v>
      </c>
      <c r="AC83">
        <v>16</v>
      </c>
      <c r="AE83">
        <v>24</v>
      </c>
    </row>
    <row r="84" spans="1:32" x14ac:dyDescent="0.55000000000000004">
      <c r="A84">
        <v>1941</v>
      </c>
      <c r="H84" s="1">
        <v>18.100000000000001</v>
      </c>
    </row>
    <row r="85" spans="1:32" x14ac:dyDescent="0.55000000000000004">
      <c r="A85">
        <v>1943</v>
      </c>
      <c r="Q85" s="1">
        <v>33.361821561291613</v>
      </c>
      <c r="AD85">
        <v>16.3</v>
      </c>
    </row>
    <row r="86" spans="1:32" x14ac:dyDescent="0.55000000000000004">
      <c r="A86">
        <v>1947</v>
      </c>
      <c r="B86" s="1">
        <v>49.068352134448176</v>
      </c>
    </row>
    <row r="87" spans="1:32" x14ac:dyDescent="0.55000000000000004">
      <c r="A87">
        <v>1950</v>
      </c>
      <c r="B87" s="1">
        <v>50.7</v>
      </c>
      <c r="C87" s="1">
        <v>54.4</v>
      </c>
      <c r="D87" s="1">
        <v>45.5</v>
      </c>
      <c r="E87" s="1">
        <v>37</v>
      </c>
      <c r="F87" s="1">
        <v>19.7</v>
      </c>
      <c r="G87" s="1">
        <v>22</v>
      </c>
      <c r="H87" s="1">
        <v>38.700000000000003</v>
      </c>
      <c r="I87" s="1">
        <v>24.5</v>
      </c>
      <c r="J87" s="1">
        <v>5.5</v>
      </c>
      <c r="K87" s="1">
        <v>13.8</v>
      </c>
      <c r="L87" s="1">
        <v>6.8</v>
      </c>
      <c r="M87" s="1" t="s">
        <v>3</v>
      </c>
      <c r="N87" s="1">
        <v>11.1</v>
      </c>
      <c r="O87" s="1">
        <v>22.5</v>
      </c>
      <c r="P87" s="1">
        <v>18.399999999999999</v>
      </c>
      <c r="Q87" s="1">
        <v>38.299999999999997</v>
      </c>
      <c r="R87" s="1">
        <v>21.8</v>
      </c>
      <c r="S87" s="1">
        <v>15.2</v>
      </c>
      <c r="T87" s="1">
        <v>28.2</v>
      </c>
      <c r="U87" s="1">
        <v>19.600000000000001</v>
      </c>
      <c r="V87" s="1">
        <v>15.9</v>
      </c>
      <c r="W87" s="1">
        <v>14.7</v>
      </c>
      <c r="X87" s="1" t="s">
        <v>3</v>
      </c>
      <c r="Y87" s="1">
        <v>32</v>
      </c>
      <c r="Z87" s="1">
        <v>22.1</v>
      </c>
      <c r="AA87" s="1" t="s">
        <v>3</v>
      </c>
      <c r="AB87" s="1">
        <v>47.1</v>
      </c>
      <c r="AC87" s="1">
        <v>18</v>
      </c>
      <c r="AD87" s="1">
        <v>16.399999999999999</v>
      </c>
      <c r="AE87" s="1">
        <v>31</v>
      </c>
    </row>
    <row r="88" spans="1:32" x14ac:dyDescent="0.55000000000000004">
      <c r="A88">
        <v>1959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>
        <v>35.6</v>
      </c>
      <c r="AF88" s="1">
        <v>41</v>
      </c>
    </row>
    <row r="89" spans="1:32" x14ac:dyDescent="0.55000000000000004">
      <c r="A89">
        <v>1960</v>
      </c>
      <c r="B89" s="1">
        <v>60</v>
      </c>
      <c r="C89" s="1">
        <v>62.1</v>
      </c>
      <c r="D89" s="1">
        <v>46.2</v>
      </c>
      <c r="E89" s="1">
        <v>44.3</v>
      </c>
      <c r="F89" s="1" t="s">
        <v>3</v>
      </c>
      <c r="G89" s="1">
        <v>29</v>
      </c>
      <c r="H89" s="1">
        <v>52.7</v>
      </c>
      <c r="I89" s="1" t="s">
        <v>3</v>
      </c>
      <c r="J89" s="1" t="s">
        <v>3</v>
      </c>
      <c r="K89" s="1">
        <v>19.3</v>
      </c>
      <c r="L89" s="1">
        <v>11.5</v>
      </c>
      <c r="M89" s="1">
        <v>30.3</v>
      </c>
      <c r="N89" s="1">
        <v>18.7</v>
      </c>
      <c r="O89" s="1">
        <v>37.200000000000003</v>
      </c>
      <c r="P89" s="1">
        <v>22.8</v>
      </c>
      <c r="Q89" s="1" t="s">
        <v>3</v>
      </c>
      <c r="R89" s="1">
        <v>29.6</v>
      </c>
      <c r="S89" s="1">
        <v>23</v>
      </c>
      <c r="T89" s="1">
        <v>34.6</v>
      </c>
      <c r="U89" s="1">
        <v>23</v>
      </c>
      <c r="V89" s="1">
        <v>30.7</v>
      </c>
      <c r="W89" s="1">
        <v>19.5</v>
      </c>
      <c r="X89" s="1">
        <v>25.6</v>
      </c>
      <c r="Y89" s="1">
        <v>37.6</v>
      </c>
      <c r="Z89" s="1">
        <v>36.799999999999997</v>
      </c>
      <c r="AA89" s="1">
        <v>66.900000000000006</v>
      </c>
      <c r="AB89" s="1">
        <v>55.1</v>
      </c>
      <c r="AC89" s="1">
        <v>27.7</v>
      </c>
      <c r="AD89" s="1">
        <v>24.9</v>
      </c>
      <c r="AE89" s="1">
        <v>36</v>
      </c>
    </row>
    <row r="90" spans="1:32" x14ac:dyDescent="0.55000000000000004">
      <c r="A90">
        <v>1970</v>
      </c>
      <c r="B90" s="1">
        <v>66.900000000000006</v>
      </c>
      <c r="C90" s="1">
        <v>60.1</v>
      </c>
      <c r="D90" s="1">
        <v>47</v>
      </c>
      <c r="E90" s="1">
        <v>36.200000000000003</v>
      </c>
      <c r="F90" s="1">
        <v>34.1</v>
      </c>
      <c r="G90" s="1">
        <v>40.700000000000003</v>
      </c>
      <c r="H90" s="1">
        <v>63.3</v>
      </c>
      <c r="I90" s="1" t="s">
        <v>3</v>
      </c>
      <c r="J90" s="1">
        <v>13.7</v>
      </c>
      <c r="K90" s="1">
        <v>22.2</v>
      </c>
      <c r="L90" s="1">
        <v>20.5</v>
      </c>
      <c r="M90" s="1">
        <v>31.9</v>
      </c>
      <c r="N90" s="1">
        <v>30.5</v>
      </c>
      <c r="O90" s="1">
        <v>45.6</v>
      </c>
      <c r="P90" s="1">
        <v>30.8</v>
      </c>
      <c r="Q90" s="1">
        <v>43.8</v>
      </c>
      <c r="R90" s="1">
        <v>35.299999999999997</v>
      </c>
      <c r="S90" s="1">
        <v>29.6</v>
      </c>
      <c r="T90" s="1">
        <v>39.1</v>
      </c>
      <c r="U90" s="1">
        <v>27.6</v>
      </c>
      <c r="V90" s="1">
        <v>43</v>
      </c>
      <c r="W90" s="1">
        <v>21.9</v>
      </c>
      <c r="X90" s="1">
        <v>27</v>
      </c>
      <c r="Y90" s="1">
        <v>40.5</v>
      </c>
      <c r="Z90" s="1">
        <v>37.4</v>
      </c>
      <c r="AA90" s="1">
        <v>69.900000000000006</v>
      </c>
      <c r="AB90" s="1">
        <v>62</v>
      </c>
      <c r="AC90" s="1">
        <v>35.299999999999997</v>
      </c>
      <c r="AD90" s="1">
        <v>32.1</v>
      </c>
      <c r="AE90" s="1">
        <v>44.3</v>
      </c>
      <c r="AF90" s="1">
        <v>50.8</v>
      </c>
    </row>
    <row r="91" spans="1:32" x14ac:dyDescent="0.55000000000000004">
      <c r="A91">
        <v>1979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>
        <v>54.9</v>
      </c>
      <c r="AF91" s="24">
        <v>58</v>
      </c>
    </row>
    <row r="92" spans="1:32" x14ac:dyDescent="0.55000000000000004">
      <c r="A92">
        <v>1980</v>
      </c>
      <c r="B92" s="1">
        <v>71.2</v>
      </c>
      <c r="C92" s="1">
        <v>64.599999999999994</v>
      </c>
      <c r="D92" s="1">
        <v>46.6</v>
      </c>
      <c r="E92" s="1">
        <v>27.9</v>
      </c>
      <c r="F92" s="1" t="s">
        <v>3</v>
      </c>
      <c r="G92" s="1">
        <v>52.3</v>
      </c>
      <c r="H92" s="1">
        <v>70.5</v>
      </c>
      <c r="I92" s="1" t="s">
        <v>3</v>
      </c>
      <c r="J92" s="1">
        <v>17.399999999999999</v>
      </c>
      <c r="K92" s="1">
        <v>22</v>
      </c>
      <c r="L92" s="1">
        <v>28</v>
      </c>
      <c r="M92" s="1">
        <v>33</v>
      </c>
      <c r="N92" s="1">
        <v>41.9</v>
      </c>
      <c r="O92" s="1">
        <v>55.1</v>
      </c>
      <c r="P92" s="1">
        <v>33.799999999999997</v>
      </c>
      <c r="Q92" s="1">
        <v>47.9</v>
      </c>
      <c r="R92" s="1">
        <v>40.9</v>
      </c>
      <c r="S92" s="1" t="s">
        <v>3</v>
      </c>
      <c r="T92" s="1">
        <v>43.8</v>
      </c>
      <c r="U92" s="1">
        <v>33.1</v>
      </c>
      <c r="V92" s="1">
        <v>51.1</v>
      </c>
      <c r="W92" s="1" t="s">
        <v>3</v>
      </c>
      <c r="X92" s="1">
        <v>25.7</v>
      </c>
      <c r="Y92" s="1">
        <v>37.9</v>
      </c>
      <c r="Z92" s="1">
        <v>40.799999999999997</v>
      </c>
      <c r="AA92" s="1">
        <v>71.8</v>
      </c>
      <c r="AB92" s="1">
        <v>68.599999999999994</v>
      </c>
      <c r="AC92" s="1">
        <v>42.5</v>
      </c>
      <c r="AD92" s="1">
        <v>38</v>
      </c>
    </row>
    <row r="93" spans="1:32" x14ac:dyDescent="0.55000000000000004">
      <c r="A93">
        <v>1989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F93">
        <v>61.9</v>
      </c>
    </row>
    <row r="94" spans="1:32" x14ac:dyDescent="0.55000000000000004">
      <c r="A94">
        <v>1990</v>
      </c>
      <c r="B94" s="1">
        <v>74.900000000000006</v>
      </c>
      <c r="C94" s="1" t="s">
        <v>3</v>
      </c>
      <c r="D94" s="1" t="s">
        <v>3</v>
      </c>
      <c r="E94" s="1" t="s">
        <v>3</v>
      </c>
      <c r="F94" s="1">
        <v>49.6</v>
      </c>
      <c r="G94" s="1">
        <v>58.9</v>
      </c>
      <c r="H94" s="1">
        <v>71.7</v>
      </c>
      <c r="I94" s="1" t="s">
        <v>3</v>
      </c>
      <c r="J94" s="1" t="s">
        <v>3</v>
      </c>
      <c r="K94" s="1">
        <v>23.7</v>
      </c>
      <c r="L94" s="1" t="s">
        <v>3</v>
      </c>
      <c r="M94" s="1" t="s">
        <v>3</v>
      </c>
      <c r="N94" s="1">
        <v>45.2</v>
      </c>
      <c r="O94" s="1">
        <v>59.2</v>
      </c>
      <c r="P94" s="1" t="s">
        <v>3</v>
      </c>
      <c r="Q94" s="1" t="s">
        <v>3</v>
      </c>
      <c r="R94" s="1">
        <v>44.4</v>
      </c>
      <c r="S94" s="1">
        <v>41</v>
      </c>
      <c r="T94" s="1">
        <v>47</v>
      </c>
      <c r="U94" s="1">
        <v>39</v>
      </c>
      <c r="V94" s="1">
        <v>56.8</v>
      </c>
      <c r="W94" s="1">
        <v>35.5</v>
      </c>
      <c r="X94" s="1" t="s">
        <v>3</v>
      </c>
      <c r="Y94" s="1" t="s">
        <v>3</v>
      </c>
      <c r="Z94" s="1" t="s">
        <v>3</v>
      </c>
      <c r="AA94" s="1">
        <v>74.3</v>
      </c>
      <c r="AB94" s="1">
        <v>72.5</v>
      </c>
      <c r="AC94" s="1">
        <v>48</v>
      </c>
      <c r="AD94" s="1" t="s">
        <v>3</v>
      </c>
    </row>
    <row r="95" spans="1:32" x14ac:dyDescent="0.55000000000000004">
      <c r="A95">
        <v>2000</v>
      </c>
      <c r="B95" s="1">
        <v>76.599999999999994</v>
      </c>
      <c r="C95" s="1" t="s">
        <v>3</v>
      </c>
      <c r="D95" s="1" t="s">
        <v>3</v>
      </c>
      <c r="E95" s="1" t="s">
        <v>3</v>
      </c>
      <c r="F95" s="1">
        <v>54.4</v>
      </c>
      <c r="G95" s="1">
        <v>64.599999999999994</v>
      </c>
      <c r="H95" s="1">
        <v>74.3</v>
      </c>
      <c r="I95" s="1" t="s">
        <v>3</v>
      </c>
      <c r="J95" s="1">
        <v>34.1</v>
      </c>
      <c r="K95" s="1">
        <v>30.7</v>
      </c>
      <c r="L95" s="1">
        <v>32.5</v>
      </c>
      <c r="M95" s="1" t="s">
        <v>3</v>
      </c>
      <c r="N95" s="1">
        <v>52.6</v>
      </c>
      <c r="O95" s="1">
        <v>65</v>
      </c>
      <c r="P95" s="1">
        <v>49.2</v>
      </c>
      <c r="Q95" s="1">
        <v>54.5</v>
      </c>
      <c r="R95" s="1">
        <v>60.5</v>
      </c>
      <c r="S95" s="1">
        <v>41.4</v>
      </c>
      <c r="T95" s="1">
        <v>57.3</v>
      </c>
      <c r="U95" s="1">
        <v>44.8</v>
      </c>
      <c r="V95" s="1">
        <v>62.1</v>
      </c>
      <c r="W95" s="1">
        <v>44</v>
      </c>
      <c r="X95" s="1" t="s">
        <v>3</v>
      </c>
      <c r="Y95" s="1" t="s">
        <v>3</v>
      </c>
      <c r="Z95" s="1" t="s">
        <v>3</v>
      </c>
      <c r="AA95" s="1">
        <v>72</v>
      </c>
      <c r="AB95" s="1">
        <v>76.900000000000006</v>
      </c>
      <c r="AC95" s="1">
        <v>54.3</v>
      </c>
      <c r="AD95" s="1" t="s">
        <v>3</v>
      </c>
    </row>
    <row r="96" spans="1:32" x14ac:dyDescent="0.55000000000000004">
      <c r="A96">
        <v>2010</v>
      </c>
      <c r="B96" s="1">
        <v>79.8</v>
      </c>
      <c r="C96" s="1" t="s">
        <v>3</v>
      </c>
      <c r="D96" s="1" t="s">
        <v>3</v>
      </c>
      <c r="E96" s="1" t="s">
        <v>3</v>
      </c>
      <c r="F96" s="1">
        <v>59.4</v>
      </c>
      <c r="G96" s="1">
        <v>70.599999999999994</v>
      </c>
      <c r="H96" s="1">
        <v>78</v>
      </c>
      <c r="I96" s="1" t="s">
        <v>3</v>
      </c>
      <c r="J96" s="1" t="s">
        <v>3</v>
      </c>
      <c r="K96" s="1" t="s">
        <v>3</v>
      </c>
      <c r="L96" s="1">
        <v>42.4</v>
      </c>
      <c r="M96" s="1" t="s">
        <v>3</v>
      </c>
      <c r="N96" s="1">
        <v>64.2</v>
      </c>
      <c r="O96" s="1">
        <v>64.900000000000006</v>
      </c>
      <c r="P96" s="1">
        <v>58.7</v>
      </c>
      <c r="Q96" s="1">
        <v>55.2</v>
      </c>
      <c r="R96" s="1">
        <v>70.2</v>
      </c>
      <c r="S96" s="1" t="s">
        <v>3</v>
      </c>
      <c r="T96" s="1">
        <v>60.1</v>
      </c>
      <c r="U96" s="1" t="s">
        <v>3</v>
      </c>
      <c r="V96" s="1">
        <v>69.3</v>
      </c>
      <c r="W96" s="1" t="s">
        <v>3</v>
      </c>
      <c r="X96" s="1" t="s">
        <v>3</v>
      </c>
      <c r="Y96" s="1" t="s">
        <v>3</v>
      </c>
      <c r="Z96" s="1" t="s">
        <v>3</v>
      </c>
      <c r="AA96" s="1">
        <v>77.8</v>
      </c>
      <c r="AB96" s="1">
        <v>80.3</v>
      </c>
      <c r="AC96" s="1">
        <v>64.400000000000006</v>
      </c>
      <c r="AD96" s="1" t="s">
        <v>3</v>
      </c>
    </row>
    <row r="100" spans="1:26" x14ac:dyDescent="0.55000000000000004">
      <c r="A100" s="11" t="s">
        <v>93</v>
      </c>
    </row>
    <row r="102" spans="1:26" x14ac:dyDescent="0.55000000000000004">
      <c r="A102" s="12" t="s">
        <v>38</v>
      </c>
      <c r="B102" s="12" t="s">
        <v>6</v>
      </c>
      <c r="C102" s="12" t="s">
        <v>7</v>
      </c>
      <c r="D102" s="12" t="s">
        <v>8</v>
      </c>
      <c r="E102" s="12" t="s">
        <v>18</v>
      </c>
      <c r="F102" s="12" t="s">
        <v>34</v>
      </c>
      <c r="G102" s="12" t="s">
        <v>24</v>
      </c>
      <c r="H102" s="12" t="s">
        <v>23</v>
      </c>
      <c r="I102" s="12" t="s">
        <v>25</v>
      </c>
      <c r="J102" s="12" t="s">
        <v>30</v>
      </c>
      <c r="K102" s="12" t="s">
        <v>10</v>
      </c>
      <c r="L102" s="12" t="s">
        <v>20</v>
      </c>
      <c r="M102" s="12" t="s">
        <v>21</v>
      </c>
      <c r="N102" s="12" t="s">
        <v>27</v>
      </c>
      <c r="O102" s="12" t="s">
        <v>28</v>
      </c>
      <c r="P102" s="12" t="s">
        <v>29</v>
      </c>
      <c r="Q102" s="12" t="s">
        <v>14</v>
      </c>
      <c r="R102" s="12" t="s">
        <v>15</v>
      </c>
      <c r="S102" s="12" t="s">
        <v>22</v>
      </c>
      <c r="T102" s="12" t="s">
        <v>37</v>
      </c>
      <c r="U102" s="12" t="s">
        <v>17</v>
      </c>
      <c r="V102" s="12" t="s">
        <v>9</v>
      </c>
      <c r="W102" s="12" t="s">
        <v>11</v>
      </c>
      <c r="X102" s="12" t="s">
        <v>26</v>
      </c>
      <c r="Y102" s="12" t="s">
        <v>64</v>
      </c>
      <c r="Z102" s="12" t="s">
        <v>111</v>
      </c>
    </row>
    <row r="103" spans="1:26" x14ac:dyDescent="0.55000000000000004">
      <c r="A103">
        <v>1865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">
        <v>10.981226600587174</v>
      </c>
      <c r="W103" s="2"/>
      <c r="X103" s="2"/>
      <c r="Y103" s="2"/>
    </row>
    <row r="104" spans="1:26" x14ac:dyDescent="0.55000000000000004">
      <c r="A104">
        <v>1869</v>
      </c>
      <c r="B104" s="1">
        <v>16.412235273528619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6" x14ac:dyDescent="0.55000000000000004">
      <c r="A105">
        <v>1875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">
        <v>11.841254044492914</v>
      </c>
      <c r="W105" s="2"/>
      <c r="X105" s="2"/>
      <c r="Y105" s="2"/>
    </row>
    <row r="106" spans="1:26" x14ac:dyDescent="0.55000000000000004">
      <c r="A106">
        <v>1876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1">
        <v>3.760059812397142</v>
      </c>
      <c r="S106" s="2"/>
      <c r="T106" s="2"/>
      <c r="U106" s="2"/>
      <c r="V106" s="2"/>
      <c r="W106" s="2"/>
      <c r="X106" s="2"/>
      <c r="Y106" s="2"/>
    </row>
    <row r="107" spans="1:26" x14ac:dyDescent="0.55000000000000004">
      <c r="A107">
        <v>1885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">
        <v>12.749795119459268</v>
      </c>
      <c r="W107" s="2"/>
      <c r="X107" s="2"/>
      <c r="Y107" s="2"/>
    </row>
    <row r="108" spans="1:26" x14ac:dyDescent="0.55000000000000004">
      <c r="A108">
        <v>1895</v>
      </c>
      <c r="B108" s="1">
        <v>24.590995853004024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">
        <v>15.576245989559462</v>
      </c>
      <c r="W108" s="2"/>
      <c r="X108" s="2"/>
      <c r="Y108" s="2"/>
    </row>
    <row r="109" spans="1:26" x14ac:dyDescent="0.55000000000000004">
      <c r="A109">
        <v>1900</v>
      </c>
      <c r="B109" s="1"/>
      <c r="C109" s="1">
        <v>3.1064017920301814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15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6" x14ac:dyDescent="0.55000000000000004">
      <c r="A110">
        <v>1907</v>
      </c>
      <c r="B110" s="2"/>
      <c r="C110" s="2"/>
      <c r="D110" s="2"/>
      <c r="E110" s="2"/>
      <c r="F110" s="2"/>
      <c r="G110" s="2"/>
      <c r="H110" s="2"/>
      <c r="I110" s="2"/>
      <c r="Q110" s="2"/>
      <c r="R110" s="2"/>
      <c r="S110" s="2"/>
      <c r="T110" s="2"/>
      <c r="U110" s="2"/>
      <c r="V110" s="1">
        <v>17.093485515276829</v>
      </c>
      <c r="W110" s="2"/>
      <c r="X110" s="2"/>
      <c r="Y110" s="2"/>
    </row>
    <row r="111" spans="1:26" x14ac:dyDescent="0.55000000000000004">
      <c r="A111">
        <v>1914</v>
      </c>
      <c r="B111" s="1">
        <v>32.61908297746789</v>
      </c>
      <c r="C111" s="2"/>
      <c r="D111" s="2"/>
      <c r="E111" s="2"/>
      <c r="F111" s="2"/>
      <c r="G111" s="2"/>
      <c r="H111" s="2"/>
      <c r="I111" s="2"/>
      <c r="Q111" s="2"/>
      <c r="R111" s="2"/>
      <c r="S111" s="2"/>
      <c r="T111" s="2"/>
      <c r="U111" s="2"/>
      <c r="V111" s="1">
        <v>18.489934280279929</v>
      </c>
      <c r="W111" s="2"/>
      <c r="X111" s="2"/>
    </row>
    <row r="112" spans="1:26" x14ac:dyDescent="0.55000000000000004">
      <c r="A112">
        <v>1919</v>
      </c>
      <c r="B112" s="2"/>
      <c r="C112" s="2"/>
      <c r="D112" s="2"/>
      <c r="E112" s="2"/>
      <c r="F112" s="2"/>
      <c r="G112" s="2"/>
      <c r="H112" s="2"/>
      <c r="I112" s="2"/>
      <c r="M112" s="1">
        <v>16.136633940278379</v>
      </c>
      <c r="Q112" s="2"/>
      <c r="R112" s="2"/>
      <c r="S112" s="2"/>
      <c r="T112" s="2"/>
      <c r="U112" s="2"/>
      <c r="V112" s="2"/>
      <c r="W112" s="2"/>
      <c r="X112" s="2"/>
    </row>
    <row r="113" spans="1:26" x14ac:dyDescent="0.55000000000000004">
      <c r="A113">
        <v>1920</v>
      </c>
      <c r="B113" s="2"/>
      <c r="C113" s="2"/>
      <c r="D113" s="1">
        <v>8.6999999999999993</v>
      </c>
      <c r="E113" s="2"/>
      <c r="F113" s="2"/>
      <c r="G113" s="2"/>
      <c r="H113" s="2"/>
      <c r="I113" s="2"/>
      <c r="J113">
        <v>3.5</v>
      </c>
      <c r="O113">
        <v>4.4000000000000004</v>
      </c>
      <c r="Q113" s="2"/>
      <c r="R113" s="2"/>
      <c r="S113" s="2"/>
      <c r="T113" s="2"/>
      <c r="U113" s="2"/>
      <c r="V113" s="1">
        <v>20.291115180623258</v>
      </c>
      <c r="W113" s="2"/>
      <c r="X113" s="2"/>
    </row>
    <row r="114" spans="1:26" x14ac:dyDescent="0.55000000000000004">
      <c r="A114">
        <v>1926</v>
      </c>
      <c r="B114" s="2"/>
      <c r="C114" s="2"/>
      <c r="D114" s="1"/>
      <c r="E114" s="2"/>
      <c r="F114" s="2"/>
      <c r="G114" s="2"/>
      <c r="H114" s="2"/>
      <c r="I114" s="2"/>
      <c r="Q114" s="2"/>
      <c r="R114" s="2"/>
      <c r="S114" s="2"/>
      <c r="T114" s="2"/>
      <c r="U114" s="2"/>
      <c r="V114" s="1"/>
      <c r="W114" s="2"/>
      <c r="X114" s="2"/>
      <c r="Y114" s="1">
        <v>6.5</v>
      </c>
      <c r="Z114" s="1">
        <v>6.4</v>
      </c>
    </row>
    <row r="115" spans="1:26" x14ac:dyDescent="0.55000000000000004">
      <c r="A115">
        <v>1927</v>
      </c>
      <c r="B115" s="2"/>
      <c r="C115" s="2"/>
      <c r="D115" s="2"/>
      <c r="E115" s="2"/>
      <c r="F115" s="2"/>
      <c r="G115" s="2"/>
      <c r="H115" s="2"/>
      <c r="I115" s="2"/>
      <c r="L115" s="1">
        <v>15.938107074083186</v>
      </c>
      <c r="Q115" s="2"/>
      <c r="R115" s="2"/>
      <c r="S115" s="2"/>
      <c r="T115" s="2"/>
      <c r="U115" s="2"/>
      <c r="V115" s="2"/>
      <c r="W115" s="2"/>
      <c r="X115" s="2"/>
    </row>
    <row r="116" spans="1:26" x14ac:dyDescent="0.55000000000000004">
      <c r="A116">
        <v>1930</v>
      </c>
      <c r="B116" s="2"/>
      <c r="C116" s="2"/>
      <c r="D116" s="2"/>
      <c r="E116" s="2"/>
      <c r="F116" s="2"/>
      <c r="G116" s="2"/>
      <c r="H116" s="2"/>
      <c r="I116" s="2"/>
      <c r="P116" s="1">
        <v>17.399999999999999</v>
      </c>
      <c r="Q116" s="2"/>
      <c r="R116" s="2"/>
      <c r="S116" s="1">
        <v>6.2</v>
      </c>
      <c r="T116" s="2"/>
      <c r="U116" s="2"/>
      <c r="V116" s="1">
        <v>22.93503473513946</v>
      </c>
      <c r="W116" s="2"/>
      <c r="X116" s="2"/>
    </row>
    <row r="117" spans="1:26" x14ac:dyDescent="0.55000000000000004">
      <c r="A117">
        <v>1931</v>
      </c>
      <c r="B117" s="2"/>
      <c r="C117" s="2"/>
      <c r="D117" s="2"/>
      <c r="E117" s="2"/>
      <c r="F117" s="2"/>
      <c r="G117" s="2"/>
      <c r="H117" s="2"/>
      <c r="I117" s="2"/>
      <c r="M117" s="1">
        <v>20.751529902502156</v>
      </c>
      <c r="Q117" s="2"/>
      <c r="R117" s="2"/>
      <c r="S117" s="2"/>
      <c r="T117" s="2"/>
      <c r="U117" s="2"/>
      <c r="V117" s="2"/>
      <c r="W117" s="2"/>
      <c r="X117" s="2"/>
    </row>
    <row r="118" spans="1:26" x14ac:dyDescent="0.55000000000000004">
      <c r="A118">
        <v>1935</v>
      </c>
      <c r="B118" s="2"/>
      <c r="C118" s="2"/>
      <c r="D118" s="2"/>
      <c r="E118" s="2"/>
      <c r="F118" s="2"/>
      <c r="G118" s="2"/>
      <c r="H118" s="2"/>
      <c r="I118" s="2"/>
      <c r="J118">
        <v>4.7</v>
      </c>
      <c r="Q118" s="2"/>
      <c r="R118" s="2"/>
      <c r="S118" s="2"/>
      <c r="T118" s="2"/>
      <c r="U118" s="2"/>
      <c r="V118" s="2"/>
      <c r="W118" s="2"/>
      <c r="X118" s="2"/>
    </row>
    <row r="119" spans="1:26" x14ac:dyDescent="0.55000000000000004">
      <c r="A119">
        <v>1936</v>
      </c>
      <c r="B119" s="2"/>
      <c r="C119" s="2"/>
      <c r="D119" s="2"/>
      <c r="E119" s="1">
        <v>10.959868289448146</v>
      </c>
      <c r="F119" s="2"/>
      <c r="G119" s="2"/>
      <c r="H119" s="2"/>
      <c r="I119" s="2"/>
      <c r="Q119" s="2"/>
      <c r="R119" s="2"/>
      <c r="S119" s="2"/>
      <c r="T119" s="2"/>
      <c r="U119" s="2"/>
      <c r="V119" s="2"/>
      <c r="W119" s="2"/>
      <c r="X119" s="2"/>
    </row>
    <row r="120" spans="1:26" x14ac:dyDescent="0.55000000000000004">
      <c r="A120">
        <v>1938</v>
      </c>
      <c r="B120" s="2"/>
      <c r="C120" s="2"/>
      <c r="D120" s="2"/>
      <c r="E120" s="2"/>
      <c r="F120" s="2"/>
      <c r="G120" s="2"/>
      <c r="H120" s="2"/>
      <c r="I120" s="2"/>
      <c r="J120" s="1"/>
      <c r="K120" s="1">
        <v>9.4609561958101622</v>
      </c>
      <c r="Q120" s="2"/>
      <c r="R120" s="2"/>
      <c r="S120" s="2"/>
      <c r="T120" s="2"/>
      <c r="U120" s="2"/>
      <c r="V120" s="2"/>
      <c r="W120" s="2"/>
      <c r="X120" s="2"/>
    </row>
    <row r="121" spans="1:26" x14ac:dyDescent="0.55000000000000004">
      <c r="A121">
        <v>1940</v>
      </c>
      <c r="B121" s="2"/>
      <c r="C121" s="2"/>
      <c r="D121" s="1">
        <v>10.943696108636283</v>
      </c>
      <c r="E121" s="2"/>
      <c r="F121" s="2"/>
      <c r="G121" s="2"/>
      <c r="H121" s="1">
        <v>5.6620215161447227</v>
      </c>
      <c r="I121" s="2"/>
      <c r="N121">
        <v>10.199999999999999</v>
      </c>
      <c r="O121">
        <v>7.5</v>
      </c>
      <c r="P121" s="1">
        <v>19.7</v>
      </c>
      <c r="Q121" s="2"/>
      <c r="R121" s="1">
        <v>8.3848383858999256</v>
      </c>
      <c r="S121" s="2"/>
      <c r="T121" s="2"/>
      <c r="U121" s="2"/>
      <c r="V121" s="1">
        <v>24.839719568216751</v>
      </c>
      <c r="W121" s="2"/>
      <c r="X121" s="2"/>
    </row>
    <row r="122" spans="1:26" x14ac:dyDescent="0.55000000000000004">
      <c r="A122">
        <v>1941</v>
      </c>
      <c r="B122" s="2"/>
      <c r="C122" s="2"/>
      <c r="D122" s="2"/>
      <c r="E122" s="1">
        <v>12.354575557604816</v>
      </c>
      <c r="F122" s="2"/>
      <c r="G122" s="2"/>
      <c r="H122" s="2"/>
      <c r="I122" s="2"/>
      <c r="Q122" s="2"/>
      <c r="R122" s="2"/>
      <c r="S122" s="2"/>
      <c r="T122" s="2"/>
      <c r="U122" s="2"/>
      <c r="V122" s="2"/>
      <c r="W122" s="2"/>
      <c r="X122" s="2"/>
    </row>
    <row r="123" spans="1:26" x14ac:dyDescent="0.55000000000000004">
      <c r="A123">
        <v>1943</v>
      </c>
      <c r="B123" s="2"/>
      <c r="C123" s="2"/>
      <c r="D123" s="2"/>
      <c r="E123" s="2"/>
      <c r="F123" s="2"/>
      <c r="G123" s="2"/>
      <c r="H123" s="2"/>
      <c r="I123" s="2"/>
      <c r="M123" s="1">
        <v>22.055413091163864</v>
      </c>
      <c r="Q123" s="2"/>
      <c r="R123" s="2"/>
      <c r="S123" s="2"/>
      <c r="T123" s="2"/>
      <c r="U123" s="2"/>
      <c r="V123" s="2"/>
      <c r="W123" s="2"/>
      <c r="X123" s="2"/>
    </row>
    <row r="124" spans="1:26" x14ac:dyDescent="0.55000000000000004">
      <c r="A124">
        <v>1947</v>
      </c>
      <c r="B124" s="1">
        <v>39.999919465588746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6" x14ac:dyDescent="0.55000000000000004">
      <c r="A125">
        <v>1950</v>
      </c>
      <c r="B125" s="1">
        <v>43.2</v>
      </c>
      <c r="C125" s="1">
        <v>10.6</v>
      </c>
      <c r="D125" s="1">
        <v>16.600000000000001</v>
      </c>
      <c r="E125" s="1">
        <v>24.9</v>
      </c>
      <c r="F125" s="1" t="s">
        <v>3</v>
      </c>
      <c r="G125" s="1">
        <v>4.7</v>
      </c>
      <c r="H125" s="1">
        <v>12.8</v>
      </c>
      <c r="I125" s="1"/>
      <c r="J125" s="1">
        <v>8.5</v>
      </c>
      <c r="K125" s="1">
        <v>15.5</v>
      </c>
      <c r="L125" s="1">
        <v>18.399999999999999</v>
      </c>
      <c r="M125" s="1">
        <v>25.7</v>
      </c>
      <c r="N125" s="1">
        <v>14.1</v>
      </c>
      <c r="O125" s="1">
        <v>10.3</v>
      </c>
      <c r="P125" s="1">
        <v>21.7</v>
      </c>
      <c r="Q125" s="1">
        <v>19.600000000000001</v>
      </c>
      <c r="R125" s="1">
        <v>10.4</v>
      </c>
      <c r="S125" s="1">
        <v>10.4</v>
      </c>
      <c r="T125" s="1" t="s">
        <v>3</v>
      </c>
      <c r="U125" s="1" t="s">
        <v>3</v>
      </c>
      <c r="V125" s="1">
        <v>32.799999999999997</v>
      </c>
      <c r="W125" s="1">
        <v>14.8</v>
      </c>
      <c r="X125" s="1">
        <v>16.399999999999999</v>
      </c>
      <c r="Y125" s="1">
        <v>18</v>
      </c>
    </row>
    <row r="126" spans="1:26" x14ac:dyDescent="0.55000000000000004">
      <c r="A126">
        <v>1959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>
        <v>23.3</v>
      </c>
      <c r="Z126" s="1">
        <v>27</v>
      </c>
    </row>
    <row r="127" spans="1:26" x14ac:dyDescent="0.55000000000000004">
      <c r="A127">
        <v>1960</v>
      </c>
      <c r="B127" s="1">
        <v>51.6</v>
      </c>
      <c r="C127" s="1" t="s">
        <v>3</v>
      </c>
      <c r="D127" s="1">
        <v>22</v>
      </c>
      <c r="E127" s="1">
        <v>39.1</v>
      </c>
      <c r="F127" s="1">
        <v>26.5</v>
      </c>
      <c r="G127" s="1" t="s">
        <v>3</v>
      </c>
      <c r="H127" s="1">
        <v>17.2</v>
      </c>
      <c r="I127" s="1">
        <v>7.1</v>
      </c>
      <c r="J127" s="1">
        <v>12.1</v>
      </c>
      <c r="K127" s="1">
        <v>29.3</v>
      </c>
      <c r="L127" s="1">
        <v>19.399999999999999</v>
      </c>
      <c r="M127" s="1" t="s">
        <v>3</v>
      </c>
      <c r="N127" s="1">
        <v>18.600000000000001</v>
      </c>
      <c r="O127" s="1">
        <v>15.3</v>
      </c>
      <c r="P127" s="1">
        <v>26.9</v>
      </c>
      <c r="Q127" s="1">
        <v>23</v>
      </c>
      <c r="R127" s="1">
        <v>22.4</v>
      </c>
      <c r="S127" s="1">
        <v>12.9</v>
      </c>
      <c r="T127" s="1">
        <v>30.2</v>
      </c>
      <c r="U127" s="1">
        <v>50.5</v>
      </c>
      <c r="V127" s="1">
        <v>36.799999999999997</v>
      </c>
      <c r="W127" s="1">
        <v>19.2</v>
      </c>
      <c r="X127" s="1">
        <v>23.4</v>
      </c>
    </row>
    <row r="128" spans="1:26" x14ac:dyDescent="0.55000000000000004">
      <c r="A128">
        <v>1970</v>
      </c>
      <c r="B128" s="1">
        <v>56.2</v>
      </c>
      <c r="C128" s="1">
        <v>28.5</v>
      </c>
      <c r="D128" s="1">
        <v>32.200000000000003</v>
      </c>
      <c r="E128" s="1">
        <v>49.7</v>
      </c>
      <c r="F128" s="1">
        <v>23.4</v>
      </c>
      <c r="G128" s="1">
        <v>11.5</v>
      </c>
      <c r="H128" s="1">
        <v>19.600000000000001</v>
      </c>
      <c r="I128" s="1">
        <v>16</v>
      </c>
      <c r="J128" s="1">
        <v>20.5</v>
      </c>
      <c r="K128" s="1">
        <v>37.5</v>
      </c>
      <c r="L128" s="1">
        <v>21.8</v>
      </c>
      <c r="M128" s="1">
        <v>31</v>
      </c>
      <c r="N128" s="1">
        <v>23.3</v>
      </c>
      <c r="O128" s="1">
        <v>20.5</v>
      </c>
      <c r="P128" s="1">
        <v>31.7</v>
      </c>
      <c r="Q128" s="1">
        <v>24.9</v>
      </c>
      <c r="R128" s="1">
        <v>34.9</v>
      </c>
      <c r="S128" s="1" t="s">
        <v>3</v>
      </c>
      <c r="T128" s="1">
        <v>30.4</v>
      </c>
      <c r="U128" s="1">
        <v>50.3</v>
      </c>
      <c r="V128" s="1">
        <v>43.3</v>
      </c>
      <c r="W128" s="1">
        <v>23.8</v>
      </c>
      <c r="X128" s="1">
        <v>26.1</v>
      </c>
      <c r="Y128" s="1">
        <v>31.2</v>
      </c>
      <c r="Z128" s="1">
        <v>35.799999999999997</v>
      </c>
    </row>
    <row r="129" spans="1:26" x14ac:dyDescent="0.55000000000000004">
      <c r="A129">
        <v>1979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>
        <v>40.4</v>
      </c>
      <c r="Z129" s="24">
        <v>42.7</v>
      </c>
    </row>
    <row r="130" spans="1:26" x14ac:dyDescent="0.55000000000000004">
      <c r="A130">
        <v>1980</v>
      </c>
      <c r="B130" s="1">
        <v>58.8</v>
      </c>
      <c r="C130" s="1" t="s">
        <v>3</v>
      </c>
      <c r="D130" s="1">
        <v>42.1</v>
      </c>
      <c r="E130" s="1">
        <v>59.7</v>
      </c>
      <c r="F130" s="1">
        <v>22.1</v>
      </c>
      <c r="G130" s="1">
        <v>14.3</v>
      </c>
      <c r="H130" s="1">
        <v>19.3</v>
      </c>
      <c r="I130" s="1">
        <v>19.100000000000001</v>
      </c>
      <c r="J130" s="1">
        <v>28</v>
      </c>
      <c r="K130" s="1">
        <v>46.2</v>
      </c>
      <c r="L130" s="1">
        <v>25.1</v>
      </c>
      <c r="M130" s="1">
        <v>32.4</v>
      </c>
      <c r="N130" s="1">
        <v>40.9</v>
      </c>
      <c r="O130" s="1" t="s">
        <v>3</v>
      </c>
      <c r="P130" s="1">
        <v>33.799999999999997</v>
      </c>
      <c r="Q130" s="1">
        <v>27.1</v>
      </c>
      <c r="R130" s="1">
        <v>40.9</v>
      </c>
      <c r="S130" s="1">
        <v>14.7</v>
      </c>
      <c r="T130" s="1">
        <v>32.200000000000003</v>
      </c>
      <c r="U130" s="1">
        <v>51.1</v>
      </c>
      <c r="V130" s="1">
        <v>55.8</v>
      </c>
      <c r="W130" s="1">
        <v>32.9</v>
      </c>
      <c r="X130" s="1">
        <v>24</v>
      </c>
    </row>
    <row r="131" spans="1:26" x14ac:dyDescent="0.55000000000000004">
      <c r="A131">
        <v>1989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Z131">
        <v>45.7</v>
      </c>
    </row>
    <row r="132" spans="1:26" x14ac:dyDescent="0.55000000000000004">
      <c r="A132">
        <v>1990</v>
      </c>
      <c r="B132" s="1">
        <v>61.8</v>
      </c>
      <c r="C132" s="1">
        <v>41.3</v>
      </c>
      <c r="D132" s="1">
        <v>45.6</v>
      </c>
      <c r="E132" s="1">
        <v>59.5</v>
      </c>
      <c r="F132" s="1" t="s">
        <v>3</v>
      </c>
      <c r="G132" s="1" t="s">
        <v>3</v>
      </c>
      <c r="H132" s="1">
        <v>19</v>
      </c>
      <c r="I132" s="1" t="s">
        <v>3</v>
      </c>
      <c r="J132" s="1">
        <v>32.200000000000003</v>
      </c>
      <c r="K132" s="1">
        <v>49.3</v>
      </c>
      <c r="L132" s="1" t="s">
        <v>3</v>
      </c>
      <c r="M132" s="1" t="s">
        <v>3</v>
      </c>
      <c r="N132" s="1">
        <v>44.4</v>
      </c>
      <c r="O132" s="1">
        <v>22.7</v>
      </c>
      <c r="P132" s="1">
        <v>36.299999999999997</v>
      </c>
      <c r="Q132" s="1">
        <v>31.6</v>
      </c>
      <c r="R132" s="1">
        <v>48</v>
      </c>
      <c r="S132" s="1">
        <v>28</v>
      </c>
      <c r="T132" s="1" t="s">
        <v>3</v>
      </c>
      <c r="U132" s="1">
        <v>50.3</v>
      </c>
      <c r="V132" s="1">
        <v>60.8</v>
      </c>
      <c r="W132" s="1">
        <v>36.4</v>
      </c>
      <c r="X132" s="1" t="s">
        <v>3</v>
      </c>
    </row>
    <row r="133" spans="1:26" x14ac:dyDescent="0.55000000000000004">
      <c r="A133">
        <v>2000</v>
      </c>
      <c r="B133" s="1">
        <v>62.3</v>
      </c>
      <c r="C133" s="1">
        <v>44.9</v>
      </c>
      <c r="D133" s="1">
        <v>49.6</v>
      </c>
      <c r="E133" s="1">
        <v>61.6</v>
      </c>
      <c r="F133" s="1" t="s">
        <v>3</v>
      </c>
      <c r="G133" s="1">
        <v>27.2</v>
      </c>
      <c r="H133" s="1">
        <v>20.2</v>
      </c>
      <c r="I133" s="1">
        <v>24.3</v>
      </c>
      <c r="J133" s="1">
        <v>41.4</v>
      </c>
      <c r="K133" s="1">
        <v>53.9</v>
      </c>
      <c r="L133" s="1">
        <v>33.9</v>
      </c>
      <c r="M133" s="1">
        <v>39.5</v>
      </c>
      <c r="N133" s="1">
        <v>50.2</v>
      </c>
      <c r="O133" s="1">
        <v>21.9</v>
      </c>
      <c r="P133" s="1">
        <v>51.2</v>
      </c>
      <c r="Q133" s="1">
        <v>35.299999999999997</v>
      </c>
      <c r="R133" s="1">
        <v>53.5</v>
      </c>
      <c r="S133" s="1">
        <v>29.9</v>
      </c>
      <c r="T133" s="1" t="s">
        <v>3</v>
      </c>
      <c r="U133" s="1">
        <v>47.4</v>
      </c>
      <c r="V133" s="1">
        <v>63.6</v>
      </c>
      <c r="W133" s="1">
        <v>44.2</v>
      </c>
      <c r="X133" s="1" t="s">
        <v>3</v>
      </c>
    </row>
    <row r="134" spans="1:26" x14ac:dyDescent="0.55000000000000004">
      <c r="A134">
        <v>2010</v>
      </c>
      <c r="B134" s="1">
        <v>64.7</v>
      </c>
      <c r="C134" s="1">
        <v>52.2</v>
      </c>
      <c r="D134" s="1">
        <v>56.6</v>
      </c>
      <c r="E134" s="1">
        <v>63.5</v>
      </c>
      <c r="F134" s="1" t="s">
        <v>3</v>
      </c>
      <c r="G134" s="1" t="s">
        <v>3</v>
      </c>
      <c r="H134" s="1" t="s">
        <v>3</v>
      </c>
      <c r="I134" s="1">
        <v>29.3</v>
      </c>
      <c r="J134" s="1">
        <v>52.9</v>
      </c>
      <c r="K134" s="1">
        <v>53.9</v>
      </c>
      <c r="L134" s="1">
        <v>46.4</v>
      </c>
      <c r="M134" s="1">
        <v>40.4</v>
      </c>
      <c r="N134" s="1">
        <v>60.7</v>
      </c>
      <c r="O134" s="1" t="s">
        <v>3</v>
      </c>
      <c r="P134" s="1">
        <v>52.6</v>
      </c>
      <c r="Q134" s="1" t="s">
        <v>3</v>
      </c>
      <c r="R134" s="1">
        <v>59</v>
      </c>
      <c r="S134" s="1" t="s">
        <v>3</v>
      </c>
      <c r="T134" s="1" t="s">
        <v>3</v>
      </c>
      <c r="U134" s="1">
        <v>54</v>
      </c>
      <c r="V134" s="1">
        <v>72.5</v>
      </c>
      <c r="W134" s="1">
        <v>52</v>
      </c>
      <c r="X134" s="1" t="s">
        <v>3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2026-06-14T23:02:20Z</dcterms:created>
  <dcterms:modified xsi:type="dcterms:W3CDTF">2026-06-17T01:46:23Z</dcterms:modified>
</cp:coreProperties>
</file>