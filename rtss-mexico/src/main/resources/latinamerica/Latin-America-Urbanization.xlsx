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github\RTSS\rtss-mexico\src\main\resources\latinamerica\"/>
    </mc:Choice>
  </mc:AlternateContent>
  <xr:revisionPtr revIDLastSave="0" documentId="13_ncr:1_{22D74C9B-6B2C-46A7-AE9C-B4ACE7E6FA4A}" xr6:coauthVersionLast="47" xr6:coauthVersionMax="47" xr10:uidLastSave="{00000000-0000-0000-0000-000000000000}"/>
  <bookViews>
    <workbookView xWindow="57480" yWindow="-120" windowWidth="51840" windowHeight="21120" activeTab="9" xr2:uid="{CF6A2AB8-34C5-4CDB-9A0B-0A9EB6FB1FEF}"/>
  </bookViews>
  <sheets>
    <sheet name="Notes" sheetId="2" r:id="rId1"/>
    <sheet name="Data-1" sheetId="1" r:id="rId2"/>
    <sheet name="Data-2" sheetId="3" r:id="rId3"/>
    <sheet name="Data-3" sheetId="4" r:id="rId4"/>
    <sheet name="Data-4" sheetId="5" r:id="rId5"/>
    <sheet name="Data-5" sheetId="6" r:id="rId6"/>
    <sheet name="Data-6" sheetId="7" r:id="rId7"/>
    <sheet name="Data-7" sheetId="10" r:id="rId8"/>
    <sheet name="Data-8" sheetId="11" r:id="rId9"/>
    <sheet name="Сводка-все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6" i="11" l="1"/>
  <c r="O35" i="11"/>
  <c r="M38" i="11"/>
  <c r="O38" i="11" s="1"/>
  <c r="M37" i="11"/>
  <c r="O37" i="11" s="1"/>
  <c r="M36" i="11"/>
  <c r="M35" i="11"/>
  <c r="M34" i="11"/>
  <c r="O34" i="11" s="1"/>
  <c r="M32" i="11"/>
  <c r="O32" i="11" s="1"/>
  <c r="M31" i="11"/>
  <c r="O31" i="11" s="1"/>
  <c r="M30" i="11"/>
  <c r="O30" i="11" s="1"/>
  <c r="L38" i="11"/>
  <c r="N38" i="11" s="1"/>
  <c r="L37" i="11"/>
  <c r="N37" i="11" s="1"/>
  <c r="L36" i="11"/>
  <c r="N36" i="11" s="1"/>
  <c r="L35" i="11"/>
  <c r="N35" i="11" s="1"/>
  <c r="L34" i="11"/>
  <c r="N34" i="11" s="1"/>
  <c r="L32" i="11"/>
  <c r="N32" i="11" s="1"/>
  <c r="L31" i="11"/>
  <c r="N31" i="11" s="1"/>
  <c r="L30" i="11"/>
  <c r="N30" i="11" s="1"/>
  <c r="L28" i="11"/>
  <c r="N28" i="11" s="1"/>
  <c r="L27" i="11"/>
  <c r="N27" i="11" s="1"/>
  <c r="L26" i="11"/>
  <c r="N26" i="11" s="1"/>
  <c r="L25" i="11"/>
  <c r="N25" i="11" s="1"/>
  <c r="J51" i="5" l="1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E47" i="5"/>
  <c r="L12" i="3"/>
  <c r="L17" i="3"/>
  <c r="L16" i="3"/>
  <c r="L15" i="3"/>
  <c r="L21" i="3"/>
  <c r="L20" i="3"/>
  <c r="L19" i="3"/>
  <c r="L18" i="3"/>
  <c r="L11" i="3"/>
  <c r="L23" i="3"/>
  <c r="L14" i="3"/>
  <c r="L10" i="3"/>
  <c r="L9" i="3"/>
  <c r="L22" i="3"/>
  <c r="L26" i="3"/>
  <c r="L25" i="3"/>
  <c r="L24" i="3"/>
  <c r="L13" i="3"/>
  <c r="L8" i="3"/>
  <c r="L7" i="3"/>
  <c r="L6" i="3"/>
  <c r="J12" i="3"/>
  <c r="M12" i="3" s="1"/>
  <c r="J17" i="3"/>
  <c r="M17" i="3" s="1"/>
  <c r="J16" i="3"/>
  <c r="M16" i="3" s="1"/>
  <c r="J15" i="3"/>
  <c r="M15" i="3" s="1"/>
  <c r="J21" i="3"/>
  <c r="M21" i="3" s="1"/>
  <c r="J20" i="3"/>
  <c r="M20" i="3" s="1"/>
  <c r="J19" i="3"/>
  <c r="M19" i="3" s="1"/>
  <c r="J18" i="3"/>
  <c r="M18" i="3" s="1"/>
  <c r="J11" i="3"/>
  <c r="M11" i="3" s="1"/>
  <c r="J23" i="3"/>
  <c r="M23" i="3" s="1"/>
  <c r="J14" i="3"/>
  <c r="M14" i="3" s="1"/>
  <c r="J10" i="3"/>
  <c r="M10" i="3" s="1"/>
  <c r="J9" i="3"/>
  <c r="M9" i="3" s="1"/>
  <c r="J22" i="3"/>
  <c r="M22" i="3" s="1"/>
  <c r="J26" i="3"/>
  <c r="M26" i="3" s="1"/>
  <c r="J25" i="3"/>
  <c r="M25" i="3" s="1"/>
  <c r="J24" i="3"/>
  <c r="M24" i="3" s="1"/>
  <c r="J13" i="3"/>
  <c r="M13" i="3" s="1"/>
  <c r="J8" i="3"/>
  <c r="M8" i="3" s="1"/>
  <c r="J7" i="3"/>
  <c r="M7" i="3" s="1"/>
  <c r="J6" i="3"/>
  <c r="M6" i="3" s="1"/>
</calcChain>
</file>

<file path=xl/sharedStrings.xml><?xml version="1.0" encoding="utf-8"?>
<sst xmlns="http://schemas.openxmlformats.org/spreadsheetml/2006/main" count="665" uniqueCount="112">
  <si>
    <t>Boletín demográfico. Año 38, no. 75, Jan 2005, стр. 26</t>
  </si>
  <si>
    <t>Boletín demográfico. Año 38, no. 75, Jan 2005, стр. 30</t>
  </si>
  <si>
    <t>Boletín demográfico. Año 38, no. 75, Jan 2005, стр. 32</t>
  </si>
  <si>
    <t/>
  </si>
  <si>
    <t>и загрузка из CEPALSTAT https://statistics.cepal.org/portal/databank/index.html?indicator_id=269&amp;lang=en</t>
  </si>
  <si>
    <t>загрузка из CEPALSTAT https://statistics.cepal.org/portal/databank/index.html?indicator_id=269&amp;lang=en</t>
  </si>
  <si>
    <t>Аргентина</t>
  </si>
  <si>
    <t>Боливия</t>
  </si>
  <si>
    <t>Бразилия</t>
  </si>
  <si>
    <t>Чили</t>
  </si>
  <si>
    <t>Колумбия</t>
  </si>
  <si>
    <t>Эквадор</t>
  </si>
  <si>
    <t>Гвиана</t>
  </si>
  <si>
    <t>Французская Гвиана</t>
  </si>
  <si>
    <t>Парагвай</t>
  </si>
  <si>
    <t>Перу</t>
  </si>
  <si>
    <t>Суринам</t>
  </si>
  <si>
    <t>Уругвай</t>
  </si>
  <si>
    <t>Венесуэла</t>
  </si>
  <si>
    <t>Белиз</t>
  </si>
  <si>
    <t>Коста-Рика</t>
  </si>
  <si>
    <t>Куба</t>
  </si>
  <si>
    <t>Сальвадор</t>
  </si>
  <si>
    <t>Гватемала</t>
  </si>
  <si>
    <t>Гаити</t>
  </si>
  <si>
    <t>Гондурас</t>
  </si>
  <si>
    <t>Ямайка</t>
  </si>
  <si>
    <t>Мексика</t>
  </si>
  <si>
    <t>Никарагуа</t>
  </si>
  <si>
    <t>Панама</t>
  </si>
  <si>
    <t>Доминиканская Республика</t>
  </si>
  <si>
    <t>Багамские Острова</t>
  </si>
  <si>
    <t>Барбадос</t>
  </si>
  <si>
    <t>Гренада</t>
  </si>
  <si>
    <t>Гайана</t>
  </si>
  <si>
    <t>Сент-Винсент и Гренадины</t>
  </si>
  <si>
    <t>Сент-Люсия</t>
  </si>
  <si>
    <t>Тринидад и Тобаго</t>
  </si>
  <si>
    <t>страна</t>
  </si>
  <si>
    <t>Доля населения живущего в пунктах с численностью более 2,000 жителей (1950-2000)</t>
  </si>
  <si>
    <t>Доля населения живущего в пунктах с численностью более 20,000 жителей (1950-2010)</t>
  </si>
  <si>
    <t>Доля населения живущего в пунктах с численностью более 100,000 жителей (1950-2010)</t>
  </si>
  <si>
    <t>год</t>
  </si>
  <si>
    <t>20-50</t>
  </si>
  <si>
    <t>100-500</t>
  </si>
  <si>
    <t>500-1000</t>
  </si>
  <si>
    <t>20 и выше</t>
  </si>
  <si>
    <t>100 и выше</t>
  </si>
  <si>
    <t>50-100</t>
  </si>
  <si>
    <t>1000 и выше</t>
  </si>
  <si>
    <t>Доминиканская республика</t>
  </si>
  <si>
    <t xml:space="preserve">Бразилия </t>
  </si>
  <si>
    <t>всё население</t>
  </si>
  <si>
    <t>% 20+ тыс</t>
  </si>
  <si>
    <t>%100+ тыс</t>
  </si>
  <si>
    <t>численность наcеления в городах с числом жителей (тыс)</t>
  </si>
  <si>
    <t>процент</t>
  </si>
  <si>
    <t>Boletín demográfico. Año 4, no. 9, Dec 1971, стр. 4-8</t>
  </si>
  <si>
    <t>Городское население по переписям</t>
  </si>
  <si>
    <t>"Urbanization in Latin America", ed. P. Hauser, Columbia University Press and UNESCO, 1961</t>
  </si>
  <si>
    <t>Population Branch, Bureau of Social Aflairs, United Nations, "Demograpic Aspects of Urbanization in Latin America"</t>
  </si>
  <si>
    <t>%20+ тыс</t>
  </si>
  <si>
    <t>% городского по переписи</t>
  </si>
  <si>
    <t>стр. 94, 96</t>
  </si>
  <si>
    <t>СССР</t>
  </si>
  <si>
    <t>стр. 98-99</t>
  </si>
  <si>
    <t>Городское населление по переписям</t>
  </si>
  <si>
    <t>Аргентинна</t>
  </si>
  <si>
    <t>меньше 20 тыс</t>
  </si>
  <si>
    <t>20-100 тыс</t>
  </si>
  <si>
    <t>свыше 20 тыс</t>
  </si>
  <si>
    <t>свыше 100 тыс</t>
  </si>
  <si>
    <t>"Growth of the world's urban and rural population, 1920 - 2000", 1969</t>
  </si>
  <si>
    <t>United Nations Population Studies №44</t>
  </si>
  <si>
    <t>Доля (%) населения в пунктах численностью 20,000 и выше</t>
  </si>
  <si>
    <t>стр. 105-106</t>
  </si>
  <si>
    <t>Пуэрто-Рико</t>
  </si>
  <si>
    <t>John D. Durand, Cesar Pelaez, D. S. Thomas, R. O. Carleton, L. Baumgartner and E. S. Lee</t>
  </si>
  <si>
    <t>Patterns of Urbanization in Latin America</t>
  </si>
  <si>
    <t xml:space="preserve">The Milbank Memorial Fund Quarterly, Oct., 1965, Vol. 43, No. 4, </t>
  </si>
  <si>
    <t xml:space="preserve">Part 2: Components of Population Change in Latin America. </t>
  </si>
  <si>
    <t xml:space="preserve">Proceedings of the Sixtieth Anniversary Conference of the Milbank Memorial Fund. </t>
  </si>
  <si>
    <t>стр. 172-173</t>
  </si>
  <si>
    <t>Разбивка населения в годы переписей</t>
  </si>
  <si>
    <t>CCCР</t>
  </si>
  <si>
    <t>Доля городского населения по административной классификации (1950-2000)</t>
  </si>
  <si>
    <t>UN Demographic Yearbook 1952, стр. 168-186</t>
  </si>
  <si>
    <t xml:space="preserve">страна </t>
  </si>
  <si>
    <t>%гор</t>
  </si>
  <si>
    <t>Бермуда</t>
  </si>
  <si>
    <t>UN Demographic Yearbook 1948, стр. 213-220</t>
  </si>
  <si>
    <t>Доля городского населения по административной классификации</t>
  </si>
  <si>
    <t>Доля населения живущего в пунктах с численностью более 20,000 жителей</t>
  </si>
  <si>
    <t>Доля населения живущего в пунктах с численностью более 100,000 жителей</t>
  </si>
  <si>
    <t>INEGI, "Estadísticas históricas de México 2014", табл. 1.16</t>
  </si>
  <si>
    <t>Мексика, доля городского населения по административной классфикации</t>
  </si>
  <si>
    <t>Мексика, распределение населения по численности пунктов</t>
  </si>
  <si>
    <t>INEGI, "Estadísticas históricas de México 2014", табл. 2.15</t>
  </si>
  <si>
    <t>всего</t>
  </si>
  <si>
    <t>ниже 2,500</t>
  </si>
  <si>
    <t>2500-5000</t>
  </si>
  <si>
    <t>5000-15000</t>
  </si>
  <si>
    <t>15000-20000</t>
  </si>
  <si>
    <t>20-50 тыс</t>
  </si>
  <si>
    <t>50-100 тыс</t>
  </si>
  <si>
    <t>100-500 тыс</t>
  </si>
  <si>
    <t>1м+</t>
  </si>
  <si>
    <t>500 тыс-1м</t>
  </si>
  <si>
    <t>20+ тыс.</t>
  </si>
  <si>
    <t>100+ тыс</t>
  </si>
  <si>
    <t>РСФСР</t>
  </si>
  <si>
    <t>Для СССР, РСФСР и Мексики см. urbanization.xlsx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</si>
</sst>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70C0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name val="Arial"/>
      <family val="2"/>
    </font>
    <font>
      <sz val="11"/>
      <color theme="1"/>
      <name val="Aptos Narrow"/>
      <scheme val="minor"/>
    </font>
    <font>
      <sz val="11"/>
      <name val="Aptos Narrow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27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3" fillId="0" borderId="0" xfId="0" applyNumberFormat="1" applyFont="1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1" xfId="0" applyFont="1" applyBorder="1"/>
    <xf numFmtId="0" fontId="0" fillId="0" borderId="1" xfId="0" applyBorder="1"/>
    <xf numFmtId="3" fontId="8" fillId="0" borderId="1" xfId="0" applyNumberFormat="1" applyFont="1" applyBorder="1"/>
    <xf numFmtId="3" fontId="9" fillId="3" borderId="1" xfId="2" quotePrefix="1" applyNumberFormat="1" applyFont="1" applyFill="1" applyBorder="1" applyAlignment="1">
      <alignment horizontal="right" vertical="center"/>
    </xf>
    <xf numFmtId="3" fontId="9" fillId="0" borderId="1" xfId="2" quotePrefix="1" applyNumberFormat="1" applyFont="1" applyBorder="1" applyAlignment="1">
      <alignment horizontal="right" vertical="center"/>
    </xf>
    <xf numFmtId="3" fontId="0" fillId="0" borderId="1" xfId="0" applyNumberFormat="1" applyBorder="1"/>
    <xf numFmtId="164" fontId="0" fillId="0" borderId="1" xfId="0" applyNumberFormat="1" applyBorder="1"/>
    <xf numFmtId="0" fontId="6" fillId="0" borderId="1" xfId="0" applyFont="1" applyBorder="1" applyAlignment="1">
      <alignment horizontal="center"/>
    </xf>
    <xf numFmtId="164" fontId="10" fillId="0" borderId="0" xfId="0" applyNumberFormat="1" applyFont="1"/>
    <xf numFmtId="0" fontId="8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 2" xfId="2" xr:uid="{32AF0234-4941-4486-9D3F-97BD60F5F6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BC77-576E-4DC4-B117-3E379681AD07}">
  <dimension ref="A1:A2"/>
  <sheetViews>
    <sheetView workbookViewId="0">
      <selection activeCell="A2" sqref="A2"/>
    </sheetView>
  </sheetViews>
  <sheetFormatPr defaultRowHeight="14.4"/>
  <sheetData>
    <row r="1" spans="1:1">
      <c r="A1" t="s">
        <v>111</v>
      </c>
    </row>
    <row r="2" spans="1:1">
      <c r="A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6065-263E-4E0E-AA1C-6A8B756E2690}">
  <dimension ref="A1:O124"/>
  <sheetViews>
    <sheetView workbookViewId="0">
      <selection activeCell="A96" sqref="A96"/>
    </sheetView>
  </sheetViews>
  <sheetFormatPr defaultRowHeight="14.4"/>
  <cols>
    <col min="1" max="1" width="31.3671875" customWidth="1"/>
  </cols>
  <sheetData>
    <row r="1" spans="1:7">
      <c r="A1" s="11" t="s">
        <v>85</v>
      </c>
    </row>
    <row r="2" spans="1:7">
      <c r="A2" t="s">
        <v>0</v>
      </c>
    </row>
    <row r="4" spans="1:7">
      <c r="A4" s="2" t="s">
        <v>38</v>
      </c>
      <c r="B4" s="2">
        <v>1950</v>
      </c>
      <c r="C4" s="2">
        <v>1960</v>
      </c>
      <c r="D4" s="2">
        <v>1970</v>
      </c>
      <c r="E4" s="2">
        <v>1980</v>
      </c>
      <c r="F4" s="2">
        <v>1990</v>
      </c>
      <c r="G4" s="2">
        <v>2000</v>
      </c>
    </row>
    <row r="5" spans="1:7">
      <c r="A5" t="s">
        <v>6</v>
      </c>
      <c r="B5" s="1">
        <v>62.5</v>
      </c>
      <c r="C5" s="1">
        <v>73.8</v>
      </c>
      <c r="D5" s="1">
        <v>79</v>
      </c>
      <c r="E5" s="1">
        <v>83</v>
      </c>
      <c r="F5" s="1">
        <v>87.3</v>
      </c>
      <c r="G5" s="1">
        <v>90.5</v>
      </c>
    </row>
    <row r="6" spans="1:7">
      <c r="A6" t="s">
        <v>19</v>
      </c>
      <c r="B6" s="1">
        <v>56.5</v>
      </c>
      <c r="C6" s="1">
        <v>53.8</v>
      </c>
      <c r="D6" s="1">
        <v>51.2</v>
      </c>
      <c r="E6" s="1">
        <v>49.3</v>
      </c>
      <c r="F6" s="1">
        <v>47.6</v>
      </c>
      <c r="G6" s="1">
        <v>47.9</v>
      </c>
    </row>
    <row r="7" spans="1:7">
      <c r="A7" t="s">
        <v>7</v>
      </c>
      <c r="B7" s="1">
        <v>33.9</v>
      </c>
      <c r="C7" s="1">
        <v>39.299999999999997</v>
      </c>
      <c r="D7" s="1">
        <v>41.7</v>
      </c>
      <c r="E7" s="1">
        <v>50.5</v>
      </c>
      <c r="F7" s="1">
        <v>57.5</v>
      </c>
      <c r="G7" s="1">
        <v>62.4</v>
      </c>
    </row>
    <row r="8" spans="1:7">
      <c r="A8" t="s">
        <v>8</v>
      </c>
      <c r="B8" s="1">
        <v>36.5</v>
      </c>
      <c r="C8" s="1">
        <v>43</v>
      </c>
      <c r="D8" s="1">
        <v>55.9</v>
      </c>
      <c r="E8" s="1">
        <v>67.599999999999994</v>
      </c>
      <c r="F8" s="1">
        <v>78.400000000000006</v>
      </c>
      <c r="G8" s="1">
        <v>81.2</v>
      </c>
    </row>
    <row r="9" spans="1:7">
      <c r="A9" t="s">
        <v>18</v>
      </c>
      <c r="B9" s="1">
        <v>53.7</v>
      </c>
      <c r="C9" s="1">
        <v>67.400000000000006</v>
      </c>
      <c r="D9" s="1">
        <v>77.2</v>
      </c>
      <c r="E9" s="1">
        <v>84</v>
      </c>
      <c r="F9" s="1">
        <v>84.4</v>
      </c>
      <c r="G9" s="1">
        <v>86.9</v>
      </c>
    </row>
    <row r="10" spans="1:7">
      <c r="A10" t="s">
        <v>24</v>
      </c>
      <c r="B10" s="1">
        <v>12.2</v>
      </c>
      <c r="C10" s="1">
        <v>15.6</v>
      </c>
      <c r="D10" s="1">
        <v>20.2</v>
      </c>
      <c r="E10" s="1">
        <v>24.5</v>
      </c>
      <c r="F10" s="1">
        <v>29.5</v>
      </c>
      <c r="G10" s="1">
        <v>35.6</v>
      </c>
    </row>
    <row r="11" spans="1:7">
      <c r="A11" t="s">
        <v>23</v>
      </c>
      <c r="B11" s="1">
        <v>25</v>
      </c>
      <c r="C11" s="1">
        <v>33.6</v>
      </c>
      <c r="D11" s="1">
        <v>36.4</v>
      </c>
      <c r="E11" s="1">
        <v>32.700000000000003</v>
      </c>
      <c r="F11" s="1">
        <v>35</v>
      </c>
      <c r="G11" s="1">
        <v>46.1</v>
      </c>
    </row>
    <row r="12" spans="1:7">
      <c r="A12" t="s">
        <v>12</v>
      </c>
      <c r="B12" s="1">
        <v>28.1</v>
      </c>
      <c r="C12" s="1">
        <v>29</v>
      </c>
      <c r="D12" s="1">
        <v>29.5</v>
      </c>
      <c r="E12" s="1">
        <v>30.6</v>
      </c>
      <c r="F12" s="1">
        <v>33.200000000000003</v>
      </c>
      <c r="G12" s="1">
        <v>36.200000000000003</v>
      </c>
    </row>
    <row r="13" spans="1:7">
      <c r="A13" t="s">
        <v>25</v>
      </c>
      <c r="B13" s="1">
        <v>31</v>
      </c>
      <c r="C13" s="1">
        <v>30.4</v>
      </c>
      <c r="D13" s="1">
        <v>37.200000000000003</v>
      </c>
      <c r="E13" s="1">
        <v>38.700000000000003</v>
      </c>
      <c r="F13" s="1">
        <v>47.5</v>
      </c>
      <c r="G13" s="1">
        <v>45.5</v>
      </c>
    </row>
    <row r="14" spans="1:7">
      <c r="A14" t="s">
        <v>30</v>
      </c>
      <c r="B14" s="1">
        <v>23.9</v>
      </c>
      <c r="C14" s="1">
        <v>30.5</v>
      </c>
      <c r="D14" s="1">
        <v>39.700000000000003</v>
      </c>
      <c r="E14" s="1">
        <v>52</v>
      </c>
      <c r="F14" s="1">
        <v>56.1</v>
      </c>
      <c r="G14" s="1">
        <v>58.2</v>
      </c>
    </row>
    <row r="15" spans="1:7">
      <c r="A15" t="s">
        <v>10</v>
      </c>
      <c r="B15" s="1">
        <v>42.7</v>
      </c>
      <c r="C15" s="1">
        <v>52.1</v>
      </c>
      <c r="D15" s="1">
        <v>59.1</v>
      </c>
      <c r="E15" s="1">
        <v>67.2</v>
      </c>
      <c r="F15" s="1">
        <v>71</v>
      </c>
      <c r="G15" s="1">
        <v>74.900000000000006</v>
      </c>
    </row>
    <row r="16" spans="1:7">
      <c r="A16" t="s">
        <v>20</v>
      </c>
      <c r="B16" s="1">
        <v>33.5</v>
      </c>
      <c r="C16" s="1">
        <v>34.5</v>
      </c>
      <c r="D16" s="1">
        <v>40.6</v>
      </c>
      <c r="E16" s="1">
        <v>44.5</v>
      </c>
      <c r="F16" s="1">
        <v>46.8</v>
      </c>
      <c r="G16" s="1">
        <v>59</v>
      </c>
    </row>
    <row r="17" spans="1:7">
      <c r="A17" t="s">
        <v>21</v>
      </c>
      <c r="B17" s="1">
        <v>55.1</v>
      </c>
      <c r="C17" s="1">
        <v>54.9</v>
      </c>
      <c r="D17" s="1">
        <v>60.7</v>
      </c>
      <c r="E17" s="1">
        <v>69</v>
      </c>
      <c r="F17" s="1">
        <v>73.599999999999994</v>
      </c>
      <c r="G17" s="1">
        <v>75.2</v>
      </c>
    </row>
    <row r="18" spans="1:7">
      <c r="A18" t="s">
        <v>27</v>
      </c>
      <c r="B18" s="1">
        <v>36.200000000000003</v>
      </c>
      <c r="C18" s="1">
        <v>43.7</v>
      </c>
      <c r="D18" s="1">
        <v>51.4</v>
      </c>
      <c r="E18" s="1">
        <v>58.4</v>
      </c>
      <c r="F18" s="1">
        <v>65.599999999999994</v>
      </c>
      <c r="G18" s="1">
        <v>69.8</v>
      </c>
    </row>
    <row r="19" spans="1:7">
      <c r="A19" t="s">
        <v>28</v>
      </c>
      <c r="B19" s="1">
        <v>34.9</v>
      </c>
      <c r="C19" s="1">
        <v>40.9</v>
      </c>
      <c r="D19" s="1">
        <v>47.7</v>
      </c>
      <c r="E19" s="1">
        <v>50.3</v>
      </c>
      <c r="F19" s="1">
        <v>54.4</v>
      </c>
      <c r="G19" s="1">
        <v>56.1</v>
      </c>
    </row>
    <row r="20" spans="1:7">
      <c r="A20" t="s">
        <v>29</v>
      </c>
      <c r="B20" s="1">
        <v>36</v>
      </c>
      <c r="C20" s="1">
        <v>41.5</v>
      </c>
      <c r="D20" s="1">
        <v>47.6</v>
      </c>
      <c r="E20" s="1">
        <v>50.4</v>
      </c>
      <c r="F20" s="1">
        <v>53.7</v>
      </c>
      <c r="G20" s="1">
        <v>65.599999999999994</v>
      </c>
    </row>
    <row r="21" spans="1:7">
      <c r="A21" t="s">
        <v>14</v>
      </c>
      <c r="B21" s="1">
        <v>34.6</v>
      </c>
      <c r="C21" s="1">
        <v>35.799999999999997</v>
      </c>
      <c r="D21" s="1">
        <v>37.1</v>
      </c>
      <c r="E21" s="1">
        <v>42.8</v>
      </c>
      <c r="F21" s="1">
        <v>50.3</v>
      </c>
      <c r="G21" s="1">
        <v>58.7</v>
      </c>
    </row>
    <row r="22" spans="1:7">
      <c r="A22" t="s">
        <v>15</v>
      </c>
      <c r="B22" s="1">
        <v>35.299999999999997</v>
      </c>
      <c r="C22" s="1">
        <v>47.4</v>
      </c>
      <c r="D22" s="1">
        <v>59.5</v>
      </c>
      <c r="E22" s="1">
        <v>65.2</v>
      </c>
      <c r="F22" s="1">
        <v>70.099999999999994</v>
      </c>
      <c r="G22" s="1">
        <v>72.8</v>
      </c>
    </row>
    <row r="23" spans="1:7">
      <c r="A23" t="s">
        <v>22</v>
      </c>
      <c r="B23" s="1">
        <v>36.5</v>
      </c>
      <c r="C23" s="1">
        <v>38.5</v>
      </c>
      <c r="D23" s="1">
        <v>39.5</v>
      </c>
      <c r="E23" s="1">
        <v>41.6</v>
      </c>
      <c r="F23" s="1">
        <v>50.4</v>
      </c>
      <c r="G23" s="1">
        <v>58.4</v>
      </c>
    </row>
    <row r="24" spans="1:7">
      <c r="A24" t="s">
        <v>16</v>
      </c>
      <c r="B24" s="1">
        <v>47</v>
      </c>
      <c r="C24" s="1">
        <v>47.2</v>
      </c>
      <c r="D24" s="1">
        <v>46</v>
      </c>
      <c r="E24" s="1">
        <v>54.9</v>
      </c>
      <c r="F24" s="1">
        <v>65.400000000000006</v>
      </c>
      <c r="G24" s="1">
        <v>74.099999999999994</v>
      </c>
    </row>
    <row r="25" spans="1:7">
      <c r="A25" t="s">
        <v>17</v>
      </c>
      <c r="B25" s="1">
        <v>78</v>
      </c>
      <c r="C25" s="1">
        <v>81</v>
      </c>
      <c r="D25" s="1">
        <v>83.3</v>
      </c>
      <c r="E25" s="1">
        <v>87.3</v>
      </c>
      <c r="F25" s="1">
        <v>90.8</v>
      </c>
      <c r="G25" s="1">
        <v>91.9</v>
      </c>
    </row>
    <row r="26" spans="1:7">
      <c r="A26" t="s">
        <v>13</v>
      </c>
      <c r="B26" s="1">
        <v>52</v>
      </c>
      <c r="C26" s="1">
        <v>63.6</v>
      </c>
      <c r="D26" s="1">
        <v>67.3</v>
      </c>
      <c r="E26" s="1">
        <v>70.599999999999994</v>
      </c>
      <c r="F26" s="1">
        <v>74.400000000000006</v>
      </c>
      <c r="G26" s="1">
        <v>75</v>
      </c>
    </row>
    <row r="27" spans="1:7">
      <c r="A27" t="s">
        <v>9</v>
      </c>
      <c r="B27" s="1">
        <v>60.7</v>
      </c>
      <c r="C27" s="1">
        <v>68.2</v>
      </c>
      <c r="D27" s="1">
        <v>75.099999999999994</v>
      </c>
      <c r="E27" s="1">
        <v>82.2</v>
      </c>
      <c r="F27" s="1">
        <v>83.5</v>
      </c>
      <c r="G27" s="1">
        <v>86.6</v>
      </c>
    </row>
    <row r="28" spans="1:7">
      <c r="A28" t="s">
        <v>11</v>
      </c>
      <c r="B28" s="1">
        <v>28.5</v>
      </c>
      <c r="C28" s="1">
        <v>35.299999999999997</v>
      </c>
      <c r="D28" s="1">
        <v>41.4</v>
      </c>
      <c r="E28" s="1">
        <v>49</v>
      </c>
      <c r="F28" s="1">
        <v>55.1</v>
      </c>
      <c r="G28" s="1">
        <v>61.4</v>
      </c>
    </row>
    <row r="29" spans="1:7">
      <c r="A29" t="s">
        <v>26</v>
      </c>
      <c r="B29" s="1">
        <v>26.7</v>
      </c>
      <c r="C29" s="1">
        <v>33.799999999999997</v>
      </c>
      <c r="D29" s="1">
        <v>41.5</v>
      </c>
      <c r="E29" s="1">
        <v>46.8</v>
      </c>
      <c r="F29" s="1">
        <v>51.5</v>
      </c>
      <c r="G29" s="1">
        <v>52.1</v>
      </c>
    </row>
    <row r="31" spans="1:7">
      <c r="A31" s="11" t="s">
        <v>39</v>
      </c>
    </row>
    <row r="32" spans="1:7">
      <c r="A32" t="s">
        <v>1</v>
      </c>
    </row>
    <row r="34" spans="1:7">
      <c r="A34" s="2" t="s">
        <v>38</v>
      </c>
      <c r="B34" s="2">
        <v>1950</v>
      </c>
      <c r="C34" s="2">
        <v>1960</v>
      </c>
      <c r="D34" s="2">
        <v>1970</v>
      </c>
      <c r="E34" s="2">
        <v>1980</v>
      </c>
      <c r="F34" s="2">
        <v>1990</v>
      </c>
      <c r="G34" s="2">
        <v>2000</v>
      </c>
    </row>
    <row r="35" spans="1:7">
      <c r="A35" t="s">
        <v>6</v>
      </c>
      <c r="B35" s="1">
        <v>64.3</v>
      </c>
      <c r="C35" s="1">
        <v>75</v>
      </c>
      <c r="D35" s="1">
        <v>79.2</v>
      </c>
      <c r="E35" s="1">
        <v>83.5</v>
      </c>
      <c r="F35" s="1">
        <v>87.2</v>
      </c>
      <c r="G35" s="1">
        <v>89.1</v>
      </c>
    </row>
    <row r="36" spans="1:7">
      <c r="A36" t="s">
        <v>19</v>
      </c>
      <c r="B36" s="1">
        <v>56.5</v>
      </c>
      <c r="C36" s="1">
        <v>53.8</v>
      </c>
      <c r="D36" s="1">
        <v>51.2</v>
      </c>
      <c r="E36" s="1">
        <v>49.3</v>
      </c>
      <c r="F36" s="1">
        <v>47.6</v>
      </c>
      <c r="G36" s="1">
        <v>49.6</v>
      </c>
    </row>
    <row r="37" spans="1:7">
      <c r="A37" t="s">
        <v>7</v>
      </c>
      <c r="B37" s="1">
        <v>25.6</v>
      </c>
      <c r="C37" s="1">
        <v>39.299999999999997</v>
      </c>
      <c r="D37" s="1">
        <v>43.5</v>
      </c>
      <c r="E37" s="1">
        <v>50.5</v>
      </c>
      <c r="F37" s="1">
        <v>57.5</v>
      </c>
      <c r="G37" s="1">
        <v>62.7</v>
      </c>
    </row>
    <row r="38" spans="1:7">
      <c r="A38" t="s">
        <v>8</v>
      </c>
      <c r="B38" s="1">
        <v>30.1</v>
      </c>
      <c r="C38" s="1">
        <v>38.1</v>
      </c>
      <c r="D38" s="1">
        <v>51.1</v>
      </c>
      <c r="E38" s="1">
        <v>64.900000000000006</v>
      </c>
      <c r="F38" s="1">
        <v>73.099999999999994</v>
      </c>
      <c r="G38" s="1">
        <v>79.5</v>
      </c>
    </row>
    <row r="39" spans="1:7">
      <c r="A39" t="s">
        <v>18</v>
      </c>
      <c r="B39" s="1">
        <v>51.8</v>
      </c>
      <c r="C39" s="1">
        <v>64.900000000000006</v>
      </c>
      <c r="D39" s="1">
        <v>74.599999999999994</v>
      </c>
      <c r="E39" s="1">
        <v>81.900000000000006</v>
      </c>
      <c r="F39" s="1">
        <v>85.7</v>
      </c>
      <c r="G39" s="1"/>
    </row>
    <row r="40" spans="1:7">
      <c r="A40" t="s">
        <v>24</v>
      </c>
      <c r="B40" s="1">
        <v>9.6999999999999993</v>
      </c>
      <c r="C40" s="1">
        <v>15.6</v>
      </c>
      <c r="D40" s="1">
        <v>18.600000000000001</v>
      </c>
      <c r="E40" s="1">
        <v>23.1</v>
      </c>
      <c r="F40" s="1">
        <v>23.1</v>
      </c>
      <c r="G40" s="1"/>
    </row>
    <row r="41" spans="1:7">
      <c r="A41" t="s">
        <v>23</v>
      </c>
      <c r="B41" s="1">
        <v>26.8</v>
      </c>
      <c r="C41" s="1">
        <v>31.5</v>
      </c>
      <c r="D41" s="1">
        <v>33.700000000000003</v>
      </c>
      <c r="E41" s="1">
        <v>35.9</v>
      </c>
      <c r="F41" s="1">
        <v>38.1</v>
      </c>
      <c r="G41" s="1">
        <v>47.7</v>
      </c>
    </row>
    <row r="42" spans="1:7">
      <c r="A42" t="s">
        <v>12</v>
      </c>
      <c r="B42" s="1">
        <v>28.1</v>
      </c>
      <c r="C42" s="1">
        <v>29</v>
      </c>
      <c r="D42" s="1">
        <v>29.5</v>
      </c>
      <c r="E42" s="1">
        <v>30.6</v>
      </c>
      <c r="F42" s="1">
        <v>33.200000000000003</v>
      </c>
      <c r="G42" s="1">
        <v>36.200000000000003</v>
      </c>
    </row>
    <row r="43" spans="1:7">
      <c r="A43" t="s">
        <v>25</v>
      </c>
      <c r="B43" s="1">
        <v>17.2</v>
      </c>
      <c r="C43" s="1">
        <v>22</v>
      </c>
      <c r="D43" s="1">
        <v>32.299999999999997</v>
      </c>
      <c r="E43" s="1">
        <v>39.700000000000003</v>
      </c>
      <c r="F43" s="1">
        <v>39.4</v>
      </c>
      <c r="G43" s="1">
        <v>43.9</v>
      </c>
    </row>
    <row r="44" spans="1:7">
      <c r="A44" t="s">
        <v>30</v>
      </c>
      <c r="B44" s="1">
        <v>21.6</v>
      </c>
      <c r="C44" s="1">
        <v>29.1</v>
      </c>
      <c r="D44" s="1">
        <v>39</v>
      </c>
      <c r="E44" s="1">
        <v>51.4</v>
      </c>
      <c r="F44" s="1">
        <v>55.9</v>
      </c>
      <c r="G44" s="1">
        <v>63</v>
      </c>
    </row>
    <row r="45" spans="1:7">
      <c r="A45" t="s">
        <v>10</v>
      </c>
      <c r="B45" s="1">
        <v>33.700000000000003</v>
      </c>
      <c r="C45" s="1">
        <v>50.3</v>
      </c>
      <c r="D45" s="1">
        <v>57.3</v>
      </c>
      <c r="E45" s="1">
        <v>65.8</v>
      </c>
      <c r="F45" s="1">
        <v>70</v>
      </c>
      <c r="G45" s="1"/>
    </row>
    <row r="46" spans="1:7">
      <c r="A46" t="s">
        <v>20</v>
      </c>
      <c r="B46" s="1">
        <v>29.9</v>
      </c>
      <c r="C46" s="1">
        <v>32.200000000000003</v>
      </c>
      <c r="D46" s="1">
        <v>39.4</v>
      </c>
      <c r="E46" s="1">
        <v>43.4</v>
      </c>
      <c r="F46" s="1">
        <v>58.8</v>
      </c>
      <c r="G46" s="1">
        <v>54.2</v>
      </c>
    </row>
    <row r="47" spans="1:7">
      <c r="A47" t="s">
        <v>21</v>
      </c>
      <c r="B47" s="1">
        <v>51.4</v>
      </c>
      <c r="C47" s="1">
        <v>54.9</v>
      </c>
      <c r="D47" s="1">
        <v>58.3</v>
      </c>
      <c r="E47" s="1">
        <v>66.099999999999994</v>
      </c>
      <c r="F47" s="1">
        <v>66.099999999999994</v>
      </c>
      <c r="G47" s="1"/>
    </row>
    <row r="48" spans="1:7">
      <c r="A48" t="s">
        <v>27</v>
      </c>
      <c r="B48" s="1">
        <v>42</v>
      </c>
      <c r="C48" s="1">
        <v>49.6</v>
      </c>
      <c r="D48" s="1">
        <v>58</v>
      </c>
      <c r="E48" s="1">
        <v>65.3</v>
      </c>
      <c r="F48" s="1">
        <v>71.400000000000006</v>
      </c>
      <c r="G48" s="1">
        <v>74.5</v>
      </c>
    </row>
    <row r="49" spans="1:15">
      <c r="A49" t="s">
        <v>28</v>
      </c>
      <c r="B49" s="1">
        <v>28</v>
      </c>
      <c r="C49" s="1">
        <v>35.6</v>
      </c>
      <c r="D49" s="1">
        <v>46.2</v>
      </c>
      <c r="E49" s="1">
        <v>50.3</v>
      </c>
      <c r="F49" s="1">
        <v>53.4</v>
      </c>
      <c r="G49" s="1"/>
    </row>
    <row r="50" spans="1:15">
      <c r="A50" t="s">
        <v>29</v>
      </c>
      <c r="B50" s="1">
        <v>35.5</v>
      </c>
      <c r="C50" s="1">
        <v>41.5</v>
      </c>
      <c r="D50" s="1">
        <v>47.3</v>
      </c>
      <c r="E50" s="1">
        <v>50</v>
      </c>
      <c r="F50" s="1">
        <v>53.5</v>
      </c>
      <c r="G50" s="1">
        <v>61.6</v>
      </c>
    </row>
    <row r="51" spans="1:15">
      <c r="A51" t="s">
        <v>14</v>
      </c>
      <c r="B51" s="1">
        <v>31.3</v>
      </c>
      <c r="C51" s="1">
        <v>35.1</v>
      </c>
      <c r="D51" s="1">
        <v>36.5</v>
      </c>
      <c r="E51" s="1">
        <v>42.9</v>
      </c>
      <c r="F51" s="1">
        <v>48.5</v>
      </c>
      <c r="G51" s="1">
        <v>54.2</v>
      </c>
    </row>
    <row r="52" spans="1:15">
      <c r="A52" t="s">
        <v>15</v>
      </c>
      <c r="B52" s="1">
        <v>26.9</v>
      </c>
      <c r="C52" s="1">
        <v>40.6</v>
      </c>
      <c r="D52" s="1">
        <v>52.4</v>
      </c>
      <c r="E52" s="1">
        <v>59.2</v>
      </c>
      <c r="F52" s="1">
        <v>66</v>
      </c>
      <c r="G52" s="1"/>
    </row>
    <row r="53" spans="1:15">
      <c r="A53" t="s">
        <v>22</v>
      </c>
      <c r="B53" s="1">
        <v>27.9</v>
      </c>
      <c r="C53" s="1">
        <v>31.8</v>
      </c>
      <c r="D53" s="1">
        <v>34.6</v>
      </c>
      <c r="E53" s="1">
        <v>41.6</v>
      </c>
      <c r="F53" s="1">
        <v>47.6</v>
      </c>
      <c r="G53" s="1"/>
    </row>
    <row r="54" spans="1:15">
      <c r="A54" t="s">
        <v>16</v>
      </c>
      <c r="B54" s="1">
        <v>47</v>
      </c>
      <c r="C54" s="1">
        <v>47.2</v>
      </c>
      <c r="D54" s="1">
        <v>46</v>
      </c>
      <c r="E54" s="1">
        <v>54.9</v>
      </c>
      <c r="F54" s="1">
        <v>65.400000000000006</v>
      </c>
      <c r="G54" s="1">
        <v>74.099999999999994</v>
      </c>
    </row>
    <row r="55" spans="1:15">
      <c r="A55" t="s">
        <v>17</v>
      </c>
      <c r="B55" s="1">
        <v>78.3</v>
      </c>
      <c r="C55" s="1">
        <v>78.3</v>
      </c>
      <c r="D55" s="1">
        <v>81.599999999999994</v>
      </c>
      <c r="E55" s="1">
        <v>84.4</v>
      </c>
      <c r="F55" s="1">
        <v>84.7</v>
      </c>
      <c r="G55" s="1"/>
    </row>
    <row r="56" spans="1:15">
      <c r="A56" t="s">
        <v>13</v>
      </c>
      <c r="B56" s="1">
        <v>52</v>
      </c>
      <c r="C56" s="1">
        <v>63.6</v>
      </c>
      <c r="D56" s="1">
        <v>67.3</v>
      </c>
      <c r="E56" s="1">
        <v>70.599999999999994</v>
      </c>
      <c r="F56" s="1">
        <v>74.400000000000006</v>
      </c>
      <c r="G56" s="1">
        <v>75</v>
      </c>
    </row>
    <row r="57" spans="1:15">
      <c r="A57" t="s">
        <v>9</v>
      </c>
      <c r="B57" s="1">
        <v>58.8</v>
      </c>
      <c r="C57" s="1">
        <v>64.7</v>
      </c>
      <c r="D57" s="1">
        <v>71.8</v>
      </c>
      <c r="E57" s="1">
        <v>78.599999999999994</v>
      </c>
      <c r="F57" s="1">
        <v>83.9</v>
      </c>
      <c r="G57" s="1">
        <v>86</v>
      </c>
    </row>
    <row r="58" spans="1:15">
      <c r="A58" t="s">
        <v>11</v>
      </c>
      <c r="B58" s="1">
        <v>28.2</v>
      </c>
      <c r="C58" s="1">
        <v>36</v>
      </c>
      <c r="D58" s="1">
        <v>42.1</v>
      </c>
      <c r="E58" s="1">
        <v>51.1</v>
      </c>
      <c r="F58" s="1">
        <v>56.3</v>
      </c>
      <c r="G58" s="1">
        <v>61.6</v>
      </c>
    </row>
    <row r="59" spans="1:15">
      <c r="A59" t="s">
        <v>26</v>
      </c>
      <c r="B59" s="1">
        <v>26.7</v>
      </c>
      <c r="C59" s="1">
        <v>33.799999999999997</v>
      </c>
      <c r="D59" s="1">
        <v>41.5</v>
      </c>
      <c r="E59" s="1">
        <v>46.8</v>
      </c>
      <c r="F59" s="1">
        <v>51.5</v>
      </c>
      <c r="G59" s="1">
        <v>52.1</v>
      </c>
    </row>
    <row r="61" spans="1:15">
      <c r="A61" s="11" t="s">
        <v>40</v>
      </c>
    </row>
    <row r="62" spans="1:15">
      <c r="A62" t="s">
        <v>2</v>
      </c>
    </row>
    <row r="63" spans="1:15">
      <c r="A63" t="s">
        <v>4</v>
      </c>
    </row>
    <row r="64" spans="1:15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2" t="s">
        <v>38</v>
      </c>
      <c r="B65" s="6">
        <v>1950</v>
      </c>
      <c r="C65" s="6">
        <v>1960</v>
      </c>
      <c r="D65" s="6">
        <v>1970</v>
      </c>
      <c r="E65" s="6">
        <v>1980</v>
      </c>
      <c r="F65" s="6">
        <v>1990</v>
      </c>
      <c r="G65" s="6">
        <v>2000</v>
      </c>
      <c r="H65" s="6">
        <v>2010</v>
      </c>
      <c r="I65" s="4"/>
      <c r="J65" s="4"/>
      <c r="K65" s="4"/>
      <c r="L65" s="4"/>
      <c r="M65" s="4"/>
      <c r="N65" s="4"/>
      <c r="O65" s="4"/>
    </row>
    <row r="66" spans="1:15">
      <c r="A66" s="5" t="s">
        <v>6</v>
      </c>
      <c r="B66" s="10">
        <v>50.7</v>
      </c>
      <c r="C66" s="10">
        <v>60</v>
      </c>
      <c r="D66" s="10">
        <v>66.900000000000006</v>
      </c>
      <c r="E66" s="10">
        <v>71.2</v>
      </c>
      <c r="F66" s="10">
        <v>74.900000000000006</v>
      </c>
      <c r="G66" s="10">
        <v>76.599999999999994</v>
      </c>
      <c r="H66" s="10">
        <v>79.8</v>
      </c>
      <c r="I66" s="4"/>
      <c r="J66" s="4"/>
      <c r="K66" s="4"/>
      <c r="L66" s="4"/>
      <c r="M66" s="4"/>
      <c r="N66" s="4"/>
      <c r="O66" s="4"/>
    </row>
    <row r="67" spans="1:15">
      <c r="A67" s="5" t="s">
        <v>31</v>
      </c>
      <c r="B67" s="10">
        <v>54.4</v>
      </c>
      <c r="C67" s="10">
        <v>62.1</v>
      </c>
      <c r="D67" s="10">
        <v>60.1</v>
      </c>
      <c r="E67" s="10">
        <v>64.599999999999994</v>
      </c>
      <c r="F67" s="10" t="s">
        <v>3</v>
      </c>
      <c r="G67" s="10" t="s">
        <v>3</v>
      </c>
      <c r="H67" s="10" t="s">
        <v>3</v>
      </c>
      <c r="I67" s="4"/>
      <c r="J67" s="4"/>
      <c r="K67" s="4"/>
      <c r="L67" s="4"/>
      <c r="M67" s="4"/>
      <c r="N67" s="4"/>
      <c r="O67" s="4"/>
    </row>
    <row r="68" spans="1:15">
      <c r="A68" s="5" t="s">
        <v>32</v>
      </c>
      <c r="B68" s="10">
        <v>45.5</v>
      </c>
      <c r="C68" s="10">
        <v>46.2</v>
      </c>
      <c r="D68" s="10">
        <v>47</v>
      </c>
      <c r="E68" s="10">
        <v>46.6</v>
      </c>
      <c r="F68" s="10" t="s">
        <v>3</v>
      </c>
      <c r="G68" s="10" t="s">
        <v>3</v>
      </c>
      <c r="H68" s="10" t="s">
        <v>3</v>
      </c>
      <c r="I68" s="4"/>
      <c r="J68" s="4"/>
      <c r="K68" s="4"/>
      <c r="L68" s="4"/>
      <c r="M68" s="4"/>
      <c r="N68" s="4"/>
      <c r="O68" s="4"/>
    </row>
    <row r="69" spans="1:15">
      <c r="A69" s="5" t="s">
        <v>19</v>
      </c>
      <c r="B69" s="10">
        <v>37</v>
      </c>
      <c r="C69" s="10">
        <v>44.3</v>
      </c>
      <c r="D69" s="10">
        <v>36.200000000000003</v>
      </c>
      <c r="E69" s="10">
        <v>27.9</v>
      </c>
      <c r="F69" s="10" t="s">
        <v>3</v>
      </c>
      <c r="G69" s="10" t="s">
        <v>3</v>
      </c>
      <c r="H69" s="10" t="s">
        <v>3</v>
      </c>
      <c r="I69" s="4"/>
      <c r="J69" s="4"/>
      <c r="K69" s="4"/>
      <c r="L69" s="4"/>
      <c r="M69" s="4"/>
      <c r="N69" s="4"/>
      <c r="O69" s="4"/>
    </row>
    <row r="70" spans="1:15">
      <c r="A70" s="5" t="s">
        <v>7</v>
      </c>
      <c r="B70" s="10">
        <v>19.7</v>
      </c>
      <c r="C70" s="10" t="s">
        <v>3</v>
      </c>
      <c r="D70" s="10">
        <v>34.1</v>
      </c>
      <c r="E70" s="10" t="s">
        <v>3</v>
      </c>
      <c r="F70" s="10">
        <v>49.6</v>
      </c>
      <c r="G70" s="10">
        <v>54.4</v>
      </c>
      <c r="H70" s="10">
        <v>59.4</v>
      </c>
      <c r="I70" s="4"/>
      <c r="J70" s="4"/>
      <c r="K70" s="4"/>
      <c r="L70" s="4"/>
      <c r="M70" s="4"/>
      <c r="N70" s="4"/>
      <c r="O70" s="4"/>
    </row>
    <row r="71" spans="1:15">
      <c r="A71" s="5" t="s">
        <v>8</v>
      </c>
      <c r="B71" s="10">
        <v>22</v>
      </c>
      <c r="C71" s="10">
        <v>29</v>
      </c>
      <c r="D71" s="10">
        <v>40.700000000000003</v>
      </c>
      <c r="E71" s="10">
        <v>52.3</v>
      </c>
      <c r="F71" s="10">
        <v>58.9</v>
      </c>
      <c r="G71" s="10">
        <v>64.599999999999994</v>
      </c>
      <c r="H71" s="10">
        <v>70.599999999999994</v>
      </c>
      <c r="I71" s="4"/>
      <c r="J71" s="4"/>
      <c r="K71" s="4"/>
      <c r="L71" s="4"/>
      <c r="M71" s="4"/>
      <c r="N71" s="4"/>
      <c r="O71" s="4"/>
    </row>
    <row r="72" spans="1:15">
      <c r="A72" s="5" t="s">
        <v>18</v>
      </c>
      <c r="B72" s="10">
        <v>38.700000000000003</v>
      </c>
      <c r="C72" s="10">
        <v>52.7</v>
      </c>
      <c r="D72" s="10">
        <v>63.3</v>
      </c>
      <c r="E72" s="10">
        <v>70.5</v>
      </c>
      <c r="F72" s="10">
        <v>71.7</v>
      </c>
      <c r="G72" s="10">
        <v>74.3</v>
      </c>
      <c r="H72" s="10">
        <v>78</v>
      </c>
      <c r="I72" s="4"/>
      <c r="J72" s="4"/>
      <c r="K72" s="4"/>
      <c r="L72" s="4"/>
      <c r="M72" s="4"/>
      <c r="N72" s="4"/>
      <c r="O72" s="4"/>
    </row>
    <row r="73" spans="1:15">
      <c r="A73" s="5" t="s">
        <v>34</v>
      </c>
      <c r="B73" s="10">
        <v>24.5</v>
      </c>
      <c r="C73" s="10" t="s">
        <v>3</v>
      </c>
      <c r="D73" s="10" t="s">
        <v>3</v>
      </c>
      <c r="E73" s="10" t="s">
        <v>3</v>
      </c>
      <c r="F73" s="10" t="s">
        <v>3</v>
      </c>
      <c r="G73" s="10" t="s">
        <v>3</v>
      </c>
      <c r="H73" s="10" t="s">
        <v>3</v>
      </c>
      <c r="I73" s="4"/>
      <c r="J73" s="4"/>
      <c r="K73" s="4"/>
      <c r="L73" s="4"/>
      <c r="M73" s="4"/>
      <c r="N73" s="4"/>
      <c r="O73" s="4"/>
    </row>
    <row r="74" spans="1:15">
      <c r="A74" s="5" t="s">
        <v>24</v>
      </c>
      <c r="B74" s="10">
        <v>5.5</v>
      </c>
      <c r="C74" s="10" t="s">
        <v>3</v>
      </c>
      <c r="D74" s="10">
        <v>13.7</v>
      </c>
      <c r="E74" s="10">
        <v>17.399999999999999</v>
      </c>
      <c r="F74" s="10" t="s">
        <v>3</v>
      </c>
      <c r="G74" s="10">
        <v>34.1</v>
      </c>
      <c r="H74" s="10" t="s">
        <v>3</v>
      </c>
      <c r="I74" s="4"/>
      <c r="J74" s="4"/>
      <c r="K74" s="4"/>
      <c r="L74" s="4"/>
      <c r="M74" s="4"/>
      <c r="N74" s="4"/>
      <c r="O74" s="4"/>
    </row>
    <row r="75" spans="1:15">
      <c r="A75" s="5" t="s">
        <v>23</v>
      </c>
      <c r="B75" s="10">
        <v>13.8</v>
      </c>
      <c r="C75" s="10">
        <v>19.3</v>
      </c>
      <c r="D75" s="10">
        <v>22.2</v>
      </c>
      <c r="E75" s="10">
        <v>22</v>
      </c>
      <c r="F75" s="10">
        <v>23.7</v>
      </c>
      <c r="G75" s="10">
        <v>30.7</v>
      </c>
      <c r="H75" s="10" t="s">
        <v>3</v>
      </c>
      <c r="I75" s="4"/>
      <c r="J75" s="4"/>
      <c r="K75" s="4"/>
      <c r="L75" s="4"/>
      <c r="M75" s="4"/>
      <c r="N75" s="4"/>
      <c r="O75" s="4"/>
    </row>
    <row r="76" spans="1:15">
      <c r="A76" s="5" t="s">
        <v>25</v>
      </c>
      <c r="B76" s="10">
        <v>6.8</v>
      </c>
      <c r="C76" s="10">
        <v>11.5</v>
      </c>
      <c r="D76" s="10">
        <v>20.5</v>
      </c>
      <c r="E76" s="10">
        <v>28</v>
      </c>
      <c r="F76" s="10" t="s">
        <v>3</v>
      </c>
      <c r="G76" s="10">
        <v>32.5</v>
      </c>
      <c r="H76" s="10">
        <v>42.4</v>
      </c>
      <c r="I76" s="4"/>
      <c r="J76" s="4"/>
      <c r="K76" s="4"/>
      <c r="L76" s="4"/>
      <c r="M76" s="4"/>
      <c r="N76" s="4"/>
      <c r="O76" s="4"/>
    </row>
    <row r="77" spans="1:15">
      <c r="A77" s="5" t="s">
        <v>33</v>
      </c>
      <c r="B77" s="10" t="s">
        <v>3</v>
      </c>
      <c r="C77" s="10">
        <v>30.3</v>
      </c>
      <c r="D77" s="10">
        <v>31.9</v>
      </c>
      <c r="E77" s="10">
        <v>33</v>
      </c>
      <c r="F77" s="10" t="s">
        <v>3</v>
      </c>
      <c r="G77" s="10" t="s">
        <v>3</v>
      </c>
      <c r="H77" s="10" t="s">
        <v>3</v>
      </c>
      <c r="I77" s="4"/>
      <c r="J77" s="4"/>
      <c r="K77" s="4"/>
      <c r="L77" s="4"/>
      <c r="M77" s="4"/>
      <c r="N77" s="4"/>
      <c r="O77" s="4"/>
    </row>
    <row r="78" spans="1:15">
      <c r="A78" s="5" t="s">
        <v>30</v>
      </c>
      <c r="B78" s="10">
        <v>11.1</v>
      </c>
      <c r="C78" s="10">
        <v>18.7</v>
      </c>
      <c r="D78" s="10">
        <v>30.5</v>
      </c>
      <c r="E78" s="10">
        <v>41.9</v>
      </c>
      <c r="F78" s="10">
        <v>45.2</v>
      </c>
      <c r="G78" s="10">
        <v>52.6</v>
      </c>
      <c r="H78" s="10">
        <v>64.2</v>
      </c>
      <c r="I78" s="4"/>
      <c r="J78" s="4"/>
      <c r="K78" s="4"/>
      <c r="L78" s="4"/>
      <c r="M78" s="4"/>
      <c r="N78" s="4"/>
      <c r="O78" s="4"/>
    </row>
    <row r="79" spans="1:15">
      <c r="A79" s="5" t="s">
        <v>10</v>
      </c>
      <c r="B79" s="10">
        <v>22.5</v>
      </c>
      <c r="C79" s="10">
        <v>37.200000000000003</v>
      </c>
      <c r="D79" s="10">
        <v>45.6</v>
      </c>
      <c r="E79" s="10">
        <v>55.1</v>
      </c>
      <c r="F79" s="10">
        <v>59.2</v>
      </c>
      <c r="G79" s="10">
        <v>65</v>
      </c>
      <c r="H79" s="10">
        <v>64.900000000000006</v>
      </c>
      <c r="I79" s="4"/>
      <c r="J79" s="4"/>
      <c r="K79" s="4"/>
      <c r="L79" s="4"/>
      <c r="M79" s="4"/>
      <c r="N79" s="4"/>
      <c r="O79" s="4"/>
    </row>
    <row r="80" spans="1:15">
      <c r="A80" s="5" t="s">
        <v>20</v>
      </c>
      <c r="B80" s="10">
        <v>18.399999999999999</v>
      </c>
      <c r="C80" s="10">
        <v>22.8</v>
      </c>
      <c r="D80" s="10">
        <v>30.8</v>
      </c>
      <c r="E80" s="10">
        <v>33.799999999999997</v>
      </c>
      <c r="F80" s="10" t="s">
        <v>3</v>
      </c>
      <c r="G80" s="10">
        <v>49.2</v>
      </c>
      <c r="H80" s="10">
        <v>58.7</v>
      </c>
      <c r="I80" s="4"/>
      <c r="J80" s="4"/>
      <c r="K80" s="4"/>
      <c r="L80" s="4"/>
      <c r="M80" s="4"/>
      <c r="N80" s="4"/>
      <c r="O80" s="4"/>
    </row>
    <row r="81" spans="1:15">
      <c r="A81" s="5" t="s">
        <v>21</v>
      </c>
      <c r="B81" s="10">
        <v>38.299999999999997</v>
      </c>
      <c r="C81" s="10" t="s">
        <v>3</v>
      </c>
      <c r="D81" s="10">
        <v>43.8</v>
      </c>
      <c r="E81" s="10">
        <v>47.9</v>
      </c>
      <c r="F81" s="10" t="s">
        <v>3</v>
      </c>
      <c r="G81" s="10">
        <v>54.5</v>
      </c>
      <c r="H81" s="10">
        <v>55.2</v>
      </c>
      <c r="I81" s="4"/>
      <c r="J81" s="4"/>
      <c r="K81" s="4"/>
      <c r="L81" s="4"/>
      <c r="M81" s="4"/>
      <c r="N81" s="4"/>
      <c r="O81" s="4"/>
    </row>
    <row r="82" spans="1:15">
      <c r="A82" s="5" t="s">
        <v>27</v>
      </c>
      <c r="B82" s="10">
        <v>29.3</v>
      </c>
      <c r="C82" s="10">
        <v>37</v>
      </c>
      <c r="D82" s="10">
        <v>45.7</v>
      </c>
      <c r="E82" s="10">
        <v>52.8</v>
      </c>
      <c r="F82" s="10">
        <v>57.1</v>
      </c>
      <c r="G82" s="10">
        <v>60.5</v>
      </c>
      <c r="H82" s="10">
        <v>70.2</v>
      </c>
      <c r="I82" s="4"/>
      <c r="J82" s="4"/>
      <c r="K82" s="4"/>
      <c r="L82" s="4"/>
      <c r="M82" s="4"/>
      <c r="N82" s="4"/>
      <c r="O82" s="4"/>
    </row>
    <row r="83" spans="1:15">
      <c r="A83" s="5" t="s">
        <v>28</v>
      </c>
      <c r="B83" s="10">
        <v>15.2</v>
      </c>
      <c r="C83" s="10">
        <v>23</v>
      </c>
      <c r="D83" s="10">
        <v>29.6</v>
      </c>
      <c r="E83" s="10" t="s">
        <v>3</v>
      </c>
      <c r="F83" s="10">
        <v>41</v>
      </c>
      <c r="G83" s="10">
        <v>41.4</v>
      </c>
      <c r="H83" s="10" t="s">
        <v>3</v>
      </c>
      <c r="I83" s="4"/>
      <c r="J83" s="4"/>
      <c r="K83" s="4"/>
      <c r="L83" s="4"/>
      <c r="M83" s="4"/>
      <c r="N83" s="4"/>
      <c r="O83" s="4"/>
    </row>
    <row r="84" spans="1:15">
      <c r="A84" s="5" t="s">
        <v>29</v>
      </c>
      <c r="B84" s="10">
        <v>28.2</v>
      </c>
      <c r="C84" s="10">
        <v>34.6</v>
      </c>
      <c r="D84" s="10">
        <v>39.1</v>
      </c>
      <c r="E84" s="10">
        <v>43.8</v>
      </c>
      <c r="F84" s="10">
        <v>47</v>
      </c>
      <c r="G84" s="10">
        <v>57.3</v>
      </c>
      <c r="H84" s="10">
        <v>60.1</v>
      </c>
      <c r="I84" s="4"/>
      <c r="J84" s="4"/>
      <c r="K84" s="4"/>
      <c r="L84" s="4"/>
      <c r="M84" s="4"/>
      <c r="N84" s="4"/>
      <c r="O84" s="4"/>
    </row>
    <row r="85" spans="1:15">
      <c r="A85" s="5" t="s">
        <v>14</v>
      </c>
      <c r="B85" s="10">
        <v>19.600000000000001</v>
      </c>
      <c r="C85" s="10">
        <v>23</v>
      </c>
      <c r="D85" s="10">
        <v>27.6</v>
      </c>
      <c r="E85" s="10">
        <v>33.1</v>
      </c>
      <c r="F85" s="10">
        <v>39</v>
      </c>
      <c r="G85" s="10">
        <v>44.8</v>
      </c>
      <c r="H85" s="10" t="s">
        <v>3</v>
      </c>
      <c r="I85" s="4"/>
      <c r="J85" s="4"/>
      <c r="K85" s="4"/>
      <c r="L85" s="4"/>
      <c r="M85" s="4"/>
      <c r="N85" s="4"/>
      <c r="O85" s="4"/>
    </row>
    <row r="86" spans="1:15">
      <c r="A86" s="5" t="s">
        <v>15</v>
      </c>
      <c r="B86" s="10">
        <v>15.9</v>
      </c>
      <c r="C86" s="10">
        <v>30.7</v>
      </c>
      <c r="D86" s="10">
        <v>43</v>
      </c>
      <c r="E86" s="10">
        <v>51.1</v>
      </c>
      <c r="F86" s="10">
        <v>56.8</v>
      </c>
      <c r="G86" s="10">
        <v>62.1</v>
      </c>
      <c r="H86" s="10">
        <v>69.3</v>
      </c>
      <c r="I86" s="4"/>
      <c r="J86" s="4"/>
      <c r="K86" s="4"/>
      <c r="L86" s="4"/>
      <c r="M86" s="4"/>
      <c r="N86" s="4"/>
      <c r="O86" s="4"/>
    </row>
    <row r="87" spans="1:15">
      <c r="A87" s="5" t="s">
        <v>22</v>
      </c>
      <c r="B87" s="10">
        <v>14.7</v>
      </c>
      <c r="C87" s="10">
        <v>19.5</v>
      </c>
      <c r="D87" s="10">
        <v>21.9</v>
      </c>
      <c r="E87" s="10" t="s">
        <v>3</v>
      </c>
      <c r="F87" s="10">
        <v>35.5</v>
      </c>
      <c r="G87" s="10">
        <v>44</v>
      </c>
      <c r="H87" s="10" t="s">
        <v>3</v>
      </c>
      <c r="I87" s="4"/>
      <c r="J87" s="4"/>
      <c r="K87" s="4"/>
      <c r="L87" s="4"/>
      <c r="M87" s="4"/>
      <c r="N87" s="4"/>
      <c r="O87" s="4"/>
    </row>
    <row r="88" spans="1:15">
      <c r="A88" s="5" t="s">
        <v>35</v>
      </c>
      <c r="B88" s="10" t="s">
        <v>3</v>
      </c>
      <c r="C88" s="10">
        <v>25.6</v>
      </c>
      <c r="D88" s="10">
        <v>27</v>
      </c>
      <c r="E88" s="10">
        <v>25.7</v>
      </c>
      <c r="F88" s="10" t="s">
        <v>3</v>
      </c>
      <c r="G88" s="10" t="s">
        <v>3</v>
      </c>
      <c r="H88" s="10" t="s">
        <v>3</v>
      </c>
      <c r="I88" s="4"/>
      <c r="J88" s="4"/>
      <c r="K88" s="4"/>
      <c r="L88" s="4"/>
      <c r="M88" s="4"/>
      <c r="N88" s="4"/>
      <c r="O88" s="4"/>
    </row>
    <row r="89" spans="1:15">
      <c r="A89" s="5" t="s">
        <v>36</v>
      </c>
      <c r="B89" s="10">
        <v>32</v>
      </c>
      <c r="C89" s="10">
        <v>37.6</v>
      </c>
      <c r="D89" s="10">
        <v>40.5</v>
      </c>
      <c r="E89" s="10">
        <v>37.9</v>
      </c>
      <c r="F89" s="10" t="s">
        <v>3</v>
      </c>
      <c r="G89" s="10" t="s">
        <v>3</v>
      </c>
      <c r="H89" s="10" t="s">
        <v>3</v>
      </c>
      <c r="I89" s="4"/>
      <c r="J89" s="4"/>
      <c r="K89" s="4"/>
      <c r="L89" s="4"/>
      <c r="M89" s="4"/>
      <c r="N89" s="4"/>
      <c r="O89" s="4"/>
    </row>
    <row r="90" spans="1:15">
      <c r="A90" s="5" t="s">
        <v>37</v>
      </c>
      <c r="B90" s="10">
        <v>22.1</v>
      </c>
      <c r="C90" s="10">
        <v>36.799999999999997</v>
      </c>
      <c r="D90" s="10">
        <v>37.4</v>
      </c>
      <c r="E90" s="10">
        <v>40.799999999999997</v>
      </c>
      <c r="F90" s="10" t="s">
        <v>3</v>
      </c>
      <c r="G90" s="10" t="s">
        <v>3</v>
      </c>
      <c r="H90" s="10" t="s">
        <v>3</v>
      </c>
      <c r="I90" s="4"/>
      <c r="J90" s="4"/>
      <c r="K90" s="4"/>
      <c r="L90" s="4"/>
      <c r="M90" s="4"/>
      <c r="N90" s="4"/>
      <c r="O90" s="4"/>
    </row>
    <row r="91" spans="1:15">
      <c r="A91" s="5" t="s">
        <v>17</v>
      </c>
      <c r="B91" s="10" t="s">
        <v>3</v>
      </c>
      <c r="C91" s="10">
        <v>66.900000000000006</v>
      </c>
      <c r="D91" s="10">
        <v>69.900000000000006</v>
      </c>
      <c r="E91" s="10">
        <v>71.8</v>
      </c>
      <c r="F91" s="10">
        <v>74.3</v>
      </c>
      <c r="G91" s="10">
        <v>72</v>
      </c>
      <c r="H91" s="10">
        <v>77.8</v>
      </c>
    </row>
    <row r="92" spans="1:15">
      <c r="A92" s="5" t="s">
        <v>9</v>
      </c>
      <c r="B92" s="10">
        <v>47.1</v>
      </c>
      <c r="C92" s="10">
        <v>55.1</v>
      </c>
      <c r="D92" s="10">
        <v>62</v>
      </c>
      <c r="E92" s="10">
        <v>68.599999999999994</v>
      </c>
      <c r="F92" s="10">
        <v>72.5</v>
      </c>
      <c r="G92" s="10">
        <v>76.900000000000006</v>
      </c>
      <c r="H92" s="10">
        <v>80.3</v>
      </c>
    </row>
    <row r="93" spans="1:15">
      <c r="A93" s="5" t="s">
        <v>11</v>
      </c>
      <c r="B93" s="10">
        <v>18</v>
      </c>
      <c r="C93" s="10">
        <v>27.7</v>
      </c>
      <c r="D93" s="10">
        <v>35.299999999999997</v>
      </c>
      <c r="E93" s="10">
        <v>42.5</v>
      </c>
      <c r="F93" s="10">
        <v>48</v>
      </c>
      <c r="G93" s="10">
        <v>54.3</v>
      </c>
      <c r="H93" s="10">
        <v>64.400000000000006</v>
      </c>
    </row>
    <row r="94" spans="1:15">
      <c r="A94" s="5" t="s">
        <v>26</v>
      </c>
      <c r="B94" s="10">
        <v>16.399999999999999</v>
      </c>
      <c r="C94" s="10">
        <v>24.9</v>
      </c>
      <c r="D94" s="10">
        <v>32.1</v>
      </c>
      <c r="E94" s="10">
        <v>38</v>
      </c>
      <c r="F94" s="10" t="s">
        <v>3</v>
      </c>
      <c r="G94" s="10" t="s">
        <v>3</v>
      </c>
      <c r="H94" s="10" t="s">
        <v>3</v>
      </c>
    </row>
    <row r="96" spans="1:15">
      <c r="A96" s="11" t="s">
        <v>41</v>
      </c>
    </row>
    <row r="97" spans="1:8">
      <c r="A97" t="s">
        <v>5</v>
      </c>
    </row>
    <row r="99" spans="1:8">
      <c r="A99" s="2" t="s">
        <v>38</v>
      </c>
      <c r="B99" s="6">
        <v>1950</v>
      </c>
      <c r="C99" s="6">
        <v>1960</v>
      </c>
      <c r="D99" s="6">
        <v>1970</v>
      </c>
      <c r="E99" s="6">
        <v>1980</v>
      </c>
      <c r="F99" s="6">
        <v>1990</v>
      </c>
      <c r="G99" s="6">
        <v>2000</v>
      </c>
      <c r="H99" s="6">
        <v>2010</v>
      </c>
    </row>
    <row r="100" spans="1:8">
      <c r="A100" s="5" t="s">
        <v>6</v>
      </c>
      <c r="B100" s="10">
        <v>43.2</v>
      </c>
      <c r="C100" s="10">
        <v>51.6</v>
      </c>
      <c r="D100" s="10">
        <v>56.2</v>
      </c>
      <c r="E100" s="10">
        <v>58.8</v>
      </c>
      <c r="F100" s="10">
        <v>61.8</v>
      </c>
      <c r="G100" s="10">
        <v>62.3</v>
      </c>
      <c r="H100" s="10">
        <v>64.7</v>
      </c>
    </row>
    <row r="101" spans="1:8">
      <c r="A101" s="5" t="s">
        <v>7</v>
      </c>
      <c r="B101" s="10">
        <v>10.6</v>
      </c>
      <c r="C101" s="10" t="s">
        <v>3</v>
      </c>
      <c r="D101" s="10">
        <v>28.5</v>
      </c>
      <c r="E101" s="10" t="s">
        <v>3</v>
      </c>
      <c r="F101" s="10">
        <v>41.3</v>
      </c>
      <c r="G101" s="10">
        <v>44.9</v>
      </c>
      <c r="H101" s="10">
        <v>52.2</v>
      </c>
    </row>
    <row r="102" spans="1:8">
      <c r="A102" s="5" t="s">
        <v>8</v>
      </c>
      <c r="B102" s="10">
        <v>16.600000000000001</v>
      </c>
      <c r="C102" s="10">
        <v>22</v>
      </c>
      <c r="D102" s="10">
        <v>32.200000000000003</v>
      </c>
      <c r="E102" s="10">
        <v>42.1</v>
      </c>
      <c r="F102" s="10">
        <v>45.6</v>
      </c>
      <c r="G102" s="10">
        <v>49.6</v>
      </c>
      <c r="H102" s="10">
        <v>56.6</v>
      </c>
    </row>
    <row r="103" spans="1:8">
      <c r="A103" s="5" t="s">
        <v>18</v>
      </c>
      <c r="B103" s="10">
        <v>24.9</v>
      </c>
      <c r="C103" s="10">
        <v>39.1</v>
      </c>
      <c r="D103" s="10">
        <v>49.7</v>
      </c>
      <c r="E103" s="10">
        <v>59.7</v>
      </c>
      <c r="F103" s="10">
        <v>59.5</v>
      </c>
      <c r="G103" s="10">
        <v>61.6</v>
      </c>
      <c r="H103" s="10">
        <v>63.5</v>
      </c>
    </row>
    <row r="104" spans="1:8">
      <c r="A104" s="5" t="s">
        <v>34</v>
      </c>
      <c r="B104" s="10" t="s">
        <v>3</v>
      </c>
      <c r="C104" s="10">
        <v>26.5</v>
      </c>
      <c r="D104" s="10">
        <v>23.4</v>
      </c>
      <c r="E104" s="10">
        <v>22.1</v>
      </c>
      <c r="F104" s="10" t="s">
        <v>3</v>
      </c>
      <c r="G104" s="10" t="s">
        <v>3</v>
      </c>
      <c r="H104" s="10" t="s">
        <v>3</v>
      </c>
    </row>
    <row r="105" spans="1:8">
      <c r="A105" s="5" t="s">
        <v>24</v>
      </c>
      <c r="B105" s="10">
        <v>4.7</v>
      </c>
      <c r="C105" s="10" t="s">
        <v>3</v>
      </c>
      <c r="D105" s="10">
        <v>11.5</v>
      </c>
      <c r="E105" s="10">
        <v>14.3</v>
      </c>
      <c r="F105" s="10" t="s">
        <v>3</v>
      </c>
      <c r="G105" s="10">
        <v>27.2</v>
      </c>
      <c r="H105" s="10" t="s">
        <v>3</v>
      </c>
    </row>
    <row r="106" spans="1:8">
      <c r="A106" s="5" t="s">
        <v>23</v>
      </c>
      <c r="B106" s="10">
        <v>12.8</v>
      </c>
      <c r="C106" s="10">
        <v>17.2</v>
      </c>
      <c r="D106" s="10">
        <v>19.600000000000001</v>
      </c>
      <c r="E106" s="10">
        <v>19.3</v>
      </c>
      <c r="F106" s="10">
        <v>19</v>
      </c>
      <c r="G106" s="10">
        <v>20.2</v>
      </c>
      <c r="H106" s="10" t="s">
        <v>3</v>
      </c>
    </row>
    <row r="107" spans="1:8">
      <c r="A107" s="5" t="s">
        <v>25</v>
      </c>
      <c r="B107" s="10">
        <v>0</v>
      </c>
      <c r="C107" s="10">
        <v>7.1</v>
      </c>
      <c r="D107" s="10">
        <v>16</v>
      </c>
      <c r="E107" s="10">
        <v>19.100000000000001</v>
      </c>
      <c r="F107" s="10" t="s">
        <v>3</v>
      </c>
      <c r="G107" s="10">
        <v>24.3</v>
      </c>
      <c r="H107" s="10">
        <v>29.3</v>
      </c>
    </row>
    <row r="108" spans="1:8">
      <c r="A108" s="5" t="s">
        <v>30</v>
      </c>
      <c r="B108" s="10">
        <v>8.5</v>
      </c>
      <c r="C108" s="10">
        <v>12.1</v>
      </c>
      <c r="D108" s="10">
        <v>20.5</v>
      </c>
      <c r="E108" s="10">
        <v>28</v>
      </c>
      <c r="F108" s="10">
        <v>32.200000000000003</v>
      </c>
      <c r="G108" s="10">
        <v>41.4</v>
      </c>
      <c r="H108" s="10">
        <v>52.9</v>
      </c>
    </row>
    <row r="109" spans="1:8">
      <c r="A109" s="5" t="s">
        <v>10</v>
      </c>
      <c r="B109" s="10">
        <v>15.5</v>
      </c>
      <c r="C109" s="10">
        <v>29.3</v>
      </c>
      <c r="D109" s="10">
        <v>37.5</v>
      </c>
      <c r="E109" s="10">
        <v>46.2</v>
      </c>
      <c r="F109" s="10">
        <v>49.3</v>
      </c>
      <c r="G109" s="10">
        <v>53.9</v>
      </c>
      <c r="H109" s="10">
        <v>53.9</v>
      </c>
    </row>
    <row r="110" spans="1:8">
      <c r="A110" s="5" t="s">
        <v>20</v>
      </c>
      <c r="B110" s="10">
        <v>18.399999999999999</v>
      </c>
      <c r="C110" s="10">
        <v>19.399999999999999</v>
      </c>
      <c r="D110" s="10">
        <v>21.8</v>
      </c>
      <c r="E110" s="10">
        <v>25.1</v>
      </c>
      <c r="F110" s="10" t="s">
        <v>3</v>
      </c>
      <c r="G110" s="10">
        <v>33.9</v>
      </c>
      <c r="H110" s="10">
        <v>46.4</v>
      </c>
    </row>
    <row r="111" spans="1:8">
      <c r="A111" s="5" t="s">
        <v>21</v>
      </c>
      <c r="B111" s="10">
        <v>25.7</v>
      </c>
      <c r="C111" s="10" t="s">
        <v>3</v>
      </c>
      <c r="D111" s="10">
        <v>31</v>
      </c>
      <c r="E111" s="10">
        <v>32.4</v>
      </c>
      <c r="F111" s="10" t="s">
        <v>3</v>
      </c>
      <c r="G111" s="10">
        <v>39.5</v>
      </c>
      <c r="H111" s="10">
        <v>40.4</v>
      </c>
    </row>
    <row r="112" spans="1:8">
      <c r="A112" s="5" t="s">
        <v>27</v>
      </c>
      <c r="B112" s="10">
        <v>21.4</v>
      </c>
      <c r="C112" s="10">
        <v>28</v>
      </c>
      <c r="D112" s="10">
        <v>37.700000000000003</v>
      </c>
      <c r="E112" s="10">
        <v>45.3</v>
      </c>
      <c r="F112" s="10">
        <v>47.5</v>
      </c>
      <c r="G112" s="10">
        <v>50.2</v>
      </c>
      <c r="H112" s="10">
        <v>60.7</v>
      </c>
    </row>
    <row r="113" spans="1:8">
      <c r="A113" s="5" t="s">
        <v>28</v>
      </c>
      <c r="B113" s="10">
        <v>10.3</v>
      </c>
      <c r="C113" s="10">
        <v>15.3</v>
      </c>
      <c r="D113" s="10">
        <v>20.5</v>
      </c>
      <c r="E113" s="10" t="s">
        <v>3</v>
      </c>
      <c r="F113" s="10">
        <v>22.7</v>
      </c>
      <c r="G113" s="10">
        <v>21.9</v>
      </c>
      <c r="H113" s="10" t="s">
        <v>3</v>
      </c>
    </row>
    <row r="114" spans="1:8">
      <c r="A114" s="5" t="s">
        <v>29</v>
      </c>
      <c r="B114" s="10">
        <v>21.7</v>
      </c>
      <c r="C114" s="10">
        <v>26.9</v>
      </c>
      <c r="D114" s="10">
        <v>31.7</v>
      </c>
      <c r="E114" s="10">
        <v>33.799999999999997</v>
      </c>
      <c r="F114" s="10">
        <v>36.299999999999997</v>
      </c>
      <c r="G114" s="10">
        <v>51.2</v>
      </c>
      <c r="H114" s="10">
        <v>52.6</v>
      </c>
    </row>
    <row r="115" spans="1:8">
      <c r="A115" s="5" t="s">
        <v>14</v>
      </c>
      <c r="B115" s="10">
        <v>19.600000000000001</v>
      </c>
      <c r="C115" s="10">
        <v>23</v>
      </c>
      <c r="D115" s="10">
        <v>24.9</v>
      </c>
      <c r="E115" s="10">
        <v>27.1</v>
      </c>
      <c r="F115" s="10">
        <v>31.6</v>
      </c>
      <c r="G115" s="10">
        <v>35.299999999999997</v>
      </c>
      <c r="H115" s="10" t="s">
        <v>3</v>
      </c>
    </row>
    <row r="116" spans="1:8">
      <c r="A116" s="5" t="s">
        <v>15</v>
      </c>
      <c r="B116" s="10">
        <v>10.4</v>
      </c>
      <c r="C116" s="10">
        <v>22.4</v>
      </c>
      <c r="D116" s="10">
        <v>34.9</v>
      </c>
      <c r="E116" s="10">
        <v>40.9</v>
      </c>
      <c r="F116" s="10">
        <v>48</v>
      </c>
      <c r="G116" s="10">
        <v>53.5</v>
      </c>
      <c r="H116" s="10">
        <v>59</v>
      </c>
    </row>
    <row r="117" spans="1:8">
      <c r="A117" s="5" t="s">
        <v>22</v>
      </c>
      <c r="B117" s="10">
        <v>10.4</v>
      </c>
      <c r="C117" s="10">
        <v>12.9</v>
      </c>
      <c r="D117" s="10" t="s">
        <v>3</v>
      </c>
      <c r="E117" s="10">
        <v>14.7</v>
      </c>
      <c r="F117" s="10">
        <v>28</v>
      </c>
      <c r="G117" s="10">
        <v>29.9</v>
      </c>
      <c r="H117" s="10" t="s">
        <v>3</v>
      </c>
    </row>
    <row r="118" spans="1:8">
      <c r="A118" s="5" t="s">
        <v>37</v>
      </c>
      <c r="B118" s="10" t="s">
        <v>3</v>
      </c>
      <c r="C118" s="10">
        <v>30.2</v>
      </c>
      <c r="D118" s="10">
        <v>30.4</v>
      </c>
      <c r="E118" s="10">
        <v>32.200000000000003</v>
      </c>
      <c r="F118" s="10" t="s">
        <v>3</v>
      </c>
      <c r="G118" s="10" t="s">
        <v>3</v>
      </c>
      <c r="H118" s="10" t="s">
        <v>3</v>
      </c>
    </row>
    <row r="119" spans="1:8">
      <c r="A119" s="5" t="s">
        <v>17</v>
      </c>
      <c r="B119" s="10" t="s">
        <v>3</v>
      </c>
      <c r="C119" s="10">
        <v>50.5</v>
      </c>
      <c r="D119" s="10">
        <v>50.3</v>
      </c>
      <c r="E119" s="10">
        <v>51.1</v>
      </c>
      <c r="F119" s="10">
        <v>50.3</v>
      </c>
      <c r="G119" s="10">
        <v>47.4</v>
      </c>
      <c r="H119" s="10">
        <v>54</v>
      </c>
    </row>
    <row r="120" spans="1:8">
      <c r="A120" s="5" t="s">
        <v>9</v>
      </c>
      <c r="B120" s="10">
        <v>32.799999999999997</v>
      </c>
      <c r="C120" s="10">
        <v>36.799999999999997</v>
      </c>
      <c r="D120" s="10">
        <v>43.3</v>
      </c>
      <c r="E120" s="10">
        <v>55.8</v>
      </c>
      <c r="F120" s="10">
        <v>60.8</v>
      </c>
      <c r="G120" s="10">
        <v>63.6</v>
      </c>
      <c r="H120" s="10">
        <v>72.5</v>
      </c>
    </row>
    <row r="121" spans="1:8">
      <c r="A121" s="5" t="s">
        <v>11</v>
      </c>
      <c r="B121" s="10">
        <v>14.8</v>
      </c>
      <c r="C121" s="10">
        <v>19.2</v>
      </c>
      <c r="D121" s="10">
        <v>23.8</v>
      </c>
      <c r="E121" s="10">
        <v>32.9</v>
      </c>
      <c r="F121" s="10">
        <v>36.4</v>
      </c>
      <c r="G121" s="10">
        <v>44.2</v>
      </c>
      <c r="H121" s="10">
        <v>52</v>
      </c>
    </row>
    <row r="122" spans="1:8">
      <c r="A122" s="5" t="s">
        <v>26</v>
      </c>
      <c r="B122" s="10">
        <v>16.399999999999999</v>
      </c>
      <c r="C122" s="10">
        <v>23.4</v>
      </c>
      <c r="D122" s="10">
        <v>26.1</v>
      </c>
      <c r="E122" s="10">
        <v>24</v>
      </c>
      <c r="F122" s="10" t="s">
        <v>3</v>
      </c>
      <c r="G122" s="10" t="s">
        <v>3</v>
      </c>
      <c r="H122" s="10" t="s">
        <v>3</v>
      </c>
    </row>
    <row r="124" spans="1:8">
      <c r="A124" s="5"/>
    </row>
  </sheetData>
  <sortState xmlns:xlrd2="http://schemas.microsoft.com/office/spreadsheetml/2017/richdata2" ref="A100:H122">
    <sortCondition ref="A100:A1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F401-935F-4B94-9C82-FE672CD446F7}">
  <dimension ref="A1:M46"/>
  <sheetViews>
    <sheetView workbookViewId="0"/>
  </sheetViews>
  <sheetFormatPr defaultRowHeight="14.4"/>
  <cols>
    <col min="1" max="1" width="25" bestFit="1" customWidth="1"/>
    <col min="2" max="2" width="4.62890625" bestFit="1" customWidth="1"/>
    <col min="3" max="3" width="13.47265625" bestFit="1" customWidth="1"/>
    <col min="4" max="4" width="9.3671875" bestFit="1" customWidth="1"/>
    <col min="5" max="6" width="7.26171875" bestFit="1" customWidth="1"/>
    <col min="7" max="7" width="8.734375" bestFit="1" customWidth="1"/>
    <col min="8" max="8" width="8.26171875" bestFit="1" customWidth="1"/>
    <col min="9" max="9" width="11.26171875" bestFit="1" customWidth="1"/>
    <col min="10" max="10" width="10.3671875" bestFit="1" customWidth="1"/>
    <col min="12" max="12" width="9" bestFit="1" customWidth="1"/>
    <col min="13" max="13" width="9.62890625" bestFit="1" customWidth="1"/>
  </cols>
  <sheetData>
    <row r="1" spans="1:13">
      <c r="A1" s="11" t="s">
        <v>58</v>
      </c>
    </row>
    <row r="2" spans="1:13">
      <c r="A2" t="s">
        <v>57</v>
      </c>
    </row>
    <row r="4" spans="1:13">
      <c r="D4" s="26" t="s">
        <v>55</v>
      </c>
      <c r="E4" s="26"/>
      <c r="F4" s="26"/>
      <c r="G4" s="26"/>
      <c r="H4" s="26"/>
      <c r="I4" s="26"/>
      <c r="J4" s="26"/>
      <c r="L4" s="26" t="s">
        <v>56</v>
      </c>
      <c r="M4" s="26"/>
    </row>
    <row r="5" spans="1:13">
      <c r="A5" s="2" t="s">
        <v>38</v>
      </c>
      <c r="B5" s="2" t="s">
        <v>42</v>
      </c>
      <c r="C5" s="2" t="s">
        <v>52</v>
      </c>
      <c r="D5" s="8" t="s">
        <v>46</v>
      </c>
      <c r="E5" s="8" t="s">
        <v>43</v>
      </c>
      <c r="F5" s="8" t="s">
        <v>48</v>
      </c>
      <c r="G5" s="8" t="s">
        <v>44</v>
      </c>
      <c r="H5" s="8" t="s">
        <v>45</v>
      </c>
      <c r="I5" s="8" t="s">
        <v>49</v>
      </c>
      <c r="J5" s="8" t="s">
        <v>47</v>
      </c>
      <c r="L5" s="9" t="s">
        <v>53</v>
      </c>
      <c r="M5" s="9" t="s">
        <v>54</v>
      </c>
    </row>
    <row r="6" spans="1:13">
      <c r="A6" t="s">
        <v>6</v>
      </c>
      <c r="B6">
        <v>1947</v>
      </c>
      <c r="C6" s="7">
        <v>15893827</v>
      </c>
      <c r="D6" s="7">
        <v>7798839</v>
      </c>
      <c r="E6" s="7">
        <v>834198</v>
      </c>
      <c r="F6" s="7">
        <v>607123</v>
      </c>
      <c r="G6" s="7">
        <v>1635137</v>
      </c>
      <c r="H6" s="7"/>
      <c r="I6" s="7">
        <v>4722381</v>
      </c>
      <c r="J6" s="7">
        <f t="shared" ref="J6:J26" si="0">SUM(G6:I6)</f>
        <v>6357518</v>
      </c>
      <c r="L6" s="1">
        <f t="shared" ref="L6:L26" si="1">100*D6/C6</f>
        <v>49.068352134448176</v>
      </c>
      <c r="M6" s="1">
        <f t="shared" ref="M6:M26" si="2">100*J6/C6</f>
        <v>39.999919465588746</v>
      </c>
    </row>
    <row r="7" spans="1:13">
      <c r="A7" t="s">
        <v>6</v>
      </c>
      <c r="B7">
        <v>1914</v>
      </c>
      <c r="C7" s="7">
        <v>7885237</v>
      </c>
      <c r="D7" s="7">
        <v>3017299</v>
      </c>
      <c r="E7" s="7">
        <v>322081</v>
      </c>
      <c r="F7" s="7">
        <v>212132</v>
      </c>
      <c r="G7" s="7">
        <v>449955</v>
      </c>
      <c r="H7" s="7"/>
      <c r="I7" s="7">
        <v>2034031</v>
      </c>
      <c r="J7" s="7">
        <f t="shared" si="0"/>
        <v>2483986</v>
      </c>
      <c r="L7" s="1">
        <f t="shared" si="1"/>
        <v>38.26516565069636</v>
      </c>
      <c r="M7" s="1">
        <f t="shared" si="2"/>
        <v>31.501729117336613</v>
      </c>
    </row>
    <row r="8" spans="1:13">
      <c r="A8" t="s">
        <v>51</v>
      </c>
      <c r="B8">
        <v>1940</v>
      </c>
      <c r="C8" s="7">
        <v>41236215</v>
      </c>
      <c r="D8" s="7">
        <v>6177033</v>
      </c>
      <c r="E8" s="7">
        <v>960963</v>
      </c>
      <c r="F8" s="7">
        <v>802733</v>
      </c>
      <c r="G8" s="7">
        <v>1635845</v>
      </c>
      <c r="H8" s="7"/>
      <c r="I8" s="7">
        <v>2777492</v>
      </c>
      <c r="J8" s="7">
        <f t="shared" si="0"/>
        <v>4413337</v>
      </c>
      <c r="L8" s="1">
        <f t="shared" si="1"/>
        <v>14.979631374994044</v>
      </c>
      <c r="M8" s="1">
        <f t="shared" si="2"/>
        <v>10.702575393983178</v>
      </c>
    </row>
    <row r="9" spans="1:13">
      <c r="A9" t="s">
        <v>18</v>
      </c>
      <c r="B9">
        <v>1941</v>
      </c>
      <c r="C9" s="7">
        <v>3850711</v>
      </c>
      <c r="D9" s="7">
        <v>718956</v>
      </c>
      <c r="E9" s="7">
        <v>134245</v>
      </c>
      <c r="F9" s="7">
        <v>108972</v>
      </c>
      <c r="G9" s="7">
        <v>475739</v>
      </c>
      <c r="H9" s="7"/>
      <c r="I9" s="7"/>
      <c r="J9" s="7">
        <f t="shared" si="0"/>
        <v>475739</v>
      </c>
      <c r="L9" s="1">
        <f t="shared" si="1"/>
        <v>18.670733794356419</v>
      </c>
      <c r="M9" s="1">
        <f t="shared" si="2"/>
        <v>12.354575557604816</v>
      </c>
    </row>
    <row r="10" spans="1:13">
      <c r="A10" t="s">
        <v>18</v>
      </c>
      <c r="B10">
        <v>1936</v>
      </c>
      <c r="C10" s="7">
        <v>3364347</v>
      </c>
      <c r="D10" s="7">
        <v>569029</v>
      </c>
      <c r="E10" s="7">
        <v>200301</v>
      </c>
      <c r="F10" s="7"/>
      <c r="G10" s="7">
        <v>368728</v>
      </c>
      <c r="H10" s="7"/>
      <c r="I10" s="7"/>
      <c r="J10" s="7">
        <f t="shared" si="0"/>
        <v>368728</v>
      </c>
      <c r="L10" s="1">
        <f t="shared" si="1"/>
        <v>16.913505057593643</v>
      </c>
      <c r="M10" s="1">
        <f t="shared" si="2"/>
        <v>10.959868289448146</v>
      </c>
    </row>
    <row r="11" spans="1:13">
      <c r="A11" t="s">
        <v>23</v>
      </c>
      <c r="B11">
        <v>1940</v>
      </c>
      <c r="C11" s="7">
        <v>3283209</v>
      </c>
      <c r="D11" s="7">
        <v>189896</v>
      </c>
      <c r="E11" s="7"/>
      <c r="F11" s="7"/>
      <c r="G11" s="7">
        <v>185896</v>
      </c>
      <c r="H11" s="7"/>
      <c r="I11" s="7"/>
      <c r="J11" s="7">
        <f t="shared" si="0"/>
        <v>185896</v>
      </c>
      <c r="L11" s="1">
        <f t="shared" si="1"/>
        <v>5.7838535408498206</v>
      </c>
      <c r="M11" s="1">
        <f t="shared" si="2"/>
        <v>5.6620215161447227</v>
      </c>
    </row>
    <row r="12" spans="1:13">
      <c r="A12" t="s">
        <v>50</v>
      </c>
      <c r="B12">
        <v>1935</v>
      </c>
      <c r="C12" s="7">
        <v>1479417</v>
      </c>
      <c r="D12" s="7">
        <v>105266</v>
      </c>
      <c r="E12" s="7">
        <v>34175</v>
      </c>
      <c r="F12" s="7">
        <v>71091</v>
      </c>
      <c r="G12" s="7"/>
      <c r="H12" s="7"/>
      <c r="I12" s="7"/>
      <c r="J12" s="7">
        <f t="shared" si="0"/>
        <v>0</v>
      </c>
      <c r="L12" s="1">
        <f t="shared" si="1"/>
        <v>7.1153704466016006</v>
      </c>
      <c r="M12" s="1">
        <f t="shared" si="2"/>
        <v>0</v>
      </c>
    </row>
    <row r="13" spans="1:13">
      <c r="A13" t="s">
        <v>10</v>
      </c>
      <c r="B13">
        <v>1938</v>
      </c>
      <c r="C13" s="7">
        <v>8701816</v>
      </c>
      <c r="D13" s="7">
        <v>1148602</v>
      </c>
      <c r="E13" s="7">
        <v>286172</v>
      </c>
      <c r="F13" s="7">
        <v>212581</v>
      </c>
      <c r="G13" s="7">
        <v>649849</v>
      </c>
      <c r="H13" s="7"/>
      <c r="I13" s="7"/>
      <c r="J13" s="7">
        <f t="shared" si="0"/>
        <v>649849</v>
      </c>
      <c r="L13" s="1">
        <f t="shared" si="1"/>
        <v>13.199566619197649</v>
      </c>
      <c r="M13" s="1">
        <f t="shared" si="2"/>
        <v>7.4679699042130974</v>
      </c>
    </row>
    <row r="14" spans="1:13">
      <c r="A14" t="s">
        <v>20</v>
      </c>
      <c r="B14">
        <v>1927</v>
      </c>
      <c r="C14" s="7">
        <v>471524</v>
      </c>
      <c r="D14" s="7">
        <v>89006</v>
      </c>
      <c r="E14" s="7"/>
      <c r="F14" s="7">
        <v>89006</v>
      </c>
      <c r="G14" s="7"/>
      <c r="H14" s="7"/>
      <c r="I14" s="7"/>
      <c r="J14" s="7">
        <f t="shared" si="0"/>
        <v>0</v>
      </c>
      <c r="L14" s="1">
        <f t="shared" si="1"/>
        <v>18.87623959756025</v>
      </c>
      <c r="M14" s="1">
        <f t="shared" si="2"/>
        <v>0</v>
      </c>
    </row>
    <row r="15" spans="1:13">
      <c r="A15" t="s">
        <v>21</v>
      </c>
      <c r="B15">
        <v>1943</v>
      </c>
      <c r="C15" s="7">
        <v>4778582</v>
      </c>
      <c r="D15" s="7">
        <v>1594222</v>
      </c>
      <c r="E15" s="7">
        <v>298042</v>
      </c>
      <c r="F15" s="7">
        <v>242244</v>
      </c>
      <c r="G15" s="7">
        <v>118266</v>
      </c>
      <c r="H15" s="7">
        <v>935670</v>
      </c>
      <c r="I15" s="7"/>
      <c r="J15" s="7">
        <f t="shared" si="0"/>
        <v>1053936</v>
      </c>
      <c r="L15" s="1">
        <f t="shared" si="1"/>
        <v>33.361821561291613</v>
      </c>
      <c r="M15" s="1">
        <f t="shared" si="2"/>
        <v>22.055413091163864</v>
      </c>
    </row>
    <row r="16" spans="1:13">
      <c r="A16" t="s">
        <v>21</v>
      </c>
      <c r="B16">
        <v>1931</v>
      </c>
      <c r="C16" s="7">
        <v>3962344</v>
      </c>
      <c r="D16" s="7">
        <v>1183330</v>
      </c>
      <c r="E16" s="7">
        <v>248752</v>
      </c>
      <c r="F16" s="7">
        <v>112331</v>
      </c>
      <c r="G16" s="7">
        <v>101508</v>
      </c>
      <c r="H16" s="7">
        <v>720739</v>
      </c>
      <c r="I16" s="7"/>
      <c r="J16" s="7">
        <f t="shared" si="0"/>
        <v>822247</v>
      </c>
      <c r="L16" s="1">
        <f t="shared" si="1"/>
        <v>29.864393399462539</v>
      </c>
      <c r="M16" s="1">
        <f t="shared" si="2"/>
        <v>20.751529902502156</v>
      </c>
    </row>
    <row r="17" spans="1:13">
      <c r="A17" t="s">
        <v>21</v>
      </c>
      <c r="B17">
        <v>1919</v>
      </c>
      <c r="C17" s="7">
        <v>2889004</v>
      </c>
      <c r="D17" s="7">
        <v>744069</v>
      </c>
      <c r="E17" s="7">
        <v>215798</v>
      </c>
      <c r="F17" s="7">
        <v>62083</v>
      </c>
      <c r="G17" s="7">
        <v>466188</v>
      </c>
      <c r="H17" s="7"/>
      <c r="I17" s="7"/>
      <c r="J17" s="7">
        <f t="shared" si="0"/>
        <v>466188</v>
      </c>
      <c r="L17" s="1">
        <f t="shared" si="1"/>
        <v>25.755208369389589</v>
      </c>
      <c r="M17" s="1">
        <f t="shared" si="2"/>
        <v>16.136633940278379</v>
      </c>
    </row>
    <row r="18" spans="1:13">
      <c r="A18" t="s">
        <v>28</v>
      </c>
      <c r="B18">
        <v>1940</v>
      </c>
      <c r="C18" s="7">
        <v>829831</v>
      </c>
      <c r="D18" s="7">
        <v>62516</v>
      </c>
      <c r="E18" s="7"/>
      <c r="F18" s="7">
        <v>62516</v>
      </c>
      <c r="G18" s="7"/>
      <c r="H18" s="7"/>
      <c r="I18" s="7"/>
      <c r="J18" s="7">
        <f t="shared" si="0"/>
        <v>0</v>
      </c>
      <c r="L18" s="1">
        <f t="shared" si="1"/>
        <v>7.5335821390138475</v>
      </c>
      <c r="M18" s="1">
        <f t="shared" si="2"/>
        <v>0</v>
      </c>
    </row>
    <row r="19" spans="1:13">
      <c r="A19" t="s">
        <v>28</v>
      </c>
      <c r="B19">
        <v>1920</v>
      </c>
      <c r="C19" s="7">
        <v>633622</v>
      </c>
      <c r="D19" s="7">
        <v>27839</v>
      </c>
      <c r="E19" s="7">
        <v>27839</v>
      </c>
      <c r="F19" s="7"/>
      <c r="G19" s="7"/>
      <c r="H19" s="7"/>
      <c r="I19" s="7"/>
      <c r="J19" s="7">
        <f t="shared" si="0"/>
        <v>0</v>
      </c>
      <c r="L19" s="1">
        <f t="shared" si="1"/>
        <v>4.3936290090937495</v>
      </c>
      <c r="M19" s="1">
        <f t="shared" si="2"/>
        <v>0</v>
      </c>
    </row>
    <row r="20" spans="1:13">
      <c r="A20" t="s">
        <v>29</v>
      </c>
      <c r="B20">
        <v>1940</v>
      </c>
      <c r="C20" s="7">
        <v>622576</v>
      </c>
      <c r="D20" s="7">
        <v>156286</v>
      </c>
      <c r="E20" s="7">
        <v>44393</v>
      </c>
      <c r="F20" s="7"/>
      <c r="G20" s="7">
        <v>111893</v>
      </c>
      <c r="H20" s="7"/>
      <c r="I20" s="7"/>
      <c r="J20" s="7">
        <f t="shared" si="0"/>
        <v>111893</v>
      </c>
      <c r="L20" s="1">
        <f t="shared" si="1"/>
        <v>25.103119940376757</v>
      </c>
      <c r="M20" s="1">
        <f t="shared" si="2"/>
        <v>17.97258487317211</v>
      </c>
    </row>
    <row r="21" spans="1:13">
      <c r="A21" t="s">
        <v>29</v>
      </c>
      <c r="B21">
        <v>1930</v>
      </c>
      <c r="C21" s="7">
        <v>467459</v>
      </c>
      <c r="D21" s="7">
        <v>104174</v>
      </c>
      <c r="E21" s="7">
        <v>29765</v>
      </c>
      <c r="F21" s="7">
        <v>74409</v>
      </c>
      <c r="G21" s="7"/>
      <c r="H21" s="7"/>
      <c r="I21" s="7"/>
      <c r="J21" s="7">
        <f t="shared" si="0"/>
        <v>0</v>
      </c>
      <c r="L21" s="1">
        <f t="shared" si="1"/>
        <v>22.285162976860004</v>
      </c>
      <c r="M21" s="1">
        <f t="shared" si="2"/>
        <v>0</v>
      </c>
    </row>
    <row r="22" spans="1:13">
      <c r="A22" t="s">
        <v>15</v>
      </c>
      <c r="B22">
        <v>1940</v>
      </c>
      <c r="C22" s="7">
        <v>6207967</v>
      </c>
      <c r="D22" s="7">
        <v>876571</v>
      </c>
      <c r="E22" s="7">
        <v>209766</v>
      </c>
      <c r="F22" s="7">
        <v>146277</v>
      </c>
      <c r="G22" s="7">
        <v>520528</v>
      </c>
      <c r="H22" s="7"/>
      <c r="I22" s="7"/>
      <c r="J22" s="7">
        <f t="shared" si="0"/>
        <v>520528</v>
      </c>
      <c r="L22" s="1">
        <f t="shared" si="1"/>
        <v>14.12009761005495</v>
      </c>
      <c r="M22" s="1">
        <f t="shared" si="2"/>
        <v>8.3848383858999256</v>
      </c>
    </row>
    <row r="23" spans="1:13">
      <c r="A23" t="s">
        <v>22</v>
      </c>
      <c r="B23">
        <v>1930</v>
      </c>
      <c r="C23" s="7">
        <v>1434361</v>
      </c>
      <c r="D23" s="7">
        <v>129210</v>
      </c>
      <c r="E23" s="7">
        <v>39825</v>
      </c>
      <c r="F23" s="7">
        <v>89385</v>
      </c>
      <c r="G23" s="7"/>
      <c r="H23" s="7"/>
      <c r="I23" s="7"/>
      <c r="J23" s="7">
        <f t="shared" si="0"/>
        <v>0</v>
      </c>
      <c r="L23" s="1">
        <f t="shared" si="1"/>
        <v>9.008192498262293</v>
      </c>
      <c r="M23" s="1">
        <f t="shared" si="2"/>
        <v>0</v>
      </c>
    </row>
    <row r="24" spans="1:13">
      <c r="A24" t="s">
        <v>9</v>
      </c>
      <c r="B24">
        <v>1940</v>
      </c>
      <c r="C24" s="7">
        <v>5023539</v>
      </c>
      <c r="D24" s="7">
        <v>1829505</v>
      </c>
      <c r="E24" s="7">
        <v>465292</v>
      </c>
      <c r="F24" s="7">
        <v>202193</v>
      </c>
      <c r="G24" s="7">
        <v>209945</v>
      </c>
      <c r="H24" s="7">
        <v>952075</v>
      </c>
      <c r="I24" s="7"/>
      <c r="J24" s="7">
        <f t="shared" si="0"/>
        <v>1162020</v>
      </c>
      <c r="L24" s="1">
        <f t="shared" si="1"/>
        <v>36.418648287591672</v>
      </c>
      <c r="M24" s="1">
        <f t="shared" si="2"/>
        <v>23.131501517157528</v>
      </c>
    </row>
    <row r="25" spans="1:13">
      <c r="A25" t="s">
        <v>9</v>
      </c>
      <c r="B25">
        <v>1930</v>
      </c>
      <c r="C25" s="7">
        <v>4287445</v>
      </c>
      <c r="D25" s="7">
        <v>1408407</v>
      </c>
      <c r="E25" s="7">
        <v>371489</v>
      </c>
      <c r="F25" s="7">
        <v>131180</v>
      </c>
      <c r="G25" s="7">
        <v>193205</v>
      </c>
      <c r="H25" s="7">
        <v>712533</v>
      </c>
      <c r="I25" s="7"/>
      <c r="J25" s="7">
        <f t="shared" si="0"/>
        <v>905738</v>
      </c>
      <c r="L25" s="1">
        <f t="shared" si="1"/>
        <v>32.849564250969983</v>
      </c>
      <c r="M25" s="1">
        <f t="shared" si="2"/>
        <v>21.125355543919515</v>
      </c>
    </row>
    <row r="26" spans="1:13">
      <c r="A26" t="s">
        <v>9</v>
      </c>
      <c r="B26">
        <v>1920</v>
      </c>
      <c r="C26" s="7">
        <v>3730235</v>
      </c>
      <c r="D26" s="7">
        <v>1043066</v>
      </c>
      <c r="E26" s="7">
        <v>237743</v>
      </c>
      <c r="F26" s="7">
        <v>115605</v>
      </c>
      <c r="G26" s="7">
        <v>182422</v>
      </c>
      <c r="H26" s="7">
        <v>507296</v>
      </c>
      <c r="I26" s="7"/>
      <c r="J26" s="7">
        <f t="shared" si="0"/>
        <v>689718</v>
      </c>
      <c r="L26" s="1">
        <f t="shared" si="1"/>
        <v>27.96247421409107</v>
      </c>
      <c r="M26" s="1">
        <f t="shared" si="2"/>
        <v>18.489934280279929</v>
      </c>
    </row>
    <row r="27" spans="1:13">
      <c r="C27" s="7"/>
      <c r="D27" s="7"/>
      <c r="E27" s="7"/>
      <c r="F27" s="7"/>
      <c r="G27" s="7"/>
      <c r="H27" s="7"/>
      <c r="I27" s="7"/>
      <c r="J27" s="7"/>
    </row>
    <row r="28" spans="1:13">
      <c r="C28" s="7"/>
      <c r="D28" s="7"/>
      <c r="E28" s="7"/>
      <c r="F28" s="7"/>
      <c r="G28" s="7"/>
      <c r="H28" s="7"/>
      <c r="I28" s="7"/>
      <c r="J28" s="7"/>
    </row>
    <row r="29" spans="1:13">
      <c r="C29" s="7"/>
      <c r="D29" s="7"/>
      <c r="E29" s="7"/>
      <c r="F29" s="7"/>
      <c r="G29" s="7"/>
      <c r="H29" s="7"/>
      <c r="I29" s="7"/>
      <c r="J29" s="7"/>
    </row>
    <row r="30" spans="1:13">
      <c r="C30" s="7"/>
      <c r="D30" s="7"/>
      <c r="E30" s="7"/>
      <c r="F30" s="7"/>
      <c r="G30" s="7"/>
      <c r="H30" s="7"/>
      <c r="I30" s="7"/>
      <c r="J30" s="7"/>
    </row>
    <row r="31" spans="1:13">
      <c r="C31" s="7"/>
      <c r="D31" s="7"/>
      <c r="E31" s="7"/>
      <c r="F31" s="7"/>
      <c r="G31" s="7"/>
      <c r="H31" s="7"/>
      <c r="I31" s="7"/>
      <c r="J31" s="7"/>
    </row>
    <row r="32" spans="1:13">
      <c r="C32" s="7"/>
      <c r="D32" s="7"/>
      <c r="E32" s="7"/>
      <c r="F32" s="7"/>
      <c r="G32" s="7"/>
      <c r="H32" s="7"/>
      <c r="I32" s="7"/>
      <c r="J32" s="7"/>
    </row>
    <row r="33" spans="3:10">
      <c r="C33" s="7"/>
      <c r="D33" s="7"/>
      <c r="E33" s="7"/>
      <c r="F33" s="7"/>
      <c r="G33" s="7"/>
      <c r="H33" s="7"/>
      <c r="I33" s="7"/>
      <c r="J33" s="7"/>
    </row>
    <row r="34" spans="3:10">
      <c r="C34" s="7"/>
      <c r="D34" s="7"/>
      <c r="E34" s="7"/>
      <c r="F34" s="7"/>
      <c r="G34" s="7"/>
      <c r="H34" s="7"/>
      <c r="I34" s="7"/>
      <c r="J34" s="7"/>
    </row>
    <row r="35" spans="3:10">
      <c r="C35" s="7"/>
      <c r="D35" s="7"/>
      <c r="E35" s="7"/>
      <c r="F35" s="7"/>
      <c r="G35" s="7"/>
      <c r="H35" s="7"/>
      <c r="I35" s="7"/>
      <c r="J35" s="7"/>
    </row>
    <row r="36" spans="3:10">
      <c r="C36" s="7"/>
      <c r="D36" s="7"/>
      <c r="E36" s="7"/>
      <c r="F36" s="7"/>
      <c r="G36" s="7"/>
      <c r="H36" s="7"/>
      <c r="I36" s="7"/>
      <c r="J36" s="7"/>
    </row>
    <row r="37" spans="3:10">
      <c r="C37" s="7"/>
      <c r="D37" s="7"/>
      <c r="E37" s="7"/>
      <c r="F37" s="7"/>
      <c r="G37" s="7"/>
      <c r="H37" s="7"/>
      <c r="I37" s="7"/>
      <c r="J37" s="7"/>
    </row>
    <row r="38" spans="3:10">
      <c r="C38" s="7"/>
      <c r="D38" s="7"/>
      <c r="E38" s="7"/>
      <c r="F38" s="7"/>
      <c r="G38" s="7"/>
      <c r="H38" s="7"/>
      <c r="I38" s="7"/>
      <c r="J38" s="7"/>
    </row>
    <row r="39" spans="3:10">
      <c r="C39" s="7"/>
      <c r="D39" s="7"/>
      <c r="E39" s="7"/>
      <c r="F39" s="7"/>
      <c r="G39" s="7"/>
      <c r="H39" s="7"/>
      <c r="I39" s="7"/>
      <c r="J39" s="7"/>
    </row>
    <row r="40" spans="3:10">
      <c r="C40" s="7"/>
      <c r="D40" s="7"/>
      <c r="E40" s="7"/>
      <c r="F40" s="7"/>
      <c r="G40" s="7"/>
      <c r="H40" s="7"/>
      <c r="I40" s="7"/>
      <c r="J40" s="7"/>
    </row>
    <row r="41" spans="3:10">
      <c r="C41" s="7"/>
      <c r="D41" s="7"/>
      <c r="E41" s="7"/>
      <c r="F41" s="7"/>
      <c r="G41" s="7"/>
      <c r="H41" s="7"/>
      <c r="I41" s="7"/>
      <c r="J41" s="7"/>
    </row>
    <row r="42" spans="3:10">
      <c r="C42" s="7"/>
      <c r="D42" s="7"/>
      <c r="E42" s="7"/>
      <c r="F42" s="7"/>
      <c r="G42" s="7"/>
      <c r="H42" s="7"/>
      <c r="I42" s="7"/>
      <c r="J42" s="7"/>
    </row>
    <row r="43" spans="3:10">
      <c r="C43" s="7"/>
      <c r="D43" s="7"/>
      <c r="E43" s="7"/>
      <c r="F43" s="7"/>
      <c r="G43" s="7"/>
      <c r="H43" s="7"/>
      <c r="I43" s="7"/>
      <c r="J43" s="7"/>
    </row>
    <row r="44" spans="3:10">
      <c r="C44" s="7"/>
      <c r="D44" s="7"/>
      <c r="E44" s="7"/>
      <c r="F44" s="7"/>
      <c r="G44" s="7"/>
      <c r="H44" s="7"/>
      <c r="I44" s="7"/>
      <c r="J44" s="7"/>
    </row>
    <row r="45" spans="3:10">
      <c r="C45" s="7"/>
      <c r="D45" s="7"/>
      <c r="E45" s="7"/>
      <c r="F45" s="7"/>
      <c r="G45" s="7"/>
      <c r="H45" s="7"/>
      <c r="I45" s="7"/>
    </row>
    <row r="46" spans="3:10">
      <c r="C46" s="7"/>
      <c r="D46" s="7"/>
      <c r="E46" s="7"/>
      <c r="F46" s="7"/>
      <c r="G46" s="7"/>
      <c r="H46" s="7"/>
      <c r="I46" s="7"/>
    </row>
  </sheetData>
  <sortState xmlns:xlrd2="http://schemas.microsoft.com/office/spreadsheetml/2017/richdata2" ref="A6:M26">
    <sortCondition ref="A6:A26"/>
  </sortState>
  <mergeCells count="2">
    <mergeCell ref="D4:J4"/>
    <mergeCell ref="L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C1AA-F6CE-4B15-A1F0-6B51B5CB852A}">
  <dimension ref="A1:G7"/>
  <sheetViews>
    <sheetView workbookViewId="0">
      <selection activeCell="A5" sqref="A5:E7"/>
    </sheetView>
  </sheetViews>
  <sheetFormatPr defaultRowHeight="14.4"/>
  <cols>
    <col min="3" max="3" width="13.89453125" customWidth="1"/>
    <col min="5" max="5" width="24.62890625" customWidth="1"/>
  </cols>
  <sheetData>
    <row r="1" spans="1:7">
      <c r="A1" t="s">
        <v>60</v>
      </c>
    </row>
    <row r="2" spans="1:7">
      <c r="A2" t="s">
        <v>59</v>
      </c>
    </row>
    <row r="3" spans="1:7">
      <c r="A3" t="s">
        <v>63</v>
      </c>
    </row>
    <row r="5" spans="1:7">
      <c r="A5" s="8" t="s">
        <v>38</v>
      </c>
      <c r="B5" s="8" t="s">
        <v>42</v>
      </c>
      <c r="C5" s="8" t="s">
        <v>61</v>
      </c>
      <c r="D5" s="8" t="s">
        <v>54</v>
      </c>
      <c r="E5" s="8" t="s">
        <v>62</v>
      </c>
      <c r="F5" s="8"/>
      <c r="G5" s="8"/>
    </row>
    <row r="6" spans="1:7">
      <c r="A6" t="s">
        <v>15</v>
      </c>
      <c r="B6">
        <v>1940</v>
      </c>
      <c r="C6">
        <v>13.9</v>
      </c>
      <c r="D6">
        <v>8.4</v>
      </c>
      <c r="E6">
        <v>36.1</v>
      </c>
    </row>
    <row r="7" spans="1:7">
      <c r="A7" t="s">
        <v>64</v>
      </c>
      <c r="B7">
        <v>1950</v>
      </c>
      <c r="C7">
        <v>31</v>
      </c>
      <c r="D7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B6E2-6891-4E9F-99E3-F5829E93EAFA}">
  <dimension ref="A1:J51"/>
  <sheetViews>
    <sheetView workbookViewId="0">
      <selection activeCell="A8" sqref="A8:J51"/>
    </sheetView>
  </sheetViews>
  <sheetFormatPr defaultRowHeight="14.4"/>
  <cols>
    <col min="1" max="1" width="26" customWidth="1"/>
    <col min="2" max="2" width="5.62890625" bestFit="1" customWidth="1"/>
    <col min="3" max="4" width="13" bestFit="1" customWidth="1"/>
    <col min="5" max="5" width="12.89453125" bestFit="1" customWidth="1"/>
    <col min="6" max="6" width="9.47265625" bestFit="1" customWidth="1"/>
    <col min="7" max="7" width="12.3671875" bestFit="1" customWidth="1"/>
    <col min="9" max="9" width="9.26171875" customWidth="1"/>
  </cols>
  <sheetData>
    <row r="1" spans="1:10">
      <c r="A1" t="s">
        <v>60</v>
      </c>
    </row>
    <row r="2" spans="1:10">
      <c r="A2" t="s">
        <v>59</v>
      </c>
    </row>
    <row r="3" spans="1:10">
      <c r="A3" t="s">
        <v>65</v>
      </c>
    </row>
    <row r="6" spans="1:10">
      <c r="A6" s="2" t="s">
        <v>66</v>
      </c>
    </row>
    <row r="8" spans="1:10">
      <c r="A8" s="9" t="s">
        <v>38</v>
      </c>
      <c r="B8" s="9" t="s">
        <v>42</v>
      </c>
      <c r="C8" s="9" t="s">
        <v>52</v>
      </c>
      <c r="D8" s="9" t="s">
        <v>68</v>
      </c>
      <c r="E8" s="9" t="s">
        <v>70</v>
      </c>
      <c r="F8" s="9" t="s">
        <v>69</v>
      </c>
      <c r="G8" s="9" t="s">
        <v>71</v>
      </c>
      <c r="H8" s="9"/>
      <c r="I8" s="9" t="s">
        <v>61</v>
      </c>
      <c r="J8" s="9" t="s">
        <v>54</v>
      </c>
    </row>
    <row r="10" spans="1:10">
      <c r="A10" t="s">
        <v>67</v>
      </c>
      <c r="B10">
        <v>1869</v>
      </c>
      <c r="C10" s="7">
        <v>1737076</v>
      </c>
      <c r="D10" s="7">
        <v>1305841</v>
      </c>
      <c r="E10" s="7">
        <v>431235</v>
      </c>
      <c r="F10" s="7">
        <v>146142</v>
      </c>
      <c r="G10" s="7">
        <v>285093</v>
      </c>
      <c r="I10" s="1">
        <f>100*E10/C10</f>
        <v>24.82533867257391</v>
      </c>
      <c r="J10" s="1">
        <f>100*G10/C10</f>
        <v>16.412235273528619</v>
      </c>
    </row>
    <row r="11" spans="1:10">
      <c r="A11" t="s">
        <v>67</v>
      </c>
      <c r="B11">
        <v>1895</v>
      </c>
      <c r="C11" s="7">
        <v>3954911</v>
      </c>
      <c r="D11" s="7">
        <v>2695915</v>
      </c>
      <c r="E11" s="7">
        <v>1258996</v>
      </c>
      <c r="F11" s="7">
        <v>286444</v>
      </c>
      <c r="G11" s="7">
        <v>972552</v>
      </c>
      <c r="I11" s="1">
        <f t="shared" ref="I11:I51" si="0">100*E11/C11</f>
        <v>31.833737851496533</v>
      </c>
      <c r="J11" s="1">
        <f t="shared" ref="J11:J51" si="1">100*G11/C11</f>
        <v>24.590995853004024</v>
      </c>
    </row>
    <row r="12" spans="1:10">
      <c r="A12" t="s">
        <v>67</v>
      </c>
      <c r="B12">
        <v>1914</v>
      </c>
      <c r="C12" s="7">
        <v>7885237</v>
      </c>
      <c r="D12" s="7">
        <v>4694581</v>
      </c>
      <c r="E12" s="7">
        <v>3190656</v>
      </c>
      <c r="F12" s="7">
        <v>618564</v>
      </c>
      <c r="G12" s="7">
        <v>2572092</v>
      </c>
      <c r="I12" s="1">
        <f t="shared" si="0"/>
        <v>40.463666469378154</v>
      </c>
      <c r="J12" s="1">
        <f t="shared" si="1"/>
        <v>32.61908297746789</v>
      </c>
    </row>
    <row r="13" spans="1:10">
      <c r="A13" t="s">
        <v>67</v>
      </c>
      <c r="B13">
        <v>1947</v>
      </c>
      <c r="C13" s="7">
        <v>15893827</v>
      </c>
      <c r="D13" s="7">
        <v>8211936</v>
      </c>
      <c r="E13" s="7">
        <v>7681891</v>
      </c>
      <c r="F13" s="7">
        <v>1492114</v>
      </c>
      <c r="G13" s="7">
        <v>6189777</v>
      </c>
      <c r="I13" s="1">
        <f t="shared" si="0"/>
        <v>48.332544452635602</v>
      </c>
      <c r="J13" s="1">
        <f t="shared" si="1"/>
        <v>38.944534881372498</v>
      </c>
    </row>
    <row r="14" spans="1:10">
      <c r="A14" t="s">
        <v>7</v>
      </c>
      <c r="B14">
        <v>1900</v>
      </c>
      <c r="C14" s="7">
        <v>1696400</v>
      </c>
      <c r="D14" s="7">
        <v>1550556</v>
      </c>
      <c r="E14" s="7">
        <v>145844</v>
      </c>
      <c r="F14" s="7">
        <v>93147</v>
      </c>
      <c r="G14" s="7">
        <v>52697</v>
      </c>
      <c r="I14" s="1">
        <f t="shared" si="0"/>
        <v>8.5972647960386706</v>
      </c>
      <c r="J14" s="1">
        <f t="shared" si="1"/>
        <v>3.1064017920301814</v>
      </c>
    </row>
    <row r="15" spans="1:10">
      <c r="A15" t="s">
        <v>7</v>
      </c>
      <c r="B15">
        <v>1950</v>
      </c>
      <c r="C15" s="7">
        <v>3019031</v>
      </c>
      <c r="D15" s="7">
        <v>2425556</v>
      </c>
      <c r="E15" s="7">
        <v>593475</v>
      </c>
      <c r="F15" s="7">
        <v>272402</v>
      </c>
      <c r="G15" s="7">
        <v>321073</v>
      </c>
      <c r="I15" s="1">
        <f t="shared" si="0"/>
        <v>19.657797485352088</v>
      </c>
      <c r="J15" s="1">
        <f t="shared" si="1"/>
        <v>10.634968637287924</v>
      </c>
    </row>
    <row r="16" spans="1:10">
      <c r="A16" t="s">
        <v>8</v>
      </c>
      <c r="B16">
        <v>1940</v>
      </c>
      <c r="C16" s="7">
        <v>41236315</v>
      </c>
      <c r="D16" s="7">
        <v>34349908</v>
      </c>
      <c r="E16" s="7">
        <v>6886407</v>
      </c>
      <c r="F16" s="7">
        <v>2373630</v>
      </c>
      <c r="G16" s="7">
        <v>4512777</v>
      </c>
      <c r="I16" s="1">
        <f t="shared" si="0"/>
        <v>16.699860305170333</v>
      </c>
      <c r="J16" s="1">
        <f t="shared" si="1"/>
        <v>10.943696108636283</v>
      </c>
    </row>
    <row r="17" spans="1:10">
      <c r="A17" t="s">
        <v>8</v>
      </c>
      <c r="B17">
        <v>1950</v>
      </c>
      <c r="C17" s="7">
        <v>51944397</v>
      </c>
      <c r="D17" s="7">
        <v>41528119</v>
      </c>
      <c r="E17" s="7">
        <v>10416278</v>
      </c>
      <c r="F17" s="7">
        <v>3542043</v>
      </c>
      <c r="G17" s="7">
        <v>6873235</v>
      </c>
      <c r="I17" s="1">
        <f t="shared" si="0"/>
        <v>20.052746016091014</v>
      </c>
      <c r="J17" s="1">
        <f t="shared" si="1"/>
        <v>13.231908342299171</v>
      </c>
    </row>
    <row r="18" spans="1:10">
      <c r="A18" t="s">
        <v>9</v>
      </c>
      <c r="B18">
        <v>1865</v>
      </c>
      <c r="C18" s="7">
        <v>1819223</v>
      </c>
      <c r="D18" s="7">
        <v>1528621</v>
      </c>
      <c r="E18" s="7">
        <v>290602</v>
      </c>
      <c r="F18" s="7">
        <v>90829</v>
      </c>
      <c r="G18" s="7">
        <v>199773</v>
      </c>
      <c r="I18" s="1">
        <f t="shared" si="0"/>
        <v>15.973962510368438</v>
      </c>
      <c r="J18" s="1">
        <f t="shared" si="1"/>
        <v>10.981226600587174</v>
      </c>
    </row>
    <row r="19" spans="1:10">
      <c r="A19" t="s">
        <v>9</v>
      </c>
      <c r="B19">
        <v>1875</v>
      </c>
      <c r="C19" s="7">
        <v>2075971</v>
      </c>
      <c r="D19" s="7">
        <v>1717285</v>
      </c>
      <c r="E19" s="7">
        <v>358686</v>
      </c>
      <c r="F19" s="7">
        <v>112865</v>
      </c>
      <c r="G19" s="7">
        <v>245821</v>
      </c>
      <c r="I19" s="1">
        <f t="shared" si="0"/>
        <v>17.277987023903513</v>
      </c>
      <c r="J19" s="1">
        <f t="shared" si="1"/>
        <v>11.841254044492914</v>
      </c>
    </row>
    <row r="20" spans="1:10">
      <c r="A20" t="s">
        <v>9</v>
      </c>
      <c r="B20">
        <v>1885</v>
      </c>
      <c r="C20" s="7">
        <v>2497797</v>
      </c>
      <c r="D20" s="7">
        <v>2017911</v>
      </c>
      <c r="E20" s="7">
        <v>479886</v>
      </c>
      <c r="F20" s="7">
        <v>161422</v>
      </c>
      <c r="G20" s="7">
        <v>318464</v>
      </c>
      <c r="I20" s="1">
        <f t="shared" si="0"/>
        <v>19.212369940391472</v>
      </c>
      <c r="J20" s="1">
        <f t="shared" si="1"/>
        <v>12.749795119459268</v>
      </c>
    </row>
    <row r="21" spans="1:10">
      <c r="A21" t="s">
        <v>9</v>
      </c>
      <c r="B21">
        <v>1895</v>
      </c>
      <c r="C21" s="7">
        <v>2687984</v>
      </c>
      <c r="D21" s="7">
        <v>2039589</v>
      </c>
      <c r="E21" s="7">
        <v>648395</v>
      </c>
      <c r="F21" s="7">
        <v>229708</v>
      </c>
      <c r="G21" s="7">
        <v>418687</v>
      </c>
      <c r="I21" s="1">
        <f t="shared" si="0"/>
        <v>24.121981380841554</v>
      </c>
      <c r="J21" s="1">
        <f t="shared" si="1"/>
        <v>15.576245989559462</v>
      </c>
    </row>
    <row r="22" spans="1:10">
      <c r="A22" t="s">
        <v>9</v>
      </c>
      <c r="B22">
        <v>1907</v>
      </c>
      <c r="C22" s="7">
        <v>3220531</v>
      </c>
      <c r="D22" s="7">
        <v>2328479</v>
      </c>
      <c r="E22" s="7">
        <v>892052</v>
      </c>
      <c r="F22" s="7">
        <v>341551</v>
      </c>
      <c r="G22" s="7">
        <v>550501</v>
      </c>
      <c r="I22" s="1">
        <f t="shared" si="0"/>
        <v>27.698910521277391</v>
      </c>
      <c r="J22" s="1">
        <f t="shared" si="1"/>
        <v>17.093485515276829</v>
      </c>
    </row>
    <row r="23" spans="1:10">
      <c r="A23" t="s">
        <v>9</v>
      </c>
      <c r="B23">
        <v>1920</v>
      </c>
      <c r="C23" s="7">
        <v>3714887</v>
      </c>
      <c r="D23" s="7">
        <v>2521515</v>
      </c>
      <c r="E23" s="7">
        <v>1193372</v>
      </c>
      <c r="F23" s="7">
        <v>439580</v>
      </c>
      <c r="G23" s="7">
        <v>753792</v>
      </c>
      <c r="I23" s="1">
        <f t="shared" si="0"/>
        <v>32.124045765052884</v>
      </c>
      <c r="J23" s="1">
        <f t="shared" si="1"/>
        <v>20.291115180623258</v>
      </c>
    </row>
    <row r="24" spans="1:10">
      <c r="A24" t="s">
        <v>9</v>
      </c>
      <c r="B24">
        <v>1930</v>
      </c>
      <c r="C24" s="7">
        <v>4287445</v>
      </c>
      <c r="D24" s="7">
        <v>2746490</v>
      </c>
      <c r="E24" s="7">
        <v>1540955</v>
      </c>
      <c r="F24" s="7">
        <v>557628</v>
      </c>
      <c r="G24" s="7">
        <v>983327</v>
      </c>
      <c r="I24" s="1">
        <f t="shared" si="0"/>
        <v>35.941102451460019</v>
      </c>
      <c r="J24" s="1">
        <f t="shared" si="1"/>
        <v>22.93503473513946</v>
      </c>
    </row>
    <row r="25" spans="1:10">
      <c r="A25" t="s">
        <v>9</v>
      </c>
      <c r="B25">
        <v>1940</v>
      </c>
      <c r="C25" s="7">
        <v>5023539</v>
      </c>
      <c r="D25" s="7">
        <v>3128592</v>
      </c>
      <c r="E25" s="7">
        <v>1894947</v>
      </c>
      <c r="F25" s="7">
        <v>647114</v>
      </c>
      <c r="G25" s="7">
        <v>1247833</v>
      </c>
      <c r="I25" s="1">
        <f t="shared" si="0"/>
        <v>37.721355403033598</v>
      </c>
      <c r="J25" s="1">
        <f t="shared" si="1"/>
        <v>24.839719568216751</v>
      </c>
    </row>
    <row r="26" spans="1:10">
      <c r="A26" t="s">
        <v>9</v>
      </c>
      <c r="B26">
        <v>1952</v>
      </c>
      <c r="C26" s="7">
        <v>5932995</v>
      </c>
      <c r="D26" s="7">
        <v>3389177</v>
      </c>
      <c r="E26" s="7">
        <v>2543818</v>
      </c>
      <c r="F26" s="7">
        <v>851490</v>
      </c>
      <c r="G26" s="7">
        <v>1692328</v>
      </c>
      <c r="I26" s="1">
        <f t="shared" si="0"/>
        <v>42.875781961724222</v>
      </c>
      <c r="J26" s="1">
        <f t="shared" si="1"/>
        <v>28.524008531947185</v>
      </c>
    </row>
    <row r="27" spans="1:10">
      <c r="A27" t="s">
        <v>10</v>
      </c>
      <c r="B27">
        <v>1938</v>
      </c>
      <c r="C27" s="7">
        <v>8701816</v>
      </c>
      <c r="D27" s="7">
        <v>7419391</v>
      </c>
      <c r="E27" s="7">
        <v>1282425</v>
      </c>
      <c r="F27" s="7">
        <v>459150</v>
      </c>
      <c r="G27" s="7">
        <v>823275</v>
      </c>
      <c r="I27" s="1">
        <f t="shared" si="0"/>
        <v>14.737441012312832</v>
      </c>
      <c r="J27" s="1">
        <f t="shared" si="1"/>
        <v>9.4609561958101622</v>
      </c>
    </row>
    <row r="28" spans="1:10">
      <c r="A28" t="s">
        <v>10</v>
      </c>
      <c r="B28">
        <v>1951</v>
      </c>
      <c r="C28" s="7">
        <v>11548172</v>
      </c>
      <c r="D28" s="7">
        <v>8968741</v>
      </c>
      <c r="E28" s="7">
        <v>2579431</v>
      </c>
      <c r="F28" s="7">
        <v>880841</v>
      </c>
      <c r="G28" s="7">
        <v>1698590</v>
      </c>
      <c r="I28" s="1">
        <f t="shared" si="0"/>
        <v>22.336271056579346</v>
      </c>
      <c r="J28" s="1">
        <f t="shared" si="1"/>
        <v>14.708734854312873</v>
      </c>
    </row>
    <row r="29" spans="1:10">
      <c r="A29" t="s">
        <v>14</v>
      </c>
      <c r="B29">
        <v>1937</v>
      </c>
      <c r="C29" s="7">
        <v>936126</v>
      </c>
      <c r="D29" s="7">
        <v>831306</v>
      </c>
      <c r="E29" s="7">
        <v>104820</v>
      </c>
      <c r="G29" s="7">
        <v>104820</v>
      </c>
      <c r="I29" s="1">
        <f t="shared" si="0"/>
        <v>11.197210631902117</v>
      </c>
      <c r="J29" s="1">
        <f t="shared" si="1"/>
        <v>11.197210631902117</v>
      </c>
    </row>
    <row r="30" spans="1:10">
      <c r="A30" t="s">
        <v>14</v>
      </c>
      <c r="B30">
        <v>1950</v>
      </c>
      <c r="C30" s="7">
        <v>1328452</v>
      </c>
      <c r="D30" s="7">
        <v>1127112</v>
      </c>
      <c r="E30" s="7">
        <v>201340</v>
      </c>
      <c r="G30" s="7">
        <v>201340</v>
      </c>
      <c r="I30" s="1">
        <f t="shared" si="0"/>
        <v>15.155986064983907</v>
      </c>
      <c r="J30" s="1">
        <f t="shared" si="1"/>
        <v>15.155986064983907</v>
      </c>
    </row>
    <row r="31" spans="1:10">
      <c r="A31" t="s">
        <v>15</v>
      </c>
      <c r="B31">
        <v>1876</v>
      </c>
      <c r="C31" s="7">
        <v>2699106</v>
      </c>
      <c r="D31" s="7">
        <v>2497928</v>
      </c>
      <c r="E31" s="7">
        <v>201178</v>
      </c>
      <c r="F31" s="7">
        <v>99690</v>
      </c>
      <c r="G31" s="7">
        <v>101488</v>
      </c>
      <c r="I31" s="1">
        <f t="shared" si="0"/>
        <v>7.4535049753510974</v>
      </c>
      <c r="J31" s="1">
        <f t="shared" si="1"/>
        <v>3.760059812397142</v>
      </c>
    </row>
    <row r="32" spans="1:10">
      <c r="A32" t="s">
        <v>15</v>
      </c>
      <c r="B32">
        <v>1940</v>
      </c>
      <c r="C32" s="7">
        <v>6207967</v>
      </c>
      <c r="D32" s="7">
        <v>5347542</v>
      </c>
      <c r="E32" s="7">
        <v>860425</v>
      </c>
      <c r="F32" s="7">
        <v>339897</v>
      </c>
      <c r="G32" s="7">
        <v>520528</v>
      </c>
      <c r="I32" s="1">
        <f t="shared" si="0"/>
        <v>13.860012464628115</v>
      </c>
      <c r="J32" s="1">
        <f t="shared" si="1"/>
        <v>8.3848383858999256</v>
      </c>
    </row>
    <row r="33" spans="1:10">
      <c r="A33" t="s">
        <v>18</v>
      </c>
      <c r="B33">
        <v>1936</v>
      </c>
      <c r="C33" s="7">
        <v>3364347</v>
      </c>
      <c r="D33" s="7">
        <v>2722051</v>
      </c>
      <c r="E33" s="7">
        <v>642296</v>
      </c>
      <c r="F33" s="7">
        <v>292515</v>
      </c>
      <c r="G33" s="7">
        <v>349781</v>
      </c>
      <c r="I33" s="1">
        <f t="shared" si="0"/>
        <v>19.091253072290105</v>
      </c>
      <c r="J33" s="1">
        <f t="shared" si="1"/>
        <v>10.396698081381023</v>
      </c>
    </row>
    <row r="34" spans="1:10">
      <c r="A34" t="s">
        <v>18</v>
      </c>
      <c r="B34">
        <v>1941</v>
      </c>
      <c r="C34" s="7">
        <v>3850771</v>
      </c>
      <c r="D34" s="7">
        <v>3039755</v>
      </c>
      <c r="E34" s="7">
        <v>811016</v>
      </c>
      <c r="F34" s="7">
        <v>366209</v>
      </c>
      <c r="G34" s="7">
        <v>444807</v>
      </c>
      <c r="I34" s="1">
        <f t="shared" si="0"/>
        <v>21.061132952336038</v>
      </c>
      <c r="J34" s="1">
        <f t="shared" si="1"/>
        <v>11.551115348069256</v>
      </c>
    </row>
    <row r="35" spans="1:10">
      <c r="A35" t="s">
        <v>18</v>
      </c>
      <c r="B35">
        <v>1950</v>
      </c>
      <c r="C35" s="7">
        <v>5034838</v>
      </c>
      <c r="D35" s="7">
        <v>3476298</v>
      </c>
      <c r="E35" s="7">
        <v>1558540</v>
      </c>
      <c r="F35" s="7">
        <v>722618</v>
      </c>
      <c r="G35" s="7">
        <v>835922</v>
      </c>
      <c r="I35" s="1">
        <f t="shared" si="0"/>
        <v>30.955117125913485</v>
      </c>
      <c r="J35" s="1">
        <f t="shared" si="1"/>
        <v>16.602758619045936</v>
      </c>
    </row>
    <row r="36" spans="1:10">
      <c r="A36" t="s">
        <v>20</v>
      </c>
      <c r="B36">
        <v>1927</v>
      </c>
      <c r="C36" s="7">
        <v>471524</v>
      </c>
      <c r="D36" s="7">
        <v>396372</v>
      </c>
      <c r="E36" s="7">
        <v>75152</v>
      </c>
      <c r="G36" s="7">
        <v>75152</v>
      </c>
      <c r="I36" s="1">
        <f t="shared" si="0"/>
        <v>15.938107074083186</v>
      </c>
      <c r="J36" s="1">
        <f t="shared" si="1"/>
        <v>15.938107074083186</v>
      </c>
    </row>
    <row r="37" spans="1:10">
      <c r="A37" t="s">
        <v>20</v>
      </c>
      <c r="B37">
        <v>1950</v>
      </c>
      <c r="C37" s="7">
        <v>800875</v>
      </c>
      <c r="D37" s="7">
        <v>647239</v>
      </c>
      <c r="E37" s="7">
        <v>153636</v>
      </c>
      <c r="G37" s="7">
        <v>153636</v>
      </c>
      <c r="I37" s="1">
        <f t="shared" si="0"/>
        <v>19.183518027157795</v>
      </c>
      <c r="J37" s="1">
        <f t="shared" si="1"/>
        <v>19.183518027157795</v>
      </c>
    </row>
    <row r="38" spans="1:10">
      <c r="A38" t="s">
        <v>21</v>
      </c>
      <c r="B38">
        <v>1919</v>
      </c>
      <c r="C38" s="7">
        <v>2889004</v>
      </c>
      <c r="D38" s="7">
        <v>2084155</v>
      </c>
      <c r="E38" s="7">
        <v>804849</v>
      </c>
      <c r="F38" s="7">
        <v>348559</v>
      </c>
      <c r="G38" s="7">
        <v>456290</v>
      </c>
      <c r="I38" s="1">
        <f t="shared" si="0"/>
        <v>27.859047616410361</v>
      </c>
      <c r="J38" s="1">
        <f t="shared" si="1"/>
        <v>15.794024515023171</v>
      </c>
    </row>
    <row r="39" spans="1:10">
      <c r="A39" t="s">
        <v>21</v>
      </c>
      <c r="B39">
        <v>1931</v>
      </c>
      <c r="C39" s="7">
        <v>3962344</v>
      </c>
      <c r="D39" s="7">
        <v>2795023</v>
      </c>
      <c r="E39" s="7">
        <v>1167321</v>
      </c>
      <c r="F39" s="7">
        <v>473963</v>
      </c>
      <c r="G39" s="7">
        <v>693358</v>
      </c>
      <c r="I39" s="1">
        <f t="shared" si="0"/>
        <v>29.460364874932615</v>
      </c>
      <c r="J39" s="1">
        <f t="shared" si="1"/>
        <v>17.498682597977361</v>
      </c>
    </row>
    <row r="40" spans="1:10">
      <c r="A40" t="s">
        <v>21</v>
      </c>
      <c r="B40">
        <v>1943</v>
      </c>
      <c r="C40" s="7">
        <v>4778583</v>
      </c>
      <c r="D40" s="7">
        <v>3286661</v>
      </c>
      <c r="E40" s="7">
        <v>1491922</v>
      </c>
      <c r="F40" s="7">
        <v>593610</v>
      </c>
      <c r="G40" s="7">
        <v>898312</v>
      </c>
      <c r="I40" s="1">
        <f t="shared" si="0"/>
        <v>31.221012588878335</v>
      </c>
      <c r="J40" s="1">
        <f t="shared" si="1"/>
        <v>18.798710831223399</v>
      </c>
    </row>
    <row r="41" spans="1:10">
      <c r="A41" t="s">
        <v>50</v>
      </c>
      <c r="B41">
        <v>1920</v>
      </c>
      <c r="C41" s="7">
        <v>894665</v>
      </c>
      <c r="D41" s="7">
        <v>846570</v>
      </c>
      <c r="E41" s="7">
        <v>48095</v>
      </c>
      <c r="F41" s="7">
        <v>17152</v>
      </c>
      <c r="G41" s="7">
        <v>30943</v>
      </c>
      <c r="I41" s="1">
        <f t="shared" si="0"/>
        <v>5.3757551709299012</v>
      </c>
      <c r="J41" s="1">
        <f t="shared" si="1"/>
        <v>3.4586130003967965</v>
      </c>
    </row>
    <row r="42" spans="1:10">
      <c r="A42" t="s">
        <v>50</v>
      </c>
      <c r="B42">
        <v>1935</v>
      </c>
      <c r="C42" s="7">
        <v>1479417</v>
      </c>
      <c r="D42" s="7">
        <v>1375151</v>
      </c>
      <c r="E42" s="7">
        <v>104266</v>
      </c>
      <c r="F42" s="7">
        <v>34175</v>
      </c>
      <c r="G42" s="7">
        <v>70091</v>
      </c>
      <c r="I42" s="1">
        <f t="shared" si="0"/>
        <v>7.0477762524021283</v>
      </c>
      <c r="J42" s="1">
        <f t="shared" si="1"/>
        <v>4.7377446656351792</v>
      </c>
    </row>
    <row r="43" spans="1:10">
      <c r="A43" t="s">
        <v>50</v>
      </c>
      <c r="B43">
        <v>1950</v>
      </c>
      <c r="C43" s="7">
        <v>2135872</v>
      </c>
      <c r="D43" s="7">
        <v>1897761</v>
      </c>
      <c r="E43" s="7">
        <v>238111</v>
      </c>
      <c r="F43" s="7">
        <v>56558</v>
      </c>
      <c r="G43" s="7">
        <v>181553</v>
      </c>
      <c r="I43" s="1">
        <f t="shared" si="0"/>
        <v>11.148186782728553</v>
      </c>
      <c r="J43" s="1">
        <f t="shared" si="1"/>
        <v>8.5001816588259977</v>
      </c>
    </row>
    <row r="44" spans="1:10">
      <c r="A44" t="s">
        <v>22</v>
      </c>
      <c r="B44">
        <v>1930</v>
      </c>
      <c r="C44" s="7">
        <v>1434361</v>
      </c>
      <c r="D44" s="7">
        <v>1287821</v>
      </c>
      <c r="E44" s="7">
        <v>146540</v>
      </c>
      <c r="F44" s="7">
        <v>57155</v>
      </c>
      <c r="G44" s="7">
        <v>89385</v>
      </c>
      <c r="I44" s="1">
        <f t="shared" si="0"/>
        <v>10.216396011882644</v>
      </c>
      <c r="J44" s="1">
        <f t="shared" si="1"/>
        <v>6.2316948104417227</v>
      </c>
    </row>
    <row r="45" spans="1:10">
      <c r="A45" t="s">
        <v>22</v>
      </c>
      <c r="B45">
        <v>1950</v>
      </c>
      <c r="C45" s="7">
        <v>1855917</v>
      </c>
      <c r="D45" s="7">
        <v>1615562</v>
      </c>
      <c r="E45" s="7">
        <v>240355</v>
      </c>
      <c r="F45" s="7">
        <v>78404</v>
      </c>
      <c r="G45" s="7">
        <v>161951</v>
      </c>
      <c r="I45" s="1">
        <f t="shared" si="0"/>
        <v>12.950740792826403</v>
      </c>
      <c r="J45" s="1">
        <f t="shared" si="1"/>
        <v>8.7261984237441652</v>
      </c>
    </row>
    <row r="46" spans="1:10">
      <c r="A46" t="s">
        <v>28</v>
      </c>
      <c r="B46">
        <v>1920</v>
      </c>
      <c r="C46" s="7">
        <v>638119</v>
      </c>
      <c r="D46" s="7">
        <v>610280</v>
      </c>
      <c r="E46" s="7">
        <v>27839</v>
      </c>
      <c r="G46" s="7">
        <v>27839</v>
      </c>
      <c r="I46" s="1">
        <f t="shared" si="0"/>
        <v>4.3626658977400767</v>
      </c>
      <c r="J46" s="1">
        <f t="shared" si="1"/>
        <v>4.3626658977400767</v>
      </c>
    </row>
    <row r="47" spans="1:10">
      <c r="A47" t="s">
        <v>28</v>
      </c>
      <c r="B47">
        <v>1940</v>
      </c>
      <c r="C47" s="7">
        <v>835686</v>
      </c>
      <c r="D47" s="7">
        <v>773170</v>
      </c>
      <c r="E47" s="7">
        <f>C47-D47</f>
        <v>62516</v>
      </c>
      <c r="G47" s="7">
        <v>62516</v>
      </c>
      <c r="I47" s="1">
        <f t="shared" si="0"/>
        <v>7.4808002048616347</v>
      </c>
      <c r="J47" s="1">
        <f t="shared" si="1"/>
        <v>7.4808002048616347</v>
      </c>
    </row>
    <row r="48" spans="1:10">
      <c r="A48" t="s">
        <v>28</v>
      </c>
      <c r="B48">
        <v>1950</v>
      </c>
      <c r="C48" s="7">
        <v>1057023</v>
      </c>
      <c r="D48" s="7">
        <v>947671</v>
      </c>
      <c r="E48" s="7">
        <v>109352</v>
      </c>
      <c r="G48" s="7">
        <v>109352</v>
      </c>
      <c r="I48" s="1">
        <f t="shared" si="0"/>
        <v>10.345281039296212</v>
      </c>
      <c r="J48" s="1">
        <f t="shared" si="1"/>
        <v>10.345281039296212</v>
      </c>
    </row>
    <row r="49" spans="1:10">
      <c r="A49" t="s">
        <v>29</v>
      </c>
      <c r="B49">
        <v>1930</v>
      </c>
      <c r="C49" s="7">
        <v>428021</v>
      </c>
      <c r="D49" s="7">
        <v>323847</v>
      </c>
      <c r="E49" s="7">
        <v>104174</v>
      </c>
      <c r="F49" s="7">
        <v>29765</v>
      </c>
      <c r="G49" s="7">
        <v>74409</v>
      </c>
      <c r="I49" s="1">
        <f t="shared" si="0"/>
        <v>24.338525446181379</v>
      </c>
      <c r="J49" s="1">
        <f t="shared" si="1"/>
        <v>17.384427399590209</v>
      </c>
    </row>
    <row r="50" spans="1:10">
      <c r="A50" t="s">
        <v>29</v>
      </c>
      <c r="B50">
        <v>1940</v>
      </c>
      <c r="C50" s="7">
        <v>566589</v>
      </c>
      <c r="D50" s="7">
        <v>410303</v>
      </c>
      <c r="E50" s="7">
        <v>156286</v>
      </c>
      <c r="F50" s="7">
        <v>44393</v>
      </c>
      <c r="G50" s="7">
        <v>111893</v>
      </c>
      <c r="I50" s="1">
        <f t="shared" si="0"/>
        <v>27.583662937332001</v>
      </c>
      <c r="J50" s="1">
        <f t="shared" si="1"/>
        <v>19.748530239732858</v>
      </c>
    </row>
    <row r="51" spans="1:10">
      <c r="A51" t="s">
        <v>29</v>
      </c>
      <c r="B51">
        <v>1950</v>
      </c>
      <c r="C51" s="7">
        <v>756631</v>
      </c>
      <c r="D51" s="7">
        <v>576553</v>
      </c>
      <c r="E51" s="7">
        <v>180078</v>
      </c>
      <c r="F51" s="7">
        <v>52204</v>
      </c>
      <c r="G51" s="7">
        <v>127874</v>
      </c>
      <c r="I51" s="1">
        <f t="shared" si="0"/>
        <v>23.799976474662021</v>
      </c>
      <c r="J51" s="1">
        <f t="shared" si="1"/>
        <v>16.900444205960369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9C8C-E4AF-49FE-9EFA-970A258833D5}">
  <dimension ref="A1:F17"/>
  <sheetViews>
    <sheetView workbookViewId="0">
      <selection activeCell="D12" sqref="D12"/>
    </sheetView>
  </sheetViews>
  <sheetFormatPr defaultRowHeight="14.4"/>
  <cols>
    <col min="1" max="1" width="23" customWidth="1"/>
  </cols>
  <sheetData>
    <row r="1" spans="1:6">
      <c r="A1" s="2" t="s">
        <v>74</v>
      </c>
    </row>
    <row r="2" spans="1:6">
      <c r="A2" t="s">
        <v>73</v>
      </c>
    </row>
    <row r="3" spans="1:6">
      <c r="A3" t="s">
        <v>72</v>
      </c>
    </row>
    <row r="4" spans="1:6">
      <c r="A4" t="s">
        <v>75</v>
      </c>
    </row>
    <row r="6" spans="1:6">
      <c r="A6" s="9" t="s">
        <v>38</v>
      </c>
      <c r="B6" s="9">
        <v>1920</v>
      </c>
      <c r="C6" s="9">
        <v>1930</v>
      </c>
      <c r="D6" s="9">
        <v>1940</v>
      </c>
      <c r="E6" s="9">
        <v>1950</v>
      </c>
      <c r="F6" s="9">
        <v>1960</v>
      </c>
    </row>
    <row r="7" spans="1:6">
      <c r="A7" t="s">
        <v>64</v>
      </c>
      <c r="B7">
        <v>10</v>
      </c>
      <c r="C7">
        <v>13</v>
      </c>
      <c r="D7">
        <v>24</v>
      </c>
      <c r="E7">
        <v>28</v>
      </c>
      <c r="F7">
        <v>36</v>
      </c>
    </row>
    <row r="8" spans="1:6">
      <c r="A8" t="s">
        <v>6</v>
      </c>
      <c r="B8">
        <v>37</v>
      </c>
      <c r="C8">
        <v>38</v>
      </c>
      <c r="D8">
        <v>41</v>
      </c>
      <c r="E8">
        <v>51</v>
      </c>
      <c r="F8">
        <v>55</v>
      </c>
    </row>
    <row r="9" spans="1:6">
      <c r="A9" t="s">
        <v>8</v>
      </c>
      <c r="B9">
        <v>13</v>
      </c>
      <c r="C9">
        <v>14</v>
      </c>
      <c r="D9">
        <v>16</v>
      </c>
      <c r="E9">
        <v>21</v>
      </c>
      <c r="F9">
        <v>29</v>
      </c>
    </row>
    <row r="10" spans="1:6">
      <c r="A10" t="s">
        <v>18</v>
      </c>
      <c r="B10">
        <v>11</v>
      </c>
      <c r="C10">
        <v>13</v>
      </c>
      <c r="D10">
        <v>19</v>
      </c>
      <c r="E10">
        <v>33</v>
      </c>
      <c r="F10">
        <v>45</v>
      </c>
    </row>
    <row r="11" spans="1:6">
      <c r="A11" t="s">
        <v>10</v>
      </c>
      <c r="B11">
        <v>7</v>
      </c>
      <c r="C11">
        <v>10</v>
      </c>
      <c r="D11">
        <v>14</v>
      </c>
      <c r="E11">
        <v>21</v>
      </c>
      <c r="F11">
        <v>31</v>
      </c>
    </row>
    <row r="12" spans="1:6">
      <c r="A12" t="s">
        <v>21</v>
      </c>
      <c r="B12">
        <v>25</v>
      </c>
      <c r="C12">
        <v>27</v>
      </c>
      <c r="D12">
        <v>30</v>
      </c>
      <c r="E12">
        <v>34</v>
      </c>
      <c r="F12">
        <v>40</v>
      </c>
    </row>
    <row r="13" spans="1:6">
      <c r="A13" t="s">
        <v>27</v>
      </c>
      <c r="B13">
        <v>11</v>
      </c>
      <c r="C13">
        <v>15</v>
      </c>
      <c r="D13">
        <v>18</v>
      </c>
      <c r="E13">
        <v>24</v>
      </c>
      <c r="F13">
        <v>35</v>
      </c>
    </row>
    <row r="14" spans="1:6">
      <c r="A14" t="s">
        <v>15</v>
      </c>
      <c r="B14">
        <v>6</v>
      </c>
      <c r="C14">
        <v>10</v>
      </c>
      <c r="D14">
        <v>13</v>
      </c>
      <c r="E14">
        <v>18</v>
      </c>
      <c r="F14">
        <v>26</v>
      </c>
    </row>
    <row r="15" spans="1:6">
      <c r="A15" t="s">
        <v>17</v>
      </c>
      <c r="B15">
        <v>30</v>
      </c>
      <c r="C15">
        <v>35</v>
      </c>
      <c r="D15">
        <v>38</v>
      </c>
      <c r="E15">
        <v>43</v>
      </c>
      <c r="F15">
        <v>56</v>
      </c>
    </row>
    <row r="16" spans="1:6">
      <c r="A16" t="s">
        <v>9</v>
      </c>
      <c r="B16">
        <v>28</v>
      </c>
      <c r="C16">
        <v>32</v>
      </c>
      <c r="D16">
        <v>37</v>
      </c>
      <c r="E16">
        <v>42</v>
      </c>
      <c r="F16">
        <v>53</v>
      </c>
    </row>
    <row r="17" spans="1:6">
      <c r="A17" t="s">
        <v>11</v>
      </c>
      <c r="B17">
        <v>10</v>
      </c>
      <c r="C17">
        <v>13</v>
      </c>
      <c r="D17">
        <v>16</v>
      </c>
      <c r="E17">
        <v>18</v>
      </c>
      <c r="F17">
        <v>25</v>
      </c>
    </row>
  </sheetData>
  <sortState xmlns:xlrd2="http://schemas.microsoft.com/office/spreadsheetml/2017/richdata2" ref="A8:F17">
    <sortCondition ref="A8:A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7944-A9ED-4A44-B000-67DEAE444E0B}">
  <dimension ref="A1:D70"/>
  <sheetViews>
    <sheetView topLeftCell="A4" workbookViewId="0">
      <selection activeCell="A9" sqref="A9:D70"/>
    </sheetView>
  </sheetViews>
  <sheetFormatPr defaultRowHeight="14.4"/>
  <cols>
    <col min="1" max="1" width="32" customWidth="1"/>
  </cols>
  <sheetData>
    <row r="1" spans="1:4">
      <c r="A1" s="2" t="s">
        <v>83</v>
      </c>
    </row>
    <row r="2" spans="1:4">
      <c r="A2" t="s">
        <v>77</v>
      </c>
    </row>
    <row r="3" spans="1:4">
      <c r="A3" t="s">
        <v>78</v>
      </c>
    </row>
    <row r="4" spans="1:4">
      <c r="A4" t="s">
        <v>79</v>
      </c>
    </row>
    <row r="5" spans="1:4">
      <c r="A5" t="s">
        <v>80</v>
      </c>
    </row>
    <row r="6" spans="1:4">
      <c r="A6" t="s">
        <v>81</v>
      </c>
    </row>
    <row r="7" spans="1:4">
      <c r="A7" t="s">
        <v>82</v>
      </c>
    </row>
    <row r="9" spans="1:4">
      <c r="A9" s="9" t="s">
        <v>38</v>
      </c>
      <c r="B9" s="9" t="s">
        <v>42</v>
      </c>
      <c r="C9" s="9" t="s">
        <v>61</v>
      </c>
      <c r="D9" s="9" t="s">
        <v>54</v>
      </c>
    </row>
    <row r="10" spans="1:4">
      <c r="A10" t="s">
        <v>6</v>
      </c>
      <c r="B10">
        <v>1947</v>
      </c>
      <c r="C10" s="1">
        <v>48.3</v>
      </c>
      <c r="D10" s="1">
        <v>36.799999999999997</v>
      </c>
    </row>
    <row r="11" spans="1:4">
      <c r="A11" t="s">
        <v>6</v>
      </c>
      <c r="B11">
        <v>1960</v>
      </c>
      <c r="C11" s="1">
        <v>57.5</v>
      </c>
      <c r="D11" s="1">
        <v>45.5</v>
      </c>
    </row>
    <row r="12" spans="1:4">
      <c r="A12" t="s">
        <v>7</v>
      </c>
      <c r="B12">
        <v>1950</v>
      </c>
      <c r="C12" s="1">
        <v>19.600000000000001</v>
      </c>
      <c r="D12" s="1">
        <v>10.6</v>
      </c>
    </row>
    <row r="13" spans="1:4">
      <c r="A13" t="s">
        <v>8</v>
      </c>
      <c r="B13">
        <v>1920</v>
      </c>
      <c r="C13" s="1">
        <v>11.3</v>
      </c>
      <c r="D13" s="1">
        <v>8.6999999999999993</v>
      </c>
    </row>
    <row r="14" spans="1:4">
      <c r="A14" t="s">
        <v>8</v>
      </c>
      <c r="B14">
        <v>1940</v>
      </c>
      <c r="C14" s="1">
        <v>15.3</v>
      </c>
      <c r="D14" s="1">
        <v>10.7</v>
      </c>
    </row>
    <row r="15" spans="1:4">
      <c r="A15" t="s">
        <v>8</v>
      </c>
      <c r="B15">
        <v>1950</v>
      </c>
      <c r="C15" s="1">
        <v>20.2</v>
      </c>
      <c r="D15" s="1">
        <v>13.2</v>
      </c>
    </row>
    <row r="16" spans="1:4">
      <c r="A16" t="s">
        <v>8</v>
      </c>
      <c r="B16">
        <v>1960</v>
      </c>
      <c r="C16" s="1">
        <v>28.1</v>
      </c>
      <c r="D16" s="1">
        <v>18.8</v>
      </c>
    </row>
    <row r="17" spans="1:4">
      <c r="A17" t="s">
        <v>18</v>
      </c>
      <c r="B17">
        <v>1936</v>
      </c>
      <c r="C17" s="1">
        <v>16.2</v>
      </c>
      <c r="D17" s="1">
        <v>10.3</v>
      </c>
    </row>
    <row r="18" spans="1:4">
      <c r="A18" t="s">
        <v>18</v>
      </c>
      <c r="B18">
        <v>1941</v>
      </c>
      <c r="C18" s="1">
        <v>18.100000000000001</v>
      </c>
      <c r="D18" s="1">
        <v>11.8</v>
      </c>
    </row>
    <row r="19" spans="1:4">
      <c r="A19" t="s">
        <v>18</v>
      </c>
      <c r="B19">
        <v>1950</v>
      </c>
      <c r="C19" s="1">
        <v>31.9</v>
      </c>
      <c r="D19" s="1">
        <v>20.3</v>
      </c>
    </row>
    <row r="20" spans="1:4">
      <c r="A20" t="s">
        <v>18</v>
      </c>
      <c r="B20">
        <v>1961</v>
      </c>
      <c r="C20" s="1">
        <v>47.2</v>
      </c>
      <c r="D20" s="1">
        <v>29.9</v>
      </c>
    </row>
    <row r="21" spans="1:4">
      <c r="A21" t="s">
        <v>24</v>
      </c>
      <c r="B21">
        <v>1950</v>
      </c>
      <c r="C21" s="1">
        <v>5.0999999999999996</v>
      </c>
      <c r="D21" s="1">
        <v>4.3</v>
      </c>
    </row>
    <row r="22" spans="1:4">
      <c r="A22" t="s">
        <v>23</v>
      </c>
      <c r="B22">
        <v>1950</v>
      </c>
      <c r="C22" s="1">
        <v>11.2</v>
      </c>
      <c r="D22" s="1">
        <v>10.199999999999999</v>
      </c>
    </row>
    <row r="23" spans="1:4">
      <c r="A23" t="s">
        <v>25</v>
      </c>
      <c r="B23">
        <v>1940</v>
      </c>
      <c r="C23" s="1">
        <v>6.1</v>
      </c>
      <c r="D23" s="1"/>
    </row>
    <row r="24" spans="1:4">
      <c r="A24" t="s">
        <v>25</v>
      </c>
      <c r="B24">
        <v>1950</v>
      </c>
      <c r="C24" s="1">
        <v>6.9</v>
      </c>
      <c r="D24" s="1"/>
    </row>
    <row r="25" spans="1:4">
      <c r="A25" t="s">
        <v>25</v>
      </c>
      <c r="B25">
        <v>1961</v>
      </c>
      <c r="C25" s="1">
        <v>11.6</v>
      </c>
      <c r="D25" s="1">
        <v>7.1</v>
      </c>
    </row>
    <row r="26" spans="1:4">
      <c r="A26" t="s">
        <v>50</v>
      </c>
      <c r="B26">
        <v>1920</v>
      </c>
      <c r="C26" s="1">
        <v>3.5</v>
      </c>
      <c r="D26" s="1"/>
    </row>
    <row r="27" spans="1:4">
      <c r="A27" t="s">
        <v>50</v>
      </c>
      <c r="B27">
        <v>1935</v>
      </c>
      <c r="C27" s="1">
        <v>7.1</v>
      </c>
      <c r="D27" s="1"/>
    </row>
    <row r="28" spans="1:4">
      <c r="A28" t="s">
        <v>50</v>
      </c>
      <c r="B28">
        <v>1950</v>
      </c>
      <c r="C28" s="1">
        <v>11.1</v>
      </c>
      <c r="D28" s="1">
        <v>8.5</v>
      </c>
    </row>
    <row r="29" spans="1:4">
      <c r="A29" t="s">
        <v>50</v>
      </c>
      <c r="B29">
        <v>1960</v>
      </c>
      <c r="C29" s="1">
        <v>18.7</v>
      </c>
      <c r="D29" s="1">
        <v>12.2</v>
      </c>
    </row>
    <row r="30" spans="1:4">
      <c r="A30" t="s">
        <v>10</v>
      </c>
      <c r="B30">
        <v>1938</v>
      </c>
      <c r="C30" s="1">
        <v>12.9</v>
      </c>
      <c r="D30" s="1">
        <v>7.1</v>
      </c>
    </row>
    <row r="31" spans="1:4">
      <c r="A31" t="s">
        <v>10</v>
      </c>
      <c r="B31">
        <v>1951</v>
      </c>
      <c r="C31" s="1">
        <v>22.2</v>
      </c>
      <c r="D31" s="1">
        <v>14.7</v>
      </c>
    </row>
    <row r="32" spans="1:4">
      <c r="A32" t="s">
        <v>20</v>
      </c>
      <c r="B32">
        <v>1927</v>
      </c>
      <c r="C32" s="1">
        <v>19.3</v>
      </c>
      <c r="D32" s="1"/>
    </row>
    <row r="33" spans="1:4">
      <c r="A33" t="s">
        <v>20</v>
      </c>
      <c r="B33">
        <v>1950</v>
      </c>
      <c r="C33" s="1">
        <v>22.3</v>
      </c>
      <c r="D33" s="1">
        <v>22.3</v>
      </c>
    </row>
    <row r="34" spans="1:4">
      <c r="A34" t="s">
        <v>20</v>
      </c>
      <c r="B34">
        <v>1963</v>
      </c>
      <c r="C34" s="1">
        <v>24</v>
      </c>
      <c r="D34" s="1">
        <v>24</v>
      </c>
    </row>
    <row r="35" spans="1:4">
      <c r="A35" t="s">
        <v>21</v>
      </c>
      <c r="B35">
        <v>1919</v>
      </c>
      <c r="C35" s="1">
        <v>24.3</v>
      </c>
      <c r="D35" s="1">
        <v>14.7</v>
      </c>
    </row>
    <row r="36" spans="1:4">
      <c r="A36" t="s">
        <v>21</v>
      </c>
      <c r="B36">
        <v>1931</v>
      </c>
      <c r="C36" s="1">
        <v>27.6</v>
      </c>
      <c r="D36" s="1">
        <v>18.5</v>
      </c>
    </row>
    <row r="37" spans="1:4">
      <c r="A37" t="s">
        <v>21</v>
      </c>
      <c r="B37">
        <v>1943</v>
      </c>
      <c r="C37" s="1">
        <v>30.7</v>
      </c>
      <c r="D37" s="1">
        <v>19.899999999999999</v>
      </c>
    </row>
    <row r="38" spans="1:4">
      <c r="A38" t="s">
        <v>21</v>
      </c>
      <c r="B38">
        <v>1953</v>
      </c>
      <c r="C38" s="1">
        <v>35.5</v>
      </c>
      <c r="D38" s="1">
        <v>22.9</v>
      </c>
    </row>
    <row r="39" spans="1:4">
      <c r="A39" t="s">
        <v>27</v>
      </c>
      <c r="B39">
        <v>1940</v>
      </c>
      <c r="C39" s="1">
        <v>18.100000000000001</v>
      </c>
      <c r="D39" s="1">
        <v>10.199999999999999</v>
      </c>
    </row>
    <row r="40" spans="1:4">
      <c r="A40" t="s">
        <v>27</v>
      </c>
      <c r="B40">
        <v>1950</v>
      </c>
      <c r="C40" s="1">
        <v>24.1</v>
      </c>
      <c r="D40" s="1">
        <v>15.1</v>
      </c>
    </row>
    <row r="41" spans="1:4">
      <c r="A41" t="s">
        <v>27</v>
      </c>
      <c r="B41">
        <v>1960</v>
      </c>
      <c r="C41" s="1">
        <v>29.6</v>
      </c>
      <c r="D41" s="1">
        <v>18.600000000000001</v>
      </c>
    </row>
    <row r="42" spans="1:4">
      <c r="A42" t="s">
        <v>28</v>
      </c>
      <c r="B42">
        <v>1950</v>
      </c>
      <c r="C42" s="1">
        <v>15.2</v>
      </c>
      <c r="D42" s="1">
        <v>10.3</v>
      </c>
    </row>
    <row r="43" spans="1:4">
      <c r="A43" t="s">
        <v>28</v>
      </c>
      <c r="B43">
        <v>1963</v>
      </c>
      <c r="C43" s="1">
        <v>23</v>
      </c>
      <c r="D43" s="1">
        <v>15.3</v>
      </c>
    </row>
    <row r="44" spans="1:4">
      <c r="A44" t="s">
        <v>29</v>
      </c>
      <c r="B44">
        <v>1930</v>
      </c>
      <c r="C44" s="1">
        <v>22.9</v>
      </c>
      <c r="D44" s="1"/>
    </row>
    <row r="45" spans="1:4">
      <c r="A45" t="s">
        <v>29</v>
      </c>
      <c r="B45">
        <v>1940</v>
      </c>
      <c r="C45" s="1">
        <v>26.6</v>
      </c>
      <c r="D45" s="1">
        <v>19.399999999999999</v>
      </c>
    </row>
    <row r="46" spans="1:4">
      <c r="A46" t="s">
        <v>29</v>
      </c>
      <c r="B46">
        <v>1950</v>
      </c>
      <c r="C46" s="1">
        <v>26.8</v>
      </c>
      <c r="D46" s="1">
        <v>20.399999999999999</v>
      </c>
    </row>
    <row r="47" spans="1:4">
      <c r="A47" t="s">
        <v>29</v>
      </c>
      <c r="B47">
        <v>1960</v>
      </c>
      <c r="C47" s="1">
        <v>33.1</v>
      </c>
      <c r="D47" s="1">
        <v>25.4</v>
      </c>
    </row>
    <row r="48" spans="1:4">
      <c r="A48" t="s">
        <v>15</v>
      </c>
      <c r="B48">
        <v>1940</v>
      </c>
      <c r="C48" s="1">
        <v>14.2</v>
      </c>
      <c r="D48" s="1">
        <v>8.4</v>
      </c>
    </row>
    <row r="49" spans="1:4">
      <c r="A49" t="s">
        <v>15</v>
      </c>
      <c r="B49">
        <v>1961</v>
      </c>
      <c r="C49" s="1">
        <v>28.9</v>
      </c>
      <c r="D49" s="1">
        <v>18.399999999999999</v>
      </c>
    </row>
    <row r="50" spans="1:4">
      <c r="A50" t="s">
        <v>76</v>
      </c>
      <c r="B50">
        <v>1920</v>
      </c>
      <c r="C50" s="1">
        <v>9.1999999999999993</v>
      </c>
      <c r="D50" s="1"/>
    </row>
    <row r="51" spans="1:4">
      <c r="A51" t="s">
        <v>76</v>
      </c>
      <c r="B51">
        <v>1930</v>
      </c>
      <c r="C51" s="1">
        <v>14.1</v>
      </c>
      <c r="D51" s="1">
        <v>8.3000000000000007</v>
      </c>
    </row>
    <row r="52" spans="1:4">
      <c r="A52" t="s">
        <v>76</v>
      </c>
      <c r="B52">
        <v>1940</v>
      </c>
      <c r="C52" s="1">
        <v>18.8</v>
      </c>
      <c r="D52" s="1">
        <v>10.1</v>
      </c>
    </row>
    <row r="53" spans="1:4">
      <c r="A53" t="s">
        <v>76</v>
      </c>
      <c r="B53">
        <v>1950</v>
      </c>
      <c r="C53" s="1">
        <v>27</v>
      </c>
      <c r="D53" s="1">
        <v>16.100000000000001</v>
      </c>
    </row>
    <row r="54" spans="1:4">
      <c r="A54" t="s">
        <v>76</v>
      </c>
      <c r="B54">
        <v>1960</v>
      </c>
      <c r="C54" s="1">
        <v>28</v>
      </c>
      <c r="D54" s="1">
        <v>23.3</v>
      </c>
    </row>
    <row r="55" spans="1:4">
      <c r="A55" t="s">
        <v>22</v>
      </c>
      <c r="B55">
        <v>1930</v>
      </c>
      <c r="C55" s="1">
        <v>9</v>
      </c>
      <c r="D55" s="1"/>
    </row>
    <row r="56" spans="1:4">
      <c r="A56" t="s">
        <v>22</v>
      </c>
      <c r="B56">
        <v>1950</v>
      </c>
      <c r="C56" s="1">
        <v>12.9</v>
      </c>
      <c r="D56" s="1">
        <v>8.6999999999999993</v>
      </c>
    </row>
    <row r="57" spans="1:4">
      <c r="A57" t="s">
        <v>22</v>
      </c>
      <c r="B57">
        <v>1961</v>
      </c>
      <c r="C57" s="1">
        <v>17.7</v>
      </c>
      <c r="D57" s="1">
        <v>10.199999999999999</v>
      </c>
    </row>
    <row r="58" spans="1:4">
      <c r="A58" t="s">
        <v>17</v>
      </c>
      <c r="B58">
        <v>1963</v>
      </c>
      <c r="C58" s="1"/>
      <c r="D58" s="1"/>
    </row>
    <row r="59" spans="1:4">
      <c r="A59" t="s">
        <v>9</v>
      </c>
      <c r="B59">
        <v>1920</v>
      </c>
      <c r="C59" s="1">
        <v>28</v>
      </c>
      <c r="D59" s="1">
        <v>18.399999999999999</v>
      </c>
    </row>
    <row r="60" spans="1:4">
      <c r="A60" t="s">
        <v>9</v>
      </c>
      <c r="B60">
        <v>1930</v>
      </c>
      <c r="C60" s="1">
        <v>32.5</v>
      </c>
      <c r="D60" s="1">
        <v>20.7</v>
      </c>
    </row>
    <row r="61" spans="1:4">
      <c r="A61" t="s">
        <v>9</v>
      </c>
      <c r="B61">
        <v>1940</v>
      </c>
      <c r="C61" s="1">
        <v>36.4</v>
      </c>
      <c r="D61" s="1">
        <v>23.1</v>
      </c>
    </row>
    <row r="62" spans="1:4">
      <c r="A62" t="s">
        <v>9</v>
      </c>
      <c r="B62">
        <v>1952</v>
      </c>
      <c r="C62" s="1">
        <v>42.8</v>
      </c>
      <c r="D62" s="1">
        <v>28.5</v>
      </c>
    </row>
    <row r="63" spans="1:4">
      <c r="A63" t="s">
        <v>9</v>
      </c>
      <c r="B63">
        <v>1960</v>
      </c>
      <c r="C63" s="1">
        <v>54.7</v>
      </c>
      <c r="D63" s="1">
        <v>33.299999999999997</v>
      </c>
    </row>
    <row r="64" spans="1:4">
      <c r="A64" t="s">
        <v>11</v>
      </c>
      <c r="B64">
        <v>1950</v>
      </c>
      <c r="C64" s="1">
        <v>17.8</v>
      </c>
      <c r="D64" s="1">
        <v>14.6</v>
      </c>
    </row>
    <row r="65" spans="1:4">
      <c r="A65" t="s">
        <v>11</v>
      </c>
      <c r="B65">
        <v>1962</v>
      </c>
      <c r="C65" s="1">
        <v>26.9</v>
      </c>
      <c r="D65" s="1">
        <v>18.899999999999999</v>
      </c>
    </row>
    <row r="66" spans="1:4">
      <c r="A66" t="s">
        <v>11</v>
      </c>
      <c r="B66">
        <v>1950</v>
      </c>
      <c r="C66" s="1">
        <v>16.5</v>
      </c>
      <c r="D66" s="1">
        <v>16.5</v>
      </c>
    </row>
    <row r="67" spans="1:4">
      <c r="A67" t="s">
        <v>11</v>
      </c>
      <c r="B67">
        <v>1962</v>
      </c>
      <c r="C67" s="1"/>
      <c r="D67" s="1">
        <v>16.8</v>
      </c>
    </row>
    <row r="68" spans="1:4">
      <c r="A68" t="s">
        <v>26</v>
      </c>
      <c r="B68">
        <v>1921</v>
      </c>
      <c r="C68" s="1">
        <v>10.3</v>
      </c>
      <c r="D68" s="1"/>
    </row>
    <row r="69" spans="1:4">
      <c r="A69" t="s">
        <v>26</v>
      </c>
      <c r="B69">
        <v>1943</v>
      </c>
      <c r="C69" s="1">
        <v>16.3</v>
      </c>
      <c r="D69" s="1">
        <v>16.3</v>
      </c>
    </row>
    <row r="70" spans="1:4">
      <c r="A70" t="s">
        <v>26</v>
      </c>
      <c r="B70">
        <v>1960</v>
      </c>
      <c r="C70" s="1">
        <v>24.8</v>
      </c>
      <c r="D70" s="1">
        <v>23.4</v>
      </c>
    </row>
  </sheetData>
  <sortState xmlns:xlrd2="http://schemas.microsoft.com/office/spreadsheetml/2017/richdata2" ref="A10:D70">
    <sortCondition ref="A10:A7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7AC6-D071-4E3A-BD12-A1ED8E64132A}">
  <dimension ref="A1:C57"/>
  <sheetViews>
    <sheetView workbookViewId="0">
      <selection activeCell="A6" sqref="A6:C57"/>
    </sheetView>
  </sheetViews>
  <sheetFormatPr defaultRowHeight="14.4"/>
  <cols>
    <col min="1" max="1" width="31.3671875" customWidth="1"/>
  </cols>
  <sheetData>
    <row r="1" spans="1:3">
      <c r="A1" s="11" t="s">
        <v>85</v>
      </c>
    </row>
    <row r="2" spans="1:3">
      <c r="A2" t="s">
        <v>86</v>
      </c>
    </row>
    <row r="3" spans="1:3">
      <c r="A3" t="s">
        <v>90</v>
      </c>
    </row>
    <row r="5" spans="1:3">
      <c r="A5" s="14" t="s">
        <v>87</v>
      </c>
      <c r="B5" s="14" t="s">
        <v>42</v>
      </c>
      <c r="C5" s="14" t="s">
        <v>88</v>
      </c>
    </row>
    <row r="6" spans="1:3">
      <c r="A6" t="s">
        <v>6</v>
      </c>
      <c r="B6">
        <v>1895</v>
      </c>
      <c r="C6" s="1">
        <v>37.4</v>
      </c>
    </row>
    <row r="7" spans="1:3">
      <c r="A7" t="s">
        <v>6</v>
      </c>
      <c r="B7">
        <v>1914</v>
      </c>
      <c r="C7" s="1">
        <v>52.7</v>
      </c>
    </row>
    <row r="8" spans="1:3">
      <c r="A8" t="s">
        <v>6</v>
      </c>
      <c r="B8">
        <v>1947</v>
      </c>
      <c r="C8" s="1">
        <v>62.5</v>
      </c>
    </row>
    <row r="9" spans="1:3">
      <c r="A9" t="s">
        <v>32</v>
      </c>
      <c r="B9">
        <v>1946</v>
      </c>
      <c r="C9" s="1">
        <v>39.6</v>
      </c>
    </row>
    <row r="10" spans="1:3">
      <c r="A10" t="s">
        <v>89</v>
      </c>
      <c r="B10">
        <v>1939</v>
      </c>
      <c r="C10" s="1">
        <v>13.9</v>
      </c>
    </row>
    <row r="11" spans="1:3">
      <c r="A11" t="s">
        <v>7</v>
      </c>
      <c r="B11">
        <v>1900</v>
      </c>
      <c r="C11" s="1">
        <v>26.9</v>
      </c>
    </row>
    <row r="12" spans="1:3">
      <c r="A12" t="s">
        <v>7</v>
      </c>
      <c r="B12">
        <v>1950</v>
      </c>
      <c r="C12" s="1">
        <v>33.6</v>
      </c>
    </row>
    <row r="13" spans="1:3">
      <c r="A13" t="s">
        <v>8</v>
      </c>
      <c r="B13">
        <v>1940</v>
      </c>
      <c r="C13" s="1">
        <v>31.2</v>
      </c>
    </row>
    <row r="14" spans="1:3">
      <c r="A14" t="s">
        <v>18</v>
      </c>
      <c r="B14">
        <v>1936</v>
      </c>
      <c r="C14" s="1">
        <v>35</v>
      </c>
    </row>
    <row r="15" spans="1:3">
      <c r="A15" t="s">
        <v>18</v>
      </c>
      <c r="B15">
        <v>1941</v>
      </c>
      <c r="C15" s="1">
        <v>39</v>
      </c>
    </row>
    <row r="16" spans="1:3">
      <c r="A16" t="s">
        <v>18</v>
      </c>
      <c r="B16">
        <v>1950</v>
      </c>
      <c r="C16" s="1">
        <v>49.8</v>
      </c>
    </row>
    <row r="17" spans="1:3">
      <c r="A17" t="s">
        <v>24</v>
      </c>
      <c r="B17">
        <v>1950</v>
      </c>
      <c r="C17" s="1">
        <v>12.5</v>
      </c>
    </row>
    <row r="18" spans="1:3">
      <c r="A18" t="s">
        <v>23</v>
      </c>
      <c r="B18">
        <v>1921</v>
      </c>
      <c r="C18" s="1">
        <v>26.6</v>
      </c>
    </row>
    <row r="19" spans="1:3">
      <c r="A19" t="s">
        <v>23</v>
      </c>
      <c r="B19">
        <v>1940</v>
      </c>
      <c r="C19" s="1">
        <v>26.7</v>
      </c>
    </row>
    <row r="20" spans="1:3">
      <c r="A20" t="s">
        <v>23</v>
      </c>
      <c r="B20">
        <v>1950</v>
      </c>
      <c r="C20" s="1">
        <v>31.6</v>
      </c>
    </row>
    <row r="21" spans="1:3">
      <c r="A21" t="s">
        <v>25</v>
      </c>
      <c r="B21">
        <v>1945</v>
      </c>
      <c r="C21" s="1">
        <v>29</v>
      </c>
    </row>
    <row r="22" spans="1:3">
      <c r="A22" t="s">
        <v>25</v>
      </c>
      <c r="B22">
        <v>1950</v>
      </c>
      <c r="C22" s="1">
        <v>31</v>
      </c>
    </row>
    <row r="23" spans="1:3">
      <c r="A23" t="s">
        <v>50</v>
      </c>
      <c r="B23">
        <v>1920</v>
      </c>
      <c r="C23" s="1">
        <v>16.100000000000001</v>
      </c>
    </row>
    <row r="24" spans="1:3">
      <c r="A24" t="s">
        <v>50</v>
      </c>
      <c r="B24">
        <v>1935</v>
      </c>
      <c r="C24" s="1">
        <v>18</v>
      </c>
    </row>
    <row r="25" spans="1:3">
      <c r="A25" t="s">
        <v>50</v>
      </c>
      <c r="B25">
        <v>1950</v>
      </c>
      <c r="C25" s="1">
        <v>23.8</v>
      </c>
    </row>
    <row r="26" spans="1:3">
      <c r="A26" t="s">
        <v>10</v>
      </c>
      <c r="B26">
        <v>1938</v>
      </c>
      <c r="C26" s="1">
        <v>29.1</v>
      </c>
    </row>
    <row r="27" spans="1:3">
      <c r="A27" t="s">
        <v>20</v>
      </c>
      <c r="B27">
        <v>1950</v>
      </c>
      <c r="C27" s="1">
        <v>33.5</v>
      </c>
    </row>
    <row r="28" spans="1:3">
      <c r="A28" t="s">
        <v>21</v>
      </c>
      <c r="B28">
        <v>1943</v>
      </c>
      <c r="C28" s="1">
        <v>54.6</v>
      </c>
    </row>
    <row r="29" spans="1:3">
      <c r="A29" t="s">
        <v>27</v>
      </c>
      <c r="B29">
        <v>1930</v>
      </c>
      <c r="C29" s="1">
        <v>33.5</v>
      </c>
    </row>
    <row r="30" spans="1:3">
      <c r="A30" t="s">
        <v>27</v>
      </c>
      <c r="B30">
        <v>1940</v>
      </c>
      <c r="C30" s="1">
        <v>35.1</v>
      </c>
    </row>
    <row r="31" spans="1:3">
      <c r="A31" t="s">
        <v>28</v>
      </c>
      <c r="B31">
        <v>1906</v>
      </c>
      <c r="C31" s="1">
        <v>33</v>
      </c>
    </row>
    <row r="32" spans="1:3">
      <c r="A32" t="s">
        <v>28</v>
      </c>
      <c r="B32">
        <v>1920</v>
      </c>
      <c r="C32" s="1">
        <v>34.200000000000003</v>
      </c>
    </row>
    <row r="33" spans="1:3">
      <c r="A33" t="s">
        <v>28</v>
      </c>
      <c r="B33">
        <v>1940</v>
      </c>
      <c r="C33" s="1">
        <v>37.200000000000003</v>
      </c>
    </row>
    <row r="34" spans="1:3">
      <c r="A34" t="s">
        <v>28</v>
      </c>
      <c r="B34">
        <v>1950</v>
      </c>
      <c r="C34" s="1">
        <v>34.6</v>
      </c>
    </row>
    <row r="35" spans="1:3">
      <c r="A35" t="s">
        <v>29</v>
      </c>
      <c r="B35">
        <v>1930</v>
      </c>
      <c r="C35" s="1">
        <v>30.1</v>
      </c>
    </row>
    <row r="36" spans="1:3">
      <c r="A36" t="s">
        <v>29</v>
      </c>
      <c r="B36">
        <v>1940</v>
      </c>
      <c r="C36" s="1">
        <v>33.799999999999997</v>
      </c>
    </row>
    <row r="37" spans="1:3">
      <c r="A37" t="s">
        <v>29</v>
      </c>
      <c r="B37">
        <v>1950</v>
      </c>
      <c r="C37" s="1">
        <v>35.9</v>
      </c>
    </row>
    <row r="38" spans="1:3">
      <c r="A38" t="s">
        <v>14</v>
      </c>
      <c r="B38">
        <v>1950</v>
      </c>
      <c r="C38" s="1">
        <v>35.9</v>
      </c>
    </row>
    <row r="39" spans="1:3">
      <c r="A39" t="s">
        <v>15</v>
      </c>
      <c r="B39">
        <v>1940</v>
      </c>
      <c r="C39" s="1">
        <v>35.4</v>
      </c>
    </row>
    <row r="40" spans="1:3">
      <c r="A40" t="s">
        <v>76</v>
      </c>
      <c r="B40">
        <v>1899</v>
      </c>
      <c r="C40" s="1">
        <v>14.6</v>
      </c>
    </row>
    <row r="41" spans="1:3">
      <c r="A41" t="s">
        <v>76</v>
      </c>
      <c r="B41">
        <v>1910</v>
      </c>
      <c r="C41" s="1">
        <v>20.100000000000001</v>
      </c>
    </row>
    <row r="42" spans="1:3">
      <c r="A42" t="s">
        <v>76</v>
      </c>
      <c r="B42">
        <v>1920</v>
      </c>
      <c r="C42" s="1">
        <v>21.8</v>
      </c>
    </row>
    <row r="43" spans="1:3">
      <c r="A43" t="s">
        <v>76</v>
      </c>
      <c r="B43">
        <v>1930</v>
      </c>
      <c r="C43" s="1">
        <v>27.7</v>
      </c>
    </row>
    <row r="44" spans="1:3">
      <c r="A44" t="s">
        <v>76</v>
      </c>
      <c r="B44">
        <v>1935</v>
      </c>
      <c r="C44" s="1">
        <v>29.7</v>
      </c>
    </row>
    <row r="45" spans="1:3">
      <c r="A45" t="s">
        <v>76</v>
      </c>
      <c r="B45">
        <v>1940</v>
      </c>
      <c r="C45" s="1">
        <v>30.3</v>
      </c>
    </row>
    <row r="46" spans="1:3">
      <c r="A46" t="s">
        <v>76</v>
      </c>
      <c r="B46">
        <v>1950</v>
      </c>
      <c r="C46" s="1">
        <v>40.5</v>
      </c>
    </row>
    <row r="47" spans="1:3">
      <c r="A47" t="s">
        <v>22</v>
      </c>
      <c r="B47">
        <v>1930</v>
      </c>
      <c r="C47" s="1">
        <v>38.299999999999997</v>
      </c>
    </row>
    <row r="48" spans="1:3">
      <c r="A48" t="s">
        <v>22</v>
      </c>
      <c r="B48">
        <v>1950</v>
      </c>
      <c r="C48" s="1">
        <v>36.5</v>
      </c>
    </row>
    <row r="49" spans="1:3">
      <c r="A49" t="s">
        <v>37</v>
      </c>
      <c r="B49">
        <v>1901</v>
      </c>
      <c r="C49" s="1">
        <v>24</v>
      </c>
    </row>
    <row r="50" spans="1:3">
      <c r="A50" t="s">
        <v>37</v>
      </c>
      <c r="B50">
        <v>1911</v>
      </c>
      <c r="C50" s="1">
        <v>21.7</v>
      </c>
    </row>
    <row r="51" spans="1:3">
      <c r="A51" t="s">
        <v>37</v>
      </c>
      <c r="B51">
        <v>1921</v>
      </c>
      <c r="C51" s="1">
        <v>20.9</v>
      </c>
    </row>
    <row r="52" spans="1:3">
      <c r="A52" t="s">
        <v>37</v>
      </c>
      <c r="B52">
        <v>1931</v>
      </c>
      <c r="C52" s="1">
        <v>21.7</v>
      </c>
    </row>
    <row r="53" spans="1:3">
      <c r="A53" t="s">
        <v>37</v>
      </c>
      <c r="B53">
        <v>1946</v>
      </c>
      <c r="C53" s="1">
        <v>23.2</v>
      </c>
    </row>
    <row r="54" spans="1:3">
      <c r="A54" t="s">
        <v>9</v>
      </c>
      <c r="B54">
        <v>1930</v>
      </c>
      <c r="C54" s="1">
        <v>49.4</v>
      </c>
    </row>
    <row r="55" spans="1:3">
      <c r="A55" t="s">
        <v>9</v>
      </c>
      <c r="B55">
        <v>1940</v>
      </c>
      <c r="C55" s="1">
        <v>52.4</v>
      </c>
    </row>
    <row r="56" spans="1:3">
      <c r="A56" t="s">
        <v>11</v>
      </c>
      <c r="B56">
        <v>1950</v>
      </c>
      <c r="C56" s="1">
        <v>30.3</v>
      </c>
    </row>
    <row r="57" spans="1:3">
      <c r="A57" t="s">
        <v>26</v>
      </c>
      <c r="B57">
        <v>1943</v>
      </c>
      <c r="C57" s="1">
        <v>18.2</v>
      </c>
    </row>
  </sheetData>
  <sortState xmlns:xlrd2="http://schemas.microsoft.com/office/spreadsheetml/2017/richdata2" ref="I8:I58">
    <sortCondition ref="I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43D6-0532-4458-BC4D-A9495F82E7F4}">
  <dimension ref="A1:O38"/>
  <sheetViews>
    <sheetView topLeftCell="A16" workbookViewId="0">
      <selection activeCell="A30" sqref="A30:O30"/>
    </sheetView>
  </sheetViews>
  <sheetFormatPr defaultRowHeight="14.4"/>
  <cols>
    <col min="2" max="2" width="10.89453125" bestFit="1" customWidth="1"/>
    <col min="3" max="3" width="11.1015625" customWidth="1"/>
    <col min="4" max="4" width="9.1015625" bestFit="1" customWidth="1"/>
    <col min="5" max="5" width="10" customWidth="1"/>
    <col min="6" max="6" width="12.1015625" customWidth="1"/>
    <col min="7" max="8" width="9.1015625" bestFit="1" customWidth="1"/>
    <col min="9" max="11" width="9.89453125" bestFit="1" customWidth="1"/>
    <col min="12" max="12" width="10.734375" customWidth="1"/>
    <col min="13" max="13" width="10.47265625" customWidth="1"/>
    <col min="14" max="14" width="10.1015625" customWidth="1"/>
    <col min="15" max="15" width="10.89453125" customWidth="1"/>
  </cols>
  <sheetData>
    <row r="1" spans="1:3">
      <c r="A1" s="13" t="s">
        <v>95</v>
      </c>
    </row>
    <row r="2" spans="1:3">
      <c r="A2" t="s">
        <v>94</v>
      </c>
    </row>
    <row r="4" spans="1:3">
      <c r="A4" t="s">
        <v>27</v>
      </c>
      <c r="B4">
        <v>1900</v>
      </c>
      <c r="C4">
        <v>28.3</v>
      </c>
    </row>
    <row r="5" spans="1:3">
      <c r="A5" t="s">
        <v>27</v>
      </c>
      <c r="B5">
        <v>1910</v>
      </c>
      <c r="C5">
        <v>28.7</v>
      </c>
    </row>
    <row r="6" spans="1:3">
      <c r="A6" t="s">
        <v>27</v>
      </c>
      <c r="B6">
        <v>1921</v>
      </c>
      <c r="C6">
        <v>31.2</v>
      </c>
    </row>
    <row r="7" spans="1:3">
      <c r="A7" t="s">
        <v>27</v>
      </c>
      <c r="B7">
        <v>1930</v>
      </c>
      <c r="C7">
        <v>33.5</v>
      </c>
    </row>
    <row r="8" spans="1:3">
      <c r="A8" t="s">
        <v>27</v>
      </c>
      <c r="B8">
        <v>1940</v>
      </c>
      <c r="C8">
        <v>35.1</v>
      </c>
    </row>
    <row r="9" spans="1:3">
      <c r="A9" t="s">
        <v>27</v>
      </c>
      <c r="B9">
        <v>1950</v>
      </c>
      <c r="C9">
        <v>42.6</v>
      </c>
    </row>
    <row r="10" spans="1:3">
      <c r="A10" t="s">
        <v>27</v>
      </c>
      <c r="B10">
        <v>1960</v>
      </c>
      <c r="C10">
        <v>50.7</v>
      </c>
    </row>
    <row r="11" spans="1:3">
      <c r="A11" t="s">
        <v>27</v>
      </c>
      <c r="B11">
        <v>1970</v>
      </c>
      <c r="C11">
        <v>57.8</v>
      </c>
    </row>
    <row r="12" spans="1:3">
      <c r="A12" t="s">
        <v>27</v>
      </c>
      <c r="B12">
        <v>1980</v>
      </c>
      <c r="C12">
        <v>66.3</v>
      </c>
    </row>
    <row r="13" spans="1:3">
      <c r="A13" t="s">
        <v>27</v>
      </c>
      <c r="B13">
        <v>1990</v>
      </c>
      <c r="C13">
        <v>71.3</v>
      </c>
    </row>
    <row r="14" spans="1:3">
      <c r="A14" t="s">
        <v>27</v>
      </c>
      <c r="B14">
        <v>1995</v>
      </c>
      <c r="C14">
        <v>73.5</v>
      </c>
    </row>
    <row r="15" spans="1:3">
      <c r="A15" t="s">
        <v>27</v>
      </c>
      <c r="B15">
        <v>2000</v>
      </c>
      <c r="C15">
        <v>74.599999999999994</v>
      </c>
    </row>
    <row r="16" spans="1:3">
      <c r="A16" t="s">
        <v>27</v>
      </c>
      <c r="B16">
        <v>2005</v>
      </c>
      <c r="C16">
        <v>78.5</v>
      </c>
    </row>
    <row r="17" spans="1:15">
      <c r="A17" t="s">
        <v>27</v>
      </c>
      <c r="B17">
        <v>2010</v>
      </c>
      <c r="C17">
        <v>76.8</v>
      </c>
    </row>
    <row r="20" spans="1:15">
      <c r="A20" s="13" t="s">
        <v>96</v>
      </c>
    </row>
    <row r="21" spans="1:15">
      <c r="A21" t="s">
        <v>97</v>
      </c>
    </row>
    <row r="24" spans="1:15">
      <c r="A24" s="16" t="s">
        <v>42</v>
      </c>
      <c r="B24" s="16" t="s">
        <v>98</v>
      </c>
      <c r="C24" s="16" t="s">
        <v>99</v>
      </c>
      <c r="D24" s="16" t="s">
        <v>100</v>
      </c>
      <c r="E24" s="16" t="s">
        <v>101</v>
      </c>
      <c r="F24" s="16" t="s">
        <v>102</v>
      </c>
      <c r="G24" s="16" t="s">
        <v>103</v>
      </c>
      <c r="H24" s="16" t="s">
        <v>104</v>
      </c>
      <c r="I24" s="16" t="s">
        <v>105</v>
      </c>
      <c r="J24" s="16" t="s">
        <v>107</v>
      </c>
      <c r="K24" s="23" t="s">
        <v>106</v>
      </c>
      <c r="L24" s="23" t="s">
        <v>108</v>
      </c>
      <c r="M24" s="23" t="s">
        <v>109</v>
      </c>
      <c r="N24" s="23" t="s">
        <v>61</v>
      </c>
      <c r="O24" s="23" t="s">
        <v>54</v>
      </c>
    </row>
    <row r="25" spans="1:15">
      <c r="A25" s="17">
        <v>1900</v>
      </c>
      <c r="B25" s="18">
        <v>13607272</v>
      </c>
      <c r="C25" s="18">
        <v>1003646</v>
      </c>
      <c r="D25" s="18">
        <v>1985468</v>
      </c>
      <c r="E25" s="18">
        <v>3330153</v>
      </c>
      <c r="F25" s="18">
        <v>4366941</v>
      </c>
      <c r="G25" s="18"/>
      <c r="H25" s="18"/>
      <c r="I25" s="18"/>
      <c r="J25" s="18"/>
      <c r="K25" s="18"/>
      <c r="L25" s="21">
        <f>B25-SUM(C25:F25)</f>
        <v>2921064</v>
      </c>
      <c r="M25" s="17"/>
      <c r="N25" s="22">
        <f>100*L25/B25</f>
        <v>21.466933269210756</v>
      </c>
      <c r="O25" s="22"/>
    </row>
    <row r="26" spans="1:15">
      <c r="A26" s="17">
        <v>1910</v>
      </c>
      <c r="B26" s="18">
        <v>15160369</v>
      </c>
      <c r="C26" s="18">
        <v>945632</v>
      </c>
      <c r="D26" s="18">
        <v>2053154</v>
      </c>
      <c r="E26" s="18">
        <v>3339000</v>
      </c>
      <c r="F26" s="18">
        <v>5078967</v>
      </c>
      <c r="G26" s="18"/>
      <c r="H26" s="18"/>
      <c r="I26" s="18"/>
      <c r="J26" s="18"/>
      <c r="K26" s="18"/>
      <c r="L26" s="21">
        <f t="shared" ref="L26:L28" si="0">B26-SUM(C26:F26)</f>
        <v>3743616</v>
      </c>
      <c r="M26" s="17"/>
      <c r="N26" s="22">
        <f t="shared" ref="N26:N38" si="1">100*L26/B26</f>
        <v>24.693435891962789</v>
      </c>
      <c r="O26" s="22"/>
    </row>
    <row r="27" spans="1:15">
      <c r="A27" s="17">
        <v>1921</v>
      </c>
      <c r="B27" s="18">
        <v>14330780</v>
      </c>
      <c r="C27" s="18">
        <v>843464</v>
      </c>
      <c r="D27" s="18">
        <v>1846928</v>
      </c>
      <c r="E27" s="18">
        <v>3103658</v>
      </c>
      <c r="F27" s="18">
        <v>4149139</v>
      </c>
      <c r="G27" s="18"/>
      <c r="H27" s="18"/>
      <c r="I27" s="18"/>
      <c r="J27" s="18"/>
      <c r="K27" s="18"/>
      <c r="L27" s="21">
        <f t="shared" si="0"/>
        <v>4387591</v>
      </c>
      <c r="M27" s="17"/>
      <c r="N27" s="22">
        <f t="shared" si="1"/>
        <v>30.616554018692632</v>
      </c>
      <c r="O27" s="22"/>
    </row>
    <row r="28" spans="1:15">
      <c r="A28" s="17">
        <v>1930</v>
      </c>
      <c r="B28" s="18">
        <v>16552722</v>
      </c>
      <c r="C28" s="18">
        <v>805014</v>
      </c>
      <c r="D28" s="18">
        <v>2171814</v>
      </c>
      <c r="E28" s="18">
        <v>3655794</v>
      </c>
      <c r="F28" s="18">
        <v>5210646</v>
      </c>
      <c r="G28" s="18"/>
      <c r="H28" s="18"/>
      <c r="I28" s="18"/>
      <c r="J28" s="18"/>
      <c r="K28" s="18"/>
      <c r="L28" s="21">
        <f t="shared" si="0"/>
        <v>4709454</v>
      </c>
      <c r="M28" s="17"/>
      <c r="N28" s="22">
        <f t="shared" si="1"/>
        <v>28.451235996109883</v>
      </c>
      <c r="O28" s="22"/>
    </row>
    <row r="29" spans="1:15">
      <c r="A29" s="17">
        <v>1940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7"/>
      <c r="M29" s="17"/>
      <c r="N29" s="22"/>
      <c r="O29" s="22"/>
    </row>
    <row r="30" spans="1:15">
      <c r="A30" s="17">
        <v>1950</v>
      </c>
      <c r="B30" s="18">
        <v>25791017</v>
      </c>
      <c r="C30" s="18">
        <v>14790299</v>
      </c>
      <c r="D30" s="18">
        <v>2063467</v>
      </c>
      <c r="E30" s="18">
        <v>1472397</v>
      </c>
      <c r="F30" s="18">
        <v>1281299</v>
      </c>
      <c r="G30" s="19">
        <v>1258428</v>
      </c>
      <c r="H30" s="19">
        <v>725296</v>
      </c>
      <c r="I30" s="19">
        <v>1406204</v>
      </c>
      <c r="J30" s="19">
        <v>2234795</v>
      </c>
      <c r="K30" s="18"/>
      <c r="L30" s="21">
        <f t="shared" ref="L30:L38" si="2">B30-SUM(C30:F30)</f>
        <v>6183555</v>
      </c>
      <c r="M30" s="21">
        <f>SUM(I30:K30)</f>
        <v>3640999</v>
      </c>
      <c r="N30" s="22">
        <f t="shared" si="1"/>
        <v>23.975615230682838</v>
      </c>
      <c r="O30" s="22">
        <f>M30/B30*100</f>
        <v>14.117314567316209</v>
      </c>
    </row>
    <row r="31" spans="1:15">
      <c r="A31" s="17">
        <v>1960</v>
      </c>
      <c r="B31" s="18">
        <v>34923129</v>
      </c>
      <c r="C31" s="18">
        <v>17218011</v>
      </c>
      <c r="D31" s="18">
        <v>2959460</v>
      </c>
      <c r="E31" s="18">
        <v>2366431</v>
      </c>
      <c r="F31" s="18">
        <v>2027511</v>
      </c>
      <c r="G31" s="19">
        <v>2108551</v>
      </c>
      <c r="H31" s="20">
        <v>1730933</v>
      </c>
      <c r="I31" s="19">
        <v>2346360</v>
      </c>
      <c r="J31" s="20">
        <v>4165872</v>
      </c>
      <c r="K31" s="18"/>
      <c r="L31" s="21">
        <f t="shared" si="2"/>
        <v>10351716</v>
      </c>
      <c r="M31" s="21">
        <f t="shared" ref="M31:M32" si="3">SUM(I31:K31)</f>
        <v>6512232</v>
      </c>
      <c r="N31" s="22">
        <f t="shared" si="1"/>
        <v>29.641433332047651</v>
      </c>
      <c r="O31" s="22">
        <f t="shared" ref="O31:O38" si="4">M31/B31*100</f>
        <v>18.647332545717767</v>
      </c>
    </row>
    <row r="32" spans="1:15">
      <c r="A32" s="17">
        <v>1970</v>
      </c>
      <c r="B32" s="19">
        <v>48225238</v>
      </c>
      <c r="C32" s="20">
        <v>19916682</v>
      </c>
      <c r="D32" s="19">
        <v>4129872</v>
      </c>
      <c r="E32" s="19">
        <v>3764208</v>
      </c>
      <c r="F32" s="19">
        <v>3409846</v>
      </c>
      <c r="G32" s="19">
        <v>3405818</v>
      </c>
      <c r="H32" s="20">
        <v>2356569</v>
      </c>
      <c r="I32" s="20">
        <v>5707130</v>
      </c>
      <c r="J32" s="19">
        <v>4341512</v>
      </c>
      <c r="K32" s="19">
        <v>1193601</v>
      </c>
      <c r="L32" s="21">
        <f t="shared" si="2"/>
        <v>17004630</v>
      </c>
      <c r="M32" s="21">
        <f t="shared" si="3"/>
        <v>11242243</v>
      </c>
      <c r="N32" s="22">
        <f t="shared" si="1"/>
        <v>35.260852419224967</v>
      </c>
      <c r="O32" s="22">
        <f t="shared" si="4"/>
        <v>23.311949232889219</v>
      </c>
    </row>
    <row r="33" spans="1:15">
      <c r="A33" s="17">
        <v>1980</v>
      </c>
      <c r="B33" s="19"/>
      <c r="C33" s="20"/>
      <c r="D33" s="19"/>
      <c r="E33" s="19"/>
      <c r="F33" s="19"/>
      <c r="G33" s="19"/>
      <c r="H33" s="20"/>
      <c r="I33" s="20"/>
      <c r="J33" s="19"/>
      <c r="K33" s="19"/>
      <c r="L33" s="21"/>
      <c r="M33" s="17"/>
      <c r="N33" s="22"/>
      <c r="O33" s="22"/>
    </row>
    <row r="34" spans="1:15">
      <c r="A34" s="17">
        <v>1990</v>
      </c>
      <c r="B34" s="20">
        <v>81249645</v>
      </c>
      <c r="C34" s="19">
        <v>23289924</v>
      </c>
      <c r="D34" s="19">
        <v>4647566</v>
      </c>
      <c r="E34" s="19">
        <v>6636745</v>
      </c>
      <c r="F34" s="19">
        <v>1675566</v>
      </c>
      <c r="G34" s="19">
        <v>5075188</v>
      </c>
      <c r="H34" s="19">
        <v>3854850</v>
      </c>
      <c r="I34" s="19">
        <v>18233313</v>
      </c>
      <c r="J34" s="19">
        <v>8878127</v>
      </c>
      <c r="K34" s="19">
        <v>8958366</v>
      </c>
      <c r="L34" s="21">
        <f t="shared" si="2"/>
        <v>44999844</v>
      </c>
      <c r="M34" s="21">
        <f t="shared" ref="M34:M38" si="5">SUM(I34:K34)</f>
        <v>36069806</v>
      </c>
      <c r="N34" s="22">
        <f t="shared" si="1"/>
        <v>55.384665372999478</v>
      </c>
      <c r="O34" s="22">
        <f t="shared" si="4"/>
        <v>44.393801351378215</v>
      </c>
    </row>
    <row r="35" spans="1:15">
      <c r="A35" s="17">
        <v>1995</v>
      </c>
      <c r="B35" s="19">
        <v>91158290</v>
      </c>
      <c r="C35" s="19">
        <v>24154775</v>
      </c>
      <c r="D35" s="19">
        <v>4996974</v>
      </c>
      <c r="E35" s="19">
        <v>7373112</v>
      </c>
      <c r="F35" s="19">
        <v>1859302</v>
      </c>
      <c r="G35" s="19">
        <v>6146276</v>
      </c>
      <c r="H35" s="19">
        <v>4340532</v>
      </c>
      <c r="I35" s="19">
        <v>19000266</v>
      </c>
      <c r="J35" s="19">
        <v>13765240</v>
      </c>
      <c r="K35" s="19">
        <v>9521813</v>
      </c>
      <c r="L35" s="21">
        <f t="shared" si="2"/>
        <v>52774127</v>
      </c>
      <c r="M35" s="21">
        <f t="shared" si="5"/>
        <v>42287319</v>
      </c>
      <c r="N35" s="22">
        <f t="shared" si="1"/>
        <v>57.89284441382128</v>
      </c>
      <c r="O35" s="22">
        <f t="shared" si="4"/>
        <v>46.388890138241948</v>
      </c>
    </row>
    <row r="36" spans="1:15">
      <c r="A36" s="17">
        <v>2000</v>
      </c>
      <c r="B36" s="20">
        <v>97483412</v>
      </c>
      <c r="C36" s="19">
        <v>24723590</v>
      </c>
      <c r="D36" s="19">
        <v>5462305</v>
      </c>
      <c r="E36" s="19">
        <v>7878309</v>
      </c>
      <c r="F36" s="19">
        <v>1888466</v>
      </c>
      <c r="G36" s="19">
        <v>6847942</v>
      </c>
      <c r="H36" s="19">
        <v>4549492</v>
      </c>
      <c r="I36" s="19">
        <v>20430268</v>
      </c>
      <c r="J36" s="19">
        <v>12461706</v>
      </c>
      <c r="K36" s="19">
        <v>13241334</v>
      </c>
      <c r="L36" s="21">
        <f t="shared" si="2"/>
        <v>57530742</v>
      </c>
      <c r="M36" s="21">
        <f t="shared" si="5"/>
        <v>46133308</v>
      </c>
      <c r="N36" s="22">
        <f t="shared" si="1"/>
        <v>59.015929807627167</v>
      </c>
      <c r="O36" s="22">
        <f t="shared" si="4"/>
        <v>47.324264768245904</v>
      </c>
    </row>
    <row r="37" spans="1:15">
      <c r="A37" s="17">
        <v>2005</v>
      </c>
      <c r="B37" s="19">
        <v>103263388</v>
      </c>
      <c r="C37" s="19">
        <v>24276536</v>
      </c>
      <c r="D37" s="19">
        <v>5663750</v>
      </c>
      <c r="E37" s="19">
        <v>8466969</v>
      </c>
      <c r="F37" s="19">
        <v>1837560</v>
      </c>
      <c r="G37" s="19">
        <v>7444004</v>
      </c>
      <c r="H37" s="19">
        <v>5082771</v>
      </c>
      <c r="I37" s="19">
        <v>21370547</v>
      </c>
      <c r="J37" s="19">
        <v>14398274</v>
      </c>
      <c r="K37" s="19">
        <v>14722977</v>
      </c>
      <c r="L37" s="21">
        <f t="shared" si="2"/>
        <v>63018573</v>
      </c>
      <c r="M37" s="21">
        <f t="shared" si="5"/>
        <v>50491798</v>
      </c>
      <c r="N37" s="22">
        <f t="shared" si="1"/>
        <v>61.027024408689748</v>
      </c>
      <c r="O37" s="22">
        <f t="shared" si="4"/>
        <v>48.896127638190606</v>
      </c>
    </row>
    <row r="38" spans="1:15">
      <c r="A38" s="17">
        <v>2010</v>
      </c>
      <c r="B38" s="19">
        <v>112336538</v>
      </c>
      <c r="C38" s="19">
        <v>26049769</v>
      </c>
      <c r="D38" s="19">
        <v>6360949</v>
      </c>
      <c r="E38" s="19">
        <v>9746684</v>
      </c>
      <c r="F38" s="19">
        <v>6417488</v>
      </c>
      <c r="G38" s="19">
        <v>4150450</v>
      </c>
      <c r="H38" s="19">
        <v>5946088</v>
      </c>
      <c r="I38" s="19">
        <v>22472661</v>
      </c>
      <c r="J38" s="19">
        <v>16363103</v>
      </c>
      <c r="K38" s="19">
        <v>14829346</v>
      </c>
      <c r="L38" s="21">
        <f t="shared" si="2"/>
        <v>63761648</v>
      </c>
      <c r="M38" s="21">
        <f t="shared" si="5"/>
        <v>53665110</v>
      </c>
      <c r="N38" s="22">
        <f t="shared" si="1"/>
        <v>56.759491733669059</v>
      </c>
      <c r="O38" s="22">
        <f t="shared" si="4"/>
        <v>47.771732114443481</v>
      </c>
    </row>
  </sheetData>
  <pageMargins left="0.7" right="0.7" top="0.75" bottom="0.75" header="0.3" footer="0.3"/>
  <ignoredErrors>
    <ignoredError sqref="M30:M38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6925-0078-4AF9-986A-8BA8236BAFF3}">
  <dimension ref="A1:AF134"/>
  <sheetViews>
    <sheetView tabSelected="1" workbookViewId="0">
      <pane xSplit="1" ySplit="3" topLeftCell="B58" activePane="bottomRight" state="frozen"/>
      <selection pane="topRight" activeCell="B1" sqref="B1"/>
      <selection pane="bottomLeft" activeCell="A4" sqref="A4"/>
      <selection pane="bottomRight" activeCell="A27" sqref="A27"/>
    </sheetView>
  </sheetViews>
  <sheetFormatPr defaultRowHeight="14.4"/>
  <sheetData>
    <row r="1" spans="1:28">
      <c r="A1" s="11" t="s">
        <v>91</v>
      </c>
    </row>
    <row r="3" spans="1:28">
      <c r="A3" s="12" t="s">
        <v>42</v>
      </c>
      <c r="B3" s="12" t="s">
        <v>6</v>
      </c>
      <c r="C3" s="12" t="s">
        <v>19</v>
      </c>
      <c r="D3" s="12" t="s">
        <v>7</v>
      </c>
      <c r="E3" s="12" t="s">
        <v>8</v>
      </c>
      <c r="F3" s="12" t="s">
        <v>18</v>
      </c>
      <c r="G3" s="12" t="s">
        <v>24</v>
      </c>
      <c r="H3" s="12" t="s">
        <v>23</v>
      </c>
      <c r="I3" s="12" t="s">
        <v>12</v>
      </c>
      <c r="J3" s="12" t="s">
        <v>25</v>
      </c>
      <c r="K3" s="12" t="s">
        <v>30</v>
      </c>
      <c r="L3" s="12" t="s">
        <v>10</v>
      </c>
      <c r="M3" s="12" t="s">
        <v>20</v>
      </c>
      <c r="N3" s="12" t="s">
        <v>21</v>
      </c>
      <c r="O3" s="12" t="s">
        <v>27</v>
      </c>
      <c r="P3" s="12" t="s">
        <v>28</v>
      </c>
      <c r="Q3" s="12" t="s">
        <v>29</v>
      </c>
      <c r="R3" s="12" t="s">
        <v>14</v>
      </c>
      <c r="S3" s="12" t="s">
        <v>15</v>
      </c>
      <c r="T3" s="12" t="s">
        <v>22</v>
      </c>
      <c r="U3" s="12" t="s">
        <v>16</v>
      </c>
      <c r="V3" s="12" t="s">
        <v>17</v>
      </c>
      <c r="W3" s="12" t="s">
        <v>13</v>
      </c>
      <c r="X3" s="12" t="s">
        <v>9</v>
      </c>
      <c r="Y3" s="12" t="s">
        <v>11</v>
      </c>
      <c r="Z3" s="12" t="s">
        <v>26</v>
      </c>
      <c r="AA3" s="12" t="s">
        <v>64</v>
      </c>
      <c r="AB3" s="12" t="s">
        <v>110</v>
      </c>
    </row>
    <row r="4" spans="1:28">
      <c r="A4">
        <v>1895</v>
      </c>
      <c r="B4" s="1">
        <v>37.4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8">
      <c r="A5">
        <v>1897</v>
      </c>
      <c r="B5" s="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>
        <v>15</v>
      </c>
      <c r="AB5">
        <v>14.7</v>
      </c>
    </row>
    <row r="6" spans="1:28">
      <c r="A6">
        <v>1899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8">
      <c r="A7">
        <v>1900</v>
      </c>
      <c r="B7" s="12"/>
      <c r="C7" s="12"/>
      <c r="D7" s="1">
        <v>26.9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8">
      <c r="A8">
        <v>1901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8">
      <c r="A9">
        <v>1906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">
        <v>33</v>
      </c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8">
      <c r="A10">
        <v>1910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8">
      <c r="A11">
        <v>1911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8">
      <c r="A12">
        <v>1913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>
        <v>18</v>
      </c>
    </row>
    <row r="13" spans="1:28">
      <c r="A13">
        <v>1914</v>
      </c>
      <c r="B13" s="1">
        <v>52.7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8">
      <c r="A14">
        <v>1920</v>
      </c>
      <c r="B14" s="12"/>
      <c r="C14" s="12"/>
      <c r="D14" s="12"/>
      <c r="E14" s="12"/>
      <c r="F14" s="12"/>
      <c r="G14" s="12"/>
      <c r="H14" s="12"/>
      <c r="I14" s="12"/>
      <c r="J14" s="12"/>
      <c r="K14" s="1">
        <v>16.100000000000001</v>
      </c>
      <c r="L14" s="12"/>
      <c r="M14" s="12"/>
      <c r="N14" s="12"/>
      <c r="O14" s="12"/>
      <c r="P14" s="1">
        <v>34.200000000000003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>
        <v>15</v>
      </c>
      <c r="AB14">
        <v>14.2</v>
      </c>
    </row>
    <row r="15" spans="1:28">
      <c r="A15">
        <v>1921</v>
      </c>
      <c r="B15" s="12"/>
      <c r="C15" s="12"/>
      <c r="D15" s="12"/>
      <c r="E15" s="12"/>
      <c r="F15" s="12"/>
      <c r="G15" s="12"/>
      <c r="H15" s="1">
        <v>26.6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8">
      <c r="A16">
        <v>1926</v>
      </c>
      <c r="B16" s="12"/>
      <c r="C16" s="12"/>
      <c r="D16" s="12"/>
      <c r="E16" s="12"/>
      <c r="F16" s="12"/>
      <c r="G16" s="12"/>
      <c r="H16" s="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>
        <v>17.899999999999999</v>
      </c>
      <c r="AB16">
        <v>17.3</v>
      </c>
    </row>
    <row r="17" spans="1:28">
      <c r="A17">
        <v>1930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">
        <v>33.5</v>
      </c>
      <c r="P17" s="12"/>
      <c r="Q17" s="1">
        <v>30.1</v>
      </c>
      <c r="R17" s="12"/>
      <c r="S17" s="12"/>
      <c r="T17" s="1">
        <v>38.299999999999997</v>
      </c>
      <c r="U17" s="12"/>
      <c r="V17" s="12"/>
      <c r="W17" s="12"/>
      <c r="X17" s="1">
        <v>49.4</v>
      </c>
      <c r="Y17" s="1">
        <v>30.3</v>
      </c>
      <c r="Z17" s="12"/>
    </row>
    <row r="18" spans="1:28">
      <c r="A18">
        <v>1931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8">
      <c r="A19">
        <v>1935</v>
      </c>
      <c r="B19" s="12"/>
      <c r="C19" s="12"/>
      <c r="D19" s="12"/>
      <c r="E19" s="12"/>
      <c r="F19" s="12"/>
      <c r="G19" s="12"/>
      <c r="H19" s="12"/>
      <c r="I19" s="12"/>
      <c r="J19" s="12"/>
      <c r="K19" s="1">
        <v>18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8">
      <c r="A20">
        <v>1936</v>
      </c>
      <c r="B20" s="12"/>
      <c r="C20" s="12"/>
      <c r="D20" s="12"/>
      <c r="E20" s="12"/>
      <c r="F20" s="1">
        <v>35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8">
      <c r="A21">
        <v>1937</v>
      </c>
      <c r="B21" s="12"/>
      <c r="C21" s="12"/>
      <c r="D21" s="12"/>
      <c r="E21" s="12"/>
      <c r="F21" s="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">
        <v>27</v>
      </c>
      <c r="AB21">
        <v>28.9</v>
      </c>
    </row>
    <row r="22" spans="1:28">
      <c r="A22">
        <v>1938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">
        <v>29.1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8">
      <c r="A23">
        <v>1939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>
        <v>28.3</v>
      </c>
      <c r="AB23">
        <v>31.5</v>
      </c>
    </row>
    <row r="24" spans="1:28">
      <c r="A24">
        <v>1940</v>
      </c>
      <c r="B24" s="2"/>
      <c r="C24" s="2"/>
      <c r="D24" s="2"/>
      <c r="E24" s="1">
        <v>31.2</v>
      </c>
      <c r="F24" s="2"/>
      <c r="G24" s="2"/>
      <c r="H24" s="1">
        <v>26.7</v>
      </c>
      <c r="I24" s="2"/>
      <c r="J24" s="2"/>
      <c r="K24" s="2"/>
      <c r="L24" s="2"/>
      <c r="M24" s="2"/>
      <c r="N24" s="2"/>
      <c r="O24" s="1">
        <v>35.1</v>
      </c>
      <c r="P24" s="1">
        <v>37.200000000000003</v>
      </c>
      <c r="Q24" s="1">
        <v>33.799999999999997</v>
      </c>
      <c r="R24" s="2"/>
      <c r="S24">
        <v>36.1</v>
      </c>
      <c r="T24" s="2"/>
      <c r="U24" s="2"/>
      <c r="V24" s="2"/>
      <c r="W24" s="2"/>
      <c r="X24" s="1">
        <v>52.4</v>
      </c>
      <c r="Y24" s="2"/>
      <c r="Z24" s="2"/>
    </row>
    <row r="25" spans="1:28">
      <c r="A25">
        <v>1941</v>
      </c>
      <c r="B25" s="2"/>
      <c r="C25" s="2"/>
      <c r="D25" s="2"/>
      <c r="E25" s="2"/>
      <c r="F25" s="1">
        <v>39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  <c r="U25" s="2"/>
      <c r="V25" s="2"/>
      <c r="W25" s="2"/>
      <c r="X25" s="2"/>
      <c r="Y25" s="2"/>
      <c r="Z25" s="2"/>
    </row>
    <row r="26" spans="1:28">
      <c r="A26">
        <v>1943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>
        <v>54.6</v>
      </c>
      <c r="O26" s="2"/>
      <c r="P26" s="2"/>
      <c r="Q26" s="2"/>
      <c r="R26" s="2"/>
      <c r="T26" s="2"/>
      <c r="U26" s="2"/>
      <c r="V26" s="2"/>
      <c r="W26" s="2"/>
      <c r="X26" s="2"/>
      <c r="Y26" s="2"/>
      <c r="Z26" s="1">
        <v>18.2</v>
      </c>
    </row>
    <row r="27" spans="1:28">
      <c r="A27">
        <v>1945</v>
      </c>
      <c r="B27" s="2"/>
      <c r="C27" s="2"/>
      <c r="D27" s="2"/>
      <c r="E27" s="2"/>
      <c r="F27" s="2"/>
      <c r="G27" s="2"/>
      <c r="H27" s="2"/>
      <c r="I27" s="2"/>
      <c r="J27" s="1">
        <v>29</v>
      </c>
      <c r="K27" s="2"/>
      <c r="L27" s="2"/>
      <c r="M27" s="2"/>
      <c r="N27" s="2"/>
      <c r="O27" s="2"/>
      <c r="P27" s="2"/>
      <c r="Q27" s="2"/>
      <c r="R27" s="2"/>
      <c r="T27" s="2"/>
      <c r="U27" s="2"/>
      <c r="V27" s="2"/>
      <c r="W27" s="2"/>
      <c r="X27" s="2"/>
      <c r="Y27" s="2"/>
      <c r="Z27" s="2"/>
    </row>
    <row r="28" spans="1:28">
      <c r="A28">
        <v>1946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  <c r="U28" s="2"/>
      <c r="V28" s="2"/>
      <c r="W28" s="2"/>
      <c r="X28" s="2"/>
      <c r="Y28" s="2"/>
      <c r="Z28" s="2"/>
    </row>
    <row r="29" spans="1:28">
      <c r="A29">
        <v>1947</v>
      </c>
      <c r="B29" s="1">
        <v>62.5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  <c r="U29" s="2"/>
      <c r="V29" s="2"/>
      <c r="W29" s="2"/>
      <c r="X29" s="2"/>
      <c r="Y29" s="2"/>
      <c r="Z29" s="2"/>
    </row>
    <row r="30" spans="1:28">
      <c r="A30">
        <v>1950</v>
      </c>
      <c r="B30" s="1">
        <v>62.5</v>
      </c>
      <c r="C30" s="1">
        <v>56.5</v>
      </c>
      <c r="D30" s="1">
        <v>33.9</v>
      </c>
      <c r="E30" s="1">
        <v>36.5</v>
      </c>
      <c r="F30" s="1">
        <v>53.7</v>
      </c>
      <c r="G30" s="1">
        <v>12.2</v>
      </c>
      <c r="H30" s="1">
        <v>25</v>
      </c>
      <c r="I30" s="1">
        <v>28.1</v>
      </c>
      <c r="J30" s="1">
        <v>31</v>
      </c>
      <c r="K30" s="1">
        <v>23.9</v>
      </c>
      <c r="L30" s="1">
        <v>42.7</v>
      </c>
      <c r="M30" s="1">
        <v>33.5</v>
      </c>
      <c r="N30" s="1">
        <v>55.1</v>
      </c>
      <c r="O30" s="1">
        <v>40.5</v>
      </c>
      <c r="P30" s="1">
        <v>34.9</v>
      </c>
      <c r="Q30" s="1">
        <v>36</v>
      </c>
      <c r="R30" s="1">
        <v>34.6</v>
      </c>
      <c r="S30" s="1">
        <v>35.299999999999997</v>
      </c>
      <c r="T30" s="1">
        <v>36.5</v>
      </c>
      <c r="U30" s="1">
        <v>47</v>
      </c>
      <c r="V30" s="1">
        <v>78</v>
      </c>
      <c r="W30" s="1">
        <v>52</v>
      </c>
      <c r="X30" s="1">
        <v>60.7</v>
      </c>
      <c r="Y30" s="1">
        <v>28.5</v>
      </c>
      <c r="Z30" s="1">
        <v>26.7</v>
      </c>
    </row>
    <row r="31" spans="1:28">
      <c r="A31">
        <v>1959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>
        <v>47.9</v>
      </c>
      <c r="AB31">
        <v>52.4</v>
      </c>
    </row>
    <row r="32" spans="1:28">
      <c r="A32">
        <v>1960</v>
      </c>
      <c r="B32" s="1">
        <v>73.8</v>
      </c>
      <c r="C32" s="1">
        <v>53.8</v>
      </c>
      <c r="D32" s="1">
        <v>39.299999999999997</v>
      </c>
      <c r="E32" s="1">
        <v>43</v>
      </c>
      <c r="F32" s="1">
        <v>67.400000000000006</v>
      </c>
      <c r="G32" s="1">
        <v>15.6</v>
      </c>
      <c r="H32" s="1">
        <v>33.6</v>
      </c>
      <c r="I32" s="1">
        <v>29</v>
      </c>
      <c r="J32" s="1">
        <v>30.4</v>
      </c>
      <c r="K32" s="1">
        <v>30.5</v>
      </c>
      <c r="L32" s="1">
        <v>52.1</v>
      </c>
      <c r="M32" s="1">
        <v>34.5</v>
      </c>
      <c r="N32" s="1">
        <v>54.9</v>
      </c>
      <c r="O32" s="1">
        <v>50.7</v>
      </c>
      <c r="P32" s="1">
        <v>40.9</v>
      </c>
      <c r="Q32" s="1">
        <v>41.5</v>
      </c>
      <c r="R32" s="1">
        <v>35.799999999999997</v>
      </c>
      <c r="S32" s="1">
        <v>47.4</v>
      </c>
      <c r="T32" s="1">
        <v>38.5</v>
      </c>
      <c r="U32" s="1">
        <v>47.2</v>
      </c>
      <c r="V32" s="1">
        <v>81</v>
      </c>
      <c r="W32" s="1">
        <v>63.6</v>
      </c>
      <c r="X32" s="1">
        <v>68.2</v>
      </c>
      <c r="Y32" s="1">
        <v>35.299999999999997</v>
      </c>
      <c r="Z32" s="1">
        <v>33.799999999999997</v>
      </c>
    </row>
    <row r="33" spans="1:28">
      <c r="A33">
        <v>1970</v>
      </c>
      <c r="B33" s="1">
        <v>79</v>
      </c>
      <c r="C33" s="1">
        <v>51.2</v>
      </c>
      <c r="D33" s="1">
        <v>41.7</v>
      </c>
      <c r="E33" s="1">
        <v>55.9</v>
      </c>
      <c r="F33" s="1">
        <v>77.2</v>
      </c>
      <c r="G33" s="1">
        <v>20.2</v>
      </c>
      <c r="H33" s="1">
        <v>36.4</v>
      </c>
      <c r="I33" s="1">
        <v>29.5</v>
      </c>
      <c r="J33" s="1">
        <v>37.200000000000003</v>
      </c>
      <c r="K33" s="1">
        <v>39.700000000000003</v>
      </c>
      <c r="L33" s="1">
        <v>59.1</v>
      </c>
      <c r="M33" s="1">
        <v>40.6</v>
      </c>
      <c r="N33" s="1">
        <v>60.7</v>
      </c>
      <c r="O33" s="1">
        <v>58.7</v>
      </c>
      <c r="P33" s="1">
        <v>47.7</v>
      </c>
      <c r="Q33" s="1">
        <v>47.6</v>
      </c>
      <c r="R33" s="1">
        <v>37.1</v>
      </c>
      <c r="S33" s="1">
        <v>59.5</v>
      </c>
      <c r="T33" s="1">
        <v>39.5</v>
      </c>
      <c r="U33" s="1">
        <v>46</v>
      </c>
      <c r="V33" s="1">
        <v>83.3</v>
      </c>
      <c r="W33" s="1">
        <v>67.3</v>
      </c>
      <c r="X33" s="1">
        <v>75.099999999999994</v>
      </c>
      <c r="Y33" s="1">
        <v>41.4</v>
      </c>
      <c r="Z33" s="1">
        <v>41.5</v>
      </c>
      <c r="AA33" s="1">
        <v>56.3</v>
      </c>
      <c r="AB33" s="1">
        <v>62.3</v>
      </c>
    </row>
    <row r="34" spans="1:28">
      <c r="A34">
        <v>1979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v>62.3</v>
      </c>
      <c r="AB34">
        <v>69.3</v>
      </c>
    </row>
    <row r="35" spans="1:28">
      <c r="A35">
        <v>1980</v>
      </c>
      <c r="B35" s="1">
        <v>83</v>
      </c>
      <c r="C35" s="1">
        <v>49.3</v>
      </c>
      <c r="D35" s="1">
        <v>50.5</v>
      </c>
      <c r="E35" s="1">
        <v>67.599999999999994</v>
      </c>
      <c r="F35" s="1">
        <v>84</v>
      </c>
      <c r="G35" s="1">
        <v>24.5</v>
      </c>
      <c r="H35" s="1">
        <v>32.700000000000003</v>
      </c>
      <c r="I35" s="1">
        <v>30.6</v>
      </c>
      <c r="J35" s="1">
        <v>38.700000000000003</v>
      </c>
      <c r="K35" s="1">
        <v>52</v>
      </c>
      <c r="L35" s="1">
        <v>67.2</v>
      </c>
      <c r="M35" s="1">
        <v>44.5</v>
      </c>
      <c r="N35" s="1">
        <v>69</v>
      </c>
      <c r="O35" s="1">
        <v>66.400000000000006</v>
      </c>
      <c r="P35" s="1">
        <v>50.3</v>
      </c>
      <c r="Q35" s="1">
        <v>50.4</v>
      </c>
      <c r="R35" s="1">
        <v>42.8</v>
      </c>
      <c r="S35" s="1">
        <v>65.2</v>
      </c>
      <c r="T35" s="1">
        <v>41.6</v>
      </c>
      <c r="U35" s="1">
        <v>54.9</v>
      </c>
      <c r="V35" s="1">
        <v>87.3</v>
      </c>
      <c r="W35" s="1">
        <v>70.599999999999994</v>
      </c>
      <c r="X35" s="1">
        <v>82.2</v>
      </c>
      <c r="Y35" s="1">
        <v>49</v>
      </c>
      <c r="Z35" s="1">
        <v>46.8</v>
      </c>
    </row>
    <row r="36" spans="1:28">
      <c r="A36">
        <v>1989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>
        <v>65.900000000000006</v>
      </c>
      <c r="AB36">
        <v>73.599999999999994</v>
      </c>
    </row>
    <row r="37" spans="1:28">
      <c r="A37">
        <v>1990</v>
      </c>
      <c r="B37" s="1">
        <v>87.3</v>
      </c>
      <c r="C37" s="1">
        <v>47.6</v>
      </c>
      <c r="D37" s="1">
        <v>57.5</v>
      </c>
      <c r="E37" s="1">
        <v>78.400000000000006</v>
      </c>
      <c r="F37" s="1">
        <v>84.4</v>
      </c>
      <c r="G37" s="1">
        <v>29.5</v>
      </c>
      <c r="H37" s="1">
        <v>35</v>
      </c>
      <c r="I37" s="1">
        <v>33.200000000000003</v>
      </c>
      <c r="J37" s="1">
        <v>47.5</v>
      </c>
      <c r="K37" s="1">
        <v>56.1</v>
      </c>
      <c r="L37" s="1">
        <v>71</v>
      </c>
      <c r="M37" s="1">
        <v>46.8</v>
      </c>
      <c r="N37" s="1">
        <v>73.599999999999994</v>
      </c>
      <c r="O37" s="1">
        <v>71.3</v>
      </c>
      <c r="P37" s="1">
        <v>54.4</v>
      </c>
      <c r="Q37" s="1">
        <v>53.7</v>
      </c>
      <c r="R37" s="1">
        <v>50.3</v>
      </c>
      <c r="S37" s="1">
        <v>70.099999999999994</v>
      </c>
      <c r="T37" s="1">
        <v>50.4</v>
      </c>
      <c r="U37" s="1">
        <v>65.400000000000006</v>
      </c>
      <c r="V37" s="1">
        <v>90.8</v>
      </c>
      <c r="W37" s="1">
        <v>74.400000000000006</v>
      </c>
      <c r="X37" s="1">
        <v>83.5</v>
      </c>
      <c r="Y37" s="1">
        <v>55.1</v>
      </c>
      <c r="Z37" s="1">
        <v>51.5</v>
      </c>
    </row>
    <row r="38" spans="1:28">
      <c r="A38">
        <v>2000</v>
      </c>
      <c r="B38" s="1">
        <v>90.5</v>
      </c>
      <c r="C38" s="1">
        <v>47.9</v>
      </c>
      <c r="D38" s="1">
        <v>62.4</v>
      </c>
      <c r="E38" s="1">
        <v>81.2</v>
      </c>
      <c r="F38" s="1">
        <v>86.9</v>
      </c>
      <c r="G38" s="1">
        <v>35.6</v>
      </c>
      <c r="H38" s="1">
        <v>46.1</v>
      </c>
      <c r="I38" s="1">
        <v>36.200000000000003</v>
      </c>
      <c r="J38" s="1">
        <v>45.5</v>
      </c>
      <c r="K38" s="1">
        <v>58.2</v>
      </c>
      <c r="L38" s="1">
        <v>74.900000000000006</v>
      </c>
      <c r="M38" s="1">
        <v>59</v>
      </c>
      <c r="N38" s="1">
        <v>75.2</v>
      </c>
      <c r="O38" s="1">
        <v>69.8</v>
      </c>
      <c r="P38" s="1">
        <v>56.1</v>
      </c>
      <c r="Q38" s="1">
        <v>65.599999999999994</v>
      </c>
      <c r="R38" s="1">
        <v>58.7</v>
      </c>
      <c r="S38" s="1">
        <v>72.8</v>
      </c>
      <c r="T38" s="1">
        <v>58.4</v>
      </c>
      <c r="U38" s="1">
        <v>74.099999999999994</v>
      </c>
      <c r="V38" s="1">
        <v>91.9</v>
      </c>
      <c r="W38" s="1">
        <v>75</v>
      </c>
      <c r="X38" s="1">
        <v>86.6</v>
      </c>
      <c r="Y38" s="1">
        <v>61.4</v>
      </c>
      <c r="Z38" s="1">
        <v>52.1</v>
      </c>
    </row>
    <row r="42" spans="1:28">
      <c r="A42" s="11" t="s">
        <v>39</v>
      </c>
    </row>
    <row r="44" spans="1:28">
      <c r="A44" s="12" t="s">
        <v>42</v>
      </c>
      <c r="B44" s="12" t="s">
        <v>6</v>
      </c>
      <c r="C44" s="12" t="s">
        <v>19</v>
      </c>
      <c r="D44" s="12" t="s">
        <v>7</v>
      </c>
      <c r="E44" s="12" t="s">
        <v>8</v>
      </c>
      <c r="F44" s="12" t="s">
        <v>18</v>
      </c>
      <c r="G44" s="12" t="s">
        <v>24</v>
      </c>
      <c r="H44" s="12" t="s">
        <v>23</v>
      </c>
      <c r="I44" s="12" t="s">
        <v>12</v>
      </c>
      <c r="J44" s="12" t="s">
        <v>25</v>
      </c>
      <c r="K44" s="12" t="s">
        <v>30</v>
      </c>
      <c r="L44" s="12" t="s">
        <v>10</v>
      </c>
      <c r="M44" s="12" t="s">
        <v>20</v>
      </c>
      <c r="N44" s="12" t="s">
        <v>21</v>
      </c>
      <c r="O44" s="12" t="s">
        <v>27</v>
      </c>
      <c r="P44" s="12" t="s">
        <v>28</v>
      </c>
      <c r="Q44" s="12" t="s">
        <v>29</v>
      </c>
      <c r="R44" s="12" t="s">
        <v>14</v>
      </c>
      <c r="S44" s="12" t="s">
        <v>15</v>
      </c>
      <c r="T44" s="12" t="s">
        <v>22</v>
      </c>
      <c r="U44" s="12" t="s">
        <v>16</v>
      </c>
      <c r="V44" s="12" t="s">
        <v>17</v>
      </c>
      <c r="W44" s="12" t="s">
        <v>13</v>
      </c>
      <c r="X44" s="12" t="s">
        <v>9</v>
      </c>
      <c r="Y44" s="12" t="s">
        <v>11</v>
      </c>
      <c r="Z44" s="12" t="s">
        <v>26</v>
      </c>
      <c r="AA44" s="12" t="s">
        <v>84</v>
      </c>
      <c r="AB44" s="12" t="s">
        <v>110</v>
      </c>
    </row>
    <row r="45" spans="1:28">
      <c r="A45" s="15">
        <v>1926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">
        <v>36</v>
      </c>
      <c r="AB45" s="1">
        <v>32.6</v>
      </c>
    </row>
    <row r="46" spans="1:28">
      <c r="A46" s="15">
        <v>1930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25">
        <v>37.200000000000003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"/>
      <c r="AB46" s="1"/>
    </row>
    <row r="47" spans="1:28">
      <c r="A47">
        <v>1950</v>
      </c>
      <c r="B47" s="1">
        <v>64.3</v>
      </c>
      <c r="C47" s="1">
        <v>56.5</v>
      </c>
      <c r="D47" s="1">
        <v>25.6</v>
      </c>
      <c r="E47" s="1">
        <v>30.1</v>
      </c>
      <c r="F47" s="1">
        <v>51.8</v>
      </c>
      <c r="G47" s="1">
        <v>9.6999999999999993</v>
      </c>
      <c r="H47" s="1">
        <v>26.8</v>
      </c>
      <c r="I47" s="1">
        <v>28.1</v>
      </c>
      <c r="J47" s="1">
        <v>17.2</v>
      </c>
      <c r="K47" s="1">
        <v>21.6</v>
      </c>
      <c r="L47" s="1">
        <v>33.700000000000003</v>
      </c>
      <c r="M47" s="1">
        <v>29.9</v>
      </c>
      <c r="N47" s="1">
        <v>51.4</v>
      </c>
      <c r="O47" s="1">
        <v>44.1</v>
      </c>
      <c r="P47" s="1">
        <v>28</v>
      </c>
      <c r="Q47" s="1">
        <v>35.5</v>
      </c>
      <c r="R47" s="1">
        <v>31.3</v>
      </c>
      <c r="S47" s="1">
        <v>26.9</v>
      </c>
      <c r="T47" s="1">
        <v>27.9</v>
      </c>
      <c r="U47" s="1">
        <v>47</v>
      </c>
      <c r="V47" s="1">
        <v>78.3</v>
      </c>
      <c r="W47" s="1">
        <v>52</v>
      </c>
      <c r="X47" s="1">
        <v>58.8</v>
      </c>
      <c r="Y47" s="1">
        <v>28.2</v>
      </c>
      <c r="Z47" s="1">
        <v>26.7</v>
      </c>
    </row>
    <row r="48" spans="1:28">
      <c r="A48">
        <v>1959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>
        <v>57.2</v>
      </c>
      <c r="AB48" s="1">
        <v>60.4</v>
      </c>
    </row>
    <row r="49" spans="1:32">
      <c r="A49">
        <v>1960</v>
      </c>
      <c r="B49" s="1">
        <v>75</v>
      </c>
      <c r="C49" s="1">
        <v>53.8</v>
      </c>
      <c r="D49" s="1">
        <v>39.299999999999997</v>
      </c>
      <c r="E49" s="1">
        <v>38.1</v>
      </c>
      <c r="F49" s="1">
        <v>64.900000000000006</v>
      </c>
      <c r="G49" s="1">
        <v>15.6</v>
      </c>
      <c r="H49" s="1">
        <v>31.5</v>
      </c>
      <c r="I49" s="1">
        <v>29</v>
      </c>
      <c r="J49" s="1">
        <v>22</v>
      </c>
      <c r="K49" s="1">
        <v>29.1</v>
      </c>
      <c r="L49" s="1">
        <v>50.3</v>
      </c>
      <c r="M49" s="1">
        <v>32.200000000000003</v>
      </c>
      <c r="N49" s="1">
        <v>54.9</v>
      </c>
      <c r="O49" s="1">
        <v>53.8</v>
      </c>
      <c r="P49" s="1">
        <v>35.6</v>
      </c>
      <c r="Q49" s="1">
        <v>41.5</v>
      </c>
      <c r="R49" s="1">
        <v>35.1</v>
      </c>
      <c r="S49" s="1">
        <v>40.6</v>
      </c>
      <c r="T49" s="1">
        <v>31.8</v>
      </c>
      <c r="U49" s="1">
        <v>47.2</v>
      </c>
      <c r="V49" s="1">
        <v>78.3</v>
      </c>
      <c r="W49" s="1">
        <v>63.6</v>
      </c>
      <c r="X49" s="1">
        <v>64.7</v>
      </c>
      <c r="Y49" s="1">
        <v>36</v>
      </c>
      <c r="Z49" s="1">
        <v>33.799999999999997</v>
      </c>
    </row>
    <row r="50" spans="1:32">
      <c r="A50">
        <v>1970</v>
      </c>
      <c r="B50" s="1">
        <v>79.2</v>
      </c>
      <c r="C50" s="1">
        <v>51.2</v>
      </c>
      <c r="D50" s="1">
        <v>43.5</v>
      </c>
      <c r="E50" s="1">
        <v>51.1</v>
      </c>
      <c r="F50" s="1">
        <v>74.599999999999994</v>
      </c>
      <c r="G50" s="1">
        <v>18.600000000000001</v>
      </c>
      <c r="H50" s="1">
        <v>33.700000000000003</v>
      </c>
      <c r="I50" s="1">
        <v>29.5</v>
      </c>
      <c r="J50" s="1">
        <v>32.299999999999997</v>
      </c>
      <c r="K50" s="1">
        <v>39</v>
      </c>
      <c r="L50" s="1">
        <v>57.3</v>
      </c>
      <c r="M50" s="1">
        <v>39.4</v>
      </c>
      <c r="N50" s="1">
        <v>58.3</v>
      </c>
      <c r="O50" s="1">
        <v>61.7</v>
      </c>
      <c r="P50" s="1">
        <v>46.2</v>
      </c>
      <c r="Q50" s="1">
        <v>47.3</v>
      </c>
      <c r="R50" s="1">
        <v>36.5</v>
      </c>
      <c r="S50" s="1">
        <v>52.4</v>
      </c>
      <c r="T50" s="1">
        <v>34.6</v>
      </c>
      <c r="U50" s="1">
        <v>46</v>
      </c>
      <c r="V50" s="1">
        <v>81.599999999999994</v>
      </c>
      <c r="W50" s="1">
        <v>67.3</v>
      </c>
      <c r="X50" s="1">
        <v>71.8</v>
      </c>
      <c r="Y50" s="1">
        <v>42.1</v>
      </c>
      <c r="Z50" s="1">
        <v>41.5</v>
      </c>
      <c r="AA50" s="1">
        <v>65.7</v>
      </c>
      <c r="AB50" s="1">
        <v>69.7</v>
      </c>
    </row>
    <row r="51" spans="1:32">
      <c r="A51">
        <v>1980</v>
      </c>
      <c r="B51" s="1">
        <v>83.5</v>
      </c>
      <c r="C51" s="1">
        <v>49.3</v>
      </c>
      <c r="D51" s="1">
        <v>50.5</v>
      </c>
      <c r="E51" s="1">
        <v>64.900000000000006</v>
      </c>
      <c r="F51" s="1">
        <v>81.900000000000006</v>
      </c>
      <c r="G51" s="1">
        <v>23.1</v>
      </c>
      <c r="H51" s="1">
        <v>35.9</v>
      </c>
      <c r="I51" s="1">
        <v>30.6</v>
      </c>
      <c r="J51" s="1">
        <v>39.700000000000003</v>
      </c>
      <c r="K51" s="1">
        <v>51.4</v>
      </c>
      <c r="L51" s="1">
        <v>65.8</v>
      </c>
      <c r="M51" s="1">
        <v>43.4</v>
      </c>
      <c r="N51" s="1">
        <v>66.099999999999994</v>
      </c>
      <c r="O51" s="1">
        <v>68.8</v>
      </c>
      <c r="P51" s="1">
        <v>50.3</v>
      </c>
      <c r="Q51" s="1">
        <v>50</v>
      </c>
      <c r="R51" s="1">
        <v>42.9</v>
      </c>
      <c r="S51" s="1">
        <v>59.2</v>
      </c>
      <c r="T51" s="1">
        <v>41.6</v>
      </c>
      <c r="U51" s="1">
        <v>54.9</v>
      </c>
      <c r="V51" s="1">
        <v>84.4</v>
      </c>
      <c r="W51" s="1">
        <v>70.599999999999994</v>
      </c>
      <c r="X51" s="1">
        <v>78.599999999999994</v>
      </c>
      <c r="Y51" s="1">
        <v>51.1</v>
      </c>
      <c r="Z51" s="1">
        <v>46.8</v>
      </c>
    </row>
    <row r="52" spans="1:32">
      <c r="A52">
        <v>1990</v>
      </c>
      <c r="B52" s="1">
        <v>87.2</v>
      </c>
      <c r="C52" s="1">
        <v>47.6</v>
      </c>
      <c r="D52" s="1">
        <v>57.5</v>
      </c>
      <c r="E52" s="1">
        <v>73.099999999999994</v>
      </c>
      <c r="F52" s="1">
        <v>85.7</v>
      </c>
      <c r="G52" s="1">
        <v>23.1</v>
      </c>
      <c r="H52" s="1">
        <v>38.1</v>
      </c>
      <c r="I52" s="1">
        <v>33.200000000000003</v>
      </c>
      <c r="J52" s="1">
        <v>39.4</v>
      </c>
      <c r="K52" s="1">
        <v>55.9</v>
      </c>
      <c r="L52" s="1">
        <v>70</v>
      </c>
      <c r="M52" s="1">
        <v>58.8</v>
      </c>
      <c r="N52" s="1">
        <v>66.099999999999994</v>
      </c>
      <c r="O52" s="1">
        <v>73.400000000000006</v>
      </c>
      <c r="P52" s="1">
        <v>53.4</v>
      </c>
      <c r="Q52" s="1">
        <v>53.5</v>
      </c>
      <c r="R52" s="1">
        <v>48.5</v>
      </c>
      <c r="S52" s="1">
        <v>66</v>
      </c>
      <c r="T52" s="1">
        <v>47.6</v>
      </c>
      <c r="U52" s="1">
        <v>65.400000000000006</v>
      </c>
      <c r="V52" s="1">
        <v>84.7</v>
      </c>
      <c r="W52" s="1">
        <v>74.400000000000006</v>
      </c>
      <c r="X52" s="1">
        <v>83.9</v>
      </c>
      <c r="Y52" s="1">
        <v>56.3</v>
      </c>
      <c r="Z52" s="1">
        <v>51.5</v>
      </c>
    </row>
    <row r="53" spans="1:32">
      <c r="A53">
        <v>2000</v>
      </c>
      <c r="B53" s="1">
        <v>89.1</v>
      </c>
      <c r="C53" s="1">
        <v>49.6</v>
      </c>
      <c r="D53" s="1">
        <v>62.7</v>
      </c>
      <c r="E53" s="1">
        <v>79.5</v>
      </c>
      <c r="F53" s="1"/>
      <c r="G53" s="1"/>
      <c r="H53" s="1">
        <v>47.7</v>
      </c>
      <c r="I53" s="1">
        <v>36.200000000000003</v>
      </c>
      <c r="J53" s="1">
        <v>43.9</v>
      </c>
      <c r="K53" s="1">
        <v>63</v>
      </c>
      <c r="L53" s="1"/>
      <c r="M53" s="1">
        <v>54.2</v>
      </c>
      <c r="N53" s="1"/>
      <c r="O53" s="1">
        <v>74.5</v>
      </c>
      <c r="P53" s="1"/>
      <c r="Q53" s="1">
        <v>61.6</v>
      </c>
      <c r="R53" s="1">
        <v>54.2</v>
      </c>
      <c r="S53" s="1"/>
      <c r="T53" s="1"/>
      <c r="U53" s="1">
        <v>74.099999999999994</v>
      </c>
      <c r="V53" s="1"/>
      <c r="W53" s="1">
        <v>75</v>
      </c>
      <c r="X53" s="1">
        <v>86</v>
      </c>
      <c r="Y53" s="1">
        <v>61.6</v>
      </c>
      <c r="Z53" s="1">
        <v>52.1</v>
      </c>
    </row>
    <row r="57" spans="1:32">
      <c r="A57" s="11" t="s">
        <v>92</v>
      </c>
    </row>
    <row r="59" spans="1:32">
      <c r="A59" s="12" t="s">
        <v>42</v>
      </c>
      <c r="B59" s="12" t="s">
        <v>6</v>
      </c>
      <c r="C59" s="12" t="s">
        <v>31</v>
      </c>
      <c r="D59" s="12" t="s">
        <v>32</v>
      </c>
      <c r="E59" s="12" t="s">
        <v>19</v>
      </c>
      <c r="F59" s="12" t="s">
        <v>7</v>
      </c>
      <c r="G59" s="12" t="s">
        <v>8</v>
      </c>
      <c r="H59" s="12" t="s">
        <v>18</v>
      </c>
      <c r="I59" s="12" t="s">
        <v>34</v>
      </c>
      <c r="J59" s="12" t="s">
        <v>24</v>
      </c>
      <c r="K59" s="12" t="s">
        <v>23</v>
      </c>
      <c r="L59" s="12" t="s">
        <v>25</v>
      </c>
      <c r="M59" s="12" t="s">
        <v>33</v>
      </c>
      <c r="N59" s="12" t="s">
        <v>30</v>
      </c>
      <c r="O59" s="12" t="s">
        <v>10</v>
      </c>
      <c r="P59" s="12" t="s">
        <v>20</v>
      </c>
      <c r="Q59" s="12" t="s">
        <v>21</v>
      </c>
      <c r="R59" s="12" t="s">
        <v>27</v>
      </c>
      <c r="S59" s="12" t="s">
        <v>28</v>
      </c>
      <c r="T59" s="12" t="s">
        <v>29</v>
      </c>
      <c r="U59" s="12" t="s">
        <v>14</v>
      </c>
      <c r="V59" s="12" t="s">
        <v>15</v>
      </c>
      <c r="W59" s="12" t="s">
        <v>22</v>
      </c>
      <c r="X59" s="12" t="s">
        <v>35</v>
      </c>
      <c r="Y59" s="12" t="s">
        <v>36</v>
      </c>
      <c r="Z59" s="12" t="s">
        <v>37</v>
      </c>
      <c r="AA59" s="12" t="s">
        <v>17</v>
      </c>
      <c r="AB59" s="12" t="s">
        <v>9</v>
      </c>
      <c r="AC59" s="12" t="s">
        <v>11</v>
      </c>
      <c r="AD59" s="12" t="s">
        <v>26</v>
      </c>
      <c r="AE59" s="12" t="s">
        <v>84</v>
      </c>
      <c r="AF59" s="12" t="s">
        <v>110</v>
      </c>
    </row>
    <row r="60" spans="1:32">
      <c r="A60">
        <v>1865</v>
      </c>
      <c r="AB60" s="1">
        <v>15.973962510368438</v>
      </c>
    </row>
    <row r="61" spans="1:32">
      <c r="A61">
        <v>1869</v>
      </c>
      <c r="B61" s="1">
        <v>24.82533867257391</v>
      </c>
    </row>
    <row r="62" spans="1:32">
      <c r="A62">
        <v>1875</v>
      </c>
      <c r="B62" s="1"/>
      <c r="AB62" s="1">
        <v>17.277987023903513</v>
      </c>
    </row>
    <row r="63" spans="1:32">
      <c r="A63">
        <v>1876</v>
      </c>
      <c r="B63" s="1"/>
      <c r="V63" s="1">
        <v>7.4535049753510974</v>
      </c>
      <c r="AB63" s="1"/>
    </row>
    <row r="64" spans="1:32">
      <c r="A64">
        <v>1885</v>
      </c>
      <c r="B64" s="1"/>
      <c r="AB64" s="1">
        <v>19.212369940391472</v>
      </c>
    </row>
    <row r="65" spans="1:32">
      <c r="A65">
        <v>1895</v>
      </c>
      <c r="B65" s="1">
        <v>31.833737851496533</v>
      </c>
      <c r="AB65" s="1">
        <v>24.121981380841554</v>
      </c>
    </row>
    <row r="66" spans="1:32">
      <c r="A66">
        <v>1900</v>
      </c>
      <c r="B66" s="1"/>
      <c r="F66" s="1">
        <v>8.5972647960386706</v>
      </c>
      <c r="R66" s="1">
        <v>21.466933269210756</v>
      </c>
      <c r="AB66" s="1"/>
    </row>
    <row r="67" spans="1:32">
      <c r="A67">
        <v>1907</v>
      </c>
      <c r="B67" s="1"/>
      <c r="AB67" s="1">
        <v>27.698910521277391</v>
      </c>
    </row>
    <row r="68" spans="1:32">
      <c r="A68">
        <v>1910</v>
      </c>
      <c r="B68" s="1"/>
      <c r="R68">
        <v>24.7</v>
      </c>
      <c r="AB68" s="1"/>
    </row>
    <row r="69" spans="1:32">
      <c r="A69">
        <v>1913</v>
      </c>
      <c r="B69" s="1"/>
      <c r="AB69" s="1"/>
    </row>
    <row r="70" spans="1:32">
      <c r="A70">
        <v>1914</v>
      </c>
      <c r="B70" s="1">
        <v>38.26516565069636</v>
      </c>
    </row>
    <row r="71" spans="1:32" ht="13.5" customHeight="1">
      <c r="A71">
        <v>1919</v>
      </c>
      <c r="Q71" s="1">
        <v>27.859047616410361</v>
      </c>
    </row>
    <row r="72" spans="1:32">
      <c r="A72">
        <v>1920</v>
      </c>
      <c r="G72">
        <v>13</v>
      </c>
      <c r="H72">
        <v>11</v>
      </c>
      <c r="N72" s="1">
        <v>5.3757551709299012</v>
      </c>
      <c r="O72">
        <v>7</v>
      </c>
      <c r="S72" s="1">
        <v>4.3936290090937495</v>
      </c>
      <c r="V72">
        <v>6</v>
      </c>
      <c r="AA72">
        <v>30</v>
      </c>
      <c r="AB72" s="1">
        <v>27.96247421409107</v>
      </c>
      <c r="AC72">
        <v>10</v>
      </c>
      <c r="AE72">
        <v>10</v>
      </c>
    </row>
    <row r="73" spans="1:32">
      <c r="A73">
        <v>1921</v>
      </c>
      <c r="N73" s="1"/>
      <c r="R73" s="1">
        <v>30.616554018692632</v>
      </c>
      <c r="S73" s="1"/>
      <c r="AB73" s="1"/>
      <c r="AD73">
        <v>10.3</v>
      </c>
    </row>
    <row r="74" spans="1:32">
      <c r="A74">
        <v>1926</v>
      </c>
      <c r="N74" s="1"/>
      <c r="R74" s="1"/>
      <c r="S74" s="1"/>
      <c r="AB74" s="1"/>
      <c r="AE74">
        <v>12.1</v>
      </c>
      <c r="AF74">
        <v>11.8</v>
      </c>
    </row>
    <row r="75" spans="1:32">
      <c r="A75">
        <v>1927</v>
      </c>
      <c r="P75" s="1">
        <v>18.87623959756025</v>
      </c>
    </row>
    <row r="76" spans="1:32">
      <c r="A76">
        <v>1930</v>
      </c>
      <c r="G76">
        <v>14</v>
      </c>
      <c r="H76">
        <v>13</v>
      </c>
      <c r="O76">
        <v>10</v>
      </c>
      <c r="R76">
        <v>28.5</v>
      </c>
      <c r="T76" s="1">
        <v>24.338525446181379</v>
      </c>
      <c r="V76">
        <v>10</v>
      </c>
      <c r="W76" s="1">
        <v>10.216396011882644</v>
      </c>
      <c r="AA76">
        <v>35</v>
      </c>
      <c r="AB76" s="1">
        <v>32.849564250969983</v>
      </c>
      <c r="AC76">
        <v>13</v>
      </c>
      <c r="AE76">
        <v>13</v>
      </c>
    </row>
    <row r="77" spans="1:32">
      <c r="A77">
        <v>1931</v>
      </c>
      <c r="Q77" s="1">
        <v>29.864393399462539</v>
      </c>
    </row>
    <row r="78" spans="1:32">
      <c r="A78">
        <v>1935</v>
      </c>
      <c r="N78" s="1">
        <v>7.1153704466016006</v>
      </c>
    </row>
    <row r="79" spans="1:32">
      <c r="A79">
        <v>1936</v>
      </c>
      <c r="H79" s="1">
        <v>19.091253072290105</v>
      </c>
    </row>
    <row r="80" spans="1:32">
      <c r="A80">
        <v>1937</v>
      </c>
      <c r="H80" s="1"/>
      <c r="U80" s="1">
        <v>11.197210631902117</v>
      </c>
    </row>
    <row r="81" spans="1:32">
      <c r="A81">
        <v>1938</v>
      </c>
      <c r="O81" s="1">
        <v>14.737441012312832</v>
      </c>
    </row>
    <row r="82" spans="1:32">
      <c r="A82">
        <v>1939</v>
      </c>
      <c r="O82" s="1"/>
    </row>
    <row r="83" spans="1:32">
      <c r="A83">
        <v>1940</v>
      </c>
      <c r="B83">
        <v>41</v>
      </c>
      <c r="G83" s="1">
        <v>14.979631374994044</v>
      </c>
      <c r="K83" s="1">
        <v>5.7838535408498206</v>
      </c>
      <c r="L83">
        <v>6.1</v>
      </c>
      <c r="Q83">
        <v>30</v>
      </c>
      <c r="S83" s="1">
        <v>7.5335821390138475</v>
      </c>
      <c r="T83" s="1">
        <v>27.583662937332001</v>
      </c>
      <c r="V83" s="1">
        <v>14.12009761005495</v>
      </c>
      <c r="AA83">
        <v>38</v>
      </c>
      <c r="AB83" s="1">
        <v>36.418648287591672</v>
      </c>
      <c r="AC83">
        <v>16</v>
      </c>
      <c r="AE83">
        <v>24</v>
      </c>
    </row>
    <row r="84" spans="1:32">
      <c r="A84">
        <v>1941</v>
      </c>
      <c r="H84" s="1">
        <v>18.100000000000001</v>
      </c>
    </row>
    <row r="85" spans="1:32">
      <c r="A85">
        <v>1943</v>
      </c>
      <c r="Q85" s="1">
        <v>33.361821561291613</v>
      </c>
      <c r="AD85">
        <v>16.3</v>
      </c>
    </row>
    <row r="86" spans="1:32">
      <c r="A86">
        <v>1947</v>
      </c>
      <c r="B86" s="1">
        <v>49.068352134448176</v>
      </c>
    </row>
    <row r="87" spans="1:32">
      <c r="A87">
        <v>1950</v>
      </c>
      <c r="B87" s="1">
        <v>50.7</v>
      </c>
      <c r="C87" s="1">
        <v>54.4</v>
      </c>
      <c r="D87" s="1">
        <v>45.5</v>
      </c>
      <c r="E87" s="1">
        <v>37</v>
      </c>
      <c r="F87" s="1">
        <v>19.7</v>
      </c>
      <c r="G87" s="1">
        <v>22</v>
      </c>
      <c r="H87" s="1">
        <v>38.700000000000003</v>
      </c>
      <c r="I87" s="1">
        <v>24.5</v>
      </c>
      <c r="J87" s="1">
        <v>5.5</v>
      </c>
      <c r="K87" s="1">
        <v>13.8</v>
      </c>
      <c r="L87" s="1">
        <v>6.8</v>
      </c>
      <c r="M87" s="1" t="s">
        <v>3</v>
      </c>
      <c r="N87" s="1">
        <v>11.1</v>
      </c>
      <c r="O87" s="1">
        <v>22.5</v>
      </c>
      <c r="P87" s="1">
        <v>18.399999999999999</v>
      </c>
      <c r="Q87" s="1">
        <v>38.299999999999997</v>
      </c>
      <c r="R87" s="1">
        <v>21.8</v>
      </c>
      <c r="S87" s="1">
        <v>15.2</v>
      </c>
      <c r="T87" s="1">
        <v>28.2</v>
      </c>
      <c r="U87" s="1">
        <v>19.600000000000001</v>
      </c>
      <c r="V87" s="1">
        <v>15.9</v>
      </c>
      <c r="W87" s="1">
        <v>14.7</v>
      </c>
      <c r="X87" s="1" t="s">
        <v>3</v>
      </c>
      <c r="Y87" s="1">
        <v>32</v>
      </c>
      <c r="Z87" s="1">
        <v>22.1</v>
      </c>
      <c r="AA87" s="1" t="s">
        <v>3</v>
      </c>
      <c r="AB87" s="1">
        <v>47.1</v>
      </c>
      <c r="AC87" s="1">
        <v>18</v>
      </c>
      <c r="AD87" s="1">
        <v>16.399999999999999</v>
      </c>
      <c r="AE87" s="1">
        <v>31</v>
      </c>
    </row>
    <row r="88" spans="1:32">
      <c r="A88">
        <v>1959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>
        <v>35.6</v>
      </c>
      <c r="AF88" s="1">
        <v>41</v>
      </c>
    </row>
    <row r="89" spans="1:32">
      <c r="A89">
        <v>1960</v>
      </c>
      <c r="B89" s="1">
        <v>60</v>
      </c>
      <c r="C89" s="1">
        <v>62.1</v>
      </c>
      <c r="D89" s="1">
        <v>46.2</v>
      </c>
      <c r="E89" s="1">
        <v>44.3</v>
      </c>
      <c r="F89" s="1" t="s">
        <v>3</v>
      </c>
      <c r="G89" s="1">
        <v>29</v>
      </c>
      <c r="H89" s="1">
        <v>52.7</v>
      </c>
      <c r="I89" s="1" t="s">
        <v>3</v>
      </c>
      <c r="J89" s="1" t="s">
        <v>3</v>
      </c>
      <c r="K89" s="1">
        <v>19.3</v>
      </c>
      <c r="L89" s="1">
        <v>11.5</v>
      </c>
      <c r="M89" s="1">
        <v>30.3</v>
      </c>
      <c r="N89" s="1">
        <v>18.7</v>
      </c>
      <c r="O89" s="1">
        <v>37.200000000000003</v>
      </c>
      <c r="P89" s="1">
        <v>22.8</v>
      </c>
      <c r="Q89" s="1" t="s">
        <v>3</v>
      </c>
      <c r="R89" s="1">
        <v>29.6</v>
      </c>
      <c r="S89" s="1">
        <v>23</v>
      </c>
      <c r="T89" s="1">
        <v>34.6</v>
      </c>
      <c r="U89" s="1">
        <v>23</v>
      </c>
      <c r="V89" s="1">
        <v>30.7</v>
      </c>
      <c r="W89" s="1">
        <v>19.5</v>
      </c>
      <c r="X89" s="1">
        <v>25.6</v>
      </c>
      <c r="Y89" s="1">
        <v>37.6</v>
      </c>
      <c r="Z89" s="1">
        <v>36.799999999999997</v>
      </c>
      <c r="AA89" s="1">
        <v>66.900000000000006</v>
      </c>
      <c r="AB89" s="1">
        <v>55.1</v>
      </c>
      <c r="AC89" s="1">
        <v>27.7</v>
      </c>
      <c r="AD89" s="1">
        <v>24.9</v>
      </c>
      <c r="AE89" s="1">
        <v>36</v>
      </c>
    </row>
    <row r="90" spans="1:32">
      <c r="A90">
        <v>1970</v>
      </c>
      <c r="B90" s="1">
        <v>66.900000000000006</v>
      </c>
      <c r="C90" s="1">
        <v>60.1</v>
      </c>
      <c r="D90" s="1">
        <v>47</v>
      </c>
      <c r="E90" s="1">
        <v>36.200000000000003</v>
      </c>
      <c r="F90" s="1">
        <v>34.1</v>
      </c>
      <c r="G90" s="1">
        <v>40.700000000000003</v>
      </c>
      <c r="H90" s="1">
        <v>63.3</v>
      </c>
      <c r="I90" s="1" t="s">
        <v>3</v>
      </c>
      <c r="J90" s="1">
        <v>13.7</v>
      </c>
      <c r="K90" s="1">
        <v>22.2</v>
      </c>
      <c r="L90" s="1">
        <v>20.5</v>
      </c>
      <c r="M90" s="1">
        <v>31.9</v>
      </c>
      <c r="N90" s="1">
        <v>30.5</v>
      </c>
      <c r="O90" s="1">
        <v>45.6</v>
      </c>
      <c r="P90" s="1">
        <v>30.8</v>
      </c>
      <c r="Q90" s="1">
        <v>43.8</v>
      </c>
      <c r="R90" s="1">
        <v>35.299999999999997</v>
      </c>
      <c r="S90" s="1">
        <v>29.6</v>
      </c>
      <c r="T90" s="1">
        <v>39.1</v>
      </c>
      <c r="U90" s="1">
        <v>27.6</v>
      </c>
      <c r="V90" s="1">
        <v>43</v>
      </c>
      <c r="W90" s="1">
        <v>21.9</v>
      </c>
      <c r="X90" s="1">
        <v>27</v>
      </c>
      <c r="Y90" s="1">
        <v>40.5</v>
      </c>
      <c r="Z90" s="1">
        <v>37.4</v>
      </c>
      <c r="AA90" s="1">
        <v>69.900000000000006</v>
      </c>
      <c r="AB90" s="1">
        <v>62</v>
      </c>
      <c r="AC90" s="1">
        <v>35.299999999999997</v>
      </c>
      <c r="AD90" s="1">
        <v>32.1</v>
      </c>
      <c r="AE90" s="1">
        <v>44.3</v>
      </c>
      <c r="AF90" s="1">
        <v>50.8</v>
      </c>
    </row>
    <row r="91" spans="1:32">
      <c r="A91">
        <v>1979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>
        <v>54.9</v>
      </c>
      <c r="AF91" s="24">
        <v>58</v>
      </c>
    </row>
    <row r="92" spans="1:32">
      <c r="A92">
        <v>1980</v>
      </c>
      <c r="B92" s="1">
        <v>71.2</v>
      </c>
      <c r="C92" s="1">
        <v>64.599999999999994</v>
      </c>
      <c r="D92" s="1">
        <v>46.6</v>
      </c>
      <c r="E92" s="1">
        <v>27.9</v>
      </c>
      <c r="F92" s="1" t="s">
        <v>3</v>
      </c>
      <c r="G92" s="1">
        <v>52.3</v>
      </c>
      <c r="H92" s="1">
        <v>70.5</v>
      </c>
      <c r="I92" s="1" t="s">
        <v>3</v>
      </c>
      <c r="J92" s="1">
        <v>17.399999999999999</v>
      </c>
      <c r="K92" s="1">
        <v>22</v>
      </c>
      <c r="L92" s="1">
        <v>28</v>
      </c>
      <c r="M92" s="1">
        <v>33</v>
      </c>
      <c r="N92" s="1">
        <v>41.9</v>
      </c>
      <c r="O92" s="1">
        <v>55.1</v>
      </c>
      <c r="P92" s="1">
        <v>33.799999999999997</v>
      </c>
      <c r="Q92" s="1">
        <v>47.9</v>
      </c>
      <c r="R92" s="1">
        <v>40.9</v>
      </c>
      <c r="S92" s="1" t="s">
        <v>3</v>
      </c>
      <c r="T92" s="1">
        <v>43.8</v>
      </c>
      <c r="U92" s="1">
        <v>33.1</v>
      </c>
      <c r="V92" s="1">
        <v>51.1</v>
      </c>
      <c r="W92" s="1" t="s">
        <v>3</v>
      </c>
      <c r="X92" s="1">
        <v>25.7</v>
      </c>
      <c r="Y92" s="1">
        <v>37.9</v>
      </c>
      <c r="Z92" s="1">
        <v>40.799999999999997</v>
      </c>
      <c r="AA92" s="1">
        <v>71.8</v>
      </c>
      <c r="AB92" s="1">
        <v>68.599999999999994</v>
      </c>
      <c r="AC92" s="1">
        <v>42.5</v>
      </c>
      <c r="AD92" s="1">
        <v>38</v>
      </c>
    </row>
    <row r="93" spans="1:32">
      <c r="A93">
        <v>1989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F93">
        <v>61.9</v>
      </c>
    </row>
    <row r="94" spans="1:32">
      <c r="A94">
        <v>1990</v>
      </c>
      <c r="B94" s="1">
        <v>74.900000000000006</v>
      </c>
      <c r="C94" s="1" t="s">
        <v>3</v>
      </c>
      <c r="D94" s="1" t="s">
        <v>3</v>
      </c>
      <c r="E94" s="1" t="s">
        <v>3</v>
      </c>
      <c r="F94" s="1">
        <v>49.6</v>
      </c>
      <c r="G94" s="1">
        <v>58.9</v>
      </c>
      <c r="H94" s="1">
        <v>71.7</v>
      </c>
      <c r="I94" s="1" t="s">
        <v>3</v>
      </c>
      <c r="J94" s="1" t="s">
        <v>3</v>
      </c>
      <c r="K94" s="1">
        <v>23.7</v>
      </c>
      <c r="L94" s="1" t="s">
        <v>3</v>
      </c>
      <c r="M94" s="1" t="s">
        <v>3</v>
      </c>
      <c r="N94" s="1">
        <v>45.2</v>
      </c>
      <c r="O94" s="1">
        <v>59.2</v>
      </c>
      <c r="P94" s="1" t="s">
        <v>3</v>
      </c>
      <c r="Q94" s="1" t="s">
        <v>3</v>
      </c>
      <c r="R94" s="1">
        <v>44.4</v>
      </c>
      <c r="S94" s="1">
        <v>41</v>
      </c>
      <c r="T94" s="1">
        <v>47</v>
      </c>
      <c r="U94" s="1">
        <v>39</v>
      </c>
      <c r="V94" s="1">
        <v>56.8</v>
      </c>
      <c r="W94" s="1">
        <v>35.5</v>
      </c>
      <c r="X94" s="1" t="s">
        <v>3</v>
      </c>
      <c r="Y94" s="1" t="s">
        <v>3</v>
      </c>
      <c r="Z94" s="1" t="s">
        <v>3</v>
      </c>
      <c r="AA94" s="1">
        <v>74.3</v>
      </c>
      <c r="AB94" s="1">
        <v>72.5</v>
      </c>
      <c r="AC94" s="1">
        <v>48</v>
      </c>
      <c r="AD94" s="1" t="s">
        <v>3</v>
      </c>
    </row>
    <row r="95" spans="1:32">
      <c r="A95">
        <v>2000</v>
      </c>
      <c r="B95" s="1">
        <v>76.599999999999994</v>
      </c>
      <c r="C95" s="1" t="s">
        <v>3</v>
      </c>
      <c r="D95" s="1" t="s">
        <v>3</v>
      </c>
      <c r="E95" s="1" t="s">
        <v>3</v>
      </c>
      <c r="F95" s="1">
        <v>54.4</v>
      </c>
      <c r="G95" s="1">
        <v>64.599999999999994</v>
      </c>
      <c r="H95" s="1">
        <v>74.3</v>
      </c>
      <c r="I95" s="1" t="s">
        <v>3</v>
      </c>
      <c r="J95" s="1">
        <v>34.1</v>
      </c>
      <c r="K95" s="1">
        <v>30.7</v>
      </c>
      <c r="L95" s="1">
        <v>32.5</v>
      </c>
      <c r="M95" s="1" t="s">
        <v>3</v>
      </c>
      <c r="N95" s="1">
        <v>52.6</v>
      </c>
      <c r="O95" s="1">
        <v>65</v>
      </c>
      <c r="P95" s="1">
        <v>49.2</v>
      </c>
      <c r="Q95" s="1">
        <v>54.5</v>
      </c>
      <c r="R95" s="1">
        <v>60.5</v>
      </c>
      <c r="S95" s="1">
        <v>41.4</v>
      </c>
      <c r="T95" s="1">
        <v>57.3</v>
      </c>
      <c r="U95" s="1">
        <v>44.8</v>
      </c>
      <c r="V95" s="1">
        <v>62.1</v>
      </c>
      <c r="W95" s="1">
        <v>44</v>
      </c>
      <c r="X95" s="1" t="s">
        <v>3</v>
      </c>
      <c r="Y95" s="1" t="s">
        <v>3</v>
      </c>
      <c r="Z95" s="1" t="s">
        <v>3</v>
      </c>
      <c r="AA95" s="1">
        <v>72</v>
      </c>
      <c r="AB95" s="1">
        <v>76.900000000000006</v>
      </c>
      <c r="AC95" s="1">
        <v>54.3</v>
      </c>
      <c r="AD95" s="1" t="s">
        <v>3</v>
      </c>
    </row>
    <row r="96" spans="1:32">
      <c r="A96">
        <v>2010</v>
      </c>
      <c r="B96" s="1">
        <v>79.8</v>
      </c>
      <c r="C96" s="1" t="s">
        <v>3</v>
      </c>
      <c r="D96" s="1" t="s">
        <v>3</v>
      </c>
      <c r="E96" s="1" t="s">
        <v>3</v>
      </c>
      <c r="F96" s="1">
        <v>59.4</v>
      </c>
      <c r="G96" s="1">
        <v>70.599999999999994</v>
      </c>
      <c r="H96" s="1">
        <v>78</v>
      </c>
      <c r="I96" s="1" t="s">
        <v>3</v>
      </c>
      <c r="J96" s="1" t="s">
        <v>3</v>
      </c>
      <c r="K96" s="1" t="s">
        <v>3</v>
      </c>
      <c r="L96" s="1">
        <v>42.4</v>
      </c>
      <c r="M96" s="1" t="s">
        <v>3</v>
      </c>
      <c r="N96" s="1">
        <v>64.2</v>
      </c>
      <c r="O96" s="1">
        <v>64.900000000000006</v>
      </c>
      <c r="P96" s="1">
        <v>58.7</v>
      </c>
      <c r="Q96" s="1">
        <v>55.2</v>
      </c>
      <c r="R96" s="1">
        <v>70.2</v>
      </c>
      <c r="S96" s="1" t="s">
        <v>3</v>
      </c>
      <c r="T96" s="1">
        <v>60.1</v>
      </c>
      <c r="U96" s="1" t="s">
        <v>3</v>
      </c>
      <c r="V96" s="1">
        <v>69.3</v>
      </c>
      <c r="W96" s="1" t="s">
        <v>3</v>
      </c>
      <c r="X96" s="1" t="s">
        <v>3</v>
      </c>
      <c r="Y96" s="1" t="s">
        <v>3</v>
      </c>
      <c r="Z96" s="1" t="s">
        <v>3</v>
      </c>
      <c r="AA96" s="1">
        <v>77.8</v>
      </c>
      <c r="AB96" s="1">
        <v>80.3</v>
      </c>
      <c r="AC96" s="1">
        <v>64.400000000000006</v>
      </c>
      <c r="AD96" s="1" t="s">
        <v>3</v>
      </c>
    </row>
    <row r="100" spans="1:26">
      <c r="A100" s="11" t="s">
        <v>93</v>
      </c>
    </row>
    <row r="102" spans="1:26">
      <c r="A102" s="12" t="s">
        <v>42</v>
      </c>
      <c r="B102" s="12" t="s">
        <v>6</v>
      </c>
      <c r="C102" s="12" t="s">
        <v>7</v>
      </c>
      <c r="D102" s="12" t="s">
        <v>8</v>
      </c>
      <c r="E102" s="12" t="s">
        <v>18</v>
      </c>
      <c r="F102" s="12" t="s">
        <v>34</v>
      </c>
      <c r="G102" s="12" t="s">
        <v>24</v>
      </c>
      <c r="H102" s="12" t="s">
        <v>23</v>
      </c>
      <c r="I102" s="12" t="s">
        <v>25</v>
      </c>
      <c r="J102" s="12" t="s">
        <v>30</v>
      </c>
      <c r="K102" s="12" t="s">
        <v>10</v>
      </c>
      <c r="L102" s="12" t="s">
        <v>20</v>
      </c>
      <c r="M102" s="12" t="s">
        <v>21</v>
      </c>
      <c r="N102" s="12" t="s">
        <v>27</v>
      </c>
      <c r="O102" s="12" t="s">
        <v>28</v>
      </c>
      <c r="P102" s="12" t="s">
        <v>29</v>
      </c>
      <c r="Q102" s="12" t="s">
        <v>14</v>
      </c>
      <c r="R102" s="12" t="s">
        <v>15</v>
      </c>
      <c r="S102" s="12" t="s">
        <v>22</v>
      </c>
      <c r="T102" s="12" t="s">
        <v>37</v>
      </c>
      <c r="U102" s="12" t="s">
        <v>17</v>
      </c>
      <c r="V102" s="12" t="s">
        <v>9</v>
      </c>
      <c r="W102" s="12" t="s">
        <v>11</v>
      </c>
      <c r="X102" s="12" t="s">
        <v>26</v>
      </c>
      <c r="Y102" s="12" t="s">
        <v>64</v>
      </c>
      <c r="Z102" s="12" t="s">
        <v>110</v>
      </c>
    </row>
    <row r="103" spans="1:26">
      <c r="A103">
        <v>1865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>
        <v>10.981226600587174</v>
      </c>
      <c r="W103" s="2"/>
      <c r="X103" s="2"/>
      <c r="Y103" s="2"/>
    </row>
    <row r="104" spans="1:26">
      <c r="A104">
        <v>1869</v>
      </c>
      <c r="B104" s="1">
        <v>16.412235273528619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6">
      <c r="A105">
        <v>1875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>
        <v>11.841254044492914</v>
      </c>
      <c r="W105" s="2"/>
      <c r="X105" s="2"/>
      <c r="Y105" s="2"/>
    </row>
    <row r="106" spans="1:26">
      <c r="A106">
        <v>1876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1">
        <v>3.760059812397142</v>
      </c>
      <c r="S106" s="2"/>
      <c r="T106" s="2"/>
      <c r="U106" s="2"/>
      <c r="V106" s="2"/>
      <c r="W106" s="2"/>
      <c r="X106" s="2"/>
      <c r="Y106" s="2"/>
    </row>
    <row r="107" spans="1:26">
      <c r="A107">
        <v>1885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>
        <v>12.749795119459268</v>
      </c>
      <c r="W107" s="2"/>
      <c r="X107" s="2"/>
      <c r="Y107" s="2"/>
    </row>
    <row r="108" spans="1:26">
      <c r="A108">
        <v>1895</v>
      </c>
      <c r="B108" s="1">
        <v>24.590995853004024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>
        <v>15.576245989559462</v>
      </c>
      <c r="W108" s="2"/>
      <c r="X108" s="2"/>
      <c r="Y108" s="2"/>
    </row>
    <row r="109" spans="1:26">
      <c r="A109">
        <v>1900</v>
      </c>
      <c r="B109" s="1"/>
      <c r="C109" s="1">
        <v>3.1064017920301814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6">
      <c r="A110">
        <v>1907</v>
      </c>
      <c r="B110" s="2"/>
      <c r="C110" s="2"/>
      <c r="D110" s="2"/>
      <c r="E110" s="2"/>
      <c r="F110" s="2"/>
      <c r="G110" s="2"/>
      <c r="H110" s="2"/>
      <c r="I110" s="2"/>
      <c r="Q110" s="2"/>
      <c r="R110" s="2"/>
      <c r="S110" s="2"/>
      <c r="T110" s="2"/>
      <c r="U110" s="2"/>
      <c r="V110" s="1">
        <v>17.093485515276829</v>
      </c>
      <c r="W110" s="2"/>
      <c r="X110" s="2"/>
      <c r="Y110" s="2"/>
    </row>
    <row r="111" spans="1:26">
      <c r="A111">
        <v>1914</v>
      </c>
      <c r="B111" s="1">
        <v>32.61908297746789</v>
      </c>
      <c r="C111" s="2"/>
      <c r="D111" s="2"/>
      <c r="E111" s="2"/>
      <c r="F111" s="2"/>
      <c r="G111" s="2"/>
      <c r="H111" s="2"/>
      <c r="I111" s="2"/>
      <c r="Q111" s="2"/>
      <c r="R111" s="2"/>
      <c r="S111" s="2"/>
      <c r="T111" s="2"/>
      <c r="U111" s="2"/>
      <c r="V111" s="1">
        <v>18.489934280279929</v>
      </c>
      <c r="W111" s="2"/>
      <c r="X111" s="2"/>
    </row>
    <row r="112" spans="1:26">
      <c r="A112">
        <v>1919</v>
      </c>
      <c r="B112" s="2"/>
      <c r="C112" s="2"/>
      <c r="D112" s="2"/>
      <c r="E112" s="2"/>
      <c r="F112" s="2"/>
      <c r="G112" s="2"/>
      <c r="H112" s="2"/>
      <c r="I112" s="2"/>
      <c r="M112" s="1">
        <v>16.136633940278379</v>
      </c>
      <c r="Q112" s="2"/>
      <c r="R112" s="2"/>
      <c r="S112" s="2"/>
      <c r="T112" s="2"/>
      <c r="U112" s="2"/>
      <c r="V112" s="2"/>
      <c r="W112" s="2"/>
      <c r="X112" s="2"/>
    </row>
    <row r="113" spans="1:26">
      <c r="A113">
        <v>1920</v>
      </c>
      <c r="B113" s="2"/>
      <c r="C113" s="2"/>
      <c r="D113" s="1">
        <v>8.6999999999999993</v>
      </c>
      <c r="E113" s="2"/>
      <c r="F113" s="2"/>
      <c r="G113" s="2"/>
      <c r="H113" s="2"/>
      <c r="I113" s="2"/>
      <c r="J113">
        <v>3.5</v>
      </c>
      <c r="O113">
        <v>4.4000000000000004</v>
      </c>
      <c r="Q113" s="2"/>
      <c r="R113" s="2"/>
      <c r="S113" s="2"/>
      <c r="T113" s="2"/>
      <c r="U113" s="2"/>
      <c r="V113" s="1">
        <v>20.291115180623258</v>
      </c>
      <c r="W113" s="2"/>
      <c r="X113" s="2"/>
    </row>
    <row r="114" spans="1:26">
      <c r="A114">
        <v>1926</v>
      </c>
      <c r="B114" s="2"/>
      <c r="C114" s="2"/>
      <c r="D114" s="1"/>
      <c r="E114" s="2"/>
      <c r="F114" s="2"/>
      <c r="G114" s="2"/>
      <c r="H114" s="2"/>
      <c r="I114" s="2"/>
      <c r="Q114" s="2"/>
      <c r="R114" s="2"/>
      <c r="S114" s="2"/>
      <c r="T114" s="2"/>
      <c r="U114" s="2"/>
      <c r="V114" s="1"/>
      <c r="W114" s="2"/>
      <c r="X114" s="2"/>
      <c r="Y114" s="1">
        <v>6.5</v>
      </c>
      <c r="Z114" s="1">
        <v>6.4</v>
      </c>
    </row>
    <row r="115" spans="1:26">
      <c r="A115">
        <v>1927</v>
      </c>
      <c r="B115" s="2"/>
      <c r="C115" s="2"/>
      <c r="D115" s="2"/>
      <c r="E115" s="2"/>
      <c r="F115" s="2"/>
      <c r="G115" s="2"/>
      <c r="H115" s="2"/>
      <c r="I115" s="2"/>
      <c r="L115" s="1">
        <v>15.938107074083186</v>
      </c>
      <c r="Q115" s="2"/>
      <c r="R115" s="2"/>
      <c r="S115" s="2"/>
      <c r="T115" s="2"/>
      <c r="U115" s="2"/>
      <c r="V115" s="2"/>
      <c r="W115" s="2"/>
      <c r="X115" s="2"/>
    </row>
    <row r="116" spans="1:26">
      <c r="A116">
        <v>1930</v>
      </c>
      <c r="B116" s="2"/>
      <c r="C116" s="2"/>
      <c r="D116" s="2"/>
      <c r="E116" s="2"/>
      <c r="F116" s="2"/>
      <c r="G116" s="2"/>
      <c r="H116" s="2"/>
      <c r="I116" s="2"/>
      <c r="P116" s="1">
        <v>17.399999999999999</v>
      </c>
      <c r="Q116" s="2"/>
      <c r="R116" s="2"/>
      <c r="S116" s="1">
        <v>6.2</v>
      </c>
      <c r="T116" s="2"/>
      <c r="U116" s="2"/>
      <c r="V116" s="1">
        <v>22.93503473513946</v>
      </c>
      <c r="W116" s="2"/>
      <c r="X116" s="2"/>
    </row>
    <row r="117" spans="1:26">
      <c r="A117">
        <v>1931</v>
      </c>
      <c r="B117" s="2"/>
      <c r="C117" s="2"/>
      <c r="D117" s="2"/>
      <c r="E117" s="2"/>
      <c r="F117" s="2"/>
      <c r="G117" s="2"/>
      <c r="H117" s="2"/>
      <c r="I117" s="2"/>
      <c r="M117" s="1">
        <v>20.751529902502156</v>
      </c>
      <c r="Q117" s="2"/>
      <c r="R117" s="2"/>
      <c r="S117" s="2"/>
      <c r="T117" s="2"/>
      <c r="U117" s="2"/>
      <c r="V117" s="2"/>
      <c r="W117" s="2"/>
      <c r="X117" s="2"/>
    </row>
    <row r="118" spans="1:26">
      <c r="A118">
        <v>1935</v>
      </c>
      <c r="B118" s="2"/>
      <c r="C118" s="2"/>
      <c r="D118" s="2"/>
      <c r="E118" s="2"/>
      <c r="F118" s="2"/>
      <c r="G118" s="2"/>
      <c r="H118" s="2"/>
      <c r="I118" s="2"/>
      <c r="J118">
        <v>4.7</v>
      </c>
      <c r="Q118" s="2"/>
      <c r="R118" s="2"/>
      <c r="S118" s="2"/>
      <c r="T118" s="2"/>
      <c r="U118" s="2"/>
      <c r="V118" s="2"/>
      <c r="W118" s="2"/>
      <c r="X118" s="2"/>
    </row>
    <row r="119" spans="1:26">
      <c r="A119">
        <v>1936</v>
      </c>
      <c r="B119" s="2"/>
      <c r="C119" s="2"/>
      <c r="D119" s="2"/>
      <c r="E119" s="1">
        <v>10.959868289448146</v>
      </c>
      <c r="F119" s="2"/>
      <c r="G119" s="2"/>
      <c r="H119" s="2"/>
      <c r="I119" s="2"/>
      <c r="Q119" s="2"/>
      <c r="R119" s="2"/>
      <c r="S119" s="2"/>
      <c r="T119" s="2"/>
      <c r="U119" s="2"/>
      <c r="V119" s="2"/>
      <c r="W119" s="2"/>
      <c r="X119" s="2"/>
    </row>
    <row r="120" spans="1:26">
      <c r="A120">
        <v>1938</v>
      </c>
      <c r="B120" s="2"/>
      <c r="C120" s="2"/>
      <c r="D120" s="2"/>
      <c r="E120" s="2"/>
      <c r="F120" s="2"/>
      <c r="G120" s="2"/>
      <c r="H120" s="2"/>
      <c r="I120" s="2"/>
      <c r="J120" s="1"/>
      <c r="K120" s="1">
        <v>9.4609561958101622</v>
      </c>
      <c r="Q120" s="2"/>
      <c r="R120" s="2"/>
      <c r="S120" s="2"/>
      <c r="T120" s="2"/>
      <c r="U120" s="2"/>
      <c r="V120" s="2"/>
      <c r="W120" s="2"/>
      <c r="X120" s="2"/>
    </row>
    <row r="121" spans="1:26">
      <c r="A121">
        <v>1940</v>
      </c>
      <c r="B121" s="2"/>
      <c r="C121" s="2"/>
      <c r="D121" s="1">
        <v>10.943696108636283</v>
      </c>
      <c r="E121" s="2"/>
      <c r="F121" s="2"/>
      <c r="G121" s="2"/>
      <c r="H121" s="1">
        <v>5.6620215161447227</v>
      </c>
      <c r="I121" s="2"/>
      <c r="N121">
        <v>10.199999999999999</v>
      </c>
      <c r="O121">
        <v>7.5</v>
      </c>
      <c r="P121" s="1">
        <v>19.7</v>
      </c>
      <c r="Q121" s="2"/>
      <c r="R121" s="1">
        <v>8.3848383858999256</v>
      </c>
      <c r="S121" s="2"/>
      <c r="T121" s="2"/>
      <c r="U121" s="2"/>
      <c r="V121" s="1">
        <v>24.839719568216751</v>
      </c>
      <c r="W121" s="2"/>
      <c r="X121" s="2"/>
    </row>
    <row r="122" spans="1:26">
      <c r="A122">
        <v>1941</v>
      </c>
      <c r="B122" s="2"/>
      <c r="C122" s="2"/>
      <c r="D122" s="2"/>
      <c r="E122" s="1">
        <v>12.354575557604816</v>
      </c>
      <c r="F122" s="2"/>
      <c r="G122" s="2"/>
      <c r="H122" s="2"/>
      <c r="I122" s="2"/>
      <c r="Q122" s="2"/>
      <c r="R122" s="2"/>
      <c r="S122" s="2"/>
      <c r="T122" s="2"/>
      <c r="U122" s="2"/>
      <c r="V122" s="2"/>
      <c r="W122" s="2"/>
      <c r="X122" s="2"/>
    </row>
    <row r="123" spans="1:26">
      <c r="A123">
        <v>1943</v>
      </c>
      <c r="B123" s="2"/>
      <c r="C123" s="2"/>
      <c r="D123" s="2"/>
      <c r="E123" s="2"/>
      <c r="F123" s="2"/>
      <c r="G123" s="2"/>
      <c r="H123" s="2"/>
      <c r="I123" s="2"/>
      <c r="M123" s="1">
        <v>22.055413091163864</v>
      </c>
      <c r="Q123" s="2"/>
      <c r="R123" s="2"/>
      <c r="S123" s="2"/>
      <c r="T123" s="2"/>
      <c r="U123" s="2"/>
      <c r="V123" s="2"/>
      <c r="W123" s="2"/>
      <c r="X123" s="2"/>
    </row>
    <row r="124" spans="1:26">
      <c r="A124">
        <v>1947</v>
      </c>
      <c r="B124" s="1">
        <v>39.999919465588746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6">
      <c r="A125">
        <v>1950</v>
      </c>
      <c r="B125" s="1">
        <v>43.2</v>
      </c>
      <c r="C125" s="1">
        <v>10.6</v>
      </c>
      <c r="D125" s="1">
        <v>16.600000000000001</v>
      </c>
      <c r="E125" s="1">
        <v>24.9</v>
      </c>
      <c r="F125" s="1" t="s">
        <v>3</v>
      </c>
      <c r="G125" s="1">
        <v>4.7</v>
      </c>
      <c r="H125" s="1">
        <v>12.8</v>
      </c>
      <c r="I125" s="1"/>
      <c r="J125" s="1">
        <v>8.5</v>
      </c>
      <c r="K125" s="1">
        <v>15.5</v>
      </c>
      <c r="L125" s="1">
        <v>18.399999999999999</v>
      </c>
      <c r="M125" s="1">
        <v>25.7</v>
      </c>
      <c r="N125" s="1">
        <v>14.1</v>
      </c>
      <c r="O125" s="1">
        <v>10.3</v>
      </c>
      <c r="P125" s="1">
        <v>21.7</v>
      </c>
      <c r="Q125" s="1">
        <v>19.600000000000001</v>
      </c>
      <c r="R125" s="1">
        <v>10.4</v>
      </c>
      <c r="S125" s="1">
        <v>10.4</v>
      </c>
      <c r="T125" s="1" t="s">
        <v>3</v>
      </c>
      <c r="U125" s="1" t="s">
        <v>3</v>
      </c>
      <c r="V125" s="1">
        <v>32.799999999999997</v>
      </c>
      <c r="W125" s="1">
        <v>14.8</v>
      </c>
      <c r="X125" s="1">
        <v>16.399999999999999</v>
      </c>
      <c r="Y125" s="1">
        <v>18</v>
      </c>
    </row>
    <row r="126" spans="1:26">
      <c r="A126">
        <v>1959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>
        <v>23.3</v>
      </c>
      <c r="Z126" s="1">
        <v>27</v>
      </c>
    </row>
    <row r="127" spans="1:26">
      <c r="A127">
        <v>1960</v>
      </c>
      <c r="B127" s="1">
        <v>51.6</v>
      </c>
      <c r="C127" s="1" t="s">
        <v>3</v>
      </c>
      <c r="D127" s="1">
        <v>22</v>
      </c>
      <c r="E127" s="1">
        <v>39.1</v>
      </c>
      <c r="F127" s="1">
        <v>26.5</v>
      </c>
      <c r="G127" s="1" t="s">
        <v>3</v>
      </c>
      <c r="H127" s="1">
        <v>17.2</v>
      </c>
      <c r="I127" s="1">
        <v>7.1</v>
      </c>
      <c r="J127" s="1">
        <v>12.1</v>
      </c>
      <c r="K127" s="1">
        <v>29.3</v>
      </c>
      <c r="L127" s="1">
        <v>19.399999999999999</v>
      </c>
      <c r="M127" s="1" t="s">
        <v>3</v>
      </c>
      <c r="N127" s="1">
        <v>18.600000000000001</v>
      </c>
      <c r="O127" s="1">
        <v>15.3</v>
      </c>
      <c r="P127" s="1">
        <v>26.9</v>
      </c>
      <c r="Q127" s="1">
        <v>23</v>
      </c>
      <c r="R127" s="1">
        <v>22.4</v>
      </c>
      <c r="S127" s="1">
        <v>12.9</v>
      </c>
      <c r="T127" s="1">
        <v>30.2</v>
      </c>
      <c r="U127" s="1">
        <v>50.5</v>
      </c>
      <c r="V127" s="1">
        <v>36.799999999999997</v>
      </c>
      <c r="W127" s="1">
        <v>19.2</v>
      </c>
      <c r="X127" s="1">
        <v>23.4</v>
      </c>
    </row>
    <row r="128" spans="1:26">
      <c r="A128">
        <v>1970</v>
      </c>
      <c r="B128" s="1">
        <v>56.2</v>
      </c>
      <c r="C128" s="1">
        <v>28.5</v>
      </c>
      <c r="D128" s="1">
        <v>32.200000000000003</v>
      </c>
      <c r="E128" s="1">
        <v>49.7</v>
      </c>
      <c r="F128" s="1">
        <v>23.4</v>
      </c>
      <c r="G128" s="1">
        <v>11.5</v>
      </c>
      <c r="H128" s="1">
        <v>19.600000000000001</v>
      </c>
      <c r="I128" s="1">
        <v>16</v>
      </c>
      <c r="J128" s="1">
        <v>20.5</v>
      </c>
      <c r="K128" s="1">
        <v>37.5</v>
      </c>
      <c r="L128" s="1">
        <v>21.8</v>
      </c>
      <c r="M128" s="1">
        <v>31</v>
      </c>
      <c r="N128" s="1">
        <v>23.3</v>
      </c>
      <c r="O128" s="1">
        <v>20.5</v>
      </c>
      <c r="P128" s="1">
        <v>31.7</v>
      </c>
      <c r="Q128" s="1">
        <v>24.9</v>
      </c>
      <c r="R128" s="1">
        <v>34.9</v>
      </c>
      <c r="S128" s="1" t="s">
        <v>3</v>
      </c>
      <c r="T128" s="1">
        <v>30.4</v>
      </c>
      <c r="U128" s="1">
        <v>50.3</v>
      </c>
      <c r="V128" s="1">
        <v>43.3</v>
      </c>
      <c r="W128" s="1">
        <v>23.8</v>
      </c>
      <c r="X128" s="1">
        <v>26.1</v>
      </c>
      <c r="Y128" s="1">
        <v>31.2</v>
      </c>
      <c r="Z128" s="1">
        <v>35.799999999999997</v>
      </c>
    </row>
    <row r="129" spans="1:26">
      <c r="A129">
        <v>1979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>
        <v>40.4</v>
      </c>
      <c r="Z129" s="24">
        <v>42.7</v>
      </c>
    </row>
    <row r="130" spans="1:26">
      <c r="A130">
        <v>1980</v>
      </c>
      <c r="B130" s="1">
        <v>58.8</v>
      </c>
      <c r="C130" s="1" t="s">
        <v>3</v>
      </c>
      <c r="D130" s="1">
        <v>42.1</v>
      </c>
      <c r="E130" s="1">
        <v>59.7</v>
      </c>
      <c r="F130" s="1">
        <v>22.1</v>
      </c>
      <c r="G130" s="1">
        <v>14.3</v>
      </c>
      <c r="H130" s="1">
        <v>19.3</v>
      </c>
      <c r="I130" s="1">
        <v>19.100000000000001</v>
      </c>
      <c r="J130" s="1">
        <v>28</v>
      </c>
      <c r="K130" s="1">
        <v>46.2</v>
      </c>
      <c r="L130" s="1">
        <v>25.1</v>
      </c>
      <c r="M130" s="1">
        <v>32.4</v>
      </c>
      <c r="N130" s="1">
        <v>40.9</v>
      </c>
      <c r="O130" s="1" t="s">
        <v>3</v>
      </c>
      <c r="P130" s="1">
        <v>33.799999999999997</v>
      </c>
      <c r="Q130" s="1">
        <v>27.1</v>
      </c>
      <c r="R130" s="1">
        <v>40.9</v>
      </c>
      <c r="S130" s="1">
        <v>14.7</v>
      </c>
      <c r="T130" s="1">
        <v>32.200000000000003</v>
      </c>
      <c r="U130" s="1">
        <v>51.1</v>
      </c>
      <c r="V130" s="1">
        <v>55.8</v>
      </c>
      <c r="W130" s="1">
        <v>32.9</v>
      </c>
      <c r="X130" s="1">
        <v>24</v>
      </c>
    </row>
    <row r="131" spans="1:26">
      <c r="A131">
        <v>1989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Z131">
        <v>45.7</v>
      </c>
    </row>
    <row r="132" spans="1:26">
      <c r="A132">
        <v>1990</v>
      </c>
      <c r="B132" s="1">
        <v>61.8</v>
      </c>
      <c r="C132" s="1">
        <v>41.3</v>
      </c>
      <c r="D132" s="1">
        <v>45.6</v>
      </c>
      <c r="E132" s="1">
        <v>59.5</v>
      </c>
      <c r="F132" s="1" t="s">
        <v>3</v>
      </c>
      <c r="G132" s="1" t="s">
        <v>3</v>
      </c>
      <c r="H132" s="1">
        <v>19</v>
      </c>
      <c r="I132" s="1" t="s">
        <v>3</v>
      </c>
      <c r="J132" s="1">
        <v>32.200000000000003</v>
      </c>
      <c r="K132" s="1">
        <v>49.3</v>
      </c>
      <c r="L132" s="1" t="s">
        <v>3</v>
      </c>
      <c r="M132" s="1" t="s">
        <v>3</v>
      </c>
      <c r="N132" s="1">
        <v>44.4</v>
      </c>
      <c r="O132" s="1">
        <v>22.7</v>
      </c>
      <c r="P132" s="1">
        <v>36.299999999999997</v>
      </c>
      <c r="Q132" s="1">
        <v>31.6</v>
      </c>
      <c r="R132" s="1">
        <v>48</v>
      </c>
      <c r="S132" s="1">
        <v>28</v>
      </c>
      <c r="T132" s="1" t="s">
        <v>3</v>
      </c>
      <c r="U132" s="1">
        <v>50.3</v>
      </c>
      <c r="V132" s="1">
        <v>60.8</v>
      </c>
      <c r="W132" s="1">
        <v>36.4</v>
      </c>
      <c r="X132" s="1" t="s">
        <v>3</v>
      </c>
    </row>
    <row r="133" spans="1:26">
      <c r="A133">
        <v>2000</v>
      </c>
      <c r="B133" s="1">
        <v>62.3</v>
      </c>
      <c r="C133" s="1">
        <v>44.9</v>
      </c>
      <c r="D133" s="1">
        <v>49.6</v>
      </c>
      <c r="E133" s="1">
        <v>61.6</v>
      </c>
      <c r="F133" s="1" t="s">
        <v>3</v>
      </c>
      <c r="G133" s="1">
        <v>27.2</v>
      </c>
      <c r="H133" s="1">
        <v>20.2</v>
      </c>
      <c r="I133" s="1">
        <v>24.3</v>
      </c>
      <c r="J133" s="1">
        <v>41.4</v>
      </c>
      <c r="K133" s="1">
        <v>53.9</v>
      </c>
      <c r="L133" s="1">
        <v>33.9</v>
      </c>
      <c r="M133" s="1">
        <v>39.5</v>
      </c>
      <c r="N133" s="1">
        <v>50.2</v>
      </c>
      <c r="O133" s="1">
        <v>21.9</v>
      </c>
      <c r="P133" s="1">
        <v>51.2</v>
      </c>
      <c r="Q133" s="1">
        <v>35.299999999999997</v>
      </c>
      <c r="R133" s="1">
        <v>53.5</v>
      </c>
      <c r="S133" s="1">
        <v>29.9</v>
      </c>
      <c r="T133" s="1" t="s">
        <v>3</v>
      </c>
      <c r="U133" s="1">
        <v>47.4</v>
      </c>
      <c r="V133" s="1">
        <v>63.6</v>
      </c>
      <c r="W133" s="1">
        <v>44.2</v>
      </c>
      <c r="X133" s="1" t="s">
        <v>3</v>
      </c>
    </row>
    <row r="134" spans="1:26">
      <c r="A134">
        <v>2010</v>
      </c>
      <c r="B134" s="1">
        <v>64.7</v>
      </c>
      <c r="C134" s="1">
        <v>52.2</v>
      </c>
      <c r="D134" s="1">
        <v>56.6</v>
      </c>
      <c r="E134" s="1">
        <v>63.5</v>
      </c>
      <c r="F134" s="1" t="s">
        <v>3</v>
      </c>
      <c r="G134" s="1" t="s">
        <v>3</v>
      </c>
      <c r="H134" s="1" t="s">
        <v>3</v>
      </c>
      <c r="I134" s="1">
        <v>29.3</v>
      </c>
      <c r="J134" s="1">
        <v>52.9</v>
      </c>
      <c r="K134" s="1">
        <v>53.9</v>
      </c>
      <c r="L134" s="1">
        <v>46.4</v>
      </c>
      <c r="M134" s="1">
        <v>40.4</v>
      </c>
      <c r="N134" s="1">
        <v>60.7</v>
      </c>
      <c r="O134" s="1" t="s">
        <v>3</v>
      </c>
      <c r="P134" s="1">
        <v>52.6</v>
      </c>
      <c r="Q134" s="1" t="s">
        <v>3</v>
      </c>
      <c r="R134" s="1">
        <v>59</v>
      </c>
      <c r="S134" s="1" t="s">
        <v>3</v>
      </c>
      <c r="T134" s="1" t="s">
        <v>3</v>
      </c>
      <c r="U134" s="1">
        <v>54</v>
      </c>
      <c r="V134" s="1">
        <v>72.5</v>
      </c>
      <c r="W134" s="1">
        <v>52</v>
      </c>
      <c r="X134" s="1" t="s">
        <v>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Data-1</vt:lpstr>
      <vt:lpstr>Data-2</vt:lpstr>
      <vt:lpstr>Data-3</vt:lpstr>
      <vt:lpstr>Data-4</vt:lpstr>
      <vt:lpstr>Data-5</vt:lpstr>
      <vt:lpstr>Data-6</vt:lpstr>
      <vt:lpstr>Data-7</vt:lpstr>
      <vt:lpstr>Data-8</vt:lpstr>
      <vt:lpstr>Сводка-все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2026-06-14T23:02:20Z</dcterms:created>
  <dcterms:modified xsi:type="dcterms:W3CDTF">2026-06-17T01:59:50Z</dcterms:modified>
</cp:coreProperties>
</file>