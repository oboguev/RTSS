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INAPPS\SLOVO\UKR\github\RTSS\rtss-mexico\src\main\resources\latinamerica\"/>
    </mc:Choice>
  </mc:AlternateContent>
  <xr:revisionPtr revIDLastSave="0" documentId="13_ncr:1_{AC89FC71-A6A4-4939-85F9-388256B705C8}" xr6:coauthVersionLast="45" xr6:coauthVersionMax="47" xr10:uidLastSave="{00000000-0000-0000-0000-000000000000}"/>
  <bookViews>
    <workbookView xWindow="-60" yWindow="-60" windowWidth="38520" windowHeight="23700" xr2:uid="{0C6DB7CF-7936-4F84-A18A-9F2841EE8776}"/>
  </bookViews>
  <sheets>
    <sheet name="Notes" sheetId="2" r:id="rId1"/>
    <sheet name="SALA 1974" sheetId="3" r:id="rId2"/>
    <sheet name="SALA 2002" sheetId="1" r:id="rId3"/>
    <sheet name="SALA Alt" sheetId="4" r:id="rId4"/>
    <sheet name="WPP 2024 начало года" sheetId="5" r:id="rId5"/>
    <sheet name="WPP 2024 середина года" sheetId="6" r:id="rId6"/>
    <sheet name="SALA WPP 2024 195x" sheetId="11" r:id="rId7"/>
    <sheet name="SALA WPP 2024 199x" sheetId="7" r:id="rId8"/>
    <sheet name="CEPAL" sheetId="9" r:id="rId9"/>
    <sheet name="CEPAL годовые" sheetId="10" r:id="rId10"/>
    <sheet name="SALA WPP 195x и Бриньоли" sheetId="12" r:id="rId11"/>
  </sheets>
  <calcPr calcId="181029" iterate="1" iterateCount="100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" i="7" l="1"/>
  <c r="U2" i="7"/>
  <c r="T2" i="7"/>
  <c r="S2" i="7"/>
  <c r="R2" i="7"/>
  <c r="Q2" i="7"/>
  <c r="P2" i="7"/>
  <c r="O2" i="7"/>
  <c r="N2" i="7"/>
  <c r="M2" i="7"/>
  <c r="L2" i="7"/>
  <c r="K2" i="7"/>
  <c r="J2" i="7"/>
  <c r="I2" i="7"/>
  <c r="H2" i="7"/>
  <c r="G2" i="7"/>
  <c r="E2" i="7"/>
  <c r="D2" i="7"/>
  <c r="C2" i="7"/>
  <c r="B2" i="7"/>
  <c r="A3" i="7"/>
  <c r="K3" i="7" l="1"/>
  <c r="L3" i="7"/>
  <c r="M3" i="7"/>
  <c r="F3" i="7"/>
  <c r="A4" i="7"/>
  <c r="O3" i="7"/>
  <c r="P3" i="7"/>
  <c r="Q3" i="7"/>
  <c r="R3" i="7"/>
  <c r="B3" i="7"/>
  <c r="S3" i="7"/>
  <c r="C3" i="7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3" i="3"/>
  <c r="U3" i="7" s="1"/>
  <c r="F4" i="7" l="1"/>
  <c r="Q4" i="7"/>
  <c r="P4" i="7"/>
  <c r="E4" i="7"/>
  <c r="O4" i="7"/>
  <c r="U4" i="7"/>
  <c r="N4" i="7"/>
  <c r="S4" i="7"/>
  <c r="M4" i="7"/>
  <c r="L4" i="7"/>
  <c r="A5" i="7"/>
  <c r="K4" i="7"/>
  <c r="J4" i="7"/>
  <c r="G4" i="7"/>
  <c r="I4" i="7"/>
  <c r="D4" i="7"/>
  <c r="H4" i="7"/>
  <c r="T4" i="7"/>
  <c r="C4" i="7"/>
  <c r="B4" i="7"/>
  <c r="R4" i="7"/>
  <c r="G3" i="7"/>
  <c r="H3" i="7"/>
  <c r="J3" i="7"/>
  <c r="I3" i="7"/>
  <c r="E3" i="7"/>
  <c r="D3" i="7"/>
  <c r="T3" i="7"/>
  <c r="N3" i="7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6" i="7" l="1"/>
  <c r="F5" i="7"/>
  <c r="N5" i="7"/>
  <c r="C5" i="7"/>
  <c r="B5" i="7"/>
  <c r="M5" i="7"/>
  <c r="L5" i="7"/>
  <c r="K5" i="7"/>
  <c r="J5" i="7"/>
  <c r="I5" i="7"/>
  <c r="R5" i="7"/>
  <c r="H5" i="7"/>
  <c r="G5" i="7"/>
  <c r="E5" i="7"/>
  <c r="S5" i="7"/>
  <c r="P5" i="7"/>
  <c r="U5" i="7"/>
  <c r="D5" i="7"/>
  <c r="T5" i="7"/>
  <c r="Q5" i="7"/>
  <c r="O5" i="7"/>
  <c r="A7" i="7" l="1"/>
  <c r="F6" i="7"/>
  <c r="K6" i="7"/>
  <c r="J6" i="7"/>
  <c r="I6" i="7"/>
  <c r="H6" i="7"/>
  <c r="O6" i="7"/>
  <c r="G6" i="7"/>
  <c r="Q6" i="7"/>
  <c r="P6" i="7"/>
  <c r="E6" i="7"/>
  <c r="M6" i="7"/>
  <c r="U6" i="7"/>
  <c r="D6" i="7"/>
  <c r="T6" i="7"/>
  <c r="C6" i="7"/>
  <c r="S6" i="7"/>
  <c r="B6" i="7"/>
  <c r="R6" i="7"/>
  <c r="N6" i="7"/>
  <c r="L6" i="7"/>
  <c r="A8" i="7" l="1"/>
  <c r="F7" i="7"/>
  <c r="H7" i="7"/>
  <c r="G7" i="7"/>
  <c r="N7" i="7"/>
  <c r="E7" i="7"/>
  <c r="U7" i="7"/>
  <c r="D7" i="7"/>
  <c r="T7" i="7"/>
  <c r="C7" i="7"/>
  <c r="S7" i="7"/>
  <c r="B7" i="7"/>
  <c r="R7" i="7"/>
  <c r="M7" i="7"/>
  <c r="Q7" i="7"/>
  <c r="P7" i="7"/>
  <c r="J7" i="7"/>
  <c r="O7" i="7"/>
  <c r="L7" i="7"/>
  <c r="K7" i="7"/>
  <c r="I7" i="7"/>
  <c r="A9" i="7" l="1"/>
  <c r="F8" i="7"/>
  <c r="U8" i="7"/>
  <c r="D8" i="7"/>
  <c r="T8" i="7"/>
  <c r="C8" i="7"/>
  <c r="S8" i="7"/>
  <c r="B8" i="7"/>
  <c r="K8" i="7"/>
  <c r="R8" i="7"/>
  <c r="G8" i="7"/>
  <c r="Q8" i="7"/>
  <c r="P8" i="7"/>
  <c r="O8" i="7"/>
  <c r="N8" i="7"/>
  <c r="M8" i="7"/>
  <c r="L8" i="7"/>
  <c r="J8" i="7"/>
  <c r="I8" i="7"/>
  <c r="H8" i="7"/>
  <c r="E8" i="7"/>
  <c r="A10" i="7" l="1"/>
  <c r="F9" i="7"/>
  <c r="S9" i="7"/>
  <c r="R9" i="7"/>
  <c r="H9" i="7"/>
  <c r="G9" i="7"/>
  <c r="Q9" i="7"/>
  <c r="P9" i="7"/>
  <c r="O9" i="7"/>
  <c r="N9" i="7"/>
  <c r="E9" i="7"/>
  <c r="M9" i="7"/>
  <c r="L9" i="7"/>
  <c r="C9" i="7"/>
  <c r="K9" i="7"/>
  <c r="J9" i="7"/>
  <c r="I9" i="7"/>
  <c r="D9" i="7"/>
  <c r="U9" i="7"/>
  <c r="T9" i="7"/>
  <c r="B9" i="7"/>
  <c r="A11" i="7" l="1"/>
  <c r="F10" i="7"/>
  <c r="Q10" i="7"/>
  <c r="P10" i="7"/>
  <c r="N10" i="7"/>
  <c r="S10" i="7"/>
  <c r="R10" i="7"/>
  <c r="O10" i="7"/>
  <c r="D10" i="7"/>
  <c r="M10" i="7"/>
  <c r="L10" i="7"/>
  <c r="U10" i="7"/>
  <c r="K10" i="7"/>
  <c r="J10" i="7"/>
  <c r="C10" i="7"/>
  <c r="I10" i="7"/>
  <c r="H10" i="7"/>
  <c r="G10" i="7"/>
  <c r="E10" i="7"/>
  <c r="B10" i="7"/>
  <c r="T10" i="7"/>
  <c r="A12" i="7" l="1"/>
  <c r="F11" i="7"/>
  <c r="N11" i="7"/>
  <c r="M11" i="7"/>
  <c r="K11" i="7"/>
  <c r="S11" i="7"/>
  <c r="R11" i="7"/>
  <c r="Q11" i="7"/>
  <c r="P11" i="7"/>
  <c r="C11" i="7"/>
  <c r="O11" i="7"/>
  <c r="L11" i="7"/>
  <c r="D11" i="7"/>
  <c r="J11" i="7"/>
  <c r="E11" i="7"/>
  <c r="I11" i="7"/>
  <c r="U11" i="7"/>
  <c r="H11" i="7"/>
  <c r="G11" i="7"/>
  <c r="B11" i="7"/>
  <c r="T11" i="7"/>
  <c r="A13" i="7" l="1"/>
  <c r="F12" i="7"/>
  <c r="K12" i="7"/>
  <c r="J12" i="7"/>
  <c r="H12" i="7"/>
  <c r="S12" i="7"/>
  <c r="R12" i="7"/>
  <c r="Q12" i="7"/>
  <c r="C12" i="7"/>
  <c r="P12" i="7"/>
  <c r="O12" i="7"/>
  <c r="D12" i="7"/>
  <c r="N12" i="7"/>
  <c r="M12" i="7"/>
  <c r="L12" i="7"/>
  <c r="I12" i="7"/>
  <c r="G12" i="7"/>
  <c r="E12" i="7"/>
  <c r="U12" i="7"/>
  <c r="B12" i="7"/>
  <c r="T12" i="7"/>
  <c r="A14" i="7" l="1"/>
  <c r="F13" i="7"/>
  <c r="H13" i="7"/>
  <c r="G13" i="7"/>
  <c r="U13" i="7"/>
  <c r="D13" i="7"/>
  <c r="S13" i="7"/>
  <c r="I13" i="7"/>
  <c r="R13" i="7"/>
  <c r="E13" i="7"/>
  <c r="Q13" i="7"/>
  <c r="P13" i="7"/>
  <c r="O13" i="7"/>
  <c r="N13" i="7"/>
  <c r="M13" i="7"/>
  <c r="L13" i="7"/>
  <c r="C13" i="7"/>
  <c r="K13" i="7"/>
  <c r="J13" i="7"/>
  <c r="B13" i="7"/>
  <c r="T13" i="7"/>
  <c r="A15" i="7" l="1"/>
  <c r="F14" i="7"/>
  <c r="U14" i="7"/>
  <c r="D14" i="7"/>
  <c r="T14" i="7"/>
  <c r="C14" i="7"/>
  <c r="S14" i="7"/>
  <c r="R14" i="7"/>
  <c r="G14" i="7"/>
  <c r="Q14" i="7"/>
  <c r="B14" i="7"/>
  <c r="P14" i="7"/>
  <c r="O14" i="7"/>
  <c r="N14" i="7"/>
  <c r="M14" i="7"/>
  <c r="L14" i="7"/>
  <c r="I14" i="7"/>
  <c r="H14" i="7"/>
  <c r="K14" i="7"/>
  <c r="J14" i="7"/>
  <c r="E14" i="7"/>
  <c r="A16" i="7" l="1"/>
  <c r="F15" i="7"/>
  <c r="R15" i="7"/>
  <c r="Q15" i="7"/>
  <c r="P15" i="7"/>
  <c r="O15" i="7"/>
  <c r="C15" i="7"/>
  <c r="B15" i="7"/>
  <c r="J15" i="7"/>
  <c r="U15" i="7"/>
  <c r="T15" i="7"/>
  <c r="S15" i="7"/>
  <c r="N15" i="7"/>
  <c r="I15" i="7"/>
  <c r="M15" i="7"/>
  <c r="L15" i="7"/>
  <c r="H15" i="7"/>
  <c r="K15" i="7"/>
  <c r="G15" i="7"/>
  <c r="E15" i="7"/>
  <c r="D15" i="7"/>
  <c r="A17" i="7" l="1"/>
  <c r="O16" i="7"/>
  <c r="N16" i="7"/>
  <c r="M16" i="7"/>
  <c r="L16" i="7"/>
  <c r="F16" i="7"/>
  <c r="D16" i="7"/>
  <c r="J16" i="7"/>
  <c r="C16" i="7"/>
  <c r="B16" i="7"/>
  <c r="U16" i="7"/>
  <c r="T16" i="7"/>
  <c r="S16" i="7"/>
  <c r="R16" i="7"/>
  <c r="Q16" i="7"/>
  <c r="K16" i="7"/>
  <c r="P16" i="7"/>
  <c r="G16" i="7"/>
  <c r="H16" i="7"/>
  <c r="E16" i="7"/>
  <c r="I16" i="7"/>
  <c r="A18" i="7" l="1"/>
  <c r="F17" i="7"/>
  <c r="L17" i="7"/>
  <c r="K17" i="7"/>
  <c r="J17" i="7"/>
  <c r="I17" i="7"/>
  <c r="E17" i="7"/>
  <c r="D17" i="7"/>
  <c r="C17" i="7"/>
  <c r="B17" i="7"/>
  <c r="P17" i="7"/>
  <c r="U17" i="7"/>
  <c r="N17" i="7"/>
  <c r="T17" i="7"/>
  <c r="S17" i="7"/>
  <c r="R17" i="7"/>
  <c r="Q17" i="7"/>
  <c r="M17" i="7"/>
  <c r="H17" i="7"/>
  <c r="G17" i="7"/>
  <c r="O17" i="7"/>
  <c r="A19" i="7" l="1"/>
  <c r="I18" i="7"/>
  <c r="H18" i="7"/>
  <c r="G18" i="7"/>
  <c r="F18" i="7"/>
  <c r="E18" i="7"/>
  <c r="K18" i="7"/>
  <c r="J18" i="7"/>
  <c r="D18" i="7"/>
  <c r="C18" i="7"/>
  <c r="P18" i="7"/>
  <c r="M18" i="7"/>
  <c r="B18" i="7"/>
  <c r="O18" i="7"/>
  <c r="U18" i="7"/>
  <c r="T18" i="7"/>
  <c r="S18" i="7"/>
  <c r="R18" i="7"/>
  <c r="Q18" i="7"/>
  <c r="N18" i="7"/>
  <c r="L18" i="7"/>
  <c r="A20" i="7" l="1"/>
  <c r="E19" i="7"/>
  <c r="U19" i="7"/>
  <c r="D19" i="7"/>
  <c r="F19" i="7"/>
  <c r="T19" i="7"/>
  <c r="C19" i="7"/>
  <c r="S19" i="7"/>
  <c r="B19" i="7"/>
  <c r="L19" i="7"/>
  <c r="K19" i="7"/>
  <c r="J19" i="7"/>
  <c r="I19" i="7"/>
  <c r="H19" i="7"/>
  <c r="G19" i="7"/>
  <c r="Q19" i="7"/>
  <c r="R19" i="7"/>
  <c r="P19" i="7"/>
  <c r="O19" i="7"/>
  <c r="N19" i="7"/>
  <c r="M19" i="7"/>
  <c r="A21" i="7" l="1"/>
  <c r="F20" i="7"/>
  <c r="S20" i="7"/>
  <c r="B20" i="7"/>
  <c r="R20" i="7"/>
  <c r="Q20" i="7"/>
  <c r="P20" i="7"/>
  <c r="M20" i="7"/>
  <c r="L20" i="7"/>
  <c r="K20" i="7"/>
  <c r="J20" i="7"/>
  <c r="U20" i="7"/>
  <c r="I20" i="7"/>
  <c r="H20" i="7"/>
  <c r="G20" i="7"/>
  <c r="E20" i="7"/>
  <c r="D20" i="7"/>
  <c r="C20" i="7"/>
  <c r="T20" i="7"/>
  <c r="O20" i="7"/>
  <c r="N20" i="7"/>
  <c r="A22" i="7" l="1"/>
  <c r="F21" i="7"/>
  <c r="P21" i="7"/>
  <c r="O21" i="7"/>
  <c r="N21" i="7"/>
  <c r="M21" i="7"/>
  <c r="R21" i="7"/>
  <c r="C21" i="7"/>
  <c r="Q21" i="7"/>
  <c r="L21" i="7"/>
  <c r="K21" i="7"/>
  <c r="J21" i="7"/>
  <c r="B21" i="7"/>
  <c r="I21" i="7"/>
  <c r="H21" i="7"/>
  <c r="G21" i="7"/>
  <c r="E21" i="7"/>
  <c r="D21" i="7"/>
  <c r="U21" i="7"/>
  <c r="T21" i="7"/>
  <c r="S21" i="7"/>
  <c r="A23" i="7" l="1"/>
  <c r="F22" i="7"/>
  <c r="M22" i="7"/>
  <c r="L22" i="7"/>
  <c r="K22" i="7"/>
  <c r="J22" i="7"/>
  <c r="S22" i="7"/>
  <c r="R22" i="7"/>
  <c r="C22" i="7"/>
  <c r="Q22" i="7"/>
  <c r="B22" i="7"/>
  <c r="P22" i="7"/>
  <c r="O22" i="7"/>
  <c r="N22" i="7"/>
  <c r="I22" i="7"/>
  <c r="H22" i="7"/>
  <c r="G22" i="7"/>
  <c r="E22" i="7"/>
  <c r="D22" i="7"/>
  <c r="U22" i="7"/>
  <c r="T22" i="7"/>
  <c r="A24" i="7" l="1"/>
  <c r="J23" i="7"/>
  <c r="F23" i="7"/>
  <c r="I23" i="7"/>
  <c r="H23" i="7"/>
  <c r="G23" i="7"/>
  <c r="T23" i="7"/>
  <c r="S23" i="7"/>
  <c r="E23" i="7"/>
  <c r="R23" i="7"/>
  <c r="Q23" i="7"/>
  <c r="P23" i="7"/>
  <c r="O23" i="7"/>
  <c r="N23" i="7"/>
  <c r="C23" i="7"/>
  <c r="M23" i="7"/>
  <c r="D23" i="7"/>
  <c r="L23" i="7"/>
  <c r="K23" i="7"/>
  <c r="B23" i="7"/>
  <c r="U23" i="7"/>
  <c r="A25" i="7" l="1"/>
  <c r="F24" i="7"/>
  <c r="G24" i="7"/>
  <c r="E24" i="7"/>
  <c r="U24" i="7"/>
  <c r="D24" i="7"/>
  <c r="T24" i="7"/>
  <c r="C24" i="7"/>
  <c r="S24" i="7"/>
  <c r="R24" i="7"/>
  <c r="Q24" i="7"/>
  <c r="P24" i="7"/>
  <c r="O24" i="7"/>
  <c r="J24" i="7"/>
  <c r="N24" i="7"/>
  <c r="M24" i="7"/>
  <c r="I24" i="7"/>
  <c r="L24" i="7"/>
  <c r="K24" i="7"/>
  <c r="H24" i="7"/>
  <c r="B24" i="7"/>
  <c r="A26" i="7" l="1"/>
  <c r="F25" i="7"/>
  <c r="T25" i="7"/>
  <c r="C25" i="7"/>
  <c r="S25" i="7"/>
  <c r="B25" i="7"/>
  <c r="R25" i="7"/>
  <c r="Q25" i="7"/>
  <c r="E25" i="7"/>
  <c r="K25" i="7"/>
  <c r="J25" i="7"/>
  <c r="D25" i="7"/>
  <c r="U25" i="7"/>
  <c r="P25" i="7"/>
  <c r="O25" i="7"/>
  <c r="N25" i="7"/>
  <c r="M25" i="7"/>
  <c r="L25" i="7"/>
  <c r="I25" i="7"/>
  <c r="H25" i="7"/>
  <c r="G25" i="7"/>
  <c r="A27" i="7" l="1"/>
  <c r="F26" i="7"/>
  <c r="Q26" i="7"/>
  <c r="P26" i="7"/>
  <c r="O26" i="7"/>
  <c r="N26" i="7"/>
  <c r="G26" i="7"/>
  <c r="E26" i="7"/>
  <c r="D26" i="7"/>
  <c r="M26" i="7"/>
  <c r="C26" i="7"/>
  <c r="K26" i="7"/>
  <c r="B26" i="7"/>
  <c r="U26" i="7"/>
  <c r="T26" i="7"/>
  <c r="L26" i="7"/>
  <c r="S26" i="7"/>
  <c r="R26" i="7"/>
  <c r="J26" i="7"/>
  <c r="I26" i="7"/>
  <c r="H26" i="7"/>
  <c r="A28" i="7" l="1"/>
  <c r="F27" i="7"/>
  <c r="N27" i="7"/>
  <c r="M27" i="7"/>
  <c r="L27" i="7"/>
  <c r="K27" i="7"/>
  <c r="H27" i="7"/>
  <c r="G27" i="7"/>
  <c r="E27" i="7"/>
  <c r="P27" i="7"/>
  <c r="D27" i="7"/>
  <c r="C27" i="7"/>
  <c r="Q27" i="7"/>
  <c r="B27" i="7"/>
  <c r="U27" i="7"/>
  <c r="R27" i="7"/>
  <c r="T27" i="7"/>
  <c r="S27" i="7"/>
  <c r="O27" i="7"/>
  <c r="J27" i="7"/>
  <c r="I27" i="7"/>
  <c r="A29" i="7" l="1"/>
  <c r="F28" i="7"/>
  <c r="K28" i="7"/>
  <c r="J28" i="7"/>
  <c r="I28" i="7"/>
  <c r="H28" i="7"/>
  <c r="G28" i="7"/>
  <c r="E28" i="7"/>
  <c r="U28" i="7"/>
  <c r="S28" i="7"/>
  <c r="O28" i="7"/>
  <c r="N28" i="7"/>
  <c r="M28" i="7"/>
  <c r="L28" i="7"/>
  <c r="D28" i="7"/>
  <c r="T28" i="7"/>
  <c r="C28" i="7"/>
  <c r="B28" i="7"/>
  <c r="R28" i="7"/>
  <c r="Q28" i="7"/>
  <c r="P28" i="7"/>
  <c r="A30" i="7" l="1"/>
  <c r="F29" i="7"/>
  <c r="H29" i="7"/>
  <c r="G29" i="7"/>
  <c r="E29" i="7"/>
  <c r="U29" i="7"/>
  <c r="D29" i="7"/>
  <c r="T29" i="7"/>
  <c r="C29" i="7"/>
  <c r="S29" i="7"/>
  <c r="B29" i="7"/>
  <c r="R29" i="7"/>
  <c r="P29" i="7"/>
  <c r="Q29" i="7"/>
  <c r="J29" i="7"/>
  <c r="O29" i="7"/>
  <c r="N29" i="7"/>
  <c r="I29" i="7"/>
  <c r="M29" i="7"/>
  <c r="L29" i="7"/>
  <c r="K29" i="7"/>
  <c r="A31" i="7" l="1"/>
  <c r="F30" i="7"/>
  <c r="U30" i="7"/>
  <c r="D30" i="7"/>
  <c r="T30" i="7"/>
  <c r="C30" i="7"/>
  <c r="S30" i="7"/>
  <c r="B30" i="7"/>
  <c r="R30" i="7"/>
  <c r="Q30" i="7"/>
  <c r="P30" i="7"/>
  <c r="O30" i="7"/>
  <c r="M30" i="7"/>
  <c r="I30" i="7"/>
  <c r="H30" i="7"/>
  <c r="G30" i="7"/>
  <c r="E30" i="7"/>
  <c r="N30" i="7"/>
  <c r="L30" i="7"/>
  <c r="K30" i="7"/>
  <c r="J30" i="7"/>
  <c r="A32" i="7" l="1"/>
  <c r="F31" i="7"/>
  <c r="R31" i="7"/>
  <c r="Q31" i="7"/>
  <c r="P31" i="7"/>
  <c r="O31" i="7"/>
  <c r="N31" i="7"/>
  <c r="M31" i="7"/>
  <c r="L31" i="7"/>
  <c r="J31" i="7"/>
  <c r="U31" i="7"/>
  <c r="B31" i="7"/>
  <c r="T31" i="7"/>
  <c r="S31" i="7"/>
  <c r="K31" i="7"/>
  <c r="I31" i="7"/>
  <c r="H31" i="7"/>
  <c r="G31" i="7"/>
  <c r="E31" i="7"/>
  <c r="D31" i="7"/>
  <c r="C31" i="7"/>
  <c r="A33" i="7" l="1"/>
  <c r="F32" i="7"/>
  <c r="O32" i="7"/>
  <c r="N32" i="7"/>
  <c r="M32" i="7"/>
  <c r="L32" i="7"/>
  <c r="K32" i="7"/>
  <c r="J32" i="7"/>
  <c r="I32" i="7"/>
  <c r="G32" i="7"/>
  <c r="B32" i="7"/>
  <c r="U32" i="7"/>
  <c r="T32" i="7"/>
  <c r="P32" i="7"/>
  <c r="S32" i="7"/>
  <c r="R32" i="7"/>
  <c r="Q32" i="7"/>
  <c r="E32" i="7"/>
  <c r="D32" i="7"/>
  <c r="C32" i="7"/>
  <c r="H32" i="7"/>
  <c r="A34" i="7" l="1"/>
  <c r="F33" i="7"/>
  <c r="L33" i="7"/>
  <c r="K33" i="7"/>
  <c r="J33" i="7"/>
  <c r="I33" i="7"/>
  <c r="H33" i="7"/>
  <c r="G33" i="7"/>
  <c r="E33" i="7"/>
  <c r="T33" i="7"/>
  <c r="C33" i="7"/>
  <c r="P33" i="7"/>
  <c r="O33" i="7"/>
  <c r="N33" i="7"/>
  <c r="M33" i="7"/>
  <c r="D33" i="7"/>
  <c r="B33" i="7"/>
  <c r="U33" i="7"/>
  <c r="S33" i="7"/>
  <c r="R33" i="7"/>
  <c r="Q33" i="7"/>
  <c r="A35" i="7" l="1"/>
  <c r="I34" i="7"/>
  <c r="H34" i="7"/>
  <c r="G34" i="7"/>
  <c r="E34" i="7"/>
  <c r="U34" i="7"/>
  <c r="D34" i="7"/>
  <c r="T34" i="7"/>
  <c r="C34" i="7"/>
  <c r="S34" i="7"/>
  <c r="B34" i="7"/>
  <c r="Q34" i="7"/>
  <c r="F34" i="7"/>
  <c r="R34" i="7"/>
  <c r="P34" i="7"/>
  <c r="O34" i="7"/>
  <c r="N34" i="7"/>
  <c r="M34" i="7"/>
  <c r="J34" i="7"/>
  <c r="L34" i="7"/>
  <c r="K34" i="7"/>
  <c r="A36" i="7" l="1"/>
  <c r="E35" i="7"/>
  <c r="U35" i="7"/>
  <c r="D35" i="7"/>
  <c r="T35" i="7"/>
  <c r="C35" i="7"/>
  <c r="S35" i="7"/>
  <c r="B35" i="7"/>
  <c r="R35" i="7"/>
  <c r="Q35" i="7"/>
  <c r="P35" i="7"/>
  <c r="N35" i="7"/>
  <c r="F35" i="7"/>
  <c r="J35" i="7"/>
  <c r="I35" i="7"/>
  <c r="H35" i="7"/>
  <c r="G35" i="7"/>
  <c r="O35" i="7"/>
  <c r="M35" i="7"/>
  <c r="L35" i="7"/>
  <c r="K35" i="7"/>
  <c r="A37" i="7" l="1"/>
  <c r="F36" i="7"/>
  <c r="S36" i="7"/>
  <c r="B36" i="7"/>
  <c r="R36" i="7"/>
  <c r="Q36" i="7"/>
  <c r="P36" i="7"/>
  <c r="O36" i="7"/>
  <c r="N36" i="7"/>
  <c r="M36" i="7"/>
  <c r="K36" i="7"/>
  <c r="U36" i="7"/>
  <c r="C36" i="7"/>
  <c r="T36" i="7"/>
  <c r="L36" i="7"/>
  <c r="J36" i="7"/>
  <c r="I36" i="7"/>
  <c r="H36" i="7"/>
  <c r="G36" i="7"/>
  <c r="E36" i="7"/>
  <c r="D36" i="7"/>
  <c r="A38" i="7" l="1"/>
  <c r="F37" i="7"/>
  <c r="P37" i="7"/>
  <c r="O37" i="7"/>
  <c r="N37" i="7"/>
  <c r="M37" i="7"/>
  <c r="L37" i="7"/>
  <c r="K37" i="7"/>
  <c r="J37" i="7"/>
  <c r="H37" i="7"/>
  <c r="C37" i="7"/>
  <c r="B37" i="7"/>
  <c r="I37" i="7"/>
  <c r="Q37" i="7"/>
  <c r="U37" i="7"/>
  <c r="T37" i="7"/>
  <c r="S37" i="7"/>
  <c r="R37" i="7"/>
  <c r="G37" i="7"/>
  <c r="E37" i="7"/>
  <c r="D37" i="7"/>
  <c r="A39" i="7" l="1"/>
  <c r="F38" i="7"/>
  <c r="M38" i="7"/>
  <c r="L38" i="7"/>
  <c r="K38" i="7"/>
  <c r="J38" i="7"/>
  <c r="I38" i="7"/>
  <c r="H38" i="7"/>
  <c r="G38" i="7"/>
  <c r="U38" i="7"/>
  <c r="D38" i="7"/>
  <c r="Q38" i="7"/>
  <c r="P38" i="7"/>
  <c r="O38" i="7"/>
  <c r="N38" i="7"/>
  <c r="E38" i="7"/>
  <c r="C38" i="7"/>
  <c r="B38" i="7"/>
  <c r="T38" i="7"/>
  <c r="S38" i="7"/>
  <c r="R38" i="7"/>
  <c r="A40" i="7" l="1"/>
  <c r="J39" i="7"/>
  <c r="I39" i="7"/>
  <c r="H39" i="7"/>
  <c r="G39" i="7"/>
  <c r="E39" i="7"/>
  <c r="U39" i="7"/>
  <c r="D39" i="7"/>
  <c r="T39" i="7"/>
  <c r="C39" i="7"/>
  <c r="R39" i="7"/>
  <c r="F39" i="7"/>
  <c r="K39" i="7"/>
  <c r="B39" i="7"/>
  <c r="S39" i="7"/>
  <c r="Q39" i="7"/>
  <c r="P39" i="7"/>
  <c r="O39" i="7"/>
  <c r="N39" i="7"/>
  <c r="M39" i="7"/>
  <c r="L39" i="7"/>
  <c r="A41" i="7" l="1"/>
  <c r="F40" i="7"/>
  <c r="G40" i="7"/>
  <c r="E40" i="7"/>
  <c r="U40" i="7"/>
  <c r="D40" i="7"/>
  <c r="T40" i="7"/>
  <c r="C40" i="7"/>
  <c r="S40" i="7"/>
  <c r="B40" i="7"/>
  <c r="R40" i="7"/>
  <c r="Q40" i="7"/>
  <c r="O40" i="7"/>
  <c r="K40" i="7"/>
  <c r="J40" i="7"/>
  <c r="I40" i="7"/>
  <c r="H40" i="7"/>
  <c r="P40" i="7"/>
  <c r="N40" i="7"/>
  <c r="M40" i="7"/>
  <c r="L40" i="7"/>
  <c r="A42" i="7" l="1"/>
  <c r="F41" i="7"/>
  <c r="T41" i="7"/>
  <c r="C41" i="7"/>
  <c r="S41" i="7"/>
  <c r="B41" i="7"/>
  <c r="R41" i="7"/>
  <c r="Q41" i="7"/>
  <c r="P41" i="7"/>
  <c r="O41" i="7"/>
  <c r="N41" i="7"/>
  <c r="L41" i="7"/>
  <c r="U41" i="7"/>
  <c r="M41" i="7"/>
  <c r="K41" i="7"/>
  <c r="J41" i="7"/>
  <c r="D41" i="7"/>
  <c r="I41" i="7"/>
  <c r="H41" i="7"/>
  <c r="G41" i="7"/>
  <c r="E41" i="7"/>
  <c r="A43" i="7" l="1"/>
  <c r="F42" i="7"/>
  <c r="Q42" i="7"/>
  <c r="P42" i="7"/>
  <c r="O42" i="7"/>
  <c r="N42" i="7"/>
  <c r="M42" i="7"/>
  <c r="L42" i="7"/>
  <c r="K42" i="7"/>
  <c r="I42" i="7"/>
  <c r="D42" i="7"/>
  <c r="C42" i="7"/>
  <c r="J42" i="7"/>
  <c r="B42" i="7"/>
  <c r="R42" i="7"/>
  <c r="U42" i="7"/>
  <c r="T42" i="7"/>
  <c r="S42" i="7"/>
  <c r="H42" i="7"/>
  <c r="G42" i="7"/>
  <c r="E42" i="7"/>
  <c r="A44" i="7" l="1"/>
  <c r="F43" i="7"/>
  <c r="N43" i="7"/>
  <c r="M43" i="7"/>
  <c r="L43" i="7"/>
  <c r="K43" i="7"/>
  <c r="J43" i="7"/>
  <c r="I43" i="7"/>
  <c r="H43" i="7"/>
  <c r="E43" i="7"/>
  <c r="R43" i="7"/>
  <c r="Q43" i="7"/>
  <c r="P43" i="7"/>
  <c r="O43" i="7"/>
  <c r="G43" i="7"/>
  <c r="D43" i="7"/>
  <c r="C43" i="7"/>
  <c r="B43" i="7"/>
  <c r="U43" i="7"/>
  <c r="T43" i="7"/>
  <c r="S43" i="7"/>
  <c r="A45" i="7" l="1"/>
  <c r="F44" i="7"/>
  <c r="K44" i="7"/>
  <c r="J44" i="7"/>
  <c r="I44" i="7"/>
  <c r="H44" i="7"/>
  <c r="G44" i="7"/>
  <c r="E44" i="7"/>
  <c r="U44" i="7"/>
  <c r="D44" i="7"/>
  <c r="S44" i="7"/>
  <c r="B44" i="7"/>
  <c r="M44" i="7"/>
  <c r="L44" i="7"/>
  <c r="C44" i="7"/>
  <c r="T44" i="7"/>
  <c r="R44" i="7"/>
  <c r="Q44" i="7"/>
  <c r="P44" i="7"/>
  <c r="O44" i="7"/>
  <c r="N44" i="7"/>
  <c r="A46" i="7" l="1"/>
  <c r="F45" i="7"/>
  <c r="H45" i="7"/>
  <c r="G45" i="7"/>
  <c r="E45" i="7"/>
  <c r="U45" i="7"/>
  <c r="D45" i="7"/>
  <c r="T45" i="7"/>
  <c r="C45" i="7"/>
  <c r="S45" i="7"/>
  <c r="B45" i="7"/>
  <c r="R45" i="7"/>
  <c r="P45" i="7"/>
  <c r="J45" i="7"/>
  <c r="N45" i="7"/>
  <c r="M45" i="7"/>
  <c r="L45" i="7"/>
  <c r="K45" i="7"/>
  <c r="I45" i="7"/>
  <c r="Q45" i="7"/>
  <c r="O45" i="7"/>
  <c r="A47" i="7" l="1"/>
  <c r="F46" i="7"/>
  <c r="U46" i="7"/>
  <c r="D46" i="7"/>
  <c r="T46" i="7"/>
  <c r="C46" i="7"/>
  <c r="S46" i="7"/>
  <c r="B46" i="7"/>
  <c r="R46" i="7"/>
  <c r="Q46" i="7"/>
  <c r="P46" i="7"/>
  <c r="O46" i="7"/>
  <c r="M46" i="7"/>
  <c r="G46" i="7"/>
  <c r="I46" i="7"/>
  <c r="N46" i="7"/>
  <c r="H46" i="7"/>
  <c r="L46" i="7"/>
  <c r="K46" i="7"/>
  <c r="J46" i="7"/>
  <c r="E46" i="7"/>
  <c r="A48" i="7" l="1"/>
  <c r="F47" i="7"/>
  <c r="R47" i="7"/>
  <c r="Q47" i="7"/>
  <c r="P47" i="7"/>
  <c r="O47" i="7"/>
  <c r="N47" i="7"/>
  <c r="M47" i="7"/>
  <c r="L47" i="7"/>
  <c r="J47" i="7"/>
  <c r="U47" i="7"/>
  <c r="D47" i="7"/>
  <c r="T47" i="7"/>
  <c r="C47" i="7"/>
  <c r="S47" i="7"/>
  <c r="K47" i="7"/>
  <c r="I47" i="7"/>
  <c r="H47" i="7"/>
  <c r="G47" i="7"/>
  <c r="E47" i="7"/>
  <c r="B47" i="7"/>
  <c r="A49" i="7" l="1"/>
  <c r="F48" i="7"/>
  <c r="O48" i="7"/>
  <c r="N48" i="7"/>
  <c r="M48" i="7"/>
  <c r="L48" i="7"/>
  <c r="K48" i="7"/>
  <c r="J48" i="7"/>
  <c r="I48" i="7"/>
  <c r="G48" i="7"/>
  <c r="R48" i="7"/>
  <c r="Q48" i="7"/>
  <c r="U48" i="7"/>
  <c r="H48" i="7"/>
  <c r="T48" i="7"/>
  <c r="S48" i="7"/>
  <c r="E48" i="7"/>
  <c r="P48" i="7"/>
  <c r="D48" i="7"/>
  <c r="C48" i="7"/>
  <c r="B48" i="7"/>
  <c r="A50" i="7" l="1"/>
  <c r="F49" i="7"/>
  <c r="L49" i="7"/>
  <c r="K49" i="7"/>
  <c r="J49" i="7"/>
  <c r="I49" i="7"/>
  <c r="H49" i="7"/>
  <c r="G49" i="7"/>
  <c r="E49" i="7"/>
  <c r="T49" i="7"/>
  <c r="C49" i="7"/>
  <c r="O49" i="7"/>
  <c r="N49" i="7"/>
  <c r="S49" i="7"/>
  <c r="R49" i="7"/>
  <c r="Q49" i="7"/>
  <c r="P49" i="7"/>
  <c r="M49" i="7"/>
  <c r="D49" i="7"/>
  <c r="B49" i="7"/>
  <c r="U49" i="7"/>
  <c r="A51" i="7" l="1"/>
  <c r="I50" i="7"/>
  <c r="H50" i="7"/>
  <c r="G50" i="7"/>
  <c r="E50" i="7"/>
  <c r="U50" i="7"/>
  <c r="D50" i="7"/>
  <c r="T50" i="7"/>
  <c r="C50" i="7"/>
  <c r="S50" i="7"/>
  <c r="B50" i="7"/>
  <c r="Q50" i="7"/>
  <c r="L50" i="7"/>
  <c r="K50" i="7"/>
  <c r="F50" i="7"/>
  <c r="N50" i="7"/>
  <c r="O50" i="7"/>
  <c r="R50" i="7"/>
  <c r="P50" i="7"/>
  <c r="M50" i="7"/>
  <c r="J50" i="7"/>
  <c r="A52" i="7" l="1"/>
  <c r="E51" i="7"/>
  <c r="U51" i="7"/>
  <c r="D51" i="7"/>
  <c r="T51" i="7"/>
  <c r="C51" i="7"/>
  <c r="S51" i="7"/>
  <c r="B51" i="7"/>
  <c r="R51" i="7"/>
  <c r="Q51" i="7"/>
  <c r="P51" i="7"/>
  <c r="N51" i="7"/>
  <c r="F51" i="7"/>
  <c r="I51" i="7"/>
  <c r="H51" i="7"/>
  <c r="O51" i="7"/>
  <c r="M51" i="7"/>
  <c r="L51" i="7"/>
  <c r="K51" i="7"/>
  <c r="J51" i="7"/>
  <c r="G51" i="7"/>
  <c r="A53" i="7" l="1"/>
  <c r="F52" i="7"/>
  <c r="S52" i="7"/>
  <c r="B52" i="7"/>
  <c r="R52" i="7"/>
  <c r="Q52" i="7"/>
  <c r="P52" i="7"/>
  <c r="O52" i="7"/>
  <c r="N52" i="7"/>
  <c r="M52" i="7"/>
  <c r="K52" i="7"/>
  <c r="E52" i="7"/>
  <c r="U52" i="7"/>
  <c r="D52" i="7"/>
  <c r="T52" i="7"/>
  <c r="H52" i="7"/>
  <c r="G52" i="7"/>
  <c r="C52" i="7"/>
  <c r="L52" i="7"/>
  <c r="J52" i="7"/>
  <c r="I52" i="7"/>
  <c r="A54" i="7" l="1"/>
  <c r="F53" i="7"/>
  <c r="P53" i="7"/>
  <c r="O53" i="7"/>
  <c r="N53" i="7"/>
  <c r="M53" i="7"/>
  <c r="L53" i="7"/>
  <c r="K53" i="7"/>
  <c r="J53" i="7"/>
  <c r="H53" i="7"/>
  <c r="S53" i="7"/>
  <c r="B53" i="7"/>
  <c r="R53" i="7"/>
  <c r="Q53" i="7"/>
  <c r="C53" i="7"/>
  <c r="U53" i="7"/>
  <c r="T53" i="7"/>
  <c r="D53" i="7"/>
  <c r="I53" i="7"/>
  <c r="G53" i="7"/>
  <c r="E53" i="7"/>
  <c r="A55" i="7" l="1"/>
  <c r="F54" i="7"/>
  <c r="M54" i="7"/>
  <c r="L54" i="7"/>
  <c r="K54" i="7"/>
  <c r="J54" i="7"/>
  <c r="I54" i="7"/>
  <c r="H54" i="7"/>
  <c r="G54" i="7"/>
  <c r="U54" i="7"/>
  <c r="D54" i="7"/>
  <c r="P54" i="7"/>
  <c r="O54" i="7"/>
  <c r="N54" i="7"/>
  <c r="S54" i="7"/>
  <c r="R54" i="7"/>
  <c r="Q54" i="7"/>
  <c r="E54" i="7"/>
  <c r="C54" i="7"/>
  <c r="B54" i="7"/>
  <c r="T54" i="7"/>
  <c r="A56" i="7" l="1"/>
  <c r="J55" i="7"/>
  <c r="I55" i="7"/>
  <c r="H55" i="7"/>
  <c r="G55" i="7"/>
  <c r="E55" i="7"/>
  <c r="U55" i="7"/>
  <c r="D55" i="7"/>
  <c r="T55" i="7"/>
  <c r="C55" i="7"/>
  <c r="R55" i="7"/>
  <c r="O55" i="7"/>
  <c r="M55" i="7"/>
  <c r="L55" i="7"/>
  <c r="K55" i="7"/>
  <c r="F55" i="7"/>
  <c r="Q55" i="7"/>
  <c r="P55" i="7"/>
  <c r="S55" i="7"/>
  <c r="N55" i="7"/>
  <c r="B55" i="7"/>
  <c r="A57" i="7" l="1"/>
  <c r="F56" i="7"/>
  <c r="G56" i="7"/>
  <c r="E56" i="7"/>
  <c r="U56" i="7"/>
  <c r="D56" i="7"/>
  <c r="T56" i="7"/>
  <c r="C56" i="7"/>
  <c r="S56" i="7"/>
  <c r="B56" i="7"/>
  <c r="R56" i="7"/>
  <c r="Q56" i="7"/>
  <c r="O56" i="7"/>
  <c r="L56" i="7"/>
  <c r="J56" i="7"/>
  <c r="I56" i="7"/>
  <c r="H56" i="7"/>
  <c r="P56" i="7"/>
  <c r="N56" i="7"/>
  <c r="M56" i="7"/>
  <c r="K56" i="7"/>
  <c r="A58" i="7" l="1"/>
  <c r="F57" i="7"/>
  <c r="T57" i="7"/>
  <c r="C57" i="7"/>
  <c r="S57" i="7"/>
  <c r="B57" i="7"/>
  <c r="R57" i="7"/>
  <c r="Q57" i="7"/>
  <c r="P57" i="7"/>
  <c r="O57" i="7"/>
  <c r="N57" i="7"/>
  <c r="L57" i="7"/>
  <c r="K57" i="7"/>
  <c r="I57" i="7"/>
  <c r="G57" i="7"/>
  <c r="E57" i="7"/>
  <c r="U57" i="7"/>
  <c r="D57" i="7"/>
  <c r="M57" i="7"/>
  <c r="J57" i="7"/>
  <c r="H57" i="7"/>
  <c r="A59" i="7" l="1"/>
  <c r="F58" i="7"/>
  <c r="Q58" i="7"/>
  <c r="P58" i="7"/>
  <c r="O58" i="7"/>
  <c r="N58" i="7"/>
  <c r="M58" i="7"/>
  <c r="L58" i="7"/>
  <c r="K58" i="7"/>
  <c r="I58" i="7"/>
  <c r="H58" i="7"/>
  <c r="E58" i="7"/>
  <c r="T58" i="7"/>
  <c r="C58" i="7"/>
  <c r="S58" i="7"/>
  <c r="B58" i="7"/>
  <c r="R58" i="7"/>
  <c r="J58" i="7"/>
  <c r="G58" i="7"/>
  <c r="D58" i="7"/>
  <c r="U58" i="7"/>
  <c r="A60" i="7" l="1"/>
  <c r="F59" i="7"/>
  <c r="N59" i="7"/>
  <c r="M59" i="7"/>
  <c r="L59" i="7"/>
  <c r="K59" i="7"/>
  <c r="J59" i="7"/>
  <c r="I59" i="7"/>
  <c r="H59" i="7"/>
  <c r="E59" i="7"/>
  <c r="U59" i="7"/>
  <c r="D59" i="7"/>
  <c r="S59" i="7"/>
  <c r="B59" i="7"/>
  <c r="Q59" i="7"/>
  <c r="P59" i="7"/>
  <c r="O59" i="7"/>
  <c r="T59" i="7"/>
  <c r="R59" i="7"/>
  <c r="G59" i="7"/>
  <c r="C59" i="7"/>
  <c r="A61" i="7" l="1"/>
  <c r="F60" i="7"/>
  <c r="U60" i="7"/>
  <c r="K60" i="7"/>
  <c r="J60" i="7"/>
  <c r="I60" i="7"/>
  <c r="H60" i="7"/>
  <c r="G60" i="7"/>
  <c r="E60" i="7"/>
  <c r="D60" i="7"/>
  <c r="S60" i="7"/>
  <c r="B60" i="7"/>
  <c r="R60" i="7"/>
  <c r="P60" i="7"/>
  <c r="N60" i="7"/>
  <c r="M60" i="7"/>
  <c r="L60" i="7"/>
  <c r="T60" i="7"/>
  <c r="Q60" i="7"/>
  <c r="O60" i="7"/>
  <c r="C60" i="7"/>
  <c r="A62" i="7" l="1"/>
  <c r="F61" i="7"/>
  <c r="P61" i="7"/>
  <c r="O61" i="7"/>
  <c r="N61" i="7"/>
  <c r="M61" i="7"/>
  <c r="L61" i="7"/>
  <c r="J61" i="7"/>
  <c r="I61" i="7"/>
  <c r="H61" i="7"/>
  <c r="R61" i="7"/>
  <c r="Q61" i="7"/>
  <c r="K61" i="7"/>
  <c r="G61" i="7"/>
  <c r="E61" i="7"/>
  <c r="D61" i="7"/>
  <c r="C61" i="7"/>
  <c r="B61" i="7"/>
  <c r="U61" i="7"/>
  <c r="T61" i="7"/>
  <c r="S61" i="7"/>
  <c r="A63" i="7" l="1"/>
  <c r="M62" i="7"/>
  <c r="L62" i="7"/>
  <c r="K62" i="7"/>
  <c r="J62" i="7"/>
  <c r="I62" i="7"/>
  <c r="G62" i="7"/>
  <c r="E62" i="7"/>
  <c r="U62" i="7"/>
  <c r="D62" i="7"/>
  <c r="F62" i="7"/>
  <c r="O62" i="7"/>
  <c r="T62" i="7"/>
  <c r="S62" i="7"/>
  <c r="R62" i="7"/>
  <c r="P62" i="7"/>
  <c r="N62" i="7"/>
  <c r="C62" i="7"/>
  <c r="Q62" i="7"/>
  <c r="H62" i="7"/>
  <c r="B62" i="7"/>
  <c r="A64" i="7" l="1"/>
  <c r="J63" i="7"/>
  <c r="I63" i="7"/>
  <c r="H63" i="7"/>
  <c r="G63" i="7"/>
  <c r="E63" i="7"/>
  <c r="T63" i="7"/>
  <c r="C63" i="7"/>
  <c r="S63" i="7"/>
  <c r="B63" i="7"/>
  <c r="R63" i="7"/>
  <c r="F63" i="7"/>
  <c r="L63" i="7"/>
  <c r="N63" i="7"/>
  <c r="M63" i="7"/>
  <c r="K63" i="7"/>
  <c r="D63" i="7"/>
  <c r="Q63" i="7"/>
  <c r="P63" i="7"/>
  <c r="O63" i="7"/>
  <c r="U63" i="7"/>
  <c r="A65" i="7" l="1"/>
  <c r="G64" i="7"/>
  <c r="E64" i="7"/>
  <c r="U64" i="7"/>
  <c r="D64" i="7"/>
  <c r="T64" i="7"/>
  <c r="C64" i="7"/>
  <c r="S64" i="7"/>
  <c r="B64" i="7"/>
  <c r="Q64" i="7"/>
  <c r="P64" i="7"/>
  <c r="O64" i="7"/>
  <c r="L64" i="7"/>
  <c r="F64" i="7"/>
  <c r="I64" i="7"/>
  <c r="R64" i="7"/>
  <c r="M64" i="7"/>
  <c r="K64" i="7"/>
  <c r="H64" i="7"/>
  <c r="N64" i="7"/>
  <c r="J64" i="7"/>
  <c r="A66" i="7" l="1"/>
  <c r="T65" i="7"/>
  <c r="C65" i="7"/>
  <c r="S65" i="7"/>
  <c r="B65" i="7"/>
  <c r="R65" i="7"/>
  <c r="Q65" i="7"/>
  <c r="P65" i="7"/>
  <c r="N65" i="7"/>
  <c r="M65" i="7"/>
  <c r="L65" i="7"/>
  <c r="F65" i="7"/>
  <c r="I65" i="7"/>
  <c r="G65" i="7"/>
  <c r="E65" i="7"/>
  <c r="U65" i="7"/>
  <c r="O65" i="7"/>
  <c r="K65" i="7"/>
  <c r="J65" i="7"/>
  <c r="H65" i="7"/>
  <c r="D65" i="7"/>
  <c r="A67" i="7" l="1"/>
  <c r="Q66" i="7"/>
  <c r="P66" i="7"/>
  <c r="O66" i="7"/>
  <c r="N66" i="7"/>
  <c r="M66" i="7"/>
  <c r="K66" i="7"/>
  <c r="J66" i="7"/>
  <c r="I66" i="7"/>
  <c r="E66" i="7"/>
  <c r="T66" i="7"/>
  <c r="C66" i="7"/>
  <c r="S66" i="7"/>
  <c r="B66" i="7"/>
  <c r="F66" i="7"/>
  <c r="R66" i="7"/>
  <c r="H66" i="7"/>
  <c r="G66" i="7"/>
  <c r="D66" i="7"/>
  <c r="L66" i="7"/>
  <c r="U66" i="7"/>
  <c r="A68" i="7" l="1"/>
  <c r="N67" i="7"/>
  <c r="M67" i="7"/>
  <c r="L67" i="7"/>
  <c r="K67" i="7"/>
  <c r="J67" i="7"/>
  <c r="H67" i="7"/>
  <c r="G67" i="7"/>
  <c r="E67" i="7"/>
  <c r="S67" i="7"/>
  <c r="B67" i="7"/>
  <c r="Q67" i="7"/>
  <c r="P67" i="7"/>
  <c r="U67" i="7"/>
  <c r="T67" i="7"/>
  <c r="R67" i="7"/>
  <c r="O67" i="7"/>
  <c r="F67" i="7"/>
  <c r="D67" i="7"/>
  <c r="C67" i="7"/>
  <c r="I67" i="7"/>
  <c r="A69" i="7" l="1"/>
  <c r="K68" i="7"/>
  <c r="J68" i="7"/>
  <c r="I68" i="7"/>
  <c r="H68" i="7"/>
  <c r="G68" i="7"/>
  <c r="U68" i="7"/>
  <c r="D68" i="7"/>
  <c r="T68" i="7"/>
  <c r="C68" i="7"/>
  <c r="F68" i="7"/>
  <c r="S68" i="7"/>
  <c r="B68" i="7"/>
  <c r="P68" i="7"/>
  <c r="N68" i="7"/>
  <c r="M68" i="7"/>
  <c r="O68" i="7"/>
  <c r="L68" i="7"/>
  <c r="E68" i="7"/>
  <c r="R68" i="7"/>
  <c r="Q68" i="7"/>
  <c r="A70" i="7" l="1"/>
  <c r="H69" i="7"/>
  <c r="G69" i="7"/>
  <c r="E69" i="7"/>
  <c r="U69" i="7"/>
  <c r="D69" i="7"/>
  <c r="T69" i="7"/>
  <c r="C69" i="7"/>
  <c r="R69" i="7"/>
  <c r="F69" i="7"/>
  <c r="Q69" i="7"/>
  <c r="P69" i="7"/>
  <c r="M69" i="7"/>
  <c r="K69" i="7"/>
  <c r="J69" i="7"/>
  <c r="S69" i="7"/>
  <c r="O69" i="7"/>
  <c r="L69" i="7"/>
  <c r="B69" i="7"/>
  <c r="N69" i="7"/>
  <c r="I69" i="7"/>
  <c r="A71" i="7" l="1"/>
  <c r="U70" i="7"/>
  <c r="D70" i="7"/>
  <c r="T70" i="7"/>
  <c r="C70" i="7"/>
  <c r="S70" i="7"/>
  <c r="B70" i="7"/>
  <c r="R70" i="7"/>
  <c r="Q70" i="7"/>
  <c r="F70" i="7"/>
  <c r="O70" i="7"/>
  <c r="N70" i="7"/>
  <c r="M70" i="7"/>
  <c r="J70" i="7"/>
  <c r="H70" i="7"/>
  <c r="G70" i="7"/>
  <c r="P70" i="7"/>
  <c r="L70" i="7"/>
  <c r="K70" i="7"/>
  <c r="I70" i="7"/>
  <c r="E70" i="7"/>
  <c r="A72" i="7" l="1"/>
  <c r="R71" i="7"/>
  <c r="Q71" i="7"/>
  <c r="P71" i="7"/>
  <c r="O71" i="7"/>
  <c r="N71" i="7"/>
  <c r="L71" i="7"/>
  <c r="K71" i="7"/>
  <c r="J71" i="7"/>
  <c r="G71" i="7"/>
  <c r="U71" i="7"/>
  <c r="D71" i="7"/>
  <c r="T71" i="7"/>
  <c r="C71" i="7"/>
  <c r="H71" i="7"/>
  <c r="E71" i="7"/>
  <c r="B71" i="7"/>
  <c r="F71" i="7"/>
  <c r="S71" i="7"/>
  <c r="M71" i="7"/>
  <c r="I71" i="7"/>
  <c r="A73" i="7" l="1"/>
  <c r="O72" i="7"/>
  <c r="N72" i="7"/>
  <c r="M72" i="7"/>
  <c r="L72" i="7"/>
  <c r="F72" i="7"/>
  <c r="K72" i="7"/>
  <c r="I72" i="7"/>
  <c r="H72" i="7"/>
  <c r="G72" i="7"/>
  <c r="T72" i="7"/>
  <c r="C72" i="7"/>
  <c r="R72" i="7"/>
  <c r="Q72" i="7"/>
  <c r="U72" i="7"/>
  <c r="P72" i="7"/>
  <c r="J72" i="7"/>
  <c r="D72" i="7"/>
  <c r="S72" i="7"/>
  <c r="E72" i="7"/>
  <c r="B72" i="7"/>
  <c r="A74" i="7" l="1"/>
  <c r="L73" i="7"/>
  <c r="K73" i="7"/>
  <c r="J73" i="7"/>
  <c r="F73" i="7"/>
  <c r="I73" i="7"/>
  <c r="H73" i="7"/>
  <c r="E73" i="7"/>
  <c r="U73" i="7"/>
  <c r="D73" i="7"/>
  <c r="T73" i="7"/>
  <c r="C73" i="7"/>
  <c r="Q73" i="7"/>
  <c r="O73" i="7"/>
  <c r="N73" i="7"/>
  <c r="S73" i="7"/>
  <c r="R73" i="7"/>
  <c r="P73" i="7"/>
  <c r="M73" i="7"/>
  <c r="G73" i="7"/>
  <c r="B73" i="7"/>
  <c r="A75" i="7" l="1"/>
  <c r="I74" i="7"/>
  <c r="H74" i="7"/>
  <c r="F74" i="7"/>
  <c r="G74" i="7"/>
  <c r="E74" i="7"/>
  <c r="U74" i="7"/>
  <c r="D74" i="7"/>
  <c r="S74" i="7"/>
  <c r="B74" i="7"/>
  <c r="R74" i="7"/>
  <c r="Q74" i="7"/>
  <c r="N74" i="7"/>
  <c r="L74" i="7"/>
  <c r="K74" i="7"/>
  <c r="P74" i="7"/>
  <c r="M74" i="7"/>
  <c r="J74" i="7"/>
  <c r="C74" i="7"/>
  <c r="T74" i="7"/>
  <c r="O74" i="7"/>
  <c r="A76" i="7" l="1"/>
  <c r="E75" i="7"/>
  <c r="F75" i="7"/>
  <c r="U75" i="7"/>
  <c r="D75" i="7"/>
  <c r="T75" i="7"/>
  <c r="C75" i="7"/>
  <c r="S75" i="7"/>
  <c r="B75" i="7"/>
  <c r="R75" i="7"/>
  <c r="P75" i="7"/>
  <c r="O75" i="7"/>
  <c r="N75" i="7"/>
  <c r="K75" i="7"/>
  <c r="I75" i="7"/>
  <c r="H75" i="7"/>
  <c r="Q75" i="7"/>
  <c r="M75" i="7"/>
  <c r="J75" i="7"/>
  <c r="G75" i="7"/>
  <c r="L75" i="7"/>
  <c r="A77" i="7" l="1"/>
  <c r="F76" i="7"/>
  <c r="S76" i="7"/>
  <c r="B76" i="7"/>
  <c r="R76" i="7"/>
  <c r="Q76" i="7"/>
  <c r="P76" i="7"/>
  <c r="O76" i="7"/>
  <c r="M76" i="7"/>
  <c r="L76" i="7"/>
  <c r="K76" i="7"/>
  <c r="H76" i="7"/>
  <c r="E76" i="7"/>
  <c r="U76" i="7"/>
  <c r="D76" i="7"/>
  <c r="N76" i="7"/>
  <c r="J76" i="7"/>
  <c r="I76" i="7"/>
  <c r="G76" i="7"/>
  <c r="C76" i="7"/>
  <c r="T76" i="7"/>
  <c r="A78" i="7" l="1"/>
  <c r="F77" i="7"/>
  <c r="P77" i="7"/>
  <c r="O77" i="7"/>
  <c r="N77" i="7"/>
  <c r="M77" i="7"/>
  <c r="L77" i="7"/>
  <c r="J77" i="7"/>
  <c r="I77" i="7"/>
  <c r="H77" i="7"/>
  <c r="U77" i="7"/>
  <c r="D77" i="7"/>
  <c r="S77" i="7"/>
  <c r="B77" i="7"/>
  <c r="R77" i="7"/>
  <c r="T77" i="7"/>
  <c r="K77" i="7"/>
  <c r="E77" i="7"/>
  <c r="C77" i="7"/>
  <c r="Q77" i="7"/>
  <c r="G77" i="7"/>
  <c r="A79" i="7" l="1"/>
  <c r="M78" i="7"/>
  <c r="L78" i="7"/>
  <c r="K78" i="7"/>
  <c r="J78" i="7"/>
  <c r="I78" i="7"/>
  <c r="G78" i="7"/>
  <c r="E78" i="7"/>
  <c r="U78" i="7"/>
  <c r="D78" i="7"/>
  <c r="R78" i="7"/>
  <c r="P78" i="7"/>
  <c r="F78" i="7"/>
  <c r="O78" i="7"/>
  <c r="T78" i="7"/>
  <c r="S78" i="7"/>
  <c r="Q78" i="7"/>
  <c r="N78" i="7"/>
  <c r="H78" i="7"/>
  <c r="B78" i="7"/>
  <c r="C78" i="7"/>
  <c r="A80" i="7" l="1"/>
  <c r="J79" i="7"/>
  <c r="I79" i="7"/>
  <c r="H79" i="7"/>
  <c r="G79" i="7"/>
  <c r="E79" i="7"/>
  <c r="T79" i="7"/>
  <c r="C79" i="7"/>
  <c r="S79" i="7"/>
  <c r="B79" i="7"/>
  <c r="R79" i="7"/>
  <c r="O79" i="7"/>
  <c r="F79" i="7"/>
  <c r="M79" i="7"/>
  <c r="L79" i="7"/>
  <c r="K79" i="7"/>
  <c r="D79" i="7"/>
  <c r="Q79" i="7"/>
  <c r="P79" i="7"/>
  <c r="N79" i="7"/>
  <c r="U79" i="7"/>
  <c r="A81" i="7" l="1"/>
  <c r="G80" i="7"/>
  <c r="E80" i="7"/>
  <c r="U80" i="7"/>
  <c r="D80" i="7"/>
  <c r="T80" i="7"/>
  <c r="C80" i="7"/>
  <c r="S80" i="7"/>
  <c r="B80" i="7"/>
  <c r="Q80" i="7"/>
  <c r="P80" i="7"/>
  <c r="O80" i="7"/>
  <c r="L80" i="7"/>
  <c r="F80" i="7"/>
  <c r="J80" i="7"/>
  <c r="I80" i="7"/>
  <c r="N80" i="7"/>
  <c r="M80" i="7"/>
  <c r="H80" i="7"/>
  <c r="K80" i="7"/>
  <c r="R80" i="7"/>
  <c r="A82" i="7" l="1"/>
  <c r="T81" i="7"/>
  <c r="C81" i="7"/>
  <c r="S81" i="7"/>
  <c r="B81" i="7"/>
  <c r="R81" i="7"/>
  <c r="Q81" i="7"/>
  <c r="P81" i="7"/>
  <c r="N81" i="7"/>
  <c r="M81" i="7"/>
  <c r="L81" i="7"/>
  <c r="F81" i="7"/>
  <c r="I81" i="7"/>
  <c r="G81" i="7"/>
  <c r="E81" i="7"/>
  <c r="U81" i="7"/>
  <c r="O81" i="7"/>
  <c r="K81" i="7"/>
  <c r="J81" i="7"/>
  <c r="H81" i="7"/>
  <c r="D81" i="7"/>
  <c r="A83" i="7" l="1"/>
  <c r="Q82" i="7"/>
  <c r="P82" i="7"/>
  <c r="O82" i="7"/>
  <c r="N82" i="7"/>
  <c r="M82" i="7"/>
  <c r="K82" i="7"/>
  <c r="J82" i="7"/>
  <c r="I82" i="7"/>
  <c r="E82" i="7"/>
  <c r="T82" i="7"/>
  <c r="C82" i="7"/>
  <c r="S82" i="7"/>
  <c r="B82" i="7"/>
  <c r="D82" i="7"/>
  <c r="F82" i="7"/>
  <c r="U82" i="7"/>
  <c r="L82" i="7"/>
  <c r="H82" i="7"/>
  <c r="G82" i="7"/>
  <c r="R82" i="7"/>
  <c r="A84" i="7" l="1"/>
  <c r="N83" i="7"/>
  <c r="M83" i="7"/>
  <c r="L83" i="7"/>
  <c r="K83" i="7"/>
  <c r="J83" i="7"/>
  <c r="H83" i="7"/>
  <c r="G83" i="7"/>
  <c r="E83" i="7"/>
  <c r="S83" i="7"/>
  <c r="B83" i="7"/>
  <c r="Q83" i="7"/>
  <c r="P83" i="7"/>
  <c r="U83" i="7"/>
  <c r="F83" i="7"/>
  <c r="T83" i="7"/>
  <c r="R83" i="7"/>
  <c r="I83" i="7"/>
  <c r="D83" i="7"/>
  <c r="O83" i="7"/>
  <c r="C83" i="7"/>
  <c r="A85" i="7" l="1"/>
  <c r="K84" i="7"/>
  <c r="J84" i="7"/>
  <c r="I84" i="7"/>
  <c r="H84" i="7"/>
  <c r="G84" i="7"/>
  <c r="U84" i="7"/>
  <c r="D84" i="7"/>
  <c r="T84" i="7"/>
  <c r="C84" i="7"/>
  <c r="F84" i="7"/>
  <c r="S84" i="7"/>
  <c r="B84" i="7"/>
  <c r="P84" i="7"/>
  <c r="N84" i="7"/>
  <c r="M84" i="7"/>
  <c r="Q84" i="7"/>
  <c r="O84" i="7"/>
  <c r="L84" i="7"/>
  <c r="E84" i="7"/>
  <c r="R84" i="7"/>
  <c r="A86" i="7" l="1"/>
  <c r="H85" i="7"/>
  <c r="G85" i="7"/>
  <c r="E85" i="7"/>
  <c r="U85" i="7"/>
  <c r="D85" i="7"/>
  <c r="T85" i="7"/>
  <c r="C85" i="7"/>
  <c r="R85" i="7"/>
  <c r="F85" i="7"/>
  <c r="Q85" i="7"/>
  <c r="P85" i="7"/>
  <c r="M85" i="7"/>
  <c r="K85" i="7"/>
  <c r="J85" i="7"/>
  <c r="S85" i="7"/>
  <c r="N85" i="7"/>
  <c r="I85" i="7"/>
  <c r="B85" i="7"/>
  <c r="L85" i="7"/>
  <c r="O85" i="7"/>
  <c r="A87" i="7" l="1"/>
  <c r="U86" i="7"/>
  <c r="D86" i="7"/>
  <c r="T86" i="7"/>
  <c r="C86" i="7"/>
  <c r="S86" i="7"/>
  <c r="B86" i="7"/>
  <c r="R86" i="7"/>
  <c r="Q86" i="7"/>
  <c r="F86" i="7"/>
  <c r="O86" i="7"/>
  <c r="N86" i="7"/>
  <c r="M86" i="7"/>
  <c r="J86" i="7"/>
  <c r="H86" i="7"/>
  <c r="G86" i="7"/>
  <c r="P86" i="7"/>
  <c r="L86" i="7"/>
  <c r="K86" i="7"/>
  <c r="E86" i="7"/>
  <c r="I86" i="7"/>
  <c r="A88" i="7" l="1"/>
  <c r="R87" i="7"/>
  <c r="Q87" i="7"/>
  <c r="P87" i="7"/>
  <c r="O87" i="7"/>
  <c r="N87" i="7"/>
  <c r="L87" i="7"/>
  <c r="K87" i="7"/>
  <c r="J87" i="7"/>
  <c r="G87" i="7"/>
  <c r="U87" i="7"/>
  <c r="D87" i="7"/>
  <c r="T87" i="7"/>
  <c r="C87" i="7"/>
  <c r="I87" i="7"/>
  <c r="H87" i="7"/>
  <c r="E87" i="7"/>
  <c r="B87" i="7"/>
  <c r="F87" i="7"/>
  <c r="S87" i="7"/>
  <c r="M87" i="7"/>
  <c r="A89" i="7" l="1"/>
  <c r="O88" i="7"/>
  <c r="N88" i="7"/>
  <c r="M88" i="7"/>
  <c r="L88" i="7"/>
  <c r="F88" i="7"/>
  <c r="K88" i="7"/>
  <c r="I88" i="7"/>
  <c r="H88" i="7"/>
  <c r="G88" i="7"/>
  <c r="T88" i="7"/>
  <c r="C88" i="7"/>
  <c r="R88" i="7"/>
  <c r="Q88" i="7"/>
  <c r="S88" i="7"/>
  <c r="P88" i="7"/>
  <c r="E88" i="7"/>
  <c r="B88" i="7"/>
  <c r="U88" i="7"/>
  <c r="J88" i="7"/>
  <c r="D88" i="7"/>
  <c r="A90" i="7" l="1"/>
  <c r="L89" i="7"/>
  <c r="K89" i="7"/>
  <c r="J89" i="7"/>
  <c r="F89" i="7"/>
  <c r="I89" i="7"/>
  <c r="H89" i="7"/>
  <c r="E89" i="7"/>
  <c r="U89" i="7"/>
  <c r="D89" i="7"/>
  <c r="T89" i="7"/>
  <c r="C89" i="7"/>
  <c r="Q89" i="7"/>
  <c r="O89" i="7"/>
  <c r="N89" i="7"/>
  <c r="S89" i="7"/>
  <c r="R89" i="7"/>
  <c r="P89" i="7"/>
  <c r="M89" i="7"/>
  <c r="G89" i="7"/>
  <c r="B89" i="7"/>
  <c r="A91" i="7" l="1"/>
  <c r="I90" i="7"/>
  <c r="H90" i="7"/>
  <c r="F90" i="7"/>
  <c r="G90" i="7"/>
  <c r="E90" i="7"/>
  <c r="U90" i="7"/>
  <c r="D90" i="7"/>
  <c r="S90" i="7"/>
  <c r="B90" i="7"/>
  <c r="R90" i="7"/>
  <c r="Q90" i="7"/>
  <c r="N90" i="7"/>
  <c r="L90" i="7"/>
  <c r="K90" i="7"/>
  <c r="C90" i="7"/>
  <c r="T90" i="7"/>
  <c r="O90" i="7"/>
  <c r="M90" i="7"/>
  <c r="J90" i="7"/>
  <c r="P90" i="7"/>
  <c r="A92" i="7" l="1"/>
  <c r="E91" i="7"/>
  <c r="F91" i="7"/>
  <c r="U91" i="7"/>
  <c r="D91" i="7"/>
  <c r="T91" i="7"/>
  <c r="C91" i="7"/>
  <c r="S91" i="7"/>
  <c r="B91" i="7"/>
  <c r="R91" i="7"/>
  <c r="P91" i="7"/>
  <c r="O91" i="7"/>
  <c r="N91" i="7"/>
  <c r="K91" i="7"/>
  <c r="I91" i="7"/>
  <c r="H91" i="7"/>
  <c r="Q91" i="7"/>
  <c r="L91" i="7"/>
  <c r="J91" i="7"/>
  <c r="M91" i="7"/>
  <c r="G91" i="7"/>
  <c r="A93" i="7" l="1"/>
  <c r="F92" i="7"/>
  <c r="S92" i="7"/>
  <c r="B92" i="7"/>
  <c r="R92" i="7"/>
  <c r="Q92" i="7"/>
  <c r="P92" i="7"/>
  <c r="O92" i="7"/>
  <c r="M92" i="7"/>
  <c r="L92" i="7"/>
  <c r="K92" i="7"/>
  <c r="H92" i="7"/>
  <c r="E92" i="7"/>
  <c r="U92" i="7"/>
  <c r="D92" i="7"/>
  <c r="T92" i="7"/>
  <c r="N92" i="7"/>
  <c r="J92" i="7"/>
  <c r="I92" i="7"/>
  <c r="G92" i="7"/>
  <c r="C92" i="7"/>
  <c r="A94" i="7" l="1"/>
  <c r="F93" i="7"/>
  <c r="P93" i="7"/>
  <c r="O93" i="7"/>
  <c r="N93" i="7"/>
  <c r="M93" i="7"/>
  <c r="L93" i="7"/>
  <c r="J93" i="7"/>
  <c r="I93" i="7"/>
  <c r="H93" i="7"/>
  <c r="U93" i="7"/>
  <c r="D93" i="7"/>
  <c r="S93" i="7"/>
  <c r="B93" i="7"/>
  <c r="R93" i="7"/>
  <c r="Q93" i="7"/>
  <c r="G93" i="7"/>
  <c r="E93" i="7"/>
  <c r="C93" i="7"/>
  <c r="T93" i="7"/>
  <c r="K93" i="7"/>
  <c r="A95" i="7" l="1"/>
  <c r="M94" i="7"/>
  <c r="L94" i="7"/>
  <c r="K94" i="7"/>
  <c r="J94" i="7"/>
  <c r="I94" i="7"/>
  <c r="G94" i="7"/>
  <c r="E94" i="7"/>
  <c r="U94" i="7"/>
  <c r="D94" i="7"/>
  <c r="R94" i="7"/>
  <c r="P94" i="7"/>
  <c r="F94" i="7"/>
  <c r="O94" i="7"/>
  <c r="T94" i="7"/>
  <c r="S94" i="7"/>
  <c r="Q94" i="7"/>
  <c r="N94" i="7"/>
  <c r="C94" i="7"/>
  <c r="B94" i="7"/>
  <c r="H94" i="7"/>
  <c r="A96" i="7" l="1"/>
  <c r="J95" i="7"/>
  <c r="I95" i="7"/>
  <c r="H95" i="7"/>
  <c r="G95" i="7"/>
  <c r="E95" i="7"/>
  <c r="T95" i="7"/>
  <c r="C95" i="7"/>
  <c r="S95" i="7"/>
  <c r="B95" i="7"/>
  <c r="R95" i="7"/>
  <c r="O95" i="7"/>
  <c r="F95" i="7"/>
  <c r="M95" i="7"/>
  <c r="L95" i="7"/>
  <c r="N95" i="7"/>
  <c r="K95" i="7"/>
  <c r="D95" i="7"/>
  <c r="U95" i="7"/>
  <c r="Q95" i="7"/>
  <c r="P95" i="7"/>
  <c r="A97" i="7" l="1"/>
  <c r="G96" i="7"/>
  <c r="E96" i="7"/>
  <c r="U96" i="7"/>
  <c r="D96" i="7"/>
  <c r="T96" i="7"/>
  <c r="C96" i="7"/>
  <c r="S96" i="7"/>
  <c r="B96" i="7"/>
  <c r="Q96" i="7"/>
  <c r="P96" i="7"/>
  <c r="O96" i="7"/>
  <c r="L96" i="7"/>
  <c r="F96" i="7"/>
  <c r="J96" i="7"/>
  <c r="I96" i="7"/>
  <c r="R96" i="7"/>
  <c r="N96" i="7"/>
  <c r="K96" i="7"/>
  <c r="M96" i="7"/>
  <c r="H96" i="7"/>
  <c r="A98" i="7" l="1"/>
  <c r="T97" i="7"/>
  <c r="C97" i="7"/>
  <c r="S97" i="7"/>
  <c r="B97" i="7"/>
  <c r="R97" i="7"/>
  <c r="Q97" i="7"/>
  <c r="P97" i="7"/>
  <c r="N97" i="7"/>
  <c r="M97" i="7"/>
  <c r="L97" i="7"/>
  <c r="F97" i="7"/>
  <c r="I97" i="7"/>
  <c r="G97" i="7"/>
  <c r="E97" i="7"/>
  <c r="U97" i="7"/>
  <c r="O97" i="7"/>
  <c r="K97" i="7"/>
  <c r="J97" i="7"/>
  <c r="H97" i="7"/>
  <c r="D97" i="7"/>
  <c r="A99" i="7" l="1"/>
  <c r="Q98" i="7"/>
  <c r="P98" i="7"/>
  <c r="O98" i="7"/>
  <c r="N98" i="7"/>
  <c r="M98" i="7"/>
  <c r="K98" i="7"/>
  <c r="J98" i="7"/>
  <c r="I98" i="7"/>
  <c r="E98" i="7"/>
  <c r="T98" i="7"/>
  <c r="C98" i="7"/>
  <c r="S98" i="7"/>
  <c r="B98" i="7"/>
  <c r="G98" i="7"/>
  <c r="D98" i="7"/>
  <c r="F98" i="7"/>
  <c r="R98" i="7"/>
  <c r="L98" i="7"/>
  <c r="H98" i="7"/>
  <c r="U98" i="7"/>
  <c r="A100" i="7" l="1"/>
  <c r="N99" i="7"/>
  <c r="M99" i="7"/>
  <c r="L99" i="7"/>
  <c r="K99" i="7"/>
  <c r="J99" i="7"/>
  <c r="H99" i="7"/>
  <c r="G99" i="7"/>
  <c r="E99" i="7"/>
  <c r="S99" i="7"/>
  <c r="B99" i="7"/>
  <c r="Q99" i="7"/>
  <c r="P99" i="7"/>
  <c r="F99" i="7"/>
  <c r="U99" i="7"/>
  <c r="T99" i="7"/>
  <c r="O99" i="7"/>
  <c r="I99" i="7"/>
  <c r="C99" i="7"/>
  <c r="D99" i="7"/>
  <c r="R99" i="7"/>
  <c r="A101" i="7" l="1"/>
  <c r="K100" i="7"/>
  <c r="J100" i="7"/>
  <c r="I100" i="7"/>
  <c r="H100" i="7"/>
  <c r="G100" i="7"/>
  <c r="U100" i="7"/>
  <c r="D100" i="7"/>
  <c r="T100" i="7"/>
  <c r="C100" i="7"/>
  <c r="F100" i="7"/>
  <c r="S100" i="7"/>
  <c r="B100" i="7"/>
  <c r="P100" i="7"/>
  <c r="N100" i="7"/>
  <c r="M100" i="7"/>
  <c r="R100" i="7"/>
  <c r="Q100" i="7"/>
  <c r="O100" i="7"/>
  <c r="L100" i="7"/>
  <c r="E100" i="7"/>
  <c r="A102" i="7" l="1"/>
  <c r="H101" i="7"/>
  <c r="G101" i="7"/>
  <c r="E101" i="7"/>
  <c r="U101" i="7"/>
  <c r="D101" i="7"/>
  <c r="T101" i="7"/>
  <c r="C101" i="7"/>
  <c r="R101" i="7"/>
  <c r="F101" i="7"/>
  <c r="Q101" i="7"/>
  <c r="P101" i="7"/>
  <c r="M101" i="7"/>
  <c r="K101" i="7"/>
  <c r="J101" i="7"/>
  <c r="O101" i="7"/>
  <c r="L101" i="7"/>
  <c r="I101" i="7"/>
  <c r="B101" i="7"/>
  <c r="S101" i="7"/>
  <c r="N101" i="7"/>
  <c r="A103" i="7" l="1"/>
  <c r="U102" i="7"/>
  <c r="D102" i="7"/>
  <c r="T102" i="7"/>
  <c r="C102" i="7"/>
  <c r="S102" i="7"/>
  <c r="B102" i="7"/>
  <c r="R102" i="7"/>
  <c r="Q102" i="7"/>
  <c r="F102" i="7"/>
  <c r="O102" i="7"/>
  <c r="N102" i="7"/>
  <c r="M102" i="7"/>
  <c r="J102" i="7"/>
  <c r="H102" i="7"/>
  <c r="G102" i="7"/>
  <c r="P102" i="7"/>
  <c r="L102" i="7"/>
  <c r="I102" i="7"/>
  <c r="E102" i="7"/>
  <c r="K102" i="7"/>
  <c r="A104" i="7" l="1"/>
  <c r="S103" i="7"/>
  <c r="B103" i="7"/>
  <c r="R103" i="7"/>
  <c r="Q103" i="7"/>
  <c r="P103" i="7"/>
  <c r="O103" i="7"/>
  <c r="N103" i="7"/>
  <c r="L103" i="7"/>
  <c r="K103" i="7"/>
  <c r="J103" i="7"/>
  <c r="G103" i="7"/>
  <c r="U103" i="7"/>
  <c r="D103" i="7"/>
  <c r="T103" i="7"/>
  <c r="C103" i="7"/>
  <c r="F103" i="7"/>
  <c r="M103" i="7"/>
  <c r="I103" i="7"/>
  <c r="H103" i="7"/>
  <c r="E103" i="7"/>
  <c r="A105" i="7" l="1"/>
  <c r="P104" i="7"/>
  <c r="O104" i="7"/>
  <c r="N104" i="7"/>
  <c r="M104" i="7"/>
  <c r="L104" i="7"/>
  <c r="F104" i="7"/>
  <c r="K104" i="7"/>
  <c r="I104" i="7"/>
  <c r="H104" i="7"/>
  <c r="G104" i="7"/>
  <c r="T104" i="7"/>
  <c r="C104" i="7"/>
  <c r="R104" i="7"/>
  <c r="Q104" i="7"/>
  <c r="B104" i="7"/>
  <c r="U104" i="7"/>
  <c r="J104" i="7"/>
  <c r="E104" i="7"/>
  <c r="D104" i="7"/>
  <c r="S104" i="7"/>
  <c r="A106" i="7" l="1"/>
  <c r="M105" i="7"/>
  <c r="L105" i="7"/>
  <c r="K105" i="7"/>
  <c r="J105" i="7"/>
  <c r="F105" i="7"/>
  <c r="I105" i="7"/>
  <c r="H105" i="7"/>
  <c r="E105" i="7"/>
  <c r="U105" i="7"/>
  <c r="D105" i="7"/>
  <c r="T105" i="7"/>
  <c r="C105" i="7"/>
  <c r="Q105" i="7"/>
  <c r="O105" i="7"/>
  <c r="N105" i="7"/>
  <c r="S105" i="7"/>
  <c r="P105" i="7"/>
  <c r="G105" i="7"/>
  <c r="R105" i="7"/>
  <c r="B105" i="7"/>
  <c r="A107" i="7" l="1"/>
  <c r="J106" i="7"/>
  <c r="I106" i="7"/>
  <c r="H106" i="7"/>
  <c r="F106" i="7"/>
  <c r="G106" i="7"/>
  <c r="E106" i="7"/>
  <c r="U106" i="7"/>
  <c r="D106" i="7"/>
  <c r="S106" i="7"/>
  <c r="B106" i="7"/>
  <c r="R106" i="7"/>
  <c r="Q106" i="7"/>
  <c r="N106" i="7"/>
  <c r="L106" i="7"/>
  <c r="K106" i="7"/>
  <c r="T106" i="7"/>
  <c r="P106" i="7"/>
  <c r="O106" i="7"/>
  <c r="M106" i="7"/>
  <c r="C106" i="7"/>
  <c r="A108" i="7" l="1"/>
  <c r="G107" i="7"/>
  <c r="E107" i="7"/>
  <c r="F107" i="7"/>
  <c r="U107" i="7"/>
  <c r="D107" i="7"/>
  <c r="T107" i="7"/>
  <c r="C107" i="7"/>
  <c r="S107" i="7"/>
  <c r="B107" i="7"/>
  <c r="R107" i="7"/>
  <c r="P107" i="7"/>
  <c r="O107" i="7"/>
  <c r="N107" i="7"/>
  <c r="K107" i="7"/>
  <c r="I107" i="7"/>
  <c r="H107" i="7"/>
  <c r="J107" i="7"/>
  <c r="Q107" i="7"/>
  <c r="M107" i="7"/>
  <c r="L107" i="7"/>
  <c r="A109" i="7" l="1"/>
  <c r="T108" i="7"/>
  <c r="C108" i="7"/>
  <c r="F108" i="7"/>
  <c r="S108" i="7"/>
  <c r="B108" i="7"/>
  <c r="R108" i="7"/>
  <c r="Q108" i="7"/>
  <c r="P108" i="7"/>
  <c r="O108" i="7"/>
  <c r="M108" i="7"/>
  <c r="L108" i="7"/>
  <c r="K108" i="7"/>
  <c r="H108" i="7"/>
  <c r="E108" i="7"/>
  <c r="U108" i="7"/>
  <c r="D108" i="7"/>
  <c r="N108" i="7"/>
  <c r="I108" i="7"/>
  <c r="J108" i="7"/>
  <c r="G108" i="7"/>
  <c r="A110" i="7" l="1"/>
  <c r="F109" i="7"/>
  <c r="Q109" i="7"/>
  <c r="P109" i="7"/>
  <c r="O109" i="7"/>
  <c r="N109" i="7"/>
  <c r="M109" i="7"/>
  <c r="L109" i="7"/>
  <c r="J109" i="7"/>
  <c r="I109" i="7"/>
  <c r="H109" i="7"/>
  <c r="U109" i="7"/>
  <c r="D109" i="7"/>
  <c r="S109" i="7"/>
  <c r="B109" i="7"/>
  <c r="R109" i="7"/>
  <c r="T109" i="7"/>
  <c r="K109" i="7"/>
  <c r="G109" i="7"/>
  <c r="C109" i="7"/>
  <c r="E109" i="7"/>
  <c r="A111" i="7" l="1"/>
  <c r="N110" i="7"/>
  <c r="M110" i="7"/>
  <c r="L110" i="7"/>
  <c r="K110" i="7"/>
  <c r="J110" i="7"/>
  <c r="I110" i="7"/>
  <c r="G110" i="7"/>
  <c r="E110" i="7"/>
  <c r="U110" i="7"/>
  <c r="D110" i="7"/>
  <c r="R110" i="7"/>
  <c r="P110" i="7"/>
  <c r="F110" i="7"/>
  <c r="O110" i="7"/>
  <c r="Q110" i="7"/>
  <c r="H110" i="7"/>
  <c r="C110" i="7"/>
  <c r="B110" i="7"/>
  <c r="T110" i="7"/>
  <c r="S110" i="7"/>
  <c r="A112" i="7" l="1"/>
  <c r="K111" i="7"/>
  <c r="J111" i="7"/>
  <c r="I111" i="7"/>
  <c r="H111" i="7"/>
  <c r="G111" i="7"/>
  <c r="E111" i="7"/>
  <c r="T111" i="7"/>
  <c r="C111" i="7"/>
  <c r="S111" i="7"/>
  <c r="B111" i="7"/>
  <c r="R111" i="7"/>
  <c r="O111" i="7"/>
  <c r="F111" i="7"/>
  <c r="M111" i="7"/>
  <c r="L111" i="7"/>
  <c r="U111" i="7"/>
  <c r="P111" i="7"/>
  <c r="D111" i="7"/>
  <c r="N111" i="7"/>
  <c r="Q111" i="7"/>
  <c r="A113" i="7" l="1"/>
  <c r="H112" i="7"/>
  <c r="G112" i="7"/>
  <c r="E112" i="7"/>
  <c r="U112" i="7"/>
  <c r="D112" i="7"/>
  <c r="T112" i="7"/>
  <c r="C112" i="7"/>
  <c r="S112" i="7"/>
  <c r="B112" i="7"/>
  <c r="Q112" i="7"/>
  <c r="P112" i="7"/>
  <c r="O112" i="7"/>
  <c r="L112" i="7"/>
  <c r="F112" i="7"/>
  <c r="J112" i="7"/>
  <c r="I112" i="7"/>
  <c r="R112" i="7"/>
  <c r="N112" i="7"/>
  <c r="K112" i="7"/>
  <c r="M112" i="7"/>
  <c r="A114" i="7" l="1"/>
  <c r="U113" i="7"/>
  <c r="D113" i="7"/>
  <c r="T113" i="7"/>
  <c r="C113" i="7"/>
  <c r="S113" i="7"/>
  <c r="B113" i="7"/>
  <c r="R113" i="7"/>
  <c r="Q113" i="7"/>
  <c r="P113" i="7"/>
  <c r="N113" i="7"/>
  <c r="M113" i="7"/>
  <c r="L113" i="7"/>
  <c r="F113" i="7"/>
  <c r="I113" i="7"/>
  <c r="G113" i="7"/>
  <c r="E113" i="7"/>
  <c r="O113" i="7"/>
  <c r="K113" i="7"/>
  <c r="J113" i="7"/>
  <c r="H113" i="7"/>
  <c r="A115" i="7" l="1"/>
  <c r="R114" i="7"/>
  <c r="Q114" i="7"/>
  <c r="P114" i="7"/>
  <c r="O114" i="7"/>
  <c r="N114" i="7"/>
  <c r="M114" i="7"/>
  <c r="K114" i="7"/>
  <c r="J114" i="7"/>
  <c r="I114" i="7"/>
  <c r="F114" i="7"/>
  <c r="E114" i="7"/>
  <c r="T114" i="7"/>
  <c r="C114" i="7"/>
  <c r="S114" i="7"/>
  <c r="B114" i="7"/>
  <c r="D114" i="7"/>
  <c r="L114" i="7"/>
  <c r="H114" i="7"/>
  <c r="G114" i="7"/>
  <c r="U114" i="7"/>
  <c r="A116" i="7" l="1"/>
  <c r="O115" i="7"/>
  <c r="N115" i="7"/>
  <c r="M115" i="7"/>
  <c r="L115" i="7"/>
  <c r="K115" i="7"/>
  <c r="J115" i="7"/>
  <c r="H115" i="7"/>
  <c r="G115" i="7"/>
  <c r="E115" i="7"/>
  <c r="S115" i="7"/>
  <c r="B115" i="7"/>
  <c r="Q115" i="7"/>
  <c r="P115" i="7"/>
  <c r="F115" i="7"/>
  <c r="U115" i="7"/>
  <c r="R115" i="7"/>
  <c r="I115" i="7"/>
  <c r="C115" i="7"/>
  <c r="T115" i="7"/>
  <c r="D115" i="7"/>
  <c r="A117" i="7" l="1"/>
  <c r="L116" i="7"/>
  <c r="K116" i="7"/>
  <c r="J116" i="7"/>
  <c r="I116" i="7"/>
  <c r="H116" i="7"/>
  <c r="G116" i="7"/>
  <c r="U116" i="7"/>
  <c r="D116" i="7"/>
  <c r="T116" i="7"/>
  <c r="C116" i="7"/>
  <c r="F116" i="7"/>
  <c r="S116" i="7"/>
  <c r="B116" i="7"/>
  <c r="P116" i="7"/>
  <c r="N116" i="7"/>
  <c r="M116" i="7"/>
  <c r="R116" i="7"/>
  <c r="Q116" i="7"/>
  <c r="O116" i="7"/>
  <c r="E116" i="7"/>
  <c r="A118" i="7" l="1"/>
  <c r="I117" i="7"/>
  <c r="H117" i="7"/>
  <c r="G117" i="7"/>
  <c r="E117" i="7"/>
  <c r="U117" i="7"/>
  <c r="D117" i="7"/>
  <c r="T117" i="7"/>
  <c r="C117" i="7"/>
  <c r="R117" i="7"/>
  <c r="F117" i="7"/>
  <c r="Q117" i="7"/>
  <c r="P117" i="7"/>
  <c r="M117" i="7"/>
  <c r="K117" i="7"/>
  <c r="J117" i="7"/>
  <c r="L117" i="7"/>
  <c r="B117" i="7"/>
  <c r="S117" i="7"/>
  <c r="O117" i="7"/>
  <c r="N117" i="7"/>
  <c r="A119" i="7" l="1"/>
  <c r="E118" i="7"/>
  <c r="U118" i="7"/>
  <c r="D118" i="7"/>
  <c r="T118" i="7"/>
  <c r="C118" i="7"/>
  <c r="S118" i="7"/>
  <c r="B118" i="7"/>
  <c r="R118" i="7"/>
  <c r="Q118" i="7"/>
  <c r="F118" i="7"/>
  <c r="O118" i="7"/>
  <c r="N118" i="7"/>
  <c r="M118" i="7"/>
  <c r="J118" i="7"/>
  <c r="H118" i="7"/>
  <c r="G118" i="7"/>
  <c r="P118" i="7"/>
  <c r="K118" i="7"/>
  <c r="L118" i="7"/>
  <c r="I118" i="7"/>
  <c r="A120" i="7" l="1"/>
  <c r="S119" i="7"/>
  <c r="B119" i="7"/>
  <c r="R119" i="7"/>
  <c r="Q119" i="7"/>
  <c r="P119" i="7"/>
  <c r="O119" i="7"/>
  <c r="N119" i="7"/>
  <c r="F119" i="7"/>
  <c r="L119" i="7"/>
  <c r="K119" i="7"/>
  <c r="J119" i="7"/>
  <c r="G119" i="7"/>
  <c r="U119" i="7"/>
  <c r="D119" i="7"/>
  <c r="T119" i="7"/>
  <c r="C119" i="7"/>
  <c r="M119" i="7"/>
  <c r="I119" i="7"/>
  <c r="E119" i="7"/>
  <c r="H119" i="7"/>
  <c r="A121" i="7" l="1"/>
  <c r="P120" i="7"/>
  <c r="O120" i="7"/>
  <c r="N120" i="7"/>
  <c r="M120" i="7"/>
  <c r="L120" i="7"/>
  <c r="F120" i="7"/>
  <c r="K120" i="7"/>
  <c r="I120" i="7"/>
  <c r="H120" i="7"/>
  <c r="G120" i="7"/>
  <c r="T120" i="7"/>
  <c r="C120" i="7"/>
  <c r="R120" i="7"/>
  <c r="Q120" i="7"/>
  <c r="S120" i="7"/>
  <c r="J120" i="7"/>
  <c r="E120" i="7"/>
  <c r="D120" i="7"/>
  <c r="B120" i="7"/>
  <c r="U120" i="7"/>
  <c r="A122" i="7" l="1"/>
  <c r="M121" i="7"/>
  <c r="L121" i="7"/>
  <c r="K121" i="7"/>
  <c r="J121" i="7"/>
  <c r="F121" i="7"/>
  <c r="I121" i="7"/>
  <c r="H121" i="7"/>
  <c r="E121" i="7"/>
  <c r="U121" i="7"/>
  <c r="D121" i="7"/>
  <c r="T121" i="7"/>
  <c r="C121" i="7"/>
  <c r="Q121" i="7"/>
  <c r="O121" i="7"/>
  <c r="N121" i="7"/>
  <c r="R121" i="7"/>
  <c r="G121" i="7"/>
  <c r="B121" i="7"/>
  <c r="S121" i="7"/>
  <c r="P121" i="7"/>
  <c r="A123" i="7" l="1"/>
  <c r="J122" i="7"/>
  <c r="I122" i="7"/>
  <c r="H122" i="7"/>
  <c r="F122" i="7"/>
  <c r="G122" i="7"/>
  <c r="E122" i="7"/>
  <c r="U122" i="7"/>
  <c r="D122" i="7"/>
  <c r="S122" i="7"/>
  <c r="B122" i="7"/>
  <c r="R122" i="7"/>
  <c r="Q122" i="7"/>
  <c r="N122" i="7"/>
  <c r="L122" i="7"/>
  <c r="K122" i="7"/>
  <c r="T122" i="7"/>
  <c r="P122" i="7"/>
  <c r="M122" i="7"/>
  <c r="C122" i="7"/>
  <c r="O122" i="7"/>
  <c r="A124" i="7" l="1"/>
  <c r="G123" i="7"/>
  <c r="E123" i="7"/>
  <c r="F123" i="7"/>
  <c r="U123" i="7"/>
  <c r="D123" i="7"/>
  <c r="T123" i="7"/>
  <c r="C123" i="7"/>
  <c r="S123" i="7"/>
  <c r="B123" i="7"/>
  <c r="R123" i="7"/>
  <c r="P123" i="7"/>
  <c r="O123" i="7"/>
  <c r="N123" i="7"/>
  <c r="K123" i="7"/>
  <c r="I123" i="7"/>
  <c r="H123" i="7"/>
  <c r="Q123" i="7"/>
  <c r="M123" i="7"/>
  <c r="L123" i="7"/>
  <c r="J123" i="7"/>
  <c r="A125" i="7" l="1"/>
  <c r="T124" i="7"/>
  <c r="C124" i="7"/>
  <c r="F124" i="7"/>
  <c r="S124" i="7"/>
  <c r="B124" i="7"/>
  <c r="R124" i="7"/>
  <c r="Q124" i="7"/>
  <c r="P124" i="7"/>
  <c r="O124" i="7"/>
  <c r="M124" i="7"/>
  <c r="L124" i="7"/>
  <c r="K124" i="7"/>
  <c r="H124" i="7"/>
  <c r="E124" i="7"/>
  <c r="U124" i="7"/>
  <c r="D124" i="7"/>
  <c r="G124" i="7"/>
  <c r="N124" i="7"/>
  <c r="J124" i="7"/>
  <c r="I124" i="7"/>
  <c r="F125" i="7" l="1"/>
  <c r="Q125" i="7"/>
  <c r="P125" i="7"/>
  <c r="O125" i="7"/>
  <c r="N125" i="7"/>
  <c r="M125" i="7"/>
  <c r="L125" i="7"/>
  <c r="J125" i="7"/>
  <c r="I125" i="7"/>
  <c r="H125" i="7"/>
  <c r="U125" i="7"/>
  <c r="D125" i="7"/>
  <c r="S125" i="7"/>
  <c r="B125" i="7"/>
  <c r="R125" i="7"/>
  <c r="T125" i="7"/>
  <c r="K125" i="7"/>
  <c r="E125" i="7"/>
  <c r="G125" i="7"/>
  <c r="C125" i="7"/>
</calcChain>
</file>

<file path=xl/sharedStrings.xml><?xml version="1.0" encoding="utf-8"?>
<sst xmlns="http://schemas.openxmlformats.org/spreadsheetml/2006/main" count="345" uniqueCount="121">
  <si>
    <t>Statistical Abstract of Latin America (vol 38, 2002), UCLA Latin America Center Publications, стр. 150-159</t>
  </si>
  <si>
    <t>год</t>
  </si>
  <si>
    <t>Аргентина</t>
  </si>
  <si>
    <t>Боливия</t>
  </si>
  <si>
    <t>Бразилия</t>
  </si>
  <si>
    <t>Чили</t>
  </si>
  <si>
    <t>Колумбия</t>
  </si>
  <si>
    <t>Коста-Рика</t>
  </si>
  <si>
    <t>Куба</t>
  </si>
  <si>
    <t>Доминиканская республика</t>
  </si>
  <si>
    <t>Эквадор</t>
  </si>
  <si>
    <t>Эль-Сальвадор</t>
  </si>
  <si>
    <t>Гватемала</t>
  </si>
  <si>
    <t>Гаити</t>
  </si>
  <si>
    <t>Гондурас</t>
  </si>
  <si>
    <t>Мексика</t>
  </si>
  <si>
    <t>Никарагуа</t>
  </si>
  <si>
    <t>Панама</t>
  </si>
  <si>
    <t>Парагвай</t>
  </si>
  <si>
    <t>Перу</t>
  </si>
  <si>
    <t>Уругвай</t>
  </si>
  <si>
    <t>Венецуэлла</t>
  </si>
  <si>
    <t>Для Гватемалы, Перу и Уругвая  данные выправлены на недоучёт.</t>
  </si>
  <si>
    <t>Для Бразилии и Венецуэллы данные не включают туземное население в удалённых областях</t>
  </si>
  <si>
    <t>Для Эквадора данные не включают кочевое туземное население.</t>
  </si>
  <si>
    <t>Источник:</t>
  </si>
  <si>
    <t>Исторические данные за 1900-1950 приведены по</t>
  </si>
  <si>
    <t>Statistical Abstract ofLatin America, Supplement 3 (1974) "Statistics and National Policy", UCLA Latin American Center, стр. 173-187</t>
  </si>
  <si>
    <t>далее по UN Demographic Yearbook, отдельные годы по UN Population Division и МВФ</t>
  </si>
  <si>
    <t>где они даны с дополнительным десятичным знаком</t>
  </si>
  <si>
    <t>notes:</t>
  </si>
  <si>
    <t>Боливия: включает оценку живущих в джунглях</t>
  </si>
  <si>
    <t>Колумбия:</t>
  </si>
  <si>
    <t>The 1928 census was not accepted by the Colombian National Congress because census was believed to be inflated for certain civil divisions.</t>
  </si>
  <si>
    <t>The 1905 census has been the subject of controversy; for discussion which accepts a revised estimate of 4355, see J de D Higuita, "Estudio Historico Anali'tico de la Poblacion Colombiana en 170 Anos,” Anales de Economia Estadistica; Boletin de la Contraloria General 3:2 (April 1940), Suplemento (published by Colombia, Contraloria General, Direccion Nacional de Estadistica). In any case, total excludes Panama.</t>
  </si>
  <si>
    <t>Excluding Canal Zone; including estimates for jungle Indians.</t>
  </si>
  <si>
    <t>Панама:</t>
  </si>
  <si>
    <t>O. Andrew Collver, Birth Rates in Latin America: New Estimates of Historical Trends and Fluctuations, passim</t>
  </si>
  <si>
    <t>United Nations, World Population Prospects as Assessed in 1963 (New York: Department of Economic and Social Affairs, 1966), pp. 143-144</t>
  </si>
  <si>
    <t>страна</t>
  </si>
  <si>
    <t>Латинская Америка</t>
  </si>
  <si>
    <t>Аргениина</t>
  </si>
  <si>
    <t>Коста Рика</t>
  </si>
  <si>
    <t>Эль Сальвадор</t>
  </si>
  <si>
    <t>Гаита</t>
  </si>
  <si>
    <t>Collver</t>
  </si>
  <si>
    <t>WPP</t>
  </si>
  <si>
    <t>SA = Sanchez-Albornoz</t>
  </si>
  <si>
    <t>SA</t>
  </si>
  <si>
    <t>Желтым цветом помечена неполная сумма по части стран</t>
  </si>
  <si>
    <t>Источники не указывают, включают ли они оценку населения в джунглях</t>
  </si>
  <si>
    <t>Nicolas Sanchez-Albornoz, The Population of Latin America, pp. 169 and 184  - data since 1930 are quoted from Centro Latinoamericano de Demograffa (CELADE), Boletfn Demografico V:10 (1972), pp. 4-5</t>
  </si>
  <si>
    <t>Statistical Abstract ofLatin America, Supplement 3 (1974) "Statistics and National Policy", UCLA Latin American Center, стр. 186</t>
  </si>
  <si>
    <t>Исправлена опечатка Парагвай 1966</t>
  </si>
  <si>
    <t>Значения даны на середину календарного года</t>
  </si>
  <si>
    <t>Для Колумбии стоит два примечания: (а) на середину года и (б) на 24 октября календарного года.</t>
  </si>
  <si>
    <t>Это примечание является редакционной нестыковкой.</t>
  </si>
  <si>
    <t xml:space="preserve">24 октября действительно является днём переписи Колумбии 1973 года; но это не универсальная дата всех колумбийских переписей: </t>
  </si>
  <si>
    <t>IPUMS указывает для Колумбии 1964 день переписи 15 июля, для 1973 — 24 октября, для 1985 — 15 октября.</t>
  </si>
  <si>
    <t xml:space="preserve">Оговорка про 24 октября, вероятно, унаследована от переписно-оценочных источников или от одной из колумбийских дат переписи, </t>
  </si>
  <si>
    <t xml:space="preserve">но в SALA 2002 она поставлена слишком широко. </t>
  </si>
  <si>
    <t>На пракитике следует считать ряд Колумбии mid-year series, как остальные страны.</t>
  </si>
  <si>
    <t xml:space="preserve">Сама таблица надёжно не объясняет статуса, а поздние сегменты SALA 2002 идут из IMF/UN-источников; </t>
  </si>
  <si>
    <t>UN Demographic Yearbook, в свою очередь, стандартно публикует mid-year estimates в соответствующих таблицах.</t>
  </si>
  <si>
    <t xml:space="preserve">Эффект сдвига в любом случае мал: 24 октября примерно на 115 дней позже 1 июля, то есть на 0.315 года. </t>
  </si>
  <si>
    <t xml:space="preserve">При росте 2–3% в год это даёт разницу порядка 0.6–1.0%. </t>
  </si>
  <si>
    <t>Для грубой демографической склейки это меньше многих межисточниковых расхождений SALA.</t>
  </si>
  <si>
    <t>Исправленные опечаткт помечены синим фоном</t>
  </si>
  <si>
    <t>WPP 2024 начало года</t>
  </si>
  <si>
    <t>WPP 2024 середина года</t>
  </si>
  <si>
    <t>Численность населения по UN WPP 2024</t>
  </si>
  <si>
    <t>Антигуа и Барбуда</t>
  </si>
  <si>
    <t>Аруба</t>
  </si>
  <si>
    <t>Багамы</t>
  </si>
  <si>
    <t>Барбадос</t>
  </si>
  <si>
    <t>Белиз</t>
  </si>
  <si>
    <t>Кюрасао</t>
  </si>
  <si>
    <t>Гренада</t>
  </si>
  <si>
    <t>Гваделупа</t>
  </si>
  <si>
    <t>Французская Гвиана</t>
  </si>
  <si>
    <t>Гайана</t>
  </si>
  <si>
    <t>Виргинские острова США</t>
  </si>
  <si>
    <t>Ямайка</t>
  </si>
  <si>
    <t>Мартиника</t>
  </si>
  <si>
    <t>Пуэрто-Рико</t>
  </si>
  <si>
    <t>Доминиканская Республика</t>
  </si>
  <si>
    <t>Сент-Винсент и Гренадины</t>
  </si>
  <si>
    <t>Сент-Люсия</t>
  </si>
  <si>
    <t>Суринам</t>
  </si>
  <si>
    <t>Тринидад и Тобаго</t>
  </si>
  <si>
    <t>CEPAL</t>
  </si>
  <si>
    <t>"Demographic Observatory : Latin America and the Caribbean 2020", UN ECLAC/CEPAL, стр. 32-33</t>
  </si>
  <si>
    <t>Численность населения (оба пола) в 1950-2020 (с шагом 5 лет), на середину года</t>
  </si>
  <si>
    <t>Венесуэла</t>
  </si>
  <si>
    <t>1920-1945</t>
  </si>
  <si>
    <t>Boletín demográfico. Año 7, no. 14, Jul 1974, стр. 9</t>
  </si>
  <si>
    <t>1950-2020</t>
  </si>
  <si>
    <t>SALA 2002</t>
  </si>
  <si>
    <t>SALA 1974</t>
  </si>
  <si>
    <t>SALA Alt -- Альтернативные оценки по декадам</t>
  </si>
  <si>
    <t>Statistical Abstract of Latin America, Supplement 3 (1974) "Statistics and National Policy", UCLA Latin American Center, стр. 173-187</t>
  </si>
  <si>
    <t>Источники:</t>
  </si>
  <si>
    <t>CEPAL годовые</t>
  </si>
  <si>
    <t>Разложение страницы CEPAL на годовые величины.</t>
  </si>
  <si>
    <t>Интерполяция сплайном (программа RTSS SplineData).</t>
  </si>
  <si>
    <t>SALA WPP 2024 199x</t>
  </si>
  <si>
    <t>Склейка данных из SALA 1974/SALA 2002 c данными "WPP 2024 середина года" c соединением в 1995-2000</t>
  </si>
  <si>
    <t>SALA WPP 2024 195x</t>
  </si>
  <si>
    <t>Склейка данных из SALA 1974 c данными "WPP 2024 середина года" c соединением в 1950-1960</t>
  </si>
  <si>
    <t>Сальвадор</t>
  </si>
  <si>
    <t>Доминиканская
республика</t>
  </si>
  <si>
    <t>вся 
Латинская
Америка</t>
  </si>
  <si>
    <t>неиспанские Карибы 
по Булмер-Томасу</t>
  </si>
  <si>
    <t>Нидерландские
Антильские
острова</t>
  </si>
  <si>
    <t>иные
британские
колонии</t>
  </si>
  <si>
    <t>Виргинские
острова
США</t>
  </si>
  <si>
    <t>Французские
колонии</t>
  </si>
  <si>
    <t>Тринидад
и Тобаго</t>
  </si>
  <si>
    <t>SALA WPP 195x и Бриньоли</t>
  </si>
  <si>
    <t>Арифметическое среднее между SALA WPP 2024 195x и Бриньоли.</t>
  </si>
  <si>
    <t>Венесуэла с 2001 -- по WPP.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</si>
</sst>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 Unicode MS"/>
      <family val="2"/>
    </font>
    <font>
      <sz val="11"/>
      <color rgb="FF000000"/>
      <name val="Calibri"/>
      <family val="2"/>
      <scheme val="minor"/>
    </font>
    <font>
      <b/>
      <sz val="18"/>
      <color rgb="FF0070C0"/>
      <name val="Calibri"/>
      <family val="2"/>
      <scheme val="minor"/>
    </font>
    <font>
      <b/>
      <sz val="16"/>
      <color rgb="FF0070C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2" fontId="0" fillId="0" borderId="0" xfId="0" applyNumberFormat="1"/>
    <xf numFmtId="0" fontId="1" fillId="2" borderId="0" xfId="0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0" applyNumberFormat="1"/>
    <xf numFmtId="3" fontId="3" fillId="0" borderId="0" xfId="0" applyNumberFormat="1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/>
    <xf numFmtId="3" fontId="2" fillId="0" borderId="0" xfId="0" applyNumberFormat="1" applyFont="1" applyAlignment="1">
      <alignment vertical="center"/>
    </xf>
    <xf numFmtId="3" fontId="0" fillId="3" borderId="0" xfId="0" applyNumberFormat="1" applyFill="1"/>
    <xf numFmtId="3" fontId="2" fillId="3" borderId="0" xfId="0" applyNumberFormat="1" applyFont="1" applyFill="1" applyAlignment="1">
      <alignment vertical="center"/>
    </xf>
    <xf numFmtId="3" fontId="0" fillId="4" borderId="0" xfId="0" applyNumberFormat="1" applyFill="1"/>
    <xf numFmtId="164" fontId="0" fillId="0" borderId="0" xfId="0" applyNumberFormat="1"/>
    <xf numFmtId="0" fontId="1" fillId="2" borderId="0" xfId="0" applyFont="1" applyFill="1"/>
    <xf numFmtId="165" fontId="0" fillId="0" borderId="0" xfId="0" applyNumberFormat="1"/>
    <xf numFmtId="2" fontId="0" fillId="4" borderId="0" xfId="0" applyNumberFormat="1" applyFill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3652F-D782-4B7C-88EB-67D8DCBAAE8F}">
  <dimension ref="A1:B78"/>
  <sheetViews>
    <sheetView tabSelected="1" topLeftCell="A42" workbookViewId="0">
      <selection activeCell="B78" sqref="B78"/>
    </sheetView>
  </sheetViews>
  <sheetFormatPr defaultRowHeight="15" x14ac:dyDescent="0.25"/>
  <sheetData>
    <row r="1" spans="1:2" ht="23.25" x14ac:dyDescent="0.35">
      <c r="A1" s="12" t="s">
        <v>97</v>
      </c>
    </row>
    <row r="2" spans="1:2" x14ac:dyDescent="0.25">
      <c r="A2" t="s">
        <v>25</v>
      </c>
    </row>
    <row r="3" spans="1:2" x14ac:dyDescent="0.25">
      <c r="A3" s="1" t="s">
        <v>0</v>
      </c>
    </row>
    <row r="5" spans="1:2" x14ac:dyDescent="0.25">
      <c r="A5" t="s">
        <v>54</v>
      </c>
    </row>
    <row r="7" spans="1:2" x14ac:dyDescent="0.25">
      <c r="B7" t="s">
        <v>55</v>
      </c>
    </row>
    <row r="8" spans="1:2" x14ac:dyDescent="0.25">
      <c r="B8" t="s">
        <v>56</v>
      </c>
    </row>
    <row r="9" spans="1:2" x14ac:dyDescent="0.25">
      <c r="B9" t="s">
        <v>57</v>
      </c>
    </row>
    <row r="10" spans="1:2" x14ac:dyDescent="0.25">
      <c r="B10" t="s">
        <v>58</v>
      </c>
    </row>
    <row r="11" spans="1:2" x14ac:dyDescent="0.25">
      <c r="B11" t="s">
        <v>59</v>
      </c>
    </row>
    <row r="12" spans="1:2" x14ac:dyDescent="0.25">
      <c r="B12" t="s">
        <v>60</v>
      </c>
    </row>
    <row r="14" spans="1:2" x14ac:dyDescent="0.25">
      <c r="B14" t="s">
        <v>61</v>
      </c>
    </row>
    <row r="15" spans="1:2" x14ac:dyDescent="0.25">
      <c r="B15" t="s">
        <v>62</v>
      </c>
    </row>
    <row r="16" spans="1:2" x14ac:dyDescent="0.25">
      <c r="B16" t="s">
        <v>63</v>
      </c>
    </row>
    <row r="18" spans="1:2" x14ac:dyDescent="0.25">
      <c r="B18" t="s">
        <v>64</v>
      </c>
    </row>
    <row r="19" spans="1:2" x14ac:dyDescent="0.25">
      <c r="B19" t="s">
        <v>65</v>
      </c>
    </row>
    <row r="20" spans="1:2" x14ac:dyDescent="0.25">
      <c r="B20" t="s">
        <v>66</v>
      </c>
    </row>
    <row r="22" spans="1:2" x14ac:dyDescent="0.25">
      <c r="A22" t="s">
        <v>23</v>
      </c>
    </row>
    <row r="24" spans="1:2" x14ac:dyDescent="0.25">
      <c r="A24" t="s">
        <v>24</v>
      </c>
    </row>
    <row r="26" spans="1:2" x14ac:dyDescent="0.25">
      <c r="A26" t="s">
        <v>22</v>
      </c>
    </row>
    <row r="28" spans="1:2" x14ac:dyDescent="0.25">
      <c r="A28" t="s">
        <v>26</v>
      </c>
    </row>
    <row r="29" spans="1:2" x14ac:dyDescent="0.25">
      <c r="A29" t="s">
        <v>100</v>
      </c>
    </row>
    <row r="30" spans="1:2" x14ac:dyDescent="0.25">
      <c r="A30" t="s">
        <v>29</v>
      </c>
    </row>
    <row r="31" spans="1:2" x14ac:dyDescent="0.25">
      <c r="A31" t="s">
        <v>28</v>
      </c>
    </row>
    <row r="33" spans="1:2" x14ac:dyDescent="0.25">
      <c r="A33" t="s">
        <v>67</v>
      </c>
    </row>
    <row r="35" spans="1:2" ht="23.25" x14ac:dyDescent="0.35">
      <c r="A35" s="12" t="s">
        <v>98</v>
      </c>
    </row>
    <row r="36" spans="1:2" x14ac:dyDescent="0.25">
      <c r="A36" t="s">
        <v>25</v>
      </c>
    </row>
    <row r="37" spans="1:2" x14ac:dyDescent="0.25">
      <c r="A37" s="1" t="s">
        <v>27</v>
      </c>
    </row>
    <row r="38" spans="1:2" x14ac:dyDescent="0.25">
      <c r="A38" t="s">
        <v>53</v>
      </c>
    </row>
    <row r="41" spans="1:2" ht="23.25" x14ac:dyDescent="0.35">
      <c r="A41" s="12" t="s">
        <v>99</v>
      </c>
    </row>
    <row r="42" spans="1:2" x14ac:dyDescent="0.25">
      <c r="A42" t="s">
        <v>25</v>
      </c>
    </row>
    <row r="43" spans="1:2" x14ac:dyDescent="0.25">
      <c r="A43" s="1" t="s">
        <v>52</v>
      </c>
    </row>
    <row r="45" spans="1:2" x14ac:dyDescent="0.25">
      <c r="B45" t="s">
        <v>101</v>
      </c>
    </row>
    <row r="46" spans="1:2" x14ac:dyDescent="0.25">
      <c r="B46" t="s">
        <v>37</v>
      </c>
    </row>
    <row r="47" spans="1:2" x14ac:dyDescent="0.25">
      <c r="B47" t="s">
        <v>51</v>
      </c>
    </row>
    <row r="48" spans="1:2" x14ac:dyDescent="0.25">
      <c r="B48" t="s">
        <v>38</v>
      </c>
    </row>
    <row r="50" spans="1:2" ht="23.25" x14ac:dyDescent="0.35">
      <c r="A50" s="12" t="s">
        <v>68</v>
      </c>
    </row>
    <row r="51" spans="1:2" ht="23.25" x14ac:dyDescent="0.35">
      <c r="A51" s="12" t="s">
        <v>69</v>
      </c>
    </row>
    <row r="53" spans="1:2" x14ac:dyDescent="0.25">
      <c r="B53" t="s">
        <v>70</v>
      </c>
    </row>
    <row r="55" spans="1:2" ht="23.25" x14ac:dyDescent="0.35">
      <c r="A55" s="12" t="s">
        <v>105</v>
      </c>
    </row>
    <row r="56" spans="1:2" x14ac:dyDescent="0.25">
      <c r="A56" t="s">
        <v>106</v>
      </c>
    </row>
    <row r="58" spans="1:2" ht="23.25" x14ac:dyDescent="0.35">
      <c r="A58" s="12" t="s">
        <v>107</v>
      </c>
    </row>
    <row r="59" spans="1:2" x14ac:dyDescent="0.25">
      <c r="A59" t="s">
        <v>108</v>
      </c>
    </row>
    <row r="61" spans="1:2" ht="23.25" x14ac:dyDescent="0.35">
      <c r="A61" s="12" t="s">
        <v>90</v>
      </c>
    </row>
    <row r="62" spans="1:2" x14ac:dyDescent="0.25">
      <c r="B62" t="s">
        <v>94</v>
      </c>
    </row>
    <row r="63" spans="1:2" x14ac:dyDescent="0.25">
      <c r="B63" t="s">
        <v>95</v>
      </c>
    </row>
    <row r="66" spans="1:2" x14ac:dyDescent="0.25">
      <c r="B66" t="s">
        <v>96</v>
      </c>
    </row>
    <row r="67" spans="1:2" x14ac:dyDescent="0.25">
      <c r="B67" t="s">
        <v>91</v>
      </c>
    </row>
    <row r="68" spans="1:2" x14ac:dyDescent="0.25">
      <c r="B68" t="s">
        <v>92</v>
      </c>
    </row>
    <row r="70" spans="1:2" ht="23.25" x14ac:dyDescent="0.35">
      <c r="A70" s="12" t="s">
        <v>102</v>
      </c>
    </row>
    <row r="72" spans="1:2" x14ac:dyDescent="0.25">
      <c r="B72" t="s">
        <v>103</v>
      </c>
    </row>
    <row r="73" spans="1:2" x14ac:dyDescent="0.25">
      <c r="B73" t="s">
        <v>104</v>
      </c>
    </row>
    <row r="75" spans="1:2" ht="21" x14ac:dyDescent="0.35">
      <c r="A75" s="23" t="s">
        <v>118</v>
      </c>
    </row>
    <row r="77" spans="1:2" x14ac:dyDescent="0.25">
      <c r="B77" t="s">
        <v>119</v>
      </c>
    </row>
    <row r="78" spans="1:2" x14ac:dyDescent="0.25">
      <c r="B78" t="s">
        <v>120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E3C15-A1AF-4867-A59B-75FEE7825882}">
  <dimension ref="A1:U85"/>
  <sheetViews>
    <sheetView workbookViewId="0">
      <pane ySplit="1" topLeftCell="A2" activePane="bottomLeft" state="frozen"/>
      <selection activeCell="C1" sqref="C1"/>
      <selection pane="bottomLeft" activeCell="B22" sqref="B22"/>
    </sheetView>
  </sheetViews>
  <sheetFormatPr defaultRowHeight="15" x14ac:dyDescent="0.25"/>
  <cols>
    <col min="1" max="1" width="13.140625" style="5" customWidth="1"/>
    <col min="2" max="2" width="10.5703125" bestFit="1" customWidth="1"/>
    <col min="3" max="3" width="8.7109375" bestFit="1" customWidth="1"/>
    <col min="4" max="4" width="9.5703125" bestFit="1" customWidth="1"/>
    <col min="5" max="5" width="6.5703125" bestFit="1" customWidth="1"/>
    <col min="6" max="6" width="10.28515625" bestFit="1" customWidth="1"/>
    <col min="7" max="7" width="11" bestFit="1" customWidth="1"/>
    <col min="8" max="8" width="5.5703125" bestFit="1" customWidth="1"/>
    <col min="9" max="9" width="27.28515625" bestFit="1" customWidth="1"/>
    <col min="10" max="10" width="8.7109375" bestFit="1" customWidth="1"/>
    <col min="11" max="11" width="15" bestFit="1" customWidth="1"/>
    <col min="12" max="12" width="10.5703125" bestFit="1" customWidth="1"/>
    <col min="13" max="13" width="6" bestFit="1" customWidth="1"/>
    <col min="14" max="14" width="9.42578125" bestFit="1" customWidth="1"/>
    <col min="15" max="15" width="9" bestFit="1" customWidth="1"/>
    <col min="16" max="16" width="10.28515625" bestFit="1" customWidth="1"/>
    <col min="17" max="17" width="8" bestFit="1" customWidth="1"/>
    <col min="18" max="18" width="9.28515625" bestFit="1" customWidth="1"/>
    <col min="19" max="19" width="6.5703125" bestFit="1" customWidth="1"/>
    <col min="20" max="20" width="8.140625" bestFit="1" customWidth="1"/>
    <col min="21" max="21" width="12" bestFit="1" customWidth="1"/>
  </cols>
  <sheetData>
    <row r="1" spans="1:21" x14ac:dyDescent="0.25">
      <c r="A1" s="3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</row>
    <row r="2" spans="1:21" x14ac:dyDescent="0.25">
      <c r="A2" s="6">
        <v>1900</v>
      </c>
      <c r="B2" s="7">
        <v>4607</v>
      </c>
      <c r="C2" s="7">
        <v>1766</v>
      </c>
      <c r="D2" s="7">
        <v>17984</v>
      </c>
      <c r="E2" s="7">
        <v>2959</v>
      </c>
      <c r="F2" s="8">
        <v>3894</v>
      </c>
      <c r="G2" s="7">
        <v>307</v>
      </c>
      <c r="H2" s="7">
        <v>1600</v>
      </c>
      <c r="I2" s="7">
        <v>600</v>
      </c>
      <c r="J2" s="7">
        <v>1300</v>
      </c>
      <c r="K2" s="7">
        <v>801</v>
      </c>
      <c r="L2" s="7">
        <v>885</v>
      </c>
      <c r="M2" s="7">
        <v>1250</v>
      </c>
      <c r="N2" s="7">
        <v>420</v>
      </c>
      <c r="O2" s="7">
        <v>13607</v>
      </c>
      <c r="P2" s="7">
        <v>420</v>
      </c>
      <c r="Q2" s="7">
        <v>263</v>
      </c>
      <c r="R2" s="7">
        <v>490</v>
      </c>
      <c r="S2" s="7">
        <v>3000</v>
      </c>
      <c r="T2" s="8">
        <v>963</v>
      </c>
      <c r="U2" s="7">
        <v>2445</v>
      </c>
    </row>
    <row r="3" spans="1:21" x14ac:dyDescent="0.25">
      <c r="A3" s="6">
        <f>A2+1</f>
        <v>1901</v>
      </c>
      <c r="B3" s="7">
        <v>4741</v>
      </c>
      <c r="C3" s="7">
        <v>1785</v>
      </c>
      <c r="D3" s="7">
        <v>18392</v>
      </c>
      <c r="E3" s="7">
        <v>2994</v>
      </c>
      <c r="F3" s="8">
        <v>3944</v>
      </c>
      <c r="G3" s="7">
        <v>313</v>
      </c>
      <c r="H3" s="7">
        <v>1679</v>
      </c>
      <c r="I3" s="7">
        <v>614</v>
      </c>
      <c r="J3" s="7">
        <v>1312</v>
      </c>
      <c r="K3" s="7">
        <v>819</v>
      </c>
      <c r="L3" s="7">
        <v>910</v>
      </c>
      <c r="M3" s="7">
        <v>1294</v>
      </c>
      <c r="N3" s="7">
        <v>436</v>
      </c>
      <c r="O3" s="7">
        <v>13755</v>
      </c>
      <c r="P3" s="7">
        <v>434</v>
      </c>
      <c r="Q3" s="7">
        <v>270</v>
      </c>
      <c r="R3" s="7">
        <v>506</v>
      </c>
      <c r="S3" s="7">
        <v>3100</v>
      </c>
      <c r="T3" s="8">
        <v>965</v>
      </c>
      <c r="U3" s="7">
        <v>2451</v>
      </c>
    </row>
    <row r="4" spans="1:21" x14ac:dyDescent="0.25">
      <c r="A4" s="6">
        <f t="shared" ref="A4:A52" si="0">A3+1</f>
        <v>1902</v>
      </c>
      <c r="B4" s="7">
        <v>4872</v>
      </c>
      <c r="C4" s="7">
        <v>1803</v>
      </c>
      <c r="D4" s="7">
        <v>18782</v>
      </c>
      <c r="E4" s="7">
        <v>3030</v>
      </c>
      <c r="F4" s="8">
        <v>3994</v>
      </c>
      <c r="G4" s="7">
        <v>318</v>
      </c>
      <c r="H4" s="7">
        <v>1758</v>
      </c>
      <c r="I4" s="7">
        <v>628</v>
      </c>
      <c r="J4" s="7">
        <v>1324</v>
      </c>
      <c r="K4" s="7">
        <v>838</v>
      </c>
      <c r="L4" s="7">
        <v>936</v>
      </c>
      <c r="M4" s="7">
        <v>1338</v>
      </c>
      <c r="N4" s="7">
        <v>452</v>
      </c>
      <c r="O4" s="7">
        <v>13905</v>
      </c>
      <c r="P4" s="7">
        <v>448</v>
      </c>
      <c r="Q4" s="7">
        <v>276</v>
      </c>
      <c r="R4" s="7">
        <v>522</v>
      </c>
      <c r="S4" s="7">
        <v>3200</v>
      </c>
      <c r="T4" s="8">
        <v>990</v>
      </c>
      <c r="U4" s="7">
        <v>2458</v>
      </c>
    </row>
    <row r="5" spans="1:21" x14ac:dyDescent="0.25">
      <c r="A5" s="6">
        <f t="shared" si="0"/>
        <v>1903</v>
      </c>
      <c r="B5" s="7">
        <v>4976</v>
      </c>
      <c r="C5" s="7">
        <v>1822</v>
      </c>
      <c r="D5" s="7">
        <v>19180</v>
      </c>
      <c r="E5" s="7">
        <v>3066</v>
      </c>
      <c r="F5" s="8">
        <v>4044</v>
      </c>
      <c r="G5" s="7">
        <v>324</v>
      </c>
      <c r="H5" s="7">
        <v>1837</v>
      </c>
      <c r="I5" s="7">
        <v>642</v>
      </c>
      <c r="J5" s="7">
        <v>1336</v>
      </c>
      <c r="K5" s="7">
        <v>856</v>
      </c>
      <c r="L5" s="7">
        <v>961</v>
      </c>
      <c r="M5" s="7">
        <v>1381</v>
      </c>
      <c r="N5" s="7">
        <v>468</v>
      </c>
      <c r="O5" s="7">
        <v>14065</v>
      </c>
      <c r="P5" s="7">
        <v>462</v>
      </c>
      <c r="Q5" s="7">
        <v>283</v>
      </c>
      <c r="R5" s="7">
        <v>539</v>
      </c>
      <c r="S5" s="7">
        <v>3300</v>
      </c>
      <c r="T5" s="8">
        <v>1019</v>
      </c>
      <c r="U5" s="7">
        <v>2465</v>
      </c>
    </row>
    <row r="6" spans="1:21" x14ac:dyDescent="0.25">
      <c r="A6" s="6">
        <f t="shared" si="0"/>
        <v>1904</v>
      </c>
      <c r="B6" s="7">
        <v>5104</v>
      </c>
      <c r="C6" s="7">
        <v>1840</v>
      </c>
      <c r="D6" s="7">
        <v>19587</v>
      </c>
      <c r="E6" s="7">
        <v>3102</v>
      </c>
      <c r="F6" s="8">
        <v>4094</v>
      </c>
      <c r="G6" s="7">
        <v>330</v>
      </c>
      <c r="H6" s="7">
        <v>1879</v>
      </c>
      <c r="I6" s="7">
        <v>656</v>
      </c>
      <c r="J6" s="7">
        <v>1348</v>
      </c>
      <c r="K6" s="7">
        <v>874</v>
      </c>
      <c r="L6" s="7">
        <v>987</v>
      </c>
      <c r="M6" s="7">
        <v>1425</v>
      </c>
      <c r="N6" s="7">
        <v>484</v>
      </c>
      <c r="O6" s="7">
        <v>14208</v>
      </c>
      <c r="P6" s="7">
        <v>477</v>
      </c>
      <c r="Q6" s="7">
        <v>290</v>
      </c>
      <c r="R6" s="7">
        <v>555</v>
      </c>
      <c r="S6" s="7">
        <v>3400</v>
      </c>
      <c r="T6" s="8">
        <v>1038</v>
      </c>
      <c r="U6" s="7">
        <v>2471</v>
      </c>
    </row>
    <row r="7" spans="1:21" x14ac:dyDescent="0.25">
      <c r="A7" s="6">
        <f t="shared" si="0"/>
        <v>1905</v>
      </c>
      <c r="B7" s="7">
        <v>5290</v>
      </c>
      <c r="C7" s="7">
        <v>1859</v>
      </c>
      <c r="D7" s="7">
        <v>20003</v>
      </c>
      <c r="E7" s="7">
        <v>3139</v>
      </c>
      <c r="F7" s="8">
        <v>4144</v>
      </c>
      <c r="G7" s="7">
        <v>336</v>
      </c>
      <c r="H7" s="7">
        <v>1927</v>
      </c>
      <c r="I7" s="7">
        <v>670</v>
      </c>
      <c r="J7" s="7">
        <v>1360</v>
      </c>
      <c r="K7" s="7">
        <v>893</v>
      </c>
      <c r="L7" s="7">
        <v>1013</v>
      </c>
      <c r="M7" s="7">
        <v>1468</v>
      </c>
      <c r="N7" s="7">
        <v>500</v>
      </c>
      <c r="O7" s="7">
        <v>14363</v>
      </c>
      <c r="P7" s="7">
        <v>491</v>
      </c>
      <c r="Q7" s="7">
        <v>297</v>
      </c>
      <c r="R7" s="7">
        <v>571</v>
      </c>
      <c r="S7" s="7">
        <v>3500</v>
      </c>
      <c r="T7" s="8">
        <v>1071</v>
      </c>
      <c r="U7" s="7">
        <v>2492</v>
      </c>
    </row>
    <row r="8" spans="1:21" x14ac:dyDescent="0.25">
      <c r="A8" s="6">
        <f t="shared" si="0"/>
        <v>1906</v>
      </c>
      <c r="B8" s="7">
        <v>5524</v>
      </c>
      <c r="C8" s="7">
        <v>1877</v>
      </c>
      <c r="D8" s="7">
        <v>20427</v>
      </c>
      <c r="E8" s="7">
        <v>3176</v>
      </c>
      <c r="F8" s="8">
        <v>4277</v>
      </c>
      <c r="G8" s="7">
        <v>341</v>
      </c>
      <c r="H8" s="7">
        <v>1979</v>
      </c>
      <c r="I8" s="7">
        <v>684</v>
      </c>
      <c r="J8" s="7">
        <v>1372</v>
      </c>
      <c r="K8" s="7">
        <v>911</v>
      </c>
      <c r="L8" s="7">
        <v>1029</v>
      </c>
      <c r="M8" s="7">
        <v>1512</v>
      </c>
      <c r="N8" s="7">
        <v>511</v>
      </c>
      <c r="O8" s="7">
        <v>14519</v>
      </c>
      <c r="P8" s="7">
        <v>505</v>
      </c>
      <c r="Q8" s="7">
        <v>304</v>
      </c>
      <c r="R8" s="7">
        <v>580</v>
      </c>
      <c r="S8" s="7">
        <v>3600</v>
      </c>
      <c r="T8" s="8">
        <v>1103</v>
      </c>
      <c r="U8" s="7">
        <v>2512</v>
      </c>
    </row>
    <row r="9" spans="1:21" x14ac:dyDescent="0.25">
      <c r="A9" s="6">
        <f t="shared" si="0"/>
        <v>1907</v>
      </c>
      <c r="B9" s="7">
        <v>5822</v>
      </c>
      <c r="C9" s="7">
        <v>1896</v>
      </c>
      <c r="D9" s="7">
        <v>20860</v>
      </c>
      <c r="E9" s="7">
        <v>3213</v>
      </c>
      <c r="F9" s="8">
        <v>4409</v>
      </c>
      <c r="G9" s="7">
        <v>347</v>
      </c>
      <c r="H9" s="7">
        <v>2034</v>
      </c>
      <c r="I9" s="7">
        <v>698</v>
      </c>
      <c r="J9" s="7">
        <v>1384</v>
      </c>
      <c r="K9" s="7">
        <v>929</v>
      </c>
      <c r="L9" s="7">
        <v>1046</v>
      </c>
      <c r="M9" s="7">
        <v>1555</v>
      </c>
      <c r="N9" s="7">
        <v>521</v>
      </c>
      <c r="O9" s="7">
        <v>14677</v>
      </c>
      <c r="P9" s="7">
        <v>515</v>
      </c>
      <c r="Q9" s="7">
        <v>311</v>
      </c>
      <c r="R9" s="7">
        <v>590</v>
      </c>
      <c r="S9" s="7">
        <v>3700</v>
      </c>
      <c r="T9" s="8">
        <v>1141</v>
      </c>
      <c r="U9" s="7">
        <v>2532</v>
      </c>
    </row>
    <row r="10" spans="1:21" x14ac:dyDescent="0.25">
      <c r="A10" s="6">
        <f t="shared" si="0"/>
        <v>1908</v>
      </c>
      <c r="B10" s="7">
        <v>6145</v>
      </c>
      <c r="C10" s="7">
        <v>1914</v>
      </c>
      <c r="D10" s="7">
        <v>21303</v>
      </c>
      <c r="E10" s="7">
        <v>3253</v>
      </c>
      <c r="F10" s="8">
        <v>4542</v>
      </c>
      <c r="G10" s="7">
        <v>353</v>
      </c>
      <c r="H10" s="7">
        <v>2092</v>
      </c>
      <c r="I10" s="7">
        <v>712</v>
      </c>
      <c r="J10" s="7">
        <v>1396</v>
      </c>
      <c r="K10" s="7">
        <v>948</v>
      </c>
      <c r="L10" s="7">
        <v>1062</v>
      </c>
      <c r="M10" s="7">
        <v>1559</v>
      </c>
      <c r="N10" s="7">
        <v>532</v>
      </c>
      <c r="O10" s="7">
        <v>14836</v>
      </c>
      <c r="P10" s="7">
        <v>524</v>
      </c>
      <c r="Q10" s="7">
        <v>318</v>
      </c>
      <c r="R10" s="7">
        <v>600</v>
      </c>
      <c r="S10" s="7">
        <v>3800</v>
      </c>
      <c r="T10" s="8">
        <v>1054</v>
      </c>
      <c r="U10" s="7">
        <v>2554</v>
      </c>
    </row>
    <row r="11" spans="1:21" x14ac:dyDescent="0.25">
      <c r="A11" s="6">
        <f t="shared" si="0"/>
        <v>1909</v>
      </c>
      <c r="B11" s="7">
        <v>6432</v>
      </c>
      <c r="C11" s="7">
        <v>1933</v>
      </c>
      <c r="D11" s="7">
        <v>21754</v>
      </c>
      <c r="E11" s="7">
        <v>3294</v>
      </c>
      <c r="F11" s="8">
        <v>4674</v>
      </c>
      <c r="G11" s="7">
        <v>358</v>
      </c>
      <c r="H11" s="7">
        <v>2154</v>
      </c>
      <c r="I11" s="7">
        <v>726</v>
      </c>
      <c r="J11" s="7">
        <v>1408</v>
      </c>
      <c r="K11" s="7">
        <v>966</v>
      </c>
      <c r="L11" s="7">
        <v>1079</v>
      </c>
      <c r="M11" s="7">
        <v>1643</v>
      </c>
      <c r="N11" s="7">
        <v>542</v>
      </c>
      <c r="O11" s="7">
        <v>14997</v>
      </c>
      <c r="P11" s="7">
        <v>534</v>
      </c>
      <c r="Q11" s="7">
        <v>325</v>
      </c>
      <c r="R11" s="7">
        <v>610</v>
      </c>
      <c r="S11" s="7">
        <v>3900</v>
      </c>
      <c r="T11" s="8">
        <v>1095</v>
      </c>
      <c r="U11" s="7">
        <v>2575</v>
      </c>
    </row>
    <row r="12" spans="1:21" x14ac:dyDescent="0.25">
      <c r="A12" s="6">
        <f t="shared" si="0"/>
        <v>1910</v>
      </c>
      <c r="B12" s="7">
        <v>6799</v>
      </c>
      <c r="C12" s="7">
        <v>1951</v>
      </c>
      <c r="D12" s="7">
        <v>22216</v>
      </c>
      <c r="E12" s="7">
        <v>3336</v>
      </c>
      <c r="F12" s="8">
        <v>4807</v>
      </c>
      <c r="G12" s="7">
        <v>364</v>
      </c>
      <c r="H12" s="7">
        <v>2219</v>
      </c>
      <c r="I12" s="7">
        <v>740</v>
      </c>
      <c r="J12" s="7">
        <v>1421</v>
      </c>
      <c r="K12" s="7">
        <v>985</v>
      </c>
      <c r="L12" s="7">
        <v>1096</v>
      </c>
      <c r="M12" s="7">
        <v>1687</v>
      </c>
      <c r="N12" s="7">
        <v>553</v>
      </c>
      <c r="O12" s="7">
        <v>15160</v>
      </c>
      <c r="P12" s="7">
        <v>543</v>
      </c>
      <c r="Q12" s="7">
        <v>332</v>
      </c>
      <c r="R12" s="7">
        <v>620</v>
      </c>
      <c r="S12" s="7">
        <v>4000</v>
      </c>
      <c r="T12" s="8">
        <v>1132</v>
      </c>
      <c r="U12" s="7">
        <v>2596</v>
      </c>
    </row>
    <row r="13" spans="1:21" x14ac:dyDescent="0.25">
      <c r="A13" s="6">
        <f t="shared" si="0"/>
        <v>1911</v>
      </c>
      <c r="B13" s="7">
        <v>7070</v>
      </c>
      <c r="C13" s="7">
        <v>1970</v>
      </c>
      <c r="D13" s="7">
        <v>22687</v>
      </c>
      <c r="E13" s="7">
        <v>3378</v>
      </c>
      <c r="F13" s="8">
        <v>4940</v>
      </c>
      <c r="G13" s="7">
        <v>370</v>
      </c>
      <c r="H13" s="7">
        <v>2287</v>
      </c>
      <c r="I13" s="7">
        <v>753</v>
      </c>
      <c r="J13" s="7">
        <v>1433</v>
      </c>
      <c r="K13" s="7">
        <v>1003</v>
      </c>
      <c r="L13" s="7">
        <v>1119</v>
      </c>
      <c r="M13" s="7">
        <v>1730</v>
      </c>
      <c r="N13" s="7">
        <v>562</v>
      </c>
      <c r="O13" s="7">
        <v>15333</v>
      </c>
      <c r="P13" s="7">
        <v>553</v>
      </c>
      <c r="Q13" s="7">
        <v>339</v>
      </c>
      <c r="R13" s="7">
        <v>630</v>
      </c>
      <c r="S13" s="7">
        <v>4100</v>
      </c>
      <c r="T13" s="8">
        <v>1178</v>
      </c>
      <c r="U13" s="7">
        <v>2612</v>
      </c>
    </row>
    <row r="14" spans="1:21" x14ac:dyDescent="0.25">
      <c r="A14" s="6">
        <f t="shared" si="0"/>
        <v>1912</v>
      </c>
      <c r="B14" s="7">
        <v>7467</v>
      </c>
      <c r="C14" s="7">
        <v>1988</v>
      </c>
      <c r="D14" s="7">
        <v>23168</v>
      </c>
      <c r="E14" s="7">
        <v>3421</v>
      </c>
      <c r="F14" s="8">
        <v>5072</v>
      </c>
      <c r="G14" s="7">
        <v>375</v>
      </c>
      <c r="H14" s="7">
        <v>2358</v>
      </c>
      <c r="I14" s="7">
        <v>767</v>
      </c>
      <c r="J14" s="7">
        <v>1445</v>
      </c>
      <c r="K14" s="7">
        <v>1021</v>
      </c>
      <c r="L14" s="7">
        <v>1142</v>
      </c>
      <c r="M14" s="7">
        <v>1774</v>
      </c>
      <c r="N14" s="7">
        <v>571</v>
      </c>
      <c r="O14" s="7">
        <v>15508</v>
      </c>
      <c r="P14" s="7">
        <v>562</v>
      </c>
      <c r="Q14" s="7">
        <v>352</v>
      </c>
      <c r="R14" s="7">
        <v>640</v>
      </c>
      <c r="S14" s="7">
        <v>4187</v>
      </c>
      <c r="T14" s="8">
        <v>1226</v>
      </c>
      <c r="U14" s="7">
        <v>2639</v>
      </c>
    </row>
    <row r="15" spans="1:21" x14ac:dyDescent="0.25">
      <c r="A15" s="6">
        <f t="shared" si="0"/>
        <v>1913</v>
      </c>
      <c r="B15" s="7">
        <v>7838</v>
      </c>
      <c r="C15" s="7">
        <v>2007</v>
      </c>
      <c r="D15" s="7">
        <v>23660</v>
      </c>
      <c r="E15" s="7">
        <v>3465</v>
      </c>
      <c r="F15" s="8">
        <v>5193</v>
      </c>
      <c r="G15" s="7">
        <v>381</v>
      </c>
      <c r="H15" s="7">
        <v>2413</v>
      </c>
      <c r="I15" s="7">
        <v>781</v>
      </c>
      <c r="J15" s="7">
        <v>1457</v>
      </c>
      <c r="K15" s="7">
        <v>1040</v>
      </c>
      <c r="L15" s="7">
        <v>1165</v>
      </c>
      <c r="M15" s="7">
        <v>1818</v>
      </c>
      <c r="N15" s="7">
        <v>579</v>
      </c>
      <c r="O15" s="7">
        <v>15373</v>
      </c>
      <c r="P15" s="7">
        <v>572</v>
      </c>
      <c r="Q15" s="7">
        <v>364</v>
      </c>
      <c r="R15" s="7">
        <v>650</v>
      </c>
      <c r="S15" s="7">
        <v>4267</v>
      </c>
      <c r="T15" s="8">
        <v>1279</v>
      </c>
      <c r="U15" s="7">
        <v>2661</v>
      </c>
    </row>
    <row r="16" spans="1:21" x14ac:dyDescent="0.25">
      <c r="A16" s="6">
        <f t="shared" si="0"/>
        <v>1914</v>
      </c>
      <c r="B16" s="7">
        <v>7996</v>
      </c>
      <c r="C16" s="7">
        <v>2025</v>
      </c>
      <c r="D16" s="7">
        <v>24161</v>
      </c>
      <c r="E16" s="7">
        <v>3509</v>
      </c>
      <c r="F16" s="8">
        <v>5318</v>
      </c>
      <c r="G16" s="7">
        <v>387</v>
      </c>
      <c r="H16" s="7">
        <v>2507</v>
      </c>
      <c r="I16" s="7">
        <v>795</v>
      </c>
      <c r="J16" s="7">
        <v>1469</v>
      </c>
      <c r="K16" s="7">
        <v>1058</v>
      </c>
      <c r="L16" s="7">
        <v>1180</v>
      </c>
      <c r="M16" s="7">
        <v>1862</v>
      </c>
      <c r="N16" s="7">
        <v>588</v>
      </c>
      <c r="O16" s="7">
        <v>15083</v>
      </c>
      <c r="P16" s="7">
        <v>581</v>
      </c>
      <c r="Q16" s="7">
        <v>378</v>
      </c>
      <c r="R16" s="7">
        <v>657</v>
      </c>
      <c r="S16" s="7">
        <v>4347</v>
      </c>
      <c r="T16" s="8">
        <v>1316</v>
      </c>
      <c r="U16" s="7">
        <v>2683</v>
      </c>
    </row>
    <row r="17" spans="1:21" x14ac:dyDescent="0.25">
      <c r="A17" s="6">
        <f t="shared" si="0"/>
        <v>1915</v>
      </c>
      <c r="B17" s="7">
        <v>8148</v>
      </c>
      <c r="C17" s="7">
        <v>2044</v>
      </c>
      <c r="D17" s="7">
        <v>24674</v>
      </c>
      <c r="E17" s="7">
        <v>3553</v>
      </c>
      <c r="F17" s="8">
        <v>5447</v>
      </c>
      <c r="G17" s="7">
        <v>393</v>
      </c>
      <c r="H17" s="7">
        <v>2585</v>
      </c>
      <c r="I17" s="7">
        <v>809</v>
      </c>
      <c r="J17" s="7">
        <v>1481</v>
      </c>
      <c r="K17" s="7">
        <v>1076</v>
      </c>
      <c r="L17" s="7">
        <v>1196</v>
      </c>
      <c r="M17" s="7">
        <v>1907</v>
      </c>
      <c r="N17" s="7">
        <v>597</v>
      </c>
      <c r="O17" s="7">
        <v>14637</v>
      </c>
      <c r="P17" s="7">
        <v>591</v>
      </c>
      <c r="Q17" s="7">
        <v>389</v>
      </c>
      <c r="R17" s="7">
        <v>664</v>
      </c>
      <c r="S17" s="7">
        <v>4427</v>
      </c>
      <c r="T17" s="8">
        <v>1346</v>
      </c>
      <c r="U17" s="7">
        <v>2705</v>
      </c>
    </row>
    <row r="18" spans="1:21" x14ac:dyDescent="0.25">
      <c r="A18" s="6">
        <f t="shared" si="0"/>
        <v>1916</v>
      </c>
      <c r="B18" s="7">
        <v>8303</v>
      </c>
      <c r="C18" s="7">
        <v>2062</v>
      </c>
      <c r="D18" s="7">
        <v>25197</v>
      </c>
      <c r="E18" s="7">
        <v>3598</v>
      </c>
      <c r="F18" s="8">
        <v>5579</v>
      </c>
      <c r="G18" s="7">
        <v>398</v>
      </c>
      <c r="H18" s="7">
        <v>2664</v>
      </c>
      <c r="I18" s="7">
        <v>823</v>
      </c>
      <c r="J18" s="7">
        <v>1493</v>
      </c>
      <c r="K18" s="7">
        <v>1095</v>
      </c>
      <c r="L18" s="7">
        <v>1211</v>
      </c>
      <c r="M18" s="7">
        <v>1949</v>
      </c>
      <c r="N18" s="7">
        <v>606</v>
      </c>
      <c r="O18" s="7">
        <v>14029</v>
      </c>
      <c r="P18" s="7">
        <v>600</v>
      </c>
      <c r="Q18" s="7">
        <v>401</v>
      </c>
      <c r="R18" s="7">
        <v>671</v>
      </c>
      <c r="S18" s="7">
        <v>4508</v>
      </c>
      <c r="T18" s="8">
        <v>1379</v>
      </c>
      <c r="U18" s="7">
        <v>2727</v>
      </c>
    </row>
    <row r="19" spans="1:21" x14ac:dyDescent="0.25">
      <c r="A19" s="6">
        <f t="shared" si="0"/>
        <v>1917</v>
      </c>
      <c r="B19" s="7">
        <v>8445</v>
      </c>
      <c r="C19" s="7">
        <v>2081</v>
      </c>
      <c r="D19" s="7">
        <v>25732</v>
      </c>
      <c r="E19" s="7">
        <v>3644</v>
      </c>
      <c r="F19" s="8">
        <v>5715</v>
      </c>
      <c r="G19" s="7">
        <v>404</v>
      </c>
      <c r="H19" s="7">
        <v>2746</v>
      </c>
      <c r="I19" s="7">
        <v>837</v>
      </c>
      <c r="J19" s="7">
        <v>1505</v>
      </c>
      <c r="K19" s="7">
        <v>1113</v>
      </c>
      <c r="L19" s="7">
        <v>1226</v>
      </c>
      <c r="M19" s="7">
        <v>1993</v>
      </c>
      <c r="N19" s="7">
        <v>633</v>
      </c>
      <c r="O19" s="7">
        <v>13898</v>
      </c>
      <c r="P19" s="7">
        <v>610</v>
      </c>
      <c r="Q19" s="7">
        <v>413</v>
      </c>
      <c r="R19" s="7">
        <v>678</v>
      </c>
      <c r="S19" s="7">
        <v>4588</v>
      </c>
      <c r="T19" s="8">
        <v>1407</v>
      </c>
      <c r="U19" s="7">
        <v>2750</v>
      </c>
    </row>
    <row r="20" spans="1:21" x14ac:dyDescent="0.25">
      <c r="A20" s="6">
        <f t="shared" si="0"/>
        <v>1918</v>
      </c>
      <c r="B20" s="7">
        <v>8590</v>
      </c>
      <c r="C20" s="7">
        <v>2099</v>
      </c>
      <c r="D20" s="7">
        <v>26277</v>
      </c>
      <c r="E20" s="7">
        <v>3690</v>
      </c>
      <c r="F20" s="8">
        <v>5855</v>
      </c>
      <c r="G20" s="7">
        <v>410</v>
      </c>
      <c r="H20" s="7">
        <v>2828</v>
      </c>
      <c r="I20" s="7">
        <v>851</v>
      </c>
      <c r="J20" s="7">
        <v>1517</v>
      </c>
      <c r="K20" s="7">
        <v>1131</v>
      </c>
      <c r="L20" s="7">
        <v>1241</v>
      </c>
      <c r="M20" s="7">
        <v>2037</v>
      </c>
      <c r="N20" s="7">
        <v>660</v>
      </c>
      <c r="O20" s="7">
        <v>14000</v>
      </c>
      <c r="P20" s="7">
        <v>619</v>
      </c>
      <c r="Q20" s="7">
        <v>426</v>
      </c>
      <c r="R20" s="7">
        <v>685</v>
      </c>
      <c r="S20" s="7">
        <v>4668</v>
      </c>
      <c r="T20" s="8">
        <v>1430</v>
      </c>
      <c r="U20" s="7">
        <v>2772</v>
      </c>
    </row>
    <row r="21" spans="1:21" x14ac:dyDescent="0.25">
      <c r="A21" s="6">
        <f t="shared" si="0"/>
        <v>1919</v>
      </c>
      <c r="B21" s="7">
        <v>8754</v>
      </c>
      <c r="C21" s="7">
        <v>2118</v>
      </c>
      <c r="D21" s="7">
        <v>26835</v>
      </c>
      <c r="E21" s="7">
        <v>3737</v>
      </c>
      <c r="F21" s="8">
        <v>6029</v>
      </c>
      <c r="G21" s="7">
        <v>415</v>
      </c>
      <c r="H21" s="7">
        <v>2912</v>
      </c>
      <c r="I21" s="7">
        <v>865</v>
      </c>
      <c r="J21" s="7">
        <v>1529</v>
      </c>
      <c r="K21" s="7">
        <v>1150</v>
      </c>
      <c r="L21" s="7">
        <v>1257</v>
      </c>
      <c r="M21" s="7">
        <v>2080</v>
      </c>
      <c r="N21" s="7">
        <v>688</v>
      </c>
      <c r="O21" s="7">
        <v>14150</v>
      </c>
      <c r="P21" s="7">
        <v>629</v>
      </c>
      <c r="Q21" s="7">
        <v>437</v>
      </c>
      <c r="R21" s="7">
        <v>692</v>
      </c>
      <c r="S21" s="7">
        <v>4748</v>
      </c>
      <c r="T21" s="8">
        <v>1463</v>
      </c>
      <c r="U21" s="7">
        <v>2795</v>
      </c>
    </row>
    <row r="22" spans="1:21" x14ac:dyDescent="0.25">
      <c r="A22" s="6">
        <f t="shared" si="0"/>
        <v>1920</v>
      </c>
      <c r="B22" s="7">
        <v>8969</v>
      </c>
      <c r="C22" s="7">
        <v>2136</v>
      </c>
      <c r="D22" s="7">
        <v>27404</v>
      </c>
      <c r="E22" s="7">
        <v>3785</v>
      </c>
      <c r="F22" s="8">
        <v>6089</v>
      </c>
      <c r="G22" s="7">
        <v>421</v>
      </c>
      <c r="H22" s="7">
        <v>2997</v>
      </c>
      <c r="I22" s="7">
        <v>879</v>
      </c>
      <c r="J22" s="7">
        <v>1541</v>
      </c>
      <c r="K22" s="7">
        <v>1168</v>
      </c>
      <c r="L22" s="7">
        <v>1272</v>
      </c>
      <c r="M22" s="7">
        <v>2124</v>
      </c>
      <c r="N22" s="7">
        <v>715</v>
      </c>
      <c r="O22" s="7">
        <v>14150</v>
      </c>
      <c r="P22" s="7">
        <v>638</v>
      </c>
      <c r="Q22" s="7">
        <v>447</v>
      </c>
      <c r="R22" s="7">
        <v>699</v>
      </c>
      <c r="S22" s="7">
        <v>4828</v>
      </c>
      <c r="T22" s="8">
        <v>1481</v>
      </c>
      <c r="U22" s="7">
        <v>2818</v>
      </c>
    </row>
    <row r="23" spans="1:21" x14ac:dyDescent="0.25">
      <c r="A23" s="6">
        <f t="shared" si="0"/>
        <v>1921</v>
      </c>
      <c r="B23" s="7">
        <v>9215</v>
      </c>
      <c r="C23" s="7">
        <v>2161</v>
      </c>
      <c r="D23" s="7">
        <v>27969</v>
      </c>
      <c r="E23" s="7">
        <v>3853</v>
      </c>
      <c r="F23" s="8">
        <v>6211</v>
      </c>
      <c r="G23" s="7">
        <v>425</v>
      </c>
      <c r="H23" s="7">
        <v>3083</v>
      </c>
      <c r="I23" s="7">
        <v>912</v>
      </c>
      <c r="J23" s="7">
        <v>1570</v>
      </c>
      <c r="K23" s="7">
        <v>1193</v>
      </c>
      <c r="L23" s="7">
        <v>1319</v>
      </c>
      <c r="M23" s="7">
        <v>2151</v>
      </c>
      <c r="N23" s="7">
        <v>742</v>
      </c>
      <c r="O23" s="7">
        <v>14335</v>
      </c>
      <c r="P23" s="7">
        <v>643</v>
      </c>
      <c r="Q23" s="7">
        <v>449</v>
      </c>
      <c r="R23" s="7">
        <v>715</v>
      </c>
      <c r="S23" s="7">
        <v>4908</v>
      </c>
      <c r="T23" s="8">
        <v>1499</v>
      </c>
      <c r="U23" s="7">
        <v>2843</v>
      </c>
    </row>
    <row r="24" spans="1:21" x14ac:dyDescent="0.25">
      <c r="A24" s="6">
        <f t="shared" si="0"/>
        <v>1922</v>
      </c>
      <c r="B24" s="7">
        <v>9521</v>
      </c>
      <c r="C24" s="7">
        <v>2186</v>
      </c>
      <c r="D24" s="7">
        <v>28542</v>
      </c>
      <c r="E24" s="7">
        <v>3907</v>
      </c>
      <c r="F24" s="8">
        <v>6336</v>
      </c>
      <c r="G24" s="7">
        <v>431</v>
      </c>
      <c r="H24" s="7">
        <v>3170</v>
      </c>
      <c r="I24" s="7">
        <v>946</v>
      </c>
      <c r="J24" s="7">
        <v>1610</v>
      </c>
      <c r="K24" s="7">
        <v>1217</v>
      </c>
      <c r="L24" s="7">
        <v>1367</v>
      </c>
      <c r="M24" s="7">
        <v>2178</v>
      </c>
      <c r="N24" s="7">
        <v>769</v>
      </c>
      <c r="O24" s="7">
        <v>14444</v>
      </c>
      <c r="P24" s="7">
        <v>647</v>
      </c>
      <c r="Q24" s="7">
        <v>451</v>
      </c>
      <c r="R24" s="7">
        <v>732</v>
      </c>
      <c r="S24" s="7">
        <v>4989</v>
      </c>
      <c r="T24" s="8">
        <v>1517</v>
      </c>
      <c r="U24" s="7">
        <v>2870</v>
      </c>
    </row>
    <row r="25" spans="1:21" x14ac:dyDescent="0.25">
      <c r="A25" s="6">
        <f t="shared" si="0"/>
        <v>1923</v>
      </c>
      <c r="B25" s="7">
        <v>9892</v>
      </c>
      <c r="C25" s="7">
        <v>2212</v>
      </c>
      <c r="D25" s="7">
        <v>29126</v>
      </c>
      <c r="E25" s="7">
        <v>3961</v>
      </c>
      <c r="F25" s="8">
        <v>6463</v>
      </c>
      <c r="G25" s="7">
        <v>439</v>
      </c>
      <c r="H25" s="7">
        <v>3257</v>
      </c>
      <c r="I25" s="7">
        <v>981</v>
      </c>
      <c r="J25" s="7">
        <v>1646</v>
      </c>
      <c r="K25" s="7">
        <v>1244</v>
      </c>
      <c r="L25" s="7">
        <v>1416</v>
      </c>
      <c r="M25" s="7">
        <v>2206</v>
      </c>
      <c r="N25" s="7">
        <v>796</v>
      </c>
      <c r="O25" s="7">
        <v>14693</v>
      </c>
      <c r="P25" s="7">
        <v>652</v>
      </c>
      <c r="Q25" s="7">
        <v>453</v>
      </c>
      <c r="R25" s="7">
        <v>749</v>
      </c>
      <c r="S25" s="7">
        <v>5069</v>
      </c>
      <c r="T25" s="8">
        <v>1535</v>
      </c>
      <c r="U25" s="7">
        <v>2898</v>
      </c>
    </row>
    <row r="26" spans="1:21" x14ac:dyDescent="0.25">
      <c r="A26" s="6">
        <f t="shared" si="0"/>
        <v>1924</v>
      </c>
      <c r="B26" s="7">
        <v>10216</v>
      </c>
      <c r="C26" s="7">
        <v>2237</v>
      </c>
      <c r="D26" s="7">
        <v>29723</v>
      </c>
      <c r="E26" s="7">
        <v>4017</v>
      </c>
      <c r="F26" s="8">
        <v>6592</v>
      </c>
      <c r="G26" s="7">
        <v>447</v>
      </c>
      <c r="H26" s="7">
        <v>3345</v>
      </c>
      <c r="I26" s="7">
        <v>1017</v>
      </c>
      <c r="J26" s="7">
        <v>1685</v>
      </c>
      <c r="K26" s="7">
        <v>1274</v>
      </c>
      <c r="L26" s="7">
        <v>1471</v>
      </c>
      <c r="M26" s="7">
        <v>2232</v>
      </c>
      <c r="N26" s="7">
        <v>824</v>
      </c>
      <c r="O26" s="7">
        <v>14945</v>
      </c>
      <c r="P26" s="7">
        <v>656</v>
      </c>
      <c r="Q26" s="7">
        <v>455</v>
      </c>
      <c r="R26" s="7">
        <v>767</v>
      </c>
      <c r="S26" s="7">
        <v>5148</v>
      </c>
      <c r="T26" s="8">
        <v>1553</v>
      </c>
      <c r="U26" s="7">
        <v>2925</v>
      </c>
    </row>
    <row r="27" spans="1:21" x14ac:dyDescent="0.25">
      <c r="A27" s="6">
        <f t="shared" si="0"/>
        <v>1925</v>
      </c>
      <c r="B27" s="7">
        <v>10500</v>
      </c>
      <c r="C27" s="7">
        <v>2263</v>
      </c>
      <c r="D27" s="7">
        <v>30332</v>
      </c>
      <c r="E27" s="7">
        <v>4073</v>
      </c>
      <c r="F27" s="7">
        <v>6724</v>
      </c>
      <c r="G27" s="7">
        <v>456</v>
      </c>
      <c r="H27" s="7">
        <v>3432</v>
      </c>
      <c r="I27" s="7">
        <v>1054</v>
      </c>
      <c r="J27" s="7">
        <v>1724</v>
      </c>
      <c r="K27" s="7">
        <v>1301</v>
      </c>
      <c r="L27" s="7">
        <v>1514</v>
      </c>
      <c r="M27" s="7">
        <v>2260</v>
      </c>
      <c r="N27" s="7">
        <v>851</v>
      </c>
      <c r="O27" s="7">
        <v>15204</v>
      </c>
      <c r="P27" s="7">
        <v>660</v>
      </c>
      <c r="Q27" s="7">
        <v>457</v>
      </c>
      <c r="R27" s="7">
        <v>785</v>
      </c>
      <c r="S27" s="7">
        <v>5229</v>
      </c>
      <c r="T27" s="8">
        <v>1571</v>
      </c>
      <c r="U27" s="7">
        <v>2953</v>
      </c>
    </row>
    <row r="28" spans="1:21" x14ac:dyDescent="0.25">
      <c r="A28" s="6">
        <f t="shared" si="0"/>
        <v>1926</v>
      </c>
      <c r="B28" s="7">
        <v>10804</v>
      </c>
      <c r="C28" s="7">
        <v>2289</v>
      </c>
      <c r="D28" s="7">
        <v>30953</v>
      </c>
      <c r="E28" s="7">
        <v>4130</v>
      </c>
      <c r="F28" s="7">
        <v>6859</v>
      </c>
      <c r="G28" s="7">
        <v>466</v>
      </c>
      <c r="H28" s="7">
        <v>3519</v>
      </c>
      <c r="I28" s="7">
        <v>1092</v>
      </c>
      <c r="J28" s="7">
        <v>1762</v>
      </c>
      <c r="K28" s="7">
        <v>1325</v>
      </c>
      <c r="L28" s="7">
        <v>1557</v>
      </c>
      <c r="M28" s="7">
        <v>2292</v>
      </c>
      <c r="N28" s="7">
        <v>878</v>
      </c>
      <c r="O28" s="7">
        <v>15468</v>
      </c>
      <c r="P28" s="7">
        <v>665</v>
      </c>
      <c r="Q28" s="7">
        <v>459</v>
      </c>
      <c r="R28" s="7">
        <v>803</v>
      </c>
      <c r="S28" s="7">
        <v>5313</v>
      </c>
      <c r="T28" s="8">
        <v>1604</v>
      </c>
      <c r="U28" s="7">
        <v>2981</v>
      </c>
    </row>
    <row r="29" spans="1:21" x14ac:dyDescent="0.25">
      <c r="A29" s="6">
        <f t="shared" si="0"/>
        <v>1927</v>
      </c>
      <c r="B29" s="7">
        <v>11126</v>
      </c>
      <c r="C29" s="7">
        <v>2316</v>
      </c>
      <c r="D29" s="7">
        <v>31587</v>
      </c>
      <c r="E29" s="7">
        <v>4188</v>
      </c>
      <c r="F29" s="7">
        <v>6996</v>
      </c>
      <c r="G29" s="7">
        <v>472</v>
      </c>
      <c r="H29" s="7">
        <v>3606</v>
      </c>
      <c r="I29" s="7">
        <v>1131</v>
      </c>
      <c r="J29" s="7">
        <v>1800</v>
      </c>
      <c r="K29" s="7">
        <v>1351</v>
      </c>
      <c r="L29" s="7">
        <v>1602</v>
      </c>
      <c r="M29" s="7">
        <v>2325</v>
      </c>
      <c r="N29" s="7">
        <v>893</v>
      </c>
      <c r="O29" s="7">
        <v>15738</v>
      </c>
      <c r="P29" s="7">
        <v>670</v>
      </c>
      <c r="Q29" s="7">
        <v>462</v>
      </c>
      <c r="R29" s="7">
        <v>822</v>
      </c>
      <c r="S29" s="7">
        <v>5399</v>
      </c>
      <c r="T29" s="8">
        <v>1636</v>
      </c>
      <c r="U29" s="7">
        <v>3012</v>
      </c>
    </row>
    <row r="30" spans="1:21" x14ac:dyDescent="0.25">
      <c r="A30" s="6">
        <f t="shared" si="0"/>
        <v>1928</v>
      </c>
      <c r="B30" s="7">
        <v>11438</v>
      </c>
      <c r="C30" s="7">
        <v>2343</v>
      </c>
      <c r="D30" s="7">
        <v>32234</v>
      </c>
      <c r="E30" s="7">
        <v>4246</v>
      </c>
      <c r="F30" s="7">
        <v>7136</v>
      </c>
      <c r="G30" s="7">
        <v>479</v>
      </c>
      <c r="H30" s="7">
        <v>3507</v>
      </c>
      <c r="I30" s="7">
        <v>1172</v>
      </c>
      <c r="J30" s="7">
        <v>1846</v>
      </c>
      <c r="K30" s="7">
        <v>1385</v>
      </c>
      <c r="L30" s="7">
        <v>1660</v>
      </c>
      <c r="M30" s="7">
        <v>2357</v>
      </c>
      <c r="N30" s="7">
        <v>911</v>
      </c>
      <c r="O30" s="7">
        <v>16012</v>
      </c>
      <c r="P30" s="7">
        <v>674</v>
      </c>
      <c r="Q30" s="7">
        <v>464</v>
      </c>
      <c r="R30" s="7">
        <v>841</v>
      </c>
      <c r="S30" s="7">
        <v>5482</v>
      </c>
      <c r="T30" s="8">
        <v>1669</v>
      </c>
      <c r="U30" s="7">
        <v>3047</v>
      </c>
    </row>
    <row r="31" spans="1:21" x14ac:dyDescent="0.25">
      <c r="A31" s="6">
        <f t="shared" si="0"/>
        <v>1929</v>
      </c>
      <c r="B31" s="7">
        <v>11746</v>
      </c>
      <c r="C31" s="7">
        <v>2370</v>
      </c>
      <c r="D31" s="7">
        <v>32894</v>
      </c>
      <c r="E31" s="7">
        <v>4305</v>
      </c>
      <c r="F31" s="7">
        <v>7279</v>
      </c>
      <c r="G31" s="7">
        <v>489</v>
      </c>
      <c r="H31" s="7">
        <v>3577</v>
      </c>
      <c r="I31" s="7">
        <v>1213</v>
      </c>
      <c r="J31" s="7">
        <v>1891</v>
      </c>
      <c r="K31" s="7">
        <v>1412</v>
      </c>
      <c r="L31" s="7">
        <v>1706</v>
      </c>
      <c r="M31" s="7">
        <v>2390</v>
      </c>
      <c r="N31" s="7">
        <v>928</v>
      </c>
      <c r="O31" s="7">
        <v>16926</v>
      </c>
      <c r="P31" s="7">
        <v>679</v>
      </c>
      <c r="Q31" s="7">
        <v>466</v>
      </c>
      <c r="R31" s="7">
        <v>860</v>
      </c>
      <c r="S31" s="7">
        <v>5567</v>
      </c>
      <c r="T31" s="8">
        <v>1701</v>
      </c>
      <c r="U31" s="7">
        <v>3082</v>
      </c>
    </row>
    <row r="32" spans="1:21" x14ac:dyDescent="0.25">
      <c r="A32" s="6">
        <f t="shared" si="0"/>
        <v>1930</v>
      </c>
      <c r="B32" s="7">
        <v>12047</v>
      </c>
      <c r="C32" s="7">
        <v>2397</v>
      </c>
      <c r="D32" s="7">
        <v>33568</v>
      </c>
      <c r="E32" s="7">
        <v>4365</v>
      </c>
      <c r="F32" s="7">
        <v>7425</v>
      </c>
      <c r="G32" s="7">
        <v>499</v>
      </c>
      <c r="H32" s="7">
        <v>3647</v>
      </c>
      <c r="I32" s="7">
        <v>1256</v>
      </c>
      <c r="J32" s="7">
        <v>1944</v>
      </c>
      <c r="K32" s="7">
        <v>1443</v>
      </c>
      <c r="L32" s="7">
        <v>1755</v>
      </c>
      <c r="M32" s="7">
        <v>2422</v>
      </c>
      <c r="N32" s="7">
        <v>948</v>
      </c>
      <c r="O32" s="7">
        <v>16553</v>
      </c>
      <c r="P32" s="7">
        <v>683</v>
      </c>
      <c r="Q32" s="7">
        <v>471</v>
      </c>
      <c r="R32" s="7">
        <v>880</v>
      </c>
      <c r="S32" s="7">
        <v>5651</v>
      </c>
      <c r="T32" s="8">
        <v>1734</v>
      </c>
      <c r="U32" s="7">
        <v>3118</v>
      </c>
    </row>
    <row r="33" spans="1:21" x14ac:dyDescent="0.25">
      <c r="A33" s="6">
        <f t="shared" si="0"/>
        <v>1931</v>
      </c>
      <c r="B33" s="7">
        <v>12287</v>
      </c>
      <c r="C33" s="7">
        <v>2425</v>
      </c>
      <c r="D33" s="7">
        <v>34256</v>
      </c>
      <c r="E33" s="7">
        <v>4429</v>
      </c>
      <c r="F33" s="7">
        <v>7574</v>
      </c>
      <c r="G33" s="7">
        <v>508</v>
      </c>
      <c r="H33" s="7">
        <v>3962</v>
      </c>
      <c r="I33" s="7">
        <v>1300</v>
      </c>
      <c r="J33" s="7">
        <v>1995</v>
      </c>
      <c r="K33" s="7">
        <v>1456</v>
      </c>
      <c r="L33" s="7">
        <v>1813</v>
      </c>
      <c r="M33" s="7">
        <v>2460</v>
      </c>
      <c r="N33" s="7">
        <v>968</v>
      </c>
      <c r="O33" s="7">
        <v>16876</v>
      </c>
      <c r="P33" s="7">
        <v>687</v>
      </c>
      <c r="Q33" s="7">
        <v>486</v>
      </c>
      <c r="R33" s="7">
        <v>901</v>
      </c>
      <c r="S33" s="7">
        <v>5748</v>
      </c>
      <c r="T33" s="8">
        <v>1761</v>
      </c>
      <c r="U33" s="7">
        <v>3154</v>
      </c>
    </row>
    <row r="34" spans="1:21" x14ac:dyDescent="0.25">
      <c r="A34" s="6">
        <f t="shared" si="0"/>
        <v>1932</v>
      </c>
      <c r="B34" s="7">
        <v>12517</v>
      </c>
      <c r="C34" s="7">
        <v>2453</v>
      </c>
      <c r="D34" s="7">
        <v>34957</v>
      </c>
      <c r="E34" s="7">
        <v>4495</v>
      </c>
      <c r="F34" s="7">
        <v>7726</v>
      </c>
      <c r="G34" s="7">
        <v>518</v>
      </c>
      <c r="H34" s="7">
        <v>3962</v>
      </c>
      <c r="I34" s="7">
        <v>1345</v>
      </c>
      <c r="J34" s="7">
        <v>2050</v>
      </c>
      <c r="K34" s="7">
        <v>1474</v>
      </c>
      <c r="L34" s="7">
        <v>1864</v>
      </c>
      <c r="M34" s="7">
        <v>2498</v>
      </c>
      <c r="N34" s="7">
        <v>989</v>
      </c>
      <c r="O34" s="7">
        <v>17170</v>
      </c>
      <c r="P34" s="7">
        <v>692</v>
      </c>
      <c r="Q34" s="7">
        <v>501</v>
      </c>
      <c r="R34" s="7">
        <v>922</v>
      </c>
      <c r="S34" s="7">
        <v>5844</v>
      </c>
      <c r="T34" s="8">
        <v>1788</v>
      </c>
      <c r="U34" s="7">
        <v>3191</v>
      </c>
    </row>
    <row r="35" spans="1:21" x14ac:dyDescent="0.25">
      <c r="A35" s="6">
        <f t="shared" si="0"/>
        <v>1933</v>
      </c>
      <c r="B35" s="7">
        <v>12729</v>
      </c>
      <c r="C35" s="7">
        <v>2482</v>
      </c>
      <c r="D35" s="7">
        <v>35673</v>
      </c>
      <c r="E35" s="7">
        <v>4563</v>
      </c>
      <c r="F35" s="7">
        <v>7880</v>
      </c>
      <c r="G35" s="7">
        <v>528</v>
      </c>
      <c r="H35" s="7">
        <v>3962</v>
      </c>
      <c r="I35" s="7">
        <v>1391</v>
      </c>
      <c r="J35" s="7">
        <v>2095</v>
      </c>
      <c r="K35" s="7">
        <v>1493</v>
      </c>
      <c r="L35" s="7">
        <v>1909</v>
      </c>
      <c r="M35" s="7">
        <v>2535</v>
      </c>
      <c r="N35" s="7">
        <v>1007</v>
      </c>
      <c r="O35" s="7">
        <v>17470</v>
      </c>
      <c r="P35" s="7">
        <v>697</v>
      </c>
      <c r="Q35" s="7">
        <v>516</v>
      </c>
      <c r="R35" s="7">
        <v>944</v>
      </c>
      <c r="S35" s="7">
        <v>5941</v>
      </c>
      <c r="T35" s="8">
        <v>1815</v>
      </c>
      <c r="U35" s="7">
        <v>3227</v>
      </c>
    </row>
    <row r="36" spans="1:21" x14ac:dyDescent="0.25">
      <c r="A36" s="6">
        <f t="shared" si="0"/>
        <v>1934</v>
      </c>
      <c r="B36" s="7">
        <v>12940</v>
      </c>
      <c r="C36" s="7">
        <v>2511</v>
      </c>
      <c r="D36" s="7">
        <v>36404</v>
      </c>
      <c r="E36" s="7">
        <v>4631</v>
      </c>
      <c r="F36" s="7">
        <v>8038</v>
      </c>
      <c r="G36" s="7">
        <v>540</v>
      </c>
      <c r="H36" s="7">
        <v>4039</v>
      </c>
      <c r="I36" s="7">
        <v>1438</v>
      </c>
      <c r="J36" s="7">
        <v>2140</v>
      </c>
      <c r="K36" s="7">
        <v>1512</v>
      </c>
      <c r="L36" s="7">
        <v>1943</v>
      </c>
      <c r="M36" s="7">
        <v>2573</v>
      </c>
      <c r="N36" s="7">
        <v>1023</v>
      </c>
      <c r="O36" s="7">
        <v>17777</v>
      </c>
      <c r="P36" s="7">
        <v>711</v>
      </c>
      <c r="Q36" s="7">
        <v>531</v>
      </c>
      <c r="R36" s="7">
        <v>966</v>
      </c>
      <c r="S36" s="7">
        <v>6037</v>
      </c>
      <c r="T36" s="8">
        <v>1842</v>
      </c>
      <c r="U36" s="7">
        <v>3264</v>
      </c>
    </row>
    <row r="37" spans="1:21" x14ac:dyDescent="0.25">
      <c r="A37" s="6">
        <f t="shared" si="0"/>
        <v>1935</v>
      </c>
      <c r="B37" s="7">
        <v>13148</v>
      </c>
      <c r="C37" s="7">
        <v>2540</v>
      </c>
      <c r="D37" s="7">
        <v>37150</v>
      </c>
      <c r="E37" s="7">
        <v>4700</v>
      </c>
      <c r="F37" s="7">
        <v>8199</v>
      </c>
      <c r="G37" s="7">
        <v>551</v>
      </c>
      <c r="H37" s="7">
        <v>4071</v>
      </c>
      <c r="I37" s="7">
        <v>1484</v>
      </c>
      <c r="J37" s="7">
        <v>2196</v>
      </c>
      <c r="K37" s="7">
        <v>1531</v>
      </c>
      <c r="L37" s="7">
        <v>1975</v>
      </c>
      <c r="M37" s="7">
        <v>2611</v>
      </c>
      <c r="N37" s="7">
        <v>1042</v>
      </c>
      <c r="O37" s="7">
        <v>18089</v>
      </c>
      <c r="P37" s="7">
        <v>728</v>
      </c>
      <c r="Q37" s="7">
        <v>546</v>
      </c>
      <c r="R37" s="7">
        <v>988</v>
      </c>
      <c r="S37" s="7">
        <v>6134</v>
      </c>
      <c r="T37" s="8">
        <v>1869</v>
      </c>
      <c r="U37" s="7">
        <v>3300</v>
      </c>
    </row>
    <row r="38" spans="1:21" x14ac:dyDescent="0.25">
      <c r="A38" s="6">
        <f t="shared" si="0"/>
        <v>1936</v>
      </c>
      <c r="B38" s="7">
        <v>13372</v>
      </c>
      <c r="C38" s="7">
        <v>2569</v>
      </c>
      <c r="D38" s="7">
        <v>37911</v>
      </c>
      <c r="E38" s="7">
        <v>4771</v>
      </c>
      <c r="F38" s="7">
        <v>8363</v>
      </c>
      <c r="G38" s="7">
        <v>563</v>
      </c>
      <c r="H38" s="7">
        <v>4109</v>
      </c>
      <c r="I38" s="7">
        <v>1520</v>
      </c>
      <c r="J38" s="7">
        <v>2249</v>
      </c>
      <c r="K38" s="7">
        <v>1551</v>
      </c>
      <c r="L38" s="7">
        <v>2023</v>
      </c>
      <c r="M38" s="7">
        <v>2654</v>
      </c>
      <c r="N38" s="7">
        <v>1058</v>
      </c>
      <c r="O38" s="7">
        <v>18410</v>
      </c>
      <c r="P38" s="7">
        <v>746</v>
      </c>
      <c r="Q38" s="7">
        <v>561</v>
      </c>
      <c r="R38" s="7">
        <v>1012</v>
      </c>
      <c r="S38" s="7">
        <v>6243</v>
      </c>
      <c r="T38" s="8">
        <v>1890</v>
      </c>
      <c r="U38" s="7">
        <v>3382</v>
      </c>
    </row>
    <row r="39" spans="1:21" x14ac:dyDescent="0.25">
      <c r="A39" s="6">
        <f t="shared" si="0"/>
        <v>1937</v>
      </c>
      <c r="B39" s="7">
        <v>13608</v>
      </c>
      <c r="C39" s="7">
        <v>2599</v>
      </c>
      <c r="D39" s="7">
        <v>38687</v>
      </c>
      <c r="E39" s="7">
        <v>4842</v>
      </c>
      <c r="F39" s="7">
        <v>8531</v>
      </c>
      <c r="G39" s="7">
        <v>576</v>
      </c>
      <c r="H39" s="7">
        <v>4165</v>
      </c>
      <c r="I39" s="7">
        <v>1558</v>
      </c>
      <c r="J39" s="7">
        <v>2298</v>
      </c>
      <c r="K39" s="7">
        <v>1571</v>
      </c>
      <c r="L39" s="7">
        <v>2066</v>
      </c>
      <c r="M39" s="7">
        <v>2697</v>
      </c>
      <c r="N39" s="7">
        <v>1076</v>
      </c>
      <c r="O39" s="7">
        <v>18764</v>
      </c>
      <c r="P39" s="7">
        <v>765</v>
      </c>
      <c r="Q39" s="7">
        <v>575</v>
      </c>
      <c r="R39" s="7">
        <v>1036</v>
      </c>
      <c r="S39" s="7">
        <v>6353</v>
      </c>
      <c r="T39" s="8">
        <v>1911</v>
      </c>
      <c r="U39" s="7">
        <v>3464</v>
      </c>
    </row>
    <row r="40" spans="1:21" x14ac:dyDescent="0.25">
      <c r="A40" s="6">
        <f t="shared" si="0"/>
        <v>1938</v>
      </c>
      <c r="B40" s="7">
        <v>13841</v>
      </c>
      <c r="C40" s="7">
        <v>2629</v>
      </c>
      <c r="D40" s="7">
        <v>39480</v>
      </c>
      <c r="E40" s="7">
        <v>4914</v>
      </c>
      <c r="F40" s="7">
        <v>8702</v>
      </c>
      <c r="G40" s="7">
        <v>590</v>
      </c>
      <c r="H40" s="7">
        <v>4228</v>
      </c>
      <c r="I40" s="7">
        <v>1596</v>
      </c>
      <c r="J40" s="7">
        <v>2355</v>
      </c>
      <c r="K40" s="7">
        <v>1591</v>
      </c>
      <c r="L40" s="7">
        <v>2113</v>
      </c>
      <c r="M40" s="7">
        <v>2741</v>
      </c>
      <c r="N40" s="7">
        <v>1098</v>
      </c>
      <c r="O40" s="7">
        <v>19071</v>
      </c>
      <c r="P40" s="7">
        <v>785</v>
      </c>
      <c r="Q40" s="7">
        <v>590</v>
      </c>
      <c r="R40" s="7">
        <v>1061</v>
      </c>
      <c r="S40" s="7">
        <v>6462</v>
      </c>
      <c r="T40" s="8">
        <v>1932</v>
      </c>
      <c r="U40" s="7">
        <v>3546</v>
      </c>
    </row>
    <row r="41" spans="1:21" x14ac:dyDescent="0.25">
      <c r="A41" s="6">
        <f t="shared" si="0"/>
        <v>1939</v>
      </c>
      <c r="B41" s="7">
        <v>14055</v>
      </c>
      <c r="C41" s="7">
        <v>2659</v>
      </c>
      <c r="D41" s="7">
        <v>40289</v>
      </c>
      <c r="E41" s="7">
        <v>4988</v>
      </c>
      <c r="F41" s="7">
        <v>8896</v>
      </c>
      <c r="G41" s="7">
        <v>605</v>
      </c>
      <c r="H41" s="7">
        <v>4253</v>
      </c>
      <c r="I41" s="7">
        <v>1634</v>
      </c>
      <c r="J41" s="7">
        <v>2412</v>
      </c>
      <c r="K41" s="7">
        <v>1612</v>
      </c>
      <c r="L41" s="7">
        <v>2150</v>
      </c>
      <c r="M41" s="7">
        <v>2784</v>
      </c>
      <c r="N41" s="7">
        <v>1122</v>
      </c>
      <c r="O41" s="7">
        <v>19413</v>
      </c>
      <c r="P41" s="7">
        <v>806</v>
      </c>
      <c r="Q41" s="7">
        <v>605</v>
      </c>
      <c r="R41" s="7">
        <v>1086</v>
      </c>
      <c r="S41" s="7">
        <v>6572</v>
      </c>
      <c r="T41" s="8">
        <v>1953</v>
      </c>
      <c r="U41" s="7">
        <v>3628</v>
      </c>
    </row>
    <row r="42" spans="1:21" x14ac:dyDescent="0.25">
      <c r="A42" s="6">
        <f t="shared" si="0"/>
        <v>1940</v>
      </c>
      <c r="B42" s="7">
        <v>14169</v>
      </c>
      <c r="C42" s="7">
        <v>2690</v>
      </c>
      <c r="D42" s="7">
        <v>41114</v>
      </c>
      <c r="E42" s="7">
        <v>5063</v>
      </c>
      <c r="F42" s="7">
        <v>9097</v>
      </c>
      <c r="G42" s="7">
        <v>619</v>
      </c>
      <c r="H42" s="7">
        <v>4291</v>
      </c>
      <c r="I42" s="7">
        <v>1759</v>
      </c>
      <c r="J42" s="7">
        <v>2466</v>
      </c>
      <c r="K42" s="7">
        <v>1633</v>
      </c>
      <c r="L42" s="7">
        <v>2201</v>
      </c>
      <c r="M42" s="7">
        <v>2827</v>
      </c>
      <c r="N42" s="7">
        <v>1146</v>
      </c>
      <c r="O42" s="7">
        <v>19654</v>
      </c>
      <c r="P42" s="7">
        <v>825</v>
      </c>
      <c r="Q42" s="7">
        <v>620</v>
      </c>
      <c r="R42" s="7">
        <v>1111</v>
      </c>
      <c r="S42" s="7">
        <v>6681</v>
      </c>
      <c r="T42" s="8">
        <v>1974</v>
      </c>
      <c r="U42" s="7">
        <v>3710</v>
      </c>
    </row>
    <row r="43" spans="1:21" x14ac:dyDescent="0.25">
      <c r="A43" s="6">
        <f t="shared" si="0"/>
        <v>1941</v>
      </c>
      <c r="B43" s="7">
        <v>14401</v>
      </c>
      <c r="C43" s="7">
        <v>2721</v>
      </c>
      <c r="D43" s="7">
        <v>42069</v>
      </c>
      <c r="E43" s="7">
        <v>5149</v>
      </c>
      <c r="F43" s="7">
        <v>9315</v>
      </c>
      <c r="G43" s="7">
        <v>633</v>
      </c>
      <c r="H43" s="7">
        <v>4326</v>
      </c>
      <c r="I43" s="7">
        <v>1801</v>
      </c>
      <c r="J43" s="7">
        <v>2521</v>
      </c>
      <c r="K43" s="7">
        <v>1654</v>
      </c>
      <c r="L43" s="7">
        <v>2252</v>
      </c>
      <c r="M43" s="7">
        <v>2876</v>
      </c>
      <c r="N43" s="7">
        <v>1171</v>
      </c>
      <c r="O43" s="7">
        <v>20208</v>
      </c>
      <c r="P43" s="7">
        <v>844</v>
      </c>
      <c r="Q43" s="7">
        <v>636</v>
      </c>
      <c r="R43" s="7">
        <v>1137</v>
      </c>
      <c r="S43" s="7">
        <v>6797</v>
      </c>
      <c r="T43" s="8">
        <v>1994</v>
      </c>
      <c r="U43" s="7">
        <v>3803</v>
      </c>
    </row>
    <row r="44" spans="1:21" x14ac:dyDescent="0.25">
      <c r="A44" s="6">
        <f t="shared" si="0"/>
        <v>1942</v>
      </c>
      <c r="B44" s="7">
        <v>14637</v>
      </c>
      <c r="C44" s="7">
        <v>2753</v>
      </c>
      <c r="D44" s="7">
        <v>43062</v>
      </c>
      <c r="E44" s="7">
        <v>5244</v>
      </c>
      <c r="F44" s="7">
        <v>9540</v>
      </c>
      <c r="G44" s="7">
        <v>647</v>
      </c>
      <c r="H44" s="7">
        <v>4372</v>
      </c>
      <c r="I44" s="7">
        <v>1844</v>
      </c>
      <c r="J44" s="7">
        <v>2575</v>
      </c>
      <c r="K44" s="7">
        <v>1675</v>
      </c>
      <c r="L44" s="7">
        <v>2300</v>
      </c>
      <c r="M44" s="7">
        <v>2936</v>
      </c>
      <c r="N44" s="7">
        <v>1195</v>
      </c>
      <c r="O44" s="7">
        <v>20657</v>
      </c>
      <c r="P44" s="7">
        <v>863</v>
      </c>
      <c r="Q44" s="7">
        <v>651</v>
      </c>
      <c r="R44" s="7">
        <v>1164</v>
      </c>
      <c r="S44" s="7">
        <v>6915</v>
      </c>
      <c r="T44" s="8">
        <v>2014</v>
      </c>
      <c r="U44" s="7">
        <v>3914</v>
      </c>
    </row>
    <row r="45" spans="1:21" x14ac:dyDescent="0.25">
      <c r="A45" s="6">
        <f t="shared" si="0"/>
        <v>1943</v>
      </c>
      <c r="B45" s="7">
        <v>14877</v>
      </c>
      <c r="C45" s="7">
        <v>2785</v>
      </c>
      <c r="D45" s="7">
        <v>43992</v>
      </c>
      <c r="E45" s="7">
        <v>5341</v>
      </c>
      <c r="F45" s="7">
        <v>9774</v>
      </c>
      <c r="G45" s="7">
        <v>661</v>
      </c>
      <c r="H45" s="7">
        <v>4779</v>
      </c>
      <c r="I45" s="7">
        <v>1889</v>
      </c>
      <c r="J45" s="7">
        <v>2641</v>
      </c>
      <c r="K45" s="7">
        <v>1691</v>
      </c>
      <c r="L45" s="7">
        <v>2339</v>
      </c>
      <c r="M45" s="7">
        <v>2979</v>
      </c>
      <c r="N45" s="7">
        <v>1213</v>
      </c>
      <c r="O45" s="7">
        <v>21165</v>
      </c>
      <c r="P45" s="7">
        <v>880</v>
      </c>
      <c r="Q45" s="7">
        <v>669</v>
      </c>
      <c r="R45" s="7">
        <v>1191</v>
      </c>
      <c r="S45" s="7">
        <v>7035</v>
      </c>
      <c r="T45" s="8">
        <v>2034</v>
      </c>
      <c r="U45" s="7">
        <v>4028</v>
      </c>
    </row>
    <row r="46" spans="1:21" x14ac:dyDescent="0.25">
      <c r="A46" s="6">
        <f t="shared" si="0"/>
        <v>1944</v>
      </c>
      <c r="B46" s="7">
        <v>15130</v>
      </c>
      <c r="C46" s="7">
        <v>2817</v>
      </c>
      <c r="D46" s="7">
        <v>44842</v>
      </c>
      <c r="E46" s="7">
        <v>5440</v>
      </c>
      <c r="F46" s="7">
        <v>10016</v>
      </c>
      <c r="G46" s="7">
        <v>677</v>
      </c>
      <c r="H46" s="7">
        <v>4849</v>
      </c>
      <c r="I46" s="7">
        <v>1934</v>
      </c>
      <c r="J46" s="7">
        <v>2712</v>
      </c>
      <c r="K46" s="7">
        <v>1719</v>
      </c>
      <c r="L46" s="7">
        <v>2384</v>
      </c>
      <c r="M46" s="7">
        <v>3032</v>
      </c>
      <c r="N46" s="7">
        <v>1237</v>
      </c>
      <c r="O46" s="7">
        <v>21674</v>
      </c>
      <c r="P46" s="7">
        <v>900</v>
      </c>
      <c r="Q46" s="7">
        <v>685</v>
      </c>
      <c r="R46" s="7">
        <v>1219</v>
      </c>
      <c r="S46" s="7">
        <v>7159</v>
      </c>
      <c r="T46" s="8">
        <v>2055</v>
      </c>
      <c r="U46" s="7">
        <v>4146</v>
      </c>
    </row>
    <row r="47" spans="1:21" x14ac:dyDescent="0.25">
      <c r="A47" s="6">
        <f t="shared" si="0"/>
        <v>1945</v>
      </c>
      <c r="B47" s="7">
        <v>15390</v>
      </c>
      <c r="C47" s="7">
        <v>2850</v>
      </c>
      <c r="D47" s="7">
        <v>45860</v>
      </c>
      <c r="E47" s="7">
        <v>5541</v>
      </c>
      <c r="F47" s="7">
        <v>10267</v>
      </c>
      <c r="G47" s="7">
        <v>695</v>
      </c>
      <c r="H47" s="7">
        <v>4932</v>
      </c>
      <c r="I47" s="7">
        <v>1982</v>
      </c>
      <c r="J47" s="7">
        <v>2781</v>
      </c>
      <c r="K47" s="7">
        <v>1742</v>
      </c>
      <c r="L47" s="7">
        <v>2438</v>
      </c>
      <c r="M47" s="7">
        <v>3087</v>
      </c>
      <c r="N47" s="7">
        <v>1261</v>
      </c>
      <c r="O47" s="7">
        <v>22233</v>
      </c>
      <c r="P47" s="7">
        <v>923</v>
      </c>
      <c r="Q47" s="7">
        <v>703</v>
      </c>
      <c r="R47" s="7">
        <v>1247</v>
      </c>
      <c r="S47" s="7">
        <v>7285</v>
      </c>
      <c r="T47" s="8">
        <v>2076</v>
      </c>
      <c r="U47" s="7">
        <v>4267</v>
      </c>
    </row>
    <row r="48" spans="1:21" x14ac:dyDescent="0.25">
      <c r="A48" s="6">
        <f t="shared" si="0"/>
        <v>1946</v>
      </c>
      <c r="B48" s="7">
        <v>15654</v>
      </c>
      <c r="C48" s="7">
        <v>2883</v>
      </c>
      <c r="D48" s="7">
        <v>46975</v>
      </c>
      <c r="E48" s="7">
        <v>5643</v>
      </c>
      <c r="F48" s="7">
        <v>10528</v>
      </c>
      <c r="G48" s="7">
        <v>709</v>
      </c>
      <c r="H48" s="7">
        <v>5039</v>
      </c>
      <c r="I48" s="7">
        <v>2030</v>
      </c>
      <c r="J48" s="7">
        <v>2853</v>
      </c>
      <c r="K48" s="7">
        <v>1764</v>
      </c>
      <c r="L48" s="7">
        <v>2498</v>
      </c>
      <c r="M48" s="7">
        <v>3143</v>
      </c>
      <c r="N48" s="7">
        <v>1287</v>
      </c>
      <c r="O48" s="7">
        <v>22779</v>
      </c>
      <c r="P48" s="7">
        <v>949</v>
      </c>
      <c r="Q48" s="7">
        <v>721</v>
      </c>
      <c r="R48" s="7">
        <v>1275</v>
      </c>
      <c r="S48" s="7">
        <v>7415</v>
      </c>
      <c r="T48" s="8">
        <v>2098</v>
      </c>
      <c r="U48" s="7">
        <v>4391</v>
      </c>
    </row>
    <row r="49" spans="1:21" x14ac:dyDescent="0.25">
      <c r="A49" s="6">
        <f t="shared" si="0"/>
        <v>1947</v>
      </c>
      <c r="B49" s="7">
        <v>15928</v>
      </c>
      <c r="C49" s="7">
        <v>2916</v>
      </c>
      <c r="D49" s="7">
        <v>48161</v>
      </c>
      <c r="E49" s="7">
        <v>5748</v>
      </c>
      <c r="F49" s="7">
        <v>10800</v>
      </c>
      <c r="G49" s="7">
        <v>726</v>
      </c>
      <c r="H49" s="7">
        <v>5152</v>
      </c>
      <c r="I49" s="7">
        <v>2080</v>
      </c>
      <c r="J49" s="7">
        <v>2936</v>
      </c>
      <c r="K49" s="7">
        <v>1788</v>
      </c>
      <c r="L49" s="7">
        <v>2566</v>
      </c>
      <c r="M49" s="7">
        <v>3200</v>
      </c>
      <c r="N49" s="7">
        <v>1320</v>
      </c>
      <c r="O49" s="7">
        <v>23440</v>
      </c>
      <c r="P49" s="7">
        <v>977</v>
      </c>
      <c r="Q49" s="7">
        <v>739</v>
      </c>
      <c r="R49" s="7">
        <v>1305</v>
      </c>
      <c r="S49" s="7">
        <v>7547</v>
      </c>
      <c r="T49" s="8">
        <v>2121</v>
      </c>
      <c r="U49" s="7">
        <v>4548</v>
      </c>
    </row>
    <row r="50" spans="1:21" x14ac:dyDescent="0.25">
      <c r="A50" s="6">
        <f t="shared" si="0"/>
        <v>1948</v>
      </c>
      <c r="B50" s="7">
        <v>16269</v>
      </c>
      <c r="C50" s="7">
        <v>2950</v>
      </c>
      <c r="D50" s="7">
        <v>49422</v>
      </c>
      <c r="E50" s="7">
        <v>5854</v>
      </c>
      <c r="F50" s="7">
        <v>11081</v>
      </c>
      <c r="G50" s="7">
        <v>746</v>
      </c>
      <c r="H50" s="7">
        <v>5268</v>
      </c>
      <c r="I50" s="7">
        <v>2131</v>
      </c>
      <c r="J50" s="7">
        <v>3017</v>
      </c>
      <c r="K50" s="7">
        <v>1811</v>
      </c>
      <c r="L50" s="7">
        <v>2641</v>
      </c>
      <c r="M50" s="7">
        <v>3258</v>
      </c>
      <c r="N50" s="7">
        <v>1353</v>
      </c>
      <c r="O50" s="7">
        <v>24129</v>
      </c>
      <c r="P50" s="7">
        <v>1001</v>
      </c>
      <c r="Q50" s="7">
        <v>758</v>
      </c>
      <c r="R50" s="7">
        <v>1335</v>
      </c>
      <c r="S50" s="7">
        <v>7682</v>
      </c>
      <c r="T50" s="8">
        <v>2144</v>
      </c>
      <c r="U50" s="7">
        <v>4686</v>
      </c>
    </row>
    <row r="51" spans="1:21" x14ac:dyDescent="0.25">
      <c r="A51" s="6">
        <f t="shared" si="0"/>
        <v>1949</v>
      </c>
      <c r="B51" s="7">
        <v>16656</v>
      </c>
      <c r="C51" s="7">
        <v>2955</v>
      </c>
      <c r="D51" s="7">
        <v>50759</v>
      </c>
      <c r="E51" s="7">
        <v>5962</v>
      </c>
      <c r="F51" s="7">
        <v>11373</v>
      </c>
      <c r="G51" s="7">
        <v>771</v>
      </c>
      <c r="H51" s="7">
        <v>5386</v>
      </c>
      <c r="I51" s="7">
        <v>2185</v>
      </c>
      <c r="J51" s="7">
        <v>3104</v>
      </c>
      <c r="K51" s="7">
        <v>1835</v>
      </c>
      <c r="L51" s="7">
        <v>2724</v>
      </c>
      <c r="M51" s="7">
        <v>3318</v>
      </c>
      <c r="N51" s="7">
        <v>1389</v>
      </c>
      <c r="O51" s="7">
        <v>24825</v>
      </c>
      <c r="P51" s="7">
        <v>1028</v>
      </c>
      <c r="Q51" s="7">
        <v>777</v>
      </c>
      <c r="R51" s="7">
        <v>1366</v>
      </c>
      <c r="S51" s="7">
        <v>7822</v>
      </c>
      <c r="T51" s="8">
        <v>2169</v>
      </c>
      <c r="U51" s="7">
        <v>4828</v>
      </c>
    </row>
    <row r="52" spans="1:21" x14ac:dyDescent="0.25">
      <c r="A52" s="6">
        <f t="shared" si="0"/>
        <v>1950</v>
      </c>
      <c r="B52" s="7">
        <v>17070</v>
      </c>
      <c r="C52" s="7">
        <v>3013</v>
      </c>
      <c r="D52" s="7">
        <v>52178</v>
      </c>
      <c r="E52" s="7">
        <v>6073</v>
      </c>
      <c r="F52" s="7">
        <v>11679</v>
      </c>
      <c r="G52" s="7">
        <v>801</v>
      </c>
      <c r="H52" s="7">
        <v>5508</v>
      </c>
      <c r="I52" s="7">
        <v>2243</v>
      </c>
      <c r="J52" s="7">
        <v>3197</v>
      </c>
      <c r="K52" s="7">
        <v>1868</v>
      </c>
      <c r="L52" s="7">
        <v>2805</v>
      </c>
      <c r="M52" s="7">
        <v>3380</v>
      </c>
      <c r="N52" s="7">
        <v>1428</v>
      </c>
      <c r="O52" s="7">
        <v>25791</v>
      </c>
      <c r="P52" s="7">
        <v>1060</v>
      </c>
      <c r="Q52" s="7">
        <v>797</v>
      </c>
      <c r="R52" s="7">
        <v>1397</v>
      </c>
      <c r="S52" s="7">
        <v>7969</v>
      </c>
      <c r="T52" s="8">
        <v>2195</v>
      </c>
      <c r="U52" s="7">
        <v>4974</v>
      </c>
    </row>
    <row r="53" spans="1:21" x14ac:dyDescent="0.25">
      <c r="A53" s="6">
        <f>A52+1</f>
        <v>1951</v>
      </c>
      <c r="B53" s="7">
        <v>17481</v>
      </c>
      <c r="C53" s="7">
        <v>3072</v>
      </c>
      <c r="D53" s="7">
        <v>53682</v>
      </c>
      <c r="E53" s="7">
        <v>6211</v>
      </c>
      <c r="F53" s="7">
        <v>12000</v>
      </c>
      <c r="G53" s="7">
        <v>834</v>
      </c>
      <c r="H53" s="7">
        <v>5621</v>
      </c>
      <c r="I53" s="7">
        <v>2305</v>
      </c>
      <c r="J53" s="7">
        <v>3252</v>
      </c>
      <c r="K53" s="7">
        <v>1902</v>
      </c>
      <c r="L53" s="7">
        <v>2892</v>
      </c>
      <c r="M53" s="7">
        <v>3444</v>
      </c>
      <c r="N53" s="7">
        <v>1470</v>
      </c>
      <c r="O53" s="7">
        <v>25585</v>
      </c>
      <c r="P53" s="7">
        <v>1093</v>
      </c>
      <c r="Q53" s="7">
        <v>817</v>
      </c>
      <c r="R53" s="7">
        <v>1429</v>
      </c>
      <c r="S53" s="7">
        <v>8118</v>
      </c>
      <c r="T53" s="8">
        <v>2224</v>
      </c>
      <c r="U53" s="7">
        <v>5139</v>
      </c>
    </row>
    <row r="54" spans="1:21" x14ac:dyDescent="0.25">
      <c r="A54" s="6">
        <f t="shared" ref="A54:A74" si="1">A53+1</f>
        <v>1952</v>
      </c>
      <c r="B54" s="7">
        <v>17858</v>
      </c>
      <c r="C54" s="7">
        <v>3132</v>
      </c>
      <c r="D54" s="7">
        <v>55271</v>
      </c>
      <c r="E54" s="7">
        <v>6349</v>
      </c>
      <c r="F54" s="7">
        <v>12339</v>
      </c>
      <c r="G54" s="7">
        <v>869</v>
      </c>
      <c r="H54" s="7">
        <v>5725</v>
      </c>
      <c r="I54" s="7">
        <v>2370</v>
      </c>
      <c r="J54" s="7">
        <v>3350</v>
      </c>
      <c r="K54" s="7">
        <v>1952</v>
      </c>
      <c r="L54" s="7">
        <v>2981</v>
      </c>
      <c r="M54" s="7">
        <v>3510</v>
      </c>
      <c r="N54" s="7">
        <v>1513</v>
      </c>
      <c r="O54" s="7">
        <v>27403</v>
      </c>
      <c r="P54" s="7">
        <v>1128</v>
      </c>
      <c r="Q54" s="7">
        <v>840</v>
      </c>
      <c r="R54" s="7">
        <v>1462</v>
      </c>
      <c r="S54" s="7">
        <v>8267</v>
      </c>
      <c r="T54" s="8">
        <v>2255</v>
      </c>
      <c r="U54" s="7">
        <v>5329</v>
      </c>
    </row>
    <row r="55" spans="1:21" x14ac:dyDescent="0.25">
      <c r="A55" s="6">
        <f t="shared" si="1"/>
        <v>1953</v>
      </c>
      <c r="B55" s="7">
        <v>18202</v>
      </c>
      <c r="C55" s="7">
        <v>3193</v>
      </c>
      <c r="D55" s="7">
        <v>56935</v>
      </c>
      <c r="E55" s="7">
        <v>6515</v>
      </c>
      <c r="F55" s="7">
        <v>12693</v>
      </c>
      <c r="G55" s="7">
        <v>906</v>
      </c>
      <c r="H55" s="7">
        <v>5876</v>
      </c>
      <c r="I55" s="7">
        <v>2438</v>
      </c>
      <c r="J55" s="7">
        <v>3464</v>
      </c>
      <c r="K55" s="7">
        <v>2011</v>
      </c>
      <c r="L55" s="7">
        <v>3058</v>
      </c>
      <c r="M55" s="7">
        <v>3577</v>
      </c>
      <c r="N55" s="7">
        <v>1556</v>
      </c>
      <c r="O55" s="7">
        <v>28246</v>
      </c>
      <c r="P55" s="7">
        <v>1165</v>
      </c>
      <c r="Q55" s="7">
        <v>864</v>
      </c>
      <c r="R55" s="7">
        <v>1496</v>
      </c>
      <c r="S55" s="7">
        <v>8425</v>
      </c>
      <c r="T55" s="8">
        <v>2288</v>
      </c>
      <c r="U55" s="7">
        <v>5556</v>
      </c>
    </row>
    <row r="56" spans="1:21" x14ac:dyDescent="0.25">
      <c r="A56" s="6">
        <f t="shared" si="1"/>
        <v>1954</v>
      </c>
      <c r="B56" s="7">
        <v>18544</v>
      </c>
      <c r="C56" s="7">
        <v>3256</v>
      </c>
      <c r="D56" s="7">
        <v>58666</v>
      </c>
      <c r="E56" s="7">
        <v>6691</v>
      </c>
      <c r="F56" s="7">
        <v>13062</v>
      </c>
      <c r="G56" s="7">
        <v>944</v>
      </c>
      <c r="H56" s="7">
        <v>6000</v>
      </c>
      <c r="I56" s="7">
        <v>2511</v>
      </c>
      <c r="J56" s="7">
        <v>3567</v>
      </c>
      <c r="K56" s="7">
        <v>2075</v>
      </c>
      <c r="L56" s="7">
        <v>3159</v>
      </c>
      <c r="M56" s="7">
        <v>3648</v>
      </c>
      <c r="N56" s="7">
        <v>1608</v>
      </c>
      <c r="O56" s="7">
        <v>29115</v>
      </c>
      <c r="P56" s="7">
        <v>1203</v>
      </c>
      <c r="Q56" s="7">
        <v>889</v>
      </c>
      <c r="R56" s="7">
        <v>1530</v>
      </c>
      <c r="S56" s="7">
        <v>8597</v>
      </c>
      <c r="T56" s="8">
        <v>2319</v>
      </c>
      <c r="U56" s="7">
        <v>5791</v>
      </c>
    </row>
    <row r="57" spans="1:21" x14ac:dyDescent="0.25">
      <c r="A57" s="6">
        <f t="shared" si="1"/>
        <v>1955</v>
      </c>
      <c r="B57" s="7">
        <v>18899</v>
      </c>
      <c r="C57" s="7">
        <v>3322</v>
      </c>
      <c r="D57" s="7">
        <v>60453</v>
      </c>
      <c r="E57" s="7">
        <v>6868</v>
      </c>
      <c r="F57" s="7">
        <v>13441</v>
      </c>
      <c r="G57" s="7">
        <v>984</v>
      </c>
      <c r="H57" s="7">
        <v>6127</v>
      </c>
      <c r="I57" s="7">
        <v>2587</v>
      </c>
      <c r="J57" s="7">
        <v>3691</v>
      </c>
      <c r="K57" s="7">
        <v>2142</v>
      </c>
      <c r="L57" s="7">
        <v>3258</v>
      </c>
      <c r="M57" s="7">
        <v>3722</v>
      </c>
      <c r="N57" s="7">
        <v>1660</v>
      </c>
      <c r="O57" s="7">
        <v>30011</v>
      </c>
      <c r="P57" s="7">
        <v>1245</v>
      </c>
      <c r="Q57" s="7">
        <v>914</v>
      </c>
      <c r="R57" s="7">
        <v>1565</v>
      </c>
      <c r="S57" s="7">
        <v>8790</v>
      </c>
      <c r="T57" s="8">
        <v>2348</v>
      </c>
      <c r="U57" s="7">
        <v>6049</v>
      </c>
    </row>
    <row r="58" spans="1:21" x14ac:dyDescent="0.25">
      <c r="A58" s="6">
        <f t="shared" si="1"/>
        <v>1956</v>
      </c>
      <c r="B58" s="7">
        <v>19250</v>
      </c>
      <c r="C58" s="7">
        <v>3392</v>
      </c>
      <c r="D58" s="7">
        <v>62305</v>
      </c>
      <c r="E58" s="7">
        <v>7052</v>
      </c>
      <c r="F58" s="7">
        <v>13828</v>
      </c>
      <c r="G58" s="7">
        <v>1025</v>
      </c>
      <c r="H58" s="7">
        <v>6256</v>
      </c>
      <c r="I58" s="7">
        <v>2667</v>
      </c>
      <c r="J58" s="7">
        <v>3800</v>
      </c>
      <c r="K58" s="7">
        <v>2210</v>
      </c>
      <c r="L58" s="7">
        <v>3347</v>
      </c>
      <c r="M58" s="7">
        <v>3799</v>
      </c>
      <c r="N58" s="7">
        <v>1712</v>
      </c>
      <c r="O58" s="7">
        <v>30395</v>
      </c>
      <c r="P58" s="7">
        <v>1288</v>
      </c>
      <c r="Q58" s="7">
        <v>940</v>
      </c>
      <c r="R58" s="7">
        <v>1613</v>
      </c>
      <c r="S58" s="7">
        <v>9004</v>
      </c>
      <c r="T58" s="8">
        <v>2375</v>
      </c>
      <c r="U58" s="7">
        <v>6309</v>
      </c>
    </row>
    <row r="59" spans="1:21" x14ac:dyDescent="0.25">
      <c r="A59" s="6">
        <f t="shared" si="1"/>
        <v>1957</v>
      </c>
      <c r="B59" s="7">
        <v>19614</v>
      </c>
      <c r="C59" s="7">
        <v>3464</v>
      </c>
      <c r="D59" s="7">
        <v>64227</v>
      </c>
      <c r="E59" s="7">
        <v>7233</v>
      </c>
      <c r="F59" s="7">
        <v>14223</v>
      </c>
      <c r="G59" s="7">
        <v>1068</v>
      </c>
      <c r="H59" s="7">
        <v>6388</v>
      </c>
      <c r="I59" s="7">
        <v>2752</v>
      </c>
      <c r="J59" s="7">
        <v>3929</v>
      </c>
      <c r="K59" s="7">
        <v>2277</v>
      </c>
      <c r="L59" s="7">
        <v>3451</v>
      </c>
      <c r="M59" s="7">
        <v>3873</v>
      </c>
      <c r="N59" s="7">
        <v>1769</v>
      </c>
      <c r="O59" s="7">
        <v>31877</v>
      </c>
      <c r="P59" s="7">
        <v>1332</v>
      </c>
      <c r="Q59" s="7">
        <v>967</v>
      </c>
      <c r="R59" s="7">
        <v>1648</v>
      </c>
      <c r="S59" s="7">
        <v>9235</v>
      </c>
      <c r="T59" s="8">
        <v>2400</v>
      </c>
      <c r="U59" s="7">
        <v>6569</v>
      </c>
    </row>
    <row r="60" spans="1:21" x14ac:dyDescent="0.25">
      <c r="A60" s="6">
        <f t="shared" si="1"/>
        <v>1958</v>
      </c>
      <c r="B60" s="7">
        <v>19979</v>
      </c>
      <c r="C60" s="7">
        <v>3539</v>
      </c>
      <c r="D60" s="7">
        <v>66209</v>
      </c>
      <c r="E60" s="7">
        <v>7415</v>
      </c>
      <c r="F60" s="7">
        <v>14627</v>
      </c>
      <c r="G60" s="7">
        <v>1112</v>
      </c>
      <c r="H60" s="7">
        <v>6523</v>
      </c>
      <c r="I60" s="7">
        <v>2840</v>
      </c>
      <c r="J60" s="7">
        <v>4049</v>
      </c>
      <c r="K60" s="7">
        <v>2346</v>
      </c>
      <c r="L60" s="7">
        <v>3546</v>
      </c>
      <c r="M60" s="7">
        <v>3846</v>
      </c>
      <c r="N60" s="7">
        <v>1828</v>
      </c>
      <c r="O60" s="7">
        <v>32868</v>
      </c>
      <c r="P60" s="7">
        <v>1378</v>
      </c>
      <c r="Q60" s="7">
        <v>995</v>
      </c>
      <c r="R60" s="7">
        <v>1687</v>
      </c>
      <c r="S60" s="7">
        <v>9483</v>
      </c>
      <c r="T60" s="8">
        <v>2429</v>
      </c>
      <c r="U60" s="7">
        <v>6829</v>
      </c>
    </row>
    <row r="61" spans="1:21" x14ac:dyDescent="0.25">
      <c r="A61" s="6">
        <f t="shared" si="1"/>
        <v>1959</v>
      </c>
      <c r="B61" s="7">
        <v>20325</v>
      </c>
      <c r="C61" s="7">
        <v>3616</v>
      </c>
      <c r="D61" s="7">
        <v>68240</v>
      </c>
      <c r="E61" s="7">
        <v>7599</v>
      </c>
      <c r="F61" s="7">
        <v>15042</v>
      </c>
      <c r="G61" s="7">
        <v>1158</v>
      </c>
      <c r="H61" s="7">
        <v>6661</v>
      </c>
      <c r="I61" s="7">
        <v>2933</v>
      </c>
      <c r="J61" s="7">
        <v>4183</v>
      </c>
      <c r="K61" s="7">
        <v>2416</v>
      </c>
      <c r="L61" s="7">
        <v>3652</v>
      </c>
      <c r="M61" s="7">
        <v>3917</v>
      </c>
      <c r="N61" s="7">
        <v>1887</v>
      </c>
      <c r="O61" s="7">
        <v>33880</v>
      </c>
      <c r="P61" s="7">
        <v>1424</v>
      </c>
      <c r="Q61" s="7">
        <v>1024</v>
      </c>
      <c r="R61" s="7">
        <v>1728</v>
      </c>
      <c r="S61" s="7">
        <v>9746</v>
      </c>
      <c r="T61" s="8">
        <v>2459</v>
      </c>
      <c r="U61" s="7">
        <v>7080</v>
      </c>
    </row>
    <row r="62" spans="1:21" x14ac:dyDescent="0.25">
      <c r="A62" s="6">
        <f t="shared" si="1"/>
        <v>1960</v>
      </c>
      <c r="B62" s="7">
        <v>20669</v>
      </c>
      <c r="C62" s="7">
        <v>3696</v>
      </c>
      <c r="D62" s="7">
        <v>70309</v>
      </c>
      <c r="E62" s="7">
        <v>7791</v>
      </c>
      <c r="F62" s="7">
        <v>15468</v>
      </c>
      <c r="G62" s="7">
        <v>1206</v>
      </c>
      <c r="H62" s="7">
        <v>6797</v>
      </c>
      <c r="I62" s="7">
        <v>3030</v>
      </c>
      <c r="J62" s="7">
        <v>4317</v>
      </c>
      <c r="K62" s="7">
        <v>2490</v>
      </c>
      <c r="L62" s="7">
        <v>3765</v>
      </c>
      <c r="M62" s="7">
        <v>3911</v>
      </c>
      <c r="N62" s="7">
        <v>1950</v>
      </c>
      <c r="O62" s="7">
        <v>34923</v>
      </c>
      <c r="P62" s="7">
        <v>1477</v>
      </c>
      <c r="Q62" s="7">
        <v>1062</v>
      </c>
      <c r="R62" s="7">
        <v>1768</v>
      </c>
      <c r="S62" s="7">
        <v>10025</v>
      </c>
      <c r="T62" s="8">
        <v>2491</v>
      </c>
      <c r="U62" s="7">
        <v>7331</v>
      </c>
    </row>
    <row r="63" spans="1:21" x14ac:dyDescent="0.25">
      <c r="A63" s="6">
        <f t="shared" si="1"/>
        <v>1961</v>
      </c>
      <c r="B63" s="7">
        <v>21011</v>
      </c>
      <c r="C63" s="7">
        <v>3778</v>
      </c>
      <c r="D63" s="7">
        <v>72411</v>
      </c>
      <c r="E63" s="7">
        <v>7982</v>
      </c>
      <c r="F63" s="7">
        <v>15908</v>
      </c>
      <c r="G63" s="7">
        <v>1255</v>
      </c>
      <c r="H63" s="7">
        <v>6933</v>
      </c>
      <c r="I63" s="7">
        <v>3132</v>
      </c>
      <c r="J63" s="7">
        <v>4455</v>
      </c>
      <c r="K63" s="7">
        <v>2568</v>
      </c>
      <c r="L63" s="7">
        <v>3868</v>
      </c>
      <c r="M63" s="7">
        <v>4067</v>
      </c>
      <c r="N63" s="7">
        <v>2017</v>
      </c>
      <c r="O63" s="7">
        <v>36075</v>
      </c>
      <c r="P63" s="7">
        <v>1529</v>
      </c>
      <c r="Q63" s="7">
        <v>1095</v>
      </c>
      <c r="R63" s="7">
        <v>1812</v>
      </c>
      <c r="S63" s="7">
        <v>10320</v>
      </c>
      <c r="T63" s="8">
        <v>2523</v>
      </c>
      <c r="U63" s="7">
        <v>7588</v>
      </c>
    </row>
    <row r="64" spans="1:21" x14ac:dyDescent="0.25">
      <c r="A64" s="6">
        <f t="shared" si="1"/>
        <v>1962</v>
      </c>
      <c r="B64" s="7">
        <v>21350</v>
      </c>
      <c r="C64" s="7">
        <v>3863</v>
      </c>
      <c r="D64" s="7">
        <v>74544</v>
      </c>
      <c r="E64" s="7">
        <v>8175</v>
      </c>
      <c r="F64" s="7">
        <v>16360</v>
      </c>
      <c r="G64" s="7">
        <v>1305</v>
      </c>
      <c r="H64" s="7">
        <v>7078</v>
      </c>
      <c r="I64" s="7">
        <v>3239</v>
      </c>
      <c r="J64" s="7">
        <v>4579</v>
      </c>
      <c r="K64" s="7">
        <v>2649</v>
      </c>
      <c r="L64" s="7">
        <v>3980</v>
      </c>
      <c r="M64" s="7">
        <v>4145</v>
      </c>
      <c r="N64" s="7">
        <v>2088</v>
      </c>
      <c r="O64" s="7">
        <v>37265</v>
      </c>
      <c r="P64" s="7">
        <v>1583</v>
      </c>
      <c r="Q64" s="7">
        <v>1128</v>
      </c>
      <c r="R64" s="7">
        <v>1858</v>
      </c>
      <c r="S64" s="7">
        <v>10632</v>
      </c>
      <c r="T64" s="8">
        <v>2555</v>
      </c>
      <c r="U64" s="7">
        <v>7858</v>
      </c>
    </row>
    <row r="65" spans="1:21" x14ac:dyDescent="0.25">
      <c r="A65" s="6">
        <f t="shared" si="1"/>
        <v>1963</v>
      </c>
      <c r="B65" s="7">
        <v>21688</v>
      </c>
      <c r="C65" s="7">
        <v>3951</v>
      </c>
      <c r="D65" s="7">
        <v>76744</v>
      </c>
      <c r="E65" s="7">
        <v>8371</v>
      </c>
      <c r="F65" s="7">
        <v>16940</v>
      </c>
      <c r="G65" s="7">
        <v>1358</v>
      </c>
      <c r="H65" s="7">
        <v>7224</v>
      </c>
      <c r="I65" s="7">
        <v>3350</v>
      </c>
      <c r="J65" s="7">
        <v>4726</v>
      </c>
      <c r="K65" s="7">
        <v>2734</v>
      </c>
      <c r="L65" s="7">
        <v>4096</v>
      </c>
      <c r="M65" s="7">
        <v>4226</v>
      </c>
      <c r="N65" s="7">
        <v>2161</v>
      </c>
      <c r="O65" s="7">
        <v>39238</v>
      </c>
      <c r="P65" s="7">
        <v>1638</v>
      </c>
      <c r="Q65" s="7">
        <v>1163</v>
      </c>
      <c r="R65" s="7">
        <v>1906</v>
      </c>
      <c r="S65" s="7">
        <v>10958</v>
      </c>
      <c r="T65" s="8">
        <v>2586</v>
      </c>
      <c r="U65" s="7">
        <v>8136</v>
      </c>
    </row>
    <row r="66" spans="1:21" x14ac:dyDescent="0.25">
      <c r="A66" s="6">
        <f t="shared" si="1"/>
        <v>1964</v>
      </c>
      <c r="B66" s="7">
        <v>22019</v>
      </c>
      <c r="C66" s="7">
        <v>4042</v>
      </c>
      <c r="D66" s="7">
        <v>78990</v>
      </c>
      <c r="E66" s="7">
        <v>8574</v>
      </c>
      <c r="F66" s="7">
        <v>17485</v>
      </c>
      <c r="G66" s="7">
        <v>1412</v>
      </c>
      <c r="H66" s="7">
        <v>7372</v>
      </c>
      <c r="I66" s="7">
        <v>3466</v>
      </c>
      <c r="J66" s="7">
        <v>4877</v>
      </c>
      <c r="K66" s="7">
        <v>2822</v>
      </c>
      <c r="L66" s="7">
        <v>4217</v>
      </c>
      <c r="M66" s="7">
        <v>4310</v>
      </c>
      <c r="N66" s="7">
        <v>2237</v>
      </c>
      <c r="O66" s="7">
        <v>39781</v>
      </c>
      <c r="P66" s="7">
        <v>1695</v>
      </c>
      <c r="Q66" s="7">
        <v>1198</v>
      </c>
      <c r="R66" s="7">
        <v>1955</v>
      </c>
      <c r="S66" s="7">
        <v>11298</v>
      </c>
      <c r="T66" s="8">
        <v>2617</v>
      </c>
      <c r="U66" s="7">
        <v>8423</v>
      </c>
    </row>
    <row r="67" spans="1:21" x14ac:dyDescent="0.25">
      <c r="A67" s="6">
        <f t="shared" si="1"/>
        <v>1965</v>
      </c>
      <c r="B67" s="7">
        <v>22352</v>
      </c>
      <c r="C67" s="7">
        <v>4136</v>
      </c>
      <c r="D67" s="7">
        <v>81300</v>
      </c>
      <c r="E67" s="7">
        <v>8786</v>
      </c>
      <c r="F67" s="7">
        <v>18040</v>
      </c>
      <c r="G67" s="7">
        <v>1467</v>
      </c>
      <c r="H67" s="7">
        <v>7523</v>
      </c>
      <c r="I67" s="7">
        <v>3588</v>
      </c>
      <c r="J67" s="7">
        <v>5036</v>
      </c>
      <c r="K67" s="7">
        <v>2914</v>
      </c>
      <c r="L67" s="7">
        <v>4343</v>
      </c>
      <c r="M67" s="7">
        <v>4396</v>
      </c>
      <c r="N67" s="7">
        <v>2315</v>
      </c>
      <c r="O67" s="7">
        <v>41097</v>
      </c>
      <c r="P67" s="7">
        <v>1754</v>
      </c>
      <c r="Q67" s="7">
        <v>1235</v>
      </c>
      <c r="R67" s="7">
        <v>2007</v>
      </c>
      <c r="S67" s="7">
        <v>11650</v>
      </c>
      <c r="T67" s="8">
        <v>2647</v>
      </c>
      <c r="U67" s="7">
        <v>8722</v>
      </c>
    </row>
    <row r="68" spans="1:21" x14ac:dyDescent="0.25">
      <c r="A68" s="6">
        <f t="shared" si="1"/>
        <v>1966</v>
      </c>
      <c r="B68" s="7">
        <v>22691</v>
      </c>
      <c r="C68" s="7">
        <v>4234</v>
      </c>
      <c r="D68" s="7">
        <v>83670</v>
      </c>
      <c r="E68" s="7">
        <v>9007</v>
      </c>
      <c r="F68" s="7">
        <v>18620</v>
      </c>
      <c r="G68" s="7">
        <v>1524</v>
      </c>
      <c r="H68" s="7">
        <v>7675</v>
      </c>
      <c r="I68" s="7">
        <v>3715</v>
      </c>
      <c r="J68" s="7">
        <v>5199</v>
      </c>
      <c r="K68" s="7">
        <v>3008</v>
      </c>
      <c r="L68" s="7">
        <v>4475</v>
      </c>
      <c r="M68" s="7">
        <v>4486</v>
      </c>
      <c r="N68" s="7">
        <v>2396</v>
      </c>
      <c r="O68" s="7">
        <v>42459</v>
      </c>
      <c r="P68" s="7">
        <v>1815</v>
      </c>
      <c r="Q68" s="7">
        <v>1272</v>
      </c>
      <c r="R68" s="16">
        <v>2061</v>
      </c>
      <c r="S68" s="7">
        <v>12012</v>
      </c>
      <c r="T68" s="8">
        <v>2677</v>
      </c>
      <c r="U68" s="7">
        <v>9030</v>
      </c>
    </row>
    <row r="69" spans="1:21" x14ac:dyDescent="0.25">
      <c r="A69" s="6">
        <f t="shared" si="1"/>
        <v>1967</v>
      </c>
      <c r="B69" s="7">
        <v>23031</v>
      </c>
      <c r="C69" s="7">
        <v>4334</v>
      </c>
      <c r="D69" s="7">
        <v>86096</v>
      </c>
      <c r="E69" s="7">
        <v>9236</v>
      </c>
      <c r="F69" s="7">
        <v>19220</v>
      </c>
      <c r="G69" s="7">
        <v>1583</v>
      </c>
      <c r="H69" s="7">
        <v>7830</v>
      </c>
      <c r="I69" s="7">
        <v>3846</v>
      </c>
      <c r="J69" s="7">
        <v>5368</v>
      </c>
      <c r="K69" s="7">
        <v>3105</v>
      </c>
      <c r="L69" s="7">
        <v>4611</v>
      </c>
      <c r="M69" s="7">
        <v>4577</v>
      </c>
      <c r="N69" s="7">
        <v>2480</v>
      </c>
      <c r="O69" s="7">
        <v>43863</v>
      </c>
      <c r="P69" s="7">
        <v>1879</v>
      </c>
      <c r="Q69" s="7">
        <v>1311</v>
      </c>
      <c r="R69" s="7">
        <v>2116</v>
      </c>
      <c r="S69" s="7">
        <v>12385</v>
      </c>
      <c r="T69" s="8">
        <v>2709</v>
      </c>
      <c r="U69" s="7">
        <v>9352</v>
      </c>
    </row>
    <row r="70" spans="1:21" x14ac:dyDescent="0.25">
      <c r="A70" s="6">
        <f t="shared" si="1"/>
        <v>1968</v>
      </c>
      <c r="B70" s="7">
        <v>23378</v>
      </c>
      <c r="C70" s="7">
        <v>4438</v>
      </c>
      <c r="D70" s="7">
        <v>88582</v>
      </c>
      <c r="E70" s="7">
        <v>9473</v>
      </c>
      <c r="F70" s="7">
        <v>19830</v>
      </c>
      <c r="G70" s="7">
        <v>1643</v>
      </c>
      <c r="H70" s="7">
        <v>7987</v>
      </c>
      <c r="I70" s="7">
        <v>3984</v>
      </c>
      <c r="J70" s="7">
        <v>5543</v>
      </c>
      <c r="K70" s="7">
        <v>3205</v>
      </c>
      <c r="L70" s="7">
        <v>4753</v>
      </c>
      <c r="M70" s="7">
        <v>4671</v>
      </c>
      <c r="N70" s="7">
        <v>2567</v>
      </c>
      <c r="O70" s="7">
        <v>45316</v>
      </c>
      <c r="P70" s="7">
        <v>1945</v>
      </c>
      <c r="Q70" s="7">
        <v>1350</v>
      </c>
      <c r="R70" s="7">
        <v>2174</v>
      </c>
      <c r="S70" s="7">
        <v>12772</v>
      </c>
      <c r="T70" s="8">
        <v>2740</v>
      </c>
      <c r="U70" s="7">
        <v>9686</v>
      </c>
    </row>
    <row r="71" spans="1:21" x14ac:dyDescent="0.25">
      <c r="A71" s="6">
        <f t="shared" si="1"/>
        <v>1969</v>
      </c>
      <c r="B71" s="7">
        <v>23706</v>
      </c>
      <c r="C71" s="7">
        <v>4546</v>
      </c>
      <c r="D71" s="7">
        <v>91132</v>
      </c>
      <c r="E71" s="7">
        <v>9717</v>
      </c>
      <c r="F71" s="7">
        <v>20460</v>
      </c>
      <c r="G71" s="7">
        <v>1706</v>
      </c>
      <c r="H71" s="7">
        <v>8145</v>
      </c>
      <c r="I71" s="7">
        <v>4127</v>
      </c>
      <c r="J71" s="7">
        <v>5723</v>
      </c>
      <c r="K71" s="7">
        <v>3309</v>
      </c>
      <c r="L71" s="7">
        <v>4900</v>
      </c>
      <c r="M71" s="7">
        <v>4768</v>
      </c>
      <c r="N71" s="7">
        <v>2657</v>
      </c>
      <c r="O71" s="7">
        <v>46818</v>
      </c>
      <c r="P71" s="7">
        <v>2013</v>
      </c>
      <c r="Q71" s="7">
        <v>1390</v>
      </c>
      <c r="R71" s="7">
        <v>2234</v>
      </c>
      <c r="S71" s="7">
        <v>13172</v>
      </c>
      <c r="T71" s="8">
        <v>2771</v>
      </c>
      <c r="U71" s="7">
        <v>10035</v>
      </c>
    </row>
    <row r="72" spans="1:21" x14ac:dyDescent="0.25">
      <c r="A72" s="6">
        <f t="shared" si="1"/>
        <v>1970</v>
      </c>
      <c r="B72" s="7">
        <v>24050</v>
      </c>
      <c r="C72" s="7">
        <v>4658</v>
      </c>
      <c r="D72" s="7">
        <v>93752</v>
      </c>
      <c r="E72" s="7">
        <v>9969</v>
      </c>
      <c r="F72" s="7">
        <v>21120</v>
      </c>
      <c r="G72" s="7">
        <v>1769</v>
      </c>
      <c r="H72" s="7">
        <v>8307</v>
      </c>
      <c r="I72" s="7">
        <v>4277</v>
      </c>
      <c r="J72" s="7">
        <v>5909</v>
      </c>
      <c r="K72" s="7">
        <v>3417</v>
      </c>
      <c r="L72" s="7">
        <v>5053</v>
      </c>
      <c r="M72" s="7">
        <v>4867</v>
      </c>
      <c r="N72" s="7">
        <v>2750</v>
      </c>
      <c r="O72" s="7">
        <v>49090</v>
      </c>
      <c r="P72" s="7">
        <v>2083</v>
      </c>
      <c r="Q72" s="7">
        <v>1432</v>
      </c>
      <c r="R72" s="7">
        <v>2296</v>
      </c>
      <c r="S72" s="7">
        <v>13586</v>
      </c>
      <c r="T72" s="8">
        <v>2802</v>
      </c>
      <c r="U72" s="7">
        <v>10339</v>
      </c>
    </row>
    <row r="73" spans="1:21" x14ac:dyDescent="0.25">
      <c r="A73" s="6">
        <f t="shared" si="1"/>
        <v>1971</v>
      </c>
      <c r="B73" s="7">
        <v>24392</v>
      </c>
      <c r="C73" s="7">
        <v>4774</v>
      </c>
      <c r="D73" s="7">
        <v>96443</v>
      </c>
      <c r="E73" s="7">
        <v>10229</v>
      </c>
      <c r="F73" s="7">
        <v>21790</v>
      </c>
      <c r="G73" s="7">
        <v>1834</v>
      </c>
      <c r="H73" s="7">
        <v>8470</v>
      </c>
      <c r="I73" s="7">
        <v>4433</v>
      </c>
      <c r="J73" s="7">
        <v>6102</v>
      </c>
      <c r="K73" s="7">
        <v>3530</v>
      </c>
      <c r="L73" s="7">
        <v>5212</v>
      </c>
      <c r="M73" s="7">
        <v>4969</v>
      </c>
      <c r="N73" s="7">
        <v>2846</v>
      </c>
      <c r="O73" s="7">
        <v>50829</v>
      </c>
      <c r="P73" s="7">
        <v>2156</v>
      </c>
      <c r="Q73" s="7">
        <v>1475</v>
      </c>
      <c r="R73" s="7">
        <v>2361</v>
      </c>
      <c r="S73" s="7">
        <v>14014</v>
      </c>
      <c r="T73" s="8">
        <v>2833</v>
      </c>
      <c r="U73" s="7">
        <v>10777</v>
      </c>
    </row>
    <row r="74" spans="1:21" x14ac:dyDescent="0.25">
      <c r="A74" s="6">
        <f t="shared" si="1"/>
        <v>1972</v>
      </c>
      <c r="B74" s="7">
        <v>24745</v>
      </c>
      <c r="C74" s="7">
        <v>4894</v>
      </c>
      <c r="D74" s="7">
        <v>99201</v>
      </c>
      <c r="E74" s="7">
        <v>10498</v>
      </c>
      <c r="F74" s="7">
        <v>22490</v>
      </c>
      <c r="G74" s="7">
        <v>1901</v>
      </c>
      <c r="H74" s="7">
        <v>8636</v>
      </c>
      <c r="I74" s="7">
        <v>4595</v>
      </c>
      <c r="J74" s="7">
        <v>6302</v>
      </c>
      <c r="K74" s="7">
        <v>3647</v>
      </c>
      <c r="L74" s="7">
        <v>5375</v>
      </c>
      <c r="M74" s="7">
        <v>5070</v>
      </c>
      <c r="N74" s="7">
        <v>2946</v>
      </c>
      <c r="O74" s="7">
        <v>52641</v>
      </c>
      <c r="P74" s="7">
        <v>2231</v>
      </c>
      <c r="Q74" s="7">
        <v>1520</v>
      </c>
      <c r="R74" s="7">
        <v>2428</v>
      </c>
      <c r="S74" s="7">
        <v>14456</v>
      </c>
      <c r="T74" s="8">
        <v>2865</v>
      </c>
      <c r="U74" s="7">
        <v>11170</v>
      </c>
    </row>
    <row r="76" spans="1:21" x14ac:dyDescent="0.25">
      <c r="A76" s="10" t="s">
        <v>30</v>
      </c>
    </row>
    <row r="78" spans="1:21" x14ac:dyDescent="0.25">
      <c r="A78" s="11" t="s">
        <v>31</v>
      </c>
    </row>
    <row r="80" spans="1:21" x14ac:dyDescent="0.25">
      <c r="A80" s="11" t="s">
        <v>32</v>
      </c>
    </row>
    <row r="81" spans="1:2" x14ac:dyDescent="0.25">
      <c r="B81" t="s">
        <v>34</v>
      </c>
    </row>
    <row r="82" spans="1:2" x14ac:dyDescent="0.25">
      <c r="B82" t="s">
        <v>33</v>
      </c>
    </row>
    <row r="84" spans="1:2" x14ac:dyDescent="0.25">
      <c r="A84" s="11" t="s">
        <v>36</v>
      </c>
    </row>
    <row r="85" spans="1:2" x14ac:dyDescent="0.25">
      <c r="B85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A5DEC-991A-4AEF-944B-3BBCD9B2F2C6}">
  <dimension ref="A1:U102"/>
  <sheetViews>
    <sheetView workbookViewId="0">
      <pane ySplit="1" topLeftCell="A2" activePane="bottomLeft" state="frozen"/>
      <selection pane="bottomLeft" activeCell="Z38" sqref="Z38"/>
    </sheetView>
  </sheetViews>
  <sheetFormatPr defaultRowHeight="15" x14ac:dyDescent="0.25"/>
  <cols>
    <col min="1" max="1" width="5" bestFit="1" customWidth="1"/>
    <col min="2" max="2" width="10.5703125" style="2" bestFit="1" customWidth="1"/>
    <col min="3" max="3" width="8.7109375" style="2" bestFit="1" customWidth="1"/>
    <col min="4" max="4" width="9.5703125" style="2" bestFit="1" customWidth="1"/>
    <col min="5" max="5" width="5.7109375" style="2" bestFit="1" customWidth="1"/>
    <col min="6" max="6" width="10.28515625" style="2" bestFit="1" customWidth="1"/>
    <col min="7" max="7" width="11" style="2" bestFit="1" customWidth="1"/>
    <col min="8" max="8" width="5.28515625" style="2" bestFit="1" customWidth="1"/>
    <col min="9" max="9" width="27.28515625" style="2" bestFit="1" customWidth="1"/>
    <col min="10" max="10" width="8.7109375" style="2" bestFit="1" customWidth="1"/>
    <col min="11" max="11" width="15" style="2" bestFit="1" customWidth="1"/>
    <col min="12" max="12" width="10.5703125" style="2" bestFit="1" customWidth="1"/>
    <col min="13" max="13" width="6" style="2" bestFit="1" customWidth="1"/>
    <col min="14" max="14" width="9.42578125" style="2" bestFit="1" customWidth="1"/>
    <col min="15" max="15" width="9" style="2" bestFit="1" customWidth="1"/>
    <col min="16" max="16" width="10.28515625" style="2" bestFit="1" customWidth="1"/>
    <col min="17" max="17" width="8" style="2" bestFit="1" customWidth="1"/>
    <col min="18" max="18" width="9.28515625" style="2" bestFit="1" customWidth="1"/>
    <col min="19" max="19" width="5.5703125" style="2" bestFit="1" customWidth="1"/>
    <col min="20" max="20" width="8.140625" style="2" bestFit="1" customWidth="1"/>
    <col min="21" max="21" width="12" style="2" bestFit="1" customWidth="1"/>
  </cols>
  <sheetData>
    <row r="1" spans="1:21" x14ac:dyDescent="0.25">
      <c r="A1" s="3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</row>
    <row r="2" spans="1:21" x14ac:dyDescent="0.25">
      <c r="A2">
        <v>1900</v>
      </c>
      <c r="B2" s="2">
        <v>4.6100000000000003</v>
      </c>
      <c r="C2" s="2">
        <v>1.77</v>
      </c>
      <c r="D2" s="2">
        <v>17.98</v>
      </c>
      <c r="E2" s="2">
        <v>2.96</v>
      </c>
      <c r="F2" s="2">
        <v>3.89</v>
      </c>
      <c r="G2" s="2">
        <v>0.31</v>
      </c>
      <c r="H2" s="2">
        <v>1.6</v>
      </c>
      <c r="I2" s="2">
        <v>0.6</v>
      </c>
      <c r="J2" s="2">
        <v>1.3</v>
      </c>
      <c r="K2" s="2">
        <v>0.8</v>
      </c>
      <c r="L2" s="2">
        <v>0.89</v>
      </c>
      <c r="M2" s="2">
        <v>1.25</v>
      </c>
      <c r="N2" s="2">
        <v>0.42</v>
      </c>
      <c r="O2" s="2">
        <v>13.61</v>
      </c>
      <c r="P2" s="2">
        <v>0.42</v>
      </c>
      <c r="Q2" s="2">
        <v>0.26</v>
      </c>
      <c r="R2" s="2">
        <v>0.49</v>
      </c>
      <c r="S2" s="2">
        <v>3</v>
      </c>
      <c r="T2" s="2">
        <v>0.96</v>
      </c>
      <c r="U2" s="2">
        <v>2.4500000000000002</v>
      </c>
    </row>
    <row r="3" spans="1:21" x14ac:dyDescent="0.25">
      <c r="A3">
        <f>A2+1</f>
        <v>1901</v>
      </c>
      <c r="B3" s="2">
        <v>4.74</v>
      </c>
      <c r="C3" s="2">
        <v>1.79</v>
      </c>
      <c r="D3" s="2">
        <v>18.39</v>
      </c>
      <c r="E3" s="2">
        <v>2.99</v>
      </c>
      <c r="F3" s="2">
        <v>3.94</v>
      </c>
      <c r="G3" s="2">
        <v>0.31</v>
      </c>
      <c r="H3" s="2">
        <v>1.68</v>
      </c>
      <c r="I3" s="2">
        <v>0.61</v>
      </c>
      <c r="J3" s="2">
        <v>1.31</v>
      </c>
      <c r="K3" s="2">
        <v>0.82</v>
      </c>
      <c r="L3" s="2">
        <v>0.91</v>
      </c>
      <c r="M3" s="2">
        <v>1.29</v>
      </c>
      <c r="N3" s="2">
        <v>0.44</v>
      </c>
      <c r="O3" s="2">
        <v>13.76</v>
      </c>
      <c r="P3" s="2">
        <v>0.43</v>
      </c>
      <c r="Q3" s="2">
        <v>0.27</v>
      </c>
      <c r="R3" s="2">
        <v>0.51</v>
      </c>
      <c r="S3" s="2">
        <v>3.1</v>
      </c>
      <c r="T3" s="2">
        <v>0.97</v>
      </c>
      <c r="U3" s="2">
        <v>2.4500000000000002</v>
      </c>
    </row>
    <row r="4" spans="1:21" x14ac:dyDescent="0.25">
      <c r="A4">
        <f t="shared" ref="A4:A52" si="0">A3+1</f>
        <v>1902</v>
      </c>
      <c r="B4" s="2">
        <v>4.87</v>
      </c>
      <c r="C4" s="2">
        <v>1.8</v>
      </c>
      <c r="D4" s="2">
        <v>18.78</v>
      </c>
      <c r="E4" s="2">
        <v>3.03</v>
      </c>
      <c r="F4" s="2">
        <v>3.99</v>
      </c>
      <c r="G4" s="2">
        <v>0.32</v>
      </c>
      <c r="H4" s="2">
        <v>1.76</v>
      </c>
      <c r="I4" s="2">
        <v>0.63</v>
      </c>
      <c r="J4" s="2">
        <v>1.32</v>
      </c>
      <c r="K4" s="2">
        <v>0.84</v>
      </c>
      <c r="L4" s="2">
        <v>0.94</v>
      </c>
      <c r="M4" s="2">
        <v>1.34</v>
      </c>
      <c r="N4" s="2">
        <v>0.45</v>
      </c>
      <c r="O4" s="2">
        <v>13.91</v>
      </c>
      <c r="P4" s="2">
        <v>0.45</v>
      </c>
      <c r="Q4" s="2">
        <v>0.28000000000000003</v>
      </c>
      <c r="R4" s="2">
        <v>0.52</v>
      </c>
      <c r="S4" s="2">
        <v>3.2</v>
      </c>
      <c r="T4" s="20">
        <v>0.99</v>
      </c>
      <c r="U4" s="2">
        <v>2.46</v>
      </c>
    </row>
    <row r="5" spans="1:21" x14ac:dyDescent="0.25">
      <c r="A5">
        <f t="shared" si="0"/>
        <v>1903</v>
      </c>
      <c r="B5" s="2">
        <v>4.9800000000000004</v>
      </c>
      <c r="C5" s="2">
        <v>1.82</v>
      </c>
      <c r="D5" s="2">
        <v>19.18</v>
      </c>
      <c r="E5" s="2">
        <v>3.07</v>
      </c>
      <c r="F5" s="2">
        <v>4.04</v>
      </c>
      <c r="G5" s="2">
        <v>0.32</v>
      </c>
      <c r="H5" s="2">
        <v>1.84</v>
      </c>
      <c r="I5" s="2">
        <v>0.64</v>
      </c>
      <c r="J5" s="2">
        <v>1.34</v>
      </c>
      <c r="K5" s="2">
        <v>0.86</v>
      </c>
      <c r="L5" s="2">
        <v>0.96</v>
      </c>
      <c r="M5" s="2">
        <v>1.38</v>
      </c>
      <c r="N5" s="2">
        <v>0.47</v>
      </c>
      <c r="O5" s="2">
        <v>14.07</v>
      </c>
      <c r="P5" s="2">
        <v>0.46</v>
      </c>
      <c r="Q5" s="2">
        <v>0.28000000000000003</v>
      </c>
      <c r="R5" s="2">
        <v>0.54</v>
      </c>
      <c r="S5" s="2">
        <v>3.3</v>
      </c>
      <c r="T5" s="2">
        <v>1.02</v>
      </c>
      <c r="U5" s="2">
        <v>2.4700000000000002</v>
      </c>
    </row>
    <row r="6" spans="1:21" x14ac:dyDescent="0.25">
      <c r="A6">
        <f t="shared" si="0"/>
        <v>1904</v>
      </c>
      <c r="B6" s="2">
        <v>5.0999999999999996</v>
      </c>
      <c r="C6" s="2">
        <v>1.84</v>
      </c>
      <c r="D6" s="2">
        <v>19.579999999999998</v>
      </c>
      <c r="E6" s="2">
        <v>3.1</v>
      </c>
      <c r="F6" s="2">
        <v>4.09</v>
      </c>
      <c r="G6" s="2">
        <v>0.33</v>
      </c>
      <c r="H6" s="2">
        <v>1.88</v>
      </c>
      <c r="I6" s="2">
        <v>0.66</v>
      </c>
      <c r="J6" s="2">
        <v>1.35</v>
      </c>
      <c r="K6" s="2">
        <v>0.87</v>
      </c>
      <c r="L6" s="2">
        <v>0.99</v>
      </c>
      <c r="M6" s="2">
        <v>1.43</v>
      </c>
      <c r="N6" s="2">
        <v>0.48</v>
      </c>
      <c r="O6" s="2">
        <v>14.21</v>
      </c>
      <c r="P6" s="2">
        <v>0.48</v>
      </c>
      <c r="Q6" s="2">
        <v>0.28999999999999998</v>
      </c>
      <c r="R6" s="2">
        <v>0.56000000000000005</v>
      </c>
      <c r="S6" s="2">
        <v>3.4</v>
      </c>
      <c r="T6" s="2">
        <v>1.04</v>
      </c>
      <c r="U6" s="2">
        <v>2.4700000000000002</v>
      </c>
    </row>
    <row r="7" spans="1:21" x14ac:dyDescent="0.25">
      <c r="A7">
        <f t="shared" si="0"/>
        <v>1905</v>
      </c>
      <c r="B7" s="2">
        <v>5.29</v>
      </c>
      <c r="C7" s="2">
        <v>1.86</v>
      </c>
      <c r="D7" s="2">
        <v>20</v>
      </c>
      <c r="E7" s="2">
        <v>3.14</v>
      </c>
      <c r="F7" s="2">
        <v>4.1399999999999997</v>
      </c>
      <c r="G7" s="2">
        <v>0.34</v>
      </c>
      <c r="H7" s="2">
        <v>1.93</v>
      </c>
      <c r="I7" s="2">
        <v>0.67</v>
      </c>
      <c r="J7" s="2">
        <v>1.36</v>
      </c>
      <c r="K7" s="2">
        <v>0.89</v>
      </c>
      <c r="L7" s="2">
        <v>1.01</v>
      </c>
      <c r="M7" s="2">
        <v>1.47</v>
      </c>
      <c r="N7" s="2">
        <v>0.5</v>
      </c>
      <c r="O7" s="2">
        <v>14.36</v>
      </c>
      <c r="P7" s="2">
        <v>0.49</v>
      </c>
      <c r="Q7" s="2">
        <v>0.3</v>
      </c>
      <c r="R7" s="2">
        <v>0.56999999999999995</v>
      </c>
      <c r="S7" s="2">
        <v>3.5</v>
      </c>
      <c r="T7" s="2">
        <v>1.07</v>
      </c>
      <c r="U7" s="2">
        <v>2.4900000000000002</v>
      </c>
    </row>
    <row r="8" spans="1:21" x14ac:dyDescent="0.25">
      <c r="A8">
        <f t="shared" si="0"/>
        <v>1906</v>
      </c>
      <c r="B8" s="2">
        <v>5.52</v>
      </c>
      <c r="C8" s="2">
        <v>1.88</v>
      </c>
      <c r="D8" s="2">
        <v>20.43</v>
      </c>
      <c r="E8" s="2">
        <v>3.18</v>
      </c>
      <c r="F8" s="2">
        <v>4.28</v>
      </c>
      <c r="G8" s="2">
        <v>0.34</v>
      </c>
      <c r="H8" s="2">
        <v>1.98</v>
      </c>
      <c r="I8" s="2">
        <v>0.68</v>
      </c>
      <c r="J8" s="2">
        <v>1.37</v>
      </c>
      <c r="K8" s="2">
        <v>0.91</v>
      </c>
      <c r="L8" s="2">
        <v>1.03</v>
      </c>
      <c r="M8" s="2">
        <v>1.51</v>
      </c>
      <c r="N8" s="2">
        <v>0.51</v>
      </c>
      <c r="O8" s="2">
        <v>14.52</v>
      </c>
      <c r="P8" s="2">
        <v>0.51</v>
      </c>
      <c r="Q8" s="2">
        <v>0.3</v>
      </c>
      <c r="R8" s="2">
        <v>0.57999999999999996</v>
      </c>
      <c r="S8" s="2">
        <v>3.6</v>
      </c>
      <c r="T8" s="2">
        <v>1.1000000000000001</v>
      </c>
      <c r="U8" s="2">
        <v>2.5099999999999998</v>
      </c>
    </row>
    <row r="9" spans="1:21" x14ac:dyDescent="0.25">
      <c r="A9">
        <f t="shared" si="0"/>
        <v>1907</v>
      </c>
      <c r="B9" s="2">
        <v>5.82</v>
      </c>
      <c r="C9" s="2">
        <v>1.9</v>
      </c>
      <c r="D9" s="2">
        <v>20.86</v>
      </c>
      <c r="E9" s="2">
        <v>3.21</v>
      </c>
      <c r="F9" s="2">
        <v>4.41</v>
      </c>
      <c r="G9" s="2">
        <v>0.35</v>
      </c>
      <c r="H9" s="2">
        <v>2.0299999999999998</v>
      </c>
      <c r="I9" s="2">
        <v>0.7</v>
      </c>
      <c r="J9" s="2">
        <v>1.38</v>
      </c>
      <c r="K9" s="2">
        <v>0.93</v>
      </c>
      <c r="L9" s="2">
        <v>1.05</v>
      </c>
      <c r="M9" s="2">
        <v>1.56</v>
      </c>
      <c r="N9" s="2">
        <v>0.52</v>
      </c>
      <c r="O9" s="2">
        <v>14.68</v>
      </c>
      <c r="P9" s="2">
        <v>0.52</v>
      </c>
      <c r="Q9" s="2">
        <v>0.31</v>
      </c>
      <c r="R9" s="2">
        <v>0.59</v>
      </c>
      <c r="S9" s="2">
        <v>3.7</v>
      </c>
      <c r="T9" s="2">
        <v>1.1399999999999999</v>
      </c>
      <c r="U9" s="2">
        <v>2.5299999999999998</v>
      </c>
    </row>
    <row r="10" spans="1:21" x14ac:dyDescent="0.25">
      <c r="A10">
        <f t="shared" si="0"/>
        <v>1908</v>
      </c>
      <c r="B10" s="2">
        <v>6.15</v>
      </c>
      <c r="C10" s="2">
        <v>1.91</v>
      </c>
      <c r="D10" s="2">
        <v>21.3</v>
      </c>
      <c r="E10" s="2">
        <v>3.25</v>
      </c>
      <c r="F10" s="2">
        <v>4.54</v>
      </c>
      <c r="G10" s="2">
        <v>0.35</v>
      </c>
      <c r="H10" s="2">
        <v>2.09</v>
      </c>
      <c r="I10" s="2">
        <v>0.71</v>
      </c>
      <c r="J10" s="2">
        <v>1.4</v>
      </c>
      <c r="K10" s="2">
        <v>0.95</v>
      </c>
      <c r="L10" s="2">
        <v>1.06</v>
      </c>
      <c r="M10" s="2">
        <v>1.56</v>
      </c>
      <c r="N10" s="2">
        <v>0.53</v>
      </c>
      <c r="O10" s="2">
        <v>14.84</v>
      </c>
      <c r="P10" s="2">
        <v>0.52</v>
      </c>
      <c r="Q10" s="2">
        <v>0.32</v>
      </c>
      <c r="R10" s="2">
        <v>0.6</v>
      </c>
      <c r="S10" s="2">
        <v>3.8</v>
      </c>
      <c r="T10" s="2">
        <v>1.05</v>
      </c>
      <c r="U10" s="2">
        <v>2.5499999999999998</v>
      </c>
    </row>
    <row r="11" spans="1:21" x14ac:dyDescent="0.25">
      <c r="A11">
        <f t="shared" si="0"/>
        <v>1909</v>
      </c>
      <c r="B11" s="2">
        <v>6.43</v>
      </c>
      <c r="C11" s="2">
        <v>1.93</v>
      </c>
      <c r="D11" s="2">
        <v>21.75</v>
      </c>
      <c r="E11" s="2">
        <v>3.29</v>
      </c>
      <c r="F11" s="2">
        <v>4.67</v>
      </c>
      <c r="G11" s="2">
        <v>0.36</v>
      </c>
      <c r="H11" s="2">
        <v>2.15</v>
      </c>
      <c r="I11" s="2">
        <v>0.73</v>
      </c>
      <c r="J11" s="2">
        <v>1.41</v>
      </c>
      <c r="K11" s="2">
        <v>0.97</v>
      </c>
      <c r="L11" s="2">
        <v>1.08</v>
      </c>
      <c r="M11" s="2">
        <v>1.64</v>
      </c>
      <c r="N11" s="2">
        <v>0.54</v>
      </c>
      <c r="O11" s="2">
        <v>15</v>
      </c>
      <c r="P11" s="2">
        <v>0.53</v>
      </c>
      <c r="Q11" s="2">
        <v>0.33</v>
      </c>
      <c r="R11" s="2">
        <v>0.61</v>
      </c>
      <c r="S11" s="2">
        <v>3.9</v>
      </c>
      <c r="T11" s="2">
        <v>1.1000000000000001</v>
      </c>
      <c r="U11" s="2">
        <v>2.57</v>
      </c>
    </row>
    <row r="12" spans="1:21" x14ac:dyDescent="0.25">
      <c r="A12">
        <f t="shared" si="0"/>
        <v>1910</v>
      </c>
      <c r="B12" s="2">
        <v>6.8</v>
      </c>
      <c r="C12" s="2">
        <v>1.95</v>
      </c>
      <c r="D12" s="2">
        <v>22.22</v>
      </c>
      <c r="E12" s="2">
        <v>3.34</v>
      </c>
      <c r="F12" s="2">
        <v>4.8099999999999996</v>
      </c>
      <c r="G12" s="2">
        <v>0.36</v>
      </c>
      <c r="H12" s="2">
        <v>2.2200000000000002</v>
      </c>
      <c r="I12" s="2">
        <v>0.74</v>
      </c>
      <c r="J12" s="2">
        <v>1.42</v>
      </c>
      <c r="K12" s="2">
        <v>0.99</v>
      </c>
      <c r="L12" s="2">
        <v>1.1000000000000001</v>
      </c>
      <c r="M12" s="2">
        <v>1.69</v>
      </c>
      <c r="N12" s="2">
        <v>0.55000000000000004</v>
      </c>
      <c r="O12" s="2">
        <v>15.16</v>
      </c>
      <c r="P12" s="2">
        <v>0.54</v>
      </c>
      <c r="Q12" s="2">
        <v>0.33</v>
      </c>
      <c r="R12" s="2">
        <v>0.62</v>
      </c>
      <c r="S12" s="2">
        <v>4</v>
      </c>
      <c r="T12" s="2">
        <v>1.1299999999999999</v>
      </c>
      <c r="U12" s="2">
        <v>2.6</v>
      </c>
    </row>
    <row r="13" spans="1:21" x14ac:dyDescent="0.25">
      <c r="A13">
        <f t="shared" si="0"/>
        <v>1911</v>
      </c>
      <c r="B13" s="2">
        <v>7.07</v>
      </c>
      <c r="C13" s="2">
        <v>1.97</v>
      </c>
      <c r="D13" s="2">
        <v>22.69</v>
      </c>
      <c r="E13" s="2">
        <v>3.38</v>
      </c>
      <c r="F13" s="2">
        <v>4.9400000000000004</v>
      </c>
      <c r="G13" s="2">
        <v>0.37</v>
      </c>
      <c r="H13" s="2">
        <v>2.29</v>
      </c>
      <c r="I13" s="2">
        <v>0.75</v>
      </c>
      <c r="J13" s="2">
        <v>1.43</v>
      </c>
      <c r="K13" s="2">
        <v>1</v>
      </c>
      <c r="L13" s="2">
        <v>1.1200000000000001</v>
      </c>
      <c r="M13" s="2">
        <v>1.73</v>
      </c>
      <c r="N13" s="2">
        <v>0.56000000000000005</v>
      </c>
      <c r="O13" s="2">
        <v>15.33</v>
      </c>
      <c r="P13" s="2">
        <v>0.55000000000000004</v>
      </c>
      <c r="Q13" s="2">
        <v>0.34</v>
      </c>
      <c r="R13" s="2">
        <v>0.63</v>
      </c>
      <c r="S13" s="2">
        <v>4.0999999999999996</v>
      </c>
      <c r="T13" s="2">
        <v>1.18</v>
      </c>
      <c r="U13" s="2">
        <v>2.61</v>
      </c>
    </row>
    <row r="14" spans="1:21" x14ac:dyDescent="0.25">
      <c r="A14">
        <f t="shared" si="0"/>
        <v>1912</v>
      </c>
      <c r="B14" s="2">
        <v>7.47</v>
      </c>
      <c r="C14" s="2">
        <v>1.98</v>
      </c>
      <c r="D14" s="2">
        <v>23.17</v>
      </c>
      <c r="E14" s="2">
        <v>3.42</v>
      </c>
      <c r="F14" s="2">
        <v>5.07</v>
      </c>
      <c r="G14" s="2">
        <v>0.38</v>
      </c>
      <c r="H14" s="2">
        <v>2.36</v>
      </c>
      <c r="I14" s="2">
        <v>0.77</v>
      </c>
      <c r="J14" s="2">
        <v>1.45</v>
      </c>
      <c r="K14" s="2">
        <v>1.02</v>
      </c>
      <c r="L14" s="2">
        <v>1.1399999999999999</v>
      </c>
      <c r="M14" s="2">
        <v>1.77</v>
      </c>
      <c r="N14" s="2">
        <v>0.56999999999999995</v>
      </c>
      <c r="O14" s="2">
        <v>15.51</v>
      </c>
      <c r="P14" s="2">
        <v>0.56000000000000005</v>
      </c>
      <c r="Q14" s="2">
        <v>0.35</v>
      </c>
      <c r="R14" s="2">
        <v>0.64</v>
      </c>
      <c r="S14" s="2">
        <v>4.1900000000000004</v>
      </c>
      <c r="T14" s="2">
        <v>1.23</v>
      </c>
      <c r="U14" s="2">
        <v>2.64</v>
      </c>
    </row>
    <row r="15" spans="1:21" x14ac:dyDescent="0.25">
      <c r="A15">
        <f t="shared" si="0"/>
        <v>1913</v>
      </c>
      <c r="B15" s="2">
        <v>7.84</v>
      </c>
      <c r="C15" s="2">
        <v>2.0099999999999998</v>
      </c>
      <c r="D15" s="2">
        <v>23.66</v>
      </c>
      <c r="E15" s="2">
        <v>3.47</v>
      </c>
      <c r="F15" s="2">
        <v>5.19</v>
      </c>
      <c r="G15" s="2">
        <v>0.38</v>
      </c>
      <c r="H15" s="2">
        <v>2.41</v>
      </c>
      <c r="I15" s="2">
        <v>0.78</v>
      </c>
      <c r="J15" s="2">
        <v>1.46</v>
      </c>
      <c r="K15" s="2">
        <v>1.04</v>
      </c>
      <c r="L15" s="2">
        <v>1.17</v>
      </c>
      <c r="M15" s="2">
        <v>1.82</v>
      </c>
      <c r="N15" s="2">
        <v>0.57999999999999996</v>
      </c>
      <c r="O15" s="2">
        <v>15.37</v>
      </c>
      <c r="P15" s="2">
        <v>0.56999999999999995</v>
      </c>
      <c r="Q15" s="2">
        <v>0.36</v>
      </c>
      <c r="R15" s="2">
        <v>0.65</v>
      </c>
      <c r="S15" s="2">
        <v>4.2699999999999996</v>
      </c>
      <c r="T15" s="2">
        <v>1.28</v>
      </c>
      <c r="U15" s="2">
        <v>2.66</v>
      </c>
    </row>
    <row r="16" spans="1:21" x14ac:dyDescent="0.25">
      <c r="A16">
        <f t="shared" si="0"/>
        <v>1914</v>
      </c>
      <c r="B16" s="2">
        <v>8</v>
      </c>
      <c r="C16" s="2">
        <v>2.0299999999999998</v>
      </c>
      <c r="D16" s="2">
        <v>24.16</v>
      </c>
      <c r="E16" s="2">
        <v>3.51</v>
      </c>
      <c r="F16" s="2">
        <v>5.32</v>
      </c>
      <c r="G16" s="2">
        <v>0.39</v>
      </c>
      <c r="H16" s="2">
        <v>2.5099999999999998</v>
      </c>
      <c r="I16" s="2">
        <v>0.8</v>
      </c>
      <c r="J16" s="2">
        <v>1.47</v>
      </c>
      <c r="K16" s="2">
        <v>1.06</v>
      </c>
      <c r="L16" s="2">
        <v>1.18</v>
      </c>
      <c r="M16" s="2">
        <v>1.86</v>
      </c>
      <c r="N16" s="2">
        <v>0.59</v>
      </c>
      <c r="O16" s="2">
        <v>15.09</v>
      </c>
      <c r="P16" s="2">
        <v>0.57999999999999996</v>
      </c>
      <c r="Q16" s="2">
        <v>0.38</v>
      </c>
      <c r="R16" s="2">
        <v>0.66</v>
      </c>
      <c r="S16" s="2">
        <v>4.3499999999999996</v>
      </c>
      <c r="T16" s="2">
        <v>1.32</v>
      </c>
      <c r="U16" s="2">
        <v>2.68</v>
      </c>
    </row>
    <row r="17" spans="1:21" x14ac:dyDescent="0.25">
      <c r="A17">
        <f t="shared" si="0"/>
        <v>1915</v>
      </c>
      <c r="B17" s="2">
        <v>8.15</v>
      </c>
      <c r="C17" s="2">
        <v>2.04</v>
      </c>
      <c r="D17" s="2">
        <v>24.67</v>
      </c>
      <c r="E17" s="2">
        <v>3.55</v>
      </c>
      <c r="F17" s="2">
        <v>5.45</v>
      </c>
      <c r="G17" s="2">
        <v>0.39</v>
      </c>
      <c r="H17" s="2">
        <v>2.59</v>
      </c>
      <c r="I17" s="2">
        <v>0.81</v>
      </c>
      <c r="J17" s="2">
        <v>1.48</v>
      </c>
      <c r="K17" s="2">
        <v>1.07</v>
      </c>
      <c r="L17" s="2">
        <v>1.2</v>
      </c>
      <c r="M17" s="2">
        <v>1.91</v>
      </c>
      <c r="N17" s="2">
        <v>0.6</v>
      </c>
      <c r="O17" s="2">
        <v>14.64</v>
      </c>
      <c r="P17" s="2">
        <v>0.59</v>
      </c>
      <c r="Q17" s="2">
        <v>0.39</v>
      </c>
      <c r="R17" s="2">
        <v>0.66</v>
      </c>
      <c r="S17" s="2">
        <v>4.43</v>
      </c>
      <c r="T17" s="2">
        <v>1.35</v>
      </c>
      <c r="U17" s="2">
        <v>2.71</v>
      </c>
    </row>
    <row r="18" spans="1:21" x14ac:dyDescent="0.25">
      <c r="A18">
        <f t="shared" si="0"/>
        <v>1916</v>
      </c>
      <c r="B18" s="2">
        <v>8.3000000000000007</v>
      </c>
      <c r="C18" s="2">
        <v>2.06</v>
      </c>
      <c r="D18" s="2">
        <v>25.2</v>
      </c>
      <c r="E18" s="2">
        <v>3.6</v>
      </c>
      <c r="F18" s="2">
        <v>5.58</v>
      </c>
      <c r="G18" s="2">
        <v>0.4</v>
      </c>
      <c r="H18" s="2">
        <v>2.66</v>
      </c>
      <c r="I18" s="2">
        <v>0.82</v>
      </c>
      <c r="J18" s="2">
        <v>1.49</v>
      </c>
      <c r="K18" s="2">
        <v>1.1000000000000001</v>
      </c>
      <c r="L18" s="2">
        <v>1.21</v>
      </c>
      <c r="M18" s="2">
        <v>1.95</v>
      </c>
      <c r="N18" s="2">
        <v>0.61</v>
      </c>
      <c r="O18" s="2">
        <v>14.03</v>
      </c>
      <c r="P18" s="2">
        <v>0.6</v>
      </c>
      <c r="Q18" s="2">
        <v>0.4</v>
      </c>
      <c r="R18" s="2">
        <v>0.67</v>
      </c>
      <c r="S18" s="2">
        <v>4.51</v>
      </c>
      <c r="T18" s="2">
        <v>1.38</v>
      </c>
      <c r="U18" s="2">
        <v>2.73</v>
      </c>
    </row>
    <row r="19" spans="1:21" x14ac:dyDescent="0.25">
      <c r="A19">
        <f t="shared" si="0"/>
        <v>1917</v>
      </c>
      <c r="B19" s="2">
        <v>8.4499999999999993</v>
      </c>
      <c r="C19" s="2">
        <v>2.08</v>
      </c>
      <c r="D19" s="2">
        <v>25.73</v>
      </c>
      <c r="E19" s="2">
        <v>3.64</v>
      </c>
      <c r="F19" s="2">
        <v>5.72</v>
      </c>
      <c r="G19" s="2">
        <v>0.4</v>
      </c>
      <c r="H19" s="2">
        <v>2.75</v>
      </c>
      <c r="I19" s="2">
        <v>0.84</v>
      </c>
      <c r="J19" s="2">
        <v>1.51</v>
      </c>
      <c r="K19" s="2">
        <v>1.1100000000000001</v>
      </c>
      <c r="L19" s="2">
        <v>1.23</v>
      </c>
      <c r="M19" s="2">
        <v>1.99</v>
      </c>
      <c r="N19" s="2">
        <v>0.63</v>
      </c>
      <c r="O19" s="2">
        <v>13.9</v>
      </c>
      <c r="P19" s="2">
        <v>0.61</v>
      </c>
      <c r="Q19" s="2">
        <v>0.41</v>
      </c>
      <c r="R19" s="2">
        <v>0.68</v>
      </c>
      <c r="S19" s="2">
        <v>4.59</v>
      </c>
      <c r="T19" s="2">
        <v>1.41</v>
      </c>
      <c r="U19" s="2">
        <v>2.75</v>
      </c>
    </row>
    <row r="20" spans="1:21" x14ac:dyDescent="0.25">
      <c r="A20">
        <f t="shared" si="0"/>
        <v>1918</v>
      </c>
      <c r="B20" s="2">
        <v>8.6</v>
      </c>
      <c r="C20" s="2">
        <v>2.1</v>
      </c>
      <c r="D20" s="2">
        <v>26.28</v>
      </c>
      <c r="E20" s="2">
        <v>3.69</v>
      </c>
      <c r="F20" s="2">
        <v>5.86</v>
      </c>
      <c r="G20" s="2">
        <v>0.41</v>
      </c>
      <c r="H20" s="2">
        <v>2.83</v>
      </c>
      <c r="I20" s="2">
        <v>0.85</v>
      </c>
      <c r="J20" s="2">
        <v>1.52</v>
      </c>
      <c r="K20" s="2">
        <v>1.1299999999999999</v>
      </c>
      <c r="L20" s="2">
        <v>1.24</v>
      </c>
      <c r="M20" s="2">
        <v>2.04</v>
      </c>
      <c r="N20" s="2">
        <v>0.66</v>
      </c>
      <c r="O20" s="2">
        <v>14</v>
      </c>
      <c r="P20" s="2">
        <v>0.62</v>
      </c>
      <c r="Q20" s="2">
        <v>0.43</v>
      </c>
      <c r="R20" s="2">
        <v>0.69</v>
      </c>
      <c r="S20" s="2">
        <v>4.67</v>
      </c>
      <c r="T20" s="2">
        <v>1.43</v>
      </c>
      <c r="U20" s="2">
        <v>2.77</v>
      </c>
    </row>
    <row r="21" spans="1:21" x14ac:dyDescent="0.25">
      <c r="A21">
        <f t="shared" si="0"/>
        <v>1919</v>
      </c>
      <c r="B21" s="2">
        <v>8.75</v>
      </c>
      <c r="C21" s="2">
        <v>2.12</v>
      </c>
      <c r="D21" s="2">
        <v>26.84</v>
      </c>
      <c r="E21" s="2">
        <v>3.74</v>
      </c>
      <c r="F21" s="2">
        <v>6.03</v>
      </c>
      <c r="G21" s="2">
        <v>0.42</v>
      </c>
      <c r="H21" s="2">
        <v>2.91</v>
      </c>
      <c r="I21" s="2">
        <v>0.87</v>
      </c>
      <c r="J21" s="2">
        <v>1.53</v>
      </c>
      <c r="K21" s="2">
        <v>1.1499999999999999</v>
      </c>
      <c r="L21" s="2">
        <v>1.26</v>
      </c>
      <c r="M21" s="2">
        <v>2.08</v>
      </c>
      <c r="N21" s="2">
        <v>0.69</v>
      </c>
      <c r="O21" s="2">
        <v>14.15</v>
      </c>
      <c r="P21" s="2">
        <v>0.63</v>
      </c>
      <c r="Q21" s="2">
        <v>0.44</v>
      </c>
      <c r="R21" s="2">
        <v>0.69</v>
      </c>
      <c r="S21" s="2">
        <v>4.75</v>
      </c>
      <c r="T21" s="2">
        <v>1.46</v>
      </c>
      <c r="U21" s="2">
        <v>2.79</v>
      </c>
    </row>
    <row r="22" spans="1:21" x14ac:dyDescent="0.25">
      <c r="A22">
        <f t="shared" si="0"/>
        <v>1920</v>
      </c>
      <c r="B22" s="2">
        <v>8.9700000000000006</v>
      </c>
      <c r="C22" s="2">
        <v>2.14</v>
      </c>
      <c r="D22" s="2">
        <v>27.4</v>
      </c>
      <c r="E22" s="2">
        <v>3.79</v>
      </c>
      <c r="F22" s="2">
        <v>6.09</v>
      </c>
      <c r="G22" s="2">
        <v>0.42</v>
      </c>
      <c r="H22" s="2">
        <v>3</v>
      </c>
      <c r="I22" s="2">
        <v>0.88</v>
      </c>
      <c r="J22" s="2">
        <v>1.54</v>
      </c>
      <c r="K22" s="2">
        <v>1.17</v>
      </c>
      <c r="L22" s="2">
        <v>1.27</v>
      </c>
      <c r="M22" s="2">
        <v>2.12</v>
      </c>
      <c r="N22" s="2">
        <v>0.72</v>
      </c>
      <c r="O22" s="2">
        <v>14.15</v>
      </c>
      <c r="P22" s="2">
        <v>0.64</v>
      </c>
      <c r="Q22" s="2">
        <v>0.45</v>
      </c>
      <c r="R22" s="2">
        <v>0.7</v>
      </c>
      <c r="S22" s="2">
        <v>4.83</v>
      </c>
      <c r="T22" s="2">
        <v>1.48</v>
      </c>
      <c r="U22" s="2">
        <v>2.82</v>
      </c>
    </row>
    <row r="23" spans="1:21" x14ac:dyDescent="0.25">
      <c r="A23">
        <f t="shared" si="0"/>
        <v>1921</v>
      </c>
      <c r="B23" s="2">
        <v>9.2200000000000006</v>
      </c>
      <c r="C23" s="2">
        <v>2.16</v>
      </c>
      <c r="D23" s="2">
        <v>27.97</v>
      </c>
      <c r="E23" s="2">
        <v>3.85</v>
      </c>
      <c r="F23" s="2">
        <v>6.21</v>
      </c>
      <c r="G23" s="2">
        <v>0.43</v>
      </c>
      <c r="H23" s="2">
        <v>3.08</v>
      </c>
      <c r="I23" s="2">
        <v>0.91</v>
      </c>
      <c r="J23" s="2">
        <v>1.57</v>
      </c>
      <c r="K23" s="2">
        <v>1.19</v>
      </c>
      <c r="L23" s="2">
        <v>1.32</v>
      </c>
      <c r="M23" s="2">
        <v>2.15</v>
      </c>
      <c r="N23" s="2">
        <v>0.74</v>
      </c>
      <c r="O23" s="2">
        <v>14.34</v>
      </c>
      <c r="P23" s="2">
        <v>0.64</v>
      </c>
      <c r="Q23" s="2">
        <v>0.45</v>
      </c>
      <c r="R23" s="2">
        <v>0.72</v>
      </c>
      <c r="S23" s="2">
        <v>4.91</v>
      </c>
      <c r="T23" s="2">
        <v>1.5</v>
      </c>
      <c r="U23" s="2">
        <v>2.84</v>
      </c>
    </row>
    <row r="24" spans="1:21" x14ac:dyDescent="0.25">
      <c r="A24">
        <f t="shared" si="0"/>
        <v>1922</v>
      </c>
      <c r="B24" s="2">
        <v>9.52</v>
      </c>
      <c r="C24" s="2">
        <v>2.19</v>
      </c>
      <c r="D24" s="2">
        <v>28.54</v>
      </c>
      <c r="E24" s="2">
        <v>3.91</v>
      </c>
      <c r="F24" s="20">
        <v>6.34</v>
      </c>
      <c r="G24" s="2">
        <v>0.43</v>
      </c>
      <c r="H24" s="2">
        <v>3.17</v>
      </c>
      <c r="I24" s="2">
        <v>0.95</v>
      </c>
      <c r="J24" s="2">
        <v>1.61</v>
      </c>
      <c r="K24" s="2">
        <v>1.22</v>
      </c>
      <c r="L24" s="2">
        <v>1.37</v>
      </c>
      <c r="M24" s="2">
        <v>2.1800000000000002</v>
      </c>
      <c r="N24" s="2">
        <v>0.77</v>
      </c>
      <c r="O24" s="2">
        <v>14.44</v>
      </c>
      <c r="P24" s="2">
        <v>0.65</v>
      </c>
      <c r="Q24" s="2">
        <v>0.45</v>
      </c>
      <c r="R24" s="2">
        <v>0.73</v>
      </c>
      <c r="S24" s="2">
        <v>4.99</v>
      </c>
      <c r="T24" s="2">
        <v>1.52</v>
      </c>
      <c r="U24" s="2">
        <v>2.87</v>
      </c>
    </row>
    <row r="25" spans="1:21" x14ac:dyDescent="0.25">
      <c r="A25">
        <f t="shared" si="0"/>
        <v>1923</v>
      </c>
      <c r="B25" s="2">
        <v>9.89</v>
      </c>
      <c r="C25" s="2">
        <v>2.21</v>
      </c>
      <c r="D25" s="2">
        <v>29.13</v>
      </c>
      <c r="E25" s="2">
        <v>3.96</v>
      </c>
      <c r="F25" s="2">
        <v>6.46</v>
      </c>
      <c r="G25" s="2">
        <v>0.44</v>
      </c>
      <c r="H25" s="2">
        <v>3.26</v>
      </c>
      <c r="I25" s="2">
        <v>0.98</v>
      </c>
      <c r="J25" s="2">
        <v>1.65</v>
      </c>
      <c r="K25" s="2">
        <v>1.24</v>
      </c>
      <c r="L25" s="2">
        <v>1.42</v>
      </c>
      <c r="M25" s="2">
        <v>2.21</v>
      </c>
      <c r="N25" s="2">
        <v>0.8</v>
      </c>
      <c r="O25" s="2">
        <v>14.69</v>
      </c>
      <c r="P25" s="2">
        <v>0.65</v>
      </c>
      <c r="Q25" s="2">
        <v>0.45</v>
      </c>
      <c r="R25" s="2">
        <v>0.75</v>
      </c>
      <c r="S25" s="2">
        <v>5.07</v>
      </c>
      <c r="T25" s="2">
        <v>1.54</v>
      </c>
      <c r="U25" s="2">
        <v>2.9</v>
      </c>
    </row>
    <row r="26" spans="1:21" x14ac:dyDescent="0.25">
      <c r="A26">
        <f t="shared" si="0"/>
        <v>1924</v>
      </c>
      <c r="B26" s="2">
        <v>10.220000000000001</v>
      </c>
      <c r="C26" s="2">
        <v>2.2400000000000002</v>
      </c>
      <c r="D26" s="2">
        <v>29.72</v>
      </c>
      <c r="E26" s="2">
        <v>4.0199999999999996</v>
      </c>
      <c r="F26" s="2">
        <v>6.59</v>
      </c>
      <c r="G26" s="2">
        <v>0.45</v>
      </c>
      <c r="H26" s="2">
        <v>3.35</v>
      </c>
      <c r="I26" s="2">
        <v>1.02</v>
      </c>
      <c r="J26" s="2">
        <v>1.69</v>
      </c>
      <c r="K26" s="2">
        <v>1.27</v>
      </c>
      <c r="L26" s="2">
        <v>1.47</v>
      </c>
      <c r="M26" s="2">
        <v>2.23</v>
      </c>
      <c r="N26" s="2">
        <v>0.82</v>
      </c>
      <c r="O26" s="2">
        <v>14.95</v>
      </c>
      <c r="P26" s="2">
        <v>0.66</v>
      </c>
      <c r="Q26" s="2">
        <v>0.46</v>
      </c>
      <c r="R26" s="2">
        <v>0.77</v>
      </c>
      <c r="S26" s="2">
        <v>5.15</v>
      </c>
      <c r="T26" s="2">
        <v>1.55</v>
      </c>
      <c r="U26" s="2">
        <v>2.93</v>
      </c>
    </row>
    <row r="27" spans="1:21" x14ac:dyDescent="0.25">
      <c r="A27">
        <f t="shared" si="0"/>
        <v>1925</v>
      </c>
      <c r="B27" s="2">
        <v>10.5</v>
      </c>
      <c r="C27" s="2">
        <v>2.2599999999999998</v>
      </c>
      <c r="D27" s="2">
        <v>30.33</v>
      </c>
      <c r="E27" s="2">
        <v>4.07</v>
      </c>
      <c r="F27" s="2">
        <v>6.72</v>
      </c>
      <c r="G27" s="2">
        <v>0.46</v>
      </c>
      <c r="H27" s="2">
        <v>3.43</v>
      </c>
      <c r="I27" s="2">
        <v>1.05</v>
      </c>
      <c r="J27" s="2">
        <v>1.72</v>
      </c>
      <c r="K27" s="2">
        <v>1.3</v>
      </c>
      <c r="L27" s="2">
        <v>1.51</v>
      </c>
      <c r="M27" s="2">
        <v>2.2599999999999998</v>
      </c>
      <c r="N27" s="2">
        <v>0.85</v>
      </c>
      <c r="O27" s="2">
        <v>15.2</v>
      </c>
      <c r="P27" s="2">
        <v>0.66</v>
      </c>
      <c r="Q27" s="2">
        <v>0.46</v>
      </c>
      <c r="R27" s="2">
        <v>0.79</v>
      </c>
      <c r="S27" s="2">
        <v>5.23</v>
      </c>
      <c r="T27" s="2">
        <v>1.57</v>
      </c>
      <c r="U27" s="2">
        <v>2.95</v>
      </c>
    </row>
    <row r="28" spans="1:21" x14ac:dyDescent="0.25">
      <c r="A28">
        <f t="shared" si="0"/>
        <v>1926</v>
      </c>
      <c r="B28" s="2">
        <v>10.8</v>
      </c>
      <c r="C28" s="2">
        <v>2.29</v>
      </c>
      <c r="D28" s="2">
        <v>30.95</v>
      </c>
      <c r="E28" s="2">
        <v>4.13</v>
      </c>
      <c r="F28" s="2">
        <v>6.86</v>
      </c>
      <c r="G28" s="2">
        <v>0.47</v>
      </c>
      <c r="H28" s="2">
        <v>3.52</v>
      </c>
      <c r="I28" s="2">
        <v>1.0900000000000001</v>
      </c>
      <c r="J28" s="2">
        <v>1.76</v>
      </c>
      <c r="K28" s="2">
        <v>1.33</v>
      </c>
      <c r="L28" s="2">
        <v>1.56</v>
      </c>
      <c r="M28" s="2">
        <v>2.29</v>
      </c>
      <c r="N28" s="2">
        <v>0.88</v>
      </c>
      <c r="O28" s="2">
        <v>15.47</v>
      </c>
      <c r="P28" s="2">
        <v>0.67</v>
      </c>
      <c r="Q28" s="2">
        <v>0.46</v>
      </c>
      <c r="R28" s="2">
        <v>0.8</v>
      </c>
      <c r="S28" s="2">
        <v>5.31</v>
      </c>
      <c r="T28" s="2">
        <v>1.6</v>
      </c>
      <c r="U28" s="2">
        <v>2.98</v>
      </c>
    </row>
    <row r="29" spans="1:21" x14ac:dyDescent="0.25">
      <c r="A29">
        <f t="shared" si="0"/>
        <v>1927</v>
      </c>
      <c r="B29" s="2">
        <v>11.13</v>
      </c>
      <c r="C29" s="2">
        <v>2.3199999999999998</v>
      </c>
      <c r="D29" s="2">
        <v>31.59</v>
      </c>
      <c r="E29" s="2">
        <v>4.1900000000000004</v>
      </c>
      <c r="F29" s="2">
        <v>7</v>
      </c>
      <c r="G29" s="2">
        <v>0.47</v>
      </c>
      <c r="H29" s="2">
        <v>3.61</v>
      </c>
      <c r="I29" s="2">
        <v>1.1299999999999999</v>
      </c>
      <c r="J29" s="2">
        <v>1.8</v>
      </c>
      <c r="K29" s="2">
        <v>1.35</v>
      </c>
      <c r="L29" s="2">
        <v>1.6</v>
      </c>
      <c r="M29" s="2">
        <v>2.33</v>
      </c>
      <c r="N29" s="2">
        <v>0.89</v>
      </c>
      <c r="O29" s="2">
        <v>15.74</v>
      </c>
      <c r="P29" s="2">
        <v>0.67</v>
      </c>
      <c r="Q29" s="2">
        <v>0.46</v>
      </c>
      <c r="R29" s="2">
        <v>0.82</v>
      </c>
      <c r="S29" s="2">
        <v>5.4</v>
      </c>
      <c r="T29" s="2">
        <v>1.63</v>
      </c>
      <c r="U29" s="2">
        <v>3.01</v>
      </c>
    </row>
    <row r="30" spans="1:21" x14ac:dyDescent="0.25">
      <c r="A30">
        <f t="shared" si="0"/>
        <v>1928</v>
      </c>
      <c r="B30" s="2">
        <v>11.44</v>
      </c>
      <c r="C30" s="2">
        <v>2.34</v>
      </c>
      <c r="D30" s="2">
        <v>32.229999999999997</v>
      </c>
      <c r="E30" s="2">
        <v>4.25</v>
      </c>
      <c r="F30" s="2">
        <v>7.14</v>
      </c>
      <c r="G30" s="2">
        <v>0.48</v>
      </c>
      <c r="H30" s="2">
        <v>3.51</v>
      </c>
      <c r="I30" s="2">
        <v>1.17</v>
      </c>
      <c r="J30" s="2">
        <v>1.84</v>
      </c>
      <c r="K30" s="2">
        <v>1.39</v>
      </c>
      <c r="L30" s="2">
        <v>1.66</v>
      </c>
      <c r="M30" s="2">
        <v>2.36</v>
      </c>
      <c r="N30" s="2">
        <v>0.91</v>
      </c>
      <c r="O30" s="2">
        <v>16.010000000000002</v>
      </c>
      <c r="P30" s="2">
        <v>0.67</v>
      </c>
      <c r="Q30" s="2">
        <v>0.46</v>
      </c>
      <c r="R30" s="2">
        <v>0.84</v>
      </c>
      <c r="S30" s="2">
        <v>5.48</v>
      </c>
      <c r="T30" s="2">
        <v>1.67</v>
      </c>
      <c r="U30" s="2">
        <v>3.04</v>
      </c>
    </row>
    <row r="31" spans="1:21" x14ac:dyDescent="0.25">
      <c r="A31">
        <f t="shared" si="0"/>
        <v>1929</v>
      </c>
      <c r="B31" s="2">
        <v>11.75</v>
      </c>
      <c r="C31" s="2">
        <v>2.37</v>
      </c>
      <c r="D31" s="2">
        <v>32.9</v>
      </c>
      <c r="E31" s="2">
        <v>4.3099999999999996</v>
      </c>
      <c r="F31" s="2">
        <v>7.28</v>
      </c>
      <c r="G31" s="2">
        <v>0.49</v>
      </c>
      <c r="H31" s="2">
        <v>3.58</v>
      </c>
      <c r="I31" s="2">
        <v>1.21</v>
      </c>
      <c r="J31" s="2">
        <v>1.9</v>
      </c>
      <c r="K31" s="2">
        <v>1.41</v>
      </c>
      <c r="L31" s="2">
        <v>1.71</v>
      </c>
      <c r="M31" s="2">
        <v>2.39</v>
      </c>
      <c r="N31" s="2">
        <v>0.93</v>
      </c>
      <c r="O31" s="2">
        <v>16.93</v>
      </c>
      <c r="P31" s="2">
        <v>0.68</v>
      </c>
      <c r="Q31" s="2">
        <v>0.47</v>
      </c>
      <c r="R31" s="2">
        <v>0.86</v>
      </c>
      <c r="S31" s="2">
        <v>5.57</v>
      </c>
      <c r="T31" s="2">
        <v>1.7</v>
      </c>
      <c r="U31" s="2">
        <v>3.08</v>
      </c>
    </row>
    <row r="32" spans="1:21" x14ac:dyDescent="0.25">
      <c r="A32">
        <f t="shared" si="0"/>
        <v>1930</v>
      </c>
      <c r="B32" s="2">
        <v>12.05</v>
      </c>
      <c r="C32" s="2">
        <v>2.4</v>
      </c>
      <c r="D32" s="2">
        <v>33.57</v>
      </c>
      <c r="E32" s="2">
        <v>4.37</v>
      </c>
      <c r="F32" s="2">
        <v>7.43</v>
      </c>
      <c r="G32" s="2">
        <v>0.5</v>
      </c>
      <c r="H32" s="2">
        <v>3.65</v>
      </c>
      <c r="I32" s="2">
        <v>1.26</v>
      </c>
      <c r="J32" s="2">
        <v>1.94</v>
      </c>
      <c r="K32" s="2">
        <v>1.44</v>
      </c>
      <c r="L32" s="2">
        <v>1.76</v>
      </c>
      <c r="M32" s="2">
        <v>2.42</v>
      </c>
      <c r="N32" s="2">
        <v>0.95</v>
      </c>
      <c r="O32" s="2">
        <v>16.55</v>
      </c>
      <c r="P32" s="2">
        <v>0.68</v>
      </c>
      <c r="Q32" s="2">
        <v>0.47</v>
      </c>
      <c r="R32" s="2">
        <v>0.88</v>
      </c>
      <c r="S32" s="2">
        <v>5.65</v>
      </c>
      <c r="T32" s="2">
        <v>1.73</v>
      </c>
      <c r="U32" s="2">
        <v>3.12</v>
      </c>
    </row>
    <row r="33" spans="1:21" x14ac:dyDescent="0.25">
      <c r="A33">
        <f t="shared" si="0"/>
        <v>1931</v>
      </c>
      <c r="B33" s="2">
        <v>12.29</v>
      </c>
      <c r="C33" s="2">
        <v>2.4300000000000002</v>
      </c>
      <c r="D33" s="2">
        <v>34.26</v>
      </c>
      <c r="E33" s="2">
        <v>4.43</v>
      </c>
      <c r="F33" s="2">
        <v>7.57</v>
      </c>
      <c r="G33" s="2">
        <v>0.51</v>
      </c>
      <c r="H33" s="2">
        <v>3.96</v>
      </c>
      <c r="I33" s="2">
        <v>1.3</v>
      </c>
      <c r="J33" s="2">
        <v>2</v>
      </c>
      <c r="K33" s="2">
        <v>1.46</v>
      </c>
      <c r="L33" s="2">
        <v>1.81</v>
      </c>
      <c r="M33" s="2">
        <v>2.46</v>
      </c>
      <c r="N33" s="2">
        <v>0.97</v>
      </c>
      <c r="O33" s="2">
        <v>16.88</v>
      </c>
      <c r="P33" s="2">
        <v>0.69</v>
      </c>
      <c r="Q33" s="2">
        <v>0.49</v>
      </c>
      <c r="R33" s="2">
        <v>0.9</v>
      </c>
      <c r="S33" s="2">
        <v>5.74</v>
      </c>
      <c r="T33" s="2">
        <v>1.76</v>
      </c>
      <c r="U33" s="2">
        <v>3.15</v>
      </c>
    </row>
    <row r="34" spans="1:21" x14ac:dyDescent="0.25">
      <c r="A34">
        <f t="shared" si="0"/>
        <v>1932</v>
      </c>
      <c r="B34" s="2">
        <v>12.52</v>
      </c>
      <c r="C34" s="2">
        <v>2.4500000000000002</v>
      </c>
      <c r="D34" s="2">
        <v>34.96</v>
      </c>
      <c r="E34" s="2">
        <v>4.5</v>
      </c>
      <c r="F34" s="2">
        <v>7.73</v>
      </c>
      <c r="G34" s="2">
        <v>0.52</v>
      </c>
      <c r="H34" s="2">
        <v>3.96</v>
      </c>
      <c r="I34" s="2">
        <v>1.35</v>
      </c>
      <c r="J34" s="2">
        <v>2.0499999999999998</v>
      </c>
      <c r="K34" s="2">
        <v>1.47</v>
      </c>
      <c r="L34" s="2">
        <v>1.86</v>
      </c>
      <c r="M34" s="2">
        <v>2.5</v>
      </c>
      <c r="N34" s="2">
        <v>0.99</v>
      </c>
      <c r="O34" s="2">
        <v>17.170000000000002</v>
      </c>
      <c r="P34" s="2">
        <v>0.69</v>
      </c>
      <c r="Q34" s="2">
        <v>0.5</v>
      </c>
      <c r="R34" s="2">
        <v>0.92</v>
      </c>
      <c r="S34" s="2">
        <v>5.84</v>
      </c>
      <c r="T34" s="2">
        <v>1.79</v>
      </c>
      <c r="U34" s="2">
        <v>3.19</v>
      </c>
    </row>
    <row r="35" spans="1:21" x14ac:dyDescent="0.25">
      <c r="A35">
        <f t="shared" si="0"/>
        <v>1933</v>
      </c>
      <c r="B35" s="2">
        <v>12.73</v>
      </c>
      <c r="C35" s="2">
        <v>2.48</v>
      </c>
      <c r="D35" s="2">
        <v>35.67</v>
      </c>
      <c r="E35" s="2">
        <v>4.5599999999999996</v>
      </c>
      <c r="F35" s="2">
        <v>7.88</v>
      </c>
      <c r="G35" s="2">
        <v>0.53</v>
      </c>
      <c r="H35" s="2">
        <v>3.96</v>
      </c>
      <c r="I35" s="2">
        <v>1.39</v>
      </c>
      <c r="J35" s="2">
        <v>2.1</v>
      </c>
      <c r="K35" s="2">
        <v>1.49</v>
      </c>
      <c r="L35" s="2">
        <v>1.91</v>
      </c>
      <c r="M35" s="2">
        <v>2.54</v>
      </c>
      <c r="N35" s="2">
        <v>1.01</v>
      </c>
      <c r="O35" s="2">
        <v>17.47</v>
      </c>
      <c r="P35" s="2">
        <v>0.7</v>
      </c>
      <c r="Q35" s="2">
        <v>0.52</v>
      </c>
      <c r="R35" s="2">
        <v>0.94</v>
      </c>
      <c r="S35" s="2">
        <v>5.94</v>
      </c>
      <c r="T35" s="2">
        <v>1.82</v>
      </c>
      <c r="U35" s="2">
        <v>3.23</v>
      </c>
    </row>
    <row r="36" spans="1:21" x14ac:dyDescent="0.25">
      <c r="A36">
        <f t="shared" si="0"/>
        <v>1934</v>
      </c>
      <c r="B36" s="2">
        <v>12.94</v>
      </c>
      <c r="C36" s="2">
        <v>2.5099999999999998</v>
      </c>
      <c r="D36" s="2">
        <v>36.4</v>
      </c>
      <c r="E36" s="2">
        <v>4.63</v>
      </c>
      <c r="F36" s="2">
        <v>8.0299999999999994</v>
      </c>
      <c r="G36" s="2">
        <v>0.54</v>
      </c>
      <c r="H36" s="2">
        <v>4.04</v>
      </c>
      <c r="I36" s="2">
        <v>1.44</v>
      </c>
      <c r="J36" s="2">
        <v>2.14</v>
      </c>
      <c r="K36" s="2">
        <v>1.51</v>
      </c>
      <c r="L36" s="2">
        <v>1.94</v>
      </c>
      <c r="M36" s="2">
        <v>2.57</v>
      </c>
      <c r="N36" s="2">
        <v>1.02</v>
      </c>
      <c r="O36" s="2">
        <v>17.78</v>
      </c>
      <c r="P36" s="2">
        <v>0.71</v>
      </c>
      <c r="Q36" s="2">
        <v>0.53</v>
      </c>
      <c r="R36" s="2">
        <v>0.97</v>
      </c>
      <c r="S36" s="2">
        <v>6.04</v>
      </c>
      <c r="T36" s="2">
        <v>1.84</v>
      </c>
      <c r="U36" s="2">
        <v>3.26</v>
      </c>
    </row>
    <row r="37" spans="1:21" x14ac:dyDescent="0.25">
      <c r="A37">
        <f t="shared" si="0"/>
        <v>1935</v>
      </c>
      <c r="B37" s="2">
        <v>13.15</v>
      </c>
      <c r="C37" s="2">
        <v>2.54</v>
      </c>
      <c r="D37" s="2">
        <v>37.15</v>
      </c>
      <c r="E37" s="2">
        <v>4.7</v>
      </c>
      <c r="F37" s="2">
        <v>8.1999999999999993</v>
      </c>
      <c r="G37" s="2">
        <v>0.55000000000000004</v>
      </c>
      <c r="H37" s="2">
        <v>4.07</v>
      </c>
      <c r="I37" s="2">
        <v>1.48</v>
      </c>
      <c r="J37" s="2">
        <v>2.2000000000000002</v>
      </c>
      <c r="K37" s="2">
        <v>1.53</v>
      </c>
      <c r="L37" s="2">
        <v>1.98</v>
      </c>
      <c r="M37" s="2">
        <v>2.61</v>
      </c>
      <c r="N37" s="2">
        <v>1.04</v>
      </c>
      <c r="O37" s="2">
        <v>18.09</v>
      </c>
      <c r="P37" s="2">
        <v>0.73</v>
      </c>
      <c r="Q37" s="2">
        <v>0.55000000000000004</v>
      </c>
      <c r="R37" s="2">
        <v>0.99</v>
      </c>
      <c r="S37" s="2">
        <v>6.13</v>
      </c>
      <c r="T37" s="2">
        <v>1.87</v>
      </c>
      <c r="U37" s="2">
        <v>3.3</v>
      </c>
    </row>
    <row r="38" spans="1:21" x14ac:dyDescent="0.25">
      <c r="A38">
        <f t="shared" si="0"/>
        <v>1936</v>
      </c>
      <c r="B38" s="2">
        <v>13.37</v>
      </c>
      <c r="C38" s="2">
        <v>2.57</v>
      </c>
      <c r="D38" s="2">
        <v>37.909999999999997</v>
      </c>
      <c r="E38" s="2">
        <v>4.7699999999999996</v>
      </c>
      <c r="F38" s="2">
        <v>8.36</v>
      </c>
      <c r="G38" s="2">
        <v>0.56000000000000005</v>
      </c>
      <c r="H38" s="2">
        <v>4.1100000000000003</v>
      </c>
      <c r="I38" s="2">
        <v>1.52</v>
      </c>
      <c r="J38" s="2">
        <v>2.25</v>
      </c>
      <c r="K38" s="2">
        <v>1.55</v>
      </c>
      <c r="L38" s="2">
        <v>2.02</v>
      </c>
      <c r="M38" s="2">
        <v>2.65</v>
      </c>
      <c r="N38" s="2">
        <v>1.06</v>
      </c>
      <c r="O38" s="2">
        <v>18.41</v>
      </c>
      <c r="P38" s="2">
        <v>0.75</v>
      </c>
      <c r="Q38" s="2">
        <v>0.56000000000000005</v>
      </c>
      <c r="R38" s="2">
        <v>1.01</v>
      </c>
      <c r="S38" s="2">
        <v>6.24</v>
      </c>
      <c r="T38" s="2">
        <v>1.89</v>
      </c>
      <c r="U38" s="2">
        <v>3.38</v>
      </c>
    </row>
    <row r="39" spans="1:21" x14ac:dyDescent="0.25">
      <c r="A39">
        <f t="shared" si="0"/>
        <v>1937</v>
      </c>
      <c r="B39" s="2">
        <v>13.61</v>
      </c>
      <c r="C39" s="2">
        <v>2.6</v>
      </c>
      <c r="D39" s="2">
        <v>38.69</v>
      </c>
      <c r="E39" s="2">
        <v>4.84</v>
      </c>
      <c r="F39" s="2">
        <v>8.5299999999999994</v>
      </c>
      <c r="G39" s="2">
        <v>0.57999999999999996</v>
      </c>
      <c r="H39" s="2">
        <v>4.17</v>
      </c>
      <c r="I39" s="2">
        <v>1.56</v>
      </c>
      <c r="J39" s="2">
        <v>2.2999999999999998</v>
      </c>
      <c r="K39" s="2">
        <v>1.57</v>
      </c>
      <c r="L39" s="2">
        <v>2.0699999999999998</v>
      </c>
      <c r="M39" s="2">
        <v>2.7</v>
      </c>
      <c r="N39" s="2">
        <v>1.08</v>
      </c>
      <c r="O39" s="2">
        <v>18.760000000000002</v>
      </c>
      <c r="P39" s="2">
        <v>0.77</v>
      </c>
      <c r="Q39" s="2">
        <v>0.57999999999999996</v>
      </c>
      <c r="R39" s="2">
        <v>1.04</v>
      </c>
      <c r="S39" s="2">
        <v>6.35</v>
      </c>
      <c r="T39" s="2">
        <v>1.91</v>
      </c>
      <c r="U39" s="2">
        <v>3.46</v>
      </c>
    </row>
    <row r="40" spans="1:21" x14ac:dyDescent="0.25">
      <c r="A40">
        <f t="shared" si="0"/>
        <v>1938</v>
      </c>
      <c r="B40" s="2">
        <v>13.84</v>
      </c>
      <c r="C40" s="2">
        <v>2.63</v>
      </c>
      <c r="D40" s="2">
        <v>39.479999999999997</v>
      </c>
      <c r="E40" s="2">
        <v>4.91</v>
      </c>
      <c r="F40" s="2">
        <v>8.6999999999999993</v>
      </c>
      <c r="G40" s="2">
        <v>0.59</v>
      </c>
      <c r="H40" s="2">
        <v>4.2300000000000004</v>
      </c>
      <c r="I40" s="2">
        <v>1.6</v>
      </c>
      <c r="J40" s="2">
        <v>2.36</v>
      </c>
      <c r="K40" s="2">
        <v>1.59</v>
      </c>
      <c r="L40" s="2">
        <v>2.11</v>
      </c>
      <c r="M40" s="2">
        <v>2.74</v>
      </c>
      <c r="N40" s="2">
        <v>1.1000000000000001</v>
      </c>
      <c r="O40" s="2">
        <v>19.07</v>
      </c>
      <c r="P40" s="2">
        <v>0.78</v>
      </c>
      <c r="Q40" s="2">
        <v>0.59</v>
      </c>
      <c r="R40" s="2">
        <v>1.06</v>
      </c>
      <c r="S40" s="2">
        <v>6.46</v>
      </c>
      <c r="T40" s="2">
        <v>1.93</v>
      </c>
      <c r="U40" s="2">
        <v>3.55</v>
      </c>
    </row>
    <row r="41" spans="1:21" x14ac:dyDescent="0.25">
      <c r="A41">
        <f t="shared" si="0"/>
        <v>1939</v>
      </c>
      <c r="B41" s="2">
        <v>14.06</v>
      </c>
      <c r="C41" s="2">
        <v>2.66</v>
      </c>
      <c r="D41" s="2">
        <v>40.29</v>
      </c>
      <c r="E41" s="2">
        <v>4.99</v>
      </c>
      <c r="F41" s="2">
        <v>8.9</v>
      </c>
      <c r="G41" s="2">
        <v>0.61</v>
      </c>
      <c r="H41" s="2">
        <v>4.25</v>
      </c>
      <c r="I41" s="2">
        <v>1.63</v>
      </c>
      <c r="J41" s="2">
        <v>2.41</v>
      </c>
      <c r="K41" s="2">
        <v>1.61</v>
      </c>
      <c r="L41" s="2">
        <v>2.15</v>
      </c>
      <c r="M41" s="2">
        <v>2.79</v>
      </c>
      <c r="N41" s="2">
        <v>1.1200000000000001</v>
      </c>
      <c r="O41" s="2">
        <v>19.41</v>
      </c>
      <c r="P41" s="2">
        <v>0.81</v>
      </c>
      <c r="Q41" s="2">
        <v>0.61</v>
      </c>
      <c r="R41" s="2">
        <v>1.0900000000000001</v>
      </c>
      <c r="S41" s="2">
        <v>6.57</v>
      </c>
      <c r="T41" s="2">
        <v>1.95</v>
      </c>
      <c r="U41" s="2">
        <v>3.63</v>
      </c>
    </row>
    <row r="42" spans="1:21" x14ac:dyDescent="0.25">
      <c r="A42">
        <f t="shared" si="0"/>
        <v>1940</v>
      </c>
      <c r="B42" s="2">
        <v>14.17</v>
      </c>
      <c r="C42" s="2">
        <v>2.7</v>
      </c>
      <c r="D42" s="2">
        <v>41.11</v>
      </c>
      <c r="E42" s="2">
        <v>5.0599999999999996</v>
      </c>
      <c r="F42" s="2">
        <v>9.1</v>
      </c>
      <c r="G42" s="2">
        <v>0.62</v>
      </c>
      <c r="H42" s="2">
        <v>4.29</v>
      </c>
      <c r="I42" s="2">
        <v>1.76</v>
      </c>
      <c r="J42" s="2">
        <v>2.4700000000000002</v>
      </c>
      <c r="K42" s="2">
        <v>1.63</v>
      </c>
      <c r="L42" s="2">
        <v>2.2000000000000002</v>
      </c>
      <c r="M42" s="2">
        <v>2.83</v>
      </c>
      <c r="N42" s="2">
        <v>1.1499999999999999</v>
      </c>
      <c r="O42" s="2">
        <v>19.649999999999999</v>
      </c>
      <c r="P42" s="2">
        <v>0.83</v>
      </c>
      <c r="Q42" s="2">
        <v>0.62</v>
      </c>
      <c r="R42" s="2">
        <v>1.1100000000000001</v>
      </c>
      <c r="S42" s="2">
        <v>6.68</v>
      </c>
      <c r="T42" s="2">
        <v>1.97</v>
      </c>
      <c r="U42" s="2">
        <v>3.71</v>
      </c>
    </row>
    <row r="43" spans="1:21" x14ac:dyDescent="0.25">
      <c r="A43">
        <f t="shared" si="0"/>
        <v>1941</v>
      </c>
      <c r="B43" s="2">
        <v>14.4</v>
      </c>
      <c r="C43" s="2">
        <v>2.72</v>
      </c>
      <c r="D43" s="2">
        <v>42.07</v>
      </c>
      <c r="E43" s="2">
        <v>5.15</v>
      </c>
      <c r="F43" s="2">
        <v>9.32</v>
      </c>
      <c r="G43" s="2">
        <v>0.63</v>
      </c>
      <c r="H43" s="2">
        <v>4.33</v>
      </c>
      <c r="I43" s="2">
        <v>1.8</v>
      </c>
      <c r="J43" s="2">
        <v>2.52</v>
      </c>
      <c r="K43" s="2">
        <v>1.65</v>
      </c>
      <c r="L43" s="2">
        <v>2.25</v>
      </c>
      <c r="M43" s="2">
        <v>2.88</v>
      </c>
      <c r="N43" s="2">
        <v>1.17</v>
      </c>
      <c r="O43" s="2">
        <v>20.21</v>
      </c>
      <c r="P43" s="2">
        <v>0.84</v>
      </c>
      <c r="Q43" s="2">
        <v>0.64</v>
      </c>
      <c r="R43" s="2">
        <v>1.1399999999999999</v>
      </c>
      <c r="S43" s="2">
        <v>6.8</v>
      </c>
      <c r="T43" s="2">
        <v>1.99</v>
      </c>
      <c r="U43" s="2">
        <v>3.8</v>
      </c>
    </row>
    <row r="44" spans="1:21" x14ac:dyDescent="0.25">
      <c r="A44">
        <f t="shared" si="0"/>
        <v>1942</v>
      </c>
      <c r="B44" s="2">
        <v>14.64</v>
      </c>
      <c r="C44" s="2">
        <v>2.75</v>
      </c>
      <c r="D44" s="2">
        <v>43.06</v>
      </c>
      <c r="E44" s="2">
        <v>5.24</v>
      </c>
      <c r="F44" s="2">
        <v>9.5399999999999991</v>
      </c>
      <c r="G44" s="2">
        <v>0.65</v>
      </c>
      <c r="H44" s="2">
        <v>4.37</v>
      </c>
      <c r="I44" s="2">
        <v>1.84</v>
      </c>
      <c r="J44" s="2">
        <v>2.58</v>
      </c>
      <c r="K44" s="2">
        <v>1.68</v>
      </c>
      <c r="L44" s="2">
        <v>2.2999999999999998</v>
      </c>
      <c r="M44" s="2">
        <v>2.94</v>
      </c>
      <c r="N44" s="2">
        <v>1.2</v>
      </c>
      <c r="O44" s="2">
        <v>20.66</v>
      </c>
      <c r="P44" s="2">
        <v>0.86</v>
      </c>
      <c r="Q44" s="2">
        <v>0.65</v>
      </c>
      <c r="R44" s="2">
        <v>1.1599999999999999</v>
      </c>
      <c r="S44" s="2">
        <v>6.92</v>
      </c>
      <c r="T44" s="2">
        <v>2.0099999999999998</v>
      </c>
      <c r="U44" s="2">
        <v>3.91</v>
      </c>
    </row>
    <row r="45" spans="1:21" x14ac:dyDescent="0.25">
      <c r="A45">
        <f t="shared" si="0"/>
        <v>1943</v>
      </c>
      <c r="B45" s="2">
        <v>14.88</v>
      </c>
      <c r="C45" s="2">
        <v>2.79</v>
      </c>
      <c r="D45" s="2">
        <v>43.99</v>
      </c>
      <c r="E45" s="2">
        <v>5.34</v>
      </c>
      <c r="F45" s="2">
        <v>9.77</v>
      </c>
      <c r="G45" s="2">
        <v>0.66</v>
      </c>
      <c r="H45" s="2">
        <v>4.78</v>
      </c>
      <c r="I45" s="2">
        <v>1.89</v>
      </c>
      <c r="J45" s="2">
        <v>2.64</v>
      </c>
      <c r="K45" s="2">
        <v>1.69</v>
      </c>
      <c r="L45" s="2">
        <v>2.34</v>
      </c>
      <c r="M45" s="2">
        <v>2.98</v>
      </c>
      <c r="N45" s="2">
        <v>1.21</v>
      </c>
      <c r="O45" s="2">
        <v>21.17</v>
      </c>
      <c r="P45" s="2">
        <v>0.88</v>
      </c>
      <c r="Q45" s="2">
        <v>0.67</v>
      </c>
      <c r="R45" s="2">
        <v>1.19</v>
      </c>
      <c r="S45" s="2">
        <v>7.04</v>
      </c>
      <c r="T45" s="2">
        <v>2.0299999999999998</v>
      </c>
      <c r="U45" s="2">
        <v>4.03</v>
      </c>
    </row>
    <row r="46" spans="1:21" x14ac:dyDescent="0.25">
      <c r="A46">
        <f t="shared" si="0"/>
        <v>1944</v>
      </c>
      <c r="B46" s="2">
        <v>15.13</v>
      </c>
      <c r="C46" s="2">
        <v>2.82</v>
      </c>
      <c r="D46" s="2">
        <v>44.84</v>
      </c>
      <c r="E46" s="2">
        <v>5.44</v>
      </c>
      <c r="F46" s="2">
        <v>10.02</v>
      </c>
      <c r="G46" s="2">
        <v>0.68</v>
      </c>
      <c r="H46" s="2">
        <v>4.8499999999999996</v>
      </c>
      <c r="I46" s="2">
        <v>1.93</v>
      </c>
      <c r="J46" s="2">
        <v>2.71</v>
      </c>
      <c r="K46" s="2">
        <v>1.72</v>
      </c>
      <c r="L46" s="2">
        <v>2.39</v>
      </c>
      <c r="M46" s="2">
        <v>3.03</v>
      </c>
      <c r="N46" s="2">
        <v>1.24</v>
      </c>
      <c r="O46" s="2">
        <v>21.67</v>
      </c>
      <c r="P46" s="2">
        <v>0.9</v>
      </c>
      <c r="Q46" s="2">
        <v>0.69</v>
      </c>
      <c r="R46" s="2">
        <v>1.22</v>
      </c>
      <c r="S46" s="2">
        <v>7.16</v>
      </c>
      <c r="T46" s="2">
        <v>2.06</v>
      </c>
      <c r="U46" s="2">
        <v>4.1500000000000004</v>
      </c>
    </row>
    <row r="47" spans="1:21" x14ac:dyDescent="0.25">
      <c r="A47">
        <f t="shared" si="0"/>
        <v>1945</v>
      </c>
      <c r="B47" s="2">
        <v>15.4</v>
      </c>
      <c r="C47" s="2">
        <v>2.85</v>
      </c>
      <c r="D47" s="2">
        <v>45.86</v>
      </c>
      <c r="E47" s="2">
        <v>5.54</v>
      </c>
      <c r="F47" s="2">
        <v>10.27</v>
      </c>
      <c r="G47" s="2">
        <v>0.7</v>
      </c>
      <c r="H47" s="2">
        <v>4.93</v>
      </c>
      <c r="I47" s="2">
        <v>1.98</v>
      </c>
      <c r="J47" s="2">
        <v>2.78</v>
      </c>
      <c r="K47" s="2">
        <v>1.74</v>
      </c>
      <c r="L47" s="2">
        <v>2.44</v>
      </c>
      <c r="M47" s="2">
        <v>3.09</v>
      </c>
      <c r="N47" s="2">
        <v>1.26</v>
      </c>
      <c r="O47" s="2">
        <v>22.23</v>
      </c>
      <c r="P47" s="2">
        <v>0.92</v>
      </c>
      <c r="Q47" s="2">
        <v>0.7</v>
      </c>
      <c r="R47" s="2">
        <v>1.25</v>
      </c>
      <c r="S47" s="2">
        <v>7.29</v>
      </c>
      <c r="T47" s="2">
        <v>2.08</v>
      </c>
      <c r="U47" s="2">
        <v>4.2699999999999996</v>
      </c>
    </row>
    <row r="48" spans="1:21" x14ac:dyDescent="0.25">
      <c r="A48">
        <f t="shared" si="0"/>
        <v>1946</v>
      </c>
      <c r="B48" s="2">
        <v>15.65</v>
      </c>
      <c r="C48" s="2">
        <v>2.88</v>
      </c>
      <c r="D48" s="2">
        <v>46.97</v>
      </c>
      <c r="E48" s="2">
        <v>5.64</v>
      </c>
      <c r="F48" s="2">
        <v>10.53</v>
      </c>
      <c r="G48" s="2">
        <v>0.71</v>
      </c>
      <c r="H48" s="2">
        <v>5.04</v>
      </c>
      <c r="I48" s="2">
        <v>2.0299999999999998</v>
      </c>
      <c r="J48" s="2">
        <v>2.85</v>
      </c>
      <c r="K48" s="2">
        <v>1.76</v>
      </c>
      <c r="L48" s="2">
        <v>2.5</v>
      </c>
      <c r="M48" s="2">
        <v>3.14</v>
      </c>
      <c r="N48" s="2">
        <v>1.29</v>
      </c>
      <c r="O48" s="2">
        <v>22.78</v>
      </c>
      <c r="P48" s="2">
        <v>0.95</v>
      </c>
      <c r="Q48" s="2">
        <v>0.72</v>
      </c>
      <c r="R48" s="2">
        <v>1.28</v>
      </c>
      <c r="S48" s="2">
        <v>7.42</v>
      </c>
      <c r="T48" s="2">
        <v>2.1</v>
      </c>
      <c r="U48" s="2">
        <v>4.3899999999999997</v>
      </c>
    </row>
    <row r="49" spans="1:21" x14ac:dyDescent="0.25">
      <c r="A49">
        <f t="shared" si="0"/>
        <v>1947</v>
      </c>
      <c r="B49" s="2">
        <v>15.93</v>
      </c>
      <c r="C49" s="2">
        <v>2.92</v>
      </c>
      <c r="D49" s="2">
        <v>48.16</v>
      </c>
      <c r="E49" s="2">
        <v>5.75</v>
      </c>
      <c r="F49" s="2">
        <v>10.8</v>
      </c>
      <c r="G49" s="2">
        <v>0.73</v>
      </c>
      <c r="H49" s="2">
        <v>5.15</v>
      </c>
      <c r="I49" s="2">
        <v>2.08</v>
      </c>
      <c r="J49" s="2">
        <v>2.94</v>
      </c>
      <c r="K49" s="2">
        <v>1.78</v>
      </c>
      <c r="L49" s="2">
        <v>2.57</v>
      </c>
      <c r="M49" s="2">
        <v>3.2</v>
      </c>
      <c r="N49" s="2">
        <v>1.32</v>
      </c>
      <c r="O49" s="2">
        <v>23.44</v>
      </c>
      <c r="P49" s="2">
        <v>0.98</v>
      </c>
      <c r="Q49" s="2">
        <v>0.74</v>
      </c>
      <c r="R49" s="2">
        <v>1.31</v>
      </c>
      <c r="S49" s="2">
        <v>7.55</v>
      </c>
      <c r="T49" s="2">
        <v>2.12</v>
      </c>
      <c r="U49" s="2">
        <v>4.55</v>
      </c>
    </row>
    <row r="50" spans="1:21" x14ac:dyDescent="0.25">
      <c r="A50">
        <f t="shared" si="0"/>
        <v>1948</v>
      </c>
      <c r="B50" s="2">
        <v>16.27</v>
      </c>
      <c r="C50" s="2">
        <v>2.95</v>
      </c>
      <c r="D50" s="2">
        <v>49.42</v>
      </c>
      <c r="E50" s="2">
        <v>5.85</v>
      </c>
      <c r="F50" s="2">
        <v>10.85</v>
      </c>
      <c r="G50" s="2">
        <v>0.75</v>
      </c>
      <c r="H50" s="2">
        <v>5.27</v>
      </c>
      <c r="I50" s="2">
        <v>2.13</v>
      </c>
      <c r="J50" s="2">
        <v>3.02</v>
      </c>
      <c r="K50" s="2">
        <v>1.81</v>
      </c>
      <c r="L50" s="2">
        <v>2.64</v>
      </c>
      <c r="M50" s="2">
        <v>3.26</v>
      </c>
      <c r="N50" s="2">
        <v>1.35</v>
      </c>
      <c r="O50" s="2">
        <v>24.13</v>
      </c>
      <c r="P50" s="2">
        <v>1</v>
      </c>
      <c r="Q50" s="2">
        <v>0.76</v>
      </c>
      <c r="R50" s="2">
        <v>1.34</v>
      </c>
      <c r="S50" s="2">
        <v>7.68</v>
      </c>
      <c r="T50" s="2">
        <v>2.14</v>
      </c>
      <c r="U50" s="2">
        <v>4.6900000000000004</v>
      </c>
    </row>
    <row r="51" spans="1:21" x14ac:dyDescent="0.25">
      <c r="A51">
        <f t="shared" si="0"/>
        <v>1949</v>
      </c>
      <c r="B51" s="2">
        <v>16.66</v>
      </c>
      <c r="C51" s="2">
        <v>2.96</v>
      </c>
      <c r="D51" s="2">
        <v>50.76</v>
      </c>
      <c r="E51" s="2">
        <v>5.96</v>
      </c>
      <c r="F51" s="2">
        <v>11.09</v>
      </c>
      <c r="G51" s="2">
        <v>0.77</v>
      </c>
      <c r="H51" s="2">
        <v>5.39</v>
      </c>
      <c r="I51" s="2">
        <v>2.19</v>
      </c>
      <c r="J51" s="2">
        <v>3.1</v>
      </c>
      <c r="K51" s="2">
        <v>1.84</v>
      </c>
      <c r="L51" s="2">
        <v>2.72</v>
      </c>
      <c r="M51" s="2">
        <v>3.32</v>
      </c>
      <c r="N51" s="2">
        <v>1.39</v>
      </c>
      <c r="O51" s="2">
        <v>24.83</v>
      </c>
      <c r="P51" s="2">
        <v>1.03</v>
      </c>
      <c r="Q51" s="2">
        <v>0.78</v>
      </c>
      <c r="R51" s="2">
        <v>1.37</v>
      </c>
      <c r="S51" s="2">
        <v>7.82</v>
      </c>
      <c r="T51" s="2">
        <v>2.17</v>
      </c>
      <c r="U51" s="2">
        <v>4.83</v>
      </c>
    </row>
    <row r="52" spans="1:21" x14ac:dyDescent="0.25">
      <c r="A52">
        <f t="shared" si="0"/>
        <v>1950</v>
      </c>
      <c r="B52" s="2">
        <v>17.07</v>
      </c>
      <c r="C52" s="2">
        <v>3.01</v>
      </c>
      <c r="D52" s="2">
        <v>52.18</v>
      </c>
      <c r="E52" s="2">
        <v>6.07</v>
      </c>
      <c r="F52" s="2">
        <v>11.33</v>
      </c>
      <c r="G52" s="2">
        <v>0.8</v>
      </c>
      <c r="H52" s="2">
        <v>5.51</v>
      </c>
      <c r="I52" s="2">
        <v>2.2400000000000002</v>
      </c>
      <c r="J52" s="2">
        <v>3.2</v>
      </c>
      <c r="K52" s="2">
        <v>1.86</v>
      </c>
      <c r="L52" s="2">
        <v>2.81</v>
      </c>
      <c r="M52" s="2">
        <v>3.39</v>
      </c>
      <c r="N52" s="2">
        <v>1.43</v>
      </c>
      <c r="O52" s="2">
        <v>25.79</v>
      </c>
      <c r="P52" s="2">
        <v>1.06</v>
      </c>
      <c r="Q52" s="2">
        <v>0.8</v>
      </c>
      <c r="R52" s="2">
        <v>1.4</v>
      </c>
      <c r="S52" s="2">
        <v>7.97</v>
      </c>
      <c r="T52" s="2">
        <v>2.2000000000000002</v>
      </c>
      <c r="U52" s="2">
        <v>4.97</v>
      </c>
    </row>
    <row r="53" spans="1:21" x14ac:dyDescent="0.25">
      <c r="A53">
        <f>A52+1</f>
        <v>1951</v>
      </c>
      <c r="B53" s="2">
        <v>17.48</v>
      </c>
      <c r="C53" s="2">
        <v>3.07</v>
      </c>
      <c r="D53" s="2">
        <v>53.68</v>
      </c>
      <c r="E53" s="2">
        <v>6.21</v>
      </c>
      <c r="F53" s="2">
        <v>11.62</v>
      </c>
      <c r="G53" s="2">
        <v>0.83</v>
      </c>
      <c r="H53" s="2">
        <v>5.62</v>
      </c>
      <c r="I53" s="2">
        <v>2.31</v>
      </c>
      <c r="J53" s="2">
        <v>3.25</v>
      </c>
      <c r="K53" s="2">
        <v>1.9</v>
      </c>
      <c r="L53" s="2">
        <v>2.89</v>
      </c>
      <c r="M53" s="2">
        <v>3.44</v>
      </c>
      <c r="N53" s="2">
        <v>1.47</v>
      </c>
      <c r="O53" s="2">
        <v>25.59</v>
      </c>
      <c r="P53" s="2">
        <v>1.0900000000000001</v>
      </c>
      <c r="Q53" s="2">
        <v>0.82</v>
      </c>
      <c r="R53" s="2">
        <v>1.43</v>
      </c>
      <c r="S53" s="2">
        <v>8.1199999999999992</v>
      </c>
      <c r="T53" s="2">
        <v>2.2200000000000002</v>
      </c>
      <c r="U53" s="2">
        <v>5.14</v>
      </c>
    </row>
    <row r="54" spans="1:21" x14ac:dyDescent="0.25">
      <c r="A54">
        <f t="shared" ref="A54:A102" si="1">A53+1</f>
        <v>1952</v>
      </c>
      <c r="B54" s="2">
        <v>17.7</v>
      </c>
      <c r="C54" s="2">
        <v>3.13</v>
      </c>
      <c r="D54" s="2">
        <v>55.1</v>
      </c>
      <c r="E54" s="2">
        <v>6.3</v>
      </c>
      <c r="F54" s="2">
        <v>11.81</v>
      </c>
      <c r="G54" s="2">
        <v>0.92</v>
      </c>
      <c r="H54" s="2">
        <v>5.73</v>
      </c>
      <c r="I54" s="2">
        <v>2.29</v>
      </c>
      <c r="J54" s="2">
        <v>3.43</v>
      </c>
      <c r="K54" s="2">
        <v>1.97</v>
      </c>
      <c r="L54" s="2">
        <v>2.98</v>
      </c>
      <c r="M54" s="2">
        <v>3.51</v>
      </c>
      <c r="N54" s="2">
        <v>1.53</v>
      </c>
      <c r="O54" s="2">
        <v>27.85</v>
      </c>
      <c r="P54" s="2">
        <v>1.1200000000000001</v>
      </c>
      <c r="Q54" s="2">
        <v>0.84</v>
      </c>
      <c r="R54" s="2">
        <v>1.46</v>
      </c>
      <c r="S54" s="2">
        <v>8.27</v>
      </c>
      <c r="T54" s="2">
        <v>2.2599999999999998</v>
      </c>
      <c r="U54" s="2">
        <v>5.39</v>
      </c>
    </row>
    <row r="55" spans="1:21" x14ac:dyDescent="0.25">
      <c r="A55">
        <f t="shared" si="1"/>
        <v>1953</v>
      </c>
      <c r="B55" s="2">
        <v>17.96</v>
      </c>
      <c r="C55" s="2">
        <v>3.19</v>
      </c>
      <c r="D55" s="2">
        <v>56.74</v>
      </c>
      <c r="E55" s="2">
        <v>6.46</v>
      </c>
      <c r="F55" s="2">
        <v>12.07</v>
      </c>
      <c r="G55" s="2">
        <v>0.95</v>
      </c>
      <c r="H55" s="2">
        <v>6.04</v>
      </c>
      <c r="I55" s="2">
        <v>2.37</v>
      </c>
      <c r="J55" s="2">
        <v>3.53</v>
      </c>
      <c r="K55" s="2">
        <v>2.02</v>
      </c>
      <c r="L55" s="2">
        <v>3.07</v>
      </c>
      <c r="M55" s="2">
        <v>3.58</v>
      </c>
      <c r="N55" s="2">
        <v>1.57</v>
      </c>
      <c r="O55" s="2">
        <v>28.7</v>
      </c>
      <c r="P55" s="2">
        <v>1.1499999999999999</v>
      </c>
      <c r="Q55" s="2">
        <v>0.87</v>
      </c>
      <c r="R55" s="2">
        <v>1.5</v>
      </c>
      <c r="S55" s="2">
        <v>8.43</v>
      </c>
      <c r="T55" s="2">
        <v>2.2999999999999998</v>
      </c>
      <c r="U55" s="2">
        <v>5.62</v>
      </c>
    </row>
    <row r="56" spans="1:21" x14ac:dyDescent="0.25">
      <c r="A56">
        <f t="shared" si="1"/>
        <v>1954</v>
      </c>
      <c r="B56" s="2">
        <v>18.239999999999998</v>
      </c>
      <c r="C56" s="2">
        <v>3.26</v>
      </c>
      <c r="D56" s="2">
        <v>58.44</v>
      </c>
      <c r="E56" s="2">
        <v>6.62</v>
      </c>
      <c r="F56" s="2">
        <v>12.34</v>
      </c>
      <c r="G56" s="2">
        <v>0.99</v>
      </c>
      <c r="H56" s="2">
        <v>6.16</v>
      </c>
      <c r="I56" s="2">
        <v>2.4500000000000002</v>
      </c>
      <c r="J56" s="2">
        <v>3.64</v>
      </c>
      <c r="K56" s="2">
        <v>2.08</v>
      </c>
      <c r="L56" s="2">
        <v>3.18</v>
      </c>
      <c r="M56" s="2">
        <v>3.65</v>
      </c>
      <c r="N56" s="2">
        <v>1.62</v>
      </c>
      <c r="O56" s="2">
        <v>29.61</v>
      </c>
      <c r="P56" s="2">
        <v>1.18</v>
      </c>
      <c r="Q56" s="2">
        <v>0.89</v>
      </c>
      <c r="R56" s="2">
        <v>1.53</v>
      </c>
      <c r="S56" s="2">
        <v>8.6</v>
      </c>
      <c r="T56" s="2">
        <v>2.33</v>
      </c>
      <c r="U56" s="2">
        <v>5.85</v>
      </c>
    </row>
    <row r="57" spans="1:21" x14ac:dyDescent="0.25">
      <c r="A57">
        <f t="shared" si="1"/>
        <v>1955</v>
      </c>
      <c r="B57" s="2">
        <v>18.53</v>
      </c>
      <c r="C57" s="2">
        <v>3.34</v>
      </c>
      <c r="D57" s="2">
        <v>60.18</v>
      </c>
      <c r="E57" s="2">
        <v>6.79</v>
      </c>
      <c r="F57" s="2">
        <v>12.97</v>
      </c>
      <c r="G57" s="2">
        <v>1.03</v>
      </c>
      <c r="H57" s="2">
        <v>6.28</v>
      </c>
      <c r="I57" s="2">
        <v>2.54</v>
      </c>
      <c r="J57" s="2">
        <v>3.75</v>
      </c>
      <c r="K57" s="2">
        <v>2.14</v>
      </c>
      <c r="L57" s="2">
        <v>3.29</v>
      </c>
      <c r="M57" s="2">
        <v>3.72</v>
      </c>
      <c r="N57" s="2">
        <v>1.65</v>
      </c>
      <c r="O57" s="2">
        <v>30.56</v>
      </c>
      <c r="P57" s="2">
        <v>1.22</v>
      </c>
      <c r="Q57" s="2">
        <v>0.92</v>
      </c>
      <c r="R57" s="2">
        <v>1.57</v>
      </c>
      <c r="S57" s="2">
        <v>8.7899999999999991</v>
      </c>
      <c r="T57" s="2">
        <v>2.36</v>
      </c>
      <c r="U57" s="2">
        <v>6.09</v>
      </c>
    </row>
    <row r="58" spans="1:21" x14ac:dyDescent="0.25">
      <c r="A58">
        <f t="shared" si="1"/>
        <v>1956</v>
      </c>
      <c r="B58" s="2">
        <v>18.8</v>
      </c>
      <c r="C58" s="2">
        <v>3.42</v>
      </c>
      <c r="D58" s="2">
        <v>61.98</v>
      </c>
      <c r="E58" s="2">
        <v>6.96</v>
      </c>
      <c r="F58" s="2">
        <v>13.59</v>
      </c>
      <c r="G58" s="2">
        <v>1.07</v>
      </c>
      <c r="H58" s="2">
        <v>6.41</v>
      </c>
      <c r="I58" s="2">
        <v>2.63</v>
      </c>
      <c r="J58" s="2">
        <v>3.87</v>
      </c>
      <c r="K58" s="2">
        <v>2.2000000000000002</v>
      </c>
      <c r="L58" s="2">
        <v>3.39</v>
      </c>
      <c r="M58" s="2">
        <v>3.8</v>
      </c>
      <c r="N58" s="2">
        <v>1.68</v>
      </c>
      <c r="O58" s="2">
        <v>31.56</v>
      </c>
      <c r="P58" s="2">
        <v>1.26</v>
      </c>
      <c r="Q58" s="2">
        <v>0.95</v>
      </c>
      <c r="R58" s="2">
        <v>1.61</v>
      </c>
      <c r="S58" s="2">
        <v>9</v>
      </c>
      <c r="T58" s="2">
        <v>2.4</v>
      </c>
      <c r="U58" s="2">
        <v>6.33</v>
      </c>
    </row>
    <row r="59" spans="1:21" x14ac:dyDescent="0.25">
      <c r="A59">
        <f t="shared" si="1"/>
        <v>1957</v>
      </c>
      <c r="B59" s="2">
        <v>19.100000000000001</v>
      </c>
      <c r="C59" s="2">
        <v>3.5</v>
      </c>
      <c r="D59" s="2">
        <v>63.83</v>
      </c>
      <c r="E59" s="2">
        <v>7.14</v>
      </c>
      <c r="F59" s="2">
        <v>14.03</v>
      </c>
      <c r="G59" s="2">
        <v>1.1100000000000001</v>
      </c>
      <c r="H59" s="2">
        <v>6.54</v>
      </c>
      <c r="I59" s="2">
        <v>2.73</v>
      </c>
      <c r="J59" s="2">
        <v>3.98</v>
      </c>
      <c r="K59" s="2">
        <v>2.2599999999999998</v>
      </c>
      <c r="L59" s="2">
        <v>3.49</v>
      </c>
      <c r="M59" s="2">
        <v>3.75</v>
      </c>
      <c r="N59" s="2">
        <v>1.71</v>
      </c>
      <c r="O59" s="2">
        <v>32.61</v>
      </c>
      <c r="P59" s="2">
        <v>1.29</v>
      </c>
      <c r="Q59" s="2">
        <v>0.97</v>
      </c>
      <c r="R59" s="2">
        <v>1.68</v>
      </c>
      <c r="S59" s="2">
        <v>9.23</v>
      </c>
      <c r="T59" s="2">
        <v>2.4300000000000002</v>
      </c>
      <c r="U59" s="2">
        <v>6.57</v>
      </c>
    </row>
    <row r="60" spans="1:21" x14ac:dyDescent="0.25">
      <c r="A60">
        <f t="shared" si="1"/>
        <v>1958</v>
      </c>
      <c r="B60" s="2">
        <v>19.38</v>
      </c>
      <c r="C60" s="2">
        <v>3.59</v>
      </c>
      <c r="D60" s="2">
        <v>65.739999999999995</v>
      </c>
      <c r="E60" s="2">
        <v>7.32</v>
      </c>
      <c r="F60" s="2">
        <v>14.48</v>
      </c>
      <c r="G60" s="2">
        <v>1.1499999999999999</v>
      </c>
      <c r="H60" s="2">
        <v>6.76</v>
      </c>
      <c r="I60" s="2">
        <v>2.83</v>
      </c>
      <c r="J60" s="2">
        <v>4.1100000000000003</v>
      </c>
      <c r="K60" s="2">
        <v>2.3199999999999998</v>
      </c>
      <c r="L60" s="2">
        <v>3.61</v>
      </c>
      <c r="M60" s="2">
        <v>3.7</v>
      </c>
      <c r="N60" s="2">
        <v>1.75</v>
      </c>
      <c r="O60" s="2">
        <v>33.700000000000003</v>
      </c>
      <c r="P60" s="2">
        <v>1.33</v>
      </c>
      <c r="Q60" s="2">
        <v>1</v>
      </c>
      <c r="R60" s="2">
        <v>1.68</v>
      </c>
      <c r="S60" s="2">
        <v>9.48</v>
      </c>
      <c r="T60" s="2">
        <v>2.46</v>
      </c>
      <c r="U60" s="2">
        <v>6.83</v>
      </c>
    </row>
    <row r="61" spans="1:21" x14ac:dyDescent="0.25">
      <c r="A61">
        <f t="shared" si="1"/>
        <v>1959</v>
      </c>
      <c r="B61" s="2">
        <v>19.66</v>
      </c>
      <c r="C61" s="2">
        <v>3.7</v>
      </c>
      <c r="D61" s="2">
        <v>67.7</v>
      </c>
      <c r="E61" s="2">
        <v>7.49</v>
      </c>
      <c r="F61" s="2">
        <v>14.94</v>
      </c>
      <c r="G61" s="2">
        <v>1.19</v>
      </c>
      <c r="H61" s="2">
        <v>6.9</v>
      </c>
      <c r="I61" s="2">
        <v>2.93</v>
      </c>
      <c r="J61" s="2">
        <v>4.2300000000000004</v>
      </c>
      <c r="K61" s="2">
        <v>2.39</v>
      </c>
      <c r="L61" s="2">
        <v>3.72</v>
      </c>
      <c r="M61" s="2">
        <v>3.67</v>
      </c>
      <c r="N61" s="2">
        <v>1.8</v>
      </c>
      <c r="O61" s="2">
        <v>34.86</v>
      </c>
      <c r="P61" s="2">
        <v>1.37</v>
      </c>
      <c r="Q61" s="2">
        <v>1.03</v>
      </c>
      <c r="R61" s="2">
        <v>1.71</v>
      </c>
      <c r="S61" s="2">
        <v>9.75</v>
      </c>
      <c r="T61" s="2">
        <v>2.5</v>
      </c>
      <c r="U61" s="2">
        <v>7.09</v>
      </c>
    </row>
    <row r="62" spans="1:21" x14ac:dyDescent="0.25">
      <c r="A62">
        <f t="shared" si="1"/>
        <v>1960</v>
      </c>
      <c r="B62" s="2">
        <v>19.920000000000002</v>
      </c>
      <c r="C62" s="2">
        <v>3.82</v>
      </c>
      <c r="D62" s="2">
        <v>69.72</v>
      </c>
      <c r="E62" s="2">
        <v>7.58</v>
      </c>
      <c r="F62" s="2">
        <v>15.42</v>
      </c>
      <c r="G62" s="2">
        <v>1.25</v>
      </c>
      <c r="H62" s="2">
        <v>7.03</v>
      </c>
      <c r="I62" s="2">
        <v>3.04</v>
      </c>
      <c r="J62" s="2">
        <v>4.3600000000000003</v>
      </c>
      <c r="K62" s="2">
        <v>2.4500000000000002</v>
      </c>
      <c r="L62" s="2">
        <v>3.83</v>
      </c>
      <c r="M62" s="2">
        <v>3.62</v>
      </c>
      <c r="N62" s="2">
        <v>1.85</v>
      </c>
      <c r="O62" s="2">
        <v>36.049999999999997</v>
      </c>
      <c r="P62" s="2">
        <v>1.41</v>
      </c>
      <c r="Q62" s="2">
        <v>1.06</v>
      </c>
      <c r="R62" s="2">
        <v>1.75</v>
      </c>
      <c r="S62" s="2">
        <v>10.02</v>
      </c>
      <c r="T62" s="2">
        <v>2.54</v>
      </c>
      <c r="U62" s="2">
        <v>7.35</v>
      </c>
    </row>
    <row r="63" spans="1:21" x14ac:dyDescent="0.25">
      <c r="A63">
        <f t="shared" si="1"/>
        <v>1961</v>
      </c>
      <c r="B63" s="2">
        <v>20.239999999999998</v>
      </c>
      <c r="C63" s="2">
        <v>3.92</v>
      </c>
      <c r="D63" s="2">
        <v>71.94</v>
      </c>
      <c r="E63" s="2">
        <v>7.76</v>
      </c>
      <c r="F63" s="2">
        <v>15.91</v>
      </c>
      <c r="G63" s="2">
        <v>1.3</v>
      </c>
      <c r="H63" s="2">
        <v>7.13</v>
      </c>
      <c r="I63" s="2">
        <v>3.12</v>
      </c>
      <c r="J63" s="2">
        <v>4.5</v>
      </c>
      <c r="K63" s="2">
        <v>2.5099999999999998</v>
      </c>
      <c r="L63" s="2">
        <v>3.95</v>
      </c>
      <c r="M63" s="2">
        <v>3.68</v>
      </c>
      <c r="N63" s="2">
        <v>1.91</v>
      </c>
      <c r="O63" s="2">
        <v>37.270000000000003</v>
      </c>
      <c r="P63" s="2">
        <v>1.45</v>
      </c>
      <c r="Q63" s="2">
        <v>1.0900000000000001</v>
      </c>
      <c r="R63" s="2">
        <v>1.8</v>
      </c>
      <c r="S63" s="2">
        <v>10.32</v>
      </c>
      <c r="T63" s="2">
        <v>2.58</v>
      </c>
      <c r="U63" s="2">
        <v>7.61</v>
      </c>
    </row>
    <row r="64" spans="1:21" x14ac:dyDescent="0.25">
      <c r="A64">
        <f t="shared" si="1"/>
        <v>1962</v>
      </c>
      <c r="B64" s="2">
        <v>20.54</v>
      </c>
      <c r="C64" s="2">
        <v>4.0199999999999996</v>
      </c>
      <c r="D64" s="2">
        <v>74.17</v>
      </c>
      <c r="E64" s="2">
        <v>7.95</v>
      </c>
      <c r="F64" s="2">
        <v>16.420000000000002</v>
      </c>
      <c r="G64" s="2">
        <v>1.35</v>
      </c>
      <c r="H64" s="2">
        <v>7.25</v>
      </c>
      <c r="I64" s="2">
        <v>3.21</v>
      </c>
      <c r="J64" s="2">
        <v>4.6500000000000004</v>
      </c>
      <c r="K64" s="2">
        <v>2.63</v>
      </c>
      <c r="L64" s="2">
        <v>4.0599999999999996</v>
      </c>
      <c r="M64" s="2">
        <v>3.74</v>
      </c>
      <c r="N64" s="2">
        <v>1.97</v>
      </c>
      <c r="O64" s="2">
        <v>38.54</v>
      </c>
      <c r="P64" s="2">
        <v>1.5</v>
      </c>
      <c r="Q64" s="2">
        <v>1.1299999999999999</v>
      </c>
      <c r="R64" s="2">
        <v>1.85</v>
      </c>
      <c r="S64" s="2">
        <v>10.63</v>
      </c>
      <c r="T64" s="2">
        <v>2.61</v>
      </c>
      <c r="U64" s="2">
        <v>7.86</v>
      </c>
    </row>
    <row r="65" spans="1:21" x14ac:dyDescent="0.25">
      <c r="A65">
        <f t="shared" si="1"/>
        <v>1963</v>
      </c>
      <c r="B65" s="2">
        <v>20.85</v>
      </c>
      <c r="C65" s="2">
        <v>4.12</v>
      </c>
      <c r="D65" s="2">
        <v>76.53</v>
      </c>
      <c r="E65" s="2">
        <v>8.14</v>
      </c>
      <c r="F65" s="2">
        <v>16.940000000000001</v>
      </c>
      <c r="G65" s="2">
        <v>1.39</v>
      </c>
      <c r="H65" s="2">
        <v>7.41</v>
      </c>
      <c r="I65" s="2">
        <v>3.31</v>
      </c>
      <c r="J65" s="2">
        <v>4.78</v>
      </c>
      <c r="K65" s="2">
        <v>2.72</v>
      </c>
      <c r="L65" s="2">
        <v>4.1900000000000004</v>
      </c>
      <c r="M65" s="2">
        <v>3.79</v>
      </c>
      <c r="N65" s="2">
        <v>2.04</v>
      </c>
      <c r="O65" s="2">
        <v>39.869999999999997</v>
      </c>
      <c r="P65" s="2">
        <v>1.54</v>
      </c>
      <c r="Q65" s="2">
        <v>1.17</v>
      </c>
      <c r="R65" s="2">
        <v>1.91</v>
      </c>
      <c r="S65" s="2">
        <v>10.96</v>
      </c>
      <c r="T65" s="2">
        <v>2.65</v>
      </c>
      <c r="U65" s="2">
        <v>8.1199999999999992</v>
      </c>
    </row>
    <row r="66" spans="1:21" x14ac:dyDescent="0.25">
      <c r="A66">
        <f t="shared" si="1"/>
        <v>1964</v>
      </c>
      <c r="B66" s="2">
        <v>21.17</v>
      </c>
      <c r="C66" s="2">
        <v>4.2300000000000004</v>
      </c>
      <c r="D66" s="2">
        <v>78.73</v>
      </c>
      <c r="E66" s="2">
        <v>8.33</v>
      </c>
      <c r="F66" s="2">
        <v>17.48</v>
      </c>
      <c r="G66" s="2">
        <v>1.44</v>
      </c>
      <c r="H66" s="2">
        <v>7.61</v>
      </c>
      <c r="I66" s="2">
        <v>3.41</v>
      </c>
      <c r="J66" s="2">
        <v>4.93</v>
      </c>
      <c r="K66" s="2">
        <v>2.82</v>
      </c>
      <c r="L66" s="2">
        <v>4.3099999999999996</v>
      </c>
      <c r="M66" s="2">
        <v>3.85</v>
      </c>
      <c r="N66" s="2">
        <v>2.11</v>
      </c>
      <c r="O66" s="2">
        <v>41.25</v>
      </c>
      <c r="P66" s="2">
        <v>1.58</v>
      </c>
      <c r="Q66" s="2">
        <v>1.2</v>
      </c>
      <c r="R66" s="2">
        <v>1.97</v>
      </c>
      <c r="S66" s="2">
        <v>11.3</v>
      </c>
      <c r="T66" s="2">
        <v>2.68</v>
      </c>
      <c r="U66" s="2">
        <v>8.4</v>
      </c>
    </row>
    <row r="67" spans="1:21" x14ac:dyDescent="0.25">
      <c r="A67">
        <f t="shared" si="1"/>
        <v>1965</v>
      </c>
      <c r="B67" s="2">
        <v>22.18</v>
      </c>
      <c r="C67" s="2">
        <v>4.33</v>
      </c>
      <c r="D67" s="2">
        <v>81.010000000000005</v>
      </c>
      <c r="E67" s="2">
        <v>8.51</v>
      </c>
      <c r="F67" s="2">
        <v>18.04</v>
      </c>
      <c r="G67" s="2">
        <v>1.49</v>
      </c>
      <c r="H67" s="2">
        <v>7.81</v>
      </c>
      <c r="I67" s="2">
        <v>3.51</v>
      </c>
      <c r="J67" s="2">
        <v>5.07</v>
      </c>
      <c r="K67" s="2">
        <v>2.93</v>
      </c>
      <c r="L67" s="2">
        <v>4.41</v>
      </c>
      <c r="M67" s="2">
        <v>3.91</v>
      </c>
      <c r="N67" s="2">
        <v>2.1800000000000002</v>
      </c>
      <c r="O67" s="2">
        <v>42.69</v>
      </c>
      <c r="P67" s="2">
        <v>1.62</v>
      </c>
      <c r="Q67" s="2">
        <v>1.24</v>
      </c>
      <c r="R67" s="2">
        <v>2.0299999999999998</v>
      </c>
      <c r="S67" s="2">
        <v>11.65</v>
      </c>
      <c r="T67" s="2">
        <v>2.71</v>
      </c>
      <c r="U67" s="2">
        <v>8.7100000000000009</v>
      </c>
    </row>
    <row r="68" spans="1:21" x14ac:dyDescent="0.25">
      <c r="A68">
        <f t="shared" si="1"/>
        <v>1966</v>
      </c>
      <c r="B68" s="2">
        <v>22.49</v>
      </c>
      <c r="C68" s="2">
        <v>4.45</v>
      </c>
      <c r="D68" s="2">
        <v>82.93</v>
      </c>
      <c r="E68" s="2">
        <v>8.68</v>
      </c>
      <c r="F68" s="2">
        <v>18.47</v>
      </c>
      <c r="G68" s="2">
        <v>1.54</v>
      </c>
      <c r="H68" s="2">
        <v>7.99</v>
      </c>
      <c r="I68" s="2">
        <v>3.62</v>
      </c>
      <c r="J68" s="2">
        <v>5.22</v>
      </c>
      <c r="K68" s="2">
        <v>3.04</v>
      </c>
      <c r="L68" s="2">
        <v>4.5</v>
      </c>
      <c r="M68" s="2">
        <v>3.97</v>
      </c>
      <c r="N68" s="2">
        <v>2.2599999999999998</v>
      </c>
      <c r="O68" s="2">
        <v>44.14</v>
      </c>
      <c r="P68" s="2">
        <v>1.66</v>
      </c>
      <c r="Q68" s="2">
        <v>1.27</v>
      </c>
      <c r="R68" s="2">
        <v>2.0699999999999998</v>
      </c>
      <c r="S68" s="2">
        <v>12.01</v>
      </c>
      <c r="T68" s="2">
        <v>2.75</v>
      </c>
      <c r="U68" s="2">
        <v>9.0299999999999994</v>
      </c>
    </row>
    <row r="69" spans="1:21" x14ac:dyDescent="0.25">
      <c r="A69">
        <f t="shared" si="1"/>
        <v>1967</v>
      </c>
      <c r="B69" s="2">
        <v>22.8</v>
      </c>
      <c r="C69" s="2">
        <v>4.4800000000000004</v>
      </c>
      <c r="D69" s="2">
        <v>85.24</v>
      </c>
      <c r="E69" s="2">
        <v>8.85</v>
      </c>
      <c r="F69" s="2">
        <v>18.96</v>
      </c>
      <c r="G69" s="2">
        <v>1.59</v>
      </c>
      <c r="H69" s="2">
        <v>8.14</v>
      </c>
      <c r="I69" s="2">
        <v>3.72</v>
      </c>
      <c r="J69" s="2">
        <v>5.4</v>
      </c>
      <c r="K69" s="2">
        <v>3.15</v>
      </c>
      <c r="L69" s="2">
        <v>4.7</v>
      </c>
      <c r="M69" s="2">
        <v>4.03</v>
      </c>
      <c r="N69" s="2">
        <v>2.2799999999999998</v>
      </c>
      <c r="O69" s="2">
        <v>45.67</v>
      </c>
      <c r="P69" s="2">
        <v>1.7</v>
      </c>
      <c r="Q69" s="2">
        <v>1.31</v>
      </c>
      <c r="R69" s="2">
        <v>2.13</v>
      </c>
      <c r="S69" s="2">
        <v>12.31</v>
      </c>
      <c r="T69" s="2">
        <v>2.69</v>
      </c>
      <c r="U69" s="2">
        <v>9.31</v>
      </c>
    </row>
    <row r="70" spans="1:21" x14ac:dyDescent="0.25">
      <c r="A70">
        <f t="shared" si="1"/>
        <v>1968</v>
      </c>
      <c r="B70" s="2">
        <v>23.11</v>
      </c>
      <c r="C70" s="2">
        <v>4.51</v>
      </c>
      <c r="D70" s="2">
        <v>87.62</v>
      </c>
      <c r="E70" s="2">
        <v>9.0299999999999994</v>
      </c>
      <c r="F70" s="2">
        <v>19.46</v>
      </c>
      <c r="G70" s="2">
        <v>1.63</v>
      </c>
      <c r="H70" s="2">
        <v>8.2799999999999994</v>
      </c>
      <c r="I70" s="2">
        <v>3.83</v>
      </c>
      <c r="J70" s="2">
        <v>5.58</v>
      </c>
      <c r="K70" s="2">
        <v>3.27</v>
      </c>
      <c r="L70" s="2">
        <v>4.84</v>
      </c>
      <c r="M70" s="2">
        <v>4.0999999999999996</v>
      </c>
      <c r="N70" s="2">
        <v>2.31</v>
      </c>
      <c r="O70" s="2">
        <v>47.27</v>
      </c>
      <c r="P70" s="2">
        <v>1.74</v>
      </c>
      <c r="Q70" s="2">
        <v>1.35</v>
      </c>
      <c r="R70" s="2">
        <v>2.1800000000000002</v>
      </c>
      <c r="S70" s="2">
        <v>12.67</v>
      </c>
      <c r="T70" s="2">
        <v>2.7</v>
      </c>
      <c r="U70" s="2">
        <v>9.6199999999999992</v>
      </c>
    </row>
    <row r="71" spans="1:21" x14ac:dyDescent="0.25">
      <c r="A71">
        <f t="shared" si="1"/>
        <v>1969</v>
      </c>
      <c r="B71" s="2">
        <v>23.43</v>
      </c>
      <c r="C71" s="2">
        <v>4.55</v>
      </c>
      <c r="D71" s="2">
        <v>90.07</v>
      </c>
      <c r="E71" s="2">
        <v>9.1999999999999993</v>
      </c>
      <c r="F71" s="2">
        <v>19.98</v>
      </c>
      <c r="G71" s="2">
        <v>1.69</v>
      </c>
      <c r="H71" s="2">
        <v>8.42</v>
      </c>
      <c r="I71" s="2">
        <v>3.95</v>
      </c>
      <c r="J71" s="2">
        <v>5.77</v>
      </c>
      <c r="K71" s="2">
        <v>3.36</v>
      </c>
      <c r="L71" s="2">
        <v>5.0199999999999996</v>
      </c>
      <c r="M71" s="2">
        <v>4.16</v>
      </c>
      <c r="N71" s="2">
        <v>2.4500000000000002</v>
      </c>
      <c r="O71" s="2">
        <v>48.93</v>
      </c>
      <c r="P71" s="2">
        <v>1.79</v>
      </c>
      <c r="Q71" s="2">
        <v>1.39</v>
      </c>
      <c r="R71" s="2">
        <v>2.2400000000000002</v>
      </c>
      <c r="S71" s="2">
        <v>13.05</v>
      </c>
      <c r="T71" s="2">
        <v>2.71</v>
      </c>
      <c r="U71" s="2">
        <v>9.94</v>
      </c>
    </row>
    <row r="72" spans="1:21" x14ac:dyDescent="0.25">
      <c r="A72">
        <f t="shared" si="1"/>
        <v>1970</v>
      </c>
      <c r="B72" s="2">
        <v>23.75</v>
      </c>
      <c r="C72" s="2">
        <v>4.58</v>
      </c>
      <c r="D72" s="2">
        <v>92.52</v>
      </c>
      <c r="E72" s="2">
        <v>9.3699999999999992</v>
      </c>
      <c r="F72" s="2">
        <v>20.53</v>
      </c>
      <c r="G72" s="2">
        <v>1.73</v>
      </c>
      <c r="H72" s="2">
        <v>8.5500000000000007</v>
      </c>
      <c r="I72" s="2">
        <v>4.0599999999999996</v>
      </c>
      <c r="J72" s="2">
        <v>5.96</v>
      </c>
      <c r="K72" s="2">
        <v>3.44</v>
      </c>
      <c r="L72" s="2">
        <v>5.27</v>
      </c>
      <c r="M72" s="2">
        <v>4.24</v>
      </c>
      <c r="N72" s="2">
        <v>2.64</v>
      </c>
      <c r="O72" s="2">
        <v>50.69</v>
      </c>
      <c r="P72" s="2">
        <v>1.83</v>
      </c>
      <c r="Q72" s="2">
        <v>1.43</v>
      </c>
      <c r="R72" s="2">
        <v>2.2999999999999998</v>
      </c>
      <c r="S72" s="2">
        <v>13.45</v>
      </c>
      <c r="T72" s="2">
        <v>2.73</v>
      </c>
      <c r="U72" s="2">
        <v>10.28</v>
      </c>
    </row>
    <row r="73" spans="1:21" x14ac:dyDescent="0.25">
      <c r="A73">
        <f t="shared" si="1"/>
        <v>1971</v>
      </c>
      <c r="B73" s="2">
        <v>24.07</v>
      </c>
      <c r="C73" s="2">
        <v>4.62</v>
      </c>
      <c r="D73" s="2">
        <v>95.17</v>
      </c>
      <c r="E73" s="2">
        <v>9.5299999999999994</v>
      </c>
      <c r="F73" s="2">
        <v>21.09</v>
      </c>
      <c r="G73" s="2">
        <v>1.8</v>
      </c>
      <c r="H73" s="2">
        <v>8.69</v>
      </c>
      <c r="I73" s="2">
        <v>4.18</v>
      </c>
      <c r="J73" s="2">
        <v>6.17</v>
      </c>
      <c r="K73" s="2">
        <v>3.55</v>
      </c>
      <c r="L73" s="2">
        <v>5.42</v>
      </c>
      <c r="M73" s="2">
        <v>4.3099999999999996</v>
      </c>
      <c r="N73" s="2">
        <v>2.72</v>
      </c>
      <c r="O73" s="2">
        <v>52.45</v>
      </c>
      <c r="P73" s="2">
        <v>1.89</v>
      </c>
      <c r="Q73" s="2">
        <v>1.48</v>
      </c>
      <c r="R73" s="2">
        <v>2.36</v>
      </c>
      <c r="S73" s="2">
        <v>13.59</v>
      </c>
      <c r="T73" s="2">
        <v>2.74</v>
      </c>
      <c r="U73" s="2">
        <v>10.61</v>
      </c>
    </row>
    <row r="74" spans="1:21" x14ac:dyDescent="0.25">
      <c r="A74">
        <f t="shared" si="1"/>
        <v>1972</v>
      </c>
      <c r="B74" s="2">
        <v>24.39</v>
      </c>
      <c r="C74" s="2">
        <v>4.6399999999999997</v>
      </c>
      <c r="D74" s="2">
        <v>97.85</v>
      </c>
      <c r="E74" s="2">
        <v>9.6999999999999993</v>
      </c>
      <c r="F74" s="2">
        <v>21.67</v>
      </c>
      <c r="G74" s="2">
        <v>1.84</v>
      </c>
      <c r="H74" s="2">
        <v>8.86</v>
      </c>
      <c r="I74" s="2">
        <v>4.3</v>
      </c>
      <c r="J74" s="2">
        <v>6.38</v>
      </c>
      <c r="K74" s="2">
        <v>3.67</v>
      </c>
      <c r="L74" s="2">
        <v>5.58</v>
      </c>
      <c r="M74" s="2">
        <v>4.37</v>
      </c>
      <c r="N74" s="2">
        <v>2.81</v>
      </c>
      <c r="O74" s="2">
        <v>54.27</v>
      </c>
      <c r="P74" s="2">
        <v>1.95</v>
      </c>
      <c r="Q74" s="2">
        <v>1.52</v>
      </c>
      <c r="R74" s="2">
        <v>2.4300000000000002</v>
      </c>
      <c r="S74" s="2">
        <v>13.95</v>
      </c>
      <c r="T74" s="2">
        <v>2.75</v>
      </c>
      <c r="U74" s="2">
        <v>10.94</v>
      </c>
    </row>
    <row r="75" spans="1:21" x14ac:dyDescent="0.25">
      <c r="A75">
        <f t="shared" si="1"/>
        <v>1973</v>
      </c>
      <c r="B75" s="2">
        <v>24.82</v>
      </c>
      <c r="C75" s="2">
        <v>4.67</v>
      </c>
      <c r="D75" s="2">
        <v>99.92</v>
      </c>
      <c r="E75" s="2">
        <v>9.86</v>
      </c>
      <c r="F75" s="2">
        <v>22.34</v>
      </c>
      <c r="G75" s="2">
        <v>1.87</v>
      </c>
      <c r="H75" s="2">
        <v>9.0399999999999991</v>
      </c>
      <c r="I75" s="2">
        <v>4.43</v>
      </c>
      <c r="J75" s="2">
        <v>6.6</v>
      </c>
      <c r="K75" s="2">
        <v>3.77</v>
      </c>
      <c r="L75" s="2">
        <v>5.74</v>
      </c>
      <c r="M75" s="2">
        <v>4.4400000000000004</v>
      </c>
      <c r="N75" s="2">
        <v>2.9</v>
      </c>
      <c r="O75" s="2">
        <v>56.16</v>
      </c>
      <c r="P75" s="2">
        <v>2.0099999999999998</v>
      </c>
      <c r="Q75" s="2">
        <v>1.57</v>
      </c>
      <c r="R75" s="2">
        <v>2.5</v>
      </c>
      <c r="S75" s="2">
        <v>14.35</v>
      </c>
      <c r="T75" s="2">
        <v>2.76</v>
      </c>
      <c r="U75" s="2">
        <v>11.28</v>
      </c>
    </row>
    <row r="76" spans="1:21" x14ac:dyDescent="0.25">
      <c r="A76">
        <f t="shared" si="1"/>
        <v>1974</v>
      </c>
      <c r="B76" s="2">
        <v>25.22</v>
      </c>
      <c r="C76" s="2">
        <v>4.75</v>
      </c>
      <c r="D76" s="2">
        <v>102.4</v>
      </c>
      <c r="E76" s="2">
        <v>10.029999999999999</v>
      </c>
      <c r="F76" s="2">
        <v>22.98</v>
      </c>
      <c r="G76" s="2">
        <v>1.92</v>
      </c>
      <c r="H76" s="2">
        <v>9.19</v>
      </c>
      <c r="I76" s="2">
        <v>4.5599999999999996</v>
      </c>
      <c r="J76" s="2">
        <v>6.83</v>
      </c>
      <c r="K76" s="2">
        <v>3.89</v>
      </c>
      <c r="L76" s="2">
        <v>6.05</v>
      </c>
      <c r="M76" s="2">
        <v>4.51</v>
      </c>
      <c r="N76" s="2">
        <v>2.99</v>
      </c>
      <c r="O76" s="2">
        <v>58.12</v>
      </c>
      <c r="P76" s="2">
        <v>2.08</v>
      </c>
      <c r="Q76" s="2">
        <v>1.62</v>
      </c>
      <c r="R76" s="2">
        <v>2.57</v>
      </c>
      <c r="S76" s="2">
        <v>15.16</v>
      </c>
      <c r="T76" s="2">
        <v>2.77</v>
      </c>
      <c r="U76" s="2">
        <v>11.63</v>
      </c>
    </row>
    <row r="77" spans="1:21" x14ac:dyDescent="0.25">
      <c r="A77">
        <f t="shared" si="1"/>
        <v>1975</v>
      </c>
      <c r="B77" s="2">
        <v>26.05</v>
      </c>
      <c r="C77" s="2">
        <v>4.8899999999999997</v>
      </c>
      <c r="D77" s="2">
        <v>104.94</v>
      </c>
      <c r="E77" s="2">
        <v>10.199999999999999</v>
      </c>
      <c r="F77" s="2">
        <v>23.64</v>
      </c>
      <c r="G77" s="2">
        <v>1.96</v>
      </c>
      <c r="H77" s="2">
        <v>8.5500000000000007</v>
      </c>
      <c r="I77" s="2">
        <v>4.7</v>
      </c>
      <c r="J77" s="2">
        <v>7.03</v>
      </c>
      <c r="K77" s="2">
        <v>4.01</v>
      </c>
      <c r="L77" s="2">
        <v>6.24</v>
      </c>
      <c r="M77" s="2">
        <v>4.58</v>
      </c>
      <c r="N77" s="2">
        <v>3.09</v>
      </c>
      <c r="O77" s="2">
        <v>60.15</v>
      </c>
      <c r="P77" s="2">
        <v>2.16</v>
      </c>
      <c r="Q77" s="2">
        <v>1.68</v>
      </c>
      <c r="R77" s="2">
        <v>2.69</v>
      </c>
      <c r="S77" s="2">
        <v>15.47</v>
      </c>
      <c r="T77" s="2">
        <v>2.83</v>
      </c>
      <c r="U77" s="2">
        <v>12.67</v>
      </c>
    </row>
    <row r="78" spans="1:21" x14ac:dyDescent="0.25">
      <c r="A78">
        <f t="shared" si="1"/>
        <v>1976</v>
      </c>
      <c r="B78" s="2">
        <v>26.48</v>
      </c>
      <c r="C78" s="2">
        <v>5.03</v>
      </c>
      <c r="D78" s="2">
        <v>107.54</v>
      </c>
      <c r="E78" s="2">
        <v>10.37</v>
      </c>
      <c r="F78" s="2">
        <v>24.33</v>
      </c>
      <c r="G78" s="2">
        <v>2.0099999999999998</v>
      </c>
      <c r="H78" s="2">
        <v>9.43</v>
      </c>
      <c r="I78" s="2">
        <v>4.8899999999999997</v>
      </c>
      <c r="J78" s="2">
        <v>7.24</v>
      </c>
      <c r="K78" s="2">
        <v>4.12</v>
      </c>
      <c r="L78" s="2">
        <v>6.43</v>
      </c>
      <c r="M78" s="2">
        <v>4.67</v>
      </c>
      <c r="N78" s="2">
        <v>3.2</v>
      </c>
      <c r="O78" s="2">
        <v>61.98</v>
      </c>
      <c r="P78" s="2">
        <v>2.2400000000000002</v>
      </c>
      <c r="Q78" s="2">
        <v>1.72</v>
      </c>
      <c r="R78" s="2">
        <v>2.78</v>
      </c>
      <c r="S78" s="2">
        <v>15.57</v>
      </c>
      <c r="T78" s="2">
        <v>2.85</v>
      </c>
      <c r="U78" s="2">
        <v>13.12</v>
      </c>
    </row>
    <row r="79" spans="1:21" x14ac:dyDescent="0.25">
      <c r="A79">
        <f t="shared" si="1"/>
        <v>1977</v>
      </c>
      <c r="B79" s="2">
        <v>26.91</v>
      </c>
      <c r="C79" s="2">
        <v>5.16</v>
      </c>
      <c r="D79" s="2">
        <v>110.21</v>
      </c>
      <c r="E79" s="2">
        <v>10.66</v>
      </c>
      <c r="F79" s="2">
        <v>24.43</v>
      </c>
      <c r="G79" s="2">
        <v>2.0699999999999998</v>
      </c>
      <c r="H79" s="2">
        <v>9.5500000000000007</v>
      </c>
      <c r="I79" s="2">
        <v>5.03</v>
      </c>
      <c r="J79" s="2">
        <v>7.45</v>
      </c>
      <c r="K79" s="2">
        <v>4.26</v>
      </c>
      <c r="L79" s="2">
        <v>6.36</v>
      </c>
      <c r="M79" s="2">
        <v>4.75</v>
      </c>
      <c r="N79" s="2">
        <v>3.32</v>
      </c>
      <c r="O79" s="2">
        <v>63.81</v>
      </c>
      <c r="P79" s="2">
        <v>2.3199999999999998</v>
      </c>
      <c r="Q79" s="2">
        <v>1.79</v>
      </c>
      <c r="R79" s="2">
        <v>2.85</v>
      </c>
      <c r="S79" s="2">
        <v>15.99</v>
      </c>
      <c r="T79" s="2">
        <v>2.86</v>
      </c>
      <c r="U79" s="2">
        <v>13.59</v>
      </c>
    </row>
    <row r="80" spans="1:21" x14ac:dyDescent="0.25">
      <c r="A80">
        <f t="shared" si="1"/>
        <v>1978</v>
      </c>
      <c r="B80" s="2">
        <v>27.35</v>
      </c>
      <c r="C80" s="2">
        <v>5.3</v>
      </c>
      <c r="D80" s="2">
        <v>112.94</v>
      </c>
      <c r="E80" s="2">
        <v>10.82</v>
      </c>
      <c r="F80" s="2">
        <v>24.91</v>
      </c>
      <c r="G80" s="2">
        <v>2.12</v>
      </c>
      <c r="H80" s="2">
        <v>9.64</v>
      </c>
      <c r="I80" s="2">
        <v>5.17</v>
      </c>
      <c r="J80" s="2">
        <v>7.67</v>
      </c>
      <c r="K80" s="2">
        <v>4.3499999999999996</v>
      </c>
      <c r="L80" s="2">
        <v>6.54</v>
      </c>
      <c r="M80" s="2">
        <v>4.83</v>
      </c>
      <c r="N80" s="2">
        <v>3.44</v>
      </c>
      <c r="O80" s="2">
        <v>65.66</v>
      </c>
      <c r="P80" s="2">
        <v>2.41</v>
      </c>
      <c r="Q80" s="2">
        <v>1.84</v>
      </c>
      <c r="R80" s="2">
        <v>2.95</v>
      </c>
      <c r="S80" s="2">
        <v>16.41</v>
      </c>
      <c r="T80" s="2">
        <v>2.88</v>
      </c>
      <c r="U80" s="2">
        <v>14.07</v>
      </c>
    </row>
    <row r="81" spans="1:21" x14ac:dyDescent="0.25">
      <c r="A81">
        <f t="shared" si="1"/>
        <v>1979</v>
      </c>
      <c r="B81" s="2">
        <v>27.79</v>
      </c>
      <c r="C81" s="2">
        <v>5.45</v>
      </c>
      <c r="D81" s="2">
        <v>115.74</v>
      </c>
      <c r="E81" s="2">
        <v>10.98</v>
      </c>
      <c r="F81" s="2">
        <v>25.38</v>
      </c>
      <c r="G81" s="2">
        <v>2.17</v>
      </c>
      <c r="H81" s="2">
        <v>9.7200000000000006</v>
      </c>
      <c r="I81" s="2">
        <v>5.3</v>
      </c>
      <c r="J81" s="2">
        <v>7.89</v>
      </c>
      <c r="K81" s="2">
        <v>4.4400000000000004</v>
      </c>
      <c r="L81" s="2">
        <v>6.73</v>
      </c>
      <c r="M81" s="2">
        <v>4.92</v>
      </c>
      <c r="N81" s="2">
        <v>3.56</v>
      </c>
      <c r="O81" s="2">
        <v>67.52</v>
      </c>
      <c r="P81" s="2">
        <v>2.64</v>
      </c>
      <c r="Q81" s="2">
        <v>1.88</v>
      </c>
      <c r="R81" s="2">
        <v>3.05</v>
      </c>
      <c r="S81" s="2">
        <v>16.850000000000001</v>
      </c>
      <c r="T81" s="2">
        <v>2.89</v>
      </c>
      <c r="U81" s="2">
        <v>14.55</v>
      </c>
    </row>
    <row r="82" spans="1:21" x14ac:dyDescent="0.25">
      <c r="A82">
        <f t="shared" si="1"/>
        <v>1980</v>
      </c>
      <c r="B82" s="2">
        <v>28.24</v>
      </c>
      <c r="C82" s="2">
        <v>5.6</v>
      </c>
      <c r="D82" s="2">
        <v>121.29</v>
      </c>
      <c r="E82" s="2">
        <v>11.15</v>
      </c>
      <c r="F82" s="2">
        <v>25.89</v>
      </c>
      <c r="G82" s="2">
        <v>2.25</v>
      </c>
      <c r="H82" s="2">
        <v>9.7200000000000006</v>
      </c>
      <c r="I82" s="2">
        <v>5.44</v>
      </c>
      <c r="J82" s="2">
        <v>8.1199999999999992</v>
      </c>
      <c r="K82" s="2">
        <v>4.51</v>
      </c>
      <c r="L82" s="2">
        <v>6.92</v>
      </c>
      <c r="M82" s="2">
        <v>5.01</v>
      </c>
      <c r="N82" s="2">
        <v>3.69</v>
      </c>
      <c r="O82" s="2">
        <v>69.66</v>
      </c>
      <c r="P82" s="2">
        <v>2.73</v>
      </c>
      <c r="Q82" s="2">
        <v>1.96</v>
      </c>
      <c r="R82" s="2">
        <v>3.15</v>
      </c>
      <c r="S82" s="2">
        <v>17.3</v>
      </c>
      <c r="T82" s="2">
        <v>2.91</v>
      </c>
      <c r="U82" s="2">
        <v>15.02</v>
      </c>
    </row>
    <row r="83" spans="1:21" x14ac:dyDescent="0.25">
      <c r="A83">
        <f t="shared" si="1"/>
        <v>1981</v>
      </c>
      <c r="B83" s="2">
        <v>28.66</v>
      </c>
      <c r="C83" s="2">
        <v>5.76</v>
      </c>
      <c r="D83" s="2">
        <v>124.07</v>
      </c>
      <c r="E83" s="2">
        <v>11.33</v>
      </c>
      <c r="F83" s="2">
        <v>26.43</v>
      </c>
      <c r="G83" s="2">
        <v>2.27</v>
      </c>
      <c r="H83" s="2">
        <v>9.7200000000000006</v>
      </c>
      <c r="I83" s="2">
        <v>5.58</v>
      </c>
      <c r="J83" s="2">
        <v>8.36</v>
      </c>
      <c r="K83" s="2">
        <v>4.59</v>
      </c>
      <c r="L83" s="2">
        <v>7.11</v>
      </c>
      <c r="M83" s="2">
        <v>5.0999999999999996</v>
      </c>
      <c r="N83" s="2">
        <v>3.82</v>
      </c>
      <c r="O83" s="2">
        <v>71.349999999999994</v>
      </c>
      <c r="P83" s="2">
        <v>2.86</v>
      </c>
      <c r="Q83" s="2">
        <v>2</v>
      </c>
      <c r="R83" s="2">
        <v>3.25</v>
      </c>
      <c r="S83" s="2">
        <v>17.760000000000002</v>
      </c>
      <c r="T83" s="2">
        <v>2.93</v>
      </c>
      <c r="U83" s="2">
        <v>15.48</v>
      </c>
    </row>
    <row r="84" spans="1:21" x14ac:dyDescent="0.25">
      <c r="A84">
        <f t="shared" si="1"/>
        <v>1982</v>
      </c>
      <c r="B84" s="2">
        <v>29.09</v>
      </c>
      <c r="C84" s="2">
        <v>5.92</v>
      </c>
      <c r="D84" s="2">
        <v>126.9</v>
      </c>
      <c r="E84" s="2">
        <v>11.52</v>
      </c>
      <c r="F84" s="2">
        <v>26.97</v>
      </c>
      <c r="G84" s="2">
        <v>2.42</v>
      </c>
      <c r="H84" s="2">
        <v>9.8000000000000007</v>
      </c>
      <c r="I84" s="2">
        <v>5.98</v>
      </c>
      <c r="J84" s="2">
        <v>8.61</v>
      </c>
      <c r="K84" s="2">
        <v>4.66</v>
      </c>
      <c r="L84" s="2">
        <v>7.32</v>
      </c>
      <c r="M84" s="2">
        <v>5.56</v>
      </c>
      <c r="N84" s="2">
        <v>3.96</v>
      </c>
      <c r="O84" s="2">
        <v>73.02</v>
      </c>
      <c r="P84" s="2">
        <v>2.96</v>
      </c>
      <c r="Q84" s="2">
        <v>2.04</v>
      </c>
      <c r="R84" s="2">
        <v>3.36</v>
      </c>
      <c r="S84" s="2">
        <v>18.14</v>
      </c>
      <c r="T84" s="2">
        <v>2.95</v>
      </c>
      <c r="U84" s="2">
        <v>15.94</v>
      </c>
    </row>
    <row r="85" spans="1:21" x14ac:dyDescent="0.25">
      <c r="A85">
        <f t="shared" si="1"/>
        <v>1983</v>
      </c>
      <c r="B85" s="2">
        <v>29.51</v>
      </c>
      <c r="C85" s="2">
        <v>6.08</v>
      </c>
      <c r="D85" s="2">
        <v>129.77000000000001</v>
      </c>
      <c r="E85" s="2">
        <v>11.72</v>
      </c>
      <c r="F85" s="2">
        <v>27.5</v>
      </c>
      <c r="G85" s="2">
        <v>2.5</v>
      </c>
      <c r="H85" s="2">
        <v>9.9</v>
      </c>
      <c r="I85" s="2">
        <v>6.12</v>
      </c>
      <c r="J85" s="2">
        <v>8.86</v>
      </c>
      <c r="K85" s="2">
        <v>4.72</v>
      </c>
      <c r="L85" s="2">
        <v>7.52</v>
      </c>
      <c r="M85" s="2">
        <v>5.66</v>
      </c>
      <c r="N85" s="2">
        <v>4.09</v>
      </c>
      <c r="O85" s="2">
        <v>74.67</v>
      </c>
      <c r="P85" s="2">
        <v>3.06</v>
      </c>
      <c r="Q85" s="2">
        <v>2.09</v>
      </c>
      <c r="R85" s="2">
        <v>3.47</v>
      </c>
      <c r="S85" s="2">
        <v>18.57</v>
      </c>
      <c r="T85" s="2">
        <v>2.97</v>
      </c>
      <c r="U85" s="2">
        <v>16.39</v>
      </c>
    </row>
    <row r="86" spans="1:21" x14ac:dyDescent="0.25">
      <c r="A86">
        <f t="shared" si="1"/>
        <v>1984</v>
      </c>
      <c r="B86" s="2">
        <v>29.88</v>
      </c>
      <c r="C86" s="2">
        <v>5.78</v>
      </c>
      <c r="D86" s="2">
        <v>129.32</v>
      </c>
      <c r="E86" s="2">
        <v>11.92</v>
      </c>
      <c r="F86" s="2">
        <v>28.06</v>
      </c>
      <c r="G86" s="2">
        <v>2.57</v>
      </c>
      <c r="H86" s="2">
        <v>9.99</v>
      </c>
      <c r="I86" s="2">
        <v>6.27</v>
      </c>
      <c r="J86" s="2">
        <v>8.8699999999999992</v>
      </c>
      <c r="K86" s="2">
        <v>4.78</v>
      </c>
      <c r="L86" s="2">
        <v>7.74</v>
      </c>
      <c r="M86" s="2">
        <v>5.76</v>
      </c>
      <c r="N86" s="2">
        <v>4.2300000000000004</v>
      </c>
      <c r="O86" s="2">
        <v>76.31</v>
      </c>
      <c r="P86" s="2">
        <v>3.16</v>
      </c>
      <c r="Q86" s="2">
        <v>2.13</v>
      </c>
      <c r="R86" s="2">
        <v>3.58</v>
      </c>
      <c r="S86" s="2">
        <v>18.989999999999998</v>
      </c>
      <c r="T86" s="2">
        <v>2.99</v>
      </c>
      <c r="U86" s="2">
        <v>16.850000000000001</v>
      </c>
    </row>
    <row r="87" spans="1:21" x14ac:dyDescent="0.25">
      <c r="A87">
        <f t="shared" si="1"/>
        <v>1985</v>
      </c>
      <c r="B87" s="2">
        <v>30.32</v>
      </c>
      <c r="C87" s="2">
        <v>5.9</v>
      </c>
      <c r="D87" s="2">
        <v>131.97999999999999</v>
      </c>
      <c r="E87" s="2">
        <v>12.12</v>
      </c>
      <c r="F87" s="2">
        <v>29.48</v>
      </c>
      <c r="G87" s="2">
        <v>2.64</v>
      </c>
      <c r="H87" s="2">
        <v>10.1</v>
      </c>
      <c r="I87" s="2">
        <v>6.42</v>
      </c>
      <c r="J87" s="2">
        <v>9.1</v>
      </c>
      <c r="K87" s="2">
        <v>4.8600000000000003</v>
      </c>
      <c r="L87" s="2">
        <v>7.96</v>
      </c>
      <c r="M87" s="2">
        <v>5.87</v>
      </c>
      <c r="N87" s="2">
        <v>4.37</v>
      </c>
      <c r="O87" s="2">
        <v>77.94</v>
      </c>
      <c r="P87" s="2">
        <v>3.27</v>
      </c>
      <c r="Q87" s="2">
        <v>2.1800000000000002</v>
      </c>
      <c r="R87" s="2">
        <v>3.61</v>
      </c>
      <c r="S87" s="2">
        <v>19.420000000000002</v>
      </c>
      <c r="T87" s="2">
        <v>3.01</v>
      </c>
      <c r="U87" s="2">
        <v>17.32</v>
      </c>
    </row>
    <row r="88" spans="1:21" x14ac:dyDescent="0.25">
      <c r="A88">
        <f t="shared" si="1"/>
        <v>1986</v>
      </c>
      <c r="B88" s="2">
        <v>30.77</v>
      </c>
      <c r="C88" s="2">
        <v>6.02</v>
      </c>
      <c r="D88" s="2">
        <v>134.61000000000001</v>
      </c>
      <c r="E88" s="2">
        <v>12.33</v>
      </c>
      <c r="F88" s="2">
        <v>30.02</v>
      </c>
      <c r="G88" s="2">
        <v>2.72</v>
      </c>
      <c r="H88" s="2">
        <v>10.199999999999999</v>
      </c>
      <c r="I88" s="2">
        <v>6.57</v>
      </c>
      <c r="J88" s="2">
        <v>9.33</v>
      </c>
      <c r="K88" s="2">
        <v>4.95</v>
      </c>
      <c r="L88" s="2">
        <v>8.1999999999999993</v>
      </c>
      <c r="M88" s="2">
        <v>5.99</v>
      </c>
      <c r="N88" s="2">
        <v>4.51</v>
      </c>
      <c r="O88" s="2">
        <v>79.569999999999993</v>
      </c>
      <c r="P88" s="2">
        <v>3.38</v>
      </c>
      <c r="Q88" s="2">
        <v>2.23</v>
      </c>
      <c r="R88" s="2">
        <v>3.72</v>
      </c>
      <c r="S88" s="2">
        <v>19.84</v>
      </c>
      <c r="T88" s="2">
        <v>3.03</v>
      </c>
      <c r="U88" s="2">
        <v>17.53</v>
      </c>
    </row>
    <row r="89" spans="1:21" x14ac:dyDescent="0.25">
      <c r="A89">
        <f t="shared" si="1"/>
        <v>1987</v>
      </c>
      <c r="B89" s="2">
        <v>31.22</v>
      </c>
      <c r="C89" s="2">
        <v>6.16</v>
      </c>
      <c r="D89" s="2">
        <v>137.18</v>
      </c>
      <c r="E89" s="2">
        <v>12.54</v>
      </c>
      <c r="F89" s="2">
        <v>30.58</v>
      </c>
      <c r="G89" s="2">
        <v>2.78</v>
      </c>
      <c r="H89" s="2">
        <v>10.3</v>
      </c>
      <c r="I89" s="2">
        <v>6.72</v>
      </c>
      <c r="J89" s="2">
        <v>9.56</v>
      </c>
      <c r="K89" s="2">
        <v>5.05</v>
      </c>
      <c r="L89" s="2">
        <v>8.43</v>
      </c>
      <c r="M89" s="2">
        <v>6.11</v>
      </c>
      <c r="N89" s="2">
        <v>4.66</v>
      </c>
      <c r="O89" s="2">
        <v>81.2</v>
      </c>
      <c r="P89" s="2">
        <v>3.5</v>
      </c>
      <c r="Q89" s="2">
        <v>2.27</v>
      </c>
      <c r="R89" s="2">
        <v>3.84</v>
      </c>
      <c r="S89" s="2">
        <v>20.260000000000002</v>
      </c>
      <c r="T89" s="2">
        <v>3.04</v>
      </c>
      <c r="U89" s="2">
        <v>17.97</v>
      </c>
    </row>
    <row r="90" spans="1:21" x14ac:dyDescent="0.25">
      <c r="A90">
        <f t="shared" si="1"/>
        <v>1988</v>
      </c>
      <c r="B90" s="2">
        <v>31.64</v>
      </c>
      <c r="C90" s="2">
        <v>6.29</v>
      </c>
      <c r="D90" s="2">
        <v>139.82</v>
      </c>
      <c r="E90" s="2">
        <v>12.75</v>
      </c>
      <c r="F90" s="2">
        <v>31.14</v>
      </c>
      <c r="G90" s="2">
        <v>2.85</v>
      </c>
      <c r="H90" s="2">
        <v>10.41</v>
      </c>
      <c r="I90" s="2">
        <v>6.87</v>
      </c>
      <c r="J90" s="2">
        <v>9.7899999999999991</v>
      </c>
      <c r="K90" s="2">
        <v>5.09</v>
      </c>
      <c r="L90" s="2">
        <v>8.68</v>
      </c>
      <c r="M90" s="2">
        <v>6.24</v>
      </c>
      <c r="N90" s="2">
        <v>4.8</v>
      </c>
      <c r="O90" s="2">
        <v>82.72</v>
      </c>
      <c r="P90" s="2">
        <v>3.62</v>
      </c>
      <c r="Q90" s="2">
        <v>2.2999999999999998</v>
      </c>
      <c r="R90" s="2">
        <v>3.96</v>
      </c>
      <c r="S90" s="2">
        <v>20.68</v>
      </c>
      <c r="T90" s="2">
        <v>3.06</v>
      </c>
      <c r="U90" s="2">
        <v>18.16</v>
      </c>
    </row>
    <row r="91" spans="1:21" x14ac:dyDescent="0.25">
      <c r="A91">
        <f t="shared" si="1"/>
        <v>1989</v>
      </c>
      <c r="B91" s="2">
        <v>32.08</v>
      </c>
      <c r="C91" s="2">
        <v>6.43</v>
      </c>
      <c r="D91" s="2">
        <v>142.31</v>
      </c>
      <c r="E91" s="2">
        <v>12.96</v>
      </c>
      <c r="F91" s="2">
        <v>31.72</v>
      </c>
      <c r="G91" s="2">
        <v>2.92</v>
      </c>
      <c r="H91" s="2">
        <v>10.52</v>
      </c>
      <c r="I91" s="2">
        <v>7.02</v>
      </c>
      <c r="J91" s="2">
        <v>10.029999999999999</v>
      </c>
      <c r="K91" s="2">
        <v>5.19</v>
      </c>
      <c r="L91" s="2">
        <v>8.94</v>
      </c>
      <c r="M91" s="2">
        <v>6.36</v>
      </c>
      <c r="N91" s="2">
        <v>4.5999999999999996</v>
      </c>
      <c r="O91" s="2">
        <v>81.66</v>
      </c>
      <c r="P91" s="2">
        <v>3.75</v>
      </c>
      <c r="Q91" s="2">
        <v>2.35</v>
      </c>
      <c r="R91" s="2">
        <v>4.09</v>
      </c>
      <c r="S91" s="2">
        <v>21.11</v>
      </c>
      <c r="T91" s="2">
        <v>3.09</v>
      </c>
      <c r="U91" s="2">
        <v>18.87</v>
      </c>
    </row>
    <row r="92" spans="1:21" x14ac:dyDescent="0.25">
      <c r="A92">
        <f t="shared" si="1"/>
        <v>1990</v>
      </c>
      <c r="B92" s="2">
        <v>32.53</v>
      </c>
      <c r="C92" s="2">
        <v>6.57</v>
      </c>
      <c r="D92" s="2">
        <v>144.72</v>
      </c>
      <c r="E92" s="2">
        <v>13.1</v>
      </c>
      <c r="F92" s="2">
        <v>32.299999999999997</v>
      </c>
      <c r="G92" s="2">
        <v>2.81</v>
      </c>
      <c r="H92" s="2">
        <v>10.63</v>
      </c>
      <c r="I92" s="2">
        <v>7.17</v>
      </c>
      <c r="J92" s="2">
        <v>10.26</v>
      </c>
      <c r="K92" s="2">
        <v>5.1100000000000003</v>
      </c>
      <c r="L92" s="2">
        <v>9.1999999999999993</v>
      </c>
      <c r="M92" s="2">
        <v>6.49</v>
      </c>
      <c r="N92" s="2">
        <v>4.76</v>
      </c>
      <c r="O92" s="2">
        <v>83.23</v>
      </c>
      <c r="P92" s="2">
        <v>3.87</v>
      </c>
      <c r="Q92" s="2">
        <v>2.4</v>
      </c>
      <c r="R92" s="2">
        <v>4.22</v>
      </c>
      <c r="S92" s="2">
        <v>21.57</v>
      </c>
      <c r="T92" s="2">
        <v>3.11</v>
      </c>
      <c r="U92" s="2">
        <v>19.5</v>
      </c>
    </row>
    <row r="93" spans="1:21" x14ac:dyDescent="0.25">
      <c r="A93">
        <f t="shared" si="1"/>
        <v>1991</v>
      </c>
      <c r="B93" s="2">
        <v>32.97</v>
      </c>
      <c r="C93" s="2">
        <v>6.73</v>
      </c>
      <c r="D93" s="2">
        <v>147.07</v>
      </c>
      <c r="E93" s="2">
        <v>13.32</v>
      </c>
      <c r="F93" s="2">
        <v>32.840000000000003</v>
      </c>
      <c r="G93" s="2">
        <v>2.87</v>
      </c>
      <c r="H93" s="2">
        <v>10.74</v>
      </c>
      <c r="I93" s="2">
        <v>7.32</v>
      </c>
      <c r="J93" s="2">
        <v>10.5</v>
      </c>
      <c r="K93" s="2">
        <v>5.35</v>
      </c>
      <c r="L93" s="2">
        <v>9.4700000000000006</v>
      </c>
      <c r="M93" s="2">
        <v>6.63</v>
      </c>
      <c r="N93" s="2">
        <v>4.92</v>
      </c>
      <c r="O93" s="2">
        <v>84.8</v>
      </c>
      <c r="P93" s="2">
        <v>4</v>
      </c>
      <c r="Q93" s="2">
        <v>2.44</v>
      </c>
      <c r="R93" s="2">
        <v>4.33</v>
      </c>
      <c r="S93" s="2">
        <v>22</v>
      </c>
      <c r="T93" s="2">
        <v>3.13</v>
      </c>
      <c r="U93" s="2">
        <v>19.97</v>
      </c>
    </row>
    <row r="94" spans="1:21" x14ac:dyDescent="0.25">
      <c r="A94">
        <f t="shared" si="1"/>
        <v>1992</v>
      </c>
      <c r="B94" s="2">
        <v>33.42</v>
      </c>
      <c r="C94" s="2">
        <v>6.9</v>
      </c>
      <c r="D94" s="2">
        <v>149.36000000000001</v>
      </c>
      <c r="E94" s="2">
        <v>13.55</v>
      </c>
      <c r="F94" s="2">
        <v>33.39</v>
      </c>
      <c r="G94" s="2">
        <v>2.94</v>
      </c>
      <c r="H94" s="2">
        <v>10.83</v>
      </c>
      <c r="I94" s="2">
        <v>7.47</v>
      </c>
      <c r="J94" s="2">
        <v>10.74</v>
      </c>
      <c r="K94" s="2">
        <v>5.48</v>
      </c>
      <c r="L94" s="2">
        <v>9.75</v>
      </c>
      <c r="M94" s="2">
        <v>6.76</v>
      </c>
      <c r="N94" s="2">
        <v>5.08</v>
      </c>
      <c r="O94" s="2">
        <v>86.39</v>
      </c>
      <c r="P94" s="2">
        <v>4.13</v>
      </c>
      <c r="Q94" s="2">
        <v>2.4900000000000002</v>
      </c>
      <c r="R94" s="2">
        <v>4.45</v>
      </c>
      <c r="S94" s="2">
        <v>22.45</v>
      </c>
      <c r="T94" s="2">
        <v>3.15</v>
      </c>
      <c r="U94" s="2">
        <v>20.440000000000001</v>
      </c>
    </row>
    <row r="95" spans="1:21" x14ac:dyDescent="0.25">
      <c r="A95">
        <f t="shared" si="1"/>
        <v>1993</v>
      </c>
      <c r="B95" s="2">
        <v>33.869999999999997</v>
      </c>
      <c r="C95" s="2">
        <v>7.07</v>
      </c>
      <c r="D95" s="2">
        <v>151.57</v>
      </c>
      <c r="E95" s="2">
        <v>13.77</v>
      </c>
      <c r="F95" s="2">
        <v>33.950000000000003</v>
      </c>
      <c r="G95" s="2">
        <v>3.01</v>
      </c>
      <c r="H95" s="2">
        <v>10.9</v>
      </c>
      <c r="I95" s="2">
        <v>7.62</v>
      </c>
      <c r="J95" s="2">
        <v>10.98</v>
      </c>
      <c r="K95" s="2">
        <v>5.43</v>
      </c>
      <c r="L95" s="2">
        <v>10.029999999999999</v>
      </c>
      <c r="M95" s="2">
        <v>6.9</v>
      </c>
      <c r="N95" s="2">
        <v>5.25</v>
      </c>
      <c r="O95" s="2">
        <v>87.98</v>
      </c>
      <c r="P95" s="2">
        <v>4.2699999999999996</v>
      </c>
      <c r="Q95" s="2">
        <v>2.54</v>
      </c>
      <c r="R95" s="2">
        <v>4.58</v>
      </c>
      <c r="S95" s="2">
        <v>22.74</v>
      </c>
      <c r="T95" s="2">
        <v>3.17</v>
      </c>
      <c r="U95" s="2">
        <v>20.91</v>
      </c>
    </row>
    <row r="96" spans="1:21" x14ac:dyDescent="0.25">
      <c r="A96">
        <f t="shared" si="1"/>
        <v>1994</v>
      </c>
      <c r="B96" s="2">
        <v>34.32</v>
      </c>
      <c r="C96" s="2">
        <v>7.24</v>
      </c>
      <c r="D96" s="2">
        <v>153.72999999999999</v>
      </c>
      <c r="E96" s="2">
        <v>13.99</v>
      </c>
      <c r="F96" s="2">
        <v>34.520000000000003</v>
      </c>
      <c r="G96" s="2">
        <v>3.27</v>
      </c>
      <c r="H96" s="2">
        <v>10.95</v>
      </c>
      <c r="I96" s="2">
        <v>7.77</v>
      </c>
      <c r="J96" s="2">
        <v>11.22</v>
      </c>
      <c r="K96" s="2">
        <v>5.55</v>
      </c>
      <c r="L96" s="2">
        <v>10.32</v>
      </c>
      <c r="M96" s="2">
        <v>7.04</v>
      </c>
      <c r="N96" s="2">
        <v>5.42</v>
      </c>
      <c r="O96" s="2">
        <v>89.56</v>
      </c>
      <c r="P96" s="2">
        <v>4.4000000000000004</v>
      </c>
      <c r="Q96" s="2">
        <v>2.58</v>
      </c>
      <c r="R96" s="2">
        <v>4.7</v>
      </c>
      <c r="S96" s="2">
        <v>23.13</v>
      </c>
      <c r="T96" s="2">
        <v>3.2</v>
      </c>
      <c r="U96" s="2">
        <v>21.38</v>
      </c>
    </row>
    <row r="97" spans="1:21" x14ac:dyDescent="0.25">
      <c r="A97">
        <f t="shared" si="1"/>
        <v>1995</v>
      </c>
      <c r="B97" s="2">
        <v>34.770000000000003</v>
      </c>
      <c r="C97" s="2">
        <v>7.41</v>
      </c>
      <c r="D97" s="2">
        <v>155.82</v>
      </c>
      <c r="E97" s="2">
        <v>14.21</v>
      </c>
      <c r="F97" s="2">
        <v>35.1</v>
      </c>
      <c r="G97" s="2">
        <v>3.33</v>
      </c>
      <c r="H97" s="2">
        <v>10.98</v>
      </c>
      <c r="I97" s="2">
        <v>7.92</v>
      </c>
      <c r="J97" s="2">
        <v>11.46</v>
      </c>
      <c r="K97" s="2">
        <v>5.67</v>
      </c>
      <c r="L97" s="2">
        <v>9.98</v>
      </c>
      <c r="M97" s="2">
        <v>7.18</v>
      </c>
      <c r="N97" s="2">
        <v>5.6</v>
      </c>
      <c r="O97" s="2">
        <v>90.49</v>
      </c>
      <c r="P97" s="2">
        <v>4.54</v>
      </c>
      <c r="Q97" s="2">
        <v>2.63</v>
      </c>
      <c r="R97" s="2">
        <v>4.83</v>
      </c>
      <c r="S97" s="2">
        <v>23.53</v>
      </c>
      <c r="T97" s="2">
        <v>3.22</v>
      </c>
      <c r="U97" s="2">
        <v>21.84</v>
      </c>
    </row>
    <row r="98" spans="1:21" x14ac:dyDescent="0.25">
      <c r="A98">
        <f t="shared" si="1"/>
        <v>1996</v>
      </c>
      <c r="B98" s="2">
        <v>35.22</v>
      </c>
      <c r="C98" s="2">
        <v>7.59</v>
      </c>
      <c r="D98" s="2">
        <v>157.87</v>
      </c>
      <c r="E98" s="2">
        <v>14.42</v>
      </c>
      <c r="F98" s="2">
        <v>35.630000000000003</v>
      </c>
      <c r="G98" s="2">
        <v>3.2</v>
      </c>
      <c r="H98" s="2">
        <v>11.02</v>
      </c>
      <c r="I98" s="2">
        <v>8.0500000000000007</v>
      </c>
      <c r="J98" s="2">
        <v>11.7</v>
      </c>
      <c r="K98" s="2">
        <v>5.79</v>
      </c>
      <c r="L98" s="2">
        <v>10.24</v>
      </c>
      <c r="M98" s="2">
        <v>7.34</v>
      </c>
      <c r="N98" s="2">
        <v>5.8</v>
      </c>
      <c r="O98" s="2">
        <v>92.72</v>
      </c>
      <c r="P98" s="2">
        <v>4.55</v>
      </c>
      <c r="Q98" s="2">
        <v>2.67</v>
      </c>
      <c r="R98" s="2">
        <v>4.96</v>
      </c>
      <c r="S98" s="2">
        <v>23.95</v>
      </c>
      <c r="T98" s="2">
        <v>3.24</v>
      </c>
      <c r="U98" s="2">
        <v>22.31</v>
      </c>
    </row>
    <row r="99" spans="1:21" x14ac:dyDescent="0.25">
      <c r="A99">
        <f t="shared" si="1"/>
        <v>1997</v>
      </c>
      <c r="B99" s="2">
        <v>35.67</v>
      </c>
      <c r="C99" s="2">
        <v>7.77</v>
      </c>
      <c r="D99" s="2">
        <v>159.54</v>
      </c>
      <c r="E99" s="2">
        <v>14.62</v>
      </c>
      <c r="F99" s="2">
        <v>36.159999999999997</v>
      </c>
      <c r="G99" s="2">
        <v>3.27</v>
      </c>
      <c r="H99" s="2">
        <v>11.06</v>
      </c>
      <c r="I99" s="2">
        <v>8.1</v>
      </c>
      <c r="J99" s="2">
        <v>11.94</v>
      </c>
      <c r="K99" s="2">
        <v>5.91</v>
      </c>
      <c r="L99" s="2">
        <v>10.52</v>
      </c>
      <c r="M99" s="2">
        <v>7.49</v>
      </c>
      <c r="N99" s="2">
        <v>5.98</v>
      </c>
      <c r="O99" s="2">
        <v>94.28</v>
      </c>
      <c r="P99" s="2">
        <v>4.7</v>
      </c>
      <c r="Q99" s="2">
        <v>2.72</v>
      </c>
      <c r="R99" s="2">
        <v>5.09</v>
      </c>
      <c r="S99" s="2">
        <v>24.37</v>
      </c>
      <c r="T99" s="2">
        <v>3.27</v>
      </c>
      <c r="U99" s="2">
        <v>22.78</v>
      </c>
    </row>
    <row r="100" spans="1:21" x14ac:dyDescent="0.25">
      <c r="A100">
        <f t="shared" si="1"/>
        <v>1998</v>
      </c>
      <c r="B100" s="2">
        <v>36.119999999999997</v>
      </c>
      <c r="C100" s="2">
        <v>7.95</v>
      </c>
      <c r="D100" s="2">
        <v>161.79</v>
      </c>
      <c r="E100" s="2">
        <v>14.82</v>
      </c>
      <c r="F100" s="2">
        <v>36.700000000000003</v>
      </c>
      <c r="G100" s="2">
        <v>3.34</v>
      </c>
      <c r="H100" s="2">
        <v>11.12</v>
      </c>
      <c r="I100" s="2">
        <v>8.1</v>
      </c>
      <c r="J100" s="2">
        <v>12.17</v>
      </c>
      <c r="K100" s="2">
        <v>6.03</v>
      </c>
      <c r="L100" s="2">
        <v>10.8</v>
      </c>
      <c r="M100" s="2">
        <v>7.65</v>
      </c>
      <c r="N100" s="2">
        <v>6.18</v>
      </c>
      <c r="O100" s="2">
        <v>95.83</v>
      </c>
      <c r="P100" s="2">
        <v>4.8099999999999996</v>
      </c>
      <c r="Q100" s="2">
        <v>2.76</v>
      </c>
      <c r="R100" s="2">
        <v>5.22</v>
      </c>
      <c r="S100" s="2">
        <v>24.8</v>
      </c>
      <c r="T100" s="2">
        <v>3.29</v>
      </c>
      <c r="U100" s="2">
        <v>23.24</v>
      </c>
    </row>
    <row r="101" spans="1:21" x14ac:dyDescent="0.25">
      <c r="A101">
        <f t="shared" si="1"/>
        <v>1999</v>
      </c>
      <c r="B101" s="2">
        <v>36.58</v>
      </c>
      <c r="C101" s="2">
        <v>8.14</v>
      </c>
      <c r="D101" s="2">
        <v>167.99</v>
      </c>
      <c r="E101" s="2">
        <v>15.02</v>
      </c>
      <c r="F101" s="2">
        <v>41.56</v>
      </c>
      <c r="G101" s="2">
        <v>3.93</v>
      </c>
      <c r="H101" s="2">
        <v>11.16</v>
      </c>
      <c r="I101" s="2">
        <v>8.36</v>
      </c>
      <c r="J101" s="2">
        <v>12.41</v>
      </c>
      <c r="K101" s="2">
        <v>6.15</v>
      </c>
      <c r="L101" s="2">
        <v>11.09</v>
      </c>
      <c r="M101" s="2">
        <v>8.09</v>
      </c>
      <c r="N101" s="2">
        <v>6.32</v>
      </c>
      <c r="O101" s="2">
        <v>97.36</v>
      </c>
      <c r="P101" s="2">
        <v>4.9400000000000004</v>
      </c>
      <c r="Q101" s="2">
        <v>2.81</v>
      </c>
      <c r="R101" s="2">
        <v>5.36</v>
      </c>
      <c r="S101" s="2">
        <v>25.23</v>
      </c>
      <c r="T101" s="2">
        <v>3.31</v>
      </c>
      <c r="U101" s="2">
        <v>23.71</v>
      </c>
    </row>
    <row r="102" spans="1:21" x14ac:dyDescent="0.25">
      <c r="A102">
        <f t="shared" si="1"/>
        <v>2000</v>
      </c>
      <c r="B102" s="2">
        <v>37.03</v>
      </c>
      <c r="C102" s="2">
        <v>8.33</v>
      </c>
      <c r="D102" s="2">
        <v>170.12</v>
      </c>
      <c r="E102" s="2">
        <v>15.21</v>
      </c>
      <c r="F102" s="2">
        <v>42.32</v>
      </c>
      <c r="G102" s="2">
        <v>4.0199999999999996</v>
      </c>
      <c r="H102" s="2">
        <v>11.2</v>
      </c>
      <c r="I102" s="2">
        <v>8.5</v>
      </c>
      <c r="J102" s="2">
        <v>12.65</v>
      </c>
      <c r="K102" s="2">
        <v>6.28</v>
      </c>
      <c r="L102" s="2">
        <v>11.38</v>
      </c>
      <c r="M102" s="2">
        <v>8.2200000000000006</v>
      </c>
      <c r="N102" s="2">
        <v>6.48</v>
      </c>
      <c r="O102" s="2">
        <v>98.88</v>
      </c>
      <c r="P102" s="2">
        <v>5.07</v>
      </c>
      <c r="Q102" s="2">
        <v>2.86</v>
      </c>
      <c r="R102" s="2">
        <v>5.5</v>
      </c>
      <c r="S102" s="2">
        <v>25.66</v>
      </c>
      <c r="T102" s="2">
        <v>3.34</v>
      </c>
      <c r="U102" s="2">
        <v>24.17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09E39-3927-4BA2-A78D-6DA28314788D}">
  <dimension ref="A1:T30"/>
  <sheetViews>
    <sheetView workbookViewId="0">
      <selection activeCell="A31" sqref="A31"/>
    </sheetView>
  </sheetViews>
  <sheetFormatPr defaultRowHeight="15" x14ac:dyDescent="0.25"/>
  <cols>
    <col min="1" max="1" width="27.42578125" customWidth="1"/>
  </cols>
  <sheetData>
    <row r="1" spans="1:20" x14ac:dyDescent="0.25">
      <c r="A1" s="9"/>
      <c r="B1" s="9">
        <v>1900</v>
      </c>
      <c r="C1" s="9">
        <v>1900</v>
      </c>
      <c r="D1" s="9">
        <v>1910</v>
      </c>
      <c r="E1" s="9">
        <v>1920</v>
      </c>
      <c r="F1" s="9">
        <v>1920</v>
      </c>
      <c r="G1" s="9">
        <v>1930</v>
      </c>
      <c r="H1" s="9">
        <v>1930</v>
      </c>
      <c r="I1" s="9">
        <v>1930</v>
      </c>
      <c r="J1" s="9">
        <v>1940</v>
      </c>
      <c r="K1" s="9">
        <v>1940</v>
      </c>
      <c r="L1" s="9">
        <v>1940</v>
      </c>
      <c r="M1" s="9">
        <v>1950</v>
      </c>
      <c r="N1" s="9">
        <v>1950</v>
      </c>
      <c r="O1" s="9">
        <v>1950</v>
      </c>
      <c r="P1" s="9">
        <v>1960</v>
      </c>
      <c r="Q1" s="9">
        <v>1960</v>
      </c>
      <c r="R1" s="9">
        <v>1960</v>
      </c>
      <c r="S1" s="9">
        <v>1970</v>
      </c>
      <c r="T1" s="9">
        <v>1970</v>
      </c>
    </row>
    <row r="2" spans="1:20" x14ac:dyDescent="0.25">
      <c r="A2" s="9" t="s">
        <v>39</v>
      </c>
      <c r="B2" s="9" t="s">
        <v>45</v>
      </c>
      <c r="C2" s="9" t="s">
        <v>48</v>
      </c>
      <c r="D2" s="9" t="s">
        <v>45</v>
      </c>
      <c r="E2" s="9" t="s">
        <v>45</v>
      </c>
      <c r="F2" s="9" t="s">
        <v>46</v>
      </c>
      <c r="G2" s="9" t="s">
        <v>45</v>
      </c>
      <c r="H2" s="9" t="s">
        <v>48</v>
      </c>
      <c r="I2" s="9" t="s">
        <v>46</v>
      </c>
      <c r="J2" s="9" t="s">
        <v>45</v>
      </c>
      <c r="K2" s="9" t="s">
        <v>48</v>
      </c>
      <c r="L2" s="9" t="s">
        <v>46</v>
      </c>
      <c r="M2" s="9" t="s">
        <v>45</v>
      </c>
      <c r="N2" s="9" t="s">
        <v>48</v>
      </c>
      <c r="O2" s="9" t="s">
        <v>46</v>
      </c>
      <c r="P2" s="9" t="s">
        <v>45</v>
      </c>
      <c r="Q2" s="9" t="s">
        <v>48</v>
      </c>
      <c r="R2" s="9" t="s">
        <v>46</v>
      </c>
      <c r="S2" s="9" t="s">
        <v>48</v>
      </c>
      <c r="T2" s="9" t="s">
        <v>46</v>
      </c>
    </row>
    <row r="4" spans="1:20" x14ac:dyDescent="0.25">
      <c r="A4" t="s">
        <v>40</v>
      </c>
      <c r="B4" s="14">
        <v>31247</v>
      </c>
      <c r="C4" s="14">
        <v>60059</v>
      </c>
      <c r="D4" s="15">
        <v>37981</v>
      </c>
      <c r="E4" s="14">
        <v>43789</v>
      </c>
      <c r="F4" s="14">
        <v>85595</v>
      </c>
      <c r="G4" s="14">
        <v>53672</v>
      </c>
      <c r="H4" s="7">
        <v>102889</v>
      </c>
      <c r="I4" s="7">
        <v>102899</v>
      </c>
      <c r="J4" s="14">
        <v>72735</v>
      </c>
      <c r="K4" s="7">
        <v>124194</v>
      </c>
      <c r="L4" s="7">
        <v>124445</v>
      </c>
      <c r="M4" s="14">
        <v>90345</v>
      </c>
      <c r="N4" s="7">
        <v>157296</v>
      </c>
      <c r="O4" s="7">
        <v>155967</v>
      </c>
      <c r="P4" s="14">
        <v>111489</v>
      </c>
      <c r="Q4" s="7">
        <v>206432</v>
      </c>
      <c r="R4" s="7">
        <v>205018</v>
      </c>
      <c r="S4" s="7">
        <v>274314</v>
      </c>
      <c r="T4" s="7">
        <v>271416</v>
      </c>
    </row>
    <row r="5" spans="1:20" x14ac:dyDescent="0.25">
      <c r="A5" t="s">
        <v>41</v>
      </c>
      <c r="B5" s="7">
        <v>4556</v>
      </c>
      <c r="C5" s="7">
        <v>4743</v>
      </c>
      <c r="D5" s="13">
        <v>6595</v>
      </c>
      <c r="E5" s="7">
        <v>8749</v>
      </c>
      <c r="F5" s="7">
        <v>8861</v>
      </c>
      <c r="G5" s="7">
        <v>11711</v>
      </c>
      <c r="H5" s="7">
        <v>11896</v>
      </c>
      <c r="I5" s="7">
        <v>11896</v>
      </c>
      <c r="J5" s="7">
        <v>13964</v>
      </c>
      <c r="K5" s="7">
        <v>14169</v>
      </c>
      <c r="L5" s="7">
        <v>14169</v>
      </c>
      <c r="M5" s="7">
        <v>16733</v>
      </c>
      <c r="N5" s="7">
        <v>17085</v>
      </c>
      <c r="O5" s="7">
        <v>17189</v>
      </c>
      <c r="P5" s="7">
        <v>20378</v>
      </c>
      <c r="Q5" s="7">
        <v>20850</v>
      </c>
      <c r="R5" s="7">
        <v>20956</v>
      </c>
      <c r="S5" s="7">
        <v>24352</v>
      </c>
      <c r="T5" s="7">
        <v>24784</v>
      </c>
    </row>
    <row r="6" spans="1:20" x14ac:dyDescent="0.25">
      <c r="A6" t="s">
        <v>3</v>
      </c>
      <c r="B6" s="7"/>
      <c r="C6" s="7">
        <v>1696</v>
      </c>
      <c r="D6" s="13"/>
      <c r="E6" s="7"/>
      <c r="F6" s="7">
        <v>1864</v>
      </c>
      <c r="G6" s="7"/>
      <c r="H6" s="7">
        <v>2153</v>
      </c>
      <c r="I6" s="7">
        <v>2153</v>
      </c>
      <c r="J6" s="7">
        <v>2052</v>
      </c>
      <c r="K6" s="7">
        <v>2508</v>
      </c>
      <c r="L6" s="7">
        <v>2508</v>
      </c>
      <c r="M6" s="7">
        <v>2670</v>
      </c>
      <c r="N6" s="7">
        <v>3013</v>
      </c>
      <c r="O6" s="7">
        <v>3013</v>
      </c>
      <c r="P6" s="7">
        <v>3044</v>
      </c>
      <c r="Q6" s="7">
        <v>3696</v>
      </c>
      <c r="R6" s="7">
        <v>3696</v>
      </c>
      <c r="S6" s="7">
        <v>4658</v>
      </c>
      <c r="T6" s="7">
        <v>4658</v>
      </c>
    </row>
    <row r="7" spans="1:20" x14ac:dyDescent="0.25">
      <c r="A7" t="s">
        <v>4</v>
      </c>
      <c r="B7" s="7"/>
      <c r="C7" s="7">
        <v>17318</v>
      </c>
      <c r="D7" s="13"/>
      <c r="E7" s="7"/>
      <c r="F7" s="7">
        <v>27554</v>
      </c>
      <c r="G7" s="7"/>
      <c r="H7" s="7">
        <v>33568</v>
      </c>
      <c r="I7" s="7">
        <v>33718</v>
      </c>
      <c r="J7" s="7"/>
      <c r="K7" s="7">
        <v>41233</v>
      </c>
      <c r="L7" s="7">
        <v>41525</v>
      </c>
      <c r="M7" s="7"/>
      <c r="N7" s="7">
        <v>52328</v>
      </c>
      <c r="O7" s="7">
        <v>52328</v>
      </c>
      <c r="P7" s="7"/>
      <c r="Q7" s="7">
        <v>70327</v>
      </c>
      <c r="R7" s="7">
        <v>70459</v>
      </c>
      <c r="S7" s="7">
        <v>93245</v>
      </c>
      <c r="T7" s="7">
        <v>93902</v>
      </c>
    </row>
    <row r="8" spans="1:20" x14ac:dyDescent="0.25">
      <c r="A8" t="s">
        <v>5</v>
      </c>
      <c r="B8" s="7">
        <v>2856</v>
      </c>
      <c r="C8" s="7">
        <v>2904</v>
      </c>
      <c r="D8" s="13">
        <v>3229</v>
      </c>
      <c r="E8" s="7">
        <v>3664</v>
      </c>
      <c r="F8" s="7">
        <v>3785</v>
      </c>
      <c r="G8" s="7">
        <v>4221</v>
      </c>
      <c r="H8" s="7">
        <v>4424</v>
      </c>
      <c r="I8" s="7">
        <v>4365</v>
      </c>
      <c r="J8" s="7">
        <v>4912</v>
      </c>
      <c r="K8" s="7">
        <v>5147</v>
      </c>
      <c r="L8" s="7">
        <v>5063</v>
      </c>
      <c r="M8" s="7">
        <v>5929</v>
      </c>
      <c r="N8" s="7">
        <v>6058</v>
      </c>
      <c r="O8" s="7">
        <v>6073</v>
      </c>
      <c r="P8" s="7">
        <v>7556</v>
      </c>
      <c r="Q8" s="7">
        <v>7683</v>
      </c>
      <c r="R8" s="7">
        <v>7627</v>
      </c>
      <c r="S8" s="7">
        <v>9117</v>
      </c>
      <c r="T8" s="7">
        <v>9753</v>
      </c>
    </row>
    <row r="9" spans="1:20" x14ac:dyDescent="0.25">
      <c r="A9" t="s">
        <v>6</v>
      </c>
      <c r="B9" s="7">
        <v>4100</v>
      </c>
      <c r="C9" s="7">
        <v>3825</v>
      </c>
      <c r="D9" s="13">
        <v>4850</v>
      </c>
      <c r="E9" s="7">
        <v>5840</v>
      </c>
      <c r="F9" s="7">
        <v>6089</v>
      </c>
      <c r="G9" s="7">
        <v>7260</v>
      </c>
      <c r="H9" s="7">
        <v>7350</v>
      </c>
      <c r="I9" s="7">
        <v>7280</v>
      </c>
      <c r="J9" s="7">
        <v>8950</v>
      </c>
      <c r="K9" s="7">
        <v>9077</v>
      </c>
      <c r="L9" s="7">
        <v>9097</v>
      </c>
      <c r="M9" s="7">
        <v>11200</v>
      </c>
      <c r="N9" s="7">
        <v>11629</v>
      </c>
      <c r="O9" s="7">
        <v>11679</v>
      </c>
      <c r="P9" s="7">
        <v>14735</v>
      </c>
      <c r="Q9" s="7">
        <v>15877</v>
      </c>
      <c r="R9" s="7">
        <v>15468</v>
      </c>
      <c r="S9" s="7">
        <v>22160</v>
      </c>
      <c r="T9" s="7">
        <v>20514</v>
      </c>
    </row>
    <row r="10" spans="1:20" x14ac:dyDescent="0.25">
      <c r="A10" t="s">
        <v>42</v>
      </c>
      <c r="B10" s="7">
        <v>254</v>
      </c>
      <c r="C10" s="7">
        <v>285</v>
      </c>
      <c r="D10" s="13">
        <v>325</v>
      </c>
      <c r="E10" s="7">
        <v>399</v>
      </c>
      <c r="F10" s="7">
        <v>421</v>
      </c>
      <c r="G10" s="7">
        <v>501</v>
      </c>
      <c r="H10" s="7">
        <v>499</v>
      </c>
      <c r="I10" s="7">
        <v>499</v>
      </c>
      <c r="J10" s="7">
        <v>637</v>
      </c>
      <c r="K10" s="7">
        <v>619</v>
      </c>
      <c r="L10" s="7">
        <v>619</v>
      </c>
      <c r="M10" s="7">
        <v>841</v>
      </c>
      <c r="N10" s="7">
        <v>849</v>
      </c>
      <c r="O10" s="7">
        <v>801</v>
      </c>
      <c r="P10" s="7">
        <v>1202</v>
      </c>
      <c r="Q10" s="7">
        <v>1249</v>
      </c>
      <c r="R10" s="7">
        <v>1171</v>
      </c>
      <c r="S10" s="7">
        <v>1736</v>
      </c>
      <c r="T10" s="7">
        <v>1718</v>
      </c>
    </row>
    <row r="11" spans="1:20" x14ac:dyDescent="0.25">
      <c r="A11" t="s">
        <v>8</v>
      </c>
      <c r="B11" s="7">
        <v>1638</v>
      </c>
      <c r="C11" s="7">
        <v>1573</v>
      </c>
      <c r="D11" s="13">
        <v>2192</v>
      </c>
      <c r="E11" s="7">
        <v>2957</v>
      </c>
      <c r="F11" s="7">
        <v>2950</v>
      </c>
      <c r="G11" s="7">
        <v>3828</v>
      </c>
      <c r="H11" s="7">
        <v>3837</v>
      </c>
      <c r="I11" s="7">
        <v>3837</v>
      </c>
      <c r="J11" s="7">
        <v>4449</v>
      </c>
      <c r="K11" s="7">
        <v>4566</v>
      </c>
      <c r="L11" s="7">
        <v>4566</v>
      </c>
      <c r="M11" s="7">
        <v>5513</v>
      </c>
      <c r="N11" s="7">
        <v>5520</v>
      </c>
      <c r="O11" s="7">
        <v>5508</v>
      </c>
      <c r="P11" s="7"/>
      <c r="Q11" s="7">
        <v>6819</v>
      </c>
      <c r="R11" s="7">
        <v>6797</v>
      </c>
      <c r="S11" s="7">
        <v>8341</v>
      </c>
      <c r="T11" s="7">
        <v>8307</v>
      </c>
    </row>
    <row r="12" spans="1:20" x14ac:dyDescent="0.25">
      <c r="A12" t="s">
        <v>9</v>
      </c>
      <c r="B12" s="7"/>
      <c r="C12" s="7">
        <v>700</v>
      </c>
      <c r="D12" s="13"/>
      <c r="E12" s="7"/>
      <c r="F12" s="7">
        <v>1140</v>
      </c>
      <c r="G12" s="7"/>
      <c r="H12" s="7">
        <v>1400</v>
      </c>
      <c r="I12" s="7">
        <v>1400</v>
      </c>
      <c r="J12" s="7"/>
      <c r="K12" s="7">
        <v>1759</v>
      </c>
      <c r="L12" s="7">
        <v>1759</v>
      </c>
      <c r="M12" s="7"/>
      <c r="N12" s="7">
        <v>2303</v>
      </c>
      <c r="O12" s="7">
        <v>2243</v>
      </c>
      <c r="P12" s="7"/>
      <c r="Q12" s="7">
        <v>3129</v>
      </c>
      <c r="R12" s="7">
        <v>3030</v>
      </c>
      <c r="S12" s="7">
        <v>4348</v>
      </c>
      <c r="T12" s="7">
        <v>4277</v>
      </c>
    </row>
    <row r="13" spans="1:20" x14ac:dyDescent="0.25">
      <c r="A13" t="s">
        <v>10</v>
      </c>
      <c r="B13" s="7"/>
      <c r="C13" s="7">
        <v>1400</v>
      </c>
      <c r="D13" s="13"/>
      <c r="E13" s="7">
        <v>1607</v>
      </c>
      <c r="F13" s="7">
        <v>1930</v>
      </c>
      <c r="G13" s="7">
        <v>1959</v>
      </c>
      <c r="H13" s="7">
        <v>2160</v>
      </c>
      <c r="I13" s="7">
        <v>2102</v>
      </c>
      <c r="J13" s="7">
        <v>2453</v>
      </c>
      <c r="K13" s="7">
        <v>2586</v>
      </c>
      <c r="L13" s="7">
        <v>2546</v>
      </c>
      <c r="M13" s="7">
        <v>3117</v>
      </c>
      <c r="N13" s="7">
        <v>3225</v>
      </c>
      <c r="O13" s="7">
        <v>3277</v>
      </c>
      <c r="P13" s="7">
        <v>4201</v>
      </c>
      <c r="Q13" s="7">
        <v>4323</v>
      </c>
      <c r="R13" s="7">
        <v>4355</v>
      </c>
      <c r="S13" s="7">
        <v>6028</v>
      </c>
      <c r="T13" s="7">
        <v>5819</v>
      </c>
    </row>
    <row r="14" spans="1:20" x14ac:dyDescent="0.25">
      <c r="A14" t="s">
        <v>43</v>
      </c>
      <c r="B14" s="7">
        <v>943</v>
      </c>
      <c r="C14" s="7">
        <v>932</v>
      </c>
      <c r="D14" s="13">
        <v>1075</v>
      </c>
      <c r="E14" s="7">
        <v>1161</v>
      </c>
      <c r="F14" s="7">
        <v>1168</v>
      </c>
      <c r="G14" s="7">
        <v>1328</v>
      </c>
      <c r="H14" s="7">
        <v>1443</v>
      </c>
      <c r="I14" s="7">
        <v>1350</v>
      </c>
      <c r="J14" s="7">
        <v>1540</v>
      </c>
      <c r="K14" s="7">
        <v>1633</v>
      </c>
      <c r="L14" s="7">
        <v>1550</v>
      </c>
      <c r="M14" s="7">
        <v>1869</v>
      </c>
      <c r="N14" s="7">
        <v>1922</v>
      </c>
      <c r="O14" s="7">
        <v>1868</v>
      </c>
      <c r="P14" s="7">
        <v>2500</v>
      </c>
      <c r="Q14" s="7">
        <v>2512</v>
      </c>
      <c r="R14" s="7">
        <v>2442</v>
      </c>
      <c r="S14" s="7">
        <v>3441</v>
      </c>
      <c r="T14" s="7">
        <v>3346</v>
      </c>
    </row>
    <row r="15" spans="1:20" x14ac:dyDescent="0.25">
      <c r="A15" t="s">
        <v>12</v>
      </c>
      <c r="B15" s="7">
        <v>1430</v>
      </c>
      <c r="C15" s="7">
        <v>1425</v>
      </c>
      <c r="D15" s="13">
        <v>1580</v>
      </c>
      <c r="E15" s="7">
        <v>1711</v>
      </c>
      <c r="F15" s="7">
        <v>1450</v>
      </c>
      <c r="G15" s="7">
        <v>2000</v>
      </c>
      <c r="H15" s="7">
        <v>1771</v>
      </c>
      <c r="I15" s="7">
        <v>1771</v>
      </c>
      <c r="J15" s="7">
        <v>2300</v>
      </c>
      <c r="K15" s="7">
        <v>2201</v>
      </c>
      <c r="L15" s="7">
        <v>2201</v>
      </c>
      <c r="M15" s="7">
        <v>2800</v>
      </c>
      <c r="N15" s="7">
        <v>3024</v>
      </c>
      <c r="O15" s="7">
        <v>2805</v>
      </c>
      <c r="P15" s="7">
        <v>3715</v>
      </c>
      <c r="Q15" s="7">
        <v>3965</v>
      </c>
      <c r="R15" s="7">
        <v>3765</v>
      </c>
      <c r="S15" s="7">
        <v>5282</v>
      </c>
      <c r="T15" s="7">
        <v>5033</v>
      </c>
    </row>
    <row r="16" spans="1:20" x14ac:dyDescent="0.25">
      <c r="A16" t="s">
        <v>44</v>
      </c>
      <c r="B16" s="7"/>
      <c r="C16" s="7">
        <v>1270</v>
      </c>
      <c r="D16" s="13"/>
      <c r="E16" s="7"/>
      <c r="F16" s="7">
        <v>2124</v>
      </c>
      <c r="G16" s="7"/>
      <c r="H16" s="7">
        <v>2422</v>
      </c>
      <c r="I16" s="7">
        <v>2422</v>
      </c>
      <c r="J16" s="7"/>
      <c r="K16" s="7">
        <v>2825</v>
      </c>
      <c r="L16" s="7">
        <v>2827</v>
      </c>
      <c r="M16" s="7"/>
      <c r="N16" s="7">
        <v>3380</v>
      </c>
      <c r="O16" s="7">
        <v>3380</v>
      </c>
      <c r="P16" s="7"/>
      <c r="Q16" s="7">
        <v>4138</v>
      </c>
      <c r="R16" s="7">
        <v>4140</v>
      </c>
      <c r="S16" s="7">
        <v>5229</v>
      </c>
      <c r="T16" s="7">
        <v>5255</v>
      </c>
    </row>
    <row r="17" spans="1:20" x14ac:dyDescent="0.25">
      <c r="A17" t="s">
        <v>14</v>
      </c>
      <c r="B17" s="7"/>
      <c r="C17" s="7">
        <v>443</v>
      </c>
      <c r="D17" s="13">
        <v>575</v>
      </c>
      <c r="E17" s="7">
        <v>680</v>
      </c>
      <c r="F17" s="7">
        <v>783</v>
      </c>
      <c r="G17" s="7">
        <v>840</v>
      </c>
      <c r="H17" s="7">
        <v>948</v>
      </c>
      <c r="I17" s="7">
        <v>948</v>
      </c>
      <c r="J17" s="7">
        <v>1027</v>
      </c>
      <c r="K17" s="7">
        <v>1119</v>
      </c>
      <c r="L17" s="7">
        <v>1146</v>
      </c>
      <c r="M17" s="7">
        <v>1290</v>
      </c>
      <c r="N17" s="7">
        <v>1389</v>
      </c>
      <c r="O17" s="7">
        <v>1428</v>
      </c>
      <c r="P17" s="7">
        <v>1784</v>
      </c>
      <c r="Q17" s="7">
        <v>1849</v>
      </c>
      <c r="R17" s="7">
        <v>1838</v>
      </c>
      <c r="S17" s="7">
        <v>2583</v>
      </c>
      <c r="T17" s="7">
        <v>2592</v>
      </c>
    </row>
    <row r="18" spans="1:20" x14ac:dyDescent="0.25">
      <c r="A18" t="s">
        <v>15</v>
      </c>
      <c r="B18" s="7">
        <v>13250</v>
      </c>
      <c r="C18" s="7">
        <v>13607</v>
      </c>
      <c r="D18" s="13">
        <v>15000</v>
      </c>
      <c r="E18" s="7">
        <v>14000</v>
      </c>
      <c r="F18" s="7">
        <v>14500</v>
      </c>
      <c r="G18" s="7">
        <v>16450</v>
      </c>
      <c r="H18" s="7">
        <v>16589</v>
      </c>
      <c r="I18" s="7">
        <v>16589</v>
      </c>
      <c r="J18" s="7">
        <v>19950</v>
      </c>
      <c r="K18" s="7">
        <v>19815</v>
      </c>
      <c r="L18" s="7">
        <v>19815</v>
      </c>
      <c r="M18" s="7">
        <v>25350</v>
      </c>
      <c r="N18" s="7">
        <v>26640</v>
      </c>
      <c r="O18" s="7">
        <v>25826</v>
      </c>
      <c r="P18" s="7">
        <v>34650</v>
      </c>
      <c r="Q18" s="7">
        <v>36046</v>
      </c>
      <c r="R18" s="7">
        <v>34988</v>
      </c>
      <c r="S18" s="7">
        <v>50718</v>
      </c>
      <c r="T18" s="7">
        <v>49282</v>
      </c>
    </row>
    <row r="19" spans="1:20" x14ac:dyDescent="0.25">
      <c r="A19" t="s">
        <v>16</v>
      </c>
      <c r="B19" s="7"/>
      <c r="C19" s="7">
        <v>448</v>
      </c>
      <c r="D19" s="13"/>
      <c r="E19" s="7"/>
      <c r="F19" s="7">
        <v>600</v>
      </c>
      <c r="G19" s="7"/>
      <c r="H19" s="7">
        <v>742</v>
      </c>
      <c r="I19" s="7">
        <v>700</v>
      </c>
      <c r="J19" s="7"/>
      <c r="K19" s="7">
        <v>893</v>
      </c>
      <c r="L19" s="7">
        <v>825</v>
      </c>
      <c r="M19" s="7"/>
      <c r="N19" s="7">
        <v>1133</v>
      </c>
      <c r="O19" s="7">
        <v>1060</v>
      </c>
      <c r="P19" s="7"/>
      <c r="Q19" s="7">
        <v>1501</v>
      </c>
      <c r="R19" s="7">
        <v>1403</v>
      </c>
      <c r="S19" s="7">
        <v>2021</v>
      </c>
      <c r="T19" s="7">
        <v>1979</v>
      </c>
    </row>
    <row r="20" spans="1:20" x14ac:dyDescent="0.25">
      <c r="A20" t="s">
        <v>17</v>
      </c>
      <c r="B20" s="7">
        <v>227</v>
      </c>
      <c r="C20" s="7"/>
      <c r="D20" s="13">
        <v>277</v>
      </c>
      <c r="E20" s="7">
        <v>385</v>
      </c>
      <c r="F20" s="7">
        <v>447</v>
      </c>
      <c r="G20" s="7">
        <v>439</v>
      </c>
      <c r="H20" s="7">
        <v>502</v>
      </c>
      <c r="I20" s="7">
        <v>523</v>
      </c>
      <c r="J20" s="7">
        <v>557</v>
      </c>
      <c r="K20" s="7">
        <v>595</v>
      </c>
      <c r="L20" s="7">
        <v>620</v>
      </c>
      <c r="M20" s="7">
        <v>731</v>
      </c>
      <c r="N20" s="7">
        <v>765</v>
      </c>
      <c r="O20" s="7">
        <v>797</v>
      </c>
      <c r="P20" s="7">
        <v>991</v>
      </c>
      <c r="Q20" s="7">
        <v>1021</v>
      </c>
      <c r="R20" s="7">
        <v>1079</v>
      </c>
      <c r="S20" s="7">
        <v>1406</v>
      </c>
      <c r="T20" s="7">
        <v>1458</v>
      </c>
    </row>
    <row r="21" spans="1:20" x14ac:dyDescent="0.25">
      <c r="A21" t="s">
        <v>18</v>
      </c>
      <c r="B21" s="7"/>
      <c r="C21" s="7">
        <v>440</v>
      </c>
      <c r="D21" s="13"/>
      <c r="E21" s="7"/>
      <c r="F21" s="7">
        <v>699</v>
      </c>
      <c r="G21" s="7"/>
      <c r="H21" s="7">
        <v>880</v>
      </c>
      <c r="I21" s="7">
        <v>880</v>
      </c>
      <c r="J21" s="7"/>
      <c r="K21" s="7">
        <v>1111</v>
      </c>
      <c r="L21" s="7">
        <v>1111</v>
      </c>
      <c r="M21" s="7"/>
      <c r="N21" s="7">
        <v>1337</v>
      </c>
      <c r="O21" s="7">
        <v>1397</v>
      </c>
      <c r="P21" s="7"/>
      <c r="Q21" s="7">
        <v>1740</v>
      </c>
      <c r="R21" s="7">
        <v>1720</v>
      </c>
      <c r="S21" s="7">
        <v>2419</v>
      </c>
      <c r="T21" s="7">
        <v>2233</v>
      </c>
    </row>
    <row r="22" spans="1:20" x14ac:dyDescent="0.25">
      <c r="A22" t="s">
        <v>19</v>
      </c>
      <c r="B22" s="7"/>
      <c r="C22" s="7">
        <v>3791</v>
      </c>
      <c r="D22" s="13"/>
      <c r="E22" s="7"/>
      <c r="F22" s="7">
        <v>5313</v>
      </c>
      <c r="G22" s="7"/>
      <c r="H22" s="7">
        <v>5651</v>
      </c>
      <c r="I22" s="7">
        <v>5752</v>
      </c>
      <c r="J22" s="7">
        <v>6160</v>
      </c>
      <c r="K22" s="7">
        <v>6681</v>
      </c>
      <c r="L22" s="7">
        <v>6784</v>
      </c>
      <c r="M22" s="7">
        <v>7370</v>
      </c>
      <c r="N22" s="7">
        <v>7968</v>
      </c>
      <c r="O22" s="7">
        <v>8096</v>
      </c>
      <c r="P22" s="7">
        <v>9502</v>
      </c>
      <c r="Q22" s="7">
        <v>10024</v>
      </c>
      <c r="R22" s="7">
        <v>10199</v>
      </c>
      <c r="S22" s="7">
        <v>13586</v>
      </c>
      <c r="T22" s="7">
        <v>13275</v>
      </c>
    </row>
    <row r="23" spans="1:20" x14ac:dyDescent="0.25">
      <c r="A23" t="s">
        <v>20</v>
      </c>
      <c r="B23" s="7"/>
      <c r="C23" s="7">
        <v>915</v>
      </c>
      <c r="D23" s="13"/>
      <c r="E23" s="7"/>
      <c r="F23" s="7">
        <v>1479</v>
      </c>
      <c r="G23" s="7"/>
      <c r="H23" s="7">
        <v>1734</v>
      </c>
      <c r="I23" s="7">
        <v>1713</v>
      </c>
      <c r="J23" s="7"/>
      <c r="K23" s="7">
        <v>1947</v>
      </c>
      <c r="L23" s="7">
        <v>1974</v>
      </c>
      <c r="M23" s="7"/>
      <c r="N23" s="7">
        <v>2198</v>
      </c>
      <c r="O23" s="7">
        <v>2195</v>
      </c>
      <c r="P23" s="7"/>
      <c r="Q23" s="7">
        <v>2542</v>
      </c>
      <c r="R23" s="7">
        <v>2491</v>
      </c>
      <c r="S23" s="7">
        <v>2889</v>
      </c>
      <c r="T23" s="7">
        <v>2802</v>
      </c>
    </row>
    <row r="24" spans="1:20" x14ac:dyDescent="0.25">
      <c r="A24" t="s">
        <v>21</v>
      </c>
      <c r="B24" s="7">
        <v>1993</v>
      </c>
      <c r="C24" s="7">
        <v>2344</v>
      </c>
      <c r="D24" s="13">
        <v>2283</v>
      </c>
      <c r="E24" s="7">
        <v>2636</v>
      </c>
      <c r="F24" s="7">
        <v>2438</v>
      </c>
      <c r="G24" s="7">
        <v>3135</v>
      </c>
      <c r="H24" s="7">
        <v>2950</v>
      </c>
      <c r="I24" s="7">
        <v>2980</v>
      </c>
      <c r="J24" s="7">
        <v>3784</v>
      </c>
      <c r="K24" s="7">
        <v>3710</v>
      </c>
      <c r="L24" s="7">
        <v>3740</v>
      </c>
      <c r="M24" s="7">
        <v>4932</v>
      </c>
      <c r="N24" s="7">
        <v>5530</v>
      </c>
      <c r="O24" s="7">
        <v>5004</v>
      </c>
      <c r="P24" s="7">
        <v>7231</v>
      </c>
      <c r="Q24" s="7">
        <v>7141</v>
      </c>
      <c r="R24" s="7">
        <v>7394</v>
      </c>
      <c r="S24" s="7">
        <v>10755</v>
      </c>
      <c r="T24" s="7">
        <v>10429</v>
      </c>
    </row>
    <row r="26" spans="1:20" x14ac:dyDescent="0.25">
      <c r="A26" t="s">
        <v>30</v>
      </c>
    </row>
    <row r="28" spans="1:20" x14ac:dyDescent="0.25">
      <c r="A28" t="s">
        <v>47</v>
      </c>
    </row>
    <row r="29" spans="1:20" x14ac:dyDescent="0.25">
      <c r="A29" t="s">
        <v>49</v>
      </c>
    </row>
    <row r="30" spans="1:20" x14ac:dyDescent="0.25">
      <c r="A30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146A3-0A6B-4C5F-AFB6-B5814E58CDE8}">
  <dimension ref="A1:AO75"/>
  <sheetViews>
    <sheetView workbookViewId="0">
      <selection activeCell="AD26" sqref="AD26"/>
    </sheetView>
  </sheetViews>
  <sheetFormatPr defaultRowHeight="15" x14ac:dyDescent="0.25"/>
  <cols>
    <col min="1" max="1" width="5" style="5" bestFit="1" customWidth="1"/>
    <col min="2" max="2" width="10.7109375" bestFit="1" customWidth="1"/>
    <col min="3" max="3" width="8.85546875" bestFit="1" customWidth="1"/>
    <col min="4" max="4" width="9.7109375" bestFit="1" customWidth="1"/>
    <col min="5" max="5" width="8.140625" bestFit="1" customWidth="1"/>
    <col min="6" max="6" width="10.42578125" bestFit="1" customWidth="1"/>
    <col min="7" max="7" width="11.140625" bestFit="1" customWidth="1"/>
    <col min="8" max="8" width="8.140625" bestFit="1" customWidth="1"/>
    <col min="9" max="9" width="27.42578125" bestFit="1" customWidth="1"/>
    <col min="10" max="10" width="8.85546875" bestFit="1" customWidth="1"/>
    <col min="11" max="11" width="15.140625" bestFit="1" customWidth="1"/>
    <col min="12" max="12" width="10.7109375" bestFit="1" customWidth="1"/>
    <col min="13" max="13" width="8.140625" bestFit="1" customWidth="1"/>
    <col min="14" max="14" width="9.5703125" bestFit="1" customWidth="1"/>
    <col min="15" max="15" width="9.140625" bestFit="1" customWidth="1"/>
    <col min="16" max="16" width="10.42578125" bestFit="1" customWidth="1"/>
    <col min="17" max="17" width="8.140625" bestFit="1" customWidth="1"/>
    <col min="18" max="18" width="9.42578125" bestFit="1" customWidth="1"/>
    <col min="19" max="19" width="8.140625" bestFit="1" customWidth="1"/>
    <col min="20" max="20" width="8.28515625" bestFit="1" customWidth="1"/>
    <col min="21" max="21" width="12.140625" bestFit="1" customWidth="1"/>
  </cols>
  <sheetData>
    <row r="1" spans="1:41" x14ac:dyDescent="0.25">
      <c r="A1" s="3" t="s">
        <v>1</v>
      </c>
      <c r="B1" s="18" t="s">
        <v>2</v>
      </c>
      <c r="C1" s="18" t="s">
        <v>3</v>
      </c>
      <c r="D1" s="18" t="s">
        <v>4</v>
      </c>
      <c r="E1" s="18" t="s">
        <v>5</v>
      </c>
      <c r="F1" s="18" t="s">
        <v>6</v>
      </c>
      <c r="G1" s="18" t="s">
        <v>7</v>
      </c>
      <c r="H1" s="18" t="s">
        <v>8</v>
      </c>
      <c r="I1" s="18" t="s">
        <v>9</v>
      </c>
      <c r="J1" s="18" t="s">
        <v>10</v>
      </c>
      <c r="K1" s="18" t="s">
        <v>11</v>
      </c>
      <c r="L1" s="18" t="s">
        <v>12</v>
      </c>
      <c r="M1" s="18" t="s">
        <v>13</v>
      </c>
      <c r="N1" s="18" t="s">
        <v>14</v>
      </c>
      <c r="O1" s="18" t="s">
        <v>15</v>
      </c>
      <c r="P1" s="18" t="s">
        <v>16</v>
      </c>
      <c r="Q1" s="18" t="s">
        <v>17</v>
      </c>
      <c r="R1" s="18" t="s">
        <v>18</v>
      </c>
      <c r="S1" s="18" t="s">
        <v>19</v>
      </c>
      <c r="T1" s="18" t="s">
        <v>20</v>
      </c>
      <c r="U1" s="18" t="s">
        <v>21</v>
      </c>
    </row>
    <row r="2" spans="1:41" x14ac:dyDescent="0.25">
      <c r="A2" s="5">
        <v>1950</v>
      </c>
      <c r="B2" s="19">
        <v>16849.7</v>
      </c>
      <c r="C2" s="19">
        <v>3067.1</v>
      </c>
      <c r="D2" s="19">
        <v>52620.4</v>
      </c>
      <c r="E2" s="19">
        <v>6566.6</v>
      </c>
      <c r="F2" s="19">
        <v>11614.8</v>
      </c>
      <c r="G2" s="19">
        <v>911.4</v>
      </c>
      <c r="H2" s="19">
        <v>5865.9</v>
      </c>
      <c r="I2" s="19">
        <v>2345.8000000000002</v>
      </c>
      <c r="J2" s="19">
        <v>3472.2</v>
      </c>
      <c r="K2" s="19">
        <v>2157.5</v>
      </c>
      <c r="L2" s="19">
        <v>3058.3</v>
      </c>
      <c r="M2" s="19">
        <v>3241.7</v>
      </c>
      <c r="N2" s="19">
        <v>1538.1</v>
      </c>
      <c r="O2" s="19">
        <v>27231.599999999999</v>
      </c>
      <c r="P2" s="19">
        <v>1312.5</v>
      </c>
      <c r="Q2" s="19">
        <v>850.6</v>
      </c>
      <c r="R2" s="19">
        <v>1487.8</v>
      </c>
      <c r="S2" s="19">
        <v>7571.2</v>
      </c>
      <c r="T2" s="19">
        <v>2224.1</v>
      </c>
      <c r="U2" s="19">
        <v>5368.3</v>
      </c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</row>
    <row r="3" spans="1:41" x14ac:dyDescent="0.25">
      <c r="A3" s="5">
        <v>1951</v>
      </c>
      <c r="B3" s="19">
        <v>17186.400000000001</v>
      </c>
      <c r="C3" s="19">
        <v>3112.9</v>
      </c>
      <c r="D3" s="19">
        <v>54196.7</v>
      </c>
      <c r="E3" s="19">
        <v>6690.6</v>
      </c>
      <c r="F3" s="19">
        <v>11919.1</v>
      </c>
      <c r="G3" s="19">
        <v>942.1</v>
      </c>
      <c r="H3" s="19">
        <v>5983.1</v>
      </c>
      <c r="I3" s="19">
        <v>2414</v>
      </c>
      <c r="J3" s="19">
        <v>3561.4</v>
      </c>
      <c r="K3" s="19">
        <v>2209.5</v>
      </c>
      <c r="L3" s="19">
        <v>3136.1</v>
      </c>
      <c r="M3" s="19">
        <v>3289.7</v>
      </c>
      <c r="N3" s="19">
        <v>1579.8</v>
      </c>
      <c r="O3" s="19">
        <v>27944.3</v>
      </c>
      <c r="P3" s="19">
        <v>1350.4</v>
      </c>
      <c r="Q3" s="19">
        <v>871.1</v>
      </c>
      <c r="R3" s="19">
        <v>1520.9</v>
      </c>
      <c r="S3" s="19">
        <v>7783.6</v>
      </c>
      <c r="T3" s="19">
        <v>2244.6999999999998</v>
      </c>
      <c r="U3" s="19">
        <v>5609.4</v>
      </c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</row>
    <row r="4" spans="1:41" x14ac:dyDescent="0.25">
      <c r="A4" s="5">
        <v>1952</v>
      </c>
      <c r="B4" s="19">
        <v>17526.5</v>
      </c>
      <c r="C4" s="19">
        <v>3161.7</v>
      </c>
      <c r="D4" s="19">
        <v>55841</v>
      </c>
      <c r="E4" s="19">
        <v>6822.7</v>
      </c>
      <c r="F4" s="19">
        <v>12238.5</v>
      </c>
      <c r="G4" s="19">
        <v>974.7</v>
      </c>
      <c r="H4" s="19">
        <v>6101.3</v>
      </c>
      <c r="I4" s="19">
        <v>2486.3000000000002</v>
      </c>
      <c r="J4" s="19">
        <v>3654.3</v>
      </c>
      <c r="K4" s="19">
        <v>2261.1</v>
      </c>
      <c r="L4" s="19">
        <v>3218.6</v>
      </c>
      <c r="M4" s="19">
        <v>3340.1</v>
      </c>
      <c r="N4" s="19">
        <v>1623.2</v>
      </c>
      <c r="O4" s="19">
        <v>28696.6</v>
      </c>
      <c r="P4" s="19">
        <v>1388.9</v>
      </c>
      <c r="Q4" s="19">
        <v>892.9</v>
      </c>
      <c r="R4" s="19">
        <v>1555</v>
      </c>
      <c r="S4" s="19">
        <v>8003.6</v>
      </c>
      <c r="T4" s="19">
        <v>2268.1</v>
      </c>
      <c r="U4" s="19">
        <v>5855.8</v>
      </c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</row>
    <row r="5" spans="1:41" x14ac:dyDescent="0.25">
      <c r="A5" s="5">
        <v>1953</v>
      </c>
      <c r="B5" s="19">
        <v>17871.2</v>
      </c>
      <c r="C5" s="19">
        <v>3213.3</v>
      </c>
      <c r="D5" s="19">
        <v>57548.800000000003</v>
      </c>
      <c r="E5" s="19">
        <v>6961.2</v>
      </c>
      <c r="F5" s="19">
        <v>12573.2</v>
      </c>
      <c r="G5" s="19">
        <v>1008.9</v>
      </c>
      <c r="H5" s="19">
        <v>6223.1</v>
      </c>
      <c r="I5" s="19">
        <v>2563.8000000000002</v>
      </c>
      <c r="J5" s="19">
        <v>3750.5</v>
      </c>
      <c r="K5" s="19">
        <v>2314.8000000000002</v>
      </c>
      <c r="L5" s="19">
        <v>3304.7</v>
      </c>
      <c r="M5" s="19">
        <v>3392.4</v>
      </c>
      <c r="N5" s="19">
        <v>1668.5</v>
      </c>
      <c r="O5" s="19">
        <v>29483.7</v>
      </c>
      <c r="P5" s="19">
        <v>1429.1</v>
      </c>
      <c r="Q5" s="19">
        <v>916</v>
      </c>
      <c r="R5" s="19">
        <v>1590.2</v>
      </c>
      <c r="S5" s="19">
        <v>8229.7000000000007</v>
      </c>
      <c r="T5" s="19">
        <v>2294.1</v>
      </c>
      <c r="U5" s="19">
        <v>6106.9</v>
      </c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</row>
    <row r="6" spans="1:41" x14ac:dyDescent="0.25">
      <c r="A6" s="5">
        <v>1954</v>
      </c>
      <c r="B6" s="19">
        <v>18211.400000000001</v>
      </c>
      <c r="C6" s="19">
        <v>3268.6</v>
      </c>
      <c r="D6" s="19">
        <v>59318.7</v>
      </c>
      <c r="E6" s="19">
        <v>7105.8</v>
      </c>
      <c r="F6" s="19">
        <v>12918.9</v>
      </c>
      <c r="G6" s="19">
        <v>1045.0999999999999</v>
      </c>
      <c r="H6" s="19">
        <v>6348.4</v>
      </c>
      <c r="I6" s="19">
        <v>2645.9</v>
      </c>
      <c r="J6" s="19">
        <v>3850</v>
      </c>
      <c r="K6" s="19">
        <v>2369.1999999999998</v>
      </c>
      <c r="L6" s="19">
        <v>3392.9</v>
      </c>
      <c r="M6" s="19">
        <v>3447.3</v>
      </c>
      <c r="N6" s="19">
        <v>1715.5</v>
      </c>
      <c r="O6" s="19">
        <v>30314.799999999999</v>
      </c>
      <c r="P6" s="19">
        <v>1470.7</v>
      </c>
      <c r="Q6" s="19">
        <v>940.4</v>
      </c>
      <c r="R6" s="19">
        <v>1626.4</v>
      </c>
      <c r="S6" s="19">
        <v>8460.1</v>
      </c>
      <c r="T6" s="19">
        <v>2322</v>
      </c>
      <c r="U6" s="19">
        <v>6362.6</v>
      </c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</row>
    <row r="7" spans="1:41" x14ac:dyDescent="0.25">
      <c r="A7" s="5">
        <v>1955</v>
      </c>
      <c r="B7" s="19">
        <v>18551</v>
      </c>
      <c r="C7" s="19">
        <v>3327.1</v>
      </c>
      <c r="D7" s="19">
        <v>61151.5</v>
      </c>
      <c r="E7" s="19">
        <v>7255.3</v>
      </c>
      <c r="F7" s="19">
        <v>13282.8</v>
      </c>
      <c r="G7" s="19">
        <v>1083.0999999999999</v>
      </c>
      <c r="H7" s="19">
        <v>6477.3</v>
      </c>
      <c r="I7" s="19">
        <v>2732.3</v>
      </c>
      <c r="J7" s="19">
        <v>3953</v>
      </c>
      <c r="K7" s="19">
        <v>2426.5</v>
      </c>
      <c r="L7" s="19">
        <v>3485.3</v>
      </c>
      <c r="M7" s="19">
        <v>3503.8</v>
      </c>
      <c r="N7" s="19">
        <v>1764.2</v>
      </c>
      <c r="O7" s="19">
        <v>31191.200000000001</v>
      </c>
      <c r="P7" s="19">
        <v>1513.8</v>
      </c>
      <c r="Q7" s="19">
        <v>965.8</v>
      </c>
      <c r="R7" s="19">
        <v>1663.4</v>
      </c>
      <c r="S7" s="19">
        <v>8698.6</v>
      </c>
      <c r="T7" s="19">
        <v>2351.6999999999998</v>
      </c>
      <c r="U7" s="19">
        <v>6623</v>
      </c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</row>
    <row r="8" spans="1:41" x14ac:dyDescent="0.25">
      <c r="A8" s="5">
        <v>1956</v>
      </c>
      <c r="B8" s="19">
        <v>18881</v>
      </c>
      <c r="C8" s="19">
        <v>3388.9</v>
      </c>
      <c r="D8" s="19">
        <v>63051.3</v>
      </c>
      <c r="E8" s="19">
        <v>7409.3</v>
      </c>
      <c r="F8" s="19">
        <v>13663.3</v>
      </c>
      <c r="G8" s="19">
        <v>1123</v>
      </c>
      <c r="H8" s="19">
        <v>6608.9</v>
      </c>
      <c r="I8" s="19">
        <v>2822.9</v>
      </c>
      <c r="J8" s="19">
        <v>4059.4</v>
      </c>
      <c r="K8" s="19">
        <v>2486.6999999999998</v>
      </c>
      <c r="L8" s="19">
        <v>3581.3</v>
      </c>
      <c r="M8" s="19">
        <v>3563.7</v>
      </c>
      <c r="N8" s="19">
        <v>1814.6</v>
      </c>
      <c r="O8" s="19">
        <v>32110</v>
      </c>
      <c r="P8" s="19">
        <v>1558.7</v>
      </c>
      <c r="Q8" s="19">
        <v>992.1</v>
      </c>
      <c r="R8" s="19">
        <v>1701.1</v>
      </c>
      <c r="S8" s="19">
        <v>8945.5</v>
      </c>
      <c r="T8" s="19">
        <v>2382.4</v>
      </c>
      <c r="U8" s="19">
        <v>6888.6</v>
      </c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</row>
    <row r="9" spans="1:41" x14ac:dyDescent="0.25">
      <c r="A9" s="5">
        <v>1957</v>
      </c>
      <c r="B9" s="19">
        <v>19218.900000000001</v>
      </c>
      <c r="C9" s="19">
        <v>3453.8</v>
      </c>
      <c r="D9" s="19">
        <v>65016.7</v>
      </c>
      <c r="E9" s="19">
        <v>7569.8</v>
      </c>
      <c r="F9" s="19">
        <v>14060.3</v>
      </c>
      <c r="G9" s="19">
        <v>1164.7</v>
      </c>
      <c r="H9" s="19">
        <v>6743.2</v>
      </c>
      <c r="I9" s="19">
        <v>2917.1</v>
      </c>
      <c r="J9" s="19">
        <v>4169.7</v>
      </c>
      <c r="K9" s="19">
        <v>2549.6</v>
      </c>
      <c r="L9" s="19">
        <v>3681</v>
      </c>
      <c r="M9" s="19">
        <v>3625.9</v>
      </c>
      <c r="N9" s="19">
        <v>1866.7</v>
      </c>
      <c r="O9" s="19">
        <v>33065.9</v>
      </c>
      <c r="P9" s="19">
        <v>1605.3</v>
      </c>
      <c r="Q9" s="19">
        <v>1019.6</v>
      </c>
      <c r="R9" s="19">
        <v>1739.7</v>
      </c>
      <c r="S9" s="19">
        <v>9201.5</v>
      </c>
      <c r="T9" s="19">
        <v>2414.4</v>
      </c>
      <c r="U9" s="19">
        <v>7160</v>
      </c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</row>
    <row r="10" spans="1:41" x14ac:dyDescent="0.25">
      <c r="A10" s="5">
        <v>1958</v>
      </c>
      <c r="B10" s="19">
        <v>19547.2</v>
      </c>
      <c r="C10" s="19">
        <v>3521.4</v>
      </c>
      <c r="D10" s="19">
        <v>67046.3</v>
      </c>
      <c r="E10" s="19">
        <v>7732.8</v>
      </c>
      <c r="F10" s="19">
        <v>14480.2</v>
      </c>
      <c r="G10" s="19">
        <v>1208.5</v>
      </c>
      <c r="H10" s="19">
        <v>6880.3</v>
      </c>
      <c r="I10" s="19">
        <v>3014.4</v>
      </c>
      <c r="J10" s="19">
        <v>4284.1000000000004</v>
      </c>
      <c r="K10" s="19">
        <v>2615.4</v>
      </c>
      <c r="L10" s="19">
        <v>3784.4</v>
      </c>
      <c r="M10" s="19">
        <v>3689.7</v>
      </c>
      <c r="N10" s="19">
        <v>1920.5</v>
      </c>
      <c r="O10" s="19">
        <v>34059.5</v>
      </c>
      <c r="P10" s="19">
        <v>1653.7</v>
      </c>
      <c r="Q10" s="19">
        <v>1048.2</v>
      </c>
      <c r="R10" s="19">
        <v>1779.3</v>
      </c>
      <c r="S10" s="19">
        <v>9466.2999999999993</v>
      </c>
      <c r="T10" s="19">
        <v>2447.1999999999998</v>
      </c>
      <c r="U10" s="19">
        <v>7438.9</v>
      </c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</row>
    <row r="11" spans="1:41" x14ac:dyDescent="0.25">
      <c r="A11" s="5">
        <v>1959</v>
      </c>
      <c r="B11" s="19">
        <v>19881.3</v>
      </c>
      <c r="C11" s="19">
        <v>3591.7</v>
      </c>
      <c r="D11" s="19">
        <v>69138</v>
      </c>
      <c r="E11" s="19">
        <v>7899.1</v>
      </c>
      <c r="F11" s="19">
        <v>14906.3</v>
      </c>
      <c r="G11" s="19">
        <v>1254.5999999999999</v>
      </c>
      <c r="H11" s="19">
        <v>7020.3</v>
      </c>
      <c r="I11" s="19">
        <v>3114.3</v>
      </c>
      <c r="J11" s="19">
        <v>4402.8999999999996</v>
      </c>
      <c r="K11" s="19">
        <v>2681.9</v>
      </c>
      <c r="L11" s="19">
        <v>3889.6</v>
      </c>
      <c r="M11" s="19">
        <v>3755.7</v>
      </c>
      <c r="N11" s="19">
        <v>1975.8</v>
      </c>
      <c r="O11" s="19">
        <v>35090.6</v>
      </c>
      <c r="P11" s="19">
        <v>1703.8</v>
      </c>
      <c r="Q11" s="19">
        <v>1078.0999999999999</v>
      </c>
      <c r="R11" s="19">
        <v>1820</v>
      </c>
      <c r="S11" s="19">
        <v>9741</v>
      </c>
      <c r="T11" s="19">
        <v>2480.6</v>
      </c>
      <c r="U11" s="19">
        <v>7725.1</v>
      </c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</row>
    <row r="12" spans="1:41" x14ac:dyDescent="0.25">
      <c r="A12" s="5">
        <v>1960</v>
      </c>
      <c r="B12" s="19">
        <v>20217.900000000001</v>
      </c>
      <c r="C12" s="19">
        <v>3664.6</v>
      </c>
      <c r="D12" s="19">
        <v>71290.899999999994</v>
      </c>
      <c r="E12" s="19">
        <v>8067.7</v>
      </c>
      <c r="F12" s="19">
        <v>15366.1</v>
      </c>
      <c r="G12" s="19">
        <v>1302.5999999999999</v>
      </c>
      <c r="H12" s="19">
        <v>7164.4</v>
      </c>
      <c r="I12" s="19">
        <v>3216.3</v>
      </c>
      <c r="J12" s="19">
        <v>4526.6000000000004</v>
      </c>
      <c r="K12" s="19">
        <v>2753.1</v>
      </c>
      <c r="L12" s="19">
        <v>4003.4</v>
      </c>
      <c r="M12" s="19">
        <v>3823.7</v>
      </c>
      <c r="N12" s="19">
        <v>2032.8</v>
      </c>
      <c r="O12" s="19">
        <v>36163.9</v>
      </c>
      <c r="P12" s="19">
        <v>1755.7</v>
      </c>
      <c r="Q12" s="19">
        <v>1109.5</v>
      </c>
      <c r="R12" s="19">
        <v>1861.9</v>
      </c>
      <c r="S12" s="19">
        <v>10026.299999999999</v>
      </c>
      <c r="T12" s="19">
        <v>2513.6999999999998</v>
      </c>
      <c r="U12" s="19">
        <v>8013.4</v>
      </c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</row>
    <row r="13" spans="1:41" x14ac:dyDescent="0.25">
      <c r="A13" s="5">
        <v>1961</v>
      </c>
      <c r="B13" s="19">
        <v>20554.2</v>
      </c>
      <c r="C13" s="19">
        <v>3740</v>
      </c>
      <c r="D13" s="19">
        <v>73485.3</v>
      </c>
      <c r="E13" s="19">
        <v>8239</v>
      </c>
      <c r="F13" s="19">
        <v>15846.3</v>
      </c>
      <c r="G13" s="19">
        <v>1352.4</v>
      </c>
      <c r="H13" s="19">
        <v>7311.8</v>
      </c>
      <c r="I13" s="19">
        <v>3320.3</v>
      </c>
      <c r="J13" s="19">
        <v>4655.2</v>
      </c>
      <c r="K13" s="19">
        <v>2829.8</v>
      </c>
      <c r="L13" s="19">
        <v>4123.8999999999996</v>
      </c>
      <c r="M13" s="19">
        <v>3893.2</v>
      </c>
      <c r="N13" s="19">
        <v>2091.3000000000002</v>
      </c>
      <c r="O13" s="19">
        <v>37285.300000000003</v>
      </c>
      <c r="P13" s="19">
        <v>1809</v>
      </c>
      <c r="Q13" s="19">
        <v>1142.5</v>
      </c>
      <c r="R13" s="19">
        <v>1905.1</v>
      </c>
      <c r="S13" s="19">
        <v>10322</v>
      </c>
      <c r="T13" s="19">
        <v>2546.1999999999998</v>
      </c>
      <c r="U13" s="19">
        <v>8306.7999999999993</v>
      </c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</row>
    <row r="14" spans="1:41" x14ac:dyDescent="0.25">
      <c r="A14" s="5">
        <v>1962</v>
      </c>
      <c r="B14" s="19">
        <v>20898.3</v>
      </c>
      <c r="C14" s="19">
        <v>3817.5</v>
      </c>
      <c r="D14" s="19">
        <v>75725.600000000006</v>
      </c>
      <c r="E14" s="19">
        <v>8410.6</v>
      </c>
      <c r="F14" s="19">
        <v>16344.1</v>
      </c>
      <c r="G14" s="19">
        <v>1403.5</v>
      </c>
      <c r="H14" s="19">
        <v>7462.4</v>
      </c>
      <c r="I14" s="19">
        <v>3426.1</v>
      </c>
      <c r="J14" s="19">
        <v>4789.5</v>
      </c>
      <c r="K14" s="19">
        <v>2910.2</v>
      </c>
      <c r="L14" s="19">
        <v>4248.5</v>
      </c>
      <c r="M14" s="19">
        <v>3964.9</v>
      </c>
      <c r="N14" s="19">
        <v>2151.1999999999998</v>
      </c>
      <c r="O14" s="19">
        <v>38494.9</v>
      </c>
      <c r="P14" s="19">
        <v>1863.9</v>
      </c>
      <c r="Q14" s="19">
        <v>1177.2</v>
      </c>
      <c r="R14" s="19">
        <v>1949.7</v>
      </c>
      <c r="S14" s="19">
        <v>10628.3</v>
      </c>
      <c r="T14" s="19">
        <v>2577.9</v>
      </c>
      <c r="U14" s="19">
        <v>8605</v>
      </c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</row>
    <row r="15" spans="1:41" x14ac:dyDescent="0.25">
      <c r="A15" s="5">
        <v>1963</v>
      </c>
      <c r="B15" s="19">
        <v>21246.7</v>
      </c>
      <c r="C15" s="19">
        <v>3897.5</v>
      </c>
      <c r="D15" s="19">
        <v>78005.100000000006</v>
      </c>
      <c r="E15" s="19">
        <v>8583.5</v>
      </c>
      <c r="F15" s="19">
        <v>16854</v>
      </c>
      <c r="G15" s="19">
        <v>1455.4</v>
      </c>
      <c r="H15" s="19">
        <v>7619.8</v>
      </c>
      <c r="I15" s="19">
        <v>3533.7</v>
      </c>
      <c r="J15" s="19">
        <v>4929.1000000000004</v>
      </c>
      <c r="K15" s="19">
        <v>2988.2</v>
      </c>
      <c r="L15" s="19">
        <v>4375.6000000000004</v>
      </c>
      <c r="M15" s="19">
        <v>4038.3</v>
      </c>
      <c r="N15" s="19">
        <v>2213</v>
      </c>
      <c r="O15" s="19">
        <v>39763.5</v>
      </c>
      <c r="P15" s="19">
        <v>1920.7</v>
      </c>
      <c r="Q15" s="19">
        <v>1213.4000000000001</v>
      </c>
      <c r="R15" s="19">
        <v>1996.6</v>
      </c>
      <c r="S15" s="19">
        <v>10940.9</v>
      </c>
      <c r="T15" s="19">
        <v>2608.6999999999998</v>
      </c>
      <c r="U15" s="19">
        <v>8908.7000000000007</v>
      </c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</row>
    <row r="16" spans="1:41" x14ac:dyDescent="0.25">
      <c r="A16" s="5">
        <v>1964</v>
      </c>
      <c r="B16" s="19">
        <v>21596.7</v>
      </c>
      <c r="C16" s="19">
        <v>3980.3</v>
      </c>
      <c r="D16" s="19">
        <v>80323.399999999994</v>
      </c>
      <c r="E16" s="19">
        <v>8756.7999999999993</v>
      </c>
      <c r="F16" s="19">
        <v>17373.7</v>
      </c>
      <c r="G16" s="19">
        <v>1507.8</v>
      </c>
      <c r="H16" s="19">
        <v>7783.6</v>
      </c>
      <c r="I16" s="19">
        <v>3642.8</v>
      </c>
      <c r="J16" s="19">
        <v>5074.3999999999996</v>
      </c>
      <c r="K16" s="19">
        <v>3069.2</v>
      </c>
      <c r="L16" s="19">
        <v>4504.8999999999996</v>
      </c>
      <c r="M16" s="19">
        <v>4107.8</v>
      </c>
      <c r="N16" s="19">
        <v>2276.8000000000002</v>
      </c>
      <c r="O16" s="19">
        <v>41084.699999999997</v>
      </c>
      <c r="P16" s="19">
        <v>1979.6</v>
      </c>
      <c r="Q16" s="19">
        <v>1250.9000000000001</v>
      </c>
      <c r="R16" s="19">
        <v>2047.2</v>
      </c>
      <c r="S16" s="19">
        <v>11263.3</v>
      </c>
      <c r="T16" s="19">
        <v>2638.8</v>
      </c>
      <c r="U16" s="19">
        <v>9219.2999999999993</v>
      </c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</row>
    <row r="17" spans="1:41" x14ac:dyDescent="0.25">
      <c r="A17" s="5">
        <v>1965</v>
      </c>
      <c r="B17" s="19">
        <v>21942.2</v>
      </c>
      <c r="C17" s="19">
        <v>4065.7</v>
      </c>
      <c r="D17" s="19">
        <v>82653.8</v>
      </c>
      <c r="E17" s="19">
        <v>8928.2999999999993</v>
      </c>
      <c r="F17" s="19">
        <v>17901.099999999999</v>
      </c>
      <c r="G17" s="19">
        <v>1560.1</v>
      </c>
      <c r="H17" s="19">
        <v>7948.5</v>
      </c>
      <c r="I17" s="19">
        <v>3754.3</v>
      </c>
      <c r="J17" s="19">
        <v>5225.5</v>
      </c>
      <c r="K17" s="19">
        <v>3154.6</v>
      </c>
      <c r="L17" s="19">
        <v>4637.3</v>
      </c>
      <c r="M17" s="19">
        <v>4184.6000000000004</v>
      </c>
      <c r="N17" s="19">
        <v>2342.9</v>
      </c>
      <c r="O17" s="19">
        <v>42459.4</v>
      </c>
      <c r="P17" s="19">
        <v>2040.8</v>
      </c>
      <c r="Q17" s="19">
        <v>1289.3</v>
      </c>
      <c r="R17" s="19">
        <v>2099</v>
      </c>
      <c r="S17" s="19">
        <v>11592.7</v>
      </c>
      <c r="T17" s="19">
        <v>2667.5</v>
      </c>
      <c r="U17" s="19">
        <v>9536.1</v>
      </c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</row>
    <row r="18" spans="1:41" x14ac:dyDescent="0.25">
      <c r="A18" s="5">
        <v>1966</v>
      </c>
      <c r="B18" s="19">
        <v>22283</v>
      </c>
      <c r="C18" s="19">
        <v>4153.8999999999996</v>
      </c>
      <c r="D18" s="19">
        <v>84981.4</v>
      </c>
      <c r="E18" s="19">
        <v>9097.6</v>
      </c>
      <c r="F18" s="19">
        <v>18437</v>
      </c>
      <c r="G18" s="19">
        <v>1612.3</v>
      </c>
      <c r="H18" s="19">
        <v>8113.1</v>
      </c>
      <c r="I18" s="19">
        <v>3863.6</v>
      </c>
      <c r="J18" s="19">
        <v>5382.4</v>
      </c>
      <c r="K18" s="19">
        <v>3244.4</v>
      </c>
      <c r="L18" s="19">
        <v>4772.6000000000004</v>
      </c>
      <c r="M18" s="19">
        <v>4263</v>
      </c>
      <c r="N18" s="19">
        <v>2411.4</v>
      </c>
      <c r="O18" s="19">
        <v>43889.5</v>
      </c>
      <c r="P18" s="19">
        <v>2104.6</v>
      </c>
      <c r="Q18" s="19">
        <v>1328.4</v>
      </c>
      <c r="R18" s="19">
        <v>2151.4</v>
      </c>
      <c r="S18" s="19">
        <v>11929.5</v>
      </c>
      <c r="T18" s="19">
        <v>2694.8</v>
      </c>
      <c r="U18" s="19">
        <v>9859.5</v>
      </c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</row>
    <row r="19" spans="1:41" x14ac:dyDescent="0.25">
      <c r="A19" s="5">
        <v>1967</v>
      </c>
      <c r="B19" s="19">
        <v>22624.799999999999</v>
      </c>
      <c r="C19" s="19">
        <v>4245.2</v>
      </c>
      <c r="D19" s="19">
        <v>87297.3</v>
      </c>
      <c r="E19" s="19">
        <v>9265.7999999999993</v>
      </c>
      <c r="F19" s="19">
        <v>18968.400000000001</v>
      </c>
      <c r="G19" s="19">
        <v>1664</v>
      </c>
      <c r="H19" s="19">
        <v>8273.7999999999993</v>
      </c>
      <c r="I19" s="19">
        <v>3980.1</v>
      </c>
      <c r="J19" s="19">
        <v>5545.1</v>
      </c>
      <c r="K19" s="19">
        <v>3337.6</v>
      </c>
      <c r="L19" s="19">
        <v>4909.3</v>
      </c>
      <c r="M19" s="19">
        <v>4342.3</v>
      </c>
      <c r="N19" s="19">
        <v>2482.1</v>
      </c>
      <c r="O19" s="19">
        <v>45368.7</v>
      </c>
      <c r="P19" s="19">
        <v>2171</v>
      </c>
      <c r="Q19" s="19">
        <v>1368.4</v>
      </c>
      <c r="R19" s="19">
        <v>2203.8000000000002</v>
      </c>
      <c r="S19" s="19">
        <v>12273.1</v>
      </c>
      <c r="T19" s="19">
        <v>2720.5</v>
      </c>
      <c r="U19" s="19">
        <v>10190.200000000001</v>
      </c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</row>
    <row r="20" spans="1:41" x14ac:dyDescent="0.25">
      <c r="A20" s="5">
        <v>1968</v>
      </c>
      <c r="B20" s="19">
        <v>22973.4</v>
      </c>
      <c r="C20" s="19">
        <v>4339.8999999999996</v>
      </c>
      <c r="D20" s="19">
        <v>89594.9</v>
      </c>
      <c r="E20" s="19">
        <v>9432</v>
      </c>
      <c r="F20" s="19">
        <v>19502.8</v>
      </c>
      <c r="G20" s="19">
        <v>1715.1</v>
      </c>
      <c r="H20" s="19">
        <v>8431.5</v>
      </c>
      <c r="I20" s="19">
        <v>4097.8</v>
      </c>
      <c r="J20" s="19">
        <v>5713.1</v>
      </c>
      <c r="K20" s="19">
        <v>3432.8</v>
      </c>
      <c r="L20" s="19">
        <v>5048.3999999999996</v>
      </c>
      <c r="M20" s="19">
        <v>4423.7</v>
      </c>
      <c r="N20" s="19">
        <v>2555.1999999999998</v>
      </c>
      <c r="O20" s="19">
        <v>46890.5</v>
      </c>
      <c r="P20" s="19">
        <v>2240.1</v>
      </c>
      <c r="Q20" s="19">
        <v>1408.9</v>
      </c>
      <c r="R20" s="19">
        <v>2256.1999999999998</v>
      </c>
      <c r="S20" s="19">
        <v>12624.5</v>
      </c>
      <c r="T20" s="19">
        <v>2744.1</v>
      </c>
      <c r="U20" s="19">
        <v>10526.8</v>
      </c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</row>
    <row r="21" spans="1:41" x14ac:dyDescent="0.25">
      <c r="A21" s="5">
        <v>1969</v>
      </c>
      <c r="B21" s="19">
        <v>23327.8</v>
      </c>
      <c r="C21" s="19">
        <v>4437.8999999999996</v>
      </c>
      <c r="D21" s="19">
        <v>91887.6</v>
      </c>
      <c r="E21" s="19">
        <v>9597.4</v>
      </c>
      <c r="F21" s="19">
        <v>20030.8</v>
      </c>
      <c r="G21" s="19">
        <v>1764.4</v>
      </c>
      <c r="H21" s="19">
        <v>8587.6</v>
      </c>
      <c r="I21" s="19">
        <v>4216.6000000000004</v>
      </c>
      <c r="J21" s="19">
        <v>5886.3</v>
      </c>
      <c r="K21" s="19">
        <v>3528.7</v>
      </c>
      <c r="L21" s="19">
        <v>5187.8</v>
      </c>
      <c r="M21" s="19">
        <v>4506.8999999999996</v>
      </c>
      <c r="N21" s="19">
        <v>2630.9</v>
      </c>
      <c r="O21" s="19">
        <v>48446.1</v>
      </c>
      <c r="P21" s="19">
        <v>2311.6</v>
      </c>
      <c r="Q21" s="19">
        <v>1450</v>
      </c>
      <c r="R21" s="19">
        <v>2308.6</v>
      </c>
      <c r="S21" s="19">
        <v>12983.5</v>
      </c>
      <c r="T21" s="19">
        <v>2765.1</v>
      </c>
      <c r="U21" s="19">
        <v>10868.3</v>
      </c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</row>
    <row r="22" spans="1:41" x14ac:dyDescent="0.25">
      <c r="A22" s="5">
        <v>1970</v>
      </c>
      <c r="B22" s="19">
        <v>23689.599999999999</v>
      </c>
      <c r="C22" s="19">
        <v>4538.5</v>
      </c>
      <c r="D22" s="19">
        <v>94204</v>
      </c>
      <c r="E22" s="19">
        <v>9763.2000000000007</v>
      </c>
      <c r="F22" s="19">
        <v>20553.099999999999</v>
      </c>
      <c r="G22" s="19">
        <v>1814.2</v>
      </c>
      <c r="H22" s="19">
        <v>8745.7000000000007</v>
      </c>
      <c r="I22" s="19">
        <v>4337.5</v>
      </c>
      <c r="J22" s="19">
        <v>6064.2</v>
      </c>
      <c r="K22" s="19">
        <v>3624.2</v>
      </c>
      <c r="L22" s="19">
        <v>5326.4</v>
      </c>
      <c r="M22" s="19">
        <v>4591.7</v>
      </c>
      <c r="N22" s="19">
        <v>2709.6</v>
      </c>
      <c r="O22" s="19">
        <v>50020.3</v>
      </c>
      <c r="P22" s="19">
        <v>2385.1999999999998</v>
      </c>
      <c r="Q22" s="19">
        <v>1491.8</v>
      </c>
      <c r="R22" s="19">
        <v>2361.4</v>
      </c>
      <c r="S22" s="19">
        <v>13350.1</v>
      </c>
      <c r="T22" s="19">
        <v>2782.8</v>
      </c>
      <c r="U22" s="19">
        <v>11212.3</v>
      </c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</row>
    <row r="23" spans="1:41" x14ac:dyDescent="0.25">
      <c r="A23" s="5">
        <v>1971</v>
      </c>
      <c r="B23" s="19">
        <v>24067</v>
      </c>
      <c r="C23" s="19">
        <v>4641.5</v>
      </c>
      <c r="D23" s="19">
        <v>96547.3</v>
      </c>
      <c r="E23" s="19">
        <v>9927.5</v>
      </c>
      <c r="F23" s="19">
        <v>21070.5</v>
      </c>
      <c r="G23" s="19">
        <v>1863.7</v>
      </c>
      <c r="H23" s="19">
        <v>8903.1</v>
      </c>
      <c r="I23" s="19">
        <v>4461.1000000000004</v>
      </c>
      <c r="J23" s="19">
        <v>6246.6</v>
      </c>
      <c r="K23" s="19">
        <v>3713.4</v>
      </c>
      <c r="L23" s="19">
        <v>5467.6</v>
      </c>
      <c r="M23" s="19">
        <v>4678.5</v>
      </c>
      <c r="N23" s="19">
        <v>2791.8</v>
      </c>
      <c r="O23" s="19">
        <v>51609.599999999999</v>
      </c>
      <c r="P23" s="19">
        <v>2460.9</v>
      </c>
      <c r="Q23" s="19">
        <v>1534.4</v>
      </c>
      <c r="R23" s="19">
        <v>2414.6999999999998</v>
      </c>
      <c r="S23" s="19">
        <v>13652.4</v>
      </c>
      <c r="T23" s="19">
        <v>2798.8</v>
      </c>
      <c r="U23" s="19">
        <v>11563.3</v>
      </c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</row>
    <row r="24" spans="1:41" x14ac:dyDescent="0.25">
      <c r="A24" s="5">
        <v>1972</v>
      </c>
      <c r="B24" s="19">
        <v>24447.4</v>
      </c>
      <c r="C24" s="19">
        <v>4747.2</v>
      </c>
      <c r="D24" s="19">
        <v>98931.199999999997</v>
      </c>
      <c r="E24" s="19">
        <v>10091.9</v>
      </c>
      <c r="F24" s="19">
        <v>21567.7</v>
      </c>
      <c r="G24" s="19">
        <v>1913.4</v>
      </c>
      <c r="H24" s="19">
        <v>9055.1</v>
      </c>
      <c r="I24" s="19">
        <v>4587.3999999999996</v>
      </c>
      <c r="J24" s="19">
        <v>6433.5</v>
      </c>
      <c r="K24" s="19">
        <v>3801.7</v>
      </c>
      <c r="L24" s="19">
        <v>5609.2</v>
      </c>
      <c r="M24" s="19">
        <v>4768</v>
      </c>
      <c r="N24" s="19">
        <v>2877.5</v>
      </c>
      <c r="O24" s="19">
        <v>53215.5</v>
      </c>
      <c r="P24" s="19">
        <v>2538.6999999999998</v>
      </c>
      <c r="Q24" s="19">
        <v>1577.8</v>
      </c>
      <c r="R24" s="19">
        <v>2470.4</v>
      </c>
      <c r="S24" s="19">
        <v>14023.7</v>
      </c>
      <c r="T24" s="19">
        <v>2814.1</v>
      </c>
      <c r="U24" s="19">
        <v>11918.7</v>
      </c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</row>
    <row r="25" spans="1:41" x14ac:dyDescent="0.25">
      <c r="A25" s="5">
        <v>1973</v>
      </c>
      <c r="B25" s="19">
        <v>24841.3</v>
      </c>
      <c r="C25" s="19">
        <v>4854.8</v>
      </c>
      <c r="D25" s="19">
        <v>101362.4</v>
      </c>
      <c r="E25" s="19">
        <v>10257.5</v>
      </c>
      <c r="F25" s="19">
        <v>22071.4</v>
      </c>
      <c r="G25" s="19">
        <v>1963.1</v>
      </c>
      <c r="H25" s="19">
        <v>9192.7000000000007</v>
      </c>
      <c r="I25" s="19">
        <v>4716.3999999999996</v>
      </c>
      <c r="J25" s="19">
        <v>6624.6</v>
      </c>
      <c r="K25" s="19">
        <v>3892</v>
      </c>
      <c r="L25" s="19">
        <v>5756.5</v>
      </c>
      <c r="M25" s="19">
        <v>4859.8</v>
      </c>
      <c r="N25" s="19">
        <v>2966.7</v>
      </c>
      <c r="O25" s="19">
        <v>54844.800000000003</v>
      </c>
      <c r="P25" s="19">
        <v>2608.4</v>
      </c>
      <c r="Q25" s="19">
        <v>1621.7</v>
      </c>
      <c r="R25" s="19">
        <v>2529.4</v>
      </c>
      <c r="S25" s="19">
        <v>14396.6</v>
      </c>
      <c r="T25" s="19">
        <v>2829.2</v>
      </c>
      <c r="U25" s="19">
        <v>12279.6</v>
      </c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</row>
    <row r="26" spans="1:41" x14ac:dyDescent="0.25">
      <c r="A26" s="5">
        <v>1974</v>
      </c>
      <c r="B26" s="19">
        <v>25250.7</v>
      </c>
      <c r="C26" s="19">
        <v>4965.6000000000004</v>
      </c>
      <c r="D26" s="19">
        <v>103839.6</v>
      </c>
      <c r="E26" s="19">
        <v>10423.299999999999</v>
      </c>
      <c r="F26" s="19">
        <v>22579.4</v>
      </c>
      <c r="G26" s="19">
        <v>2013.5</v>
      </c>
      <c r="H26" s="19">
        <v>9318</v>
      </c>
      <c r="I26" s="19">
        <v>4848.1000000000004</v>
      </c>
      <c r="J26" s="19">
        <v>6819.5</v>
      </c>
      <c r="K26" s="19">
        <v>3984.2</v>
      </c>
      <c r="L26" s="19">
        <v>5906.7</v>
      </c>
      <c r="M26" s="19">
        <v>4953.7</v>
      </c>
      <c r="N26" s="19">
        <v>3056.2</v>
      </c>
      <c r="O26" s="19">
        <v>56489.8</v>
      </c>
      <c r="P26" s="19">
        <v>2690.1</v>
      </c>
      <c r="Q26" s="19">
        <v>1665.7</v>
      </c>
      <c r="R26" s="19">
        <v>2592.8000000000002</v>
      </c>
      <c r="S26" s="19">
        <v>14769.2</v>
      </c>
      <c r="T26" s="19">
        <v>2845.1</v>
      </c>
      <c r="U26" s="19">
        <v>12647.4</v>
      </c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</row>
    <row r="27" spans="1:41" x14ac:dyDescent="0.25">
      <c r="A27" s="5">
        <v>1975</v>
      </c>
      <c r="B27" s="19">
        <v>25672</v>
      </c>
      <c r="C27" s="19">
        <v>5079.3</v>
      </c>
      <c r="D27" s="19">
        <v>106339.8</v>
      </c>
      <c r="E27" s="19">
        <v>10588.4</v>
      </c>
      <c r="F27" s="19">
        <v>23087.599999999999</v>
      </c>
      <c r="G27" s="19">
        <v>2065.6999999999998</v>
      </c>
      <c r="H27" s="19">
        <v>9430.4</v>
      </c>
      <c r="I27" s="19">
        <v>4980.3</v>
      </c>
      <c r="J27" s="19">
        <v>7017.6</v>
      </c>
      <c r="K27" s="19">
        <v>4075.2</v>
      </c>
      <c r="L27" s="19">
        <v>6055.6</v>
      </c>
      <c r="M27" s="19">
        <v>5049.8999999999996</v>
      </c>
      <c r="N27" s="19">
        <v>3143.4</v>
      </c>
      <c r="O27" s="19">
        <v>58150.5</v>
      </c>
      <c r="P27" s="19">
        <v>2774</v>
      </c>
      <c r="Q27" s="19">
        <v>1710.1</v>
      </c>
      <c r="R27" s="19">
        <v>2658.4</v>
      </c>
      <c r="S27" s="19">
        <v>15143.9</v>
      </c>
      <c r="T27" s="19">
        <v>2862.8</v>
      </c>
      <c r="U27" s="19">
        <v>13023.3</v>
      </c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</row>
    <row r="28" spans="1:41" x14ac:dyDescent="0.25">
      <c r="A28" s="5">
        <v>1976</v>
      </c>
      <c r="B28" s="19">
        <v>26076.2</v>
      </c>
      <c r="C28" s="19">
        <v>5195.8</v>
      </c>
      <c r="D28" s="19">
        <v>108899.4</v>
      </c>
      <c r="E28" s="19">
        <v>10754.7</v>
      </c>
      <c r="F28" s="19">
        <v>23601.7</v>
      </c>
      <c r="G28" s="19">
        <v>2119.6999999999998</v>
      </c>
      <c r="H28" s="19">
        <v>9529.1</v>
      </c>
      <c r="I28" s="19">
        <v>5113.2</v>
      </c>
      <c r="J28" s="19">
        <v>7218.9</v>
      </c>
      <c r="K28" s="19">
        <v>4165.7</v>
      </c>
      <c r="L28" s="19">
        <v>6201.8</v>
      </c>
      <c r="M28" s="19">
        <v>5148.3</v>
      </c>
      <c r="N28" s="19">
        <v>3243</v>
      </c>
      <c r="O28" s="19">
        <v>59814.3</v>
      </c>
      <c r="P28" s="19">
        <v>2859.9</v>
      </c>
      <c r="Q28" s="19">
        <v>1754.7</v>
      </c>
      <c r="R28" s="19">
        <v>2724.9</v>
      </c>
      <c r="S28" s="19">
        <v>15524</v>
      </c>
      <c r="T28" s="19">
        <v>2881.8</v>
      </c>
      <c r="U28" s="19">
        <v>13408.5</v>
      </c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</row>
    <row r="29" spans="1:41" x14ac:dyDescent="0.25">
      <c r="A29" s="5">
        <v>1977</v>
      </c>
      <c r="B29" s="19">
        <v>26488.3</v>
      </c>
      <c r="C29" s="19">
        <v>5317.2</v>
      </c>
      <c r="D29" s="19">
        <v>111527.3</v>
      </c>
      <c r="E29" s="19">
        <v>10921.8</v>
      </c>
      <c r="F29" s="19">
        <v>24115.9</v>
      </c>
      <c r="G29" s="19">
        <v>2175.9</v>
      </c>
      <c r="H29" s="19">
        <v>9613.4</v>
      </c>
      <c r="I29" s="19">
        <v>5247.6</v>
      </c>
      <c r="J29" s="19">
        <v>7423</v>
      </c>
      <c r="K29" s="19">
        <v>4254.8999999999996</v>
      </c>
      <c r="L29" s="19">
        <v>6323</v>
      </c>
      <c r="M29" s="19">
        <v>5248.4</v>
      </c>
      <c r="N29" s="19">
        <v>3345.9</v>
      </c>
      <c r="O29" s="19">
        <v>61476.800000000003</v>
      </c>
      <c r="P29" s="19">
        <v>2947.8</v>
      </c>
      <c r="Q29" s="19">
        <v>1799.2</v>
      </c>
      <c r="R29" s="19">
        <v>2792.8</v>
      </c>
      <c r="S29" s="19">
        <v>15909.7</v>
      </c>
      <c r="T29" s="19">
        <v>2900.9</v>
      </c>
      <c r="U29" s="19">
        <v>13804.1</v>
      </c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</row>
    <row r="30" spans="1:41" x14ac:dyDescent="0.25">
      <c r="A30" s="5">
        <v>1978</v>
      </c>
      <c r="B30" s="19">
        <v>26915.3</v>
      </c>
      <c r="C30" s="19">
        <v>5441.1</v>
      </c>
      <c r="D30" s="19">
        <v>114223.2</v>
      </c>
      <c r="E30" s="19">
        <v>11089.3</v>
      </c>
      <c r="F30" s="19">
        <v>24671.1</v>
      </c>
      <c r="G30" s="19">
        <v>2234.1999999999998</v>
      </c>
      <c r="H30" s="19">
        <v>9683.5</v>
      </c>
      <c r="I30" s="19">
        <v>5383.3</v>
      </c>
      <c r="J30" s="19">
        <v>7630.7</v>
      </c>
      <c r="K30" s="19">
        <v>4347.6000000000004</v>
      </c>
      <c r="L30" s="19">
        <v>6480</v>
      </c>
      <c r="M30" s="19">
        <v>5350.5</v>
      </c>
      <c r="N30" s="19">
        <v>3451.4</v>
      </c>
      <c r="O30" s="19">
        <v>63140.2</v>
      </c>
      <c r="P30" s="19">
        <v>3037.2</v>
      </c>
      <c r="Q30" s="19">
        <v>1843.9</v>
      </c>
      <c r="R30" s="19">
        <v>2863</v>
      </c>
      <c r="S30" s="19">
        <v>16310</v>
      </c>
      <c r="T30" s="19">
        <v>2918</v>
      </c>
      <c r="U30" s="19">
        <v>14209.6</v>
      </c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</row>
    <row r="31" spans="1:41" x14ac:dyDescent="0.25">
      <c r="A31" s="5">
        <v>1979</v>
      </c>
      <c r="B31" s="19">
        <v>27349</v>
      </c>
      <c r="C31" s="19">
        <v>5567.1</v>
      </c>
      <c r="D31" s="19">
        <v>116978.6</v>
      </c>
      <c r="E31" s="19">
        <v>11256.1</v>
      </c>
      <c r="F31" s="19">
        <v>25229.599999999999</v>
      </c>
      <c r="G31" s="19">
        <v>2294.8000000000002</v>
      </c>
      <c r="H31" s="19">
        <v>9740.5</v>
      </c>
      <c r="I31" s="19">
        <v>5520.5</v>
      </c>
      <c r="J31" s="19">
        <v>7841.7</v>
      </c>
      <c r="K31" s="19">
        <v>4440.6000000000004</v>
      </c>
      <c r="L31" s="19">
        <v>6643</v>
      </c>
      <c r="M31" s="19">
        <v>5454.6</v>
      </c>
      <c r="N31" s="19">
        <v>3559.5</v>
      </c>
      <c r="O31" s="19">
        <v>64817.9</v>
      </c>
      <c r="P31" s="19">
        <v>3123.4</v>
      </c>
      <c r="Q31" s="19">
        <v>1888.8</v>
      </c>
      <c r="R31" s="19">
        <v>2935.6</v>
      </c>
      <c r="S31" s="19">
        <v>16722.2</v>
      </c>
      <c r="T31" s="19">
        <v>2933.5</v>
      </c>
      <c r="U31" s="19">
        <v>14623.8</v>
      </c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</row>
    <row r="32" spans="1:41" x14ac:dyDescent="0.25">
      <c r="A32" s="5">
        <v>1980</v>
      </c>
      <c r="B32" s="19">
        <v>27788.799999999999</v>
      </c>
      <c r="C32" s="19">
        <v>5694.5</v>
      </c>
      <c r="D32" s="19">
        <v>119783</v>
      </c>
      <c r="E32" s="19">
        <v>11423.4</v>
      </c>
      <c r="F32" s="19">
        <v>25801.7</v>
      </c>
      <c r="G32" s="19">
        <v>2358.1999999999998</v>
      </c>
      <c r="H32" s="19">
        <v>9786.2000000000007</v>
      </c>
      <c r="I32" s="19">
        <v>5658.9</v>
      </c>
      <c r="J32" s="19">
        <v>8056.1</v>
      </c>
      <c r="K32" s="19">
        <v>4520.2</v>
      </c>
      <c r="L32" s="19">
        <v>6812.6</v>
      </c>
      <c r="M32" s="19">
        <v>5560.6</v>
      </c>
      <c r="N32" s="19">
        <v>3670.5</v>
      </c>
      <c r="O32" s="19">
        <v>66479.899999999994</v>
      </c>
      <c r="P32" s="19">
        <v>3205.7</v>
      </c>
      <c r="Q32" s="19">
        <v>1934.3</v>
      </c>
      <c r="R32" s="19">
        <v>3012.4</v>
      </c>
      <c r="S32" s="19">
        <v>17144.099999999999</v>
      </c>
      <c r="T32" s="19">
        <v>2946.4</v>
      </c>
      <c r="U32" s="19">
        <v>15045.3</v>
      </c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</row>
    <row r="33" spans="1:41" x14ac:dyDescent="0.25">
      <c r="A33" s="5">
        <v>1981</v>
      </c>
      <c r="B33" s="19">
        <v>28234.400000000001</v>
      </c>
      <c r="C33" s="19">
        <v>5823.3</v>
      </c>
      <c r="D33" s="19">
        <v>122631.9</v>
      </c>
      <c r="E33" s="19">
        <v>11593.7</v>
      </c>
      <c r="F33" s="19">
        <v>26407.3</v>
      </c>
      <c r="G33" s="19">
        <v>2423.1</v>
      </c>
      <c r="H33" s="19">
        <v>9823.4</v>
      </c>
      <c r="I33" s="19">
        <v>5799.1</v>
      </c>
      <c r="J33" s="19">
        <v>8275.7000000000007</v>
      </c>
      <c r="K33" s="19">
        <v>4560.6000000000004</v>
      </c>
      <c r="L33" s="19">
        <v>6987.9</v>
      </c>
      <c r="M33" s="19">
        <v>5668.4</v>
      </c>
      <c r="N33" s="19">
        <v>3783.9</v>
      </c>
      <c r="O33" s="19">
        <v>68120.800000000003</v>
      </c>
      <c r="P33" s="19">
        <v>3299.1</v>
      </c>
      <c r="Q33" s="19">
        <v>1980.7</v>
      </c>
      <c r="R33" s="19">
        <v>3094.1</v>
      </c>
      <c r="S33" s="19">
        <v>17577.8</v>
      </c>
      <c r="T33" s="19">
        <v>2957.6</v>
      </c>
      <c r="U33" s="19">
        <v>15471.1</v>
      </c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</row>
    <row r="34" spans="1:41" x14ac:dyDescent="0.25">
      <c r="A34" s="5">
        <v>1982</v>
      </c>
      <c r="B34" s="19">
        <v>28693.5</v>
      </c>
      <c r="C34" s="19">
        <v>5953</v>
      </c>
      <c r="D34" s="19">
        <v>125494.3</v>
      </c>
      <c r="E34" s="19">
        <v>11763.8</v>
      </c>
      <c r="F34" s="19">
        <v>27019.200000000001</v>
      </c>
      <c r="G34" s="19">
        <v>2490.1999999999998</v>
      </c>
      <c r="H34" s="19">
        <v>9875.2999999999993</v>
      </c>
      <c r="I34" s="19">
        <v>5937.8</v>
      </c>
      <c r="J34" s="19">
        <v>8498.1</v>
      </c>
      <c r="K34" s="19">
        <v>4580.6000000000004</v>
      </c>
      <c r="L34" s="19">
        <v>7163.4</v>
      </c>
      <c r="M34" s="19">
        <v>5779</v>
      </c>
      <c r="N34" s="19">
        <v>3899.7</v>
      </c>
      <c r="O34" s="19">
        <v>69663.399999999994</v>
      </c>
      <c r="P34" s="19">
        <v>3392.2</v>
      </c>
      <c r="Q34" s="19">
        <v>2028.1</v>
      </c>
      <c r="R34" s="19">
        <v>3181.1</v>
      </c>
      <c r="S34" s="19">
        <v>18019.8</v>
      </c>
      <c r="T34" s="19">
        <v>2968.9</v>
      </c>
      <c r="U34" s="19">
        <v>15903.5</v>
      </c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</row>
    <row r="35" spans="1:41" x14ac:dyDescent="0.25">
      <c r="A35" s="5">
        <v>1983</v>
      </c>
      <c r="B35" s="19">
        <v>29155</v>
      </c>
      <c r="C35" s="19">
        <v>6083.2</v>
      </c>
      <c r="D35" s="19">
        <v>128352</v>
      </c>
      <c r="E35" s="19">
        <v>11936.7</v>
      </c>
      <c r="F35" s="19">
        <v>27657.5</v>
      </c>
      <c r="G35" s="19">
        <v>2559.4</v>
      </c>
      <c r="H35" s="19">
        <v>9950.1</v>
      </c>
      <c r="I35" s="19">
        <v>6076.5</v>
      </c>
      <c r="J35" s="19">
        <v>8724.5</v>
      </c>
      <c r="K35" s="19">
        <v>4664.3999999999996</v>
      </c>
      <c r="L35" s="19">
        <v>7317</v>
      </c>
      <c r="M35" s="19">
        <v>5892.9</v>
      </c>
      <c r="N35" s="19">
        <v>4017.8</v>
      </c>
      <c r="O35" s="19">
        <v>71203.100000000006</v>
      </c>
      <c r="P35" s="19">
        <v>3485.3</v>
      </c>
      <c r="Q35" s="19">
        <v>2076.4</v>
      </c>
      <c r="R35" s="19">
        <v>3271.3</v>
      </c>
      <c r="S35" s="19">
        <v>18473.2</v>
      </c>
      <c r="T35" s="19">
        <v>2982</v>
      </c>
      <c r="U35" s="19">
        <v>16340.3</v>
      </c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</row>
    <row r="36" spans="1:41" x14ac:dyDescent="0.25">
      <c r="A36" s="5">
        <v>1984</v>
      </c>
      <c r="B36" s="19">
        <v>29627.599999999999</v>
      </c>
      <c r="C36" s="19">
        <v>6214.9</v>
      </c>
      <c r="D36" s="19">
        <v>131228.1</v>
      </c>
      <c r="E36" s="19">
        <v>12115.6</v>
      </c>
      <c r="F36" s="19">
        <v>28318.9</v>
      </c>
      <c r="G36" s="19">
        <v>2630.9</v>
      </c>
      <c r="H36" s="19">
        <v>10032</v>
      </c>
      <c r="I36" s="19">
        <v>6218</v>
      </c>
      <c r="J36" s="19">
        <v>8956.4</v>
      </c>
      <c r="K36" s="19">
        <v>4750.3999999999996</v>
      </c>
      <c r="L36" s="19">
        <v>7522.2</v>
      </c>
      <c r="M36" s="19">
        <v>6009.3</v>
      </c>
      <c r="N36" s="19">
        <v>4138.6000000000004</v>
      </c>
      <c r="O36" s="19">
        <v>72739.399999999994</v>
      </c>
      <c r="P36" s="19">
        <v>3575.3</v>
      </c>
      <c r="Q36" s="19">
        <v>2125.8000000000002</v>
      </c>
      <c r="R36" s="19">
        <v>3364.9</v>
      </c>
      <c r="S36" s="19">
        <v>18938.7</v>
      </c>
      <c r="T36" s="19">
        <v>2995.5</v>
      </c>
      <c r="U36" s="19">
        <v>16784.099999999999</v>
      </c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</row>
    <row r="37" spans="1:41" x14ac:dyDescent="0.25">
      <c r="A37" s="5">
        <v>1985</v>
      </c>
      <c r="B37" s="19">
        <v>30098.6</v>
      </c>
      <c r="C37" s="19">
        <v>6348.8</v>
      </c>
      <c r="D37" s="19">
        <v>134089.60000000001</v>
      </c>
      <c r="E37" s="19">
        <v>12299.8</v>
      </c>
      <c r="F37" s="19">
        <v>28966.5</v>
      </c>
      <c r="G37" s="19">
        <v>2704.3</v>
      </c>
      <c r="H37" s="19">
        <v>10114.6</v>
      </c>
      <c r="I37" s="19">
        <v>6360.1</v>
      </c>
      <c r="J37" s="19">
        <v>9193.2000000000007</v>
      </c>
      <c r="K37" s="19">
        <v>4845.6000000000004</v>
      </c>
      <c r="L37" s="19">
        <v>7739.1</v>
      </c>
      <c r="M37" s="19">
        <v>6129.1</v>
      </c>
      <c r="N37" s="19">
        <v>4261.1000000000004</v>
      </c>
      <c r="O37" s="19">
        <v>74274.3</v>
      </c>
      <c r="P37" s="19">
        <v>3662.9</v>
      </c>
      <c r="Q37" s="19">
        <v>2175.8000000000002</v>
      </c>
      <c r="R37" s="19">
        <v>3461</v>
      </c>
      <c r="S37" s="19">
        <v>19410.7</v>
      </c>
      <c r="T37" s="19">
        <v>3009.5</v>
      </c>
      <c r="U37" s="19">
        <v>17233.599999999999</v>
      </c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</row>
    <row r="38" spans="1:41" x14ac:dyDescent="0.25">
      <c r="A38" s="5">
        <v>1986</v>
      </c>
      <c r="B38" s="19">
        <v>30574.3</v>
      </c>
      <c r="C38" s="19">
        <v>6483.5</v>
      </c>
      <c r="D38" s="19">
        <v>136941.6</v>
      </c>
      <c r="E38" s="19">
        <v>12490.7</v>
      </c>
      <c r="F38" s="19">
        <v>29570.400000000001</v>
      </c>
      <c r="G38" s="19">
        <v>2779.5</v>
      </c>
      <c r="H38" s="19">
        <v>10199.799999999999</v>
      </c>
      <c r="I38" s="19">
        <v>6500.8</v>
      </c>
      <c r="J38" s="19">
        <v>9429.1</v>
      </c>
      <c r="K38" s="19">
        <v>4943.8</v>
      </c>
      <c r="L38" s="19">
        <v>7960.3</v>
      </c>
      <c r="M38" s="19">
        <v>6252.6</v>
      </c>
      <c r="N38" s="19">
        <v>4385.6000000000004</v>
      </c>
      <c r="O38" s="19">
        <v>75812.5</v>
      </c>
      <c r="P38" s="19">
        <v>3750</v>
      </c>
      <c r="Q38" s="19">
        <v>2226.1</v>
      </c>
      <c r="R38" s="19">
        <v>3560.3</v>
      </c>
      <c r="S38" s="19">
        <v>19885.7</v>
      </c>
      <c r="T38" s="19">
        <v>3024.6</v>
      </c>
      <c r="U38" s="19">
        <v>17689.3</v>
      </c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</row>
    <row r="39" spans="1:41" x14ac:dyDescent="0.25">
      <c r="A39" s="5">
        <v>1987</v>
      </c>
      <c r="B39" s="19">
        <v>31049.599999999999</v>
      </c>
      <c r="C39" s="19">
        <v>6621.4</v>
      </c>
      <c r="D39" s="19">
        <v>139731.1</v>
      </c>
      <c r="E39" s="19">
        <v>12687.1</v>
      </c>
      <c r="F39" s="19">
        <v>30187.8</v>
      </c>
      <c r="G39" s="19">
        <v>2855</v>
      </c>
      <c r="H39" s="19">
        <v>10288.700000000001</v>
      </c>
      <c r="I39" s="19">
        <v>6641.7</v>
      </c>
      <c r="J39" s="19">
        <v>9662.9</v>
      </c>
      <c r="K39" s="19">
        <v>5041.8</v>
      </c>
      <c r="L39" s="19">
        <v>8181.4</v>
      </c>
      <c r="M39" s="19">
        <v>6379.6</v>
      </c>
      <c r="N39" s="19">
        <v>4512.2</v>
      </c>
      <c r="O39" s="19">
        <v>77358.8</v>
      </c>
      <c r="P39" s="19">
        <v>3838.3</v>
      </c>
      <c r="Q39" s="19">
        <v>2276.6</v>
      </c>
      <c r="R39" s="19">
        <v>3662.6</v>
      </c>
      <c r="S39" s="19">
        <v>20348.5</v>
      </c>
      <c r="T39" s="19">
        <v>3041.1</v>
      </c>
      <c r="U39" s="19">
        <v>18157.8</v>
      </c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</row>
    <row r="40" spans="1:41" x14ac:dyDescent="0.25">
      <c r="A40" s="5">
        <v>1988</v>
      </c>
      <c r="B40" s="19">
        <v>31533.9</v>
      </c>
      <c r="C40" s="19">
        <v>6762.9</v>
      </c>
      <c r="D40" s="19">
        <v>142478.70000000001</v>
      </c>
      <c r="E40" s="19">
        <v>12893.2</v>
      </c>
      <c r="F40" s="19">
        <v>30811.200000000001</v>
      </c>
      <c r="G40" s="19">
        <v>2930.4</v>
      </c>
      <c r="H40" s="19">
        <v>10382</v>
      </c>
      <c r="I40" s="19">
        <v>6783.4</v>
      </c>
      <c r="J40" s="19">
        <v>9895.7000000000007</v>
      </c>
      <c r="K40" s="19">
        <v>5143.1000000000004</v>
      </c>
      <c r="L40" s="19">
        <v>8411.6</v>
      </c>
      <c r="M40" s="19">
        <v>6510.6</v>
      </c>
      <c r="N40" s="19">
        <v>4641.6000000000004</v>
      </c>
      <c r="O40" s="19">
        <v>78914.5</v>
      </c>
      <c r="P40" s="19">
        <v>3926</v>
      </c>
      <c r="Q40" s="19">
        <v>2327.3000000000002</v>
      </c>
      <c r="R40" s="19">
        <v>3767.1</v>
      </c>
      <c r="S40" s="19">
        <v>20816.099999999999</v>
      </c>
      <c r="T40" s="19">
        <v>3058.7</v>
      </c>
      <c r="U40" s="19">
        <v>18632.2</v>
      </c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</row>
    <row r="41" spans="1:41" x14ac:dyDescent="0.25">
      <c r="A41" s="5">
        <v>1989</v>
      </c>
      <c r="B41" s="19">
        <v>32027.200000000001</v>
      </c>
      <c r="C41" s="19">
        <v>6908.1</v>
      </c>
      <c r="D41" s="19">
        <v>145174</v>
      </c>
      <c r="E41" s="19">
        <v>13105.7</v>
      </c>
      <c r="F41" s="19">
        <v>31449.9</v>
      </c>
      <c r="G41" s="19">
        <v>3005.8</v>
      </c>
      <c r="H41" s="19">
        <v>10483.200000000001</v>
      </c>
      <c r="I41" s="19">
        <v>6928.1</v>
      </c>
      <c r="J41" s="19">
        <v>10125.9</v>
      </c>
      <c r="K41" s="19">
        <v>5248.5</v>
      </c>
      <c r="L41" s="19">
        <v>8652.6</v>
      </c>
      <c r="M41" s="19">
        <v>6645.7</v>
      </c>
      <c r="N41" s="19">
        <v>4773.8</v>
      </c>
      <c r="O41" s="19">
        <v>80476.5</v>
      </c>
      <c r="P41" s="19">
        <v>4018.6</v>
      </c>
      <c r="Q41" s="19">
        <v>2378.4</v>
      </c>
      <c r="R41" s="19">
        <v>3873.9</v>
      </c>
      <c r="S41" s="19">
        <v>21293.3</v>
      </c>
      <c r="T41" s="19">
        <v>3077.2</v>
      </c>
      <c r="U41" s="19">
        <v>19109.900000000001</v>
      </c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</row>
    <row r="42" spans="1:41" x14ac:dyDescent="0.25">
      <c r="A42" s="5">
        <v>1990</v>
      </c>
      <c r="B42" s="19">
        <v>32514.7</v>
      </c>
      <c r="C42" s="19">
        <v>7055.4</v>
      </c>
      <c r="D42" s="19">
        <v>147832</v>
      </c>
      <c r="E42" s="19">
        <v>13324.3</v>
      </c>
      <c r="F42" s="19">
        <v>32102.7</v>
      </c>
      <c r="G42" s="19">
        <v>3081.9</v>
      </c>
      <c r="H42" s="19">
        <v>10583.3</v>
      </c>
      <c r="I42" s="19">
        <v>7076.5</v>
      </c>
      <c r="J42" s="19">
        <v>10357.799999999999</v>
      </c>
      <c r="K42" s="19">
        <v>5349.4</v>
      </c>
      <c r="L42" s="19">
        <v>8898.5</v>
      </c>
      <c r="M42" s="19">
        <v>6783.8</v>
      </c>
      <c r="N42" s="19">
        <v>4909.8999999999996</v>
      </c>
      <c r="O42" s="19">
        <v>82017.8</v>
      </c>
      <c r="P42" s="19">
        <v>4114.3999999999996</v>
      </c>
      <c r="Q42" s="19">
        <v>2429.3000000000002</v>
      </c>
      <c r="R42" s="19">
        <v>3981.7</v>
      </c>
      <c r="S42" s="19">
        <v>21771.9</v>
      </c>
      <c r="T42" s="19">
        <v>3095.3</v>
      </c>
      <c r="U42" s="19">
        <v>19588</v>
      </c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</row>
    <row r="43" spans="1:41" x14ac:dyDescent="0.25">
      <c r="A43" s="5">
        <v>1991</v>
      </c>
      <c r="B43" s="19">
        <v>32997.1</v>
      </c>
      <c r="C43" s="19">
        <v>7204.9</v>
      </c>
      <c r="D43" s="19">
        <v>150454.5</v>
      </c>
      <c r="E43" s="19">
        <v>13550</v>
      </c>
      <c r="F43" s="19">
        <v>32777.5</v>
      </c>
      <c r="G43" s="19">
        <v>3161.5</v>
      </c>
      <c r="H43" s="19">
        <v>10680.3</v>
      </c>
      <c r="I43" s="19">
        <v>7225.8</v>
      </c>
      <c r="J43" s="19">
        <v>10589.5</v>
      </c>
      <c r="K43" s="19">
        <v>5450</v>
      </c>
      <c r="L43" s="19">
        <v>9151.1</v>
      </c>
      <c r="M43" s="19">
        <v>6925.1</v>
      </c>
      <c r="N43" s="19">
        <v>5051.1000000000004</v>
      </c>
      <c r="O43" s="19">
        <v>83622.5</v>
      </c>
      <c r="P43" s="19">
        <v>4210.8</v>
      </c>
      <c r="Q43" s="19">
        <v>2481.9</v>
      </c>
      <c r="R43" s="19">
        <v>4089.8</v>
      </c>
      <c r="S43" s="19">
        <v>22257.7</v>
      </c>
      <c r="T43" s="19">
        <v>3113.5</v>
      </c>
      <c r="U43" s="19">
        <v>20066.099999999999</v>
      </c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</row>
    <row r="44" spans="1:41" x14ac:dyDescent="0.25">
      <c r="A44" s="5">
        <v>1992</v>
      </c>
      <c r="B44" s="19">
        <v>33463.5</v>
      </c>
      <c r="C44" s="19">
        <v>7355.7</v>
      </c>
      <c r="D44" s="19">
        <v>152994</v>
      </c>
      <c r="E44" s="19">
        <v>13775</v>
      </c>
      <c r="F44" s="19">
        <v>33419.300000000003</v>
      </c>
      <c r="G44" s="19">
        <v>3242.8</v>
      </c>
      <c r="H44" s="19">
        <v>10755</v>
      </c>
      <c r="I44" s="19">
        <v>7373.9</v>
      </c>
      <c r="J44" s="19">
        <v>10815.2</v>
      </c>
      <c r="K44" s="19">
        <v>5540.1</v>
      </c>
      <c r="L44" s="19">
        <v>9394.1</v>
      </c>
      <c r="M44" s="19">
        <v>7065.8</v>
      </c>
      <c r="N44" s="19">
        <v>5196.5</v>
      </c>
      <c r="O44" s="19">
        <v>85238.6</v>
      </c>
      <c r="P44" s="19">
        <v>4308.5</v>
      </c>
      <c r="Q44" s="19">
        <v>2534.6999999999998</v>
      </c>
      <c r="R44" s="19">
        <v>4198.8999999999996</v>
      </c>
      <c r="S44" s="19">
        <v>22709.9</v>
      </c>
      <c r="T44" s="19">
        <v>3131.2</v>
      </c>
      <c r="U44" s="19">
        <v>20543.7</v>
      </c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</row>
    <row r="45" spans="1:41" x14ac:dyDescent="0.25">
      <c r="A45" s="5">
        <v>1993</v>
      </c>
      <c r="B45" s="19">
        <v>33923.599999999999</v>
      </c>
      <c r="C45" s="19">
        <v>7505</v>
      </c>
      <c r="D45" s="19">
        <v>155556.1</v>
      </c>
      <c r="E45" s="19">
        <v>13994.2</v>
      </c>
      <c r="F45" s="19">
        <v>34101.9</v>
      </c>
      <c r="G45" s="19">
        <v>3325.7</v>
      </c>
      <c r="H45" s="19">
        <v>10816.6</v>
      </c>
      <c r="I45" s="19">
        <v>7521.1</v>
      </c>
      <c r="J45" s="19">
        <v>11045</v>
      </c>
      <c r="K45" s="19">
        <v>5631.1</v>
      </c>
      <c r="L45" s="19">
        <v>9650.4</v>
      </c>
      <c r="M45" s="19">
        <v>7207.4</v>
      </c>
      <c r="N45" s="19">
        <v>5346.4</v>
      </c>
      <c r="O45" s="19">
        <v>86851</v>
      </c>
      <c r="P45" s="19">
        <v>4405.5</v>
      </c>
      <c r="Q45" s="19">
        <v>2588</v>
      </c>
      <c r="R45" s="19">
        <v>4308.3</v>
      </c>
      <c r="S45" s="19">
        <v>23182.799999999999</v>
      </c>
      <c r="T45" s="19">
        <v>3148.2</v>
      </c>
      <c r="U45" s="19">
        <v>21018.2</v>
      </c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</row>
    <row r="46" spans="1:41" x14ac:dyDescent="0.25">
      <c r="A46" s="5">
        <v>1994</v>
      </c>
      <c r="B46" s="19">
        <v>34381.9</v>
      </c>
      <c r="C46" s="19">
        <v>7653.4</v>
      </c>
      <c r="D46" s="19">
        <v>158033</v>
      </c>
      <c r="E46" s="19">
        <v>14210.4</v>
      </c>
      <c r="F46" s="19">
        <v>34781.1</v>
      </c>
      <c r="G46" s="19">
        <v>3409.2</v>
      </c>
      <c r="H46" s="19">
        <v>10865.5</v>
      </c>
      <c r="I46" s="19">
        <v>7668.1</v>
      </c>
      <c r="J46" s="19">
        <v>11263.5</v>
      </c>
      <c r="K46" s="19">
        <v>5688.8</v>
      </c>
      <c r="L46" s="19">
        <v>9909.1</v>
      </c>
      <c r="M46" s="19">
        <v>7349</v>
      </c>
      <c r="N46" s="19">
        <v>5500.1</v>
      </c>
      <c r="O46" s="19">
        <v>88456.6</v>
      </c>
      <c r="P46" s="19">
        <v>4501.8999999999996</v>
      </c>
      <c r="Q46" s="19">
        <v>2642.2</v>
      </c>
      <c r="R46" s="19">
        <v>4417.1000000000004</v>
      </c>
      <c r="S46" s="19">
        <v>23644.799999999999</v>
      </c>
      <c r="T46" s="19">
        <v>3164.5</v>
      </c>
      <c r="U46" s="19">
        <v>21490.9</v>
      </c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</row>
    <row r="47" spans="1:41" x14ac:dyDescent="0.25">
      <c r="A47" s="5">
        <v>1995</v>
      </c>
      <c r="B47" s="19">
        <v>34845.1</v>
      </c>
      <c r="C47" s="19">
        <v>7801.2</v>
      </c>
      <c r="D47" s="19">
        <v>160497</v>
      </c>
      <c r="E47" s="19">
        <v>14422.1</v>
      </c>
      <c r="F47" s="19">
        <v>35473.699999999997</v>
      </c>
      <c r="G47" s="19">
        <v>3493.1</v>
      </c>
      <c r="H47" s="19">
        <v>10906.6</v>
      </c>
      <c r="I47" s="19">
        <v>7815.3</v>
      </c>
      <c r="J47" s="19">
        <v>11480.9</v>
      </c>
      <c r="K47" s="19">
        <v>5739.5</v>
      </c>
      <c r="L47" s="19">
        <v>10178.299999999999</v>
      </c>
      <c r="M47" s="19">
        <v>7490.5</v>
      </c>
      <c r="N47" s="19">
        <v>5658.3</v>
      </c>
      <c r="O47" s="19">
        <v>90061.8</v>
      </c>
      <c r="P47" s="19">
        <v>4596.7</v>
      </c>
      <c r="Q47" s="19">
        <v>2696.9</v>
      </c>
      <c r="R47" s="19">
        <v>4525.7</v>
      </c>
      <c r="S47" s="19">
        <v>24118.2</v>
      </c>
      <c r="T47" s="19">
        <v>3181.2</v>
      </c>
      <c r="U47" s="19">
        <v>21959.5</v>
      </c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</row>
    <row r="48" spans="1:41" x14ac:dyDescent="0.25">
      <c r="A48" s="5">
        <v>1996</v>
      </c>
      <c r="B48" s="19">
        <v>35294.9</v>
      </c>
      <c r="C48" s="19">
        <v>7948.1</v>
      </c>
      <c r="D48" s="19">
        <v>162973.20000000001</v>
      </c>
      <c r="E48" s="19">
        <v>14632.6</v>
      </c>
      <c r="F48" s="19">
        <v>36135.599999999999</v>
      </c>
      <c r="G48" s="19">
        <v>3577.3</v>
      </c>
      <c r="H48" s="19">
        <v>10944.1</v>
      </c>
      <c r="I48" s="19">
        <v>7960.9</v>
      </c>
      <c r="J48" s="19">
        <v>11700.1</v>
      </c>
      <c r="K48" s="19">
        <v>5784.8</v>
      </c>
      <c r="L48" s="19">
        <v>10447.700000000001</v>
      </c>
      <c r="M48" s="19">
        <v>7634.6</v>
      </c>
      <c r="N48" s="19">
        <v>5820.9</v>
      </c>
      <c r="O48" s="19">
        <v>91663.1</v>
      </c>
      <c r="P48" s="19">
        <v>4689.2</v>
      </c>
      <c r="Q48" s="19">
        <v>2752.2</v>
      </c>
      <c r="R48" s="19">
        <v>4633.8999999999996</v>
      </c>
      <c r="S48" s="19">
        <v>24579.599999999999</v>
      </c>
      <c r="T48" s="19">
        <v>3197.7</v>
      </c>
      <c r="U48" s="19">
        <v>22428.1</v>
      </c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</row>
    <row r="49" spans="1:41" x14ac:dyDescent="0.25">
      <c r="A49" s="5">
        <v>1997</v>
      </c>
      <c r="B49" s="19">
        <v>35732.6</v>
      </c>
      <c r="C49" s="19">
        <v>8095.3</v>
      </c>
      <c r="D49" s="19">
        <v>165431.9</v>
      </c>
      <c r="E49" s="19">
        <v>14835.5</v>
      </c>
      <c r="F49" s="19">
        <v>36789.9</v>
      </c>
      <c r="G49" s="19">
        <v>3660.8</v>
      </c>
      <c r="H49" s="19">
        <v>10979.9</v>
      </c>
      <c r="I49" s="19">
        <v>8104.9</v>
      </c>
      <c r="J49" s="19">
        <v>11921.8</v>
      </c>
      <c r="K49" s="19">
        <v>5825.8</v>
      </c>
      <c r="L49" s="19">
        <v>10719.4</v>
      </c>
      <c r="M49" s="19">
        <v>7780.6</v>
      </c>
      <c r="N49" s="19">
        <v>5987</v>
      </c>
      <c r="O49" s="19">
        <v>93242.3</v>
      </c>
      <c r="P49" s="19">
        <v>4770.8</v>
      </c>
      <c r="Q49" s="19">
        <v>2808.3</v>
      </c>
      <c r="R49" s="19">
        <v>4741.2</v>
      </c>
      <c r="S49" s="19">
        <v>25042.7</v>
      </c>
      <c r="T49" s="19">
        <v>3214.9</v>
      </c>
      <c r="U49" s="19">
        <v>22896.1</v>
      </c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</row>
    <row r="50" spans="1:41" x14ac:dyDescent="0.25">
      <c r="A50" s="5">
        <v>1998</v>
      </c>
      <c r="B50" s="19">
        <v>36162.9</v>
      </c>
      <c r="C50" s="19">
        <v>8240.5</v>
      </c>
      <c r="D50" s="19">
        <v>167891.4</v>
      </c>
      <c r="E50" s="19">
        <v>15029.4</v>
      </c>
      <c r="F50" s="19">
        <v>37452.400000000001</v>
      </c>
      <c r="G50" s="19">
        <v>3742.7</v>
      </c>
      <c r="H50" s="19">
        <v>11016</v>
      </c>
      <c r="I50" s="19">
        <v>8243.2999999999993</v>
      </c>
      <c r="J50" s="19">
        <v>12140.5</v>
      </c>
      <c r="K50" s="19">
        <v>5863.4</v>
      </c>
      <c r="L50" s="19">
        <v>10996.1</v>
      </c>
      <c r="M50" s="19">
        <v>7928</v>
      </c>
      <c r="N50" s="19">
        <v>6155.9</v>
      </c>
      <c r="O50" s="19">
        <v>94800.1</v>
      </c>
      <c r="P50" s="19">
        <v>4848.3999999999996</v>
      </c>
      <c r="Q50" s="19">
        <v>2865.1</v>
      </c>
      <c r="R50" s="19">
        <v>4847.6000000000004</v>
      </c>
      <c r="S50" s="19">
        <v>25505.599999999999</v>
      </c>
      <c r="T50" s="19">
        <v>3231.7</v>
      </c>
      <c r="U50" s="19">
        <v>23367.3</v>
      </c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</row>
    <row r="51" spans="1:41" x14ac:dyDescent="0.25">
      <c r="A51" s="5">
        <v>1999</v>
      </c>
      <c r="B51" s="19">
        <v>36582.800000000003</v>
      </c>
      <c r="C51" s="19">
        <v>8386.2999999999993</v>
      </c>
      <c r="D51" s="19">
        <v>170427.9</v>
      </c>
      <c r="E51" s="19">
        <v>15226.2</v>
      </c>
      <c r="F51" s="19">
        <v>38131.9</v>
      </c>
      <c r="G51" s="19">
        <v>3823</v>
      </c>
      <c r="H51" s="19">
        <v>11053.4</v>
      </c>
      <c r="I51" s="19">
        <v>8377.5</v>
      </c>
      <c r="J51" s="19">
        <v>12361.9</v>
      </c>
      <c r="K51" s="19">
        <v>5898.2</v>
      </c>
      <c r="L51" s="19">
        <v>11282.2</v>
      </c>
      <c r="M51" s="19">
        <v>8076.2</v>
      </c>
      <c r="N51" s="19">
        <v>6312.9</v>
      </c>
      <c r="O51" s="19">
        <v>96350.399999999994</v>
      </c>
      <c r="P51" s="19">
        <v>4919</v>
      </c>
      <c r="Q51" s="19">
        <v>2922.7</v>
      </c>
      <c r="R51" s="19">
        <v>4952.3999999999996</v>
      </c>
      <c r="S51" s="19">
        <v>25970.6</v>
      </c>
      <c r="T51" s="19">
        <v>3246.8</v>
      </c>
      <c r="U51" s="19">
        <v>23835.4</v>
      </c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</row>
    <row r="52" spans="1:41" x14ac:dyDescent="0.25">
      <c r="A52" s="5">
        <v>2000</v>
      </c>
      <c r="B52" s="19">
        <v>37006.6</v>
      </c>
      <c r="C52" s="19">
        <v>8533.2999999999993</v>
      </c>
      <c r="D52" s="19">
        <v>172855.2</v>
      </c>
      <c r="E52" s="19">
        <v>15412.4</v>
      </c>
      <c r="F52" s="19">
        <v>38777.800000000003</v>
      </c>
      <c r="G52" s="19">
        <v>3901.2</v>
      </c>
      <c r="H52" s="19">
        <v>11091</v>
      </c>
      <c r="I52" s="19">
        <v>8515</v>
      </c>
      <c r="J52" s="19">
        <v>12579.7</v>
      </c>
      <c r="K52" s="19">
        <v>5929.6</v>
      </c>
      <c r="L52" s="19">
        <v>11563.7</v>
      </c>
      <c r="M52" s="19">
        <v>8226.2999999999993</v>
      </c>
      <c r="N52" s="19">
        <v>6488</v>
      </c>
      <c r="O52" s="19">
        <v>97881.1</v>
      </c>
      <c r="P52" s="19">
        <v>4989.1000000000004</v>
      </c>
      <c r="Q52" s="19">
        <v>2981</v>
      </c>
      <c r="R52" s="19">
        <v>5053.8</v>
      </c>
      <c r="S52" s="19">
        <v>26402.400000000001</v>
      </c>
      <c r="T52" s="19">
        <v>3261.2</v>
      </c>
      <c r="U52" s="19">
        <v>24297.8</v>
      </c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</row>
    <row r="53" spans="1:41" x14ac:dyDescent="0.25">
      <c r="A53" s="5">
        <v>2001</v>
      </c>
      <c r="B53" s="19">
        <v>37421.4</v>
      </c>
      <c r="C53" s="19">
        <v>8679.4</v>
      </c>
      <c r="D53" s="19">
        <v>175181.4</v>
      </c>
      <c r="E53" s="19">
        <v>15594.8</v>
      </c>
      <c r="F53" s="19">
        <v>39402.1</v>
      </c>
      <c r="G53" s="19">
        <v>3974.3</v>
      </c>
      <c r="H53" s="19">
        <v>11127.2</v>
      </c>
      <c r="I53" s="19">
        <v>8653.4</v>
      </c>
      <c r="J53" s="19">
        <v>12798.7</v>
      </c>
      <c r="K53" s="19">
        <v>5957.1</v>
      </c>
      <c r="L53" s="19">
        <v>11831.4</v>
      </c>
      <c r="M53" s="19">
        <v>8380</v>
      </c>
      <c r="N53" s="19">
        <v>6667.5</v>
      </c>
      <c r="O53" s="19">
        <v>99370</v>
      </c>
      <c r="P53" s="19">
        <v>5056.2</v>
      </c>
      <c r="Q53" s="19">
        <v>3039.8</v>
      </c>
      <c r="R53" s="19">
        <v>5147.8999999999996</v>
      </c>
      <c r="S53" s="19">
        <v>26794.3</v>
      </c>
      <c r="T53" s="19">
        <v>3271.2</v>
      </c>
      <c r="U53" s="19">
        <v>24755.599999999999</v>
      </c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</row>
    <row r="54" spans="1:41" x14ac:dyDescent="0.25">
      <c r="A54" s="5">
        <v>2002</v>
      </c>
      <c r="B54" s="19">
        <v>37828.300000000003</v>
      </c>
      <c r="C54" s="19">
        <v>8826.1</v>
      </c>
      <c r="D54" s="19">
        <v>177421</v>
      </c>
      <c r="E54" s="19">
        <v>15772.9</v>
      </c>
      <c r="F54" s="19">
        <v>40016.400000000001</v>
      </c>
      <c r="G54" s="19">
        <v>4043.6</v>
      </c>
      <c r="H54" s="19">
        <v>11161.1</v>
      </c>
      <c r="I54" s="19">
        <v>8787.2000000000007</v>
      </c>
      <c r="J54" s="19">
        <v>13022.8</v>
      </c>
      <c r="K54" s="19">
        <v>5979</v>
      </c>
      <c r="L54" s="19">
        <v>12107.4</v>
      </c>
      <c r="M54" s="19">
        <v>8531.9</v>
      </c>
      <c r="N54" s="19">
        <v>6848.4</v>
      </c>
      <c r="O54" s="19">
        <v>100828.2</v>
      </c>
      <c r="P54" s="19">
        <v>5119.5</v>
      </c>
      <c r="Q54" s="19">
        <v>3099.3</v>
      </c>
      <c r="R54" s="19">
        <v>5227.5</v>
      </c>
      <c r="S54" s="19">
        <v>27134.9</v>
      </c>
      <c r="T54" s="19">
        <v>3277.3</v>
      </c>
      <c r="U54" s="19">
        <v>25204.2</v>
      </c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</row>
    <row r="55" spans="1:41" x14ac:dyDescent="0.25">
      <c r="A55" s="5">
        <v>2003</v>
      </c>
      <c r="B55" s="19">
        <v>38230.400000000001</v>
      </c>
      <c r="C55" s="19">
        <v>8974.6</v>
      </c>
      <c r="D55" s="19">
        <v>179586</v>
      </c>
      <c r="E55" s="19">
        <v>15943</v>
      </c>
      <c r="F55" s="19">
        <v>40632.9</v>
      </c>
      <c r="G55" s="19">
        <v>4107.8</v>
      </c>
      <c r="H55" s="19">
        <v>11193.8</v>
      </c>
      <c r="I55" s="19">
        <v>8917.2999999999993</v>
      </c>
      <c r="J55" s="19">
        <v>13254.2</v>
      </c>
      <c r="K55" s="19">
        <v>5994.2</v>
      </c>
      <c r="L55" s="19">
        <v>12386.4</v>
      </c>
      <c r="M55" s="19">
        <v>8683.4</v>
      </c>
      <c r="N55" s="19">
        <v>7029.3</v>
      </c>
      <c r="O55" s="19">
        <v>102269.1</v>
      </c>
      <c r="P55" s="19">
        <v>5180.3999999999996</v>
      </c>
      <c r="Q55" s="19">
        <v>3159.4</v>
      </c>
      <c r="R55" s="19">
        <v>5295.2</v>
      </c>
      <c r="S55" s="19">
        <v>27441.5</v>
      </c>
      <c r="T55" s="19">
        <v>3280.4</v>
      </c>
      <c r="U55" s="19">
        <v>25667.1</v>
      </c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</row>
    <row r="56" spans="1:41" x14ac:dyDescent="0.25">
      <c r="A56" s="5">
        <v>2004</v>
      </c>
      <c r="B56" s="19">
        <v>38618.1</v>
      </c>
      <c r="C56" s="19">
        <v>9126.7999999999993</v>
      </c>
      <c r="D56" s="19">
        <v>181659.4</v>
      </c>
      <c r="E56" s="19">
        <v>16106.5</v>
      </c>
      <c r="F56" s="19">
        <v>41241.9</v>
      </c>
      <c r="G56" s="19">
        <v>4169.8</v>
      </c>
      <c r="H56" s="19">
        <v>11225</v>
      </c>
      <c r="I56" s="19">
        <v>9043.9</v>
      </c>
      <c r="J56" s="19">
        <v>13490.5</v>
      </c>
      <c r="K56" s="19">
        <v>6003</v>
      </c>
      <c r="L56" s="19">
        <v>12665.3</v>
      </c>
      <c r="M56" s="19">
        <v>8836.4</v>
      </c>
      <c r="N56" s="19">
        <v>7209.1</v>
      </c>
      <c r="O56" s="19">
        <v>103687.9</v>
      </c>
      <c r="P56" s="19">
        <v>5241.6000000000004</v>
      </c>
      <c r="Q56" s="19">
        <v>3220.2</v>
      </c>
      <c r="R56" s="19">
        <v>5357.7</v>
      </c>
      <c r="S56" s="19">
        <v>27719.5</v>
      </c>
      <c r="T56" s="19">
        <v>3281.9</v>
      </c>
      <c r="U56" s="19">
        <v>26118.3</v>
      </c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</row>
    <row r="57" spans="1:41" x14ac:dyDescent="0.25">
      <c r="A57" s="5">
        <v>2005</v>
      </c>
      <c r="B57" s="19">
        <v>39013.699999999997</v>
      </c>
      <c r="C57" s="19">
        <v>9281.7999999999993</v>
      </c>
      <c r="D57" s="19">
        <v>183690.9</v>
      </c>
      <c r="E57" s="19">
        <v>16268.1</v>
      </c>
      <c r="F57" s="19">
        <v>41844.400000000001</v>
      </c>
      <c r="G57" s="19">
        <v>4230.3999999999996</v>
      </c>
      <c r="H57" s="19">
        <v>11252.5</v>
      </c>
      <c r="I57" s="19">
        <v>9165.9</v>
      </c>
      <c r="J57" s="19">
        <v>13727</v>
      </c>
      <c r="K57" s="19">
        <v>6006.4</v>
      </c>
      <c r="L57" s="19">
        <v>12949.5</v>
      </c>
      <c r="M57" s="19">
        <v>8984.1</v>
      </c>
      <c r="N57" s="19">
        <v>7388.8</v>
      </c>
      <c r="O57" s="19">
        <v>105100.3</v>
      </c>
      <c r="P57" s="19">
        <v>5304.3</v>
      </c>
      <c r="Q57" s="19">
        <v>3282.1</v>
      </c>
      <c r="R57" s="19">
        <v>5418.7</v>
      </c>
      <c r="S57" s="19">
        <v>27984.9</v>
      </c>
      <c r="T57" s="19">
        <v>3284.3</v>
      </c>
      <c r="U57" s="19">
        <v>26563.4</v>
      </c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</row>
    <row r="58" spans="1:41" x14ac:dyDescent="0.25">
      <c r="A58" s="5">
        <v>2006</v>
      </c>
      <c r="B58" s="19">
        <v>39419.9</v>
      </c>
      <c r="C58" s="19">
        <v>9439.7000000000007</v>
      </c>
      <c r="D58" s="19">
        <v>185685.3</v>
      </c>
      <c r="E58" s="19">
        <v>16429.400000000001</v>
      </c>
      <c r="F58" s="19">
        <v>42413.599999999999</v>
      </c>
      <c r="G58" s="19">
        <v>4292.1000000000004</v>
      </c>
      <c r="H58" s="19">
        <v>11272.6</v>
      </c>
      <c r="I58" s="19">
        <v>9284.2000000000007</v>
      </c>
      <c r="J58" s="19">
        <v>13965.4</v>
      </c>
      <c r="K58" s="19">
        <v>6004.8</v>
      </c>
      <c r="L58" s="19">
        <v>13225.7</v>
      </c>
      <c r="M58" s="19">
        <v>9138.4</v>
      </c>
      <c r="N58" s="19">
        <v>7567.9</v>
      </c>
      <c r="O58" s="19">
        <v>106522.7</v>
      </c>
      <c r="P58" s="19">
        <v>5380</v>
      </c>
      <c r="Q58" s="19">
        <v>3344</v>
      </c>
      <c r="R58" s="19">
        <v>5477.5</v>
      </c>
      <c r="S58" s="19">
        <v>28217.5</v>
      </c>
      <c r="T58" s="19">
        <v>3287.2</v>
      </c>
      <c r="U58" s="19">
        <v>27008.2</v>
      </c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</row>
    <row r="59" spans="1:41" x14ac:dyDescent="0.25">
      <c r="A59" s="5">
        <v>2007</v>
      </c>
      <c r="B59" s="19">
        <v>39824.400000000001</v>
      </c>
      <c r="C59" s="19">
        <v>9603.6</v>
      </c>
      <c r="D59" s="19">
        <v>187620.9</v>
      </c>
      <c r="E59" s="19">
        <v>16589</v>
      </c>
      <c r="F59" s="19">
        <v>42968.6</v>
      </c>
      <c r="G59" s="19">
        <v>4350.6000000000004</v>
      </c>
      <c r="H59" s="19">
        <v>11284.5</v>
      </c>
      <c r="I59" s="19">
        <v>9398.2000000000007</v>
      </c>
      <c r="J59" s="19">
        <v>14206.9</v>
      </c>
      <c r="K59" s="19">
        <v>5999.9</v>
      </c>
      <c r="L59" s="19">
        <v>13509.2</v>
      </c>
      <c r="M59" s="19">
        <v>9294.7000000000007</v>
      </c>
      <c r="N59" s="19">
        <v>7745.8</v>
      </c>
      <c r="O59" s="19">
        <v>107984.6</v>
      </c>
      <c r="P59" s="19">
        <v>5457.8</v>
      </c>
      <c r="Q59" s="19">
        <v>3406.1</v>
      </c>
      <c r="R59" s="19">
        <v>5532.8</v>
      </c>
      <c r="S59" s="19">
        <v>28431.5</v>
      </c>
      <c r="T59" s="19">
        <v>3291.8</v>
      </c>
      <c r="U59" s="19">
        <v>27441.1</v>
      </c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</row>
    <row r="60" spans="1:41" x14ac:dyDescent="0.25">
      <c r="A60" s="5">
        <v>2008</v>
      </c>
      <c r="B60" s="19">
        <v>40209.199999999997</v>
      </c>
      <c r="C60" s="19">
        <v>9768.2999999999993</v>
      </c>
      <c r="D60" s="19">
        <v>189483.8</v>
      </c>
      <c r="E60" s="19">
        <v>16754.2</v>
      </c>
      <c r="F60" s="19">
        <v>43502.1</v>
      </c>
      <c r="G60" s="19">
        <v>4409.8999999999996</v>
      </c>
      <c r="H60" s="19">
        <v>11290</v>
      </c>
      <c r="I60" s="19">
        <v>9513.2000000000007</v>
      </c>
      <c r="J60" s="19">
        <v>14450.7</v>
      </c>
      <c r="K60" s="19">
        <v>6019.8</v>
      </c>
      <c r="L60" s="19">
        <v>13794.9</v>
      </c>
      <c r="M60" s="19">
        <v>9451.9</v>
      </c>
      <c r="N60" s="19">
        <v>7923.8</v>
      </c>
      <c r="O60" s="19">
        <v>109564.1</v>
      </c>
      <c r="P60" s="19">
        <v>5536.7</v>
      </c>
      <c r="Q60" s="19">
        <v>3468.9</v>
      </c>
      <c r="R60" s="19">
        <v>5586</v>
      </c>
      <c r="S60" s="19">
        <v>28629.9</v>
      </c>
      <c r="T60" s="19">
        <v>3298.5</v>
      </c>
      <c r="U60" s="19">
        <v>27857.599999999999</v>
      </c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</row>
    <row r="61" spans="1:41" x14ac:dyDescent="0.25">
      <c r="A61" s="5">
        <v>2009</v>
      </c>
      <c r="B61" s="19">
        <v>40639.1</v>
      </c>
      <c r="C61" s="19">
        <v>9933.4</v>
      </c>
      <c r="D61" s="19">
        <v>191250.8</v>
      </c>
      <c r="E61" s="19">
        <v>16923.8</v>
      </c>
      <c r="F61" s="19">
        <v>44015.5</v>
      </c>
      <c r="G61" s="19">
        <v>4470.2</v>
      </c>
      <c r="H61" s="19">
        <v>11293.5</v>
      </c>
      <c r="I61" s="19">
        <v>9633.1</v>
      </c>
      <c r="J61" s="19">
        <v>14699.7</v>
      </c>
      <c r="K61" s="19">
        <v>6038.8</v>
      </c>
      <c r="L61" s="19">
        <v>14075.5</v>
      </c>
      <c r="M61" s="19">
        <v>9609.6</v>
      </c>
      <c r="N61" s="19">
        <v>8101.4</v>
      </c>
      <c r="O61" s="19">
        <v>111184.5</v>
      </c>
      <c r="P61" s="19">
        <v>5616.5</v>
      </c>
      <c r="Q61" s="19">
        <v>3532.4</v>
      </c>
      <c r="R61" s="19">
        <v>5641.1</v>
      </c>
      <c r="S61" s="19">
        <v>28808.2</v>
      </c>
      <c r="T61" s="19">
        <v>3305.9</v>
      </c>
      <c r="U61" s="19">
        <v>28249.8</v>
      </c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</row>
    <row r="62" spans="1:41" x14ac:dyDescent="0.25">
      <c r="A62" s="5">
        <v>2010</v>
      </c>
      <c r="B62" s="19">
        <v>41070.5</v>
      </c>
      <c r="C62" s="19">
        <v>10099.1</v>
      </c>
      <c r="D62" s="19">
        <v>192909.1</v>
      </c>
      <c r="E62" s="19">
        <v>17095.7</v>
      </c>
      <c r="F62" s="19">
        <v>44527.6</v>
      </c>
      <c r="G62" s="19">
        <v>4529.3999999999996</v>
      </c>
      <c r="H62" s="19">
        <v>11296</v>
      </c>
      <c r="I62" s="19">
        <v>9757.4</v>
      </c>
      <c r="J62" s="19">
        <v>14952.2</v>
      </c>
      <c r="K62" s="19">
        <v>6057.7</v>
      </c>
      <c r="L62" s="19">
        <v>14355.7</v>
      </c>
      <c r="M62" s="19">
        <v>9769.5</v>
      </c>
      <c r="N62" s="19">
        <v>8278.4</v>
      </c>
      <c r="O62" s="19">
        <v>112814.9</v>
      </c>
      <c r="P62" s="19">
        <v>5696.7</v>
      </c>
      <c r="Q62" s="19">
        <v>3596.4</v>
      </c>
      <c r="R62" s="19">
        <v>5701.3</v>
      </c>
      <c r="S62" s="19">
        <v>28985.4</v>
      </c>
      <c r="T62" s="19">
        <v>3314.3</v>
      </c>
      <c r="U62" s="19">
        <v>28626.799999999999</v>
      </c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</row>
    <row r="63" spans="1:41" x14ac:dyDescent="0.25">
      <c r="A63" s="5">
        <v>2011</v>
      </c>
      <c r="B63" s="19">
        <v>41506.800000000003</v>
      </c>
      <c r="C63" s="19">
        <v>10265.6</v>
      </c>
      <c r="D63" s="19">
        <v>194494.8</v>
      </c>
      <c r="E63" s="19">
        <v>17267.3</v>
      </c>
      <c r="F63" s="19">
        <v>45027</v>
      </c>
      <c r="G63" s="19">
        <v>4582.5</v>
      </c>
      <c r="H63" s="19">
        <v>11298.9</v>
      </c>
      <c r="I63" s="19">
        <v>9882.9</v>
      </c>
      <c r="J63" s="19">
        <v>15201.2</v>
      </c>
      <c r="K63" s="19">
        <v>6078.8</v>
      </c>
      <c r="L63" s="19">
        <v>14644.5</v>
      </c>
      <c r="M63" s="19">
        <v>9837.1</v>
      </c>
      <c r="N63" s="19">
        <v>8453.2999999999993</v>
      </c>
      <c r="O63" s="19">
        <v>114432.9</v>
      </c>
      <c r="P63" s="19">
        <v>5778.2</v>
      </c>
      <c r="Q63" s="19">
        <v>3660.7</v>
      </c>
      <c r="R63" s="19">
        <v>5774.6</v>
      </c>
      <c r="S63" s="19">
        <v>29186.6</v>
      </c>
      <c r="T63" s="19">
        <v>3322.8</v>
      </c>
      <c r="U63" s="19">
        <v>28999.4</v>
      </c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</row>
    <row r="64" spans="1:41" x14ac:dyDescent="0.25">
      <c r="A64" s="5">
        <v>2012</v>
      </c>
      <c r="B64" s="19">
        <v>41954.5</v>
      </c>
      <c r="C64" s="19">
        <v>10432.299999999999</v>
      </c>
      <c r="D64" s="19">
        <v>196074.7</v>
      </c>
      <c r="E64" s="19">
        <v>17436.400000000001</v>
      </c>
      <c r="F64" s="19">
        <v>45492.2</v>
      </c>
      <c r="G64" s="19">
        <v>4637.1000000000004</v>
      </c>
      <c r="H64" s="19">
        <v>11304.3</v>
      </c>
      <c r="I64" s="19">
        <v>10008.299999999999</v>
      </c>
      <c r="J64" s="19">
        <v>15451.2</v>
      </c>
      <c r="K64" s="19">
        <v>6101.5</v>
      </c>
      <c r="L64" s="19">
        <v>14939.8</v>
      </c>
      <c r="M64" s="19">
        <v>9992.7000000000007</v>
      </c>
      <c r="N64" s="19">
        <v>8627.7999999999993</v>
      </c>
      <c r="O64" s="19">
        <v>116054.2</v>
      </c>
      <c r="P64" s="19">
        <v>5860</v>
      </c>
      <c r="Q64" s="19">
        <v>3726.3</v>
      </c>
      <c r="R64" s="19">
        <v>5854.6</v>
      </c>
      <c r="S64" s="19">
        <v>29421.5</v>
      </c>
      <c r="T64" s="19">
        <v>3330.8</v>
      </c>
      <c r="U64" s="19">
        <v>29371</v>
      </c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</row>
    <row r="65" spans="1:41" x14ac:dyDescent="0.25">
      <c r="A65" s="5">
        <v>2013</v>
      </c>
      <c r="B65" s="19">
        <v>42369</v>
      </c>
      <c r="C65" s="19">
        <v>10599.3</v>
      </c>
      <c r="D65" s="19">
        <v>197677.5</v>
      </c>
      <c r="E65" s="19">
        <v>17601.900000000001</v>
      </c>
      <c r="F65" s="19">
        <v>45939.4</v>
      </c>
      <c r="G65" s="19">
        <v>4690.7</v>
      </c>
      <c r="H65" s="19">
        <v>11302.1</v>
      </c>
      <c r="I65" s="19">
        <v>10132.5</v>
      </c>
      <c r="J65" s="19">
        <v>15693.2</v>
      </c>
      <c r="K65" s="19">
        <v>6126.5</v>
      </c>
      <c r="L65" s="19">
        <v>15239.5</v>
      </c>
      <c r="M65" s="19">
        <v>10146.799999999999</v>
      </c>
      <c r="N65" s="19">
        <v>8802.2999999999993</v>
      </c>
      <c r="O65" s="19">
        <v>117582.3</v>
      </c>
      <c r="P65" s="19">
        <v>5942.6</v>
      </c>
      <c r="Q65" s="19">
        <v>3792.2</v>
      </c>
      <c r="R65" s="19">
        <v>5939.4</v>
      </c>
      <c r="S65" s="19">
        <v>29679.200000000001</v>
      </c>
      <c r="T65" s="19">
        <v>3340</v>
      </c>
      <c r="U65" s="19">
        <v>29736.6</v>
      </c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</row>
    <row r="66" spans="1:41" x14ac:dyDescent="0.25">
      <c r="A66" s="5">
        <v>2014</v>
      </c>
      <c r="B66" s="19">
        <v>42795.9</v>
      </c>
      <c r="C66" s="19">
        <v>10765.9</v>
      </c>
      <c r="D66" s="19">
        <v>199279.1</v>
      </c>
      <c r="E66" s="19">
        <v>17772.2</v>
      </c>
      <c r="F66" s="19">
        <v>46363.7</v>
      </c>
      <c r="G66" s="19">
        <v>4741.5</v>
      </c>
      <c r="H66" s="19">
        <v>11294.3</v>
      </c>
      <c r="I66" s="19">
        <v>10255.200000000001</v>
      </c>
      <c r="J66" s="19">
        <v>15921.1</v>
      </c>
      <c r="K66" s="19">
        <v>6151.2</v>
      </c>
      <c r="L66" s="19">
        <v>15535.2</v>
      </c>
      <c r="M66" s="19">
        <v>10297.9</v>
      </c>
      <c r="N66" s="19">
        <v>8976.2000000000007</v>
      </c>
      <c r="O66" s="19">
        <v>119104.9</v>
      </c>
      <c r="P66" s="19">
        <v>6025.1</v>
      </c>
      <c r="Q66" s="19">
        <v>3858.4</v>
      </c>
      <c r="R66" s="19">
        <v>6025.5</v>
      </c>
      <c r="S66" s="19">
        <v>29956.7</v>
      </c>
      <c r="T66" s="19">
        <v>3350.7</v>
      </c>
      <c r="U66" s="19">
        <v>30087.7</v>
      </c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</row>
    <row r="67" spans="1:41" x14ac:dyDescent="0.25">
      <c r="A67" s="5">
        <v>2015</v>
      </c>
      <c r="B67" s="19">
        <v>43252.2</v>
      </c>
      <c r="C67" s="19">
        <v>10931.9</v>
      </c>
      <c r="D67" s="19">
        <v>200891.2</v>
      </c>
      <c r="E67" s="19">
        <v>17956.2</v>
      </c>
      <c r="F67" s="19">
        <v>46767.1</v>
      </c>
      <c r="G67" s="19">
        <v>4792.7</v>
      </c>
      <c r="H67" s="19">
        <v>11277.3</v>
      </c>
      <c r="I67" s="19">
        <v>10375.9</v>
      </c>
      <c r="J67" s="19">
        <v>16149.2</v>
      </c>
      <c r="K67" s="19">
        <v>6174.7</v>
      </c>
      <c r="L67" s="19">
        <v>15828.3</v>
      </c>
      <c r="M67" s="19">
        <v>10448.5</v>
      </c>
      <c r="N67" s="19">
        <v>9150</v>
      </c>
      <c r="O67" s="19">
        <v>120463.6</v>
      </c>
      <c r="P67" s="19">
        <v>6107.9</v>
      </c>
      <c r="Q67" s="19">
        <v>3925.8</v>
      </c>
      <c r="R67" s="19">
        <v>6114.1</v>
      </c>
      <c r="S67" s="19">
        <v>30275</v>
      </c>
      <c r="T67" s="19">
        <v>3362</v>
      </c>
      <c r="U67" s="19">
        <v>30420.400000000001</v>
      </c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</row>
    <row r="68" spans="1:41" x14ac:dyDescent="0.25">
      <c r="A68" s="5">
        <v>2016</v>
      </c>
      <c r="B68" s="19">
        <v>43701.8</v>
      </c>
      <c r="C68" s="19">
        <v>11097.5</v>
      </c>
      <c r="D68" s="19">
        <v>202459.9</v>
      </c>
      <c r="E68" s="19">
        <v>18139</v>
      </c>
      <c r="F68" s="19">
        <v>47172.800000000003</v>
      </c>
      <c r="G68" s="19">
        <v>4843.3999999999996</v>
      </c>
      <c r="H68" s="19">
        <v>11272.9</v>
      </c>
      <c r="I68" s="19">
        <v>10493.8</v>
      </c>
      <c r="J68" s="19">
        <v>16383.3</v>
      </c>
      <c r="K68" s="19">
        <v>6192.7</v>
      </c>
      <c r="L68" s="19">
        <v>16115.2</v>
      </c>
      <c r="M68" s="19">
        <v>10597.9</v>
      </c>
      <c r="N68" s="19">
        <v>9324.6</v>
      </c>
      <c r="O68" s="19">
        <v>121681</v>
      </c>
      <c r="P68" s="19">
        <v>6190.9</v>
      </c>
      <c r="Q68" s="19">
        <v>3994.3</v>
      </c>
      <c r="R68" s="19">
        <v>6204.1</v>
      </c>
      <c r="S68" s="19">
        <v>30640.2</v>
      </c>
      <c r="T68" s="19">
        <v>3374</v>
      </c>
      <c r="U68" s="19">
        <v>30727.5</v>
      </c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</row>
    <row r="69" spans="1:41" x14ac:dyDescent="0.25">
      <c r="A69" s="5">
        <v>2017</v>
      </c>
      <c r="B69" s="19">
        <v>44098.8</v>
      </c>
      <c r="C69" s="19">
        <v>11262.5</v>
      </c>
      <c r="D69" s="19">
        <v>203976.4</v>
      </c>
      <c r="E69" s="19">
        <v>18395.400000000001</v>
      </c>
      <c r="F69" s="19">
        <v>47702.3</v>
      </c>
      <c r="G69" s="19">
        <v>4890.6000000000004</v>
      </c>
      <c r="H69" s="19">
        <v>11258.4</v>
      </c>
      <c r="I69" s="19">
        <v>10609.1</v>
      </c>
      <c r="J69" s="19">
        <v>16627</v>
      </c>
      <c r="K69" s="19">
        <v>6208.9</v>
      </c>
      <c r="L69" s="19">
        <v>16422.3</v>
      </c>
      <c r="M69" s="19">
        <v>10745</v>
      </c>
      <c r="N69" s="19">
        <v>9500.2000000000007</v>
      </c>
      <c r="O69" s="19">
        <v>122821.7</v>
      </c>
      <c r="P69" s="19">
        <v>6274.4</v>
      </c>
      <c r="Q69" s="19">
        <v>4063.9</v>
      </c>
      <c r="R69" s="19">
        <v>6294.2</v>
      </c>
      <c r="S69" s="19">
        <v>31092.799999999999</v>
      </c>
      <c r="T69" s="19">
        <v>3384.5</v>
      </c>
      <c r="U69" s="19">
        <v>30803.9</v>
      </c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</row>
    <row r="70" spans="1:41" x14ac:dyDescent="0.25">
      <c r="A70" s="5">
        <v>2018</v>
      </c>
      <c r="B70" s="19">
        <v>44479</v>
      </c>
      <c r="C70" s="19">
        <v>11426.7</v>
      </c>
      <c r="D70" s="19">
        <v>205430.5</v>
      </c>
      <c r="E70" s="19">
        <v>18722.3</v>
      </c>
      <c r="F70" s="19">
        <v>48559.9</v>
      </c>
      <c r="G70" s="19">
        <v>4935.7</v>
      </c>
      <c r="H70" s="19">
        <v>11237.3</v>
      </c>
      <c r="I70" s="19">
        <v>10724.6</v>
      </c>
      <c r="J70" s="19">
        <v>16892.099999999999</v>
      </c>
      <c r="K70" s="19">
        <v>6218.1</v>
      </c>
      <c r="L70" s="19">
        <v>16712.400000000001</v>
      </c>
      <c r="M70" s="19">
        <v>10890.5</v>
      </c>
      <c r="N70" s="19">
        <v>9676.1</v>
      </c>
      <c r="O70" s="19">
        <v>123978.4</v>
      </c>
      <c r="P70" s="19">
        <v>6358</v>
      </c>
      <c r="Q70" s="19">
        <v>4133.5</v>
      </c>
      <c r="R70" s="19">
        <v>6383.2</v>
      </c>
      <c r="S70" s="19">
        <v>31556.5</v>
      </c>
      <c r="T70" s="19">
        <v>3392.3</v>
      </c>
      <c r="U70" s="19">
        <v>30326.7</v>
      </c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</row>
    <row r="71" spans="1:41" x14ac:dyDescent="0.25">
      <c r="A71" s="5">
        <v>2019</v>
      </c>
      <c r="B71" s="19">
        <v>44830.8</v>
      </c>
      <c r="C71" s="19">
        <v>11590.1</v>
      </c>
      <c r="D71" s="19">
        <v>206784</v>
      </c>
      <c r="E71" s="19">
        <v>19064.099999999999</v>
      </c>
      <c r="F71" s="19">
        <v>49489</v>
      </c>
      <c r="G71" s="19">
        <v>4979.8999999999996</v>
      </c>
      <c r="H71" s="19">
        <v>11217</v>
      </c>
      <c r="I71" s="19">
        <v>10839.5</v>
      </c>
      <c r="J71" s="19">
        <v>17207</v>
      </c>
      <c r="K71" s="19">
        <v>6221.5</v>
      </c>
      <c r="L71" s="19">
        <v>16979</v>
      </c>
      <c r="M71" s="19">
        <v>11034.2</v>
      </c>
      <c r="N71" s="19">
        <v>9854.2999999999993</v>
      </c>
      <c r="O71" s="19">
        <v>125169</v>
      </c>
      <c r="P71" s="19">
        <v>6442.1</v>
      </c>
      <c r="Q71" s="19">
        <v>4202.2</v>
      </c>
      <c r="R71" s="19">
        <v>6471.6</v>
      </c>
      <c r="S71" s="19">
        <v>32238.7</v>
      </c>
      <c r="T71" s="19">
        <v>3396.7</v>
      </c>
      <c r="U71" s="19">
        <v>29288.400000000001</v>
      </c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</row>
    <row r="72" spans="1:41" x14ac:dyDescent="0.25">
      <c r="A72" s="5">
        <v>2020</v>
      </c>
      <c r="B72" s="19">
        <v>45116.2</v>
      </c>
      <c r="C72" s="19">
        <v>11752.7</v>
      </c>
      <c r="D72" s="19">
        <v>208126.9</v>
      </c>
      <c r="E72" s="19">
        <v>19331.400000000001</v>
      </c>
      <c r="F72" s="19">
        <v>50326.9</v>
      </c>
      <c r="G72" s="19">
        <v>5019.2</v>
      </c>
      <c r="H72" s="19">
        <v>11188.7</v>
      </c>
      <c r="I72" s="19">
        <v>10948.6</v>
      </c>
      <c r="J72" s="19">
        <v>17473</v>
      </c>
      <c r="K72" s="19">
        <v>6223.2</v>
      </c>
      <c r="L72" s="19">
        <v>17228.599999999999</v>
      </c>
      <c r="M72" s="19">
        <v>11176.1</v>
      </c>
      <c r="N72" s="19">
        <v>10033</v>
      </c>
      <c r="O72" s="19">
        <v>126356.9</v>
      </c>
      <c r="P72" s="19">
        <v>6525.2</v>
      </c>
      <c r="Q72" s="19">
        <v>4267.2</v>
      </c>
      <c r="R72" s="19">
        <v>6558.5</v>
      </c>
      <c r="S72" s="19">
        <v>32659.9</v>
      </c>
      <c r="T72" s="19">
        <v>3397.7</v>
      </c>
      <c r="U72" s="19">
        <v>28587.8</v>
      </c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</row>
    <row r="73" spans="1:41" x14ac:dyDescent="0.25">
      <c r="A73" s="5">
        <v>2021</v>
      </c>
      <c r="B73" s="19">
        <v>45267.8</v>
      </c>
      <c r="C73" s="19">
        <v>11879.9</v>
      </c>
      <c r="D73" s="19">
        <v>209194.8</v>
      </c>
      <c r="E73" s="19">
        <v>19409.8</v>
      </c>
      <c r="F73" s="19">
        <v>50933.1</v>
      </c>
      <c r="G73" s="19">
        <v>5049.3999999999996</v>
      </c>
      <c r="H73" s="19">
        <v>11164</v>
      </c>
      <c r="I73" s="19">
        <v>11068</v>
      </c>
      <c r="J73" s="19">
        <v>17619.099999999999</v>
      </c>
      <c r="K73" s="19">
        <v>6246.2</v>
      </c>
      <c r="L73" s="19">
        <v>17486</v>
      </c>
      <c r="M73" s="19">
        <v>11311.6</v>
      </c>
      <c r="N73" s="19">
        <v>10206.299999999999</v>
      </c>
      <c r="O73" s="19">
        <v>127241.2</v>
      </c>
      <c r="P73" s="19">
        <v>6605.3</v>
      </c>
      <c r="Q73" s="19">
        <v>4319.3</v>
      </c>
      <c r="R73" s="19">
        <v>6649</v>
      </c>
      <c r="S73" s="19">
        <v>33017.199999999997</v>
      </c>
      <c r="T73" s="19">
        <v>3400.2</v>
      </c>
      <c r="U73" s="19">
        <v>28300.400000000001</v>
      </c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</row>
    <row r="74" spans="1:41" x14ac:dyDescent="0.25">
      <c r="A74" s="5">
        <v>2022</v>
      </c>
      <c r="B74" s="19">
        <v>45356.800000000003</v>
      </c>
      <c r="C74" s="19">
        <v>11994.8</v>
      </c>
      <c r="D74" s="19">
        <v>209905.8</v>
      </c>
      <c r="E74" s="19">
        <v>19502.8</v>
      </c>
      <c r="F74" s="19">
        <v>51443.3</v>
      </c>
      <c r="G74" s="19">
        <v>5070.6000000000004</v>
      </c>
      <c r="H74" s="19">
        <v>11080.4</v>
      </c>
      <c r="I74" s="19">
        <v>11178.9</v>
      </c>
      <c r="J74" s="19">
        <v>17745.8</v>
      </c>
      <c r="K74" s="19">
        <v>6265.4</v>
      </c>
      <c r="L74" s="19">
        <v>17711.3</v>
      </c>
      <c r="M74" s="19">
        <v>11437.6</v>
      </c>
      <c r="N74" s="19">
        <v>10373.4</v>
      </c>
      <c r="O74" s="19">
        <v>128055.1</v>
      </c>
      <c r="P74" s="19">
        <v>6684.2</v>
      </c>
      <c r="Q74" s="19">
        <v>4371.5</v>
      </c>
      <c r="R74" s="19">
        <v>6719.4</v>
      </c>
      <c r="S74" s="19">
        <v>33294.5</v>
      </c>
      <c r="T74" s="19">
        <v>3393.1</v>
      </c>
      <c r="U74" s="19">
        <v>28175.3</v>
      </c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</row>
    <row r="75" spans="1:41" x14ac:dyDescent="0.25">
      <c r="A75" s="5">
        <v>2023</v>
      </c>
      <c r="B75" s="19">
        <v>45459</v>
      </c>
      <c r="C75" s="19">
        <v>12159.5</v>
      </c>
      <c r="D75" s="19">
        <v>210707</v>
      </c>
      <c r="E75" s="19">
        <v>19603.2</v>
      </c>
      <c r="F75" s="19">
        <v>52032.6</v>
      </c>
      <c r="G75" s="19">
        <v>5093</v>
      </c>
      <c r="H75" s="19">
        <v>11039.3</v>
      </c>
      <c r="I75" s="19">
        <v>11282.5</v>
      </c>
      <c r="J75" s="19">
        <v>17902</v>
      </c>
      <c r="K75" s="19">
        <v>6295.3</v>
      </c>
      <c r="L75" s="19">
        <v>17984.5</v>
      </c>
      <c r="M75" s="19">
        <v>11569.6</v>
      </c>
      <c r="N75" s="19">
        <v>10554.3</v>
      </c>
      <c r="O75" s="19">
        <v>129171.1</v>
      </c>
      <c r="P75" s="19">
        <v>6777.2</v>
      </c>
      <c r="Q75" s="19">
        <v>4430</v>
      </c>
      <c r="R75" s="19">
        <v>6801.5</v>
      </c>
      <c r="S75" s="19">
        <v>33656.300000000003</v>
      </c>
      <c r="T75" s="19">
        <v>3388.7</v>
      </c>
      <c r="U75" s="19">
        <v>28250.799999999999</v>
      </c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24099-55A4-4C79-9122-36B2163E25B8}">
  <dimension ref="A1:U75"/>
  <sheetViews>
    <sheetView topLeftCell="I1" workbookViewId="0">
      <selection activeCell="B1" sqref="B1:U1"/>
    </sheetView>
  </sheetViews>
  <sheetFormatPr defaultRowHeight="15" x14ac:dyDescent="0.25"/>
  <cols>
    <col min="1" max="1" width="5" style="5" bestFit="1" customWidth="1"/>
    <col min="2" max="2" width="10.7109375" bestFit="1" customWidth="1"/>
    <col min="3" max="3" width="8.85546875" bestFit="1" customWidth="1"/>
    <col min="4" max="4" width="9.7109375" bestFit="1" customWidth="1"/>
    <col min="5" max="5" width="8.140625" bestFit="1" customWidth="1"/>
    <col min="6" max="6" width="10.42578125" bestFit="1" customWidth="1"/>
    <col min="7" max="7" width="11.140625" bestFit="1" customWidth="1"/>
    <col min="8" max="8" width="8.140625" bestFit="1" customWidth="1"/>
    <col min="9" max="9" width="27.42578125" bestFit="1" customWidth="1"/>
    <col min="10" max="10" width="8.85546875" bestFit="1" customWidth="1"/>
    <col min="11" max="11" width="15.140625" bestFit="1" customWidth="1"/>
    <col min="12" max="12" width="10.7109375" bestFit="1" customWidth="1"/>
    <col min="13" max="13" width="8.140625" bestFit="1" customWidth="1"/>
    <col min="14" max="14" width="9.5703125" bestFit="1" customWidth="1"/>
    <col min="15" max="15" width="9.140625" bestFit="1" customWidth="1"/>
    <col min="16" max="16" width="10.42578125" bestFit="1" customWidth="1"/>
    <col min="17" max="17" width="8.140625" bestFit="1" customWidth="1"/>
    <col min="18" max="18" width="9.42578125" bestFit="1" customWidth="1"/>
    <col min="19" max="19" width="8.140625" bestFit="1" customWidth="1"/>
    <col min="20" max="20" width="8.28515625" bestFit="1" customWidth="1"/>
    <col min="21" max="21" width="12.140625" bestFit="1" customWidth="1"/>
  </cols>
  <sheetData>
    <row r="1" spans="1:21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</row>
    <row r="2" spans="1:21" x14ac:dyDescent="0.25">
      <c r="A2" s="5">
        <v>1950</v>
      </c>
      <c r="B2" s="19">
        <v>17018</v>
      </c>
      <c r="C2" s="19">
        <v>3090</v>
      </c>
      <c r="D2" s="19">
        <v>53408.6</v>
      </c>
      <c r="E2" s="19">
        <v>6628.6</v>
      </c>
      <c r="F2" s="19">
        <v>11767</v>
      </c>
      <c r="G2" s="19">
        <v>926.8</v>
      </c>
      <c r="H2" s="19">
        <v>5924.5</v>
      </c>
      <c r="I2" s="19">
        <v>2379.9</v>
      </c>
      <c r="J2" s="19">
        <v>3516.8</v>
      </c>
      <c r="K2" s="19">
        <v>2183.5</v>
      </c>
      <c r="L2" s="19">
        <v>3097.2</v>
      </c>
      <c r="M2" s="19">
        <v>3265.7</v>
      </c>
      <c r="N2" s="19">
        <v>1558.9</v>
      </c>
      <c r="O2" s="19">
        <v>27587.9</v>
      </c>
      <c r="P2" s="19">
        <v>1331.4</v>
      </c>
      <c r="Q2" s="19">
        <v>860.9</v>
      </c>
      <c r="R2" s="19">
        <v>1504.3</v>
      </c>
      <c r="S2" s="19">
        <v>7677.4</v>
      </c>
      <c r="T2" s="19">
        <v>2234.4</v>
      </c>
      <c r="U2" s="19">
        <v>5488.9</v>
      </c>
    </row>
    <row r="3" spans="1:21" x14ac:dyDescent="0.25">
      <c r="A3" s="5">
        <v>1951</v>
      </c>
      <c r="B3" s="19">
        <v>17356.5</v>
      </c>
      <c r="C3" s="19">
        <v>3137.3</v>
      </c>
      <c r="D3" s="19">
        <v>55018.9</v>
      </c>
      <c r="E3" s="19">
        <v>6756.7</v>
      </c>
      <c r="F3" s="19">
        <v>12078.8</v>
      </c>
      <c r="G3" s="19">
        <v>958.4</v>
      </c>
      <c r="H3" s="19">
        <v>6042.2</v>
      </c>
      <c r="I3" s="19">
        <v>2450.1</v>
      </c>
      <c r="J3" s="19">
        <v>3607.8</v>
      </c>
      <c r="K3" s="19">
        <v>2235.3000000000002</v>
      </c>
      <c r="L3" s="19">
        <v>3177.4</v>
      </c>
      <c r="M3" s="19">
        <v>3314.9</v>
      </c>
      <c r="N3" s="19">
        <v>1601.5</v>
      </c>
      <c r="O3" s="19">
        <v>28320.5</v>
      </c>
      <c r="P3" s="19">
        <v>1369.7</v>
      </c>
      <c r="Q3" s="19">
        <v>882</v>
      </c>
      <c r="R3" s="19">
        <v>1537.9</v>
      </c>
      <c r="S3" s="19">
        <v>7893.6</v>
      </c>
      <c r="T3" s="19">
        <v>2256.4</v>
      </c>
      <c r="U3" s="19">
        <v>5732.6</v>
      </c>
    </row>
    <row r="4" spans="1:21" x14ac:dyDescent="0.25">
      <c r="A4" s="5">
        <v>1952</v>
      </c>
      <c r="B4" s="19">
        <v>17698.900000000001</v>
      </c>
      <c r="C4" s="19">
        <v>3187.5</v>
      </c>
      <c r="D4" s="19">
        <v>56694.9</v>
      </c>
      <c r="E4" s="19">
        <v>6892</v>
      </c>
      <c r="F4" s="19">
        <v>12405.8</v>
      </c>
      <c r="G4" s="19">
        <v>991.8</v>
      </c>
      <c r="H4" s="19">
        <v>6162.2</v>
      </c>
      <c r="I4" s="19">
        <v>2525</v>
      </c>
      <c r="J4" s="19">
        <v>3702.4</v>
      </c>
      <c r="K4" s="19">
        <v>2288</v>
      </c>
      <c r="L4" s="19">
        <v>3261.7</v>
      </c>
      <c r="M4" s="19">
        <v>3366.3</v>
      </c>
      <c r="N4" s="19">
        <v>1645.8</v>
      </c>
      <c r="O4" s="19">
        <v>29090.2</v>
      </c>
      <c r="P4" s="19">
        <v>1409</v>
      </c>
      <c r="Q4" s="19">
        <v>904.5</v>
      </c>
      <c r="R4" s="19">
        <v>1572.6</v>
      </c>
      <c r="S4" s="19">
        <v>8116.7</v>
      </c>
      <c r="T4" s="19">
        <v>2281.1</v>
      </c>
      <c r="U4" s="19">
        <v>5981.4</v>
      </c>
    </row>
    <row r="5" spans="1:21" x14ac:dyDescent="0.25">
      <c r="A5" s="5">
        <v>1953</v>
      </c>
      <c r="B5" s="19">
        <v>18041.3</v>
      </c>
      <c r="C5" s="19">
        <v>3241</v>
      </c>
      <c r="D5" s="19">
        <v>58433.8</v>
      </c>
      <c r="E5" s="19">
        <v>7033.5</v>
      </c>
      <c r="F5" s="19">
        <v>12746</v>
      </c>
      <c r="G5" s="19">
        <v>1027</v>
      </c>
      <c r="H5" s="19">
        <v>6285.7</v>
      </c>
      <c r="I5" s="19">
        <v>2604.8000000000002</v>
      </c>
      <c r="J5" s="19">
        <v>3800.3</v>
      </c>
      <c r="K5" s="19">
        <v>2342</v>
      </c>
      <c r="L5" s="19">
        <v>3348.8</v>
      </c>
      <c r="M5" s="19">
        <v>3419.8</v>
      </c>
      <c r="N5" s="19">
        <v>1692</v>
      </c>
      <c r="O5" s="19">
        <v>29899.200000000001</v>
      </c>
      <c r="P5" s="19">
        <v>1449.9</v>
      </c>
      <c r="Q5" s="19">
        <v>928.2</v>
      </c>
      <c r="R5" s="19">
        <v>1608.3</v>
      </c>
      <c r="S5" s="19">
        <v>8344.9</v>
      </c>
      <c r="T5" s="19">
        <v>2308.1</v>
      </c>
      <c r="U5" s="19">
        <v>6234.8</v>
      </c>
    </row>
    <row r="6" spans="1:21" x14ac:dyDescent="0.25">
      <c r="A6" s="5">
        <v>1954</v>
      </c>
      <c r="B6" s="19">
        <v>18381.2</v>
      </c>
      <c r="C6" s="19">
        <v>3297.8</v>
      </c>
      <c r="D6" s="19">
        <v>60235.1</v>
      </c>
      <c r="E6" s="19">
        <v>7180.6</v>
      </c>
      <c r="F6" s="19">
        <v>13100.8</v>
      </c>
      <c r="G6" s="19">
        <v>1064.0999999999999</v>
      </c>
      <c r="H6" s="19">
        <v>6412.8</v>
      </c>
      <c r="I6" s="19">
        <v>2689.1</v>
      </c>
      <c r="J6" s="19">
        <v>3901.5</v>
      </c>
      <c r="K6" s="19">
        <v>2397.8000000000002</v>
      </c>
      <c r="L6" s="19">
        <v>3439.1</v>
      </c>
      <c r="M6" s="19">
        <v>3475.5</v>
      </c>
      <c r="N6" s="19">
        <v>1739.8</v>
      </c>
      <c r="O6" s="19">
        <v>30753</v>
      </c>
      <c r="P6" s="19">
        <v>1492.3</v>
      </c>
      <c r="Q6" s="19">
        <v>953.1</v>
      </c>
      <c r="R6" s="19">
        <v>1644.9</v>
      </c>
      <c r="S6" s="19">
        <v>8579.2999999999993</v>
      </c>
      <c r="T6" s="19">
        <v>2336.9</v>
      </c>
      <c r="U6" s="19">
        <v>6492.8</v>
      </c>
    </row>
    <row r="7" spans="1:21" x14ac:dyDescent="0.25">
      <c r="A7" s="5">
        <v>1955</v>
      </c>
      <c r="B7" s="19">
        <v>18716</v>
      </c>
      <c r="C7" s="19">
        <v>3358</v>
      </c>
      <c r="D7" s="19">
        <v>62101.4</v>
      </c>
      <c r="E7" s="19">
        <v>7332.3</v>
      </c>
      <c r="F7" s="19">
        <v>13473.1</v>
      </c>
      <c r="G7" s="19">
        <v>1103</v>
      </c>
      <c r="H7" s="19">
        <v>6543.1</v>
      </c>
      <c r="I7" s="19">
        <v>2777.6</v>
      </c>
      <c r="J7" s="19">
        <v>4006.2</v>
      </c>
      <c r="K7" s="19">
        <v>2456.6</v>
      </c>
      <c r="L7" s="19">
        <v>3533.3</v>
      </c>
      <c r="M7" s="19">
        <v>3533.7</v>
      </c>
      <c r="N7" s="19">
        <v>1789.4</v>
      </c>
      <c r="O7" s="19">
        <v>31650.6</v>
      </c>
      <c r="P7" s="19">
        <v>1536.2</v>
      </c>
      <c r="Q7" s="19">
        <v>979</v>
      </c>
      <c r="R7" s="19">
        <v>1682.3</v>
      </c>
      <c r="S7" s="19">
        <v>8822</v>
      </c>
      <c r="T7" s="19">
        <v>2367</v>
      </c>
      <c r="U7" s="19">
        <v>6755.8</v>
      </c>
    </row>
    <row r="8" spans="1:21" x14ac:dyDescent="0.25">
      <c r="A8" s="5">
        <v>1956</v>
      </c>
      <c r="B8" s="19">
        <v>19050</v>
      </c>
      <c r="C8" s="19">
        <v>3421.3</v>
      </c>
      <c r="D8" s="19">
        <v>64034</v>
      </c>
      <c r="E8" s="19">
        <v>7489.5</v>
      </c>
      <c r="F8" s="19">
        <v>13861.8</v>
      </c>
      <c r="G8" s="19">
        <v>1143.8</v>
      </c>
      <c r="H8" s="19">
        <v>6676.1</v>
      </c>
      <c r="I8" s="19">
        <v>2870</v>
      </c>
      <c r="J8" s="19">
        <v>4114.5</v>
      </c>
      <c r="K8" s="19">
        <v>2518.1999999999998</v>
      </c>
      <c r="L8" s="19">
        <v>3631.2</v>
      </c>
      <c r="M8" s="19">
        <v>3594.8</v>
      </c>
      <c r="N8" s="19">
        <v>1840.7</v>
      </c>
      <c r="O8" s="19">
        <v>32587.9</v>
      </c>
      <c r="P8" s="19">
        <v>1582</v>
      </c>
      <c r="Q8" s="19">
        <v>1005.9</v>
      </c>
      <c r="R8" s="19">
        <v>1720.4</v>
      </c>
      <c r="S8" s="19">
        <v>9073.5</v>
      </c>
      <c r="T8" s="19">
        <v>2398.4</v>
      </c>
      <c r="U8" s="19">
        <v>7024.3</v>
      </c>
    </row>
    <row r="9" spans="1:21" x14ac:dyDescent="0.25">
      <c r="A9" s="5">
        <v>1957</v>
      </c>
      <c r="B9" s="19">
        <v>19383</v>
      </c>
      <c r="C9" s="19">
        <v>3487.6</v>
      </c>
      <c r="D9" s="19">
        <v>66031.5</v>
      </c>
      <c r="E9" s="19">
        <v>7651.3</v>
      </c>
      <c r="F9" s="19">
        <v>14270.3</v>
      </c>
      <c r="G9" s="19">
        <v>1186.5999999999999</v>
      </c>
      <c r="H9" s="19">
        <v>6811.7</v>
      </c>
      <c r="I9" s="19">
        <v>2965.8</v>
      </c>
      <c r="J9" s="19">
        <v>4226.8999999999996</v>
      </c>
      <c r="K9" s="19">
        <v>2582.5</v>
      </c>
      <c r="L9" s="19">
        <v>3732.7</v>
      </c>
      <c r="M9" s="19">
        <v>3657.8</v>
      </c>
      <c r="N9" s="19">
        <v>1893.6</v>
      </c>
      <c r="O9" s="19">
        <v>33562.699999999997</v>
      </c>
      <c r="P9" s="19">
        <v>1629.5</v>
      </c>
      <c r="Q9" s="19">
        <v>1033.9000000000001</v>
      </c>
      <c r="R9" s="19">
        <v>1759.5</v>
      </c>
      <c r="S9" s="19">
        <v>9333.9</v>
      </c>
      <c r="T9" s="19">
        <v>2430.8000000000002</v>
      </c>
      <c r="U9" s="19">
        <v>7299.4</v>
      </c>
    </row>
    <row r="10" spans="1:21" x14ac:dyDescent="0.25">
      <c r="A10" s="5">
        <v>1958</v>
      </c>
      <c r="B10" s="19">
        <v>19714.3</v>
      </c>
      <c r="C10" s="19">
        <v>3556.6</v>
      </c>
      <c r="D10" s="19">
        <v>68092.100000000006</v>
      </c>
      <c r="E10" s="19">
        <v>7816</v>
      </c>
      <c r="F10" s="19">
        <v>14693.3</v>
      </c>
      <c r="G10" s="19">
        <v>1231.5999999999999</v>
      </c>
      <c r="H10" s="19">
        <v>6950.3</v>
      </c>
      <c r="I10" s="19">
        <v>3064.3</v>
      </c>
      <c r="J10" s="19">
        <v>4343.5</v>
      </c>
      <c r="K10" s="19">
        <v>2648.7</v>
      </c>
      <c r="L10" s="19">
        <v>3837</v>
      </c>
      <c r="M10" s="19">
        <v>3722.7</v>
      </c>
      <c r="N10" s="19">
        <v>1948.2</v>
      </c>
      <c r="O10" s="19">
        <v>34575.1</v>
      </c>
      <c r="P10" s="19">
        <v>1678.7</v>
      </c>
      <c r="Q10" s="19">
        <v>1063.2</v>
      </c>
      <c r="R10" s="19">
        <v>1799.6</v>
      </c>
      <c r="S10" s="19">
        <v>9603.6</v>
      </c>
      <c r="T10" s="19">
        <v>2463.9</v>
      </c>
      <c r="U10" s="19">
        <v>7582</v>
      </c>
    </row>
    <row r="11" spans="1:21" x14ac:dyDescent="0.25">
      <c r="A11" s="5">
        <v>1959</v>
      </c>
      <c r="B11" s="19">
        <v>20049.599999999999</v>
      </c>
      <c r="C11" s="19">
        <v>3628.2</v>
      </c>
      <c r="D11" s="19">
        <v>70214.5</v>
      </c>
      <c r="E11" s="19">
        <v>7983.4</v>
      </c>
      <c r="F11" s="19">
        <v>15136.2</v>
      </c>
      <c r="G11" s="19">
        <v>1278.5999999999999</v>
      </c>
      <c r="H11" s="19">
        <v>7092.3</v>
      </c>
      <c r="I11" s="19">
        <v>3165.3</v>
      </c>
      <c r="J11" s="19">
        <v>4464.8</v>
      </c>
      <c r="K11" s="19">
        <v>2717.5</v>
      </c>
      <c r="L11" s="19">
        <v>3946.5</v>
      </c>
      <c r="M11" s="19">
        <v>3789.7</v>
      </c>
      <c r="N11" s="19">
        <v>2004.3</v>
      </c>
      <c r="O11" s="19">
        <v>35627.300000000003</v>
      </c>
      <c r="P11" s="19">
        <v>1729.8</v>
      </c>
      <c r="Q11" s="19">
        <v>1093.8</v>
      </c>
      <c r="R11" s="19">
        <v>1841</v>
      </c>
      <c r="S11" s="19">
        <v>9883.7000000000007</v>
      </c>
      <c r="T11" s="19">
        <v>2497.1</v>
      </c>
      <c r="U11" s="19">
        <v>7869.2</v>
      </c>
    </row>
    <row r="12" spans="1:21" x14ac:dyDescent="0.25">
      <c r="A12" s="5">
        <v>1960</v>
      </c>
      <c r="B12" s="19">
        <v>20386</v>
      </c>
      <c r="C12" s="19">
        <v>3702.3</v>
      </c>
      <c r="D12" s="19">
        <v>72388.100000000006</v>
      </c>
      <c r="E12" s="19">
        <v>8153.4</v>
      </c>
      <c r="F12" s="19">
        <v>15606.2</v>
      </c>
      <c r="G12" s="19">
        <v>1327.5</v>
      </c>
      <c r="H12" s="19">
        <v>7238.1</v>
      </c>
      <c r="I12" s="19">
        <v>3268.3</v>
      </c>
      <c r="J12" s="19">
        <v>4590.8999999999996</v>
      </c>
      <c r="K12" s="19">
        <v>2791.5</v>
      </c>
      <c r="L12" s="19">
        <v>4063.7</v>
      </c>
      <c r="M12" s="19">
        <v>3858.4</v>
      </c>
      <c r="N12" s="19">
        <v>2062.1</v>
      </c>
      <c r="O12" s="19">
        <v>36724.6</v>
      </c>
      <c r="P12" s="19">
        <v>1782.4</v>
      </c>
      <c r="Q12" s="19">
        <v>1126</v>
      </c>
      <c r="R12" s="19">
        <v>1883.5</v>
      </c>
      <c r="S12" s="19">
        <v>10174.1</v>
      </c>
      <c r="T12" s="19">
        <v>2530</v>
      </c>
      <c r="U12" s="19">
        <v>8160.1</v>
      </c>
    </row>
    <row r="13" spans="1:21" x14ac:dyDescent="0.25">
      <c r="A13" s="5">
        <v>1961</v>
      </c>
      <c r="B13" s="19">
        <v>20726.3</v>
      </c>
      <c r="C13" s="19">
        <v>3778.7</v>
      </c>
      <c r="D13" s="19">
        <v>74605.399999999994</v>
      </c>
      <c r="E13" s="19">
        <v>8324.7999999999993</v>
      </c>
      <c r="F13" s="19">
        <v>16095.2</v>
      </c>
      <c r="G13" s="19">
        <v>1377.9</v>
      </c>
      <c r="H13" s="19">
        <v>7387.1</v>
      </c>
      <c r="I13" s="19">
        <v>3373.2</v>
      </c>
      <c r="J13" s="19">
        <v>4722.3</v>
      </c>
      <c r="K13" s="19">
        <v>2870</v>
      </c>
      <c r="L13" s="19">
        <v>4186.2</v>
      </c>
      <c r="M13" s="19">
        <v>3929</v>
      </c>
      <c r="N13" s="19">
        <v>2121.1999999999998</v>
      </c>
      <c r="O13" s="19">
        <v>37890.1</v>
      </c>
      <c r="P13" s="19">
        <v>1836.5</v>
      </c>
      <c r="Q13" s="19">
        <v>1159.9000000000001</v>
      </c>
      <c r="R13" s="19">
        <v>1927.4</v>
      </c>
      <c r="S13" s="19">
        <v>10475.1</v>
      </c>
      <c r="T13" s="19">
        <v>2562</v>
      </c>
      <c r="U13" s="19">
        <v>8455.9</v>
      </c>
    </row>
    <row r="14" spans="1:21" x14ac:dyDescent="0.25">
      <c r="A14" s="5">
        <v>1962</v>
      </c>
      <c r="B14" s="19">
        <v>21072.5</v>
      </c>
      <c r="C14" s="19">
        <v>3857.5</v>
      </c>
      <c r="D14" s="19">
        <v>76865.3</v>
      </c>
      <c r="E14" s="19">
        <v>8497.1</v>
      </c>
      <c r="F14" s="19">
        <v>16599</v>
      </c>
      <c r="G14" s="19">
        <v>1429.4</v>
      </c>
      <c r="H14" s="19">
        <v>7541.1</v>
      </c>
      <c r="I14" s="19">
        <v>3479.9</v>
      </c>
      <c r="J14" s="19">
        <v>4859.3</v>
      </c>
      <c r="K14" s="19">
        <v>2949.2</v>
      </c>
      <c r="L14" s="19">
        <v>4312</v>
      </c>
      <c r="M14" s="19">
        <v>4001.6</v>
      </c>
      <c r="N14" s="19">
        <v>2182.1</v>
      </c>
      <c r="O14" s="19">
        <v>39129.199999999997</v>
      </c>
      <c r="P14" s="19">
        <v>1892.3</v>
      </c>
      <c r="Q14" s="19">
        <v>1195.3</v>
      </c>
      <c r="R14" s="19">
        <v>1973.1</v>
      </c>
      <c r="S14" s="19">
        <v>10784.6</v>
      </c>
      <c r="T14" s="19">
        <v>2593.3000000000002</v>
      </c>
      <c r="U14" s="19">
        <v>8756.9</v>
      </c>
    </row>
    <row r="15" spans="1:21" x14ac:dyDescent="0.25">
      <c r="A15" s="5">
        <v>1963</v>
      </c>
      <c r="B15" s="19">
        <v>21421.7</v>
      </c>
      <c r="C15" s="19">
        <v>3938.9</v>
      </c>
      <c r="D15" s="19">
        <v>79164.2</v>
      </c>
      <c r="E15" s="19">
        <v>8670.1</v>
      </c>
      <c r="F15" s="19">
        <v>17113.8</v>
      </c>
      <c r="G15" s="19">
        <v>1481.6</v>
      </c>
      <c r="H15" s="19">
        <v>7701.7</v>
      </c>
      <c r="I15" s="19">
        <v>3588.3</v>
      </c>
      <c r="J15" s="19">
        <v>5001.7</v>
      </c>
      <c r="K15" s="19">
        <v>3028.7</v>
      </c>
      <c r="L15" s="19">
        <v>4440.3</v>
      </c>
      <c r="M15" s="19">
        <v>4073.1</v>
      </c>
      <c r="N15" s="19">
        <v>2244.9</v>
      </c>
      <c r="O15" s="19">
        <v>40424.1</v>
      </c>
      <c r="P15" s="19">
        <v>1950.2</v>
      </c>
      <c r="Q15" s="19">
        <v>1232.0999999999999</v>
      </c>
      <c r="R15" s="19">
        <v>2021.9</v>
      </c>
      <c r="S15" s="19">
        <v>11102.1</v>
      </c>
      <c r="T15" s="19">
        <v>2623.8</v>
      </c>
      <c r="U15" s="19">
        <v>9064</v>
      </c>
    </row>
    <row r="16" spans="1:21" x14ac:dyDescent="0.25">
      <c r="A16" s="5">
        <v>1964</v>
      </c>
      <c r="B16" s="19">
        <v>21769.5</v>
      </c>
      <c r="C16" s="19">
        <v>4023</v>
      </c>
      <c r="D16" s="19">
        <v>81488.600000000006</v>
      </c>
      <c r="E16" s="19">
        <v>8842.5</v>
      </c>
      <c r="F16" s="19">
        <v>17637.400000000001</v>
      </c>
      <c r="G16" s="19">
        <v>1534</v>
      </c>
      <c r="H16" s="19">
        <v>7866</v>
      </c>
      <c r="I16" s="19">
        <v>3698.6</v>
      </c>
      <c r="J16" s="19">
        <v>5149.8999999999996</v>
      </c>
      <c r="K16" s="19">
        <v>3111.9</v>
      </c>
      <c r="L16" s="19">
        <v>4571.1000000000004</v>
      </c>
      <c r="M16" s="19">
        <v>4146.2</v>
      </c>
      <c r="N16" s="19">
        <v>2309.9</v>
      </c>
      <c r="O16" s="19">
        <v>41772</v>
      </c>
      <c r="P16" s="19">
        <v>2010.2</v>
      </c>
      <c r="Q16" s="19">
        <v>1270.0999999999999</v>
      </c>
      <c r="R16" s="19">
        <v>2073.1</v>
      </c>
      <c r="S16" s="19">
        <v>11428</v>
      </c>
      <c r="T16" s="19">
        <v>2653.2</v>
      </c>
      <c r="U16" s="19">
        <v>9377.7000000000007</v>
      </c>
    </row>
    <row r="17" spans="1:21" x14ac:dyDescent="0.25">
      <c r="A17" s="5">
        <v>1965</v>
      </c>
      <c r="B17" s="19">
        <v>22112.6</v>
      </c>
      <c r="C17" s="19">
        <v>4109.8</v>
      </c>
      <c r="D17" s="19">
        <v>83817.600000000006</v>
      </c>
      <c r="E17" s="19">
        <v>9012.9</v>
      </c>
      <c r="F17" s="19">
        <v>18169.099999999999</v>
      </c>
      <c r="G17" s="19">
        <v>1586.2</v>
      </c>
      <c r="H17" s="19">
        <v>8030.8</v>
      </c>
      <c r="I17" s="19">
        <v>3809</v>
      </c>
      <c r="J17" s="19">
        <v>5304</v>
      </c>
      <c r="K17" s="19">
        <v>3199.5</v>
      </c>
      <c r="L17" s="19">
        <v>4705</v>
      </c>
      <c r="M17" s="19">
        <v>4223.8</v>
      </c>
      <c r="N17" s="19">
        <v>2377.1999999999998</v>
      </c>
      <c r="O17" s="19">
        <v>43174.5</v>
      </c>
      <c r="P17" s="19">
        <v>2072.6999999999998</v>
      </c>
      <c r="Q17" s="19">
        <v>1308.8</v>
      </c>
      <c r="R17" s="19">
        <v>2125.1999999999998</v>
      </c>
      <c r="S17" s="19">
        <v>11761.1</v>
      </c>
      <c r="T17" s="19">
        <v>2681.2</v>
      </c>
      <c r="U17" s="19">
        <v>9697.7999999999993</v>
      </c>
    </row>
    <row r="18" spans="1:21" x14ac:dyDescent="0.25">
      <c r="A18" s="5">
        <v>1966</v>
      </c>
      <c r="B18" s="19">
        <v>22453.9</v>
      </c>
      <c r="C18" s="19">
        <v>4199.6000000000004</v>
      </c>
      <c r="D18" s="19">
        <v>86139.4</v>
      </c>
      <c r="E18" s="19">
        <v>9181.7000000000007</v>
      </c>
      <c r="F18" s="19">
        <v>18702.7</v>
      </c>
      <c r="G18" s="19">
        <v>1638.1</v>
      </c>
      <c r="H18" s="19">
        <v>8193.5</v>
      </c>
      <c r="I18" s="19">
        <v>3921.8</v>
      </c>
      <c r="J18" s="19">
        <v>5463.7</v>
      </c>
      <c r="K18" s="19">
        <v>3291</v>
      </c>
      <c r="L18" s="19">
        <v>4841</v>
      </c>
      <c r="M18" s="19">
        <v>4302.6000000000004</v>
      </c>
      <c r="N18" s="19">
        <v>2446.8000000000002</v>
      </c>
      <c r="O18" s="19">
        <v>44629.1</v>
      </c>
      <c r="P18" s="19">
        <v>2137.8000000000002</v>
      </c>
      <c r="Q18" s="19">
        <v>1348.4</v>
      </c>
      <c r="R18" s="19">
        <v>2177.6</v>
      </c>
      <c r="S18" s="19">
        <v>12101.3</v>
      </c>
      <c r="T18" s="19">
        <v>2707.6</v>
      </c>
      <c r="U18" s="19">
        <v>10024.9</v>
      </c>
    </row>
    <row r="19" spans="1:21" x14ac:dyDescent="0.25">
      <c r="A19" s="5">
        <v>1967</v>
      </c>
      <c r="B19" s="19">
        <v>22799.1</v>
      </c>
      <c r="C19" s="19">
        <v>4292.6000000000004</v>
      </c>
      <c r="D19" s="19">
        <v>88446.1</v>
      </c>
      <c r="E19" s="19">
        <v>9348.9</v>
      </c>
      <c r="F19" s="19">
        <v>19235.599999999999</v>
      </c>
      <c r="G19" s="19">
        <v>1689.5</v>
      </c>
      <c r="H19" s="19">
        <v>8352.6</v>
      </c>
      <c r="I19" s="19">
        <v>4038.9</v>
      </c>
      <c r="J19" s="19">
        <v>5629.1</v>
      </c>
      <c r="K19" s="19">
        <v>3385.2</v>
      </c>
      <c r="L19" s="19">
        <v>4978.8999999999996</v>
      </c>
      <c r="M19" s="19">
        <v>4383</v>
      </c>
      <c r="N19" s="19">
        <v>2518.6</v>
      </c>
      <c r="O19" s="19">
        <v>46129.599999999999</v>
      </c>
      <c r="P19" s="19">
        <v>2205.6</v>
      </c>
      <c r="Q19" s="19">
        <v>1388.6</v>
      </c>
      <c r="R19" s="19">
        <v>2230</v>
      </c>
      <c r="S19" s="19">
        <v>12448.8</v>
      </c>
      <c r="T19" s="19">
        <v>2732.3</v>
      </c>
      <c r="U19" s="19">
        <v>10358.5</v>
      </c>
    </row>
    <row r="20" spans="1:21" x14ac:dyDescent="0.25">
      <c r="A20" s="5">
        <v>1968</v>
      </c>
      <c r="B20" s="19">
        <v>23150.6</v>
      </c>
      <c r="C20" s="19">
        <v>4388.8999999999996</v>
      </c>
      <c r="D20" s="19">
        <v>90741.2</v>
      </c>
      <c r="E20" s="19">
        <v>9514.7000000000007</v>
      </c>
      <c r="F20" s="19">
        <v>19766.8</v>
      </c>
      <c r="G20" s="19">
        <v>1739.7</v>
      </c>
      <c r="H20" s="19">
        <v>8509.5</v>
      </c>
      <c r="I20" s="19">
        <v>4157.2</v>
      </c>
      <c r="J20" s="19">
        <v>5799.7</v>
      </c>
      <c r="K20" s="19">
        <v>3480.8</v>
      </c>
      <c r="L20" s="19">
        <v>5118.1000000000004</v>
      </c>
      <c r="M20" s="19">
        <v>4465.3</v>
      </c>
      <c r="N20" s="19">
        <v>2593.1</v>
      </c>
      <c r="O20" s="19">
        <v>47668.3</v>
      </c>
      <c r="P20" s="19">
        <v>2275.8000000000002</v>
      </c>
      <c r="Q20" s="19">
        <v>1429.4</v>
      </c>
      <c r="R20" s="19">
        <v>2282.4</v>
      </c>
      <c r="S20" s="19">
        <v>12804</v>
      </c>
      <c r="T20" s="19">
        <v>2754.6</v>
      </c>
      <c r="U20" s="19">
        <v>10697.5</v>
      </c>
    </row>
    <row r="21" spans="1:21" x14ac:dyDescent="0.25">
      <c r="A21" s="5">
        <v>1969</v>
      </c>
      <c r="B21" s="19">
        <v>23508.7</v>
      </c>
      <c r="C21" s="19">
        <v>4488.2</v>
      </c>
      <c r="D21" s="19">
        <v>93045.8</v>
      </c>
      <c r="E21" s="19">
        <v>9680.2999999999993</v>
      </c>
      <c r="F21" s="19">
        <v>20291.900000000001</v>
      </c>
      <c r="G21" s="19">
        <v>1789.3</v>
      </c>
      <c r="H21" s="19">
        <v>8666.6</v>
      </c>
      <c r="I21" s="19">
        <v>4277</v>
      </c>
      <c r="J21" s="19">
        <v>5975.2</v>
      </c>
      <c r="K21" s="19">
        <v>3576.5</v>
      </c>
      <c r="L21" s="19">
        <v>5257.1</v>
      </c>
      <c r="M21" s="19">
        <v>4549.3</v>
      </c>
      <c r="N21" s="19">
        <v>2670.3</v>
      </c>
      <c r="O21" s="19">
        <v>49233.2</v>
      </c>
      <c r="P21" s="19">
        <v>2348.4</v>
      </c>
      <c r="Q21" s="19">
        <v>1470.9</v>
      </c>
      <c r="R21" s="19">
        <v>2335</v>
      </c>
      <c r="S21" s="19">
        <v>13166.8</v>
      </c>
      <c r="T21" s="19">
        <v>2774</v>
      </c>
      <c r="U21" s="19">
        <v>11040.3</v>
      </c>
    </row>
    <row r="22" spans="1:21" x14ac:dyDescent="0.25">
      <c r="A22" s="5">
        <v>1970</v>
      </c>
      <c r="B22" s="19">
        <v>23878.3</v>
      </c>
      <c r="C22" s="19">
        <v>4590</v>
      </c>
      <c r="D22" s="19">
        <v>95375.7</v>
      </c>
      <c r="E22" s="19">
        <v>9845.2999999999993</v>
      </c>
      <c r="F22" s="19">
        <v>20811.8</v>
      </c>
      <c r="G22" s="19">
        <v>1838.9</v>
      </c>
      <c r="H22" s="19">
        <v>8824.4</v>
      </c>
      <c r="I22" s="19">
        <v>4399.3</v>
      </c>
      <c r="J22" s="19">
        <v>6155.4</v>
      </c>
      <c r="K22" s="19">
        <v>3668.8</v>
      </c>
      <c r="L22" s="19">
        <v>5397</v>
      </c>
      <c r="M22" s="19">
        <v>4635.1000000000004</v>
      </c>
      <c r="N22" s="19">
        <v>2750.7</v>
      </c>
      <c r="O22" s="19">
        <v>50815</v>
      </c>
      <c r="P22" s="19">
        <v>2423.1</v>
      </c>
      <c r="Q22" s="19">
        <v>1513.1</v>
      </c>
      <c r="R22" s="19">
        <v>2388</v>
      </c>
      <c r="S22" s="19">
        <v>13501.2</v>
      </c>
      <c r="T22" s="19">
        <v>2790.8</v>
      </c>
      <c r="U22" s="19">
        <v>11387.8</v>
      </c>
    </row>
    <row r="23" spans="1:21" x14ac:dyDescent="0.25">
      <c r="A23" s="5">
        <v>1971</v>
      </c>
      <c r="B23" s="19">
        <v>24257.200000000001</v>
      </c>
      <c r="C23" s="19">
        <v>4694.3</v>
      </c>
      <c r="D23" s="19">
        <v>97739.3</v>
      </c>
      <c r="E23" s="19">
        <v>10009.700000000001</v>
      </c>
      <c r="F23" s="19">
        <v>21319.1</v>
      </c>
      <c r="G23" s="19">
        <v>1888.5</v>
      </c>
      <c r="H23" s="19">
        <v>8979.1</v>
      </c>
      <c r="I23" s="19">
        <v>4524.2</v>
      </c>
      <c r="J23" s="19">
        <v>6340.1</v>
      </c>
      <c r="K23" s="19">
        <v>3757.5</v>
      </c>
      <c r="L23" s="19">
        <v>5538.4</v>
      </c>
      <c r="M23" s="19">
        <v>4723.2</v>
      </c>
      <c r="N23" s="19">
        <v>2834.6</v>
      </c>
      <c r="O23" s="19">
        <v>52412.6</v>
      </c>
      <c r="P23" s="19">
        <v>2499.8000000000002</v>
      </c>
      <c r="Q23" s="19">
        <v>1556.1</v>
      </c>
      <c r="R23" s="19">
        <v>2442.5</v>
      </c>
      <c r="S23" s="19">
        <v>13838.1</v>
      </c>
      <c r="T23" s="19">
        <v>2806.5</v>
      </c>
      <c r="U23" s="19">
        <v>11741</v>
      </c>
    </row>
    <row r="24" spans="1:21" x14ac:dyDescent="0.25">
      <c r="A24" s="5">
        <v>1972</v>
      </c>
      <c r="B24" s="19">
        <v>24644.3</v>
      </c>
      <c r="C24" s="19">
        <v>4801</v>
      </c>
      <c r="D24" s="19">
        <v>100146.8</v>
      </c>
      <c r="E24" s="19">
        <v>10174.700000000001</v>
      </c>
      <c r="F24" s="19">
        <v>21819.599999999999</v>
      </c>
      <c r="G24" s="19">
        <v>1938.2</v>
      </c>
      <c r="H24" s="19">
        <v>9123.9</v>
      </c>
      <c r="I24" s="19">
        <v>4651.8999999999996</v>
      </c>
      <c r="J24" s="19">
        <v>6529</v>
      </c>
      <c r="K24" s="19">
        <v>3846.8</v>
      </c>
      <c r="L24" s="19">
        <v>5682.8</v>
      </c>
      <c r="M24" s="19">
        <v>4813.8999999999996</v>
      </c>
      <c r="N24" s="19">
        <v>2922.1</v>
      </c>
      <c r="O24" s="19">
        <v>54030.2</v>
      </c>
      <c r="P24" s="19">
        <v>2573.6</v>
      </c>
      <c r="Q24" s="19">
        <v>1599.7</v>
      </c>
      <c r="R24" s="19">
        <v>2499.9</v>
      </c>
      <c r="S24" s="19">
        <v>14210.1</v>
      </c>
      <c r="T24" s="19">
        <v>2821.6</v>
      </c>
      <c r="U24" s="19">
        <v>12099.2</v>
      </c>
    </row>
    <row r="25" spans="1:21" x14ac:dyDescent="0.25">
      <c r="A25" s="5">
        <v>1973</v>
      </c>
      <c r="B25" s="19">
        <v>25046</v>
      </c>
      <c r="C25" s="19">
        <v>4910.2</v>
      </c>
      <c r="D25" s="19">
        <v>102601</v>
      </c>
      <c r="E25" s="19">
        <v>10340.4</v>
      </c>
      <c r="F25" s="19">
        <v>22325.4</v>
      </c>
      <c r="G25" s="19">
        <v>1988.3</v>
      </c>
      <c r="H25" s="19">
        <v>9255.2999999999993</v>
      </c>
      <c r="I25" s="19">
        <v>4782.2</v>
      </c>
      <c r="J25" s="19">
        <v>6722</v>
      </c>
      <c r="K25" s="19">
        <v>3938.1</v>
      </c>
      <c r="L25" s="19">
        <v>5831.6</v>
      </c>
      <c r="M25" s="19">
        <v>4906.7</v>
      </c>
      <c r="N25" s="19">
        <v>3011.5</v>
      </c>
      <c r="O25" s="19">
        <v>55667.3</v>
      </c>
      <c r="P25" s="19">
        <v>2649.3</v>
      </c>
      <c r="Q25" s="19">
        <v>1643.7</v>
      </c>
      <c r="R25" s="19">
        <v>2561.1</v>
      </c>
      <c r="S25" s="19">
        <v>14582.9</v>
      </c>
      <c r="T25" s="19">
        <v>2837.1</v>
      </c>
      <c r="U25" s="19">
        <v>12463.5</v>
      </c>
    </row>
    <row r="26" spans="1:21" x14ac:dyDescent="0.25">
      <c r="A26" s="5">
        <v>1974</v>
      </c>
      <c r="B26" s="19">
        <v>25461.4</v>
      </c>
      <c r="C26" s="19">
        <v>5022.5</v>
      </c>
      <c r="D26" s="19">
        <v>105089.7</v>
      </c>
      <c r="E26" s="19">
        <v>10505.8</v>
      </c>
      <c r="F26" s="19">
        <v>22833.5</v>
      </c>
      <c r="G26" s="19">
        <v>2039.6</v>
      </c>
      <c r="H26" s="19">
        <v>9374.2000000000007</v>
      </c>
      <c r="I26" s="19">
        <v>4914.2</v>
      </c>
      <c r="J26" s="19">
        <v>6918.6</v>
      </c>
      <c r="K26" s="19">
        <v>4029.7</v>
      </c>
      <c r="L26" s="19">
        <v>5981.2</v>
      </c>
      <c r="M26" s="19">
        <v>5001.8</v>
      </c>
      <c r="N26" s="19">
        <v>3099.8</v>
      </c>
      <c r="O26" s="19">
        <v>57320.1</v>
      </c>
      <c r="P26" s="19">
        <v>2732.1</v>
      </c>
      <c r="Q26" s="19">
        <v>1687.9</v>
      </c>
      <c r="R26" s="19">
        <v>2625.6</v>
      </c>
      <c r="S26" s="19">
        <v>14956.6</v>
      </c>
      <c r="T26" s="19">
        <v>2853.9</v>
      </c>
      <c r="U26" s="19">
        <v>12835.4</v>
      </c>
    </row>
    <row r="27" spans="1:21" x14ac:dyDescent="0.25">
      <c r="A27" s="5">
        <v>1975</v>
      </c>
      <c r="B27" s="19">
        <v>25874.1</v>
      </c>
      <c r="C27" s="19">
        <v>5137.5</v>
      </c>
      <c r="D27" s="19">
        <v>107619.6</v>
      </c>
      <c r="E27" s="19">
        <v>10671.6</v>
      </c>
      <c r="F27" s="19">
        <v>23344.6</v>
      </c>
      <c r="G27" s="19">
        <v>2092.6999999999998</v>
      </c>
      <c r="H27" s="19">
        <v>9479.7000000000007</v>
      </c>
      <c r="I27" s="19">
        <v>5046.8</v>
      </c>
      <c r="J27" s="19">
        <v>7118.3</v>
      </c>
      <c r="K27" s="19">
        <v>4120.3999999999996</v>
      </c>
      <c r="L27" s="19">
        <v>6128.7</v>
      </c>
      <c r="M27" s="19">
        <v>5099.1000000000004</v>
      </c>
      <c r="N27" s="19">
        <v>3193.2</v>
      </c>
      <c r="O27" s="19">
        <v>58982.400000000001</v>
      </c>
      <c r="P27" s="19">
        <v>2816.9</v>
      </c>
      <c r="Q27" s="19">
        <v>1732.4</v>
      </c>
      <c r="R27" s="19">
        <v>2691.6</v>
      </c>
      <c r="S27" s="19">
        <v>15334</v>
      </c>
      <c r="T27" s="19">
        <v>2872.3</v>
      </c>
      <c r="U27" s="19">
        <v>13215.9</v>
      </c>
    </row>
    <row r="28" spans="1:21" x14ac:dyDescent="0.25">
      <c r="A28" s="5">
        <v>1976</v>
      </c>
      <c r="B28" s="19">
        <v>26282.3</v>
      </c>
      <c r="C28" s="19">
        <v>5256.5</v>
      </c>
      <c r="D28" s="19">
        <v>110213.3</v>
      </c>
      <c r="E28" s="19">
        <v>10838.3</v>
      </c>
      <c r="F28" s="19">
        <v>23858.799999999999</v>
      </c>
      <c r="G28" s="19">
        <v>2147.8000000000002</v>
      </c>
      <c r="H28" s="19">
        <v>9571.2000000000007</v>
      </c>
      <c r="I28" s="19">
        <v>5180.3999999999996</v>
      </c>
      <c r="J28" s="19">
        <v>7320.9</v>
      </c>
      <c r="K28" s="19">
        <v>4210.3</v>
      </c>
      <c r="L28" s="19">
        <v>6262.4</v>
      </c>
      <c r="M28" s="19">
        <v>5198.3999999999996</v>
      </c>
      <c r="N28" s="19">
        <v>3294.5</v>
      </c>
      <c r="O28" s="19">
        <v>60645.5</v>
      </c>
      <c r="P28" s="19">
        <v>2903.9</v>
      </c>
      <c r="Q28" s="19">
        <v>1776.9</v>
      </c>
      <c r="R28" s="19">
        <v>2758.8</v>
      </c>
      <c r="S28" s="19">
        <v>15716.8</v>
      </c>
      <c r="T28" s="19">
        <v>2891.4</v>
      </c>
      <c r="U28" s="19">
        <v>13606.3</v>
      </c>
    </row>
    <row r="29" spans="1:21" x14ac:dyDescent="0.25">
      <c r="A29" s="5">
        <v>1977</v>
      </c>
      <c r="B29" s="19">
        <v>26701.8</v>
      </c>
      <c r="C29" s="19">
        <v>5379.2</v>
      </c>
      <c r="D29" s="19">
        <v>112875.3</v>
      </c>
      <c r="E29" s="19">
        <v>11005.5</v>
      </c>
      <c r="F29" s="19">
        <v>24393.5</v>
      </c>
      <c r="G29" s="19">
        <v>2205</v>
      </c>
      <c r="H29" s="19">
        <v>9648.4</v>
      </c>
      <c r="I29" s="19">
        <v>5315.4</v>
      </c>
      <c r="J29" s="19">
        <v>7526.8</v>
      </c>
      <c r="K29" s="19">
        <v>4301.3</v>
      </c>
      <c r="L29" s="19">
        <v>6401.5</v>
      </c>
      <c r="M29" s="19">
        <v>5299.5</v>
      </c>
      <c r="N29" s="19">
        <v>3398.7</v>
      </c>
      <c r="O29" s="19">
        <v>62308.5</v>
      </c>
      <c r="P29" s="19">
        <v>2992.5</v>
      </c>
      <c r="Q29" s="19">
        <v>1821.5</v>
      </c>
      <c r="R29" s="19">
        <v>2827.9</v>
      </c>
      <c r="S29" s="19">
        <v>16109.8</v>
      </c>
      <c r="T29" s="19">
        <v>2909.5</v>
      </c>
      <c r="U29" s="19">
        <v>14006.8</v>
      </c>
    </row>
    <row r="30" spans="1:21" x14ac:dyDescent="0.25">
      <c r="A30" s="5">
        <v>1978</v>
      </c>
      <c r="B30" s="19">
        <v>27132.2</v>
      </c>
      <c r="C30" s="19">
        <v>5504.1</v>
      </c>
      <c r="D30" s="19">
        <v>115600.9</v>
      </c>
      <c r="E30" s="19">
        <v>11172.7</v>
      </c>
      <c r="F30" s="19">
        <v>24950.3</v>
      </c>
      <c r="G30" s="19">
        <v>2264.5</v>
      </c>
      <c r="H30" s="19">
        <v>9712</v>
      </c>
      <c r="I30" s="19">
        <v>5451.9</v>
      </c>
      <c r="J30" s="19">
        <v>7736.2</v>
      </c>
      <c r="K30" s="19">
        <v>4394.1000000000004</v>
      </c>
      <c r="L30" s="19">
        <v>6561.5</v>
      </c>
      <c r="M30" s="19">
        <v>5402.6</v>
      </c>
      <c r="N30" s="19">
        <v>3505.5</v>
      </c>
      <c r="O30" s="19">
        <v>63979</v>
      </c>
      <c r="P30" s="19">
        <v>3080.3</v>
      </c>
      <c r="Q30" s="19">
        <v>1866.3</v>
      </c>
      <c r="R30" s="19">
        <v>2899.3</v>
      </c>
      <c r="S30" s="19">
        <v>16516.099999999999</v>
      </c>
      <c r="T30" s="19">
        <v>2925.7</v>
      </c>
      <c r="U30" s="19">
        <v>14416.7</v>
      </c>
    </row>
    <row r="31" spans="1:21" x14ac:dyDescent="0.25">
      <c r="A31" s="5">
        <v>1979</v>
      </c>
      <c r="B31" s="19">
        <v>27568.9</v>
      </c>
      <c r="C31" s="19">
        <v>5630.8</v>
      </c>
      <c r="D31" s="19">
        <v>118380.8</v>
      </c>
      <c r="E31" s="19">
        <v>11339.8</v>
      </c>
      <c r="F31" s="19">
        <v>25515.599999999999</v>
      </c>
      <c r="G31" s="19">
        <v>2326.5</v>
      </c>
      <c r="H31" s="19">
        <v>9763.4</v>
      </c>
      <c r="I31" s="19">
        <v>5589.7</v>
      </c>
      <c r="J31" s="19">
        <v>7948.9</v>
      </c>
      <c r="K31" s="19">
        <v>4480.3999999999996</v>
      </c>
      <c r="L31" s="19">
        <v>6727.8</v>
      </c>
      <c r="M31" s="19">
        <v>5507.6</v>
      </c>
      <c r="N31" s="19">
        <v>3615</v>
      </c>
      <c r="O31" s="19">
        <v>65648.899999999994</v>
      </c>
      <c r="P31" s="19">
        <v>3164.5</v>
      </c>
      <c r="Q31" s="19">
        <v>1911.6</v>
      </c>
      <c r="R31" s="19">
        <v>2974</v>
      </c>
      <c r="S31" s="19">
        <v>16933.099999999999</v>
      </c>
      <c r="T31" s="19">
        <v>2939.9</v>
      </c>
      <c r="U31" s="19">
        <v>14834.6</v>
      </c>
    </row>
    <row r="32" spans="1:21" x14ac:dyDescent="0.25">
      <c r="A32" s="5">
        <v>1980</v>
      </c>
      <c r="B32" s="19">
        <v>28011.599999999999</v>
      </c>
      <c r="C32" s="19">
        <v>5758.9</v>
      </c>
      <c r="D32" s="19">
        <v>121207.5</v>
      </c>
      <c r="E32" s="19">
        <v>11508.6</v>
      </c>
      <c r="F32" s="19">
        <v>26104.5</v>
      </c>
      <c r="G32" s="19">
        <v>2390.6</v>
      </c>
      <c r="H32" s="19">
        <v>9804.7999999999993</v>
      </c>
      <c r="I32" s="19">
        <v>5729</v>
      </c>
      <c r="J32" s="19">
        <v>8165.9</v>
      </c>
      <c r="K32" s="19">
        <v>4540.3999999999996</v>
      </c>
      <c r="L32" s="19">
        <v>6900.2</v>
      </c>
      <c r="M32" s="19">
        <v>5614.5</v>
      </c>
      <c r="N32" s="19">
        <v>3727.2</v>
      </c>
      <c r="O32" s="19">
        <v>67300.3</v>
      </c>
      <c r="P32" s="19">
        <v>3252.4</v>
      </c>
      <c r="Q32" s="19">
        <v>1957.5</v>
      </c>
      <c r="R32" s="19">
        <v>3053.2</v>
      </c>
      <c r="S32" s="19">
        <v>17360.900000000001</v>
      </c>
      <c r="T32" s="19">
        <v>2952</v>
      </c>
      <c r="U32" s="19">
        <v>15258.2</v>
      </c>
    </row>
    <row r="33" spans="1:21" x14ac:dyDescent="0.25">
      <c r="A33" s="5">
        <v>1981</v>
      </c>
      <c r="B33" s="19">
        <v>28464</v>
      </c>
      <c r="C33" s="19">
        <v>5888.1</v>
      </c>
      <c r="D33" s="19">
        <v>124063.1</v>
      </c>
      <c r="E33" s="19">
        <v>11678.7</v>
      </c>
      <c r="F33" s="19">
        <v>26713.3</v>
      </c>
      <c r="G33" s="19">
        <v>2456.6</v>
      </c>
      <c r="H33" s="19">
        <v>9849.2999999999993</v>
      </c>
      <c r="I33" s="19">
        <v>5868.5</v>
      </c>
      <c r="J33" s="19">
        <v>8386.9</v>
      </c>
      <c r="K33" s="19">
        <v>4570.6000000000004</v>
      </c>
      <c r="L33" s="19">
        <v>7075.6</v>
      </c>
      <c r="M33" s="19">
        <v>5723.7</v>
      </c>
      <c r="N33" s="19">
        <v>3841.8</v>
      </c>
      <c r="O33" s="19">
        <v>68892.100000000006</v>
      </c>
      <c r="P33" s="19">
        <v>3345.7</v>
      </c>
      <c r="Q33" s="19">
        <v>2004.4</v>
      </c>
      <c r="R33" s="19">
        <v>3137.6</v>
      </c>
      <c r="S33" s="19">
        <v>17798.8</v>
      </c>
      <c r="T33" s="19">
        <v>2963.2</v>
      </c>
      <c r="U33" s="19">
        <v>15687.3</v>
      </c>
    </row>
    <row r="34" spans="1:21" x14ac:dyDescent="0.25">
      <c r="A34" s="5">
        <v>1982</v>
      </c>
      <c r="B34" s="19">
        <v>28924.3</v>
      </c>
      <c r="C34" s="19">
        <v>6018.1</v>
      </c>
      <c r="D34" s="19">
        <v>126923.2</v>
      </c>
      <c r="E34" s="19">
        <v>11850.2</v>
      </c>
      <c r="F34" s="19">
        <v>27338.3</v>
      </c>
      <c r="G34" s="19">
        <v>2524.8000000000002</v>
      </c>
      <c r="H34" s="19">
        <v>9912.7000000000007</v>
      </c>
      <c r="I34" s="19">
        <v>6007.1</v>
      </c>
      <c r="J34" s="19">
        <v>8611.2999999999993</v>
      </c>
      <c r="K34" s="19">
        <v>4622.5</v>
      </c>
      <c r="L34" s="19">
        <v>7240.2</v>
      </c>
      <c r="M34" s="19">
        <v>5835.9</v>
      </c>
      <c r="N34" s="19">
        <v>3958.7</v>
      </c>
      <c r="O34" s="19">
        <v>70433.3</v>
      </c>
      <c r="P34" s="19">
        <v>3438.7</v>
      </c>
      <c r="Q34" s="19">
        <v>2052.3000000000002</v>
      </c>
      <c r="R34" s="19">
        <v>3226.2</v>
      </c>
      <c r="S34" s="19">
        <v>18246.5</v>
      </c>
      <c r="T34" s="19">
        <v>2975.5</v>
      </c>
      <c r="U34" s="19">
        <v>16121.9</v>
      </c>
    </row>
    <row r="35" spans="1:21" x14ac:dyDescent="0.25">
      <c r="A35" s="5">
        <v>1983</v>
      </c>
      <c r="B35" s="19">
        <v>29391.3</v>
      </c>
      <c r="C35" s="19">
        <v>6149.1</v>
      </c>
      <c r="D35" s="19">
        <v>129790.1</v>
      </c>
      <c r="E35" s="19">
        <v>12026.1</v>
      </c>
      <c r="F35" s="19">
        <v>27988.2</v>
      </c>
      <c r="G35" s="19">
        <v>2595.1999999999998</v>
      </c>
      <c r="H35" s="19">
        <v>9991</v>
      </c>
      <c r="I35" s="19">
        <v>6147.2</v>
      </c>
      <c r="J35" s="19">
        <v>8840.4</v>
      </c>
      <c r="K35" s="19">
        <v>4707.3999999999996</v>
      </c>
      <c r="L35" s="19">
        <v>7419.6</v>
      </c>
      <c r="M35" s="19">
        <v>5951.1</v>
      </c>
      <c r="N35" s="19">
        <v>4078.2</v>
      </c>
      <c r="O35" s="19">
        <v>71971.199999999997</v>
      </c>
      <c r="P35" s="19">
        <v>3530.3</v>
      </c>
      <c r="Q35" s="19">
        <v>2101.1</v>
      </c>
      <c r="R35" s="19">
        <v>3318.1</v>
      </c>
      <c r="S35" s="19">
        <v>18706</v>
      </c>
      <c r="T35" s="19">
        <v>2988.8</v>
      </c>
      <c r="U35" s="19">
        <v>16562.2</v>
      </c>
    </row>
    <row r="36" spans="1:21" x14ac:dyDescent="0.25">
      <c r="A36" s="5">
        <v>1984</v>
      </c>
      <c r="B36" s="19">
        <v>29863.1</v>
      </c>
      <c r="C36" s="19">
        <v>6281.9</v>
      </c>
      <c r="D36" s="19">
        <v>132658.9</v>
      </c>
      <c r="E36" s="19">
        <v>12207.7</v>
      </c>
      <c r="F36" s="19">
        <v>28642.7</v>
      </c>
      <c r="G36" s="19">
        <v>2667.6</v>
      </c>
      <c r="H36" s="19">
        <v>10073.299999999999</v>
      </c>
      <c r="I36" s="19">
        <v>6289</v>
      </c>
      <c r="J36" s="19">
        <v>9074.7999999999993</v>
      </c>
      <c r="K36" s="19">
        <v>4798</v>
      </c>
      <c r="L36" s="19">
        <v>7630.7</v>
      </c>
      <c r="M36" s="19">
        <v>6069.2</v>
      </c>
      <c r="N36" s="19">
        <v>4199.8999999999996</v>
      </c>
      <c r="O36" s="19">
        <v>73506.8</v>
      </c>
      <c r="P36" s="19">
        <v>3619.1</v>
      </c>
      <c r="Q36" s="19">
        <v>2150.8000000000002</v>
      </c>
      <c r="R36" s="19">
        <v>3412.9</v>
      </c>
      <c r="S36" s="19">
        <v>19174.7</v>
      </c>
      <c r="T36" s="19">
        <v>3002.5</v>
      </c>
      <c r="U36" s="19">
        <v>17008.8</v>
      </c>
    </row>
    <row r="37" spans="1:21" x14ac:dyDescent="0.25">
      <c r="A37" s="5">
        <v>1985</v>
      </c>
      <c r="B37" s="19">
        <v>30336.400000000001</v>
      </c>
      <c r="C37" s="19">
        <v>6416.2</v>
      </c>
      <c r="D37" s="19">
        <v>135515.6</v>
      </c>
      <c r="E37" s="19">
        <v>12395.3</v>
      </c>
      <c r="F37" s="19">
        <v>29268.5</v>
      </c>
      <c r="G37" s="19">
        <v>2741.9</v>
      </c>
      <c r="H37" s="19">
        <v>10157.200000000001</v>
      </c>
      <c r="I37" s="19">
        <v>6430.4</v>
      </c>
      <c r="J37" s="19">
        <v>9311.2000000000007</v>
      </c>
      <c r="K37" s="19">
        <v>4894.7</v>
      </c>
      <c r="L37" s="19">
        <v>7849.7</v>
      </c>
      <c r="M37" s="19">
        <v>6190.9</v>
      </c>
      <c r="N37" s="19">
        <v>4323.3</v>
      </c>
      <c r="O37" s="19">
        <v>75043.399999999994</v>
      </c>
      <c r="P37" s="19">
        <v>3706.5</v>
      </c>
      <c r="Q37" s="19">
        <v>2200.9</v>
      </c>
      <c r="R37" s="19">
        <v>3510.7</v>
      </c>
      <c r="S37" s="19">
        <v>19648.2</v>
      </c>
      <c r="T37" s="19">
        <v>3017</v>
      </c>
      <c r="U37" s="19">
        <v>17461.400000000001</v>
      </c>
    </row>
    <row r="38" spans="1:21" x14ac:dyDescent="0.25">
      <c r="A38" s="5">
        <v>1986</v>
      </c>
      <c r="B38" s="19">
        <v>30812</v>
      </c>
      <c r="C38" s="19">
        <v>6552.5</v>
      </c>
      <c r="D38" s="19">
        <v>138336.4</v>
      </c>
      <c r="E38" s="19">
        <v>12588.9</v>
      </c>
      <c r="F38" s="19">
        <v>29879.1</v>
      </c>
      <c r="G38" s="19">
        <v>2817.2</v>
      </c>
      <c r="H38" s="19">
        <v>10244.200000000001</v>
      </c>
      <c r="I38" s="19">
        <v>6571.2</v>
      </c>
      <c r="J38" s="19">
        <v>9546</v>
      </c>
      <c r="K38" s="19">
        <v>4992.8</v>
      </c>
      <c r="L38" s="19">
        <v>8070.8</v>
      </c>
      <c r="M38" s="19">
        <v>6316.1</v>
      </c>
      <c r="N38" s="19">
        <v>4448.8999999999996</v>
      </c>
      <c r="O38" s="19">
        <v>76585.600000000006</v>
      </c>
      <c r="P38" s="19">
        <v>3794.2</v>
      </c>
      <c r="Q38" s="19">
        <v>2251.3000000000002</v>
      </c>
      <c r="R38" s="19">
        <v>3611.5</v>
      </c>
      <c r="S38" s="19">
        <v>20117.099999999999</v>
      </c>
      <c r="T38" s="19">
        <v>3032.8</v>
      </c>
      <c r="U38" s="19">
        <v>17923.5</v>
      </c>
    </row>
    <row r="39" spans="1:21" x14ac:dyDescent="0.25">
      <c r="A39" s="5">
        <v>1987</v>
      </c>
      <c r="B39" s="19">
        <v>31291.8</v>
      </c>
      <c r="C39" s="19">
        <v>6692.2</v>
      </c>
      <c r="D39" s="19">
        <v>141104.9</v>
      </c>
      <c r="E39" s="19">
        <v>12790.2</v>
      </c>
      <c r="F39" s="19">
        <v>30499.5</v>
      </c>
      <c r="G39" s="19">
        <v>2892.7</v>
      </c>
      <c r="H39" s="19">
        <v>10335.299999999999</v>
      </c>
      <c r="I39" s="19">
        <v>6712.5</v>
      </c>
      <c r="J39" s="19">
        <v>9779.2999999999993</v>
      </c>
      <c r="K39" s="19">
        <v>5092.3999999999996</v>
      </c>
      <c r="L39" s="19">
        <v>8296.5</v>
      </c>
      <c r="M39" s="19">
        <v>6445.1</v>
      </c>
      <c r="N39" s="19">
        <v>4576.8999999999996</v>
      </c>
      <c r="O39" s="19">
        <v>78136.7</v>
      </c>
      <c r="P39" s="19">
        <v>3882.2</v>
      </c>
      <c r="Q39" s="19">
        <v>2302</v>
      </c>
      <c r="R39" s="19">
        <v>3714.9</v>
      </c>
      <c r="S39" s="19">
        <v>20582.3</v>
      </c>
      <c r="T39" s="19">
        <v>3049.9</v>
      </c>
      <c r="U39" s="19">
        <v>18395</v>
      </c>
    </row>
    <row r="40" spans="1:21" x14ac:dyDescent="0.25">
      <c r="A40" s="5">
        <v>1988</v>
      </c>
      <c r="B40" s="19">
        <v>31780.5</v>
      </c>
      <c r="C40" s="19">
        <v>6835.5</v>
      </c>
      <c r="D40" s="19">
        <v>143826.4</v>
      </c>
      <c r="E40" s="19">
        <v>12999.4</v>
      </c>
      <c r="F40" s="19">
        <v>31130.5</v>
      </c>
      <c r="G40" s="19">
        <v>2968.1</v>
      </c>
      <c r="H40" s="19">
        <v>10432.6</v>
      </c>
      <c r="I40" s="19">
        <v>6855.7</v>
      </c>
      <c r="J40" s="19">
        <v>10010.799999999999</v>
      </c>
      <c r="K40" s="19">
        <v>5195.8</v>
      </c>
      <c r="L40" s="19">
        <v>8532.1</v>
      </c>
      <c r="M40" s="19">
        <v>6578.1</v>
      </c>
      <c r="N40" s="19">
        <v>4707.7</v>
      </c>
      <c r="O40" s="19">
        <v>79695.5</v>
      </c>
      <c r="P40" s="19">
        <v>3972.3</v>
      </c>
      <c r="Q40" s="19">
        <v>2352.8000000000002</v>
      </c>
      <c r="R40" s="19">
        <v>3820.5</v>
      </c>
      <c r="S40" s="19">
        <v>21054.7</v>
      </c>
      <c r="T40" s="19">
        <v>3068</v>
      </c>
      <c r="U40" s="19">
        <v>18871</v>
      </c>
    </row>
    <row r="41" spans="1:21" x14ac:dyDescent="0.25">
      <c r="A41" s="5">
        <v>1989</v>
      </c>
      <c r="B41" s="19">
        <v>32270.9</v>
      </c>
      <c r="C41" s="19">
        <v>6981.8</v>
      </c>
      <c r="D41" s="19">
        <v>146503</v>
      </c>
      <c r="E41" s="19">
        <v>13215</v>
      </c>
      <c r="F41" s="19">
        <v>31776.3</v>
      </c>
      <c r="G41" s="19">
        <v>3043.8</v>
      </c>
      <c r="H41" s="19">
        <v>10533.2</v>
      </c>
      <c r="I41" s="19">
        <v>7002.3</v>
      </c>
      <c r="J41" s="19">
        <v>10241.9</v>
      </c>
      <c r="K41" s="19">
        <v>5299</v>
      </c>
      <c r="L41" s="19">
        <v>8775.5</v>
      </c>
      <c r="M41" s="19">
        <v>6714.7</v>
      </c>
      <c r="N41" s="19">
        <v>4841.8</v>
      </c>
      <c r="O41" s="19">
        <v>81247.199999999997</v>
      </c>
      <c r="P41" s="19">
        <v>4066.5</v>
      </c>
      <c r="Q41" s="19">
        <v>2403.8000000000002</v>
      </c>
      <c r="R41" s="19">
        <v>3927.8</v>
      </c>
      <c r="S41" s="19">
        <v>21532.6</v>
      </c>
      <c r="T41" s="19">
        <v>3086.3</v>
      </c>
      <c r="U41" s="19">
        <v>19348.900000000001</v>
      </c>
    </row>
    <row r="42" spans="1:21" x14ac:dyDescent="0.25">
      <c r="A42" s="5">
        <v>1990</v>
      </c>
      <c r="B42" s="19">
        <v>32755.9</v>
      </c>
      <c r="C42" s="19">
        <v>7130.1</v>
      </c>
      <c r="D42" s="19">
        <v>149143.20000000001</v>
      </c>
      <c r="E42" s="19">
        <v>13437.2</v>
      </c>
      <c r="F42" s="19">
        <v>32440.1</v>
      </c>
      <c r="G42" s="19">
        <v>3121.7</v>
      </c>
      <c r="H42" s="19">
        <v>10631.8</v>
      </c>
      <c r="I42" s="19">
        <v>7151.2</v>
      </c>
      <c r="J42" s="19">
        <v>10473.700000000001</v>
      </c>
      <c r="K42" s="19">
        <v>5399.7</v>
      </c>
      <c r="L42" s="19">
        <v>9024.7999999999993</v>
      </c>
      <c r="M42" s="19">
        <v>6854.4</v>
      </c>
      <c r="N42" s="19">
        <v>4980.5</v>
      </c>
      <c r="O42" s="19">
        <v>82820.2</v>
      </c>
      <c r="P42" s="19">
        <v>4162.6000000000004</v>
      </c>
      <c r="Q42" s="19">
        <v>2455.6</v>
      </c>
      <c r="R42" s="19">
        <v>4035.7</v>
      </c>
      <c r="S42" s="19">
        <v>22014.799999999999</v>
      </c>
      <c r="T42" s="19">
        <v>3104.4</v>
      </c>
      <c r="U42" s="19">
        <v>19827</v>
      </c>
    </row>
    <row r="43" spans="1:21" x14ac:dyDescent="0.25">
      <c r="A43" s="5">
        <v>1991</v>
      </c>
      <c r="B43" s="19">
        <v>33230.300000000003</v>
      </c>
      <c r="C43" s="19">
        <v>7280.3</v>
      </c>
      <c r="D43" s="19">
        <v>151724.29999999999</v>
      </c>
      <c r="E43" s="19">
        <v>13662.5</v>
      </c>
      <c r="F43" s="19">
        <v>33098.400000000001</v>
      </c>
      <c r="G43" s="19">
        <v>3202.2</v>
      </c>
      <c r="H43" s="19">
        <v>10717.6</v>
      </c>
      <c r="I43" s="19">
        <v>7299.9</v>
      </c>
      <c r="J43" s="19">
        <v>10702.4</v>
      </c>
      <c r="K43" s="19">
        <v>5495.1</v>
      </c>
      <c r="L43" s="19">
        <v>9272.6</v>
      </c>
      <c r="M43" s="19">
        <v>6995.5</v>
      </c>
      <c r="N43" s="19">
        <v>5123.8</v>
      </c>
      <c r="O43" s="19">
        <v>84430.6</v>
      </c>
      <c r="P43" s="19">
        <v>4259.6000000000004</v>
      </c>
      <c r="Q43" s="19">
        <v>2508.3000000000002</v>
      </c>
      <c r="R43" s="19">
        <v>4144.3999999999996</v>
      </c>
      <c r="S43" s="19">
        <v>22483.8</v>
      </c>
      <c r="T43" s="19">
        <v>3122.4</v>
      </c>
      <c r="U43" s="19">
        <v>20304.900000000001</v>
      </c>
    </row>
    <row r="44" spans="1:21" x14ac:dyDescent="0.25">
      <c r="A44" s="5">
        <v>1992</v>
      </c>
      <c r="B44" s="19">
        <v>33693.5</v>
      </c>
      <c r="C44" s="19">
        <v>7430.3</v>
      </c>
      <c r="D44" s="19">
        <v>154275.1</v>
      </c>
      <c r="E44" s="19">
        <v>13884.6</v>
      </c>
      <c r="F44" s="19">
        <v>33760.6</v>
      </c>
      <c r="G44" s="19">
        <v>3284.3</v>
      </c>
      <c r="H44" s="19">
        <v>10785.8</v>
      </c>
      <c r="I44" s="19">
        <v>7447.5</v>
      </c>
      <c r="J44" s="19">
        <v>10930.1</v>
      </c>
      <c r="K44" s="19">
        <v>5585.6</v>
      </c>
      <c r="L44" s="19">
        <v>9522.2999999999993</v>
      </c>
      <c r="M44" s="19">
        <v>7136.6</v>
      </c>
      <c r="N44" s="19">
        <v>5271.4</v>
      </c>
      <c r="O44" s="19">
        <v>86044.800000000003</v>
      </c>
      <c r="P44" s="19">
        <v>4357</v>
      </c>
      <c r="Q44" s="19">
        <v>2561.3000000000002</v>
      </c>
      <c r="R44" s="19">
        <v>4253.6000000000004</v>
      </c>
      <c r="S44" s="19">
        <v>22946.3</v>
      </c>
      <c r="T44" s="19">
        <v>3139.7</v>
      </c>
      <c r="U44" s="19">
        <v>20780.900000000001</v>
      </c>
    </row>
    <row r="45" spans="1:21" x14ac:dyDescent="0.25">
      <c r="A45" s="5">
        <v>1993</v>
      </c>
      <c r="B45" s="19">
        <v>34152.699999999997</v>
      </c>
      <c r="C45" s="19">
        <v>7579.2</v>
      </c>
      <c r="D45" s="19">
        <v>156794.6</v>
      </c>
      <c r="E45" s="19">
        <v>14102.3</v>
      </c>
      <c r="F45" s="19">
        <v>34441.5</v>
      </c>
      <c r="G45" s="19">
        <v>3367.4</v>
      </c>
      <c r="H45" s="19">
        <v>10841</v>
      </c>
      <c r="I45" s="19">
        <v>7594.6</v>
      </c>
      <c r="J45" s="19">
        <v>11154.3</v>
      </c>
      <c r="K45" s="19">
        <v>5660</v>
      </c>
      <c r="L45" s="19">
        <v>9779.7999999999993</v>
      </c>
      <c r="M45" s="19">
        <v>7278.2</v>
      </c>
      <c r="N45" s="19">
        <v>5423.2</v>
      </c>
      <c r="O45" s="19">
        <v>87653.8</v>
      </c>
      <c r="P45" s="19">
        <v>4453.7</v>
      </c>
      <c r="Q45" s="19">
        <v>2615.1</v>
      </c>
      <c r="R45" s="19">
        <v>4362.7</v>
      </c>
      <c r="S45" s="19">
        <v>23413.8</v>
      </c>
      <c r="T45" s="19">
        <v>3156.3</v>
      </c>
      <c r="U45" s="19">
        <v>21254.5</v>
      </c>
    </row>
    <row r="46" spans="1:21" x14ac:dyDescent="0.25">
      <c r="A46" s="5">
        <v>1994</v>
      </c>
      <c r="B46" s="19">
        <v>34613.5</v>
      </c>
      <c r="C46" s="19">
        <v>7727.3</v>
      </c>
      <c r="D46" s="19">
        <v>159265</v>
      </c>
      <c r="E46" s="19">
        <v>14316.3</v>
      </c>
      <c r="F46" s="19">
        <v>35127.4</v>
      </c>
      <c r="G46" s="19">
        <v>3451.1</v>
      </c>
      <c r="H46" s="19">
        <v>10886</v>
      </c>
      <c r="I46" s="19">
        <v>7741.7</v>
      </c>
      <c r="J46" s="19">
        <v>11372.2</v>
      </c>
      <c r="K46" s="19">
        <v>5714.1</v>
      </c>
      <c r="L46" s="19">
        <v>10043.700000000001</v>
      </c>
      <c r="M46" s="19">
        <v>7419.8</v>
      </c>
      <c r="N46" s="19">
        <v>5579.2</v>
      </c>
      <c r="O46" s="19">
        <v>89259.199999999997</v>
      </c>
      <c r="P46" s="19">
        <v>4549.3</v>
      </c>
      <c r="Q46" s="19">
        <v>2669.5</v>
      </c>
      <c r="R46" s="19">
        <v>4471.3999999999996</v>
      </c>
      <c r="S46" s="19">
        <v>23881.5</v>
      </c>
      <c r="T46" s="19">
        <v>3172.8</v>
      </c>
      <c r="U46" s="19">
        <v>21725.200000000001</v>
      </c>
    </row>
    <row r="47" spans="1:21" x14ac:dyDescent="0.25">
      <c r="A47" s="5">
        <v>1995</v>
      </c>
      <c r="B47" s="19">
        <v>35070</v>
      </c>
      <c r="C47" s="19">
        <v>7874.7</v>
      </c>
      <c r="D47" s="19">
        <v>161735.1</v>
      </c>
      <c r="E47" s="19">
        <v>14527.4</v>
      </c>
      <c r="F47" s="19">
        <v>35804.699999999997</v>
      </c>
      <c r="G47" s="19">
        <v>3535.2</v>
      </c>
      <c r="H47" s="19">
        <v>10925.4</v>
      </c>
      <c r="I47" s="19">
        <v>7888.1</v>
      </c>
      <c r="J47" s="19">
        <v>11590.5</v>
      </c>
      <c r="K47" s="19">
        <v>5762.1</v>
      </c>
      <c r="L47" s="19">
        <v>10313</v>
      </c>
      <c r="M47" s="19">
        <v>7562.5</v>
      </c>
      <c r="N47" s="19">
        <v>5739.6</v>
      </c>
      <c r="O47" s="19">
        <v>90862.5</v>
      </c>
      <c r="P47" s="19">
        <v>4642.8999999999996</v>
      </c>
      <c r="Q47" s="19">
        <v>2724.6</v>
      </c>
      <c r="R47" s="19">
        <v>4579.8</v>
      </c>
      <c r="S47" s="19">
        <v>24348.9</v>
      </c>
      <c r="T47" s="19">
        <v>3189.4</v>
      </c>
      <c r="U47" s="19">
        <v>22193.8</v>
      </c>
    </row>
    <row r="48" spans="1:21" x14ac:dyDescent="0.25">
      <c r="A48" s="5">
        <v>1996</v>
      </c>
      <c r="B48" s="19">
        <v>35513.800000000003</v>
      </c>
      <c r="C48" s="19">
        <v>8021.7</v>
      </c>
      <c r="D48" s="19">
        <v>164202.5</v>
      </c>
      <c r="E48" s="19">
        <v>14734</v>
      </c>
      <c r="F48" s="19">
        <v>36462.699999999997</v>
      </c>
      <c r="G48" s="19">
        <v>3619</v>
      </c>
      <c r="H48" s="19">
        <v>10962</v>
      </c>
      <c r="I48" s="19">
        <v>8032.9</v>
      </c>
      <c r="J48" s="19">
        <v>11811</v>
      </c>
      <c r="K48" s="19">
        <v>5805.3</v>
      </c>
      <c r="L48" s="19">
        <v>10583.5</v>
      </c>
      <c r="M48" s="19">
        <v>7707.6</v>
      </c>
      <c r="N48" s="19">
        <v>5904</v>
      </c>
      <c r="O48" s="19">
        <v>92452.7</v>
      </c>
      <c r="P48" s="19">
        <v>4730</v>
      </c>
      <c r="Q48" s="19">
        <v>2780.2</v>
      </c>
      <c r="R48" s="19">
        <v>4687.5</v>
      </c>
      <c r="S48" s="19">
        <v>24811.200000000001</v>
      </c>
      <c r="T48" s="19">
        <v>3206.3</v>
      </c>
      <c r="U48" s="19">
        <v>22662.1</v>
      </c>
    </row>
    <row r="49" spans="1:21" x14ac:dyDescent="0.25">
      <c r="A49" s="5">
        <v>1997</v>
      </c>
      <c r="B49" s="19">
        <v>35947.800000000003</v>
      </c>
      <c r="C49" s="19">
        <v>8167.9</v>
      </c>
      <c r="D49" s="19">
        <v>166661.70000000001</v>
      </c>
      <c r="E49" s="19">
        <v>14932.4</v>
      </c>
      <c r="F49" s="19">
        <v>37121.1</v>
      </c>
      <c r="G49" s="19">
        <v>3701.7</v>
      </c>
      <c r="H49" s="19">
        <v>10997.9</v>
      </c>
      <c r="I49" s="19">
        <v>8174.1</v>
      </c>
      <c r="J49" s="19">
        <v>12031.1</v>
      </c>
      <c r="K49" s="19">
        <v>5844.6</v>
      </c>
      <c r="L49" s="19">
        <v>10857.8</v>
      </c>
      <c r="M49" s="19">
        <v>7854.3</v>
      </c>
      <c r="N49" s="19">
        <v>6071.5</v>
      </c>
      <c r="O49" s="19">
        <v>94021.2</v>
      </c>
      <c r="P49" s="19">
        <v>4809.6000000000004</v>
      </c>
      <c r="Q49" s="19">
        <v>2836.7</v>
      </c>
      <c r="R49" s="19">
        <v>4794.3999999999996</v>
      </c>
      <c r="S49" s="19">
        <v>25274.1</v>
      </c>
      <c r="T49" s="19">
        <v>3223.3</v>
      </c>
      <c r="U49" s="19">
        <v>23131.7</v>
      </c>
    </row>
    <row r="50" spans="1:21" x14ac:dyDescent="0.25">
      <c r="A50" s="5">
        <v>1998</v>
      </c>
      <c r="B50" s="19">
        <v>36372.9</v>
      </c>
      <c r="C50" s="19">
        <v>8313.4</v>
      </c>
      <c r="D50" s="19">
        <v>169159.7</v>
      </c>
      <c r="E50" s="19">
        <v>15127.8</v>
      </c>
      <c r="F50" s="19">
        <v>37792.199999999997</v>
      </c>
      <c r="G50" s="19">
        <v>3782.8</v>
      </c>
      <c r="H50" s="19">
        <v>11034.7</v>
      </c>
      <c r="I50" s="19">
        <v>8310.4</v>
      </c>
      <c r="J50" s="19">
        <v>12251.2</v>
      </c>
      <c r="K50" s="19">
        <v>5880.8</v>
      </c>
      <c r="L50" s="19">
        <v>11139.1</v>
      </c>
      <c r="M50" s="19">
        <v>8002.1</v>
      </c>
      <c r="N50" s="19">
        <v>6234.4</v>
      </c>
      <c r="O50" s="19">
        <v>95575.2</v>
      </c>
      <c r="P50" s="19">
        <v>4883.7</v>
      </c>
      <c r="Q50" s="19">
        <v>2893.9</v>
      </c>
      <c r="R50" s="19">
        <v>4900</v>
      </c>
      <c r="S50" s="19">
        <v>25738.1</v>
      </c>
      <c r="T50" s="19">
        <v>3239.3</v>
      </c>
      <c r="U50" s="19">
        <v>23601.3</v>
      </c>
    </row>
    <row r="51" spans="1:21" x14ac:dyDescent="0.25">
      <c r="A51" s="5">
        <v>1999</v>
      </c>
      <c r="B51" s="19">
        <v>36794.699999999997</v>
      </c>
      <c r="C51" s="19">
        <v>8459.7999999999993</v>
      </c>
      <c r="D51" s="19">
        <v>171641.5</v>
      </c>
      <c r="E51" s="19">
        <v>15319.3</v>
      </c>
      <c r="F51" s="19">
        <v>38454.9</v>
      </c>
      <c r="G51" s="19">
        <v>3862.1</v>
      </c>
      <c r="H51" s="19">
        <v>11072.2</v>
      </c>
      <c r="I51" s="19">
        <v>8446.2000000000007</v>
      </c>
      <c r="J51" s="19">
        <v>12470.8</v>
      </c>
      <c r="K51" s="19">
        <v>5913.9</v>
      </c>
      <c r="L51" s="19">
        <v>11423</v>
      </c>
      <c r="M51" s="19">
        <v>8151.3</v>
      </c>
      <c r="N51" s="19">
        <v>6400.5</v>
      </c>
      <c r="O51" s="19">
        <v>97115.7</v>
      </c>
      <c r="P51" s="19">
        <v>4954</v>
      </c>
      <c r="Q51" s="19">
        <v>2951.8</v>
      </c>
      <c r="R51" s="19">
        <v>5003.1000000000004</v>
      </c>
      <c r="S51" s="19">
        <v>26186.5</v>
      </c>
      <c r="T51" s="19">
        <v>3254</v>
      </c>
      <c r="U51" s="19">
        <v>24066.6</v>
      </c>
    </row>
    <row r="52" spans="1:21" x14ac:dyDescent="0.25">
      <c r="A52" s="5">
        <v>2000</v>
      </c>
      <c r="B52" s="19">
        <v>37214</v>
      </c>
      <c r="C52" s="19">
        <v>8606.2999999999993</v>
      </c>
      <c r="D52" s="19">
        <v>174018.3</v>
      </c>
      <c r="E52" s="19">
        <v>15503.6</v>
      </c>
      <c r="F52" s="19">
        <v>39089.9</v>
      </c>
      <c r="G52" s="19">
        <v>3937.7</v>
      </c>
      <c r="H52" s="19">
        <v>11109.1</v>
      </c>
      <c r="I52" s="19">
        <v>8584.2000000000007</v>
      </c>
      <c r="J52" s="19">
        <v>12689.2</v>
      </c>
      <c r="K52" s="19">
        <v>5943.4</v>
      </c>
      <c r="L52" s="19">
        <v>11697.6</v>
      </c>
      <c r="M52" s="19">
        <v>8303.2000000000007</v>
      </c>
      <c r="N52" s="19">
        <v>6577.8</v>
      </c>
      <c r="O52" s="19">
        <v>98625.600000000006</v>
      </c>
      <c r="P52" s="19">
        <v>5022.6000000000004</v>
      </c>
      <c r="Q52" s="19">
        <v>3010.4</v>
      </c>
      <c r="R52" s="19">
        <v>5100.8999999999996</v>
      </c>
      <c r="S52" s="19">
        <v>26598.3</v>
      </c>
      <c r="T52" s="19">
        <v>3266.2</v>
      </c>
      <c r="U52" s="19">
        <v>24526.7</v>
      </c>
    </row>
    <row r="53" spans="1:21" x14ac:dyDescent="0.25">
      <c r="A53" s="5">
        <v>2001</v>
      </c>
      <c r="B53" s="19">
        <v>37624.800000000003</v>
      </c>
      <c r="C53" s="19">
        <v>8752.7000000000007</v>
      </c>
      <c r="D53" s="19">
        <v>176301.2</v>
      </c>
      <c r="E53" s="19">
        <v>15683.8</v>
      </c>
      <c r="F53" s="19">
        <v>39709.300000000003</v>
      </c>
      <c r="G53" s="19">
        <v>4008.9</v>
      </c>
      <c r="H53" s="19">
        <v>11144.1</v>
      </c>
      <c r="I53" s="19">
        <v>8720.2999999999993</v>
      </c>
      <c r="J53" s="19">
        <v>12910.7</v>
      </c>
      <c r="K53" s="19">
        <v>5968.1</v>
      </c>
      <c r="L53" s="19">
        <v>11969.4</v>
      </c>
      <c r="M53" s="19">
        <v>8455.9</v>
      </c>
      <c r="N53" s="19">
        <v>6758</v>
      </c>
      <c r="O53" s="19">
        <v>100099.1</v>
      </c>
      <c r="P53" s="19">
        <v>5087.8</v>
      </c>
      <c r="Q53" s="19">
        <v>3069.5</v>
      </c>
      <c r="R53" s="19">
        <v>5187.7</v>
      </c>
      <c r="S53" s="19">
        <v>26964.6</v>
      </c>
      <c r="T53" s="19">
        <v>3274.3</v>
      </c>
      <c r="U53" s="19">
        <v>24979.9</v>
      </c>
    </row>
    <row r="54" spans="1:21" x14ac:dyDescent="0.25">
      <c r="A54" s="5">
        <v>2002</v>
      </c>
      <c r="B54" s="19">
        <v>38029.300000000003</v>
      </c>
      <c r="C54" s="19">
        <v>8900.4</v>
      </c>
      <c r="D54" s="19">
        <v>178503.5</v>
      </c>
      <c r="E54" s="19">
        <v>15857.9</v>
      </c>
      <c r="F54" s="19">
        <v>40324.699999999997</v>
      </c>
      <c r="G54" s="19">
        <v>4075.7</v>
      </c>
      <c r="H54" s="19">
        <v>11177.4</v>
      </c>
      <c r="I54" s="19">
        <v>8852.2000000000007</v>
      </c>
      <c r="J54" s="19">
        <v>13138.5</v>
      </c>
      <c r="K54" s="19">
        <v>5986.6</v>
      </c>
      <c r="L54" s="19">
        <v>12246.9</v>
      </c>
      <c r="M54" s="19">
        <v>8607.6</v>
      </c>
      <c r="N54" s="19">
        <v>6938.9</v>
      </c>
      <c r="O54" s="19">
        <v>101548.6</v>
      </c>
      <c r="P54" s="19">
        <v>5149.8999999999996</v>
      </c>
      <c r="Q54" s="19">
        <v>3129.3</v>
      </c>
      <c r="R54" s="19">
        <v>5261.3</v>
      </c>
      <c r="S54" s="19">
        <v>27288.2</v>
      </c>
      <c r="T54" s="19">
        <v>3278.9</v>
      </c>
      <c r="U54" s="19">
        <v>25435.7</v>
      </c>
    </row>
    <row r="55" spans="1:21" x14ac:dyDescent="0.25">
      <c r="A55" s="5">
        <v>2003</v>
      </c>
      <c r="B55" s="19">
        <v>38424.300000000003</v>
      </c>
      <c r="C55" s="19">
        <v>9050.7000000000007</v>
      </c>
      <c r="D55" s="19">
        <v>180622.7</v>
      </c>
      <c r="E55" s="19">
        <v>16024.8</v>
      </c>
      <c r="F55" s="19">
        <v>40937.4</v>
      </c>
      <c r="G55" s="19">
        <v>4138.8</v>
      </c>
      <c r="H55" s="19">
        <v>11209.4</v>
      </c>
      <c r="I55" s="19">
        <v>8980.6</v>
      </c>
      <c r="J55" s="19">
        <v>13372.3</v>
      </c>
      <c r="K55" s="19">
        <v>5998.6</v>
      </c>
      <c r="L55" s="19">
        <v>12525.8</v>
      </c>
      <c r="M55" s="19">
        <v>8759.9</v>
      </c>
      <c r="N55" s="19">
        <v>7119.2</v>
      </c>
      <c r="O55" s="19">
        <v>102978.5</v>
      </c>
      <c r="P55" s="19">
        <v>5211</v>
      </c>
      <c r="Q55" s="19">
        <v>3189.8</v>
      </c>
      <c r="R55" s="19">
        <v>5326.4</v>
      </c>
      <c r="S55" s="19">
        <v>27580.5</v>
      </c>
      <c r="T55" s="19">
        <v>3281.2</v>
      </c>
      <c r="U55" s="19">
        <v>25892.7</v>
      </c>
    </row>
    <row r="56" spans="1:21" x14ac:dyDescent="0.25">
      <c r="A56" s="5">
        <v>2004</v>
      </c>
      <c r="B56" s="19">
        <v>38815.9</v>
      </c>
      <c r="C56" s="19">
        <v>9204.2999999999993</v>
      </c>
      <c r="D56" s="19">
        <v>182675.1</v>
      </c>
      <c r="E56" s="19">
        <v>16187.3</v>
      </c>
      <c r="F56" s="19">
        <v>41543.199999999997</v>
      </c>
      <c r="G56" s="19">
        <v>4200.1000000000004</v>
      </c>
      <c r="H56" s="19">
        <v>11238.8</v>
      </c>
      <c r="I56" s="19">
        <v>9104.9</v>
      </c>
      <c r="J56" s="19">
        <v>13608.7</v>
      </c>
      <c r="K56" s="19">
        <v>6004.7</v>
      </c>
      <c r="L56" s="19">
        <v>12807.4</v>
      </c>
      <c r="M56" s="19">
        <v>8910.2999999999993</v>
      </c>
      <c r="N56" s="19">
        <v>7299</v>
      </c>
      <c r="O56" s="19">
        <v>104394.1</v>
      </c>
      <c r="P56" s="19">
        <v>5272.9</v>
      </c>
      <c r="Q56" s="19">
        <v>3251.2</v>
      </c>
      <c r="R56" s="19">
        <v>5388.2</v>
      </c>
      <c r="S56" s="19">
        <v>27852.2</v>
      </c>
      <c r="T56" s="19">
        <v>3283.1</v>
      </c>
      <c r="U56" s="19">
        <v>26340.799999999999</v>
      </c>
    </row>
    <row r="57" spans="1:21" x14ac:dyDescent="0.25">
      <c r="A57" s="5">
        <v>2005</v>
      </c>
      <c r="B57" s="19">
        <v>39216.800000000003</v>
      </c>
      <c r="C57" s="19">
        <v>9360.7999999999993</v>
      </c>
      <c r="D57" s="19">
        <v>184688.1</v>
      </c>
      <c r="E57" s="19">
        <v>16348.8</v>
      </c>
      <c r="F57" s="19">
        <v>42129</v>
      </c>
      <c r="G57" s="19">
        <v>4261.2</v>
      </c>
      <c r="H57" s="19">
        <v>11262.6</v>
      </c>
      <c r="I57" s="19">
        <v>9225</v>
      </c>
      <c r="J57" s="19">
        <v>13846.2</v>
      </c>
      <c r="K57" s="19">
        <v>6005.6</v>
      </c>
      <c r="L57" s="19">
        <v>13087.6</v>
      </c>
      <c r="M57" s="19">
        <v>9061.2999999999993</v>
      </c>
      <c r="N57" s="19">
        <v>7478.4</v>
      </c>
      <c r="O57" s="19">
        <v>105811.5</v>
      </c>
      <c r="P57" s="19">
        <v>5342.1</v>
      </c>
      <c r="Q57" s="19">
        <v>3313</v>
      </c>
      <c r="R57" s="19">
        <v>5448.1</v>
      </c>
      <c r="S57" s="19">
        <v>28101.200000000001</v>
      </c>
      <c r="T57" s="19">
        <v>3285.8</v>
      </c>
      <c r="U57" s="19">
        <v>26785.8</v>
      </c>
    </row>
    <row r="58" spans="1:21" x14ac:dyDescent="0.25">
      <c r="A58" s="5">
        <v>2006</v>
      </c>
      <c r="B58" s="19">
        <v>39622.1</v>
      </c>
      <c r="C58" s="19">
        <v>9521.7000000000007</v>
      </c>
      <c r="D58" s="19">
        <v>186653.1</v>
      </c>
      <c r="E58" s="19">
        <v>16509.2</v>
      </c>
      <c r="F58" s="19">
        <v>42691.1</v>
      </c>
      <c r="G58" s="19">
        <v>4321.3</v>
      </c>
      <c r="H58" s="19">
        <v>11278.6</v>
      </c>
      <c r="I58" s="19">
        <v>9341.2000000000007</v>
      </c>
      <c r="J58" s="19">
        <v>14086.1</v>
      </c>
      <c r="K58" s="19">
        <v>6002.3</v>
      </c>
      <c r="L58" s="19">
        <v>13367.5</v>
      </c>
      <c r="M58" s="19">
        <v>9216.6</v>
      </c>
      <c r="N58" s="19">
        <v>7656.8</v>
      </c>
      <c r="O58" s="19">
        <v>107253.7</v>
      </c>
      <c r="P58" s="19">
        <v>5418.9</v>
      </c>
      <c r="Q58" s="19">
        <v>3375</v>
      </c>
      <c r="R58" s="19">
        <v>5505.1</v>
      </c>
      <c r="S58" s="19">
        <v>28324.5</v>
      </c>
      <c r="T58" s="19">
        <v>3289.5</v>
      </c>
      <c r="U58" s="19">
        <v>27224.7</v>
      </c>
    </row>
    <row r="59" spans="1:21" x14ac:dyDescent="0.25">
      <c r="A59" s="5">
        <v>2007</v>
      </c>
      <c r="B59" s="19">
        <v>40016.800000000003</v>
      </c>
      <c r="C59" s="19">
        <v>9686</v>
      </c>
      <c r="D59" s="19">
        <v>188552.3</v>
      </c>
      <c r="E59" s="19">
        <v>16671.599999999999</v>
      </c>
      <c r="F59" s="19">
        <v>43235.4</v>
      </c>
      <c r="G59" s="19">
        <v>4380.2</v>
      </c>
      <c r="H59" s="19">
        <v>11287.3</v>
      </c>
      <c r="I59" s="19">
        <v>9455.7000000000007</v>
      </c>
      <c r="J59" s="19">
        <v>14328.8</v>
      </c>
      <c r="K59" s="19">
        <v>6009.8</v>
      </c>
      <c r="L59" s="19">
        <v>13652</v>
      </c>
      <c r="M59" s="19">
        <v>9373.2999999999993</v>
      </c>
      <c r="N59" s="19">
        <v>7834.8</v>
      </c>
      <c r="O59" s="19">
        <v>108774.39999999999</v>
      </c>
      <c r="P59" s="19">
        <v>5497.2</v>
      </c>
      <c r="Q59" s="19">
        <v>3437.5</v>
      </c>
      <c r="R59" s="19">
        <v>5559.4</v>
      </c>
      <c r="S59" s="19">
        <v>28530.7</v>
      </c>
      <c r="T59" s="19">
        <v>3295.2</v>
      </c>
      <c r="U59" s="19">
        <v>27649.4</v>
      </c>
    </row>
    <row r="60" spans="1:21" x14ac:dyDescent="0.25">
      <c r="A60" s="5">
        <v>2008</v>
      </c>
      <c r="B60" s="19">
        <v>40424.1</v>
      </c>
      <c r="C60" s="19">
        <v>9850.9</v>
      </c>
      <c r="D60" s="19">
        <v>190367.3</v>
      </c>
      <c r="E60" s="19">
        <v>16839</v>
      </c>
      <c r="F60" s="19">
        <v>43758.8</v>
      </c>
      <c r="G60" s="19">
        <v>4440.1000000000004</v>
      </c>
      <c r="H60" s="19">
        <v>11291.8</v>
      </c>
      <c r="I60" s="19">
        <v>9573.1</v>
      </c>
      <c r="J60" s="19">
        <v>14575.2</v>
      </c>
      <c r="K60" s="19">
        <v>6029.3</v>
      </c>
      <c r="L60" s="19">
        <v>13935.2</v>
      </c>
      <c r="M60" s="19">
        <v>9530.7999999999993</v>
      </c>
      <c r="N60" s="19">
        <v>8012.6</v>
      </c>
      <c r="O60" s="19">
        <v>110374.3</v>
      </c>
      <c r="P60" s="19">
        <v>5576.6</v>
      </c>
      <c r="Q60" s="19">
        <v>3500.6</v>
      </c>
      <c r="R60" s="19">
        <v>5613.6</v>
      </c>
      <c r="S60" s="19">
        <v>28719</v>
      </c>
      <c r="T60" s="19">
        <v>3302.2</v>
      </c>
      <c r="U60" s="19">
        <v>28053.7</v>
      </c>
    </row>
    <row r="61" spans="1:21" x14ac:dyDescent="0.25">
      <c r="A61" s="5">
        <v>2009</v>
      </c>
      <c r="B61" s="19">
        <v>40854.800000000003</v>
      </c>
      <c r="C61" s="19">
        <v>10016.299999999999</v>
      </c>
      <c r="D61" s="19">
        <v>192080</v>
      </c>
      <c r="E61" s="19">
        <v>17009.7</v>
      </c>
      <c r="F61" s="19">
        <v>44271.5</v>
      </c>
      <c r="G61" s="19">
        <v>4499.8</v>
      </c>
      <c r="H61" s="19">
        <v>11294.7</v>
      </c>
      <c r="I61" s="19">
        <v>9695.2999999999993</v>
      </c>
      <c r="J61" s="19">
        <v>14826</v>
      </c>
      <c r="K61" s="19">
        <v>6048.3</v>
      </c>
      <c r="L61" s="19">
        <v>14215.6</v>
      </c>
      <c r="M61" s="19">
        <v>9689.6</v>
      </c>
      <c r="N61" s="19">
        <v>8189.9</v>
      </c>
      <c r="O61" s="19">
        <v>111999.7</v>
      </c>
      <c r="P61" s="19">
        <v>5656.6</v>
      </c>
      <c r="Q61" s="19">
        <v>3564.4</v>
      </c>
      <c r="R61" s="19">
        <v>5671.2</v>
      </c>
      <c r="S61" s="19">
        <v>28896.799999999999</v>
      </c>
      <c r="T61" s="19">
        <v>3310.1</v>
      </c>
      <c r="U61" s="19">
        <v>28438.3</v>
      </c>
    </row>
    <row r="62" spans="1:21" x14ac:dyDescent="0.25">
      <c r="A62" s="5">
        <v>2010</v>
      </c>
      <c r="B62" s="19">
        <v>41288.699999999997</v>
      </c>
      <c r="C62" s="19">
        <v>10182.299999999999</v>
      </c>
      <c r="D62" s="19">
        <v>193701.9</v>
      </c>
      <c r="E62" s="19">
        <v>17181.5</v>
      </c>
      <c r="F62" s="19">
        <v>44777.3</v>
      </c>
      <c r="G62" s="19">
        <v>4556</v>
      </c>
      <c r="H62" s="19">
        <v>11297.4</v>
      </c>
      <c r="I62" s="19">
        <v>9820.2000000000007</v>
      </c>
      <c r="J62" s="19">
        <v>15076.7</v>
      </c>
      <c r="K62" s="19">
        <v>6068.2</v>
      </c>
      <c r="L62" s="19">
        <v>14500.1</v>
      </c>
      <c r="M62" s="19">
        <v>9803.2999999999993</v>
      </c>
      <c r="N62" s="19">
        <v>8365.9</v>
      </c>
      <c r="O62" s="19">
        <v>113623.9</v>
      </c>
      <c r="P62" s="19">
        <v>5737.5</v>
      </c>
      <c r="Q62" s="19">
        <v>3628.5</v>
      </c>
      <c r="R62" s="19">
        <v>5738</v>
      </c>
      <c r="S62" s="19">
        <v>29086</v>
      </c>
      <c r="T62" s="19">
        <v>3318.6</v>
      </c>
      <c r="U62" s="19">
        <v>28813.1</v>
      </c>
    </row>
    <row r="63" spans="1:21" x14ac:dyDescent="0.25">
      <c r="A63" s="5">
        <v>2011</v>
      </c>
      <c r="B63" s="19">
        <v>41730.699999999997</v>
      </c>
      <c r="C63" s="19">
        <v>10348.9</v>
      </c>
      <c r="D63" s="19">
        <v>195284.7</v>
      </c>
      <c r="E63" s="19">
        <v>17351.8</v>
      </c>
      <c r="F63" s="19">
        <v>45259.6</v>
      </c>
      <c r="G63" s="19">
        <v>4609.8</v>
      </c>
      <c r="H63" s="19">
        <v>11301.6</v>
      </c>
      <c r="I63" s="19">
        <v>9945.6</v>
      </c>
      <c r="J63" s="19">
        <v>15326.2</v>
      </c>
      <c r="K63" s="19">
        <v>6090.1</v>
      </c>
      <c r="L63" s="19">
        <v>14792.1</v>
      </c>
      <c r="M63" s="19">
        <v>9914.9</v>
      </c>
      <c r="N63" s="19">
        <v>8540.6</v>
      </c>
      <c r="O63" s="19">
        <v>115243.5</v>
      </c>
      <c r="P63" s="19">
        <v>5819.1</v>
      </c>
      <c r="Q63" s="19">
        <v>3693.5</v>
      </c>
      <c r="R63" s="19">
        <v>5814.6</v>
      </c>
      <c r="S63" s="19">
        <v>29304.1</v>
      </c>
      <c r="T63" s="19">
        <v>3326.8</v>
      </c>
      <c r="U63" s="19">
        <v>29185.200000000001</v>
      </c>
    </row>
    <row r="64" spans="1:21" x14ac:dyDescent="0.25">
      <c r="A64" s="5">
        <v>2012</v>
      </c>
      <c r="B64" s="19">
        <v>42161.7</v>
      </c>
      <c r="C64" s="19">
        <v>10515.8</v>
      </c>
      <c r="D64" s="19">
        <v>196876.1</v>
      </c>
      <c r="E64" s="19">
        <v>17519.099999999999</v>
      </c>
      <c r="F64" s="19">
        <v>45715.8</v>
      </c>
      <c r="G64" s="19">
        <v>4663.8999999999996</v>
      </c>
      <c r="H64" s="19">
        <v>11303.2</v>
      </c>
      <c r="I64" s="19">
        <v>10070.4</v>
      </c>
      <c r="J64" s="19">
        <v>15572.2</v>
      </c>
      <c r="K64" s="19">
        <v>6114</v>
      </c>
      <c r="L64" s="19">
        <v>15089.6</v>
      </c>
      <c r="M64" s="19">
        <v>10069.799999999999</v>
      </c>
      <c r="N64" s="19">
        <v>8715.1</v>
      </c>
      <c r="O64" s="19">
        <v>116818.2</v>
      </c>
      <c r="P64" s="19">
        <v>5901.3</v>
      </c>
      <c r="Q64" s="19">
        <v>3759.3</v>
      </c>
      <c r="R64" s="19">
        <v>5897</v>
      </c>
      <c r="S64" s="19">
        <v>29550.400000000001</v>
      </c>
      <c r="T64" s="19">
        <v>3335.4</v>
      </c>
      <c r="U64" s="19">
        <v>29553.8</v>
      </c>
    </row>
    <row r="65" spans="1:21" x14ac:dyDescent="0.25">
      <c r="A65" s="5">
        <v>2013</v>
      </c>
      <c r="B65" s="19">
        <v>42582.5</v>
      </c>
      <c r="C65" s="19">
        <v>10682.6</v>
      </c>
      <c r="D65" s="19">
        <v>198478.3</v>
      </c>
      <c r="E65" s="19">
        <v>17687</v>
      </c>
      <c r="F65" s="19">
        <v>46151.6</v>
      </c>
      <c r="G65" s="19">
        <v>4716.1000000000004</v>
      </c>
      <c r="H65" s="19">
        <v>11298.2</v>
      </c>
      <c r="I65" s="19">
        <v>10193.799999999999</v>
      </c>
      <c r="J65" s="19">
        <v>15807.1</v>
      </c>
      <c r="K65" s="19">
        <v>6138.8</v>
      </c>
      <c r="L65" s="19">
        <v>15387.3</v>
      </c>
      <c r="M65" s="19">
        <v>10222.4</v>
      </c>
      <c r="N65" s="19">
        <v>8889.2999999999993</v>
      </c>
      <c r="O65" s="19">
        <v>118343.6</v>
      </c>
      <c r="P65" s="19">
        <v>5983.8</v>
      </c>
      <c r="Q65" s="19">
        <v>3825.3</v>
      </c>
      <c r="R65" s="19">
        <v>5982.4</v>
      </c>
      <c r="S65" s="19">
        <v>29817.9</v>
      </c>
      <c r="T65" s="19">
        <v>3345.3</v>
      </c>
      <c r="U65" s="19">
        <v>29912.2</v>
      </c>
    </row>
    <row r="66" spans="1:21" x14ac:dyDescent="0.25">
      <c r="A66" s="5">
        <v>2014</v>
      </c>
      <c r="B66" s="19">
        <v>43024.1</v>
      </c>
      <c r="C66" s="19">
        <v>10848.9</v>
      </c>
      <c r="D66" s="19">
        <v>200085.1</v>
      </c>
      <c r="E66" s="19">
        <v>17864.2</v>
      </c>
      <c r="F66" s="19">
        <v>46565.4</v>
      </c>
      <c r="G66" s="19">
        <v>4767.1000000000004</v>
      </c>
      <c r="H66" s="19">
        <v>11285.8</v>
      </c>
      <c r="I66" s="19">
        <v>10315.5</v>
      </c>
      <c r="J66" s="19">
        <v>16035.1</v>
      </c>
      <c r="K66" s="19">
        <v>6163</v>
      </c>
      <c r="L66" s="19">
        <v>15681.7</v>
      </c>
      <c r="M66" s="19">
        <v>10373.200000000001</v>
      </c>
      <c r="N66" s="19">
        <v>9063.1</v>
      </c>
      <c r="O66" s="19">
        <v>119784.3</v>
      </c>
      <c r="P66" s="19">
        <v>6066.5</v>
      </c>
      <c r="Q66" s="19">
        <v>3892.1</v>
      </c>
      <c r="R66" s="19">
        <v>6069.8</v>
      </c>
      <c r="S66" s="19">
        <v>30115.8</v>
      </c>
      <c r="T66" s="19">
        <v>3356.3</v>
      </c>
      <c r="U66" s="19">
        <v>30254.1</v>
      </c>
    </row>
    <row r="67" spans="1:21" x14ac:dyDescent="0.25">
      <c r="A67" s="5">
        <v>2015</v>
      </c>
      <c r="B67" s="19">
        <v>43477</v>
      </c>
      <c r="C67" s="19">
        <v>11014.7</v>
      </c>
      <c r="D67" s="19">
        <v>201675.5</v>
      </c>
      <c r="E67" s="19">
        <v>18047.599999999999</v>
      </c>
      <c r="F67" s="19">
        <v>46969.9</v>
      </c>
      <c r="G67" s="19">
        <v>4818</v>
      </c>
      <c r="H67" s="19">
        <v>11275.1</v>
      </c>
      <c r="I67" s="19">
        <v>10434.799999999999</v>
      </c>
      <c r="J67" s="19">
        <v>16266.2</v>
      </c>
      <c r="K67" s="19">
        <v>6183.7</v>
      </c>
      <c r="L67" s="19">
        <v>15971.7</v>
      </c>
      <c r="M67" s="19">
        <v>10523.2</v>
      </c>
      <c r="N67" s="19">
        <v>9237.2999999999993</v>
      </c>
      <c r="O67" s="19">
        <v>121072.3</v>
      </c>
      <c r="P67" s="19">
        <v>6149.4</v>
      </c>
      <c r="Q67" s="19">
        <v>3960</v>
      </c>
      <c r="R67" s="19">
        <v>6159.1</v>
      </c>
      <c r="S67" s="19">
        <v>30457.599999999999</v>
      </c>
      <c r="T67" s="19">
        <v>3368</v>
      </c>
      <c r="U67" s="19">
        <v>30574</v>
      </c>
    </row>
    <row r="68" spans="1:21" x14ac:dyDescent="0.25">
      <c r="A68" s="5">
        <v>2016</v>
      </c>
      <c r="B68" s="19">
        <v>43900.3</v>
      </c>
      <c r="C68" s="19">
        <v>11180</v>
      </c>
      <c r="D68" s="19">
        <v>203218.1</v>
      </c>
      <c r="E68" s="19">
        <v>18267.2</v>
      </c>
      <c r="F68" s="19">
        <v>47437.5</v>
      </c>
      <c r="G68" s="19">
        <v>4867</v>
      </c>
      <c r="H68" s="19">
        <v>11265.6</v>
      </c>
      <c r="I68" s="19">
        <v>10551.4</v>
      </c>
      <c r="J68" s="19">
        <v>16505.099999999999</v>
      </c>
      <c r="K68" s="19">
        <v>6200.8</v>
      </c>
      <c r="L68" s="19">
        <v>16268.8</v>
      </c>
      <c r="M68" s="19">
        <v>10671.5</v>
      </c>
      <c r="N68" s="19">
        <v>9412.4</v>
      </c>
      <c r="O68" s="19">
        <v>122251.4</v>
      </c>
      <c r="P68" s="19">
        <v>6232.7</v>
      </c>
      <c r="Q68" s="19">
        <v>4029.1</v>
      </c>
      <c r="R68" s="19">
        <v>6249.1</v>
      </c>
      <c r="S68" s="19">
        <v>30866.5</v>
      </c>
      <c r="T68" s="19">
        <v>3379.3</v>
      </c>
      <c r="U68" s="19">
        <v>30765.7</v>
      </c>
    </row>
    <row r="69" spans="1:21" x14ac:dyDescent="0.25">
      <c r="A69" s="5">
        <v>2017</v>
      </c>
      <c r="B69" s="19">
        <v>44288.9</v>
      </c>
      <c r="C69" s="19">
        <v>11344.6</v>
      </c>
      <c r="D69" s="19">
        <v>204703.4</v>
      </c>
      <c r="E69" s="19">
        <v>18558.900000000001</v>
      </c>
      <c r="F69" s="19">
        <v>48131.1</v>
      </c>
      <c r="G69" s="19">
        <v>4913.2</v>
      </c>
      <c r="H69" s="19">
        <v>11247.8</v>
      </c>
      <c r="I69" s="19">
        <v>10666.8</v>
      </c>
      <c r="J69" s="19">
        <v>16759.5</v>
      </c>
      <c r="K69" s="19">
        <v>6213.5</v>
      </c>
      <c r="L69" s="19">
        <v>16567.400000000001</v>
      </c>
      <c r="M69" s="19">
        <v>10817.8</v>
      </c>
      <c r="N69" s="19">
        <v>9588.1</v>
      </c>
      <c r="O69" s="19">
        <v>123400.1</v>
      </c>
      <c r="P69" s="19">
        <v>6316.2</v>
      </c>
      <c r="Q69" s="19">
        <v>4098.7</v>
      </c>
      <c r="R69" s="19">
        <v>6338.7</v>
      </c>
      <c r="S69" s="19">
        <v>31324.6</v>
      </c>
      <c r="T69" s="19">
        <v>3388.4</v>
      </c>
      <c r="U69" s="19">
        <v>30565.3</v>
      </c>
    </row>
    <row r="70" spans="1:21" x14ac:dyDescent="0.25">
      <c r="A70" s="5">
        <v>2018</v>
      </c>
      <c r="B70" s="19">
        <v>44654.9</v>
      </c>
      <c r="C70" s="19">
        <v>11508.4</v>
      </c>
      <c r="D70" s="19">
        <v>206107.3</v>
      </c>
      <c r="E70" s="19">
        <v>18893.2</v>
      </c>
      <c r="F70" s="19">
        <v>49024.5</v>
      </c>
      <c r="G70" s="19">
        <v>4957.8</v>
      </c>
      <c r="H70" s="19">
        <v>11227.1</v>
      </c>
      <c r="I70" s="19">
        <v>10782.1</v>
      </c>
      <c r="J70" s="19">
        <v>17049.5</v>
      </c>
      <c r="K70" s="19">
        <v>6219.8</v>
      </c>
      <c r="L70" s="19">
        <v>16845.7</v>
      </c>
      <c r="M70" s="19">
        <v>10962.4</v>
      </c>
      <c r="N70" s="19">
        <v>9765.2000000000007</v>
      </c>
      <c r="O70" s="19">
        <v>124573.7</v>
      </c>
      <c r="P70" s="19">
        <v>6400.1</v>
      </c>
      <c r="Q70" s="19">
        <v>4167.8999999999996</v>
      </c>
      <c r="R70" s="19">
        <v>6427.4</v>
      </c>
      <c r="S70" s="19">
        <v>31897.599999999999</v>
      </c>
      <c r="T70" s="19">
        <v>3394.5</v>
      </c>
      <c r="U70" s="19">
        <v>29807.599999999999</v>
      </c>
    </row>
    <row r="71" spans="1:21" x14ac:dyDescent="0.25">
      <c r="A71" s="5">
        <v>2019</v>
      </c>
      <c r="B71" s="19">
        <v>44973.5</v>
      </c>
      <c r="C71" s="19">
        <v>11671.4</v>
      </c>
      <c r="D71" s="19">
        <v>207455.5</v>
      </c>
      <c r="E71" s="19">
        <v>19197.7</v>
      </c>
      <c r="F71" s="19">
        <v>49908</v>
      </c>
      <c r="G71" s="19">
        <v>4999.6000000000004</v>
      </c>
      <c r="H71" s="19">
        <v>11202.8</v>
      </c>
      <c r="I71" s="19">
        <v>10894</v>
      </c>
      <c r="J71" s="19">
        <v>17340</v>
      </c>
      <c r="K71" s="19">
        <v>6222.3</v>
      </c>
      <c r="L71" s="19">
        <v>17103.8</v>
      </c>
      <c r="M71" s="19">
        <v>11105.2</v>
      </c>
      <c r="N71" s="19">
        <v>9943.6</v>
      </c>
      <c r="O71" s="19">
        <v>125763</v>
      </c>
      <c r="P71" s="19">
        <v>6483.7</v>
      </c>
      <c r="Q71" s="19">
        <v>4234.7</v>
      </c>
      <c r="R71" s="19">
        <v>6515.1</v>
      </c>
      <c r="S71" s="19">
        <v>32449.3</v>
      </c>
      <c r="T71" s="19">
        <v>3397.2</v>
      </c>
      <c r="U71" s="19">
        <v>28938.1</v>
      </c>
    </row>
    <row r="72" spans="1:21" x14ac:dyDescent="0.25">
      <c r="A72" s="5">
        <v>2020</v>
      </c>
      <c r="B72" s="19">
        <v>45192</v>
      </c>
      <c r="C72" s="19">
        <v>11816.3</v>
      </c>
      <c r="D72" s="19">
        <v>208660.8</v>
      </c>
      <c r="E72" s="19">
        <v>19370.599999999999</v>
      </c>
      <c r="F72" s="19">
        <v>50630</v>
      </c>
      <c r="G72" s="19">
        <v>5034.3</v>
      </c>
      <c r="H72" s="19">
        <v>11176.4</v>
      </c>
      <c r="I72" s="19">
        <v>11008.3</v>
      </c>
      <c r="J72" s="19">
        <v>17546.099999999999</v>
      </c>
      <c r="K72" s="19">
        <v>6234.7</v>
      </c>
      <c r="L72" s="19">
        <v>17357.3</v>
      </c>
      <c r="M72" s="19">
        <v>11243.8</v>
      </c>
      <c r="N72" s="19">
        <v>10119.6</v>
      </c>
      <c r="O72" s="19">
        <v>126799.1</v>
      </c>
      <c r="P72" s="19">
        <v>6565.3</v>
      </c>
      <c r="Q72" s="19">
        <v>4293.3</v>
      </c>
      <c r="R72" s="19">
        <v>6603.7</v>
      </c>
      <c r="S72" s="19">
        <v>32838.6</v>
      </c>
      <c r="T72" s="19">
        <v>3399</v>
      </c>
      <c r="U72" s="19">
        <v>28444.1</v>
      </c>
    </row>
    <row r="73" spans="1:21" x14ac:dyDescent="0.25">
      <c r="A73" s="5">
        <v>2021</v>
      </c>
      <c r="B73" s="19">
        <v>45312.3</v>
      </c>
      <c r="C73" s="19">
        <v>11937.4</v>
      </c>
      <c r="D73" s="19">
        <v>209550.3</v>
      </c>
      <c r="E73" s="19">
        <v>19456.3</v>
      </c>
      <c r="F73" s="19">
        <v>51188.2</v>
      </c>
      <c r="G73" s="19">
        <v>5060</v>
      </c>
      <c r="H73" s="19">
        <v>11122.2</v>
      </c>
      <c r="I73" s="19">
        <v>11123.5</v>
      </c>
      <c r="J73" s="19">
        <v>17682.5</v>
      </c>
      <c r="K73" s="19">
        <v>6255.8</v>
      </c>
      <c r="L73" s="19">
        <v>17598.7</v>
      </c>
      <c r="M73" s="19">
        <v>11374.6</v>
      </c>
      <c r="N73" s="19">
        <v>10289.9</v>
      </c>
      <c r="O73" s="19">
        <v>127648.1</v>
      </c>
      <c r="P73" s="19">
        <v>6644.7</v>
      </c>
      <c r="Q73" s="19">
        <v>4345.3999999999996</v>
      </c>
      <c r="R73" s="19">
        <v>6684.2</v>
      </c>
      <c r="S73" s="19">
        <v>33155.9</v>
      </c>
      <c r="T73" s="19">
        <v>3396.7</v>
      </c>
      <c r="U73" s="19">
        <v>28237.8</v>
      </c>
    </row>
    <row r="74" spans="1:21" x14ac:dyDescent="0.25">
      <c r="A74" s="5">
        <v>2022</v>
      </c>
      <c r="B74" s="19">
        <v>45407.9</v>
      </c>
      <c r="C74" s="19">
        <v>12077.2</v>
      </c>
      <c r="D74" s="19">
        <v>210306.4</v>
      </c>
      <c r="E74" s="19">
        <v>19553</v>
      </c>
      <c r="F74" s="19">
        <v>51737.9</v>
      </c>
      <c r="G74" s="19">
        <v>5081.8</v>
      </c>
      <c r="H74" s="19">
        <v>11059.8</v>
      </c>
      <c r="I74" s="19">
        <v>11230.7</v>
      </c>
      <c r="J74" s="19">
        <v>17823.900000000001</v>
      </c>
      <c r="K74" s="19">
        <v>6280.3</v>
      </c>
      <c r="L74" s="19">
        <v>17847.900000000001</v>
      </c>
      <c r="M74" s="19">
        <v>11503.6</v>
      </c>
      <c r="N74" s="19">
        <v>10463.9</v>
      </c>
      <c r="O74" s="19">
        <v>128613.1</v>
      </c>
      <c r="P74" s="19">
        <v>6730.7</v>
      </c>
      <c r="Q74" s="19">
        <v>4400.8</v>
      </c>
      <c r="R74" s="19">
        <v>6760.5</v>
      </c>
      <c r="S74" s="19">
        <v>33475.4</v>
      </c>
      <c r="T74" s="19">
        <v>3390.9</v>
      </c>
      <c r="U74" s="19">
        <v>28213</v>
      </c>
    </row>
    <row r="75" spans="1:21" x14ac:dyDescent="0.25">
      <c r="A75" s="5">
        <v>2023</v>
      </c>
      <c r="B75" s="19">
        <v>45538.400000000001</v>
      </c>
      <c r="C75" s="19">
        <v>12244.2</v>
      </c>
      <c r="D75" s="19">
        <v>211140.7</v>
      </c>
      <c r="E75" s="19">
        <v>19658.8</v>
      </c>
      <c r="F75" s="19">
        <v>52321.2</v>
      </c>
      <c r="G75" s="19">
        <v>5105.5</v>
      </c>
      <c r="H75" s="19">
        <v>11019.9</v>
      </c>
      <c r="I75" s="19">
        <v>11331.3</v>
      </c>
      <c r="J75" s="19">
        <v>17980.099999999999</v>
      </c>
      <c r="K75" s="19">
        <v>6309.6</v>
      </c>
      <c r="L75" s="19">
        <v>18124.8</v>
      </c>
      <c r="M75" s="19">
        <v>11637.4</v>
      </c>
      <c r="N75" s="19">
        <v>10644.9</v>
      </c>
      <c r="O75" s="19">
        <v>129739.8</v>
      </c>
      <c r="P75" s="19">
        <v>6823.6</v>
      </c>
      <c r="Q75" s="19">
        <v>4458.8</v>
      </c>
      <c r="R75" s="19">
        <v>6844.1</v>
      </c>
      <c r="S75" s="19">
        <v>33845.599999999999</v>
      </c>
      <c r="T75" s="19">
        <v>3388.1</v>
      </c>
      <c r="U75" s="19">
        <v>28300.9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81F21-8DC3-4F61-B48F-D475F63B9BA1}">
  <dimension ref="A1:U125"/>
  <sheetViews>
    <sheetView workbookViewId="0">
      <selection activeCell="AD20" sqref="AD20"/>
    </sheetView>
  </sheetViews>
  <sheetFormatPr defaultRowHeight="15" x14ac:dyDescent="0.25"/>
  <cols>
    <col min="1" max="1" width="4.7109375" style="5" bestFit="1" customWidth="1"/>
    <col min="2" max="2" width="9.7109375" bestFit="1" customWidth="1"/>
    <col min="3" max="3" width="8" bestFit="1" customWidth="1"/>
    <col min="4" max="4" width="8.85546875" bestFit="1" customWidth="1"/>
    <col min="5" max="5" width="6.140625" bestFit="1" customWidth="1"/>
    <col min="6" max="6" width="9.42578125" bestFit="1" customWidth="1"/>
    <col min="7" max="7" width="10" bestFit="1" customWidth="1"/>
    <col min="8" max="8" width="6.140625" bestFit="1" customWidth="1"/>
    <col min="9" max="9" width="25" bestFit="1" customWidth="1"/>
    <col min="10" max="10" width="8" bestFit="1" customWidth="1"/>
    <col min="11" max="11" width="13.7109375" bestFit="1" customWidth="1"/>
    <col min="12" max="12" width="9.7109375" bestFit="1" customWidth="1"/>
    <col min="13" max="13" width="6.140625" bestFit="1" customWidth="1"/>
    <col min="14" max="14" width="8.5703125" bestFit="1" customWidth="1"/>
    <col min="15" max="15" width="8.140625" bestFit="1" customWidth="1"/>
    <col min="16" max="16" width="9.42578125" bestFit="1" customWidth="1"/>
    <col min="17" max="17" width="7.28515625" bestFit="1" customWidth="1"/>
    <col min="18" max="18" width="8.5703125" bestFit="1" customWidth="1"/>
    <col min="19" max="19" width="6.140625" bestFit="1" customWidth="1"/>
    <col min="20" max="20" width="7.42578125" bestFit="1" customWidth="1"/>
    <col min="21" max="21" width="11" bestFit="1" customWidth="1"/>
  </cols>
  <sheetData>
    <row r="1" spans="1:21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</row>
    <row r="2" spans="1:21" x14ac:dyDescent="0.25">
      <c r="A2" s="5">
        <v>1900</v>
      </c>
      <c r="B2" s="7">
        <v>4607</v>
      </c>
      <c r="C2" s="7">
        <v>1766</v>
      </c>
      <c r="D2" s="7">
        <v>17984</v>
      </c>
      <c r="E2" s="7">
        <v>2959</v>
      </c>
      <c r="F2" s="7">
        <v>3894</v>
      </c>
      <c r="G2" s="7">
        <v>307</v>
      </c>
      <c r="H2" s="7">
        <v>1600</v>
      </c>
      <c r="I2" s="7">
        <v>600</v>
      </c>
      <c r="J2" s="7">
        <v>1300</v>
      </c>
      <c r="K2" s="7">
        <v>801</v>
      </c>
      <c r="L2" s="7">
        <v>885</v>
      </c>
      <c r="M2" s="7">
        <v>1250</v>
      </c>
      <c r="N2" s="7">
        <v>420</v>
      </c>
      <c r="O2" s="7">
        <v>13607</v>
      </c>
      <c r="P2" s="7">
        <v>420</v>
      </c>
      <c r="Q2" s="7">
        <v>263</v>
      </c>
      <c r="R2" s="7">
        <v>490</v>
      </c>
      <c r="S2" s="7">
        <v>3000</v>
      </c>
      <c r="T2" s="7">
        <v>963</v>
      </c>
      <c r="U2" s="7">
        <v>2445</v>
      </c>
    </row>
    <row r="3" spans="1:21" x14ac:dyDescent="0.25">
      <c r="A3" s="5">
        <v>1901</v>
      </c>
      <c r="B3" s="7">
        <v>4741</v>
      </c>
      <c r="C3" s="7">
        <v>1785</v>
      </c>
      <c r="D3" s="7">
        <v>18392</v>
      </c>
      <c r="E3" s="7">
        <v>2994</v>
      </c>
      <c r="F3" s="7">
        <v>3944</v>
      </c>
      <c r="G3" s="7">
        <v>313</v>
      </c>
      <c r="H3" s="7">
        <v>1679</v>
      </c>
      <c r="I3" s="7">
        <v>614</v>
      </c>
      <c r="J3" s="7">
        <v>1312</v>
      </c>
      <c r="K3" s="7">
        <v>819</v>
      </c>
      <c r="L3" s="7">
        <v>910</v>
      </c>
      <c r="M3" s="7">
        <v>1294</v>
      </c>
      <c r="N3" s="7">
        <v>436</v>
      </c>
      <c r="O3" s="7">
        <v>13755</v>
      </c>
      <c r="P3" s="7">
        <v>434</v>
      </c>
      <c r="Q3" s="7">
        <v>270</v>
      </c>
      <c r="R3" s="7">
        <v>506</v>
      </c>
      <c r="S3" s="7">
        <v>3100</v>
      </c>
      <c r="T3" s="7">
        <v>965</v>
      </c>
      <c r="U3" s="7">
        <v>2451</v>
      </c>
    </row>
    <row r="4" spans="1:21" x14ac:dyDescent="0.25">
      <c r="A4" s="5">
        <v>1902</v>
      </c>
      <c r="B4" s="7">
        <v>4872</v>
      </c>
      <c r="C4" s="7">
        <v>1803</v>
      </c>
      <c r="D4" s="7">
        <v>18782</v>
      </c>
      <c r="E4" s="7">
        <v>3030</v>
      </c>
      <c r="F4" s="7">
        <v>3994</v>
      </c>
      <c r="G4" s="7">
        <v>318</v>
      </c>
      <c r="H4" s="7">
        <v>1758</v>
      </c>
      <c r="I4" s="7">
        <v>628</v>
      </c>
      <c r="J4" s="7">
        <v>1324</v>
      </c>
      <c r="K4" s="7">
        <v>838</v>
      </c>
      <c r="L4" s="7">
        <v>936</v>
      </c>
      <c r="M4" s="7">
        <v>1338</v>
      </c>
      <c r="N4" s="7">
        <v>452</v>
      </c>
      <c r="O4" s="7">
        <v>13905</v>
      </c>
      <c r="P4" s="7">
        <v>448</v>
      </c>
      <c r="Q4" s="7">
        <v>276</v>
      </c>
      <c r="R4" s="7">
        <v>522</v>
      </c>
      <c r="S4" s="7">
        <v>3200</v>
      </c>
      <c r="T4" s="7">
        <v>990</v>
      </c>
      <c r="U4" s="7">
        <v>2458</v>
      </c>
    </row>
    <row r="5" spans="1:21" x14ac:dyDescent="0.25">
      <c r="A5" s="5">
        <v>1903</v>
      </c>
      <c r="B5" s="7">
        <v>4976</v>
      </c>
      <c r="C5" s="7">
        <v>1822</v>
      </c>
      <c r="D5" s="7">
        <v>19180</v>
      </c>
      <c r="E5" s="7">
        <v>3066</v>
      </c>
      <c r="F5" s="7">
        <v>4044</v>
      </c>
      <c r="G5" s="7">
        <v>324</v>
      </c>
      <c r="H5" s="7">
        <v>1837</v>
      </c>
      <c r="I5" s="7">
        <v>642</v>
      </c>
      <c r="J5" s="7">
        <v>1336</v>
      </c>
      <c r="K5" s="7">
        <v>856</v>
      </c>
      <c r="L5" s="7">
        <v>961</v>
      </c>
      <c r="M5" s="7">
        <v>1381</v>
      </c>
      <c r="N5" s="7">
        <v>468</v>
      </c>
      <c r="O5" s="7">
        <v>14065</v>
      </c>
      <c r="P5" s="7">
        <v>462</v>
      </c>
      <c r="Q5" s="7">
        <v>283</v>
      </c>
      <c r="R5" s="7">
        <v>539</v>
      </c>
      <c r="S5" s="7">
        <v>3300</v>
      </c>
      <c r="T5" s="7">
        <v>1019</v>
      </c>
      <c r="U5" s="7">
        <v>2465</v>
      </c>
    </row>
    <row r="6" spans="1:21" x14ac:dyDescent="0.25">
      <c r="A6" s="5">
        <v>1904</v>
      </c>
      <c r="B6" s="7">
        <v>5104</v>
      </c>
      <c r="C6" s="7">
        <v>1840</v>
      </c>
      <c r="D6" s="7">
        <v>19587</v>
      </c>
      <c r="E6" s="7">
        <v>3102</v>
      </c>
      <c r="F6" s="7">
        <v>4094</v>
      </c>
      <c r="G6" s="7">
        <v>330</v>
      </c>
      <c r="H6" s="7">
        <v>1879</v>
      </c>
      <c r="I6" s="7">
        <v>656</v>
      </c>
      <c r="J6" s="7">
        <v>1348</v>
      </c>
      <c r="K6" s="7">
        <v>874</v>
      </c>
      <c r="L6" s="7">
        <v>987</v>
      </c>
      <c r="M6" s="7">
        <v>1425</v>
      </c>
      <c r="N6" s="7">
        <v>484</v>
      </c>
      <c r="O6" s="7">
        <v>14208</v>
      </c>
      <c r="P6" s="7">
        <v>477</v>
      </c>
      <c r="Q6" s="7">
        <v>290</v>
      </c>
      <c r="R6" s="7">
        <v>555</v>
      </c>
      <c r="S6" s="7">
        <v>3400</v>
      </c>
      <c r="T6" s="7">
        <v>1038</v>
      </c>
      <c r="U6" s="7">
        <v>2471</v>
      </c>
    </row>
    <row r="7" spans="1:21" x14ac:dyDescent="0.25">
      <c r="A7" s="5">
        <v>1905</v>
      </c>
      <c r="B7" s="7">
        <v>5290</v>
      </c>
      <c r="C7" s="7">
        <v>1859</v>
      </c>
      <c r="D7" s="7">
        <v>20003</v>
      </c>
      <c r="E7" s="7">
        <v>3139</v>
      </c>
      <c r="F7" s="7">
        <v>4144</v>
      </c>
      <c r="G7" s="7">
        <v>336</v>
      </c>
      <c r="H7" s="7">
        <v>1927</v>
      </c>
      <c r="I7" s="7">
        <v>670</v>
      </c>
      <c r="J7" s="7">
        <v>1360</v>
      </c>
      <c r="K7" s="7">
        <v>893</v>
      </c>
      <c r="L7" s="7">
        <v>1013</v>
      </c>
      <c r="M7" s="7">
        <v>1468</v>
      </c>
      <c r="N7" s="7">
        <v>500</v>
      </c>
      <c r="O7" s="7">
        <v>14363</v>
      </c>
      <c r="P7" s="7">
        <v>491</v>
      </c>
      <c r="Q7" s="7">
        <v>297</v>
      </c>
      <c r="R7" s="7">
        <v>571</v>
      </c>
      <c r="S7" s="7">
        <v>3500</v>
      </c>
      <c r="T7" s="7">
        <v>1071</v>
      </c>
      <c r="U7" s="7">
        <v>2492</v>
      </c>
    </row>
    <row r="8" spans="1:21" x14ac:dyDescent="0.25">
      <c r="A8" s="5">
        <v>1906</v>
      </c>
      <c r="B8" s="7">
        <v>5524</v>
      </c>
      <c r="C8" s="7">
        <v>1877</v>
      </c>
      <c r="D8" s="7">
        <v>20427</v>
      </c>
      <c r="E8" s="7">
        <v>3176</v>
      </c>
      <c r="F8" s="7">
        <v>4277</v>
      </c>
      <c r="G8" s="7">
        <v>341</v>
      </c>
      <c r="H8" s="7">
        <v>1979</v>
      </c>
      <c r="I8" s="7">
        <v>684</v>
      </c>
      <c r="J8" s="7">
        <v>1372</v>
      </c>
      <c r="K8" s="7">
        <v>911</v>
      </c>
      <c r="L8" s="7">
        <v>1029</v>
      </c>
      <c r="M8" s="7">
        <v>1512</v>
      </c>
      <c r="N8" s="7">
        <v>511</v>
      </c>
      <c r="O8" s="7">
        <v>14519</v>
      </c>
      <c r="P8" s="7">
        <v>505</v>
      </c>
      <c r="Q8" s="7">
        <v>304</v>
      </c>
      <c r="R8" s="7">
        <v>580</v>
      </c>
      <c r="S8" s="7">
        <v>3600</v>
      </c>
      <c r="T8" s="7">
        <v>1103</v>
      </c>
      <c r="U8" s="7">
        <v>2512</v>
      </c>
    </row>
    <row r="9" spans="1:21" x14ac:dyDescent="0.25">
      <c r="A9" s="5">
        <v>1907</v>
      </c>
      <c r="B9" s="7">
        <v>5822</v>
      </c>
      <c r="C9" s="7">
        <v>1896</v>
      </c>
      <c r="D9" s="7">
        <v>20860</v>
      </c>
      <c r="E9" s="7">
        <v>3213</v>
      </c>
      <c r="F9" s="7">
        <v>4409</v>
      </c>
      <c r="G9" s="7">
        <v>347</v>
      </c>
      <c r="H9" s="7">
        <v>2034</v>
      </c>
      <c r="I9" s="7">
        <v>698</v>
      </c>
      <c r="J9" s="7">
        <v>1384</v>
      </c>
      <c r="K9" s="7">
        <v>929</v>
      </c>
      <c r="L9" s="7">
        <v>1046</v>
      </c>
      <c r="M9" s="7">
        <v>1555</v>
      </c>
      <c r="N9" s="7">
        <v>521</v>
      </c>
      <c r="O9" s="7">
        <v>14677</v>
      </c>
      <c r="P9" s="7">
        <v>515</v>
      </c>
      <c r="Q9" s="7">
        <v>311</v>
      </c>
      <c r="R9" s="7">
        <v>590</v>
      </c>
      <c r="S9" s="7">
        <v>3700</v>
      </c>
      <c r="T9" s="7">
        <v>1141</v>
      </c>
      <c r="U9" s="7">
        <v>2532</v>
      </c>
    </row>
    <row r="10" spans="1:21" x14ac:dyDescent="0.25">
      <c r="A10" s="5">
        <v>1908</v>
      </c>
      <c r="B10" s="7">
        <v>6145</v>
      </c>
      <c r="C10" s="7">
        <v>1914</v>
      </c>
      <c r="D10" s="7">
        <v>21303</v>
      </c>
      <c r="E10" s="7">
        <v>3253</v>
      </c>
      <c r="F10" s="7">
        <v>4542</v>
      </c>
      <c r="G10" s="7">
        <v>353</v>
      </c>
      <c r="H10" s="7">
        <v>2092</v>
      </c>
      <c r="I10" s="7">
        <v>712</v>
      </c>
      <c r="J10" s="7">
        <v>1396</v>
      </c>
      <c r="K10" s="7">
        <v>948</v>
      </c>
      <c r="L10" s="7">
        <v>1062</v>
      </c>
      <c r="M10" s="7">
        <v>1559</v>
      </c>
      <c r="N10" s="7">
        <v>532</v>
      </c>
      <c r="O10" s="7">
        <v>14836</v>
      </c>
      <c r="P10" s="7">
        <v>524</v>
      </c>
      <c r="Q10" s="7">
        <v>318</v>
      </c>
      <c r="R10" s="7">
        <v>600</v>
      </c>
      <c r="S10" s="7">
        <v>3800</v>
      </c>
      <c r="T10" s="7">
        <v>1054</v>
      </c>
      <c r="U10" s="7">
        <v>2554</v>
      </c>
    </row>
    <row r="11" spans="1:21" x14ac:dyDescent="0.25">
      <c r="A11" s="5">
        <v>1909</v>
      </c>
      <c r="B11" s="7">
        <v>6432</v>
      </c>
      <c r="C11" s="7">
        <v>1933</v>
      </c>
      <c r="D11" s="7">
        <v>21754</v>
      </c>
      <c r="E11" s="7">
        <v>3294</v>
      </c>
      <c r="F11" s="7">
        <v>4674</v>
      </c>
      <c r="G11" s="7">
        <v>358</v>
      </c>
      <c r="H11" s="7">
        <v>2154</v>
      </c>
      <c r="I11" s="7">
        <v>726</v>
      </c>
      <c r="J11" s="7">
        <v>1408</v>
      </c>
      <c r="K11" s="7">
        <v>966</v>
      </c>
      <c r="L11" s="7">
        <v>1079</v>
      </c>
      <c r="M11" s="7">
        <v>1643</v>
      </c>
      <c r="N11" s="7">
        <v>542</v>
      </c>
      <c r="O11" s="7">
        <v>14997</v>
      </c>
      <c r="P11" s="7">
        <v>534</v>
      </c>
      <c r="Q11" s="7">
        <v>325</v>
      </c>
      <c r="R11" s="7">
        <v>610</v>
      </c>
      <c r="S11" s="7">
        <v>3900</v>
      </c>
      <c r="T11" s="7">
        <v>1095</v>
      </c>
      <c r="U11" s="7">
        <v>2575</v>
      </c>
    </row>
    <row r="12" spans="1:21" x14ac:dyDescent="0.25">
      <c r="A12" s="5">
        <v>1910</v>
      </c>
      <c r="B12" s="7">
        <v>6799</v>
      </c>
      <c r="C12" s="7">
        <v>1951</v>
      </c>
      <c r="D12" s="7">
        <v>22216</v>
      </c>
      <c r="E12" s="7">
        <v>3336</v>
      </c>
      <c r="F12" s="7">
        <v>4807</v>
      </c>
      <c r="G12" s="7">
        <v>364</v>
      </c>
      <c r="H12" s="7">
        <v>2219</v>
      </c>
      <c r="I12" s="7">
        <v>740</v>
      </c>
      <c r="J12" s="7">
        <v>1421</v>
      </c>
      <c r="K12" s="7">
        <v>985</v>
      </c>
      <c r="L12" s="7">
        <v>1096</v>
      </c>
      <c r="M12" s="7">
        <v>1687</v>
      </c>
      <c r="N12" s="7">
        <v>553</v>
      </c>
      <c r="O12" s="7">
        <v>15160</v>
      </c>
      <c r="P12" s="7">
        <v>543</v>
      </c>
      <c r="Q12" s="7">
        <v>332</v>
      </c>
      <c r="R12" s="7">
        <v>620</v>
      </c>
      <c r="S12" s="7">
        <v>4000</v>
      </c>
      <c r="T12" s="7">
        <v>1132</v>
      </c>
      <c r="U12" s="7">
        <v>2596</v>
      </c>
    </row>
    <row r="13" spans="1:21" x14ac:dyDescent="0.25">
      <c r="A13" s="5">
        <v>1911</v>
      </c>
      <c r="B13" s="7">
        <v>7070</v>
      </c>
      <c r="C13" s="7">
        <v>1970</v>
      </c>
      <c r="D13" s="7">
        <v>22687</v>
      </c>
      <c r="E13" s="7">
        <v>3378</v>
      </c>
      <c r="F13" s="7">
        <v>4940</v>
      </c>
      <c r="G13" s="7">
        <v>370</v>
      </c>
      <c r="H13" s="7">
        <v>2287</v>
      </c>
      <c r="I13" s="7">
        <v>753</v>
      </c>
      <c r="J13" s="7">
        <v>1433</v>
      </c>
      <c r="K13" s="7">
        <v>1003</v>
      </c>
      <c r="L13" s="7">
        <v>1119</v>
      </c>
      <c r="M13" s="7">
        <v>1730</v>
      </c>
      <c r="N13" s="7">
        <v>562</v>
      </c>
      <c r="O13" s="7">
        <v>15333</v>
      </c>
      <c r="P13" s="7">
        <v>553</v>
      </c>
      <c r="Q13" s="7">
        <v>339</v>
      </c>
      <c r="R13" s="7">
        <v>630</v>
      </c>
      <c r="S13" s="7">
        <v>4100</v>
      </c>
      <c r="T13" s="7">
        <v>1178</v>
      </c>
      <c r="U13" s="7">
        <v>2612</v>
      </c>
    </row>
    <row r="14" spans="1:21" x14ac:dyDescent="0.25">
      <c r="A14" s="5">
        <v>1912</v>
      </c>
      <c r="B14" s="7">
        <v>7467</v>
      </c>
      <c r="C14" s="7">
        <v>1988</v>
      </c>
      <c r="D14" s="7">
        <v>23168</v>
      </c>
      <c r="E14" s="7">
        <v>3421</v>
      </c>
      <c r="F14" s="7">
        <v>5072</v>
      </c>
      <c r="G14" s="7">
        <v>375</v>
      </c>
      <c r="H14" s="7">
        <v>2358</v>
      </c>
      <c r="I14" s="7">
        <v>767</v>
      </c>
      <c r="J14" s="7">
        <v>1445</v>
      </c>
      <c r="K14" s="7">
        <v>1021</v>
      </c>
      <c r="L14" s="7">
        <v>1142</v>
      </c>
      <c r="M14" s="7">
        <v>1774</v>
      </c>
      <c r="N14" s="7">
        <v>571</v>
      </c>
      <c r="O14" s="7">
        <v>15508</v>
      </c>
      <c r="P14" s="7">
        <v>562</v>
      </c>
      <c r="Q14" s="7">
        <v>352</v>
      </c>
      <c r="R14" s="7">
        <v>640</v>
      </c>
      <c r="S14" s="7">
        <v>4187</v>
      </c>
      <c r="T14" s="7">
        <v>1226</v>
      </c>
      <c r="U14" s="7">
        <v>2639</v>
      </c>
    </row>
    <row r="15" spans="1:21" x14ac:dyDescent="0.25">
      <c r="A15" s="5">
        <v>1913</v>
      </c>
      <c r="B15" s="7">
        <v>7838</v>
      </c>
      <c r="C15" s="7">
        <v>2007</v>
      </c>
      <c r="D15" s="7">
        <v>23660</v>
      </c>
      <c r="E15" s="7">
        <v>3465</v>
      </c>
      <c r="F15" s="7">
        <v>5193</v>
      </c>
      <c r="G15" s="7">
        <v>381</v>
      </c>
      <c r="H15" s="7">
        <v>2413</v>
      </c>
      <c r="I15" s="7">
        <v>781</v>
      </c>
      <c r="J15" s="7">
        <v>1457</v>
      </c>
      <c r="K15" s="7">
        <v>1040</v>
      </c>
      <c r="L15" s="7">
        <v>1165</v>
      </c>
      <c r="M15" s="7">
        <v>1818</v>
      </c>
      <c r="N15" s="7">
        <v>579</v>
      </c>
      <c r="O15" s="7">
        <v>15373</v>
      </c>
      <c r="P15" s="7">
        <v>572</v>
      </c>
      <c r="Q15" s="7">
        <v>364</v>
      </c>
      <c r="R15" s="7">
        <v>650</v>
      </c>
      <c r="S15" s="7">
        <v>4267</v>
      </c>
      <c r="T15" s="7">
        <v>1279</v>
      </c>
      <c r="U15" s="7">
        <v>2661</v>
      </c>
    </row>
    <row r="16" spans="1:21" x14ac:dyDescent="0.25">
      <c r="A16" s="5">
        <v>1914</v>
      </c>
      <c r="B16" s="7">
        <v>7996</v>
      </c>
      <c r="C16" s="7">
        <v>2025</v>
      </c>
      <c r="D16" s="7">
        <v>24161</v>
      </c>
      <c r="E16" s="7">
        <v>3509</v>
      </c>
      <c r="F16" s="7">
        <v>5318</v>
      </c>
      <c r="G16" s="7">
        <v>387</v>
      </c>
      <c r="H16" s="7">
        <v>2507</v>
      </c>
      <c r="I16" s="7">
        <v>795</v>
      </c>
      <c r="J16" s="7">
        <v>1469</v>
      </c>
      <c r="K16" s="7">
        <v>1058</v>
      </c>
      <c r="L16" s="7">
        <v>1180</v>
      </c>
      <c r="M16" s="7">
        <v>1862</v>
      </c>
      <c r="N16" s="7">
        <v>588</v>
      </c>
      <c r="O16" s="7">
        <v>15083</v>
      </c>
      <c r="P16" s="7">
        <v>581</v>
      </c>
      <c r="Q16" s="7">
        <v>378</v>
      </c>
      <c r="R16" s="7">
        <v>657</v>
      </c>
      <c r="S16" s="7">
        <v>4347</v>
      </c>
      <c r="T16" s="7">
        <v>1316</v>
      </c>
      <c r="U16" s="7">
        <v>2683</v>
      </c>
    </row>
    <row r="17" spans="1:21" x14ac:dyDescent="0.25">
      <c r="A17" s="5">
        <v>1915</v>
      </c>
      <c r="B17" s="7">
        <v>8148</v>
      </c>
      <c r="C17" s="7">
        <v>2044</v>
      </c>
      <c r="D17" s="7">
        <v>24674</v>
      </c>
      <c r="E17" s="7">
        <v>3553</v>
      </c>
      <c r="F17" s="7">
        <v>5447</v>
      </c>
      <c r="G17" s="7">
        <v>393</v>
      </c>
      <c r="H17" s="7">
        <v>2585</v>
      </c>
      <c r="I17" s="7">
        <v>809</v>
      </c>
      <c r="J17" s="7">
        <v>1481</v>
      </c>
      <c r="K17" s="7">
        <v>1076</v>
      </c>
      <c r="L17" s="7">
        <v>1196</v>
      </c>
      <c r="M17" s="7">
        <v>1907</v>
      </c>
      <c r="N17" s="7">
        <v>597</v>
      </c>
      <c r="O17" s="7">
        <v>14637</v>
      </c>
      <c r="P17" s="7">
        <v>591</v>
      </c>
      <c r="Q17" s="7">
        <v>389</v>
      </c>
      <c r="R17" s="7">
        <v>664</v>
      </c>
      <c r="S17" s="7">
        <v>4427</v>
      </c>
      <c r="T17" s="7">
        <v>1346</v>
      </c>
      <c r="U17" s="7">
        <v>2705</v>
      </c>
    </row>
    <row r="18" spans="1:21" x14ac:dyDescent="0.25">
      <c r="A18" s="5">
        <v>1916</v>
      </c>
      <c r="B18" s="7">
        <v>8303</v>
      </c>
      <c r="C18" s="7">
        <v>2062</v>
      </c>
      <c r="D18" s="7">
        <v>25197</v>
      </c>
      <c r="E18" s="7">
        <v>3598</v>
      </c>
      <c r="F18" s="7">
        <v>5579</v>
      </c>
      <c r="G18" s="7">
        <v>398</v>
      </c>
      <c r="H18" s="7">
        <v>2664</v>
      </c>
      <c r="I18" s="7">
        <v>823</v>
      </c>
      <c r="J18" s="7">
        <v>1493</v>
      </c>
      <c r="K18" s="7">
        <v>1095</v>
      </c>
      <c r="L18" s="7">
        <v>1211</v>
      </c>
      <c r="M18" s="7">
        <v>1949</v>
      </c>
      <c r="N18" s="7">
        <v>606</v>
      </c>
      <c r="O18" s="7">
        <v>14029</v>
      </c>
      <c r="P18" s="7">
        <v>600</v>
      </c>
      <c r="Q18" s="7">
        <v>401</v>
      </c>
      <c r="R18" s="7">
        <v>671</v>
      </c>
      <c r="S18" s="7">
        <v>4508</v>
      </c>
      <c r="T18" s="7">
        <v>1379</v>
      </c>
      <c r="U18" s="7">
        <v>2727</v>
      </c>
    </row>
    <row r="19" spans="1:21" x14ac:dyDescent="0.25">
      <c r="A19" s="5">
        <v>1917</v>
      </c>
      <c r="B19" s="7">
        <v>8445</v>
      </c>
      <c r="C19" s="7">
        <v>2081</v>
      </c>
      <c r="D19" s="7">
        <v>25732</v>
      </c>
      <c r="E19" s="7">
        <v>3644</v>
      </c>
      <c r="F19" s="7">
        <v>5715</v>
      </c>
      <c r="G19" s="7">
        <v>404</v>
      </c>
      <c r="H19" s="7">
        <v>2746</v>
      </c>
      <c r="I19" s="7">
        <v>837</v>
      </c>
      <c r="J19" s="7">
        <v>1505</v>
      </c>
      <c r="K19" s="7">
        <v>1113</v>
      </c>
      <c r="L19" s="7">
        <v>1226</v>
      </c>
      <c r="M19" s="7">
        <v>1993</v>
      </c>
      <c r="N19" s="7">
        <v>633</v>
      </c>
      <c r="O19" s="7">
        <v>13898</v>
      </c>
      <c r="P19" s="7">
        <v>610</v>
      </c>
      <c r="Q19" s="7">
        <v>413</v>
      </c>
      <c r="R19" s="7">
        <v>678</v>
      </c>
      <c r="S19" s="7">
        <v>4588</v>
      </c>
      <c r="T19" s="7">
        <v>1407</v>
      </c>
      <c r="U19" s="7">
        <v>2750</v>
      </c>
    </row>
    <row r="20" spans="1:21" x14ac:dyDescent="0.25">
      <c r="A20" s="5">
        <v>1918</v>
      </c>
      <c r="B20" s="7">
        <v>8590</v>
      </c>
      <c r="C20" s="7">
        <v>2099</v>
      </c>
      <c r="D20" s="7">
        <v>26277</v>
      </c>
      <c r="E20" s="7">
        <v>3690</v>
      </c>
      <c r="F20" s="7">
        <v>5855</v>
      </c>
      <c r="G20" s="7">
        <v>410</v>
      </c>
      <c r="H20" s="7">
        <v>2828</v>
      </c>
      <c r="I20" s="7">
        <v>851</v>
      </c>
      <c r="J20" s="7">
        <v>1517</v>
      </c>
      <c r="K20" s="7">
        <v>1131</v>
      </c>
      <c r="L20" s="7">
        <v>1241</v>
      </c>
      <c r="M20" s="7">
        <v>2037</v>
      </c>
      <c r="N20" s="7">
        <v>660</v>
      </c>
      <c r="O20" s="7">
        <v>14000</v>
      </c>
      <c r="P20" s="7">
        <v>619</v>
      </c>
      <c r="Q20" s="7">
        <v>426</v>
      </c>
      <c r="R20" s="7">
        <v>685</v>
      </c>
      <c r="S20" s="7">
        <v>4668</v>
      </c>
      <c r="T20" s="7">
        <v>1430</v>
      </c>
      <c r="U20" s="7">
        <v>2772</v>
      </c>
    </row>
    <row r="21" spans="1:21" x14ac:dyDescent="0.25">
      <c r="A21" s="5">
        <v>1919</v>
      </c>
      <c r="B21" s="7">
        <v>8754</v>
      </c>
      <c r="C21" s="7">
        <v>2118</v>
      </c>
      <c r="D21" s="7">
        <v>26835</v>
      </c>
      <c r="E21" s="7">
        <v>3737</v>
      </c>
      <c r="F21" s="7">
        <v>6029</v>
      </c>
      <c r="G21" s="7">
        <v>415</v>
      </c>
      <c r="H21" s="7">
        <v>2912</v>
      </c>
      <c r="I21" s="7">
        <v>865</v>
      </c>
      <c r="J21" s="7">
        <v>1529</v>
      </c>
      <c r="K21" s="7">
        <v>1150</v>
      </c>
      <c r="L21" s="7">
        <v>1257</v>
      </c>
      <c r="M21" s="7">
        <v>2080</v>
      </c>
      <c r="N21" s="7">
        <v>688</v>
      </c>
      <c r="O21" s="7">
        <v>14150</v>
      </c>
      <c r="P21" s="7">
        <v>629</v>
      </c>
      <c r="Q21" s="7">
        <v>437</v>
      </c>
      <c r="R21" s="7">
        <v>692</v>
      </c>
      <c r="S21" s="7">
        <v>4748</v>
      </c>
      <c r="T21" s="7">
        <v>1463</v>
      </c>
      <c r="U21" s="7">
        <v>2795</v>
      </c>
    </row>
    <row r="22" spans="1:21" x14ac:dyDescent="0.25">
      <c r="A22" s="5">
        <v>1920</v>
      </c>
      <c r="B22" s="7">
        <v>8969</v>
      </c>
      <c r="C22" s="7">
        <v>2136</v>
      </c>
      <c r="D22" s="7">
        <v>27404</v>
      </c>
      <c r="E22" s="7">
        <v>3785</v>
      </c>
      <c r="F22" s="7">
        <v>6089</v>
      </c>
      <c r="G22" s="7">
        <v>421</v>
      </c>
      <c r="H22" s="7">
        <v>2997</v>
      </c>
      <c r="I22" s="7">
        <v>879</v>
      </c>
      <c r="J22" s="7">
        <v>1541</v>
      </c>
      <c r="K22" s="7">
        <v>1168</v>
      </c>
      <c r="L22" s="7">
        <v>1272</v>
      </c>
      <c r="M22" s="7">
        <v>2124</v>
      </c>
      <c r="N22" s="7">
        <v>715</v>
      </c>
      <c r="O22" s="7">
        <v>14150</v>
      </c>
      <c r="P22" s="7">
        <v>638</v>
      </c>
      <c r="Q22" s="7">
        <v>447</v>
      </c>
      <c r="R22" s="7">
        <v>699</v>
      </c>
      <c r="S22" s="7">
        <v>4828</v>
      </c>
      <c r="T22" s="7">
        <v>1481</v>
      </c>
      <c r="U22" s="7">
        <v>2818</v>
      </c>
    </row>
    <row r="23" spans="1:21" x14ac:dyDescent="0.25">
      <c r="A23" s="5">
        <v>1921</v>
      </c>
      <c r="B23" s="7">
        <v>9215</v>
      </c>
      <c r="C23" s="7">
        <v>2161</v>
      </c>
      <c r="D23" s="7">
        <v>27969</v>
      </c>
      <c r="E23" s="7">
        <v>3853</v>
      </c>
      <c r="F23" s="7">
        <v>6211</v>
      </c>
      <c r="G23" s="7">
        <v>425</v>
      </c>
      <c r="H23" s="7">
        <v>3083</v>
      </c>
      <c r="I23" s="7">
        <v>912</v>
      </c>
      <c r="J23" s="7">
        <v>1570</v>
      </c>
      <c r="K23" s="7">
        <v>1193</v>
      </c>
      <c r="L23" s="7">
        <v>1319</v>
      </c>
      <c r="M23" s="7">
        <v>2151</v>
      </c>
      <c r="N23" s="7">
        <v>742</v>
      </c>
      <c r="O23" s="7">
        <v>14335</v>
      </c>
      <c r="P23" s="7">
        <v>643</v>
      </c>
      <c r="Q23" s="7">
        <v>449</v>
      </c>
      <c r="R23" s="7">
        <v>715</v>
      </c>
      <c r="S23" s="7">
        <v>4908</v>
      </c>
      <c r="T23" s="7">
        <v>1499</v>
      </c>
      <c r="U23" s="7">
        <v>2843</v>
      </c>
    </row>
    <row r="24" spans="1:21" x14ac:dyDescent="0.25">
      <c r="A24" s="5">
        <v>1922</v>
      </c>
      <c r="B24" s="7">
        <v>9521</v>
      </c>
      <c r="C24" s="7">
        <v>2186</v>
      </c>
      <c r="D24" s="7">
        <v>28542</v>
      </c>
      <c r="E24" s="7">
        <v>3907</v>
      </c>
      <c r="F24" s="7">
        <v>6336</v>
      </c>
      <c r="G24" s="7">
        <v>431</v>
      </c>
      <c r="H24" s="7">
        <v>3170</v>
      </c>
      <c r="I24" s="7">
        <v>946</v>
      </c>
      <c r="J24" s="7">
        <v>1610</v>
      </c>
      <c r="K24" s="7">
        <v>1217</v>
      </c>
      <c r="L24" s="7">
        <v>1367</v>
      </c>
      <c r="M24" s="7">
        <v>2178</v>
      </c>
      <c r="N24" s="7">
        <v>769</v>
      </c>
      <c r="O24" s="7">
        <v>14444</v>
      </c>
      <c r="P24" s="7">
        <v>647</v>
      </c>
      <c r="Q24" s="7">
        <v>451</v>
      </c>
      <c r="R24" s="7">
        <v>732</v>
      </c>
      <c r="S24" s="7">
        <v>4989</v>
      </c>
      <c r="T24" s="7">
        <v>1517</v>
      </c>
      <c r="U24" s="7">
        <v>2870</v>
      </c>
    </row>
    <row r="25" spans="1:21" x14ac:dyDescent="0.25">
      <c r="A25" s="5">
        <v>1923</v>
      </c>
      <c r="B25" s="7">
        <v>9892</v>
      </c>
      <c r="C25" s="7">
        <v>2212</v>
      </c>
      <c r="D25" s="7">
        <v>29126</v>
      </c>
      <c r="E25" s="7">
        <v>3961</v>
      </c>
      <c r="F25" s="7">
        <v>6463</v>
      </c>
      <c r="G25" s="7">
        <v>439</v>
      </c>
      <c r="H25" s="7">
        <v>3257</v>
      </c>
      <c r="I25" s="7">
        <v>981</v>
      </c>
      <c r="J25" s="7">
        <v>1646</v>
      </c>
      <c r="K25" s="7">
        <v>1244</v>
      </c>
      <c r="L25" s="7">
        <v>1416</v>
      </c>
      <c r="M25" s="7">
        <v>2206</v>
      </c>
      <c r="N25" s="7">
        <v>796</v>
      </c>
      <c r="O25" s="7">
        <v>14693</v>
      </c>
      <c r="P25" s="7">
        <v>652</v>
      </c>
      <c r="Q25" s="7">
        <v>453</v>
      </c>
      <c r="R25" s="7">
        <v>749</v>
      </c>
      <c r="S25" s="7">
        <v>5069</v>
      </c>
      <c r="T25" s="7">
        <v>1535</v>
      </c>
      <c r="U25" s="7">
        <v>2898</v>
      </c>
    </row>
    <row r="26" spans="1:21" x14ac:dyDescent="0.25">
      <c r="A26" s="5">
        <v>1924</v>
      </c>
      <c r="B26" s="7">
        <v>10216</v>
      </c>
      <c r="C26" s="7">
        <v>2237</v>
      </c>
      <c r="D26" s="7">
        <v>29723</v>
      </c>
      <c r="E26" s="7">
        <v>4017</v>
      </c>
      <c r="F26" s="7">
        <v>6592</v>
      </c>
      <c r="G26" s="7">
        <v>447</v>
      </c>
      <c r="H26" s="7">
        <v>3345</v>
      </c>
      <c r="I26" s="7">
        <v>1017</v>
      </c>
      <c r="J26" s="7">
        <v>1685</v>
      </c>
      <c r="K26" s="7">
        <v>1274</v>
      </c>
      <c r="L26" s="7">
        <v>1471</v>
      </c>
      <c r="M26" s="7">
        <v>2232</v>
      </c>
      <c r="N26" s="7">
        <v>824</v>
      </c>
      <c r="O26" s="7">
        <v>14945</v>
      </c>
      <c r="P26" s="7">
        <v>656</v>
      </c>
      <c r="Q26" s="7">
        <v>455</v>
      </c>
      <c r="R26" s="7">
        <v>767</v>
      </c>
      <c r="S26" s="7">
        <v>5148</v>
      </c>
      <c r="T26" s="7">
        <v>1553</v>
      </c>
      <c r="U26" s="7">
        <v>2925</v>
      </c>
    </row>
    <row r="27" spans="1:21" x14ac:dyDescent="0.25">
      <c r="A27" s="5">
        <v>1925</v>
      </c>
      <c r="B27" s="7">
        <v>10500</v>
      </c>
      <c r="C27" s="7">
        <v>2263</v>
      </c>
      <c r="D27" s="7">
        <v>30332</v>
      </c>
      <c r="E27" s="7">
        <v>4073</v>
      </c>
      <c r="F27" s="7">
        <v>6724</v>
      </c>
      <c r="G27" s="7">
        <v>456</v>
      </c>
      <c r="H27" s="7">
        <v>3432</v>
      </c>
      <c r="I27" s="7">
        <v>1054</v>
      </c>
      <c r="J27" s="7">
        <v>1724</v>
      </c>
      <c r="K27" s="7">
        <v>1301</v>
      </c>
      <c r="L27" s="7">
        <v>1514</v>
      </c>
      <c r="M27" s="7">
        <v>2260</v>
      </c>
      <c r="N27" s="7">
        <v>851</v>
      </c>
      <c r="O27" s="7">
        <v>15204</v>
      </c>
      <c r="P27" s="7">
        <v>660</v>
      </c>
      <c r="Q27" s="7">
        <v>457</v>
      </c>
      <c r="R27" s="7">
        <v>785</v>
      </c>
      <c r="S27" s="7">
        <v>5229</v>
      </c>
      <c r="T27" s="7">
        <v>1571</v>
      </c>
      <c r="U27" s="7">
        <v>2953</v>
      </c>
    </row>
    <row r="28" spans="1:21" x14ac:dyDescent="0.25">
      <c r="A28" s="5">
        <v>1926</v>
      </c>
      <c r="B28" s="7">
        <v>10804</v>
      </c>
      <c r="C28" s="7">
        <v>2289</v>
      </c>
      <c r="D28" s="7">
        <v>30953</v>
      </c>
      <c r="E28" s="7">
        <v>4130</v>
      </c>
      <c r="F28" s="7">
        <v>6859</v>
      </c>
      <c r="G28" s="7">
        <v>466</v>
      </c>
      <c r="H28" s="7">
        <v>3519</v>
      </c>
      <c r="I28" s="7">
        <v>1092</v>
      </c>
      <c r="J28" s="7">
        <v>1762</v>
      </c>
      <c r="K28" s="7">
        <v>1325</v>
      </c>
      <c r="L28" s="7">
        <v>1557</v>
      </c>
      <c r="M28" s="7">
        <v>2292</v>
      </c>
      <c r="N28" s="7">
        <v>878</v>
      </c>
      <c r="O28" s="7">
        <v>15468</v>
      </c>
      <c r="P28" s="7">
        <v>665</v>
      </c>
      <c r="Q28" s="7">
        <v>459</v>
      </c>
      <c r="R28" s="7">
        <v>803</v>
      </c>
      <c r="S28" s="7">
        <v>5313</v>
      </c>
      <c r="T28" s="7">
        <v>1604</v>
      </c>
      <c r="U28" s="7">
        <v>2981</v>
      </c>
    </row>
    <row r="29" spans="1:21" x14ac:dyDescent="0.25">
      <c r="A29" s="5">
        <v>1927</v>
      </c>
      <c r="B29" s="7">
        <v>11126</v>
      </c>
      <c r="C29" s="7">
        <v>2316</v>
      </c>
      <c r="D29" s="7">
        <v>31587</v>
      </c>
      <c r="E29" s="7">
        <v>4188</v>
      </c>
      <c r="F29" s="7">
        <v>6996</v>
      </c>
      <c r="G29" s="7">
        <v>472</v>
      </c>
      <c r="H29" s="7">
        <v>3606</v>
      </c>
      <c r="I29" s="7">
        <v>1131</v>
      </c>
      <c r="J29" s="7">
        <v>1800</v>
      </c>
      <c r="K29" s="7">
        <v>1351</v>
      </c>
      <c r="L29" s="7">
        <v>1602</v>
      </c>
      <c r="M29" s="7">
        <v>2325</v>
      </c>
      <c r="N29" s="7">
        <v>893</v>
      </c>
      <c r="O29" s="7">
        <v>15738</v>
      </c>
      <c r="P29" s="7">
        <v>670</v>
      </c>
      <c r="Q29" s="7">
        <v>462</v>
      </c>
      <c r="R29" s="7">
        <v>822</v>
      </c>
      <c r="S29" s="7">
        <v>5399</v>
      </c>
      <c r="T29" s="7">
        <v>1636</v>
      </c>
      <c r="U29" s="7">
        <v>3012</v>
      </c>
    </row>
    <row r="30" spans="1:21" x14ac:dyDescent="0.25">
      <c r="A30" s="5">
        <v>1928</v>
      </c>
      <c r="B30" s="7">
        <v>11438</v>
      </c>
      <c r="C30" s="7">
        <v>2343</v>
      </c>
      <c r="D30" s="7">
        <v>32234</v>
      </c>
      <c r="E30" s="7">
        <v>4246</v>
      </c>
      <c r="F30" s="7">
        <v>7136</v>
      </c>
      <c r="G30" s="7">
        <v>479</v>
      </c>
      <c r="H30" s="7">
        <v>3507</v>
      </c>
      <c r="I30" s="7">
        <v>1172</v>
      </c>
      <c r="J30" s="7">
        <v>1846</v>
      </c>
      <c r="K30" s="7">
        <v>1385</v>
      </c>
      <c r="L30" s="7">
        <v>1660</v>
      </c>
      <c r="M30" s="7">
        <v>2357</v>
      </c>
      <c r="N30" s="7">
        <v>911</v>
      </c>
      <c r="O30" s="7">
        <v>16012</v>
      </c>
      <c r="P30" s="7">
        <v>674</v>
      </c>
      <c r="Q30" s="7">
        <v>464</v>
      </c>
      <c r="R30" s="7">
        <v>841</v>
      </c>
      <c r="S30" s="7">
        <v>5482</v>
      </c>
      <c r="T30" s="7">
        <v>1669</v>
      </c>
      <c r="U30" s="7">
        <v>3047</v>
      </c>
    </row>
    <row r="31" spans="1:21" x14ac:dyDescent="0.25">
      <c r="A31" s="5">
        <v>1929</v>
      </c>
      <c r="B31" s="7">
        <v>11746</v>
      </c>
      <c r="C31" s="7">
        <v>2370</v>
      </c>
      <c r="D31" s="7">
        <v>32894</v>
      </c>
      <c r="E31" s="7">
        <v>4305</v>
      </c>
      <c r="F31" s="7">
        <v>7279</v>
      </c>
      <c r="G31" s="7">
        <v>489</v>
      </c>
      <c r="H31" s="7">
        <v>3577</v>
      </c>
      <c r="I31" s="7">
        <v>1213</v>
      </c>
      <c r="J31" s="7">
        <v>1891</v>
      </c>
      <c r="K31" s="7">
        <v>1412</v>
      </c>
      <c r="L31" s="7">
        <v>1706</v>
      </c>
      <c r="M31" s="7">
        <v>2390</v>
      </c>
      <c r="N31" s="7">
        <v>928</v>
      </c>
      <c r="O31" s="7">
        <v>16926</v>
      </c>
      <c r="P31" s="7">
        <v>679</v>
      </c>
      <c r="Q31" s="7">
        <v>466</v>
      </c>
      <c r="R31" s="7">
        <v>860</v>
      </c>
      <c r="S31" s="7">
        <v>5567</v>
      </c>
      <c r="T31" s="7">
        <v>1701</v>
      </c>
      <c r="U31" s="7">
        <v>3082</v>
      </c>
    </row>
    <row r="32" spans="1:21" x14ac:dyDescent="0.25">
      <c r="A32" s="5">
        <v>1930</v>
      </c>
      <c r="B32" s="7">
        <v>12047</v>
      </c>
      <c r="C32" s="7">
        <v>2397</v>
      </c>
      <c r="D32" s="7">
        <v>33568</v>
      </c>
      <c r="E32" s="7">
        <v>4365</v>
      </c>
      <c r="F32" s="7">
        <v>7425</v>
      </c>
      <c r="G32" s="7">
        <v>499</v>
      </c>
      <c r="H32" s="7">
        <v>3647</v>
      </c>
      <c r="I32" s="7">
        <v>1256</v>
      </c>
      <c r="J32" s="7">
        <v>1944</v>
      </c>
      <c r="K32" s="7">
        <v>1443</v>
      </c>
      <c r="L32" s="7">
        <v>1755</v>
      </c>
      <c r="M32" s="7">
        <v>2422</v>
      </c>
      <c r="N32" s="7">
        <v>948</v>
      </c>
      <c r="O32" s="7">
        <v>16553</v>
      </c>
      <c r="P32" s="7">
        <v>683</v>
      </c>
      <c r="Q32" s="7">
        <v>471</v>
      </c>
      <c r="R32" s="7">
        <v>880</v>
      </c>
      <c r="S32" s="7">
        <v>5651</v>
      </c>
      <c r="T32" s="7">
        <v>1734</v>
      </c>
      <c r="U32" s="7">
        <v>3118</v>
      </c>
    </row>
    <row r="33" spans="1:21" x14ac:dyDescent="0.25">
      <c r="A33" s="5">
        <v>1931</v>
      </c>
      <c r="B33" s="7">
        <v>12287</v>
      </c>
      <c r="C33" s="7">
        <v>2425</v>
      </c>
      <c r="D33" s="7">
        <v>34256</v>
      </c>
      <c r="E33" s="7">
        <v>4429</v>
      </c>
      <c r="F33" s="7">
        <v>7574</v>
      </c>
      <c r="G33" s="7">
        <v>508</v>
      </c>
      <c r="H33" s="7">
        <v>3962</v>
      </c>
      <c r="I33" s="7">
        <v>1300</v>
      </c>
      <c r="J33" s="7">
        <v>1995</v>
      </c>
      <c r="K33" s="7">
        <v>1456</v>
      </c>
      <c r="L33" s="7">
        <v>1813</v>
      </c>
      <c r="M33" s="7">
        <v>2460</v>
      </c>
      <c r="N33" s="7">
        <v>968</v>
      </c>
      <c r="O33" s="7">
        <v>16876</v>
      </c>
      <c r="P33" s="7">
        <v>687</v>
      </c>
      <c r="Q33" s="7">
        <v>486</v>
      </c>
      <c r="R33" s="7">
        <v>901</v>
      </c>
      <c r="S33" s="7">
        <v>5748</v>
      </c>
      <c r="T33" s="7">
        <v>1761</v>
      </c>
      <c r="U33" s="7">
        <v>3154</v>
      </c>
    </row>
    <row r="34" spans="1:21" x14ac:dyDescent="0.25">
      <c r="A34" s="5">
        <v>1932</v>
      </c>
      <c r="B34" s="7">
        <v>12517</v>
      </c>
      <c r="C34" s="7">
        <v>2453</v>
      </c>
      <c r="D34" s="7">
        <v>34957</v>
      </c>
      <c r="E34" s="7">
        <v>4495</v>
      </c>
      <c r="F34" s="7">
        <v>7726</v>
      </c>
      <c r="G34" s="7">
        <v>518</v>
      </c>
      <c r="H34" s="7">
        <v>3962</v>
      </c>
      <c r="I34" s="7">
        <v>1345</v>
      </c>
      <c r="J34" s="7">
        <v>2050</v>
      </c>
      <c r="K34" s="7">
        <v>1474</v>
      </c>
      <c r="L34" s="7">
        <v>1864</v>
      </c>
      <c r="M34" s="7">
        <v>2498</v>
      </c>
      <c r="N34" s="7">
        <v>989</v>
      </c>
      <c r="O34" s="7">
        <v>17170</v>
      </c>
      <c r="P34" s="7">
        <v>692</v>
      </c>
      <c r="Q34" s="7">
        <v>501</v>
      </c>
      <c r="R34" s="7">
        <v>922</v>
      </c>
      <c r="S34" s="7">
        <v>5844</v>
      </c>
      <c r="T34" s="7">
        <v>1788</v>
      </c>
      <c r="U34" s="7">
        <v>3191</v>
      </c>
    </row>
    <row r="35" spans="1:21" x14ac:dyDescent="0.25">
      <c r="A35" s="5">
        <v>1933</v>
      </c>
      <c r="B35" s="7">
        <v>12729</v>
      </c>
      <c r="C35" s="7">
        <v>2482</v>
      </c>
      <c r="D35" s="7">
        <v>35673</v>
      </c>
      <c r="E35" s="7">
        <v>4563</v>
      </c>
      <c r="F35" s="7">
        <v>7880</v>
      </c>
      <c r="G35" s="7">
        <v>528</v>
      </c>
      <c r="H35" s="7">
        <v>3962</v>
      </c>
      <c r="I35" s="7">
        <v>1391</v>
      </c>
      <c r="J35" s="7">
        <v>2095</v>
      </c>
      <c r="K35" s="7">
        <v>1493</v>
      </c>
      <c r="L35" s="7">
        <v>1909</v>
      </c>
      <c r="M35" s="7">
        <v>2535</v>
      </c>
      <c r="N35" s="7">
        <v>1007</v>
      </c>
      <c r="O35" s="7">
        <v>17470</v>
      </c>
      <c r="P35" s="7">
        <v>697</v>
      </c>
      <c r="Q35" s="7">
        <v>516</v>
      </c>
      <c r="R35" s="7">
        <v>944</v>
      </c>
      <c r="S35" s="7">
        <v>5941</v>
      </c>
      <c r="T35" s="7">
        <v>1815</v>
      </c>
      <c r="U35" s="7">
        <v>3227</v>
      </c>
    </row>
    <row r="36" spans="1:21" x14ac:dyDescent="0.25">
      <c r="A36" s="5">
        <v>1934</v>
      </c>
      <c r="B36" s="7">
        <v>12940</v>
      </c>
      <c r="C36" s="7">
        <v>2511</v>
      </c>
      <c r="D36" s="7">
        <v>36404</v>
      </c>
      <c r="E36" s="7">
        <v>4631</v>
      </c>
      <c r="F36" s="7">
        <v>8038</v>
      </c>
      <c r="G36" s="7">
        <v>540</v>
      </c>
      <c r="H36" s="7">
        <v>4039</v>
      </c>
      <c r="I36" s="7">
        <v>1438</v>
      </c>
      <c r="J36" s="7">
        <v>2140</v>
      </c>
      <c r="K36" s="7">
        <v>1512</v>
      </c>
      <c r="L36" s="7">
        <v>1943</v>
      </c>
      <c r="M36" s="7">
        <v>2573</v>
      </c>
      <c r="N36" s="7">
        <v>1023</v>
      </c>
      <c r="O36" s="7">
        <v>17777</v>
      </c>
      <c r="P36" s="7">
        <v>711</v>
      </c>
      <c r="Q36" s="7">
        <v>531</v>
      </c>
      <c r="R36" s="7">
        <v>966</v>
      </c>
      <c r="S36" s="7">
        <v>6037</v>
      </c>
      <c r="T36" s="7">
        <v>1842</v>
      </c>
      <c r="U36" s="7">
        <v>3264</v>
      </c>
    </row>
    <row r="37" spans="1:21" x14ac:dyDescent="0.25">
      <c r="A37" s="5">
        <v>1935</v>
      </c>
      <c r="B37" s="7">
        <v>13148</v>
      </c>
      <c r="C37" s="7">
        <v>2540</v>
      </c>
      <c r="D37" s="7">
        <v>37150</v>
      </c>
      <c r="E37" s="7">
        <v>4700</v>
      </c>
      <c r="F37" s="7">
        <v>8199</v>
      </c>
      <c r="G37" s="7">
        <v>551</v>
      </c>
      <c r="H37" s="7">
        <v>4071</v>
      </c>
      <c r="I37" s="7">
        <v>1484</v>
      </c>
      <c r="J37" s="7">
        <v>2196</v>
      </c>
      <c r="K37" s="7">
        <v>1531</v>
      </c>
      <c r="L37" s="7">
        <v>1975</v>
      </c>
      <c r="M37" s="7">
        <v>2611</v>
      </c>
      <c r="N37" s="7">
        <v>1042</v>
      </c>
      <c r="O37" s="7">
        <v>18089</v>
      </c>
      <c r="P37" s="7">
        <v>728</v>
      </c>
      <c r="Q37" s="7">
        <v>546</v>
      </c>
      <c r="R37" s="7">
        <v>988</v>
      </c>
      <c r="S37" s="7">
        <v>6134</v>
      </c>
      <c r="T37" s="7">
        <v>1869</v>
      </c>
      <c r="U37" s="7">
        <v>3300</v>
      </c>
    </row>
    <row r="38" spans="1:21" x14ac:dyDescent="0.25">
      <c r="A38" s="5">
        <v>1936</v>
      </c>
      <c r="B38" s="7">
        <v>13372</v>
      </c>
      <c r="C38" s="7">
        <v>2569</v>
      </c>
      <c r="D38" s="7">
        <v>37911</v>
      </c>
      <c r="E38" s="7">
        <v>4771</v>
      </c>
      <c r="F38" s="7">
        <v>8363</v>
      </c>
      <c r="G38" s="7">
        <v>563</v>
      </c>
      <c r="H38" s="7">
        <v>4109</v>
      </c>
      <c r="I38" s="7">
        <v>1520</v>
      </c>
      <c r="J38" s="7">
        <v>2249</v>
      </c>
      <c r="K38" s="7">
        <v>1551</v>
      </c>
      <c r="L38" s="7">
        <v>2023</v>
      </c>
      <c r="M38" s="7">
        <v>2654</v>
      </c>
      <c r="N38" s="7">
        <v>1058</v>
      </c>
      <c r="O38" s="7">
        <v>18410</v>
      </c>
      <c r="P38" s="7">
        <v>746</v>
      </c>
      <c r="Q38" s="7">
        <v>561</v>
      </c>
      <c r="R38" s="7">
        <v>1012</v>
      </c>
      <c r="S38" s="7">
        <v>6243</v>
      </c>
      <c r="T38" s="7">
        <v>1890</v>
      </c>
      <c r="U38" s="7">
        <v>3382</v>
      </c>
    </row>
    <row r="39" spans="1:21" x14ac:dyDescent="0.25">
      <c r="A39" s="5">
        <v>1937</v>
      </c>
      <c r="B39" s="7">
        <v>13608</v>
      </c>
      <c r="C39" s="7">
        <v>2599</v>
      </c>
      <c r="D39" s="7">
        <v>38687</v>
      </c>
      <c r="E39" s="7">
        <v>4842</v>
      </c>
      <c r="F39" s="7">
        <v>8531</v>
      </c>
      <c r="G39" s="7">
        <v>576</v>
      </c>
      <c r="H39" s="7">
        <v>4165</v>
      </c>
      <c r="I39" s="7">
        <v>1558</v>
      </c>
      <c r="J39" s="7">
        <v>2298</v>
      </c>
      <c r="K39" s="7">
        <v>1571</v>
      </c>
      <c r="L39" s="7">
        <v>2066</v>
      </c>
      <c r="M39" s="7">
        <v>2697</v>
      </c>
      <c r="N39" s="7">
        <v>1076</v>
      </c>
      <c r="O39" s="7">
        <v>18764</v>
      </c>
      <c r="P39" s="7">
        <v>765</v>
      </c>
      <c r="Q39" s="7">
        <v>575</v>
      </c>
      <c r="R39" s="7">
        <v>1036</v>
      </c>
      <c r="S39" s="7">
        <v>6353</v>
      </c>
      <c r="T39" s="7">
        <v>1911</v>
      </c>
      <c r="U39" s="7">
        <v>3464</v>
      </c>
    </row>
    <row r="40" spans="1:21" x14ac:dyDescent="0.25">
      <c r="A40" s="5">
        <v>1938</v>
      </c>
      <c r="B40" s="7">
        <v>13841</v>
      </c>
      <c r="C40" s="7">
        <v>2629</v>
      </c>
      <c r="D40" s="7">
        <v>39480</v>
      </c>
      <c r="E40" s="7">
        <v>4914</v>
      </c>
      <c r="F40" s="7">
        <v>8702</v>
      </c>
      <c r="G40" s="7">
        <v>590</v>
      </c>
      <c r="H40" s="7">
        <v>4228</v>
      </c>
      <c r="I40" s="7">
        <v>1596</v>
      </c>
      <c r="J40" s="7">
        <v>2355</v>
      </c>
      <c r="K40" s="7">
        <v>1591</v>
      </c>
      <c r="L40" s="7">
        <v>2113</v>
      </c>
      <c r="M40" s="7">
        <v>2741</v>
      </c>
      <c r="N40" s="7">
        <v>1098</v>
      </c>
      <c r="O40" s="7">
        <v>19071</v>
      </c>
      <c r="P40" s="7">
        <v>785</v>
      </c>
      <c r="Q40" s="7">
        <v>590</v>
      </c>
      <c r="R40" s="7">
        <v>1061</v>
      </c>
      <c r="S40" s="7">
        <v>6462</v>
      </c>
      <c r="T40" s="7">
        <v>1932</v>
      </c>
      <c r="U40" s="7">
        <v>3546</v>
      </c>
    </row>
    <row r="41" spans="1:21" x14ac:dyDescent="0.25">
      <c r="A41" s="5">
        <v>1939</v>
      </c>
      <c r="B41" s="7">
        <v>14055</v>
      </c>
      <c r="C41" s="7">
        <v>2659</v>
      </c>
      <c r="D41" s="7">
        <v>40289</v>
      </c>
      <c r="E41" s="7">
        <v>4988</v>
      </c>
      <c r="F41" s="7">
        <v>8896</v>
      </c>
      <c r="G41" s="7">
        <v>605</v>
      </c>
      <c r="H41" s="7">
        <v>4253</v>
      </c>
      <c r="I41" s="7">
        <v>1634</v>
      </c>
      <c r="J41" s="7">
        <v>2412</v>
      </c>
      <c r="K41" s="7">
        <v>1612</v>
      </c>
      <c r="L41" s="7">
        <v>2150</v>
      </c>
      <c r="M41" s="7">
        <v>2784</v>
      </c>
      <c r="N41" s="7">
        <v>1122</v>
      </c>
      <c r="O41" s="7">
        <v>19413</v>
      </c>
      <c r="P41" s="7">
        <v>806</v>
      </c>
      <c r="Q41" s="7">
        <v>605</v>
      </c>
      <c r="R41" s="7">
        <v>1086</v>
      </c>
      <c r="S41" s="7">
        <v>6572</v>
      </c>
      <c r="T41" s="7">
        <v>1953</v>
      </c>
      <c r="U41" s="7">
        <v>3628</v>
      </c>
    </row>
    <row r="42" spans="1:21" x14ac:dyDescent="0.25">
      <c r="A42" s="5">
        <v>1940</v>
      </c>
      <c r="B42" s="7">
        <v>14169</v>
      </c>
      <c r="C42" s="7">
        <v>2690</v>
      </c>
      <c r="D42" s="7">
        <v>41114</v>
      </c>
      <c r="E42" s="7">
        <v>5063</v>
      </c>
      <c r="F42" s="7">
        <v>9097</v>
      </c>
      <c r="G42" s="7">
        <v>619</v>
      </c>
      <c r="H42" s="7">
        <v>4291</v>
      </c>
      <c r="I42" s="7">
        <v>1759</v>
      </c>
      <c r="J42" s="7">
        <v>2466</v>
      </c>
      <c r="K42" s="7">
        <v>1633</v>
      </c>
      <c r="L42" s="7">
        <v>2201</v>
      </c>
      <c r="M42" s="7">
        <v>2827</v>
      </c>
      <c r="N42" s="7">
        <v>1146</v>
      </c>
      <c r="O42" s="7">
        <v>19654</v>
      </c>
      <c r="P42" s="7">
        <v>825</v>
      </c>
      <c r="Q42" s="7">
        <v>620</v>
      </c>
      <c r="R42" s="7">
        <v>1111</v>
      </c>
      <c r="S42" s="7">
        <v>6681</v>
      </c>
      <c r="T42" s="7">
        <v>1974</v>
      </c>
      <c r="U42" s="7">
        <v>3710</v>
      </c>
    </row>
    <row r="43" spans="1:21" x14ac:dyDescent="0.25">
      <c r="A43" s="5">
        <v>1941</v>
      </c>
      <c r="B43" s="7">
        <v>14401</v>
      </c>
      <c r="C43" s="7">
        <v>2721</v>
      </c>
      <c r="D43" s="7">
        <v>42069</v>
      </c>
      <c r="E43" s="7">
        <v>5149</v>
      </c>
      <c r="F43" s="7">
        <v>9315</v>
      </c>
      <c r="G43" s="7">
        <v>633</v>
      </c>
      <c r="H43" s="7">
        <v>4326</v>
      </c>
      <c r="I43" s="7">
        <v>1801</v>
      </c>
      <c r="J43" s="7">
        <v>2521</v>
      </c>
      <c r="K43" s="7">
        <v>1654</v>
      </c>
      <c r="L43" s="7">
        <v>2252</v>
      </c>
      <c r="M43" s="7">
        <v>2876</v>
      </c>
      <c r="N43" s="7">
        <v>1171</v>
      </c>
      <c r="O43" s="7">
        <v>20208</v>
      </c>
      <c r="P43" s="7">
        <v>844</v>
      </c>
      <c r="Q43" s="7">
        <v>636</v>
      </c>
      <c r="R43" s="7">
        <v>1137</v>
      </c>
      <c r="S43" s="7">
        <v>6797</v>
      </c>
      <c r="T43" s="7">
        <v>1994</v>
      </c>
      <c r="U43" s="7">
        <v>3803</v>
      </c>
    </row>
    <row r="44" spans="1:21" x14ac:dyDescent="0.25">
      <c r="A44" s="5">
        <v>1942</v>
      </c>
      <c r="B44" s="7">
        <v>14637</v>
      </c>
      <c r="C44" s="7">
        <v>2753</v>
      </c>
      <c r="D44" s="7">
        <v>43062</v>
      </c>
      <c r="E44" s="7">
        <v>5244</v>
      </c>
      <c r="F44" s="7">
        <v>9540</v>
      </c>
      <c r="G44" s="7">
        <v>647</v>
      </c>
      <c r="H44" s="7">
        <v>4372</v>
      </c>
      <c r="I44" s="7">
        <v>1844</v>
      </c>
      <c r="J44" s="7">
        <v>2575</v>
      </c>
      <c r="K44" s="7">
        <v>1675</v>
      </c>
      <c r="L44" s="7">
        <v>2300</v>
      </c>
      <c r="M44" s="7">
        <v>2936</v>
      </c>
      <c r="N44" s="7">
        <v>1195</v>
      </c>
      <c r="O44" s="7">
        <v>20657</v>
      </c>
      <c r="P44" s="7">
        <v>863</v>
      </c>
      <c r="Q44" s="7">
        <v>651</v>
      </c>
      <c r="R44" s="7">
        <v>1164</v>
      </c>
      <c r="S44" s="7">
        <v>6915</v>
      </c>
      <c r="T44" s="7">
        <v>2014</v>
      </c>
      <c r="U44" s="7">
        <v>3914</v>
      </c>
    </row>
    <row r="45" spans="1:21" x14ac:dyDescent="0.25">
      <c r="A45" s="5">
        <v>1943</v>
      </c>
      <c r="B45" s="7">
        <v>14877</v>
      </c>
      <c r="C45" s="7">
        <v>2785</v>
      </c>
      <c r="D45" s="7">
        <v>43992</v>
      </c>
      <c r="E45" s="7">
        <v>5341</v>
      </c>
      <c r="F45" s="7">
        <v>9774</v>
      </c>
      <c r="G45" s="7">
        <v>661</v>
      </c>
      <c r="H45" s="7">
        <v>4779</v>
      </c>
      <c r="I45" s="7">
        <v>1889</v>
      </c>
      <c r="J45" s="7">
        <v>2641</v>
      </c>
      <c r="K45" s="7">
        <v>1691</v>
      </c>
      <c r="L45" s="7">
        <v>2339</v>
      </c>
      <c r="M45" s="7">
        <v>2979</v>
      </c>
      <c r="N45" s="7">
        <v>1213</v>
      </c>
      <c r="O45" s="7">
        <v>21165</v>
      </c>
      <c r="P45" s="7">
        <v>880</v>
      </c>
      <c r="Q45" s="7">
        <v>669</v>
      </c>
      <c r="R45" s="7">
        <v>1191</v>
      </c>
      <c r="S45" s="7">
        <v>7035</v>
      </c>
      <c r="T45" s="7">
        <v>2034</v>
      </c>
      <c r="U45" s="7">
        <v>4028</v>
      </c>
    </row>
    <row r="46" spans="1:21" x14ac:dyDescent="0.25">
      <c r="A46" s="5">
        <v>1944</v>
      </c>
      <c r="B46" s="7">
        <v>15130</v>
      </c>
      <c r="C46" s="7">
        <v>2817</v>
      </c>
      <c r="D46" s="7">
        <v>44842</v>
      </c>
      <c r="E46" s="7">
        <v>5440</v>
      </c>
      <c r="F46" s="7">
        <v>10016</v>
      </c>
      <c r="G46" s="7">
        <v>677</v>
      </c>
      <c r="H46" s="7">
        <v>4849</v>
      </c>
      <c r="I46" s="7">
        <v>1934</v>
      </c>
      <c r="J46" s="7">
        <v>2712</v>
      </c>
      <c r="K46" s="7">
        <v>1719</v>
      </c>
      <c r="L46" s="7">
        <v>2384</v>
      </c>
      <c r="M46" s="7">
        <v>3032</v>
      </c>
      <c r="N46" s="7">
        <v>1237</v>
      </c>
      <c r="O46" s="7">
        <v>21674</v>
      </c>
      <c r="P46" s="7">
        <v>900</v>
      </c>
      <c r="Q46" s="7">
        <v>685</v>
      </c>
      <c r="R46" s="7">
        <v>1219</v>
      </c>
      <c r="S46" s="7">
        <v>7159</v>
      </c>
      <c r="T46" s="7">
        <v>2055</v>
      </c>
      <c r="U46" s="7">
        <v>4146</v>
      </c>
    </row>
    <row r="47" spans="1:21" x14ac:dyDescent="0.25">
      <c r="A47" s="5">
        <v>1945</v>
      </c>
      <c r="B47" s="7">
        <v>15390</v>
      </c>
      <c r="C47" s="7">
        <v>2850</v>
      </c>
      <c r="D47" s="7">
        <v>45860</v>
      </c>
      <c r="E47" s="7">
        <v>5541</v>
      </c>
      <c r="F47" s="7">
        <v>10267</v>
      </c>
      <c r="G47" s="7">
        <v>695</v>
      </c>
      <c r="H47" s="7">
        <v>4932</v>
      </c>
      <c r="I47" s="7">
        <v>1982</v>
      </c>
      <c r="J47" s="7">
        <v>2781</v>
      </c>
      <c r="K47" s="7">
        <v>1742</v>
      </c>
      <c r="L47" s="7">
        <v>2438</v>
      </c>
      <c r="M47" s="7">
        <v>3087</v>
      </c>
      <c r="N47" s="7">
        <v>1261</v>
      </c>
      <c r="O47" s="7">
        <v>22233</v>
      </c>
      <c r="P47" s="7">
        <v>923</v>
      </c>
      <c r="Q47" s="7">
        <v>703</v>
      </c>
      <c r="R47" s="7">
        <v>1247</v>
      </c>
      <c r="S47" s="7">
        <v>7285</v>
      </c>
      <c r="T47" s="7">
        <v>2076</v>
      </c>
      <c r="U47" s="7">
        <v>4267</v>
      </c>
    </row>
    <row r="48" spans="1:21" x14ac:dyDescent="0.25">
      <c r="A48" s="5">
        <v>1946</v>
      </c>
      <c r="B48" s="7">
        <v>15654</v>
      </c>
      <c r="C48" s="7">
        <v>2883</v>
      </c>
      <c r="D48" s="7">
        <v>46975</v>
      </c>
      <c r="E48" s="7">
        <v>5643</v>
      </c>
      <c r="F48" s="7">
        <v>10528</v>
      </c>
      <c r="G48" s="7">
        <v>709</v>
      </c>
      <c r="H48" s="7">
        <v>5039</v>
      </c>
      <c r="I48" s="7">
        <v>2030</v>
      </c>
      <c r="J48" s="7">
        <v>2853</v>
      </c>
      <c r="K48" s="7">
        <v>1764</v>
      </c>
      <c r="L48" s="7">
        <v>2498</v>
      </c>
      <c r="M48" s="7">
        <v>3143</v>
      </c>
      <c r="N48" s="7">
        <v>1287</v>
      </c>
      <c r="O48" s="7">
        <v>22779</v>
      </c>
      <c r="P48" s="7">
        <v>949</v>
      </c>
      <c r="Q48" s="7">
        <v>721</v>
      </c>
      <c r="R48" s="7">
        <v>1275</v>
      </c>
      <c r="S48" s="7">
        <v>7415</v>
      </c>
      <c r="T48" s="7">
        <v>2098</v>
      </c>
      <c r="U48" s="7">
        <v>4391</v>
      </c>
    </row>
    <row r="49" spans="1:21" x14ac:dyDescent="0.25">
      <c r="A49" s="5">
        <v>1947</v>
      </c>
      <c r="B49" s="7">
        <v>15928</v>
      </c>
      <c r="C49" s="7">
        <v>2916</v>
      </c>
      <c r="D49" s="7">
        <v>48161</v>
      </c>
      <c r="E49" s="7">
        <v>5748</v>
      </c>
      <c r="F49" s="7">
        <v>10800</v>
      </c>
      <c r="G49" s="7">
        <v>726</v>
      </c>
      <c r="H49" s="7">
        <v>5152</v>
      </c>
      <c r="I49" s="7">
        <v>2080</v>
      </c>
      <c r="J49" s="7">
        <v>2936</v>
      </c>
      <c r="K49" s="7">
        <v>1788</v>
      </c>
      <c r="L49" s="7">
        <v>2566</v>
      </c>
      <c r="M49" s="7">
        <v>3200</v>
      </c>
      <c r="N49" s="7">
        <v>1320</v>
      </c>
      <c r="O49" s="7">
        <v>23440</v>
      </c>
      <c r="P49" s="7">
        <v>977</v>
      </c>
      <c r="Q49" s="7">
        <v>739</v>
      </c>
      <c r="R49" s="7">
        <v>1305</v>
      </c>
      <c r="S49" s="7">
        <v>7547</v>
      </c>
      <c r="T49" s="7">
        <v>2121</v>
      </c>
      <c r="U49" s="7">
        <v>4548</v>
      </c>
    </row>
    <row r="50" spans="1:21" x14ac:dyDescent="0.25">
      <c r="A50" s="5">
        <v>1948</v>
      </c>
      <c r="B50" s="7">
        <v>16269</v>
      </c>
      <c r="C50" s="7">
        <v>2950</v>
      </c>
      <c r="D50" s="7">
        <v>49422</v>
      </c>
      <c r="E50" s="7">
        <v>5854</v>
      </c>
      <c r="F50" s="7">
        <v>11081</v>
      </c>
      <c r="G50" s="7">
        <v>746</v>
      </c>
      <c r="H50" s="7">
        <v>5268</v>
      </c>
      <c r="I50" s="7">
        <v>2131</v>
      </c>
      <c r="J50" s="7">
        <v>3017</v>
      </c>
      <c r="K50" s="7">
        <v>1811</v>
      </c>
      <c r="L50" s="7">
        <v>2641</v>
      </c>
      <c r="M50" s="7">
        <v>3258</v>
      </c>
      <c r="N50" s="7">
        <v>1353</v>
      </c>
      <c r="O50" s="7">
        <v>24129</v>
      </c>
      <c r="P50" s="7">
        <v>1001</v>
      </c>
      <c r="Q50" s="7">
        <v>758</v>
      </c>
      <c r="R50" s="7">
        <v>1335</v>
      </c>
      <c r="S50" s="7">
        <v>7682</v>
      </c>
      <c r="T50" s="7">
        <v>2144</v>
      </c>
      <c r="U50" s="7">
        <v>4686</v>
      </c>
    </row>
    <row r="51" spans="1:21" x14ac:dyDescent="0.25">
      <c r="A51" s="5">
        <v>1949</v>
      </c>
      <c r="B51" s="7">
        <v>16656</v>
      </c>
      <c r="C51" s="7">
        <v>2955</v>
      </c>
      <c r="D51" s="7">
        <v>50759</v>
      </c>
      <c r="E51" s="7">
        <v>5962</v>
      </c>
      <c r="F51" s="7">
        <v>11373</v>
      </c>
      <c r="G51" s="7">
        <v>771</v>
      </c>
      <c r="H51" s="7">
        <v>5386</v>
      </c>
      <c r="I51" s="7">
        <v>2185</v>
      </c>
      <c r="J51" s="7">
        <v>3104</v>
      </c>
      <c r="K51" s="7">
        <v>1835</v>
      </c>
      <c r="L51" s="7">
        <v>2724</v>
      </c>
      <c r="M51" s="7">
        <v>3318</v>
      </c>
      <c r="N51" s="7">
        <v>1389</v>
      </c>
      <c r="O51" s="7">
        <v>24825</v>
      </c>
      <c r="P51" s="7">
        <v>1028</v>
      </c>
      <c r="Q51" s="7">
        <v>777</v>
      </c>
      <c r="R51" s="7">
        <v>1366</v>
      </c>
      <c r="S51" s="7">
        <v>7822</v>
      </c>
      <c r="T51" s="7">
        <v>2169</v>
      </c>
      <c r="U51" s="7">
        <v>4828</v>
      </c>
    </row>
    <row r="52" spans="1:21" x14ac:dyDescent="0.25">
      <c r="A52" s="5">
        <v>1950</v>
      </c>
      <c r="B52" s="7">
        <v>17070</v>
      </c>
      <c r="C52" s="7">
        <v>3013</v>
      </c>
      <c r="D52" s="7">
        <v>52178</v>
      </c>
      <c r="E52" s="7">
        <v>6073</v>
      </c>
      <c r="F52" s="7">
        <v>11679</v>
      </c>
      <c r="G52" s="7">
        <v>801</v>
      </c>
      <c r="H52" s="7">
        <v>5508</v>
      </c>
      <c r="I52" s="7">
        <v>2243</v>
      </c>
      <c r="J52" s="7">
        <v>3197</v>
      </c>
      <c r="K52" s="7">
        <v>1868</v>
      </c>
      <c r="L52" s="7">
        <v>2805</v>
      </c>
      <c r="M52" s="7">
        <v>3380</v>
      </c>
      <c r="N52" s="7">
        <v>1428</v>
      </c>
      <c r="O52" s="7">
        <v>25791</v>
      </c>
      <c r="P52" s="7">
        <v>1060</v>
      </c>
      <c r="Q52" s="7">
        <v>797</v>
      </c>
      <c r="R52" s="7">
        <v>1397</v>
      </c>
      <c r="S52" s="7">
        <v>7969</v>
      </c>
      <c r="T52" s="7">
        <v>2195</v>
      </c>
      <c r="U52" s="7">
        <v>4974</v>
      </c>
    </row>
    <row r="53" spans="1:21" x14ac:dyDescent="0.25">
      <c r="A53" s="5">
        <v>1951</v>
      </c>
      <c r="B53" s="7">
        <v>17408</v>
      </c>
      <c r="C53" s="7">
        <v>3061.3</v>
      </c>
      <c r="D53" s="7">
        <v>53786.3</v>
      </c>
      <c r="E53" s="7">
        <v>6205.5</v>
      </c>
      <c r="F53" s="7">
        <v>11991</v>
      </c>
      <c r="G53" s="7">
        <v>831.7</v>
      </c>
      <c r="H53" s="7">
        <v>5628.9</v>
      </c>
      <c r="I53" s="7">
        <v>2313</v>
      </c>
      <c r="J53" s="7">
        <v>3288.5</v>
      </c>
      <c r="K53" s="7">
        <v>1920.7</v>
      </c>
      <c r="L53" s="7">
        <v>2885.6</v>
      </c>
      <c r="M53" s="7">
        <v>3427.6</v>
      </c>
      <c r="N53" s="7">
        <v>1470.6</v>
      </c>
      <c r="O53" s="7">
        <v>26525.8</v>
      </c>
      <c r="P53" s="7">
        <v>1097.4000000000001</v>
      </c>
      <c r="Q53" s="7">
        <v>818.3</v>
      </c>
      <c r="R53" s="7">
        <v>1431.2</v>
      </c>
      <c r="S53" s="7">
        <v>8184.9</v>
      </c>
      <c r="T53" s="7">
        <v>2217.6999999999998</v>
      </c>
      <c r="U53" s="7">
        <v>5209.2</v>
      </c>
    </row>
    <row r="54" spans="1:21" x14ac:dyDescent="0.25">
      <c r="A54" s="5">
        <v>1952</v>
      </c>
      <c r="B54" s="7">
        <v>17747.3</v>
      </c>
      <c r="C54" s="7">
        <v>3116.3</v>
      </c>
      <c r="D54" s="7">
        <v>55523</v>
      </c>
      <c r="E54" s="7">
        <v>6372.1</v>
      </c>
      <c r="F54" s="7">
        <v>12322.7</v>
      </c>
      <c r="G54" s="7">
        <v>870.3</v>
      </c>
      <c r="H54" s="7">
        <v>5772.6</v>
      </c>
      <c r="I54" s="7">
        <v>2394.5</v>
      </c>
      <c r="J54" s="7">
        <v>3399.3</v>
      </c>
      <c r="K54" s="7">
        <v>1989.4</v>
      </c>
      <c r="L54" s="7">
        <v>2984.5</v>
      </c>
      <c r="M54" s="7">
        <v>3471.6</v>
      </c>
      <c r="N54" s="7">
        <v>1521.4</v>
      </c>
      <c r="O54" s="7">
        <v>27386.6</v>
      </c>
      <c r="P54" s="7">
        <v>1148.7</v>
      </c>
      <c r="Q54" s="7">
        <v>844.1</v>
      </c>
      <c r="R54" s="7">
        <v>1471.7</v>
      </c>
      <c r="S54" s="7">
        <v>8392.2999999999993</v>
      </c>
      <c r="T54" s="7">
        <v>2245</v>
      </c>
      <c r="U54" s="7">
        <v>5476.1</v>
      </c>
    </row>
    <row r="55" spans="1:21" x14ac:dyDescent="0.25">
      <c r="A55" s="5">
        <v>1953</v>
      </c>
      <c r="B55" s="7">
        <v>18084.5</v>
      </c>
      <c r="C55" s="7">
        <v>3177.5</v>
      </c>
      <c r="D55" s="7">
        <v>57375.6</v>
      </c>
      <c r="E55" s="7">
        <v>6567</v>
      </c>
      <c r="F55" s="7">
        <v>12671.3</v>
      </c>
      <c r="G55" s="7">
        <v>916</v>
      </c>
      <c r="H55" s="7">
        <v>5936.6</v>
      </c>
      <c r="I55" s="7">
        <v>2486.6</v>
      </c>
      <c r="J55" s="7">
        <v>3526.6</v>
      </c>
      <c r="K55" s="7">
        <v>2072.3000000000002</v>
      </c>
      <c r="L55" s="7">
        <v>3098.5</v>
      </c>
      <c r="M55" s="7">
        <v>3513.3</v>
      </c>
      <c r="N55" s="7">
        <v>1579.5</v>
      </c>
      <c r="O55" s="7">
        <v>28361.4</v>
      </c>
      <c r="P55" s="7">
        <v>1212.5999999999999</v>
      </c>
      <c r="Q55" s="7">
        <v>873.8</v>
      </c>
      <c r="R55" s="7">
        <v>1517.6</v>
      </c>
      <c r="S55" s="7">
        <v>8592.4</v>
      </c>
      <c r="T55" s="7">
        <v>2276.1</v>
      </c>
      <c r="U55" s="7">
        <v>5771.4</v>
      </c>
    </row>
    <row r="56" spans="1:21" x14ac:dyDescent="0.25">
      <c r="A56" s="5">
        <v>1954</v>
      </c>
      <c r="B56" s="7">
        <v>18417.599999999999</v>
      </c>
      <c r="C56" s="7">
        <v>3244.4</v>
      </c>
      <c r="D56" s="7">
        <v>59332.1</v>
      </c>
      <c r="E56" s="7">
        <v>6784.6</v>
      </c>
      <c r="F56" s="7">
        <v>13037.3</v>
      </c>
      <c r="G56" s="7">
        <v>968.2</v>
      </c>
      <c r="H56" s="7">
        <v>6117</v>
      </c>
      <c r="I56" s="7">
        <v>2587.8000000000002</v>
      </c>
      <c r="J56" s="7">
        <v>3667.8</v>
      </c>
      <c r="K56" s="7">
        <v>2167.1999999999998</v>
      </c>
      <c r="L56" s="7">
        <v>3225.2</v>
      </c>
      <c r="M56" s="7">
        <v>3553.9</v>
      </c>
      <c r="N56" s="7">
        <v>1643.7</v>
      </c>
      <c r="O56" s="7">
        <v>29439.7</v>
      </c>
      <c r="P56" s="7">
        <v>1287.3</v>
      </c>
      <c r="Q56" s="7">
        <v>906.7</v>
      </c>
      <c r="R56" s="7">
        <v>1567.9</v>
      </c>
      <c r="S56" s="7">
        <v>8789.1</v>
      </c>
      <c r="T56" s="7">
        <v>2310.1</v>
      </c>
      <c r="U56" s="7">
        <v>6091.4</v>
      </c>
    </row>
    <row r="57" spans="1:21" x14ac:dyDescent="0.25">
      <c r="A57" s="5">
        <v>1955</v>
      </c>
      <c r="B57" s="7">
        <v>18744.599999999999</v>
      </c>
      <c r="C57" s="7">
        <v>3315.9</v>
      </c>
      <c r="D57" s="7">
        <v>61381.8</v>
      </c>
      <c r="E57" s="7">
        <v>7018.3</v>
      </c>
      <c r="F57" s="7">
        <v>13422.6</v>
      </c>
      <c r="G57" s="7">
        <v>1025.5</v>
      </c>
      <c r="H57" s="7">
        <v>6308.9</v>
      </c>
      <c r="I57" s="7">
        <v>2696.6</v>
      </c>
      <c r="J57" s="7">
        <v>3819.7</v>
      </c>
      <c r="K57" s="7">
        <v>2272.1999999999998</v>
      </c>
      <c r="L57" s="7">
        <v>3362.5</v>
      </c>
      <c r="M57" s="7">
        <v>3595</v>
      </c>
      <c r="N57" s="7">
        <v>1712.6</v>
      </c>
      <c r="O57" s="7">
        <v>30602.5</v>
      </c>
      <c r="P57" s="7">
        <v>1370.7</v>
      </c>
      <c r="Q57" s="7">
        <v>942</v>
      </c>
      <c r="R57" s="7">
        <v>1621.2</v>
      </c>
      <c r="S57" s="7">
        <v>8988</v>
      </c>
      <c r="T57" s="7">
        <v>2346.1</v>
      </c>
      <c r="U57" s="7">
        <v>6431.2</v>
      </c>
    </row>
    <row r="58" spans="1:21" x14ac:dyDescent="0.25">
      <c r="A58" s="5">
        <v>1956</v>
      </c>
      <c r="B58" s="7">
        <v>19070.400000000001</v>
      </c>
      <c r="C58" s="7">
        <v>3391.1</v>
      </c>
      <c r="D58" s="7">
        <v>63510.7</v>
      </c>
      <c r="E58" s="7">
        <v>7262.3</v>
      </c>
      <c r="F58" s="7">
        <v>13825.2</v>
      </c>
      <c r="G58" s="7">
        <v>1086.5999999999999</v>
      </c>
      <c r="H58" s="7">
        <v>6506.9</v>
      </c>
      <c r="I58" s="7">
        <v>2810.8</v>
      </c>
      <c r="J58" s="7">
        <v>3978.7</v>
      </c>
      <c r="K58" s="7">
        <v>2383.6</v>
      </c>
      <c r="L58" s="7">
        <v>3506.7</v>
      </c>
      <c r="M58" s="7">
        <v>3638.6</v>
      </c>
      <c r="N58" s="7">
        <v>1784.7</v>
      </c>
      <c r="O58" s="7">
        <v>31824.400000000001</v>
      </c>
      <c r="P58" s="7">
        <v>1460</v>
      </c>
      <c r="Q58" s="7">
        <v>979</v>
      </c>
      <c r="R58" s="7">
        <v>1676.2</v>
      </c>
      <c r="S58" s="7">
        <v>9193.2999999999993</v>
      </c>
      <c r="T58" s="7">
        <v>2383.4</v>
      </c>
      <c r="U58" s="7">
        <v>6785</v>
      </c>
    </row>
    <row r="59" spans="1:21" x14ac:dyDescent="0.25">
      <c r="A59" s="5">
        <v>1957</v>
      </c>
      <c r="B59" s="7">
        <v>19395.8</v>
      </c>
      <c r="C59" s="7">
        <v>3468.6</v>
      </c>
      <c r="D59" s="7">
        <v>65699.899999999994</v>
      </c>
      <c r="E59" s="7">
        <v>7508</v>
      </c>
      <c r="F59" s="7">
        <v>14247.2</v>
      </c>
      <c r="G59" s="7">
        <v>1149.8</v>
      </c>
      <c r="H59" s="7">
        <v>6705.3</v>
      </c>
      <c r="I59" s="7">
        <v>2928.1</v>
      </c>
      <c r="J59" s="7">
        <v>4140.7</v>
      </c>
      <c r="K59" s="7">
        <v>2496.9</v>
      </c>
      <c r="L59" s="7">
        <v>3653.7</v>
      </c>
      <c r="M59" s="7">
        <v>3685.1</v>
      </c>
      <c r="N59" s="7">
        <v>1858</v>
      </c>
      <c r="O59" s="7">
        <v>33078</v>
      </c>
      <c r="P59" s="7">
        <v>1551.2</v>
      </c>
      <c r="Q59" s="7">
        <v>1016.8</v>
      </c>
      <c r="R59" s="7">
        <v>1731.6</v>
      </c>
      <c r="S59" s="7">
        <v>9409.2999999999993</v>
      </c>
      <c r="T59" s="7">
        <v>2421.4</v>
      </c>
      <c r="U59" s="7">
        <v>7145.8</v>
      </c>
    </row>
    <row r="60" spans="1:21" x14ac:dyDescent="0.25">
      <c r="A60" s="5">
        <v>1958</v>
      </c>
      <c r="B60" s="7">
        <v>19720.5</v>
      </c>
      <c r="C60" s="7">
        <v>3547.2</v>
      </c>
      <c r="D60" s="7">
        <v>67927.3</v>
      </c>
      <c r="E60" s="7">
        <v>7745.2</v>
      </c>
      <c r="F60" s="7">
        <v>14681.8</v>
      </c>
      <c r="G60" s="7">
        <v>1213</v>
      </c>
      <c r="H60" s="7">
        <v>6897.8</v>
      </c>
      <c r="I60" s="7">
        <v>3045.5</v>
      </c>
      <c r="J60" s="7">
        <v>4300.6000000000004</v>
      </c>
      <c r="K60" s="7">
        <v>2606</v>
      </c>
      <c r="L60" s="7">
        <v>3797.7</v>
      </c>
      <c r="M60" s="7">
        <v>3736.1</v>
      </c>
      <c r="N60" s="7">
        <v>1930.5</v>
      </c>
      <c r="O60" s="7">
        <v>34333.699999999997</v>
      </c>
      <c r="P60" s="7">
        <v>1639.4</v>
      </c>
      <c r="Q60" s="7">
        <v>1054.7</v>
      </c>
      <c r="R60" s="7">
        <v>1785.8</v>
      </c>
      <c r="S60" s="7">
        <v>9640.9</v>
      </c>
      <c r="T60" s="7">
        <v>2459.3000000000002</v>
      </c>
      <c r="U60" s="7">
        <v>7504.7</v>
      </c>
    </row>
    <row r="61" spans="1:21" x14ac:dyDescent="0.25">
      <c r="A61" s="5">
        <v>1959</v>
      </c>
      <c r="B61" s="7">
        <v>20051.3</v>
      </c>
      <c r="C61" s="7">
        <v>3625.6</v>
      </c>
      <c r="D61" s="7">
        <v>70168.7</v>
      </c>
      <c r="E61" s="7">
        <v>7963.9</v>
      </c>
      <c r="F61" s="7">
        <v>15133</v>
      </c>
      <c r="G61" s="7">
        <v>1273.4000000000001</v>
      </c>
      <c r="H61" s="7">
        <v>7077.9</v>
      </c>
      <c r="I61" s="7">
        <v>3160.1</v>
      </c>
      <c r="J61" s="7">
        <v>4452.8999999999996</v>
      </c>
      <c r="K61" s="7">
        <v>2705.7</v>
      </c>
      <c r="L61" s="7">
        <v>3935.6</v>
      </c>
      <c r="M61" s="7">
        <v>3793.3</v>
      </c>
      <c r="N61" s="7">
        <v>1999.4</v>
      </c>
      <c r="O61" s="7">
        <v>35560.1</v>
      </c>
      <c r="P61" s="7">
        <v>1718.8</v>
      </c>
      <c r="Q61" s="7">
        <v>1091.4000000000001</v>
      </c>
      <c r="R61" s="7">
        <v>1837.2</v>
      </c>
      <c r="S61" s="7">
        <v>9894</v>
      </c>
      <c r="T61" s="7">
        <v>2495.9</v>
      </c>
      <c r="U61" s="7">
        <v>7847.6</v>
      </c>
    </row>
    <row r="62" spans="1:21" x14ac:dyDescent="0.25">
      <c r="A62" s="5">
        <v>1960</v>
      </c>
      <c r="B62" s="7">
        <v>20386</v>
      </c>
      <c r="C62" s="7">
        <v>3702.3</v>
      </c>
      <c r="D62" s="7">
        <v>72388.100000000006</v>
      </c>
      <c r="E62" s="7">
        <v>8153.4</v>
      </c>
      <c r="F62" s="7">
        <v>15606.2</v>
      </c>
      <c r="G62" s="7">
        <v>1327.5</v>
      </c>
      <c r="H62" s="7">
        <v>7238.1</v>
      </c>
      <c r="I62" s="7">
        <v>3268.3</v>
      </c>
      <c r="J62" s="7">
        <v>4590.8999999999996</v>
      </c>
      <c r="K62" s="7">
        <v>2791.5</v>
      </c>
      <c r="L62" s="7">
        <v>4063.7</v>
      </c>
      <c r="M62" s="7">
        <v>3858.4</v>
      </c>
      <c r="N62" s="7">
        <v>2062.1</v>
      </c>
      <c r="O62" s="7">
        <v>36724.6</v>
      </c>
      <c r="P62" s="7">
        <v>1782.4</v>
      </c>
      <c r="Q62" s="7">
        <v>1126</v>
      </c>
      <c r="R62" s="7">
        <v>1883.5</v>
      </c>
      <c r="S62" s="7">
        <v>10174.1</v>
      </c>
      <c r="T62" s="7">
        <v>2530</v>
      </c>
      <c r="U62" s="7">
        <v>8160.1</v>
      </c>
    </row>
    <row r="63" spans="1:21" x14ac:dyDescent="0.25">
      <c r="A63" s="5">
        <v>1961</v>
      </c>
      <c r="B63" s="7">
        <v>20726.3</v>
      </c>
      <c r="C63" s="7">
        <v>3778.7</v>
      </c>
      <c r="D63" s="7">
        <v>74605.399999999994</v>
      </c>
      <c r="E63" s="7">
        <v>8324.7999999999993</v>
      </c>
      <c r="F63" s="7">
        <v>16095.2</v>
      </c>
      <c r="G63" s="7">
        <v>1377.9</v>
      </c>
      <c r="H63" s="7">
        <v>7387.1</v>
      </c>
      <c r="I63" s="7">
        <v>3373.2</v>
      </c>
      <c r="J63" s="7">
        <v>4722.3</v>
      </c>
      <c r="K63" s="7">
        <v>2870</v>
      </c>
      <c r="L63" s="7">
        <v>4186.2</v>
      </c>
      <c r="M63" s="7">
        <v>3929</v>
      </c>
      <c r="N63" s="7">
        <v>2121.1999999999998</v>
      </c>
      <c r="O63" s="7">
        <v>37890.1</v>
      </c>
      <c r="P63" s="7">
        <v>1836.5</v>
      </c>
      <c r="Q63" s="7">
        <v>1159.9000000000001</v>
      </c>
      <c r="R63" s="7">
        <v>1927.4</v>
      </c>
      <c r="S63" s="7">
        <v>10475.1</v>
      </c>
      <c r="T63" s="7">
        <v>2562</v>
      </c>
      <c r="U63" s="7">
        <v>8455.9</v>
      </c>
    </row>
    <row r="64" spans="1:21" x14ac:dyDescent="0.25">
      <c r="A64" s="5">
        <v>1962</v>
      </c>
      <c r="B64" s="7">
        <v>21072.5</v>
      </c>
      <c r="C64" s="7">
        <v>3857.5</v>
      </c>
      <c r="D64" s="7">
        <v>76865.3</v>
      </c>
      <c r="E64" s="7">
        <v>8497.1</v>
      </c>
      <c r="F64" s="7">
        <v>16599</v>
      </c>
      <c r="G64" s="7">
        <v>1429.4</v>
      </c>
      <c r="H64" s="7">
        <v>7541.1</v>
      </c>
      <c r="I64" s="7">
        <v>3479.9</v>
      </c>
      <c r="J64" s="7">
        <v>4859.3</v>
      </c>
      <c r="K64" s="7">
        <v>2949.2</v>
      </c>
      <c r="L64" s="7">
        <v>4312</v>
      </c>
      <c r="M64" s="7">
        <v>4001.6</v>
      </c>
      <c r="N64" s="7">
        <v>2182.1</v>
      </c>
      <c r="O64" s="7">
        <v>39129.199999999997</v>
      </c>
      <c r="P64" s="7">
        <v>1892.3</v>
      </c>
      <c r="Q64" s="7">
        <v>1195.3</v>
      </c>
      <c r="R64" s="7">
        <v>1973.1</v>
      </c>
      <c r="S64" s="7">
        <v>10784.6</v>
      </c>
      <c r="T64" s="7">
        <v>2593.3000000000002</v>
      </c>
      <c r="U64" s="7">
        <v>8756.9</v>
      </c>
    </row>
    <row r="65" spans="1:21" x14ac:dyDescent="0.25">
      <c r="A65" s="5">
        <v>1963</v>
      </c>
      <c r="B65" s="7">
        <v>21421.7</v>
      </c>
      <c r="C65" s="7">
        <v>3938.9</v>
      </c>
      <c r="D65" s="7">
        <v>79164.2</v>
      </c>
      <c r="E65" s="7">
        <v>8670.1</v>
      </c>
      <c r="F65" s="7">
        <v>17113.8</v>
      </c>
      <c r="G65" s="7">
        <v>1481.6</v>
      </c>
      <c r="H65" s="7">
        <v>7701.7</v>
      </c>
      <c r="I65" s="7">
        <v>3588.3</v>
      </c>
      <c r="J65" s="7">
        <v>5001.7</v>
      </c>
      <c r="K65" s="7">
        <v>3028.7</v>
      </c>
      <c r="L65" s="7">
        <v>4440.3</v>
      </c>
      <c r="M65" s="7">
        <v>4073.1</v>
      </c>
      <c r="N65" s="7">
        <v>2244.9</v>
      </c>
      <c r="O65" s="7">
        <v>40424.1</v>
      </c>
      <c r="P65" s="7">
        <v>1950.2</v>
      </c>
      <c r="Q65" s="7">
        <v>1232.0999999999999</v>
      </c>
      <c r="R65" s="7">
        <v>2021.9</v>
      </c>
      <c r="S65" s="7">
        <v>11102.1</v>
      </c>
      <c r="T65" s="7">
        <v>2623.8</v>
      </c>
      <c r="U65" s="7">
        <v>9064</v>
      </c>
    </row>
    <row r="66" spans="1:21" x14ac:dyDescent="0.25">
      <c r="A66" s="5">
        <v>1964</v>
      </c>
      <c r="B66" s="7">
        <v>21769.5</v>
      </c>
      <c r="C66" s="7">
        <v>4023</v>
      </c>
      <c r="D66" s="7">
        <v>81488.600000000006</v>
      </c>
      <c r="E66" s="7">
        <v>8842.5</v>
      </c>
      <c r="F66" s="7">
        <v>17637.400000000001</v>
      </c>
      <c r="G66" s="7">
        <v>1534</v>
      </c>
      <c r="H66" s="7">
        <v>7866</v>
      </c>
      <c r="I66" s="7">
        <v>3698.6</v>
      </c>
      <c r="J66" s="7">
        <v>5149.8999999999996</v>
      </c>
      <c r="K66" s="7">
        <v>3111.9</v>
      </c>
      <c r="L66" s="7">
        <v>4571.1000000000004</v>
      </c>
      <c r="M66" s="7">
        <v>4146.2</v>
      </c>
      <c r="N66" s="7">
        <v>2309.9</v>
      </c>
      <c r="O66" s="7">
        <v>41772</v>
      </c>
      <c r="P66" s="7">
        <v>2010.2</v>
      </c>
      <c r="Q66" s="7">
        <v>1270.0999999999999</v>
      </c>
      <c r="R66" s="7">
        <v>2073.1</v>
      </c>
      <c r="S66" s="7">
        <v>11428</v>
      </c>
      <c r="T66" s="7">
        <v>2653.2</v>
      </c>
      <c r="U66" s="7">
        <v>9377.7000000000007</v>
      </c>
    </row>
    <row r="67" spans="1:21" x14ac:dyDescent="0.25">
      <c r="A67" s="5">
        <v>1965</v>
      </c>
      <c r="B67" s="7">
        <v>22112.6</v>
      </c>
      <c r="C67" s="7">
        <v>4109.8</v>
      </c>
      <c r="D67" s="7">
        <v>83817.600000000006</v>
      </c>
      <c r="E67" s="7">
        <v>9012.9</v>
      </c>
      <c r="F67" s="7">
        <v>18169.099999999999</v>
      </c>
      <c r="G67" s="7">
        <v>1586.2</v>
      </c>
      <c r="H67" s="7">
        <v>8030.8</v>
      </c>
      <c r="I67" s="7">
        <v>3809</v>
      </c>
      <c r="J67" s="7">
        <v>5304</v>
      </c>
      <c r="K67" s="7">
        <v>3199.5</v>
      </c>
      <c r="L67" s="7">
        <v>4705</v>
      </c>
      <c r="M67" s="7">
        <v>4223.8</v>
      </c>
      <c r="N67" s="7">
        <v>2377.1999999999998</v>
      </c>
      <c r="O67" s="7">
        <v>43174.5</v>
      </c>
      <c r="P67" s="7">
        <v>2072.6999999999998</v>
      </c>
      <c r="Q67" s="7">
        <v>1308.8</v>
      </c>
      <c r="R67" s="7">
        <v>2125.1999999999998</v>
      </c>
      <c r="S67" s="7">
        <v>11761.1</v>
      </c>
      <c r="T67" s="7">
        <v>2681.2</v>
      </c>
      <c r="U67" s="7">
        <v>9697.7999999999993</v>
      </c>
    </row>
    <row r="68" spans="1:21" x14ac:dyDescent="0.25">
      <c r="A68" s="5">
        <v>1966</v>
      </c>
      <c r="B68" s="7">
        <v>22453.9</v>
      </c>
      <c r="C68" s="7">
        <v>4199.6000000000004</v>
      </c>
      <c r="D68" s="7">
        <v>86139.4</v>
      </c>
      <c r="E68" s="7">
        <v>9181.7000000000007</v>
      </c>
      <c r="F68" s="7">
        <v>18702.7</v>
      </c>
      <c r="G68" s="7">
        <v>1638.1</v>
      </c>
      <c r="H68" s="7">
        <v>8193.5</v>
      </c>
      <c r="I68" s="7">
        <v>3921.8</v>
      </c>
      <c r="J68" s="7">
        <v>5463.7</v>
      </c>
      <c r="K68" s="7">
        <v>3291</v>
      </c>
      <c r="L68" s="7">
        <v>4841</v>
      </c>
      <c r="M68" s="7">
        <v>4302.6000000000004</v>
      </c>
      <c r="N68" s="7">
        <v>2446.8000000000002</v>
      </c>
      <c r="O68" s="7">
        <v>44629.1</v>
      </c>
      <c r="P68" s="7">
        <v>2137.8000000000002</v>
      </c>
      <c r="Q68" s="7">
        <v>1348.4</v>
      </c>
      <c r="R68" s="7">
        <v>2177.6</v>
      </c>
      <c r="S68" s="7">
        <v>12101.3</v>
      </c>
      <c r="T68" s="7">
        <v>2707.6</v>
      </c>
      <c r="U68" s="7">
        <v>10024.9</v>
      </c>
    </row>
    <row r="69" spans="1:21" x14ac:dyDescent="0.25">
      <c r="A69" s="5">
        <v>1967</v>
      </c>
      <c r="B69" s="7">
        <v>22799.1</v>
      </c>
      <c r="C69" s="7">
        <v>4292.6000000000004</v>
      </c>
      <c r="D69" s="7">
        <v>88446.1</v>
      </c>
      <c r="E69" s="7">
        <v>9348.9</v>
      </c>
      <c r="F69" s="7">
        <v>19235.599999999999</v>
      </c>
      <c r="G69" s="7">
        <v>1689.5</v>
      </c>
      <c r="H69" s="7">
        <v>8352.6</v>
      </c>
      <c r="I69" s="7">
        <v>4038.9</v>
      </c>
      <c r="J69" s="7">
        <v>5629.1</v>
      </c>
      <c r="K69" s="7">
        <v>3385.2</v>
      </c>
      <c r="L69" s="7">
        <v>4978.8999999999996</v>
      </c>
      <c r="M69" s="7">
        <v>4383</v>
      </c>
      <c r="N69" s="7">
        <v>2518.6</v>
      </c>
      <c r="O69" s="7">
        <v>46129.599999999999</v>
      </c>
      <c r="P69" s="7">
        <v>2205.6</v>
      </c>
      <c r="Q69" s="7">
        <v>1388.6</v>
      </c>
      <c r="R69" s="7">
        <v>2230</v>
      </c>
      <c r="S69" s="7">
        <v>12448.8</v>
      </c>
      <c r="T69" s="7">
        <v>2732.3</v>
      </c>
      <c r="U69" s="7">
        <v>10358.5</v>
      </c>
    </row>
    <row r="70" spans="1:21" x14ac:dyDescent="0.25">
      <c r="A70" s="5">
        <v>1968</v>
      </c>
      <c r="B70" s="7">
        <v>23150.6</v>
      </c>
      <c r="C70" s="7">
        <v>4388.8999999999996</v>
      </c>
      <c r="D70" s="7">
        <v>90741.2</v>
      </c>
      <c r="E70" s="7">
        <v>9514.7000000000007</v>
      </c>
      <c r="F70" s="7">
        <v>19766.8</v>
      </c>
      <c r="G70" s="7">
        <v>1739.7</v>
      </c>
      <c r="H70" s="7">
        <v>8509.5</v>
      </c>
      <c r="I70" s="7">
        <v>4157.2</v>
      </c>
      <c r="J70" s="7">
        <v>5799.7</v>
      </c>
      <c r="K70" s="7">
        <v>3480.8</v>
      </c>
      <c r="L70" s="7">
        <v>5118.1000000000004</v>
      </c>
      <c r="M70" s="7">
        <v>4465.3</v>
      </c>
      <c r="N70" s="7">
        <v>2593.1</v>
      </c>
      <c r="O70" s="7">
        <v>47668.3</v>
      </c>
      <c r="P70" s="7">
        <v>2275.8000000000002</v>
      </c>
      <c r="Q70" s="7">
        <v>1429.4</v>
      </c>
      <c r="R70" s="7">
        <v>2282.4</v>
      </c>
      <c r="S70" s="7">
        <v>12804</v>
      </c>
      <c r="T70" s="7">
        <v>2754.6</v>
      </c>
      <c r="U70" s="7">
        <v>10697.5</v>
      </c>
    </row>
    <row r="71" spans="1:21" x14ac:dyDescent="0.25">
      <c r="A71" s="5">
        <v>1969</v>
      </c>
      <c r="B71" s="7">
        <v>23508.7</v>
      </c>
      <c r="C71" s="7">
        <v>4488.2</v>
      </c>
      <c r="D71" s="7">
        <v>93045.8</v>
      </c>
      <c r="E71" s="7">
        <v>9680.2999999999993</v>
      </c>
      <c r="F71" s="7">
        <v>20291.900000000001</v>
      </c>
      <c r="G71" s="7">
        <v>1789.3</v>
      </c>
      <c r="H71" s="7">
        <v>8666.6</v>
      </c>
      <c r="I71" s="7">
        <v>4277</v>
      </c>
      <c r="J71" s="7">
        <v>5975.2</v>
      </c>
      <c r="K71" s="7">
        <v>3576.5</v>
      </c>
      <c r="L71" s="7">
        <v>5257.1</v>
      </c>
      <c r="M71" s="7">
        <v>4549.3</v>
      </c>
      <c r="N71" s="7">
        <v>2670.3</v>
      </c>
      <c r="O71" s="7">
        <v>49233.2</v>
      </c>
      <c r="P71" s="7">
        <v>2348.4</v>
      </c>
      <c r="Q71" s="7">
        <v>1470.9</v>
      </c>
      <c r="R71" s="7">
        <v>2335</v>
      </c>
      <c r="S71" s="7">
        <v>13166.8</v>
      </c>
      <c r="T71" s="7">
        <v>2774</v>
      </c>
      <c r="U71" s="7">
        <v>11040.3</v>
      </c>
    </row>
    <row r="72" spans="1:21" x14ac:dyDescent="0.25">
      <c r="A72" s="5">
        <v>1970</v>
      </c>
      <c r="B72" s="7">
        <v>23878.3</v>
      </c>
      <c r="C72" s="7">
        <v>4590</v>
      </c>
      <c r="D72" s="7">
        <v>95375.7</v>
      </c>
      <c r="E72" s="7">
        <v>9845.2999999999993</v>
      </c>
      <c r="F72" s="7">
        <v>20811.8</v>
      </c>
      <c r="G72" s="7">
        <v>1838.9</v>
      </c>
      <c r="H72" s="7">
        <v>8824.4</v>
      </c>
      <c r="I72" s="7">
        <v>4399.3</v>
      </c>
      <c r="J72" s="7">
        <v>6155.4</v>
      </c>
      <c r="K72" s="7">
        <v>3668.8</v>
      </c>
      <c r="L72" s="7">
        <v>5397</v>
      </c>
      <c r="M72" s="7">
        <v>4635.1000000000004</v>
      </c>
      <c r="N72" s="7">
        <v>2750.7</v>
      </c>
      <c r="O72" s="7">
        <v>50815</v>
      </c>
      <c r="P72" s="7">
        <v>2423.1</v>
      </c>
      <c r="Q72" s="7">
        <v>1513.1</v>
      </c>
      <c r="R72" s="7">
        <v>2388</v>
      </c>
      <c r="S72" s="7">
        <v>13501.2</v>
      </c>
      <c r="T72" s="7">
        <v>2790.8</v>
      </c>
      <c r="U72" s="7">
        <v>11387.8</v>
      </c>
    </row>
    <row r="73" spans="1:21" x14ac:dyDescent="0.25">
      <c r="A73" s="5">
        <v>1971</v>
      </c>
      <c r="B73" s="7">
        <v>24257.200000000001</v>
      </c>
      <c r="C73" s="7">
        <v>4694.3</v>
      </c>
      <c r="D73" s="7">
        <v>97739.3</v>
      </c>
      <c r="E73" s="7">
        <v>10009.700000000001</v>
      </c>
      <c r="F73" s="7">
        <v>21319.1</v>
      </c>
      <c r="G73" s="7">
        <v>1888.5</v>
      </c>
      <c r="H73" s="7">
        <v>8979.1</v>
      </c>
      <c r="I73" s="7">
        <v>4524.2</v>
      </c>
      <c r="J73" s="7">
        <v>6340.1</v>
      </c>
      <c r="K73" s="7">
        <v>3757.5</v>
      </c>
      <c r="L73" s="7">
        <v>5538.4</v>
      </c>
      <c r="M73" s="7">
        <v>4723.2</v>
      </c>
      <c r="N73" s="7">
        <v>2834.6</v>
      </c>
      <c r="O73" s="7">
        <v>52412.6</v>
      </c>
      <c r="P73" s="7">
        <v>2499.8000000000002</v>
      </c>
      <c r="Q73" s="7">
        <v>1556.1</v>
      </c>
      <c r="R73" s="7">
        <v>2442.5</v>
      </c>
      <c r="S73" s="7">
        <v>13838.1</v>
      </c>
      <c r="T73" s="7">
        <v>2806.5</v>
      </c>
      <c r="U73" s="7">
        <v>11741</v>
      </c>
    </row>
    <row r="74" spans="1:21" x14ac:dyDescent="0.25">
      <c r="A74" s="5">
        <v>1972</v>
      </c>
      <c r="B74" s="7">
        <v>24644.3</v>
      </c>
      <c r="C74" s="7">
        <v>4801</v>
      </c>
      <c r="D74" s="7">
        <v>100146.8</v>
      </c>
      <c r="E74" s="7">
        <v>10174.700000000001</v>
      </c>
      <c r="F74" s="7">
        <v>21819.599999999999</v>
      </c>
      <c r="G74" s="7">
        <v>1938.2</v>
      </c>
      <c r="H74" s="7">
        <v>9123.9</v>
      </c>
      <c r="I74" s="7">
        <v>4651.8999999999996</v>
      </c>
      <c r="J74" s="7">
        <v>6529</v>
      </c>
      <c r="K74" s="7">
        <v>3846.8</v>
      </c>
      <c r="L74" s="7">
        <v>5682.8</v>
      </c>
      <c r="M74" s="7">
        <v>4813.8999999999996</v>
      </c>
      <c r="N74" s="7">
        <v>2922.1</v>
      </c>
      <c r="O74" s="7">
        <v>54030.2</v>
      </c>
      <c r="P74" s="7">
        <v>2573.6</v>
      </c>
      <c r="Q74" s="7">
        <v>1599.7</v>
      </c>
      <c r="R74" s="7">
        <v>2499.9</v>
      </c>
      <c r="S74" s="7">
        <v>14210.1</v>
      </c>
      <c r="T74" s="7">
        <v>2821.6</v>
      </c>
      <c r="U74" s="7">
        <v>12099.2</v>
      </c>
    </row>
    <row r="75" spans="1:21" x14ac:dyDescent="0.25">
      <c r="A75" s="5">
        <v>1973</v>
      </c>
      <c r="B75" s="7">
        <v>25046</v>
      </c>
      <c r="C75" s="7">
        <v>4910.2</v>
      </c>
      <c r="D75" s="7">
        <v>102601</v>
      </c>
      <c r="E75" s="7">
        <v>10340.4</v>
      </c>
      <c r="F75" s="7">
        <v>22325.4</v>
      </c>
      <c r="G75" s="7">
        <v>1988.3</v>
      </c>
      <c r="H75" s="7">
        <v>9255.2999999999993</v>
      </c>
      <c r="I75" s="7">
        <v>4782.2</v>
      </c>
      <c r="J75" s="7">
        <v>6722</v>
      </c>
      <c r="K75" s="7">
        <v>3938.1</v>
      </c>
      <c r="L75" s="7">
        <v>5831.6</v>
      </c>
      <c r="M75" s="7">
        <v>4906.7</v>
      </c>
      <c r="N75" s="7">
        <v>3011.5</v>
      </c>
      <c r="O75" s="7">
        <v>55667.3</v>
      </c>
      <c r="P75" s="7">
        <v>2649.3</v>
      </c>
      <c r="Q75" s="7">
        <v>1643.7</v>
      </c>
      <c r="R75" s="7">
        <v>2561.1</v>
      </c>
      <c r="S75" s="7">
        <v>14582.9</v>
      </c>
      <c r="T75" s="7">
        <v>2837.1</v>
      </c>
      <c r="U75" s="7">
        <v>12463.5</v>
      </c>
    </row>
    <row r="76" spans="1:21" x14ac:dyDescent="0.25">
      <c r="A76" s="5">
        <v>1974</v>
      </c>
      <c r="B76" s="7">
        <v>25461.4</v>
      </c>
      <c r="C76" s="7">
        <v>5022.5</v>
      </c>
      <c r="D76" s="7">
        <v>105089.7</v>
      </c>
      <c r="E76" s="7">
        <v>10505.8</v>
      </c>
      <c r="F76" s="7">
        <v>22833.5</v>
      </c>
      <c r="G76" s="7">
        <v>2039.6</v>
      </c>
      <c r="H76" s="7">
        <v>9374.2000000000007</v>
      </c>
      <c r="I76" s="7">
        <v>4914.2</v>
      </c>
      <c r="J76" s="7">
        <v>6918.6</v>
      </c>
      <c r="K76" s="7">
        <v>4029.7</v>
      </c>
      <c r="L76" s="7">
        <v>5981.2</v>
      </c>
      <c r="M76" s="7">
        <v>5001.8</v>
      </c>
      <c r="N76" s="7">
        <v>3099.8</v>
      </c>
      <c r="O76" s="7">
        <v>57320.1</v>
      </c>
      <c r="P76" s="7">
        <v>2732.1</v>
      </c>
      <c r="Q76" s="7">
        <v>1687.9</v>
      </c>
      <c r="R76" s="7">
        <v>2625.6</v>
      </c>
      <c r="S76" s="7">
        <v>14956.6</v>
      </c>
      <c r="T76" s="7">
        <v>2853.9</v>
      </c>
      <c r="U76" s="7">
        <v>12835.4</v>
      </c>
    </row>
    <row r="77" spans="1:21" x14ac:dyDescent="0.25">
      <c r="A77" s="5">
        <v>1975</v>
      </c>
      <c r="B77" s="7">
        <v>25874.1</v>
      </c>
      <c r="C77" s="7">
        <v>5137.5</v>
      </c>
      <c r="D77" s="7">
        <v>107619.6</v>
      </c>
      <c r="E77" s="7">
        <v>10671.6</v>
      </c>
      <c r="F77" s="7">
        <v>23344.6</v>
      </c>
      <c r="G77" s="7">
        <v>2092.6999999999998</v>
      </c>
      <c r="H77" s="7">
        <v>9479.7000000000007</v>
      </c>
      <c r="I77" s="7">
        <v>5046.8</v>
      </c>
      <c r="J77" s="7">
        <v>7118.3</v>
      </c>
      <c r="K77" s="7">
        <v>4120.3999999999996</v>
      </c>
      <c r="L77" s="7">
        <v>6128.7</v>
      </c>
      <c r="M77" s="7">
        <v>5099.1000000000004</v>
      </c>
      <c r="N77" s="7">
        <v>3193.2</v>
      </c>
      <c r="O77" s="7">
        <v>58982.400000000001</v>
      </c>
      <c r="P77" s="7">
        <v>2816.9</v>
      </c>
      <c r="Q77" s="7">
        <v>1732.4</v>
      </c>
      <c r="R77" s="7">
        <v>2691.6</v>
      </c>
      <c r="S77" s="7">
        <v>15334</v>
      </c>
      <c r="T77" s="7">
        <v>2872.3</v>
      </c>
      <c r="U77" s="7">
        <v>13215.9</v>
      </c>
    </row>
    <row r="78" spans="1:21" x14ac:dyDescent="0.25">
      <c r="A78" s="5">
        <v>1976</v>
      </c>
      <c r="B78" s="7">
        <v>26282.3</v>
      </c>
      <c r="C78" s="7">
        <v>5256.5</v>
      </c>
      <c r="D78" s="7">
        <v>110213.3</v>
      </c>
      <c r="E78" s="7">
        <v>10838.3</v>
      </c>
      <c r="F78" s="7">
        <v>23858.799999999999</v>
      </c>
      <c r="G78" s="7">
        <v>2147.8000000000002</v>
      </c>
      <c r="H78" s="7">
        <v>9571.2000000000007</v>
      </c>
      <c r="I78" s="7">
        <v>5180.3999999999996</v>
      </c>
      <c r="J78" s="7">
        <v>7320.9</v>
      </c>
      <c r="K78" s="7">
        <v>4210.3</v>
      </c>
      <c r="L78" s="7">
        <v>6262.4</v>
      </c>
      <c r="M78" s="7">
        <v>5198.3999999999996</v>
      </c>
      <c r="N78" s="7">
        <v>3294.5</v>
      </c>
      <c r="O78" s="7">
        <v>60645.5</v>
      </c>
      <c r="P78" s="7">
        <v>2903.9</v>
      </c>
      <c r="Q78" s="7">
        <v>1776.9</v>
      </c>
      <c r="R78" s="7">
        <v>2758.8</v>
      </c>
      <c r="S78" s="7">
        <v>15716.8</v>
      </c>
      <c r="T78" s="7">
        <v>2891.4</v>
      </c>
      <c r="U78" s="7">
        <v>13606.3</v>
      </c>
    </row>
    <row r="79" spans="1:21" x14ac:dyDescent="0.25">
      <c r="A79" s="5">
        <v>1977</v>
      </c>
      <c r="B79" s="7">
        <v>26701.8</v>
      </c>
      <c r="C79" s="7">
        <v>5379.2</v>
      </c>
      <c r="D79" s="7">
        <v>112875.3</v>
      </c>
      <c r="E79" s="7">
        <v>11005.5</v>
      </c>
      <c r="F79" s="7">
        <v>24393.5</v>
      </c>
      <c r="G79" s="7">
        <v>2205</v>
      </c>
      <c r="H79" s="7">
        <v>9648.4</v>
      </c>
      <c r="I79" s="7">
        <v>5315.4</v>
      </c>
      <c r="J79" s="7">
        <v>7526.8</v>
      </c>
      <c r="K79" s="7">
        <v>4301.3</v>
      </c>
      <c r="L79" s="7">
        <v>6401.5</v>
      </c>
      <c r="M79" s="7">
        <v>5299.5</v>
      </c>
      <c r="N79" s="7">
        <v>3398.7</v>
      </c>
      <c r="O79" s="7">
        <v>62308.5</v>
      </c>
      <c r="P79" s="7">
        <v>2992.5</v>
      </c>
      <c r="Q79" s="7">
        <v>1821.5</v>
      </c>
      <c r="R79" s="7">
        <v>2827.9</v>
      </c>
      <c r="S79" s="7">
        <v>16109.8</v>
      </c>
      <c r="T79" s="7">
        <v>2909.5</v>
      </c>
      <c r="U79" s="7">
        <v>14006.8</v>
      </c>
    </row>
    <row r="80" spans="1:21" x14ac:dyDescent="0.25">
      <c r="A80" s="5">
        <v>1978</v>
      </c>
      <c r="B80" s="7">
        <v>27132.2</v>
      </c>
      <c r="C80" s="7">
        <v>5504.1</v>
      </c>
      <c r="D80" s="7">
        <v>115600.9</v>
      </c>
      <c r="E80" s="7">
        <v>11172.7</v>
      </c>
      <c r="F80" s="7">
        <v>24950.3</v>
      </c>
      <c r="G80" s="7">
        <v>2264.5</v>
      </c>
      <c r="H80" s="7">
        <v>9712</v>
      </c>
      <c r="I80" s="7">
        <v>5451.9</v>
      </c>
      <c r="J80" s="7">
        <v>7736.2</v>
      </c>
      <c r="K80" s="7">
        <v>4394.1000000000004</v>
      </c>
      <c r="L80" s="7">
        <v>6561.5</v>
      </c>
      <c r="M80" s="7">
        <v>5402.6</v>
      </c>
      <c r="N80" s="7">
        <v>3505.5</v>
      </c>
      <c r="O80" s="7">
        <v>63979</v>
      </c>
      <c r="P80" s="7">
        <v>3080.3</v>
      </c>
      <c r="Q80" s="7">
        <v>1866.3</v>
      </c>
      <c r="R80" s="7">
        <v>2899.3</v>
      </c>
      <c r="S80" s="7">
        <v>16516.099999999999</v>
      </c>
      <c r="T80" s="7">
        <v>2925.7</v>
      </c>
      <c r="U80" s="7">
        <v>14416.7</v>
      </c>
    </row>
    <row r="81" spans="1:21" x14ac:dyDescent="0.25">
      <c r="A81" s="5">
        <v>1979</v>
      </c>
      <c r="B81" s="7">
        <v>27568.9</v>
      </c>
      <c r="C81" s="7">
        <v>5630.8</v>
      </c>
      <c r="D81" s="7">
        <v>118380.8</v>
      </c>
      <c r="E81" s="7">
        <v>11339.8</v>
      </c>
      <c r="F81" s="7">
        <v>25515.599999999999</v>
      </c>
      <c r="G81" s="7">
        <v>2326.5</v>
      </c>
      <c r="H81" s="7">
        <v>9763.4</v>
      </c>
      <c r="I81" s="7">
        <v>5589.7</v>
      </c>
      <c r="J81" s="7">
        <v>7948.9</v>
      </c>
      <c r="K81" s="7">
        <v>4480.3999999999996</v>
      </c>
      <c r="L81" s="7">
        <v>6727.8</v>
      </c>
      <c r="M81" s="7">
        <v>5507.6</v>
      </c>
      <c r="N81" s="7">
        <v>3615</v>
      </c>
      <c r="O81" s="7">
        <v>65648.899999999994</v>
      </c>
      <c r="P81" s="7">
        <v>3164.5</v>
      </c>
      <c r="Q81" s="7">
        <v>1911.6</v>
      </c>
      <c r="R81" s="7">
        <v>2974</v>
      </c>
      <c r="S81" s="7">
        <v>16933.099999999999</v>
      </c>
      <c r="T81" s="7">
        <v>2939.9</v>
      </c>
      <c r="U81" s="7">
        <v>14834.6</v>
      </c>
    </row>
    <row r="82" spans="1:21" x14ac:dyDescent="0.25">
      <c r="A82" s="5">
        <v>1980</v>
      </c>
      <c r="B82" s="7">
        <v>28011.599999999999</v>
      </c>
      <c r="C82" s="7">
        <v>5758.9</v>
      </c>
      <c r="D82" s="7">
        <v>121207.5</v>
      </c>
      <c r="E82" s="7">
        <v>11508.6</v>
      </c>
      <c r="F82" s="7">
        <v>26104.5</v>
      </c>
      <c r="G82" s="7">
        <v>2390.6</v>
      </c>
      <c r="H82" s="7">
        <v>9804.7999999999993</v>
      </c>
      <c r="I82" s="7">
        <v>5729</v>
      </c>
      <c r="J82" s="7">
        <v>8165.9</v>
      </c>
      <c r="K82" s="7">
        <v>4540.3999999999996</v>
      </c>
      <c r="L82" s="7">
        <v>6900.2</v>
      </c>
      <c r="M82" s="7">
        <v>5614.5</v>
      </c>
      <c r="N82" s="7">
        <v>3727.2</v>
      </c>
      <c r="O82" s="7">
        <v>67300.3</v>
      </c>
      <c r="P82" s="7">
        <v>3252.4</v>
      </c>
      <c r="Q82" s="7">
        <v>1957.5</v>
      </c>
      <c r="R82" s="7">
        <v>3053.2</v>
      </c>
      <c r="S82" s="7">
        <v>17360.900000000001</v>
      </c>
      <c r="T82" s="7">
        <v>2952</v>
      </c>
      <c r="U82" s="7">
        <v>15258.2</v>
      </c>
    </row>
    <row r="83" spans="1:21" x14ac:dyDescent="0.25">
      <c r="A83" s="5">
        <v>1981</v>
      </c>
      <c r="B83" s="7">
        <v>28464</v>
      </c>
      <c r="C83" s="7">
        <v>5888.1</v>
      </c>
      <c r="D83" s="7">
        <v>124063.1</v>
      </c>
      <c r="E83" s="7">
        <v>11678.7</v>
      </c>
      <c r="F83" s="7">
        <v>26713.3</v>
      </c>
      <c r="G83" s="7">
        <v>2456.6</v>
      </c>
      <c r="H83" s="7">
        <v>9849.2999999999993</v>
      </c>
      <c r="I83" s="7">
        <v>5868.5</v>
      </c>
      <c r="J83" s="7">
        <v>8386.9</v>
      </c>
      <c r="K83" s="7">
        <v>4570.6000000000004</v>
      </c>
      <c r="L83" s="7">
        <v>7075.6</v>
      </c>
      <c r="M83" s="7">
        <v>5723.7</v>
      </c>
      <c r="N83" s="7">
        <v>3841.8</v>
      </c>
      <c r="O83" s="7">
        <v>68892.100000000006</v>
      </c>
      <c r="P83" s="7">
        <v>3345.7</v>
      </c>
      <c r="Q83" s="7">
        <v>2004.4</v>
      </c>
      <c r="R83" s="7">
        <v>3137.6</v>
      </c>
      <c r="S83" s="7">
        <v>17798.8</v>
      </c>
      <c r="T83" s="7">
        <v>2963.2</v>
      </c>
      <c r="U83" s="7">
        <v>15687.3</v>
      </c>
    </row>
    <row r="84" spans="1:21" x14ac:dyDescent="0.25">
      <c r="A84" s="5">
        <v>1982</v>
      </c>
      <c r="B84" s="7">
        <v>28924.3</v>
      </c>
      <c r="C84" s="7">
        <v>6018.1</v>
      </c>
      <c r="D84" s="7">
        <v>126923.2</v>
      </c>
      <c r="E84" s="7">
        <v>11850.2</v>
      </c>
      <c r="F84" s="7">
        <v>27338.3</v>
      </c>
      <c r="G84" s="7">
        <v>2524.8000000000002</v>
      </c>
      <c r="H84" s="7">
        <v>9912.7000000000007</v>
      </c>
      <c r="I84" s="7">
        <v>6007.1</v>
      </c>
      <c r="J84" s="7">
        <v>8611.2999999999993</v>
      </c>
      <c r="K84" s="7">
        <v>4622.5</v>
      </c>
      <c r="L84" s="7">
        <v>7240.2</v>
      </c>
      <c r="M84" s="7">
        <v>5835.9</v>
      </c>
      <c r="N84" s="7">
        <v>3958.7</v>
      </c>
      <c r="O84" s="7">
        <v>70433.3</v>
      </c>
      <c r="P84" s="7">
        <v>3438.7</v>
      </c>
      <c r="Q84" s="7">
        <v>2052.3000000000002</v>
      </c>
      <c r="R84" s="7">
        <v>3226.2</v>
      </c>
      <c r="S84" s="7">
        <v>18246.5</v>
      </c>
      <c r="T84" s="7">
        <v>2975.5</v>
      </c>
      <c r="U84" s="7">
        <v>16121.9</v>
      </c>
    </row>
    <row r="85" spans="1:21" x14ac:dyDescent="0.25">
      <c r="A85" s="5">
        <v>1983</v>
      </c>
      <c r="B85" s="7">
        <v>29391.3</v>
      </c>
      <c r="C85" s="7">
        <v>6149.1</v>
      </c>
      <c r="D85" s="7">
        <v>129790.1</v>
      </c>
      <c r="E85" s="7">
        <v>12026.1</v>
      </c>
      <c r="F85" s="7">
        <v>27988.2</v>
      </c>
      <c r="G85" s="7">
        <v>2595.1999999999998</v>
      </c>
      <c r="H85" s="7">
        <v>9991</v>
      </c>
      <c r="I85" s="7">
        <v>6147.2</v>
      </c>
      <c r="J85" s="7">
        <v>8840.4</v>
      </c>
      <c r="K85" s="7">
        <v>4707.3999999999996</v>
      </c>
      <c r="L85" s="7">
        <v>7419.6</v>
      </c>
      <c r="M85" s="7">
        <v>5951.1</v>
      </c>
      <c r="N85" s="7">
        <v>4078.2</v>
      </c>
      <c r="O85" s="7">
        <v>71971.199999999997</v>
      </c>
      <c r="P85" s="7">
        <v>3530.3</v>
      </c>
      <c r="Q85" s="7">
        <v>2101.1</v>
      </c>
      <c r="R85" s="7">
        <v>3318.1</v>
      </c>
      <c r="S85" s="7">
        <v>18706</v>
      </c>
      <c r="T85" s="7">
        <v>2988.8</v>
      </c>
      <c r="U85" s="7">
        <v>16562.2</v>
      </c>
    </row>
    <row r="86" spans="1:21" x14ac:dyDescent="0.25">
      <c r="A86" s="5">
        <v>1984</v>
      </c>
      <c r="B86" s="7">
        <v>29863.1</v>
      </c>
      <c r="C86" s="7">
        <v>6281.9</v>
      </c>
      <c r="D86" s="7">
        <v>132658.9</v>
      </c>
      <c r="E86" s="7">
        <v>12207.7</v>
      </c>
      <c r="F86" s="7">
        <v>28642.7</v>
      </c>
      <c r="G86" s="7">
        <v>2667.6</v>
      </c>
      <c r="H86" s="7">
        <v>10073.299999999999</v>
      </c>
      <c r="I86" s="7">
        <v>6289</v>
      </c>
      <c r="J86" s="7">
        <v>9074.7999999999993</v>
      </c>
      <c r="K86" s="7">
        <v>4798</v>
      </c>
      <c r="L86" s="7">
        <v>7630.7</v>
      </c>
      <c r="M86" s="7">
        <v>6069.2</v>
      </c>
      <c r="N86" s="7">
        <v>4199.8999999999996</v>
      </c>
      <c r="O86" s="7">
        <v>73506.8</v>
      </c>
      <c r="P86" s="7">
        <v>3619.1</v>
      </c>
      <c r="Q86" s="7">
        <v>2150.8000000000002</v>
      </c>
      <c r="R86" s="7">
        <v>3412.9</v>
      </c>
      <c r="S86" s="7">
        <v>19174.7</v>
      </c>
      <c r="T86" s="7">
        <v>3002.5</v>
      </c>
      <c r="U86" s="7">
        <v>17008.8</v>
      </c>
    </row>
    <row r="87" spans="1:21" x14ac:dyDescent="0.25">
      <c r="A87" s="5">
        <v>1985</v>
      </c>
      <c r="B87" s="7">
        <v>30336.400000000001</v>
      </c>
      <c r="C87" s="7">
        <v>6416.2</v>
      </c>
      <c r="D87" s="7">
        <v>135515.6</v>
      </c>
      <c r="E87" s="7">
        <v>12395.3</v>
      </c>
      <c r="F87" s="7">
        <v>29268.5</v>
      </c>
      <c r="G87" s="7">
        <v>2741.9</v>
      </c>
      <c r="H87" s="7">
        <v>10157.200000000001</v>
      </c>
      <c r="I87" s="7">
        <v>6430.4</v>
      </c>
      <c r="J87" s="7">
        <v>9311.2000000000007</v>
      </c>
      <c r="K87" s="7">
        <v>4894.7</v>
      </c>
      <c r="L87" s="7">
        <v>7849.7</v>
      </c>
      <c r="M87" s="7">
        <v>6190.9</v>
      </c>
      <c r="N87" s="7">
        <v>4323.3</v>
      </c>
      <c r="O87" s="7">
        <v>75043.399999999994</v>
      </c>
      <c r="P87" s="7">
        <v>3706.5</v>
      </c>
      <c r="Q87" s="7">
        <v>2200.9</v>
      </c>
      <c r="R87" s="7">
        <v>3510.7</v>
      </c>
      <c r="S87" s="7">
        <v>19648.2</v>
      </c>
      <c r="T87" s="7">
        <v>3017</v>
      </c>
      <c r="U87" s="7">
        <v>17461.400000000001</v>
      </c>
    </row>
    <row r="88" spans="1:21" x14ac:dyDescent="0.25">
      <c r="A88" s="5">
        <v>1986</v>
      </c>
      <c r="B88" s="7">
        <v>30812</v>
      </c>
      <c r="C88" s="7">
        <v>6552.5</v>
      </c>
      <c r="D88" s="7">
        <v>138336.4</v>
      </c>
      <c r="E88" s="7">
        <v>12588.9</v>
      </c>
      <c r="F88" s="7">
        <v>29879.1</v>
      </c>
      <c r="G88" s="7">
        <v>2817.2</v>
      </c>
      <c r="H88" s="7">
        <v>10244.200000000001</v>
      </c>
      <c r="I88" s="7">
        <v>6571.2</v>
      </c>
      <c r="J88" s="7">
        <v>9546</v>
      </c>
      <c r="K88" s="7">
        <v>4992.8</v>
      </c>
      <c r="L88" s="7">
        <v>8070.8</v>
      </c>
      <c r="M88" s="7">
        <v>6316.1</v>
      </c>
      <c r="N88" s="7">
        <v>4448.8999999999996</v>
      </c>
      <c r="O88" s="7">
        <v>76585.600000000006</v>
      </c>
      <c r="P88" s="7">
        <v>3794.2</v>
      </c>
      <c r="Q88" s="7">
        <v>2251.3000000000002</v>
      </c>
      <c r="R88" s="7">
        <v>3611.5</v>
      </c>
      <c r="S88" s="7">
        <v>20117.099999999999</v>
      </c>
      <c r="T88" s="7">
        <v>3032.8</v>
      </c>
      <c r="U88" s="7">
        <v>17923.5</v>
      </c>
    </row>
    <row r="89" spans="1:21" x14ac:dyDescent="0.25">
      <c r="A89" s="5">
        <v>1987</v>
      </c>
      <c r="B89" s="7">
        <v>31291.8</v>
      </c>
      <c r="C89" s="7">
        <v>6692.2</v>
      </c>
      <c r="D89" s="7">
        <v>141104.9</v>
      </c>
      <c r="E89" s="7">
        <v>12790.2</v>
      </c>
      <c r="F89" s="7">
        <v>30499.5</v>
      </c>
      <c r="G89" s="7">
        <v>2892.7</v>
      </c>
      <c r="H89" s="7">
        <v>10335.299999999999</v>
      </c>
      <c r="I89" s="7">
        <v>6712.5</v>
      </c>
      <c r="J89" s="7">
        <v>9779.2999999999993</v>
      </c>
      <c r="K89" s="7">
        <v>5092.3999999999996</v>
      </c>
      <c r="L89" s="7">
        <v>8296.5</v>
      </c>
      <c r="M89" s="7">
        <v>6445.1</v>
      </c>
      <c r="N89" s="7">
        <v>4576.8999999999996</v>
      </c>
      <c r="O89" s="7">
        <v>78136.7</v>
      </c>
      <c r="P89" s="7">
        <v>3882.2</v>
      </c>
      <c r="Q89" s="7">
        <v>2302</v>
      </c>
      <c r="R89" s="7">
        <v>3714.9</v>
      </c>
      <c r="S89" s="7">
        <v>20582.3</v>
      </c>
      <c r="T89" s="7">
        <v>3049.9</v>
      </c>
      <c r="U89" s="7">
        <v>18395</v>
      </c>
    </row>
    <row r="90" spans="1:21" x14ac:dyDescent="0.25">
      <c r="A90" s="5">
        <v>1988</v>
      </c>
      <c r="B90" s="7">
        <v>31780.5</v>
      </c>
      <c r="C90" s="7">
        <v>6835.5</v>
      </c>
      <c r="D90" s="7">
        <v>143826.4</v>
      </c>
      <c r="E90" s="7">
        <v>12999.4</v>
      </c>
      <c r="F90" s="7">
        <v>31130.5</v>
      </c>
      <c r="G90" s="7">
        <v>2968.1</v>
      </c>
      <c r="H90" s="7">
        <v>10432.6</v>
      </c>
      <c r="I90" s="7">
        <v>6855.7</v>
      </c>
      <c r="J90" s="7">
        <v>10010.799999999999</v>
      </c>
      <c r="K90" s="7">
        <v>5195.8</v>
      </c>
      <c r="L90" s="7">
        <v>8532.1</v>
      </c>
      <c r="M90" s="7">
        <v>6578.1</v>
      </c>
      <c r="N90" s="7">
        <v>4707.7</v>
      </c>
      <c r="O90" s="7">
        <v>79695.5</v>
      </c>
      <c r="P90" s="7">
        <v>3972.3</v>
      </c>
      <c r="Q90" s="7">
        <v>2352.8000000000002</v>
      </c>
      <c r="R90" s="7">
        <v>3820.5</v>
      </c>
      <c r="S90" s="7">
        <v>21054.7</v>
      </c>
      <c r="T90" s="7">
        <v>3068</v>
      </c>
      <c r="U90" s="7">
        <v>18871</v>
      </c>
    </row>
    <row r="91" spans="1:21" x14ac:dyDescent="0.25">
      <c r="A91" s="5">
        <v>1989</v>
      </c>
      <c r="B91" s="7">
        <v>32270.9</v>
      </c>
      <c r="C91" s="7">
        <v>6981.8</v>
      </c>
      <c r="D91" s="7">
        <v>146503</v>
      </c>
      <c r="E91" s="7">
        <v>13215</v>
      </c>
      <c r="F91" s="7">
        <v>31776.3</v>
      </c>
      <c r="G91" s="7">
        <v>3043.8</v>
      </c>
      <c r="H91" s="7">
        <v>10533.2</v>
      </c>
      <c r="I91" s="7">
        <v>7002.3</v>
      </c>
      <c r="J91" s="7">
        <v>10241.9</v>
      </c>
      <c r="K91" s="7">
        <v>5299</v>
      </c>
      <c r="L91" s="7">
        <v>8775.5</v>
      </c>
      <c r="M91" s="7">
        <v>6714.7</v>
      </c>
      <c r="N91" s="7">
        <v>4841.8</v>
      </c>
      <c r="O91" s="7">
        <v>81247.199999999997</v>
      </c>
      <c r="P91" s="7">
        <v>4066.5</v>
      </c>
      <c r="Q91" s="7">
        <v>2403.8000000000002</v>
      </c>
      <c r="R91" s="7">
        <v>3927.8</v>
      </c>
      <c r="S91" s="7">
        <v>21532.6</v>
      </c>
      <c r="T91" s="7">
        <v>3086.3</v>
      </c>
      <c r="U91" s="7">
        <v>19348.900000000001</v>
      </c>
    </row>
    <row r="92" spans="1:21" x14ac:dyDescent="0.25">
      <c r="A92" s="5">
        <v>1990</v>
      </c>
      <c r="B92" s="7">
        <v>32755.9</v>
      </c>
      <c r="C92" s="7">
        <v>7130.1</v>
      </c>
      <c r="D92" s="7">
        <v>149143.20000000001</v>
      </c>
      <c r="E92" s="7">
        <v>13437.2</v>
      </c>
      <c r="F92" s="7">
        <v>32440.1</v>
      </c>
      <c r="G92" s="7">
        <v>3121.7</v>
      </c>
      <c r="H92" s="7">
        <v>10631.8</v>
      </c>
      <c r="I92" s="7">
        <v>7151.2</v>
      </c>
      <c r="J92" s="7">
        <v>10473.700000000001</v>
      </c>
      <c r="K92" s="7">
        <v>5399.7</v>
      </c>
      <c r="L92" s="7">
        <v>9024.7999999999993</v>
      </c>
      <c r="M92" s="7">
        <v>6854.4</v>
      </c>
      <c r="N92" s="7">
        <v>4980.5</v>
      </c>
      <c r="O92" s="7">
        <v>82820.2</v>
      </c>
      <c r="P92" s="7">
        <v>4162.6000000000004</v>
      </c>
      <c r="Q92" s="7">
        <v>2455.6</v>
      </c>
      <c r="R92" s="7">
        <v>4035.7</v>
      </c>
      <c r="S92" s="7">
        <v>22014.799999999999</v>
      </c>
      <c r="T92" s="7">
        <v>3104.4</v>
      </c>
      <c r="U92" s="7">
        <v>19827</v>
      </c>
    </row>
    <row r="93" spans="1:21" x14ac:dyDescent="0.25">
      <c r="A93" s="5">
        <v>1991</v>
      </c>
      <c r="B93" s="7">
        <v>33230.300000000003</v>
      </c>
      <c r="C93" s="7">
        <v>7280.3</v>
      </c>
      <c r="D93" s="7">
        <v>151724.29999999999</v>
      </c>
      <c r="E93" s="7">
        <v>13662.5</v>
      </c>
      <c r="F93" s="7">
        <v>33098.400000000001</v>
      </c>
      <c r="G93" s="7">
        <v>3202.2</v>
      </c>
      <c r="H93" s="7">
        <v>10717.6</v>
      </c>
      <c r="I93" s="7">
        <v>7299.9</v>
      </c>
      <c r="J93" s="7">
        <v>10702.4</v>
      </c>
      <c r="K93" s="7">
        <v>5495.1</v>
      </c>
      <c r="L93" s="7">
        <v>9272.6</v>
      </c>
      <c r="M93" s="7">
        <v>6995.5</v>
      </c>
      <c r="N93" s="7">
        <v>5123.8</v>
      </c>
      <c r="O93" s="7">
        <v>84430.6</v>
      </c>
      <c r="P93" s="7">
        <v>4259.6000000000004</v>
      </c>
      <c r="Q93" s="7">
        <v>2508.3000000000002</v>
      </c>
      <c r="R93" s="7">
        <v>4144.3999999999996</v>
      </c>
      <c r="S93" s="7">
        <v>22483.8</v>
      </c>
      <c r="T93" s="7">
        <v>3122.4</v>
      </c>
      <c r="U93" s="7">
        <v>20304.900000000001</v>
      </c>
    </row>
    <row r="94" spans="1:21" x14ac:dyDescent="0.25">
      <c r="A94" s="5">
        <v>1992</v>
      </c>
      <c r="B94" s="7">
        <v>33693.5</v>
      </c>
      <c r="C94" s="7">
        <v>7430.3</v>
      </c>
      <c r="D94" s="7">
        <v>154275.1</v>
      </c>
      <c r="E94" s="7">
        <v>13884.6</v>
      </c>
      <c r="F94" s="7">
        <v>33760.6</v>
      </c>
      <c r="G94" s="7">
        <v>3284.3</v>
      </c>
      <c r="H94" s="7">
        <v>10785.8</v>
      </c>
      <c r="I94" s="7">
        <v>7447.5</v>
      </c>
      <c r="J94" s="7">
        <v>10930.1</v>
      </c>
      <c r="K94" s="7">
        <v>5585.6</v>
      </c>
      <c r="L94" s="7">
        <v>9522.2999999999993</v>
      </c>
      <c r="M94" s="7">
        <v>7136.6</v>
      </c>
      <c r="N94" s="7">
        <v>5271.4</v>
      </c>
      <c r="O94" s="7">
        <v>86044.800000000003</v>
      </c>
      <c r="P94" s="7">
        <v>4357</v>
      </c>
      <c r="Q94" s="7">
        <v>2561.3000000000002</v>
      </c>
      <c r="R94" s="7">
        <v>4253.6000000000004</v>
      </c>
      <c r="S94" s="7">
        <v>22946.3</v>
      </c>
      <c r="T94" s="7">
        <v>3139.7</v>
      </c>
      <c r="U94" s="7">
        <v>20780.900000000001</v>
      </c>
    </row>
    <row r="95" spans="1:21" x14ac:dyDescent="0.25">
      <c r="A95" s="5">
        <v>1993</v>
      </c>
      <c r="B95" s="7">
        <v>34152.699999999997</v>
      </c>
      <c r="C95" s="7">
        <v>7579.2</v>
      </c>
      <c r="D95" s="7">
        <v>156794.6</v>
      </c>
      <c r="E95" s="7">
        <v>14102.3</v>
      </c>
      <c r="F95" s="7">
        <v>34441.5</v>
      </c>
      <c r="G95" s="7">
        <v>3367.4</v>
      </c>
      <c r="H95" s="7">
        <v>10841</v>
      </c>
      <c r="I95" s="7">
        <v>7594.6</v>
      </c>
      <c r="J95" s="7">
        <v>11154.3</v>
      </c>
      <c r="K95" s="7">
        <v>5660</v>
      </c>
      <c r="L95" s="7">
        <v>9779.7999999999993</v>
      </c>
      <c r="M95" s="7">
        <v>7278.2</v>
      </c>
      <c r="N95" s="7">
        <v>5423.2</v>
      </c>
      <c r="O95" s="7">
        <v>87653.8</v>
      </c>
      <c r="P95" s="7">
        <v>4453.7</v>
      </c>
      <c r="Q95" s="7">
        <v>2615.1</v>
      </c>
      <c r="R95" s="7">
        <v>4362.7</v>
      </c>
      <c r="S95" s="7">
        <v>23413.8</v>
      </c>
      <c r="T95" s="7">
        <v>3156.3</v>
      </c>
      <c r="U95" s="7">
        <v>21254.5</v>
      </c>
    </row>
    <row r="96" spans="1:21" x14ac:dyDescent="0.25">
      <c r="A96" s="5">
        <v>1994</v>
      </c>
      <c r="B96" s="7">
        <v>34613.5</v>
      </c>
      <c r="C96" s="7">
        <v>7727.3</v>
      </c>
      <c r="D96" s="7">
        <v>159265</v>
      </c>
      <c r="E96" s="7">
        <v>14316.3</v>
      </c>
      <c r="F96" s="7">
        <v>35127.4</v>
      </c>
      <c r="G96" s="7">
        <v>3451.1</v>
      </c>
      <c r="H96" s="7">
        <v>10886</v>
      </c>
      <c r="I96" s="7">
        <v>7741.7</v>
      </c>
      <c r="J96" s="7">
        <v>11372.2</v>
      </c>
      <c r="K96" s="7">
        <v>5714.1</v>
      </c>
      <c r="L96" s="7">
        <v>10043.700000000001</v>
      </c>
      <c r="M96" s="7">
        <v>7419.8</v>
      </c>
      <c r="N96" s="7">
        <v>5579.2</v>
      </c>
      <c r="O96" s="7">
        <v>89259.199999999997</v>
      </c>
      <c r="P96" s="7">
        <v>4549.3</v>
      </c>
      <c r="Q96" s="7">
        <v>2669.5</v>
      </c>
      <c r="R96" s="7">
        <v>4471.3999999999996</v>
      </c>
      <c r="S96" s="7">
        <v>23881.5</v>
      </c>
      <c r="T96" s="7">
        <v>3172.8</v>
      </c>
      <c r="U96" s="7">
        <v>21725.200000000001</v>
      </c>
    </row>
    <row r="97" spans="1:21" x14ac:dyDescent="0.25">
      <c r="A97" s="5">
        <v>1995</v>
      </c>
      <c r="B97" s="7">
        <v>35070</v>
      </c>
      <c r="C97" s="7">
        <v>7874.7</v>
      </c>
      <c r="D97" s="7">
        <v>161735.1</v>
      </c>
      <c r="E97" s="7">
        <v>14527.4</v>
      </c>
      <c r="F97" s="7">
        <v>35804.699999999997</v>
      </c>
      <c r="G97" s="7">
        <v>3535.2</v>
      </c>
      <c r="H97" s="7">
        <v>10925.4</v>
      </c>
      <c r="I97" s="7">
        <v>7888.1</v>
      </c>
      <c r="J97" s="7">
        <v>11590.5</v>
      </c>
      <c r="K97" s="7">
        <v>5762.1</v>
      </c>
      <c r="L97" s="7">
        <v>10313</v>
      </c>
      <c r="M97" s="7">
        <v>7562.5</v>
      </c>
      <c r="N97" s="7">
        <v>5739.6</v>
      </c>
      <c r="O97" s="7">
        <v>90862.5</v>
      </c>
      <c r="P97" s="7">
        <v>4642.8999999999996</v>
      </c>
      <c r="Q97" s="7">
        <v>2724.6</v>
      </c>
      <c r="R97" s="7">
        <v>4579.8</v>
      </c>
      <c r="S97" s="7">
        <v>24348.9</v>
      </c>
      <c r="T97" s="7">
        <v>3189.4</v>
      </c>
      <c r="U97" s="7">
        <v>22193.8</v>
      </c>
    </row>
    <row r="98" spans="1:21" x14ac:dyDescent="0.25">
      <c r="A98" s="5">
        <v>1996</v>
      </c>
      <c r="B98" s="7">
        <v>35513.800000000003</v>
      </c>
      <c r="C98" s="7">
        <v>8021.7</v>
      </c>
      <c r="D98" s="7">
        <v>164202.5</v>
      </c>
      <c r="E98" s="7">
        <v>14734</v>
      </c>
      <c r="F98" s="7">
        <v>36462.699999999997</v>
      </c>
      <c r="G98" s="7">
        <v>3619</v>
      </c>
      <c r="H98" s="7">
        <v>10962</v>
      </c>
      <c r="I98" s="7">
        <v>8032.9</v>
      </c>
      <c r="J98" s="7">
        <v>11811</v>
      </c>
      <c r="K98" s="7">
        <v>5805.3</v>
      </c>
      <c r="L98" s="7">
        <v>10583.5</v>
      </c>
      <c r="M98" s="7">
        <v>7707.6</v>
      </c>
      <c r="N98" s="7">
        <v>5904</v>
      </c>
      <c r="O98" s="7">
        <v>92452.7</v>
      </c>
      <c r="P98" s="7">
        <v>4730</v>
      </c>
      <c r="Q98" s="7">
        <v>2780.2</v>
      </c>
      <c r="R98" s="7">
        <v>4687.5</v>
      </c>
      <c r="S98" s="7">
        <v>24811.200000000001</v>
      </c>
      <c r="T98" s="7">
        <v>3206.3</v>
      </c>
      <c r="U98" s="7">
        <v>22662.1</v>
      </c>
    </row>
    <row r="99" spans="1:21" x14ac:dyDescent="0.25">
      <c r="A99" s="5">
        <v>1997</v>
      </c>
      <c r="B99" s="7">
        <v>35947.800000000003</v>
      </c>
      <c r="C99" s="7">
        <v>8167.9</v>
      </c>
      <c r="D99" s="7">
        <v>166661.70000000001</v>
      </c>
      <c r="E99" s="7">
        <v>14932.4</v>
      </c>
      <c r="F99" s="7">
        <v>37121.1</v>
      </c>
      <c r="G99" s="7">
        <v>3701.7</v>
      </c>
      <c r="H99" s="7">
        <v>10997.9</v>
      </c>
      <c r="I99" s="7">
        <v>8174.1</v>
      </c>
      <c r="J99" s="7">
        <v>12031.1</v>
      </c>
      <c r="K99" s="7">
        <v>5844.6</v>
      </c>
      <c r="L99" s="7">
        <v>10857.8</v>
      </c>
      <c r="M99" s="7">
        <v>7854.3</v>
      </c>
      <c r="N99" s="7">
        <v>6071.5</v>
      </c>
      <c r="O99" s="7">
        <v>94021.2</v>
      </c>
      <c r="P99" s="7">
        <v>4809.6000000000004</v>
      </c>
      <c r="Q99" s="7">
        <v>2836.7</v>
      </c>
      <c r="R99" s="7">
        <v>4794.3999999999996</v>
      </c>
      <c r="S99" s="7">
        <v>25274.1</v>
      </c>
      <c r="T99" s="7">
        <v>3223.3</v>
      </c>
      <c r="U99" s="7">
        <v>23131.7</v>
      </c>
    </row>
    <row r="100" spans="1:21" x14ac:dyDescent="0.25">
      <c r="A100" s="5">
        <v>1998</v>
      </c>
      <c r="B100" s="7">
        <v>36372.9</v>
      </c>
      <c r="C100" s="7">
        <v>8313.4</v>
      </c>
      <c r="D100" s="7">
        <v>169159.7</v>
      </c>
      <c r="E100" s="7">
        <v>15127.8</v>
      </c>
      <c r="F100" s="7">
        <v>37792.199999999997</v>
      </c>
      <c r="G100" s="7">
        <v>3782.8</v>
      </c>
      <c r="H100" s="7">
        <v>11034.7</v>
      </c>
      <c r="I100" s="7">
        <v>8310.4</v>
      </c>
      <c r="J100" s="7">
        <v>12251.2</v>
      </c>
      <c r="K100" s="7">
        <v>5880.8</v>
      </c>
      <c r="L100" s="7">
        <v>11139.1</v>
      </c>
      <c r="M100" s="7">
        <v>8002.1</v>
      </c>
      <c r="N100" s="7">
        <v>6234.4</v>
      </c>
      <c r="O100" s="7">
        <v>95575.2</v>
      </c>
      <c r="P100" s="7">
        <v>4883.7</v>
      </c>
      <c r="Q100" s="7">
        <v>2893.9</v>
      </c>
      <c r="R100" s="7">
        <v>4900</v>
      </c>
      <c r="S100" s="7">
        <v>25738.1</v>
      </c>
      <c r="T100" s="7">
        <v>3239.3</v>
      </c>
      <c r="U100" s="7">
        <v>23601.3</v>
      </c>
    </row>
    <row r="101" spans="1:21" x14ac:dyDescent="0.25">
      <c r="A101" s="5">
        <v>1999</v>
      </c>
      <c r="B101" s="7">
        <v>36794.699999999997</v>
      </c>
      <c r="C101" s="7">
        <v>8459.7999999999993</v>
      </c>
      <c r="D101" s="7">
        <v>171641.5</v>
      </c>
      <c r="E101" s="7">
        <v>15319.3</v>
      </c>
      <c r="F101" s="7">
        <v>38454.9</v>
      </c>
      <c r="G101" s="7">
        <v>3862.1</v>
      </c>
      <c r="H101" s="7">
        <v>11072.2</v>
      </c>
      <c r="I101" s="7">
        <v>8446.2000000000007</v>
      </c>
      <c r="J101" s="7">
        <v>12470.8</v>
      </c>
      <c r="K101" s="7">
        <v>5913.9</v>
      </c>
      <c r="L101" s="7">
        <v>11423</v>
      </c>
      <c r="M101" s="7">
        <v>8151.3</v>
      </c>
      <c r="N101" s="7">
        <v>6400.5</v>
      </c>
      <c r="O101" s="7">
        <v>97115.7</v>
      </c>
      <c r="P101" s="7">
        <v>4954</v>
      </c>
      <c r="Q101" s="7">
        <v>2951.8</v>
      </c>
      <c r="R101" s="7">
        <v>5003.1000000000004</v>
      </c>
      <c r="S101" s="7">
        <v>26186.5</v>
      </c>
      <c r="T101" s="7">
        <v>3254</v>
      </c>
      <c r="U101" s="7">
        <v>24066.6</v>
      </c>
    </row>
    <row r="102" spans="1:21" x14ac:dyDescent="0.25">
      <c r="A102" s="5">
        <v>2000</v>
      </c>
      <c r="B102" s="7">
        <v>37214</v>
      </c>
      <c r="C102" s="7">
        <v>8606.2999999999993</v>
      </c>
      <c r="D102" s="7">
        <v>174018.3</v>
      </c>
      <c r="E102" s="7">
        <v>15503.6</v>
      </c>
      <c r="F102" s="7">
        <v>39089.9</v>
      </c>
      <c r="G102" s="7">
        <v>3937.7</v>
      </c>
      <c r="H102" s="7">
        <v>11109.1</v>
      </c>
      <c r="I102" s="7">
        <v>8584.2000000000007</v>
      </c>
      <c r="J102" s="7">
        <v>12689.2</v>
      </c>
      <c r="K102" s="7">
        <v>5943.4</v>
      </c>
      <c r="L102" s="7">
        <v>11697.6</v>
      </c>
      <c r="M102" s="7">
        <v>8303.2000000000007</v>
      </c>
      <c r="N102" s="7">
        <v>6577.8</v>
      </c>
      <c r="O102" s="7">
        <v>98625.600000000006</v>
      </c>
      <c r="P102" s="7">
        <v>5022.6000000000004</v>
      </c>
      <c r="Q102" s="7">
        <v>3010.4</v>
      </c>
      <c r="R102" s="7">
        <v>5100.8999999999996</v>
      </c>
      <c r="S102" s="7">
        <v>26598.3</v>
      </c>
      <c r="T102" s="7">
        <v>3266.2</v>
      </c>
      <c r="U102" s="7">
        <v>24526.7</v>
      </c>
    </row>
    <row r="103" spans="1:21" x14ac:dyDescent="0.25">
      <c r="A103" s="5">
        <v>2001</v>
      </c>
      <c r="B103" s="7">
        <v>37624.800000000003</v>
      </c>
      <c r="C103" s="7">
        <v>8752.7000000000007</v>
      </c>
      <c r="D103" s="7">
        <v>176301.2</v>
      </c>
      <c r="E103" s="7">
        <v>15683.8</v>
      </c>
      <c r="F103" s="7">
        <v>39709.300000000003</v>
      </c>
      <c r="G103" s="7">
        <v>4008.9</v>
      </c>
      <c r="H103" s="7">
        <v>11144.1</v>
      </c>
      <c r="I103" s="7">
        <v>8720.2999999999993</v>
      </c>
      <c r="J103" s="7">
        <v>12910.7</v>
      </c>
      <c r="K103" s="7">
        <v>5968.1</v>
      </c>
      <c r="L103" s="7">
        <v>11969.4</v>
      </c>
      <c r="M103" s="7">
        <v>8455.9</v>
      </c>
      <c r="N103" s="7">
        <v>6758</v>
      </c>
      <c r="O103" s="7">
        <v>100099.1</v>
      </c>
      <c r="P103" s="7">
        <v>5087.8</v>
      </c>
      <c r="Q103" s="7">
        <v>3069.5</v>
      </c>
      <c r="R103" s="7">
        <v>5187.7</v>
      </c>
      <c r="S103" s="7">
        <v>26964.6</v>
      </c>
      <c r="T103" s="7">
        <v>3274.3</v>
      </c>
      <c r="U103" s="7">
        <v>24979.9</v>
      </c>
    </row>
    <row r="104" spans="1:21" x14ac:dyDescent="0.25">
      <c r="A104" s="5">
        <v>2002</v>
      </c>
      <c r="B104" s="7">
        <v>38029.300000000003</v>
      </c>
      <c r="C104" s="7">
        <v>8900.4</v>
      </c>
      <c r="D104" s="7">
        <v>178503.5</v>
      </c>
      <c r="E104" s="7">
        <v>15857.9</v>
      </c>
      <c r="F104" s="7">
        <v>40324.699999999997</v>
      </c>
      <c r="G104" s="7">
        <v>4075.7</v>
      </c>
      <c r="H104" s="7">
        <v>11177.4</v>
      </c>
      <c r="I104" s="7">
        <v>8852.2000000000007</v>
      </c>
      <c r="J104" s="7">
        <v>13138.5</v>
      </c>
      <c r="K104" s="7">
        <v>5986.6</v>
      </c>
      <c r="L104" s="7">
        <v>12246.9</v>
      </c>
      <c r="M104" s="7">
        <v>8607.6</v>
      </c>
      <c r="N104" s="7">
        <v>6938.9</v>
      </c>
      <c r="O104" s="7">
        <v>101548.6</v>
      </c>
      <c r="P104" s="7">
        <v>5149.8999999999996</v>
      </c>
      <c r="Q104" s="7">
        <v>3129.3</v>
      </c>
      <c r="R104" s="7">
        <v>5261.3</v>
      </c>
      <c r="S104" s="7">
        <v>27288.2</v>
      </c>
      <c r="T104" s="7">
        <v>3278.9</v>
      </c>
      <c r="U104" s="7">
        <v>25435.7</v>
      </c>
    </row>
    <row r="105" spans="1:21" x14ac:dyDescent="0.25">
      <c r="A105" s="5">
        <v>2003</v>
      </c>
      <c r="B105" s="7">
        <v>38424.300000000003</v>
      </c>
      <c r="C105" s="7">
        <v>9050.7000000000007</v>
      </c>
      <c r="D105" s="7">
        <v>180622.7</v>
      </c>
      <c r="E105" s="7">
        <v>16024.8</v>
      </c>
      <c r="F105" s="7">
        <v>40937.4</v>
      </c>
      <c r="G105" s="7">
        <v>4138.8</v>
      </c>
      <c r="H105" s="7">
        <v>11209.4</v>
      </c>
      <c r="I105" s="7">
        <v>8980.6</v>
      </c>
      <c r="J105" s="7">
        <v>13372.3</v>
      </c>
      <c r="K105" s="7">
        <v>5998.6</v>
      </c>
      <c r="L105" s="7">
        <v>12525.8</v>
      </c>
      <c r="M105" s="7">
        <v>8759.9</v>
      </c>
      <c r="N105" s="7">
        <v>7119.2</v>
      </c>
      <c r="O105" s="7">
        <v>102978.5</v>
      </c>
      <c r="P105" s="7">
        <v>5211</v>
      </c>
      <c r="Q105" s="7">
        <v>3189.8</v>
      </c>
      <c r="R105" s="7">
        <v>5326.4</v>
      </c>
      <c r="S105" s="7">
        <v>27580.5</v>
      </c>
      <c r="T105" s="7">
        <v>3281.2</v>
      </c>
      <c r="U105" s="7">
        <v>25892.7</v>
      </c>
    </row>
    <row r="106" spans="1:21" x14ac:dyDescent="0.25">
      <c r="A106" s="5">
        <v>2004</v>
      </c>
      <c r="B106" s="7">
        <v>38815.9</v>
      </c>
      <c r="C106" s="7">
        <v>9204.2999999999993</v>
      </c>
      <c r="D106" s="7">
        <v>182675.1</v>
      </c>
      <c r="E106" s="7">
        <v>16187.3</v>
      </c>
      <c r="F106" s="7">
        <v>41543.199999999997</v>
      </c>
      <c r="G106" s="7">
        <v>4200.1000000000004</v>
      </c>
      <c r="H106" s="7">
        <v>11238.8</v>
      </c>
      <c r="I106" s="7">
        <v>9104.9</v>
      </c>
      <c r="J106" s="7">
        <v>13608.7</v>
      </c>
      <c r="K106" s="7">
        <v>6004.7</v>
      </c>
      <c r="L106" s="7">
        <v>12807.4</v>
      </c>
      <c r="M106" s="7">
        <v>8910.2999999999993</v>
      </c>
      <c r="N106" s="7">
        <v>7299</v>
      </c>
      <c r="O106" s="7">
        <v>104394.1</v>
      </c>
      <c r="P106" s="7">
        <v>5272.9</v>
      </c>
      <c r="Q106" s="7">
        <v>3251.2</v>
      </c>
      <c r="R106" s="7">
        <v>5388.2</v>
      </c>
      <c r="S106" s="7">
        <v>27852.2</v>
      </c>
      <c r="T106" s="7">
        <v>3283.1</v>
      </c>
      <c r="U106" s="7">
        <v>26340.799999999999</v>
      </c>
    </row>
    <row r="107" spans="1:21" x14ac:dyDescent="0.25">
      <c r="A107" s="5">
        <v>2005</v>
      </c>
      <c r="B107" s="7">
        <v>39216.800000000003</v>
      </c>
      <c r="C107" s="7">
        <v>9360.7999999999993</v>
      </c>
      <c r="D107" s="7">
        <v>184688.1</v>
      </c>
      <c r="E107" s="7">
        <v>16348.8</v>
      </c>
      <c r="F107" s="7">
        <v>42129</v>
      </c>
      <c r="G107" s="7">
        <v>4261.2</v>
      </c>
      <c r="H107" s="7">
        <v>11262.6</v>
      </c>
      <c r="I107" s="7">
        <v>9225</v>
      </c>
      <c r="J107" s="7">
        <v>13846.2</v>
      </c>
      <c r="K107" s="7">
        <v>6005.6</v>
      </c>
      <c r="L107" s="7">
        <v>13087.6</v>
      </c>
      <c r="M107" s="7">
        <v>9061.2999999999993</v>
      </c>
      <c r="N107" s="7">
        <v>7478.4</v>
      </c>
      <c r="O107" s="7">
        <v>105811.5</v>
      </c>
      <c r="P107" s="7">
        <v>5342.1</v>
      </c>
      <c r="Q107" s="7">
        <v>3313</v>
      </c>
      <c r="R107" s="7">
        <v>5448.1</v>
      </c>
      <c r="S107" s="7">
        <v>28101.200000000001</v>
      </c>
      <c r="T107" s="7">
        <v>3285.8</v>
      </c>
      <c r="U107" s="7">
        <v>26785.8</v>
      </c>
    </row>
    <row r="108" spans="1:21" x14ac:dyDescent="0.25">
      <c r="A108" s="5">
        <v>2006</v>
      </c>
      <c r="B108" s="7">
        <v>39622.1</v>
      </c>
      <c r="C108" s="7">
        <v>9521.7000000000007</v>
      </c>
      <c r="D108" s="7">
        <v>186653.1</v>
      </c>
      <c r="E108" s="7">
        <v>16509.2</v>
      </c>
      <c r="F108" s="7">
        <v>42691.1</v>
      </c>
      <c r="G108" s="7">
        <v>4321.3</v>
      </c>
      <c r="H108" s="7">
        <v>11278.6</v>
      </c>
      <c r="I108" s="7">
        <v>9341.2000000000007</v>
      </c>
      <c r="J108" s="7">
        <v>14086.1</v>
      </c>
      <c r="K108" s="7">
        <v>6002.3</v>
      </c>
      <c r="L108" s="7">
        <v>13367.5</v>
      </c>
      <c r="M108" s="7">
        <v>9216.6</v>
      </c>
      <c r="N108" s="7">
        <v>7656.8</v>
      </c>
      <c r="O108" s="7">
        <v>107253.7</v>
      </c>
      <c r="P108" s="7">
        <v>5418.9</v>
      </c>
      <c r="Q108" s="7">
        <v>3375</v>
      </c>
      <c r="R108" s="7">
        <v>5505.1</v>
      </c>
      <c r="S108" s="7">
        <v>28324.5</v>
      </c>
      <c r="T108" s="7">
        <v>3289.5</v>
      </c>
      <c r="U108" s="7">
        <v>27224.7</v>
      </c>
    </row>
    <row r="109" spans="1:21" x14ac:dyDescent="0.25">
      <c r="A109" s="5">
        <v>2007</v>
      </c>
      <c r="B109" s="7">
        <v>40016.800000000003</v>
      </c>
      <c r="C109" s="7">
        <v>9686</v>
      </c>
      <c r="D109" s="7">
        <v>188552.3</v>
      </c>
      <c r="E109" s="7">
        <v>16671.599999999999</v>
      </c>
      <c r="F109" s="7">
        <v>43235.4</v>
      </c>
      <c r="G109" s="7">
        <v>4380.2</v>
      </c>
      <c r="H109" s="7">
        <v>11287.3</v>
      </c>
      <c r="I109" s="7">
        <v>9455.7000000000007</v>
      </c>
      <c r="J109" s="7">
        <v>14328.8</v>
      </c>
      <c r="K109" s="7">
        <v>6009.8</v>
      </c>
      <c r="L109" s="7">
        <v>13652</v>
      </c>
      <c r="M109" s="7">
        <v>9373.2999999999993</v>
      </c>
      <c r="N109" s="7">
        <v>7834.8</v>
      </c>
      <c r="O109" s="7">
        <v>108774.39999999999</v>
      </c>
      <c r="P109" s="7">
        <v>5497.2</v>
      </c>
      <c r="Q109" s="7">
        <v>3437.5</v>
      </c>
      <c r="R109" s="7">
        <v>5559.4</v>
      </c>
      <c r="S109" s="7">
        <v>28530.7</v>
      </c>
      <c r="T109" s="7">
        <v>3295.2</v>
      </c>
      <c r="U109" s="7">
        <v>27649.4</v>
      </c>
    </row>
    <row r="110" spans="1:21" x14ac:dyDescent="0.25">
      <c r="A110" s="5">
        <v>2008</v>
      </c>
      <c r="B110" s="7">
        <v>40424.1</v>
      </c>
      <c r="C110" s="7">
        <v>9850.9</v>
      </c>
      <c r="D110" s="7">
        <v>190367.3</v>
      </c>
      <c r="E110" s="7">
        <v>16839</v>
      </c>
      <c r="F110" s="7">
        <v>43758.8</v>
      </c>
      <c r="G110" s="7">
        <v>4440.1000000000004</v>
      </c>
      <c r="H110" s="7">
        <v>11291.8</v>
      </c>
      <c r="I110" s="7">
        <v>9573.1</v>
      </c>
      <c r="J110" s="7">
        <v>14575.2</v>
      </c>
      <c r="K110" s="7">
        <v>6029.3</v>
      </c>
      <c r="L110" s="7">
        <v>13935.2</v>
      </c>
      <c r="M110" s="7">
        <v>9530.7999999999993</v>
      </c>
      <c r="N110" s="7">
        <v>8012.6</v>
      </c>
      <c r="O110" s="7">
        <v>110374.3</v>
      </c>
      <c r="P110" s="7">
        <v>5576.6</v>
      </c>
      <c r="Q110" s="7">
        <v>3500.6</v>
      </c>
      <c r="R110" s="7">
        <v>5613.6</v>
      </c>
      <c r="S110" s="7">
        <v>28719</v>
      </c>
      <c r="T110" s="7">
        <v>3302.2</v>
      </c>
      <c r="U110" s="7">
        <v>28053.7</v>
      </c>
    </row>
    <row r="111" spans="1:21" x14ac:dyDescent="0.25">
      <c r="A111" s="5">
        <v>2009</v>
      </c>
      <c r="B111" s="7">
        <v>40854.800000000003</v>
      </c>
      <c r="C111" s="7">
        <v>10016.299999999999</v>
      </c>
      <c r="D111" s="7">
        <v>192080</v>
      </c>
      <c r="E111" s="7">
        <v>17009.7</v>
      </c>
      <c r="F111" s="7">
        <v>44271.5</v>
      </c>
      <c r="G111" s="7">
        <v>4499.8</v>
      </c>
      <c r="H111" s="7">
        <v>11294.7</v>
      </c>
      <c r="I111" s="7">
        <v>9695.2999999999993</v>
      </c>
      <c r="J111" s="7">
        <v>14826</v>
      </c>
      <c r="K111" s="7">
        <v>6048.3</v>
      </c>
      <c r="L111" s="7">
        <v>14215.6</v>
      </c>
      <c r="M111" s="7">
        <v>9689.6</v>
      </c>
      <c r="N111" s="7">
        <v>8189.9</v>
      </c>
      <c r="O111" s="7">
        <v>111999.7</v>
      </c>
      <c r="P111" s="7">
        <v>5656.6</v>
      </c>
      <c r="Q111" s="7">
        <v>3564.4</v>
      </c>
      <c r="R111" s="7">
        <v>5671.2</v>
      </c>
      <c r="S111" s="7">
        <v>28896.799999999999</v>
      </c>
      <c r="T111" s="7">
        <v>3310.1</v>
      </c>
      <c r="U111" s="7">
        <v>28438.3</v>
      </c>
    </row>
    <row r="112" spans="1:21" x14ac:dyDescent="0.25">
      <c r="A112" s="5">
        <v>2010</v>
      </c>
      <c r="B112" s="7">
        <v>41288.699999999997</v>
      </c>
      <c r="C112" s="7">
        <v>10182.299999999999</v>
      </c>
      <c r="D112" s="7">
        <v>193701.9</v>
      </c>
      <c r="E112" s="7">
        <v>17181.5</v>
      </c>
      <c r="F112" s="7">
        <v>44777.3</v>
      </c>
      <c r="G112" s="7">
        <v>4556</v>
      </c>
      <c r="H112" s="7">
        <v>11297.4</v>
      </c>
      <c r="I112" s="7">
        <v>9820.2000000000007</v>
      </c>
      <c r="J112" s="7">
        <v>15076.7</v>
      </c>
      <c r="K112" s="7">
        <v>6068.2</v>
      </c>
      <c r="L112" s="7">
        <v>14500.1</v>
      </c>
      <c r="M112" s="7">
        <v>9803.2999999999993</v>
      </c>
      <c r="N112" s="7">
        <v>8365.9</v>
      </c>
      <c r="O112" s="7">
        <v>113623.9</v>
      </c>
      <c r="P112" s="7">
        <v>5737.5</v>
      </c>
      <c r="Q112" s="7">
        <v>3628.5</v>
      </c>
      <c r="R112" s="7">
        <v>5738</v>
      </c>
      <c r="S112" s="7">
        <v>29086</v>
      </c>
      <c r="T112" s="7">
        <v>3318.6</v>
      </c>
      <c r="U112" s="7">
        <v>28813.1</v>
      </c>
    </row>
    <row r="113" spans="1:21" x14ac:dyDescent="0.25">
      <c r="A113" s="5">
        <v>2011</v>
      </c>
      <c r="B113" s="7">
        <v>41730.699999999997</v>
      </c>
      <c r="C113" s="7">
        <v>10348.9</v>
      </c>
      <c r="D113" s="7">
        <v>195284.7</v>
      </c>
      <c r="E113" s="7">
        <v>17351.8</v>
      </c>
      <c r="F113" s="7">
        <v>45259.6</v>
      </c>
      <c r="G113" s="7">
        <v>4609.8</v>
      </c>
      <c r="H113" s="7">
        <v>11301.6</v>
      </c>
      <c r="I113" s="7">
        <v>9945.6</v>
      </c>
      <c r="J113" s="7">
        <v>15326.2</v>
      </c>
      <c r="K113" s="7">
        <v>6090.1</v>
      </c>
      <c r="L113" s="7">
        <v>14792.1</v>
      </c>
      <c r="M113" s="7">
        <v>9914.9</v>
      </c>
      <c r="N113" s="7">
        <v>8540.6</v>
      </c>
      <c r="O113" s="7">
        <v>115243.5</v>
      </c>
      <c r="P113" s="7">
        <v>5819.1</v>
      </c>
      <c r="Q113" s="7">
        <v>3693.5</v>
      </c>
      <c r="R113" s="7">
        <v>5814.6</v>
      </c>
      <c r="S113" s="7">
        <v>29304.1</v>
      </c>
      <c r="T113" s="7">
        <v>3326.8</v>
      </c>
      <c r="U113" s="7">
        <v>29185.200000000001</v>
      </c>
    </row>
    <row r="114" spans="1:21" x14ac:dyDescent="0.25">
      <c r="A114" s="5">
        <v>2012</v>
      </c>
      <c r="B114" s="7">
        <v>42161.7</v>
      </c>
      <c r="C114" s="7">
        <v>10515.8</v>
      </c>
      <c r="D114" s="7">
        <v>196876.1</v>
      </c>
      <c r="E114" s="7">
        <v>17519.099999999999</v>
      </c>
      <c r="F114" s="7">
        <v>45715.8</v>
      </c>
      <c r="G114" s="7">
        <v>4663.8999999999996</v>
      </c>
      <c r="H114" s="7">
        <v>11303.2</v>
      </c>
      <c r="I114" s="7">
        <v>10070.4</v>
      </c>
      <c r="J114" s="7">
        <v>15572.2</v>
      </c>
      <c r="K114" s="7">
        <v>6114</v>
      </c>
      <c r="L114" s="7">
        <v>15089.6</v>
      </c>
      <c r="M114" s="7">
        <v>10069.799999999999</v>
      </c>
      <c r="N114" s="7">
        <v>8715.1</v>
      </c>
      <c r="O114" s="7">
        <v>116818.2</v>
      </c>
      <c r="P114" s="7">
        <v>5901.3</v>
      </c>
      <c r="Q114" s="7">
        <v>3759.3</v>
      </c>
      <c r="R114" s="7">
        <v>5897</v>
      </c>
      <c r="S114" s="7">
        <v>29550.400000000001</v>
      </c>
      <c r="T114" s="7">
        <v>3335.4</v>
      </c>
      <c r="U114" s="7">
        <v>29553.8</v>
      </c>
    </row>
    <row r="115" spans="1:21" x14ac:dyDescent="0.25">
      <c r="A115" s="5">
        <v>2013</v>
      </c>
      <c r="B115" s="7">
        <v>42582.5</v>
      </c>
      <c r="C115" s="7">
        <v>10682.6</v>
      </c>
      <c r="D115" s="7">
        <v>198478.3</v>
      </c>
      <c r="E115" s="7">
        <v>17687</v>
      </c>
      <c r="F115" s="7">
        <v>46151.6</v>
      </c>
      <c r="G115" s="7">
        <v>4716.1000000000004</v>
      </c>
      <c r="H115" s="7">
        <v>11298.2</v>
      </c>
      <c r="I115" s="7">
        <v>10193.799999999999</v>
      </c>
      <c r="J115" s="7">
        <v>15807.1</v>
      </c>
      <c r="K115" s="7">
        <v>6138.8</v>
      </c>
      <c r="L115" s="7">
        <v>15387.3</v>
      </c>
      <c r="M115" s="7">
        <v>10222.4</v>
      </c>
      <c r="N115" s="7">
        <v>8889.2999999999993</v>
      </c>
      <c r="O115" s="7">
        <v>118343.6</v>
      </c>
      <c r="P115" s="7">
        <v>5983.8</v>
      </c>
      <c r="Q115" s="7">
        <v>3825.3</v>
      </c>
      <c r="R115" s="7">
        <v>5982.4</v>
      </c>
      <c r="S115" s="7">
        <v>29817.9</v>
      </c>
      <c r="T115" s="7">
        <v>3345.3</v>
      </c>
      <c r="U115" s="7">
        <v>29912.2</v>
      </c>
    </row>
    <row r="116" spans="1:21" x14ac:dyDescent="0.25">
      <c r="A116" s="5">
        <v>2014</v>
      </c>
      <c r="B116" s="7">
        <v>43024.1</v>
      </c>
      <c r="C116" s="7">
        <v>10848.9</v>
      </c>
      <c r="D116" s="7">
        <v>200085.1</v>
      </c>
      <c r="E116" s="7">
        <v>17864.2</v>
      </c>
      <c r="F116" s="7">
        <v>46565.4</v>
      </c>
      <c r="G116" s="7">
        <v>4767.1000000000004</v>
      </c>
      <c r="H116" s="7">
        <v>11285.8</v>
      </c>
      <c r="I116" s="7">
        <v>10315.5</v>
      </c>
      <c r="J116" s="7">
        <v>16035.1</v>
      </c>
      <c r="K116" s="7">
        <v>6163</v>
      </c>
      <c r="L116" s="7">
        <v>15681.7</v>
      </c>
      <c r="M116" s="7">
        <v>10373.200000000001</v>
      </c>
      <c r="N116" s="7">
        <v>9063.1</v>
      </c>
      <c r="O116" s="7">
        <v>119784.3</v>
      </c>
      <c r="P116" s="7">
        <v>6066.5</v>
      </c>
      <c r="Q116" s="7">
        <v>3892.1</v>
      </c>
      <c r="R116" s="7">
        <v>6069.8</v>
      </c>
      <c r="S116" s="7">
        <v>30115.8</v>
      </c>
      <c r="T116" s="7">
        <v>3356.3</v>
      </c>
      <c r="U116" s="7">
        <v>30254.1</v>
      </c>
    </row>
    <row r="117" spans="1:21" x14ac:dyDescent="0.25">
      <c r="A117" s="5">
        <v>2015</v>
      </c>
      <c r="B117" s="7">
        <v>43477</v>
      </c>
      <c r="C117" s="7">
        <v>11014.7</v>
      </c>
      <c r="D117" s="7">
        <v>201675.5</v>
      </c>
      <c r="E117" s="7">
        <v>18047.599999999999</v>
      </c>
      <c r="F117" s="7">
        <v>46969.9</v>
      </c>
      <c r="G117" s="7">
        <v>4818</v>
      </c>
      <c r="H117" s="7">
        <v>11275.1</v>
      </c>
      <c r="I117" s="7">
        <v>10434.799999999999</v>
      </c>
      <c r="J117" s="7">
        <v>16266.2</v>
      </c>
      <c r="K117" s="7">
        <v>6183.7</v>
      </c>
      <c r="L117" s="7">
        <v>15971.7</v>
      </c>
      <c r="M117" s="7">
        <v>10523.2</v>
      </c>
      <c r="N117" s="7">
        <v>9237.2999999999993</v>
      </c>
      <c r="O117" s="7">
        <v>121072.3</v>
      </c>
      <c r="P117" s="7">
        <v>6149.4</v>
      </c>
      <c r="Q117" s="7">
        <v>3960</v>
      </c>
      <c r="R117" s="7">
        <v>6159.1</v>
      </c>
      <c r="S117" s="7">
        <v>30457.599999999999</v>
      </c>
      <c r="T117" s="7">
        <v>3368</v>
      </c>
      <c r="U117" s="7">
        <v>30574</v>
      </c>
    </row>
    <row r="118" spans="1:21" x14ac:dyDescent="0.25">
      <c r="A118" s="5">
        <v>2016</v>
      </c>
      <c r="B118" s="7">
        <v>43900.3</v>
      </c>
      <c r="C118" s="7">
        <v>11180</v>
      </c>
      <c r="D118" s="7">
        <v>203218.1</v>
      </c>
      <c r="E118" s="7">
        <v>18267.2</v>
      </c>
      <c r="F118" s="7">
        <v>47437.5</v>
      </c>
      <c r="G118" s="7">
        <v>4867</v>
      </c>
      <c r="H118" s="7">
        <v>11265.6</v>
      </c>
      <c r="I118" s="7">
        <v>10551.4</v>
      </c>
      <c r="J118" s="7">
        <v>16505.099999999999</v>
      </c>
      <c r="K118" s="7">
        <v>6200.8</v>
      </c>
      <c r="L118" s="7">
        <v>16268.8</v>
      </c>
      <c r="M118" s="7">
        <v>10671.5</v>
      </c>
      <c r="N118" s="7">
        <v>9412.4</v>
      </c>
      <c r="O118" s="7">
        <v>122251.4</v>
      </c>
      <c r="P118" s="7">
        <v>6232.7</v>
      </c>
      <c r="Q118" s="7">
        <v>4029.1</v>
      </c>
      <c r="R118" s="7">
        <v>6249.1</v>
      </c>
      <c r="S118" s="7">
        <v>30866.5</v>
      </c>
      <c r="T118" s="7">
        <v>3379.3</v>
      </c>
      <c r="U118" s="7">
        <v>30765.7</v>
      </c>
    </row>
    <row r="119" spans="1:21" x14ac:dyDescent="0.25">
      <c r="A119" s="5">
        <v>2017</v>
      </c>
      <c r="B119" s="7">
        <v>44288.9</v>
      </c>
      <c r="C119" s="7">
        <v>11344.6</v>
      </c>
      <c r="D119" s="7">
        <v>204703.4</v>
      </c>
      <c r="E119" s="7">
        <v>18558.900000000001</v>
      </c>
      <c r="F119" s="7">
        <v>48131.1</v>
      </c>
      <c r="G119" s="7">
        <v>4913.2</v>
      </c>
      <c r="H119" s="7">
        <v>11247.8</v>
      </c>
      <c r="I119" s="7">
        <v>10666.8</v>
      </c>
      <c r="J119" s="7">
        <v>16759.5</v>
      </c>
      <c r="K119" s="7">
        <v>6213.5</v>
      </c>
      <c r="L119" s="7">
        <v>16567.400000000001</v>
      </c>
      <c r="M119" s="7">
        <v>10817.8</v>
      </c>
      <c r="N119" s="7">
        <v>9588.1</v>
      </c>
      <c r="O119" s="7">
        <v>123400.1</v>
      </c>
      <c r="P119" s="7">
        <v>6316.2</v>
      </c>
      <c r="Q119" s="7">
        <v>4098.7</v>
      </c>
      <c r="R119" s="7">
        <v>6338.7</v>
      </c>
      <c r="S119" s="7">
        <v>31324.6</v>
      </c>
      <c r="T119" s="7">
        <v>3388.4</v>
      </c>
      <c r="U119" s="7">
        <v>30565.3</v>
      </c>
    </row>
    <row r="120" spans="1:21" x14ac:dyDescent="0.25">
      <c r="A120" s="5">
        <v>2018</v>
      </c>
      <c r="B120" s="7">
        <v>44654.9</v>
      </c>
      <c r="C120" s="7">
        <v>11508.4</v>
      </c>
      <c r="D120" s="7">
        <v>206107.3</v>
      </c>
      <c r="E120" s="7">
        <v>18893.2</v>
      </c>
      <c r="F120" s="7">
        <v>49024.5</v>
      </c>
      <c r="G120" s="7">
        <v>4957.8</v>
      </c>
      <c r="H120" s="7">
        <v>11227.1</v>
      </c>
      <c r="I120" s="7">
        <v>10782.1</v>
      </c>
      <c r="J120" s="7">
        <v>17049.5</v>
      </c>
      <c r="K120" s="7">
        <v>6219.8</v>
      </c>
      <c r="L120" s="7">
        <v>16845.7</v>
      </c>
      <c r="M120" s="7">
        <v>10962.4</v>
      </c>
      <c r="N120" s="7">
        <v>9765.2000000000007</v>
      </c>
      <c r="O120" s="7">
        <v>124573.7</v>
      </c>
      <c r="P120" s="7">
        <v>6400.1</v>
      </c>
      <c r="Q120" s="7">
        <v>4167.8999999999996</v>
      </c>
      <c r="R120" s="7">
        <v>6427.4</v>
      </c>
      <c r="S120" s="7">
        <v>31897.599999999999</v>
      </c>
      <c r="T120" s="7">
        <v>3394.5</v>
      </c>
      <c r="U120" s="7">
        <v>29807.599999999999</v>
      </c>
    </row>
    <row r="121" spans="1:21" x14ac:dyDescent="0.25">
      <c r="A121" s="5">
        <v>2019</v>
      </c>
      <c r="B121" s="7">
        <v>44973.5</v>
      </c>
      <c r="C121" s="7">
        <v>11671.4</v>
      </c>
      <c r="D121" s="7">
        <v>207455.5</v>
      </c>
      <c r="E121" s="7">
        <v>19197.7</v>
      </c>
      <c r="F121" s="7">
        <v>49908</v>
      </c>
      <c r="G121" s="7">
        <v>4999.6000000000004</v>
      </c>
      <c r="H121" s="7">
        <v>11202.8</v>
      </c>
      <c r="I121" s="7">
        <v>10894</v>
      </c>
      <c r="J121" s="7">
        <v>17340</v>
      </c>
      <c r="K121" s="7">
        <v>6222.3</v>
      </c>
      <c r="L121" s="7">
        <v>17103.8</v>
      </c>
      <c r="M121" s="7">
        <v>11105.2</v>
      </c>
      <c r="N121" s="7">
        <v>9943.6</v>
      </c>
      <c r="O121" s="7">
        <v>125763</v>
      </c>
      <c r="P121" s="7">
        <v>6483.7</v>
      </c>
      <c r="Q121" s="7">
        <v>4234.7</v>
      </c>
      <c r="R121" s="7">
        <v>6515.1</v>
      </c>
      <c r="S121" s="7">
        <v>32449.3</v>
      </c>
      <c r="T121" s="7">
        <v>3397.2</v>
      </c>
      <c r="U121" s="7">
        <v>28938.1</v>
      </c>
    </row>
    <row r="122" spans="1:21" x14ac:dyDescent="0.25">
      <c r="A122" s="5">
        <v>2020</v>
      </c>
      <c r="B122" s="7">
        <v>45192</v>
      </c>
      <c r="C122" s="7">
        <v>11816.3</v>
      </c>
      <c r="D122" s="7">
        <v>208660.8</v>
      </c>
      <c r="E122" s="7">
        <v>19370.599999999999</v>
      </c>
      <c r="F122" s="7">
        <v>50630</v>
      </c>
      <c r="G122" s="7">
        <v>5034.3</v>
      </c>
      <c r="H122" s="7">
        <v>11176.4</v>
      </c>
      <c r="I122" s="7">
        <v>11008.3</v>
      </c>
      <c r="J122" s="7">
        <v>17546.099999999999</v>
      </c>
      <c r="K122" s="7">
        <v>6234.7</v>
      </c>
      <c r="L122" s="7">
        <v>17357.3</v>
      </c>
      <c r="M122" s="7">
        <v>11243.8</v>
      </c>
      <c r="N122" s="7">
        <v>10119.6</v>
      </c>
      <c r="O122" s="7">
        <v>126799.1</v>
      </c>
      <c r="P122" s="7">
        <v>6565.3</v>
      </c>
      <c r="Q122" s="7">
        <v>4293.3</v>
      </c>
      <c r="R122" s="7">
        <v>6603.7</v>
      </c>
      <c r="S122" s="7">
        <v>32838.6</v>
      </c>
      <c r="T122" s="7">
        <v>3399</v>
      </c>
      <c r="U122" s="7">
        <v>28444.1</v>
      </c>
    </row>
    <row r="123" spans="1:21" x14ac:dyDescent="0.25">
      <c r="A123" s="5">
        <v>2021</v>
      </c>
      <c r="B123" s="7">
        <v>45312.3</v>
      </c>
      <c r="C123" s="7">
        <v>11937.4</v>
      </c>
      <c r="D123" s="7">
        <v>209550.3</v>
      </c>
      <c r="E123" s="7">
        <v>19456.3</v>
      </c>
      <c r="F123" s="7">
        <v>51188.2</v>
      </c>
      <c r="G123" s="7">
        <v>5060</v>
      </c>
      <c r="H123" s="7">
        <v>11122.2</v>
      </c>
      <c r="I123" s="7">
        <v>11123.5</v>
      </c>
      <c r="J123" s="7">
        <v>17682.5</v>
      </c>
      <c r="K123" s="7">
        <v>6255.8</v>
      </c>
      <c r="L123" s="7">
        <v>17598.7</v>
      </c>
      <c r="M123" s="7">
        <v>11374.6</v>
      </c>
      <c r="N123" s="7">
        <v>10289.9</v>
      </c>
      <c r="O123" s="7">
        <v>127648.1</v>
      </c>
      <c r="P123" s="7">
        <v>6644.7</v>
      </c>
      <c r="Q123" s="7">
        <v>4345.3999999999996</v>
      </c>
      <c r="R123" s="7">
        <v>6684.2</v>
      </c>
      <c r="S123" s="7">
        <v>33155.9</v>
      </c>
      <c r="T123" s="7">
        <v>3396.7</v>
      </c>
      <c r="U123" s="7">
        <v>28237.8</v>
      </c>
    </row>
    <row r="124" spans="1:21" x14ac:dyDescent="0.25">
      <c r="A124" s="5">
        <v>2022</v>
      </c>
      <c r="B124" s="7">
        <v>45407.9</v>
      </c>
      <c r="C124" s="7">
        <v>12077.2</v>
      </c>
      <c r="D124" s="7">
        <v>210306.4</v>
      </c>
      <c r="E124" s="7">
        <v>19553</v>
      </c>
      <c r="F124" s="7">
        <v>51737.9</v>
      </c>
      <c r="G124" s="7">
        <v>5081.8</v>
      </c>
      <c r="H124" s="7">
        <v>11059.8</v>
      </c>
      <c r="I124" s="7">
        <v>11230.7</v>
      </c>
      <c r="J124" s="7">
        <v>17823.900000000001</v>
      </c>
      <c r="K124" s="7">
        <v>6280.3</v>
      </c>
      <c r="L124" s="7">
        <v>17847.900000000001</v>
      </c>
      <c r="M124" s="7">
        <v>11503.6</v>
      </c>
      <c r="N124" s="7">
        <v>10463.9</v>
      </c>
      <c r="O124" s="7">
        <v>128613.1</v>
      </c>
      <c r="P124" s="7">
        <v>6730.7</v>
      </c>
      <c r="Q124" s="7">
        <v>4400.8</v>
      </c>
      <c r="R124" s="7">
        <v>6760.5</v>
      </c>
      <c r="S124" s="7">
        <v>33475.4</v>
      </c>
      <c r="T124" s="7">
        <v>3390.9</v>
      </c>
      <c r="U124" s="7">
        <v>28213</v>
      </c>
    </row>
    <row r="125" spans="1:21" x14ac:dyDescent="0.25">
      <c r="A125" s="5">
        <v>2023</v>
      </c>
      <c r="B125" s="7">
        <v>45538.400000000001</v>
      </c>
      <c r="C125" s="7">
        <v>12244.2</v>
      </c>
      <c r="D125" s="7">
        <v>211140.7</v>
      </c>
      <c r="E125" s="7">
        <v>19658.8</v>
      </c>
      <c r="F125" s="7">
        <v>52321.2</v>
      </c>
      <c r="G125" s="7">
        <v>5105.5</v>
      </c>
      <c r="H125" s="7">
        <v>11019.9</v>
      </c>
      <c r="I125" s="7">
        <v>11331.3</v>
      </c>
      <c r="J125" s="7">
        <v>17980.099999999999</v>
      </c>
      <c r="K125" s="7">
        <v>6309.6</v>
      </c>
      <c r="L125" s="7">
        <v>18124.8</v>
      </c>
      <c r="M125" s="7">
        <v>11637.4</v>
      </c>
      <c r="N125" s="7">
        <v>10644.9</v>
      </c>
      <c r="O125" s="7">
        <v>129739.8</v>
      </c>
      <c r="P125" s="7">
        <v>6823.6</v>
      </c>
      <c r="Q125" s="7">
        <v>4458.8</v>
      </c>
      <c r="R125" s="7">
        <v>6844.1</v>
      </c>
      <c r="S125" s="7">
        <v>33845.599999999999</v>
      </c>
      <c r="T125" s="7">
        <v>3388.1</v>
      </c>
      <c r="U125" s="7">
        <v>28300.9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58F40-F6D1-430E-8C15-7F25E0CB516D}">
  <dimension ref="A1:U125"/>
  <sheetViews>
    <sheetView workbookViewId="0"/>
  </sheetViews>
  <sheetFormatPr defaultRowHeight="15" x14ac:dyDescent="0.25"/>
  <cols>
    <col min="1" max="1" width="5" style="5" bestFit="1" customWidth="1"/>
    <col min="2" max="2" width="10.5703125" bestFit="1" customWidth="1"/>
    <col min="3" max="3" width="8.7109375" bestFit="1" customWidth="1"/>
    <col min="4" max="4" width="9.5703125" bestFit="1" customWidth="1"/>
    <col min="5" max="5" width="6.5703125" bestFit="1" customWidth="1"/>
    <col min="6" max="6" width="10.28515625" bestFit="1" customWidth="1"/>
    <col min="7" max="7" width="11" bestFit="1" customWidth="1"/>
    <col min="8" max="8" width="6.5703125" bestFit="1" customWidth="1"/>
    <col min="9" max="9" width="27.28515625" bestFit="1" customWidth="1"/>
    <col min="10" max="10" width="8.7109375" bestFit="1" customWidth="1"/>
    <col min="11" max="11" width="15" bestFit="1" customWidth="1"/>
    <col min="12" max="12" width="10.5703125" bestFit="1" customWidth="1"/>
    <col min="13" max="13" width="6.5703125" bestFit="1" customWidth="1"/>
    <col min="14" max="14" width="9.42578125" bestFit="1" customWidth="1"/>
    <col min="15" max="15" width="9" bestFit="1" customWidth="1"/>
    <col min="16" max="16" width="10.28515625" bestFit="1" customWidth="1"/>
    <col min="17" max="17" width="8" bestFit="1" customWidth="1"/>
    <col min="18" max="18" width="9.28515625" bestFit="1" customWidth="1"/>
    <col min="19" max="19" width="6.5703125" bestFit="1" customWidth="1"/>
    <col min="20" max="20" width="8.140625" bestFit="1" customWidth="1"/>
    <col min="21" max="21" width="12" bestFit="1" customWidth="1"/>
  </cols>
  <sheetData>
    <row r="1" spans="1:21" x14ac:dyDescent="0.25">
      <c r="A1" s="3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</row>
    <row r="2" spans="1:21" x14ac:dyDescent="0.25">
      <c r="A2" s="5">
        <v>1900</v>
      </c>
      <c r="B2" s="7">
        <f>IF($A2&lt;=1951,INDEX('SALA 1974'!$B:$U,MATCH($A2,'SALA 1974'!$A:$A,0),MATCH(B$1,'SALA 1974'!$B$1:$U$1,0)),IF($A2&lt;=1994,1000*INDEX('SALA 2002'!$B:$U,MATCH($A2,'SALA 2002'!$A:$A,0),MATCH(B$1,'SALA 2002'!$B$1:$U$1,0)),IF($A2&lt;=2000,1000*INDEX('SALA 2002'!$B:$U,MATCH($A2,'SALA 2002'!$A:$A,0),MATCH(B$1,'SALA 2002'!$B$1:$U$1,0))*POWER(INDEX('WPP 2024 середина года'!$B:$U,MATCH($A2,'WPP 2024 середина года'!$A:$A,0),MATCH(B$1,'WPP 2024 середина года'!$B$1:$U$1,0))/(1000*INDEX('SALA 2002'!$B:$U,MATCH($A2,'SALA 2002'!$A:$A,0),MATCH(B$1,'SALA 2002'!$B$1:$U$1,0))),($A2-1994)/7),INDEX('WPP 2024 середина года'!$B:$U,MATCH($A2,'WPP 2024 середина года'!$A:$A,0),MATCH(B$1,'WPP 2024 середина года'!$B$1:$U$1,0)))))</f>
        <v>4607</v>
      </c>
      <c r="C2" s="7">
        <f>IF($A2&lt;=1951,INDEX('SALA 1974'!$B:$U,MATCH($A2,'SALA 1974'!$A:$A,0),MATCH(C$1,'SALA 1974'!$B$1:$U$1,0)),IF($A2&lt;=1994,1000*INDEX('SALA 2002'!$B:$U,MATCH($A2,'SALA 2002'!$A:$A,0),MATCH(C$1,'SALA 2002'!$B$1:$U$1,0)),IF($A2&lt;=2000,1000*INDEX('SALA 2002'!$B:$U,MATCH($A2,'SALA 2002'!$A:$A,0),MATCH(C$1,'SALA 2002'!$B$1:$U$1,0))*POWER(INDEX('WPP 2024 середина года'!$B:$U,MATCH($A2,'WPP 2024 середина года'!$A:$A,0),MATCH(C$1,'WPP 2024 середина года'!$B$1:$U$1,0))/(1000*INDEX('SALA 2002'!$B:$U,MATCH($A2,'SALA 2002'!$A:$A,0),MATCH(C$1,'SALA 2002'!$B$1:$U$1,0))),($A2-1994)/7),INDEX('WPP 2024 середина года'!$B:$U,MATCH($A2,'WPP 2024 середина года'!$A:$A,0),MATCH(C$1,'WPP 2024 середина года'!$B$1:$U$1,0)))))</f>
        <v>1766</v>
      </c>
      <c r="D2" s="7">
        <f>IF($A2&lt;=1951,INDEX('SALA 1974'!$B:$U,MATCH($A2,'SALA 1974'!$A:$A,0),MATCH(D$1,'SALA 1974'!$B$1:$U$1,0)),IF($A2&lt;=1994,1000*INDEX('SALA 2002'!$B:$U,MATCH($A2,'SALA 2002'!$A:$A,0),MATCH(D$1,'SALA 2002'!$B$1:$U$1,0)),IF($A2&lt;=2000,1000*INDEX('SALA 2002'!$B:$U,MATCH($A2,'SALA 2002'!$A:$A,0),MATCH(D$1,'SALA 2002'!$B$1:$U$1,0))*POWER(INDEX('WPP 2024 середина года'!$B:$U,MATCH($A2,'WPP 2024 середина года'!$A:$A,0),MATCH(D$1,'WPP 2024 середина года'!$B$1:$U$1,0))/(1000*INDEX('SALA 2002'!$B:$U,MATCH($A2,'SALA 2002'!$A:$A,0),MATCH(D$1,'SALA 2002'!$B$1:$U$1,0))),($A2-1994)/7),INDEX('WPP 2024 середина года'!$B:$U,MATCH($A2,'WPP 2024 середина года'!$A:$A,0),MATCH(D$1,'WPP 2024 середина года'!$B$1:$U$1,0)))))</f>
        <v>17984</v>
      </c>
      <c r="E2" s="7">
        <f>IF($A2&lt;=1951,INDEX('SALA 1974'!$B:$U,MATCH($A2,'SALA 1974'!$A:$A,0),MATCH(E$1,'SALA 1974'!$B$1:$U$1,0)),IF($A2&lt;=1994,1000*INDEX('SALA 2002'!$B:$U,MATCH($A2,'SALA 2002'!$A:$A,0),MATCH(E$1,'SALA 2002'!$B$1:$U$1,0)),IF($A2&lt;=2000,1000*INDEX('SALA 2002'!$B:$U,MATCH($A2,'SALA 2002'!$A:$A,0),MATCH(E$1,'SALA 2002'!$B$1:$U$1,0))*POWER(INDEX('WPP 2024 середина года'!$B:$U,MATCH($A2,'WPP 2024 середина года'!$A:$A,0),MATCH(E$1,'WPP 2024 середина года'!$B$1:$U$1,0))/(1000*INDEX('SALA 2002'!$B:$U,MATCH($A2,'SALA 2002'!$A:$A,0),MATCH(E$1,'SALA 2002'!$B$1:$U$1,0))),($A2-1994)/7),INDEX('WPP 2024 середина года'!$B:$U,MATCH($A2,'WPP 2024 середина года'!$A:$A,0),MATCH(E$1,'WPP 2024 середина года'!$B$1:$U$1,0)))))</f>
        <v>2959</v>
      </c>
      <c r="F2" s="7">
        <f>IF($A2&lt;=1947,INDEX('SALA 1974'!$B:$U,MATCH($A2,'SALA 1974'!$A:$A,0),MATCH(F$1,'SALA 1974'!$B$1:$U$1,0)),IF($A2&lt;=1994,1000*INDEX('SALA 2002'!$B:$U,MATCH($A2,'SALA 2002'!$A:$A,0),MATCH(F$1,'SALA 2002'!$B$1:$U$1,0)),IF($A2&lt;=2000,1000*INDEX('SALA 2002'!$B:$U,MATCH($A2,'SALA 2002'!$A:$A,0),MATCH(F$1,'SALA 2002'!$B$1:$U$1,0))*POWER(INDEX('WPP 2024 середина года'!$B:$U,MATCH($A2,'WPP 2024 середина года'!$A:$A,0),MATCH(F$1,'WPP 2024 середина года'!$B$1:$U$1,0))/(1000*INDEX('SALA 2002'!$B:$U,MATCH($A2,'SALA 2002'!$A:$A,0),MATCH(F$1,'SALA 2002'!$B$1:$U$1,0))),($A2-1994)/7),INDEX('WPP 2024 середина года'!$B:$U,MATCH($A2,'WPP 2024 середина года'!$A:$A,0),MATCH(F$1,'WPP 2024 середина года'!$B$1:$U$1,0)))))</f>
        <v>3894</v>
      </c>
      <c r="G2" s="7">
        <f>IF($A2&lt;=1951,INDEX('SALA 1974'!$B:$U,MATCH($A2,'SALA 1974'!$A:$A,0),MATCH(G$1,'SALA 1974'!$B$1:$U$1,0)),IF($A2&lt;=1994,1000*INDEX('SALA 2002'!$B:$U,MATCH($A2,'SALA 2002'!$A:$A,0),MATCH(G$1,'SALA 2002'!$B$1:$U$1,0)),IF($A2&lt;=2000,1000*INDEX('SALA 2002'!$B:$U,MATCH($A2,'SALA 2002'!$A:$A,0),MATCH(G$1,'SALA 2002'!$B$1:$U$1,0))*POWER(INDEX('WPP 2024 середина года'!$B:$U,MATCH($A2,'WPP 2024 середина года'!$A:$A,0),MATCH(G$1,'WPP 2024 середина года'!$B$1:$U$1,0))/(1000*INDEX('SALA 2002'!$B:$U,MATCH($A2,'SALA 2002'!$A:$A,0),MATCH(G$1,'SALA 2002'!$B$1:$U$1,0))),($A2-1994)/7),INDEX('WPP 2024 середина года'!$B:$U,MATCH($A2,'WPP 2024 середина года'!$A:$A,0),MATCH(G$1,'WPP 2024 середина года'!$B$1:$U$1,0)))))</f>
        <v>307</v>
      </c>
      <c r="H2" s="7">
        <f>IF($A2&lt;=1951,INDEX('SALA 1974'!$B:$U,MATCH($A2,'SALA 1974'!$A:$A,0),MATCH(H$1,'SALA 1974'!$B$1:$U$1,0)),IF($A2&lt;=1994,1000*INDEX('SALA 2002'!$B:$U,MATCH($A2,'SALA 2002'!$A:$A,0),MATCH(H$1,'SALA 2002'!$B$1:$U$1,0)),IF($A2&lt;=2000,1000*INDEX('SALA 2002'!$B:$U,MATCH($A2,'SALA 2002'!$A:$A,0),MATCH(H$1,'SALA 2002'!$B$1:$U$1,0))*POWER(INDEX('WPP 2024 середина года'!$B:$U,MATCH($A2,'WPP 2024 середина года'!$A:$A,0),MATCH(H$1,'WPP 2024 середина года'!$B$1:$U$1,0))/(1000*INDEX('SALA 2002'!$B:$U,MATCH($A2,'SALA 2002'!$A:$A,0),MATCH(H$1,'SALA 2002'!$B$1:$U$1,0))),($A2-1994)/7),INDEX('WPP 2024 середина года'!$B:$U,MATCH($A2,'WPP 2024 середина года'!$A:$A,0),MATCH(H$1,'WPP 2024 середина года'!$B$1:$U$1,0)))))</f>
        <v>1600</v>
      </c>
      <c r="I2" s="7">
        <f>IF($A2&lt;=1951,INDEX('SALA 1974'!$B:$U,MATCH($A2,'SALA 1974'!$A:$A,0),MATCH(I$1,'SALA 1974'!$B$1:$U$1,0)),IF($A2&lt;=1994,1000*INDEX('SALA 2002'!$B:$U,MATCH($A2,'SALA 2002'!$A:$A,0),MATCH(I$1,'SALA 2002'!$B$1:$U$1,0)),IF($A2&lt;=2000,1000*INDEX('SALA 2002'!$B:$U,MATCH($A2,'SALA 2002'!$A:$A,0),MATCH(I$1,'SALA 2002'!$B$1:$U$1,0))*POWER(INDEX('WPP 2024 середина года'!$B:$U,MATCH($A2,'WPP 2024 середина года'!$A:$A,0),MATCH(I$1,'WPP 2024 середина года'!$B$1:$U$1,0))/(1000*INDEX('SALA 2002'!$B:$U,MATCH($A2,'SALA 2002'!$A:$A,0),MATCH(I$1,'SALA 2002'!$B$1:$U$1,0))),($A2-1994)/7),INDEX('WPP 2024 середина года'!$B:$U,MATCH($A2,'WPP 2024 середина года'!$A:$A,0),MATCH(I$1,'WPP 2024 середина года'!$B$1:$U$1,0)))))</f>
        <v>600</v>
      </c>
      <c r="J2" s="7">
        <f>IF($A2&lt;=1951,INDEX('SALA 1974'!$B:$U,MATCH($A2,'SALA 1974'!$A:$A,0),MATCH(J$1,'SALA 1974'!$B$1:$U$1,0)),IF($A2&lt;=1994,1000*INDEX('SALA 2002'!$B:$U,MATCH($A2,'SALA 2002'!$A:$A,0),MATCH(J$1,'SALA 2002'!$B$1:$U$1,0)),IF($A2&lt;=2000,1000*INDEX('SALA 2002'!$B:$U,MATCH($A2,'SALA 2002'!$A:$A,0),MATCH(J$1,'SALA 2002'!$B$1:$U$1,0))*POWER(INDEX('WPP 2024 середина года'!$B:$U,MATCH($A2,'WPP 2024 середина года'!$A:$A,0),MATCH(J$1,'WPP 2024 середина года'!$B$1:$U$1,0))/(1000*INDEX('SALA 2002'!$B:$U,MATCH($A2,'SALA 2002'!$A:$A,0),MATCH(J$1,'SALA 2002'!$B$1:$U$1,0))),($A2-1994)/7),INDEX('WPP 2024 середина года'!$B:$U,MATCH($A2,'WPP 2024 середина года'!$A:$A,0),MATCH(J$1,'WPP 2024 середина года'!$B$1:$U$1,0)))))</f>
        <v>1300</v>
      </c>
      <c r="K2" s="7">
        <f>IF($A2&lt;=1951,INDEX('SALA 1974'!$B:$U,MATCH($A2,'SALA 1974'!$A:$A,0),MATCH(K$1,'SALA 1974'!$B$1:$U$1,0)),IF($A2&lt;=1994,1000*INDEX('SALA 2002'!$B:$U,MATCH($A2,'SALA 2002'!$A:$A,0),MATCH(K$1,'SALA 2002'!$B$1:$U$1,0)),IF($A2&lt;=2000,1000*INDEX('SALA 2002'!$B:$U,MATCH($A2,'SALA 2002'!$A:$A,0),MATCH(K$1,'SALA 2002'!$B$1:$U$1,0))*POWER(INDEX('WPP 2024 середина года'!$B:$U,MATCH($A2,'WPP 2024 середина года'!$A:$A,0),MATCH(K$1,'WPP 2024 середина года'!$B$1:$U$1,0))/(1000*INDEX('SALA 2002'!$B:$U,MATCH($A2,'SALA 2002'!$A:$A,0),MATCH(K$1,'SALA 2002'!$B$1:$U$1,0))),($A2-1994)/7),INDEX('WPP 2024 середина года'!$B:$U,MATCH($A2,'WPP 2024 середина года'!$A:$A,0),MATCH(K$1,'WPP 2024 середина года'!$B$1:$U$1,0)))))</f>
        <v>801</v>
      </c>
      <c r="L2" s="7">
        <f>IF($A2&lt;=1951,INDEX('SALA 1974'!$B:$U,MATCH($A2,'SALA 1974'!$A:$A,0),MATCH(L$1,'SALA 1974'!$B$1:$U$1,0)),IF($A2&lt;=1994,1000*INDEX('SALA 2002'!$B:$U,MATCH($A2,'SALA 2002'!$A:$A,0),MATCH(L$1,'SALA 2002'!$B$1:$U$1,0)),IF($A2&lt;=2000,1000*INDEX('SALA 2002'!$B:$U,MATCH($A2,'SALA 2002'!$A:$A,0),MATCH(L$1,'SALA 2002'!$B$1:$U$1,0))*POWER(INDEX('WPP 2024 середина года'!$B:$U,MATCH($A2,'WPP 2024 середина года'!$A:$A,0),MATCH(L$1,'WPP 2024 середина года'!$B$1:$U$1,0))/(1000*INDEX('SALA 2002'!$B:$U,MATCH($A2,'SALA 2002'!$A:$A,0),MATCH(L$1,'SALA 2002'!$B$1:$U$1,0))),($A2-1994)/7),INDEX('WPP 2024 середина года'!$B:$U,MATCH($A2,'WPP 2024 середина года'!$A:$A,0),MATCH(L$1,'WPP 2024 середина года'!$B$1:$U$1,0)))))</f>
        <v>885</v>
      </c>
      <c r="M2" s="7">
        <f>IF($A2&lt;=1951,INDEX('SALA 1974'!$B:$U,MATCH($A2,'SALA 1974'!$A:$A,0),MATCH(M$1,'SALA 1974'!$B$1:$U$1,0)),IF($A2&lt;=1994,1000*INDEX('SALA 2002'!$B:$U,MATCH($A2,'SALA 2002'!$A:$A,0),MATCH(M$1,'SALA 2002'!$B$1:$U$1,0)),IF($A2&lt;=2000,1000*INDEX('SALA 2002'!$B:$U,MATCH($A2,'SALA 2002'!$A:$A,0),MATCH(M$1,'SALA 2002'!$B$1:$U$1,0))*POWER(INDEX('WPP 2024 середина года'!$B:$U,MATCH($A2,'WPP 2024 середина года'!$A:$A,0),MATCH(M$1,'WPP 2024 середина года'!$B$1:$U$1,0))/(1000*INDEX('SALA 2002'!$B:$U,MATCH($A2,'SALA 2002'!$A:$A,0),MATCH(M$1,'SALA 2002'!$B$1:$U$1,0))),($A2-1994)/7),INDEX('WPP 2024 середина года'!$B:$U,MATCH($A2,'WPP 2024 середина года'!$A:$A,0),MATCH(M$1,'WPP 2024 середина года'!$B$1:$U$1,0)))))</f>
        <v>1250</v>
      </c>
      <c r="N2" s="7">
        <f>IF($A2&lt;=1951,INDEX('SALA 1974'!$B:$U,MATCH($A2,'SALA 1974'!$A:$A,0),MATCH(N$1,'SALA 1974'!$B$1:$U$1,0)),IF($A2&lt;=1994,1000*INDEX('SALA 2002'!$B:$U,MATCH($A2,'SALA 2002'!$A:$A,0),MATCH(N$1,'SALA 2002'!$B$1:$U$1,0)),IF($A2&lt;=2000,1000*INDEX('SALA 2002'!$B:$U,MATCH($A2,'SALA 2002'!$A:$A,0),MATCH(N$1,'SALA 2002'!$B$1:$U$1,0))*POWER(INDEX('WPP 2024 середина года'!$B:$U,MATCH($A2,'WPP 2024 середина года'!$A:$A,0),MATCH(N$1,'WPP 2024 середина года'!$B$1:$U$1,0))/(1000*INDEX('SALA 2002'!$B:$U,MATCH($A2,'SALA 2002'!$A:$A,0),MATCH(N$1,'SALA 2002'!$B$1:$U$1,0))),($A2-1994)/7),INDEX('WPP 2024 середина года'!$B:$U,MATCH($A2,'WPP 2024 середина года'!$A:$A,0),MATCH(N$1,'WPP 2024 середина года'!$B$1:$U$1,0)))))</f>
        <v>420</v>
      </c>
      <c r="O2" s="7">
        <f>IF($A2&lt;=1951,INDEX('SALA 1974'!$B:$U,MATCH($A2,'SALA 1974'!$A:$A,0),MATCH(O$1,'SALA 1974'!$B$1:$U$1,0)),IF($A2&lt;=1994,1000*INDEX('SALA 2002'!$B:$U,MATCH($A2,'SALA 2002'!$A:$A,0),MATCH(O$1,'SALA 2002'!$B$1:$U$1,0)),IF($A2&lt;=2000,1000*INDEX('SALA 2002'!$B:$U,MATCH($A2,'SALA 2002'!$A:$A,0),MATCH(O$1,'SALA 2002'!$B$1:$U$1,0))*POWER(INDEX('WPP 2024 середина года'!$B:$U,MATCH($A2,'WPP 2024 середина года'!$A:$A,0),MATCH(O$1,'WPP 2024 середина года'!$B$1:$U$1,0))/(1000*INDEX('SALA 2002'!$B:$U,MATCH($A2,'SALA 2002'!$A:$A,0),MATCH(O$1,'SALA 2002'!$B$1:$U$1,0))),($A2-1994)/7),INDEX('WPP 2024 середина года'!$B:$U,MATCH($A2,'WPP 2024 середина года'!$A:$A,0),MATCH(O$1,'WPP 2024 середина года'!$B$1:$U$1,0)))))</f>
        <v>13607</v>
      </c>
      <c r="P2" s="7">
        <f>IF($A2&lt;=1951,INDEX('SALA 1974'!$B:$U,MATCH($A2,'SALA 1974'!$A:$A,0),MATCH(P$1,'SALA 1974'!$B$1:$U$1,0)),IF($A2&lt;=1994,1000*INDEX('SALA 2002'!$B:$U,MATCH($A2,'SALA 2002'!$A:$A,0),MATCH(P$1,'SALA 2002'!$B$1:$U$1,0)),IF($A2&lt;=2000,1000*INDEX('SALA 2002'!$B:$U,MATCH($A2,'SALA 2002'!$A:$A,0),MATCH(P$1,'SALA 2002'!$B$1:$U$1,0))*POWER(INDEX('WPP 2024 середина года'!$B:$U,MATCH($A2,'WPP 2024 середина года'!$A:$A,0),MATCH(P$1,'WPP 2024 середина года'!$B$1:$U$1,0))/(1000*INDEX('SALA 2002'!$B:$U,MATCH($A2,'SALA 2002'!$A:$A,0),MATCH(P$1,'SALA 2002'!$B$1:$U$1,0))),($A2-1994)/7),INDEX('WPP 2024 середина года'!$B:$U,MATCH($A2,'WPP 2024 середина года'!$A:$A,0),MATCH(P$1,'WPP 2024 середина года'!$B$1:$U$1,0)))))</f>
        <v>420</v>
      </c>
      <c r="Q2" s="7">
        <f>IF($A2&lt;=1951,INDEX('SALA 1974'!$B:$U,MATCH($A2,'SALA 1974'!$A:$A,0),MATCH(Q$1,'SALA 1974'!$B$1:$U$1,0)),IF($A2&lt;=1994,1000*INDEX('SALA 2002'!$B:$U,MATCH($A2,'SALA 2002'!$A:$A,0),MATCH(Q$1,'SALA 2002'!$B$1:$U$1,0)),IF($A2&lt;=2000,1000*INDEX('SALA 2002'!$B:$U,MATCH($A2,'SALA 2002'!$A:$A,0),MATCH(Q$1,'SALA 2002'!$B$1:$U$1,0))*POWER(INDEX('WPP 2024 середина года'!$B:$U,MATCH($A2,'WPP 2024 середина года'!$A:$A,0),MATCH(Q$1,'WPP 2024 середина года'!$B$1:$U$1,0))/(1000*INDEX('SALA 2002'!$B:$U,MATCH($A2,'SALA 2002'!$A:$A,0),MATCH(Q$1,'SALA 2002'!$B$1:$U$1,0))),($A2-1994)/7),INDEX('WPP 2024 середина года'!$B:$U,MATCH($A2,'WPP 2024 середина года'!$A:$A,0),MATCH(Q$1,'WPP 2024 середина года'!$B$1:$U$1,0)))))</f>
        <v>263</v>
      </c>
      <c r="R2" s="7">
        <f>IF($A2&lt;=1951,INDEX('SALA 1974'!$B:$U,MATCH($A2,'SALA 1974'!$A:$A,0),MATCH(R$1,'SALA 1974'!$B$1:$U$1,0)),IF($A2&lt;=1994,1000*INDEX('SALA 2002'!$B:$U,MATCH($A2,'SALA 2002'!$A:$A,0),MATCH(R$1,'SALA 2002'!$B$1:$U$1,0)),IF($A2&lt;=2000,1000*INDEX('SALA 2002'!$B:$U,MATCH($A2,'SALA 2002'!$A:$A,0),MATCH(R$1,'SALA 2002'!$B$1:$U$1,0))*POWER(INDEX('WPP 2024 середина года'!$B:$U,MATCH($A2,'WPP 2024 середина года'!$A:$A,0),MATCH(R$1,'WPP 2024 середина года'!$B$1:$U$1,0))/(1000*INDEX('SALA 2002'!$B:$U,MATCH($A2,'SALA 2002'!$A:$A,0),MATCH(R$1,'SALA 2002'!$B$1:$U$1,0))),($A2-1994)/7),INDEX('WPP 2024 середина года'!$B:$U,MATCH($A2,'WPP 2024 середина года'!$A:$A,0),MATCH(R$1,'WPP 2024 середина года'!$B$1:$U$1,0)))))</f>
        <v>490</v>
      </c>
      <c r="S2" s="7">
        <f>IF($A2&lt;=1951,INDEX('SALA 1974'!$B:$U,MATCH($A2,'SALA 1974'!$A:$A,0),MATCH(S$1,'SALA 1974'!$B$1:$U$1,0)),IF($A2&lt;=1994,1000*INDEX('SALA 2002'!$B:$U,MATCH($A2,'SALA 2002'!$A:$A,0),MATCH(S$1,'SALA 2002'!$B$1:$U$1,0)),IF($A2&lt;=2000,1000*INDEX('SALA 2002'!$B:$U,MATCH($A2,'SALA 2002'!$A:$A,0),MATCH(S$1,'SALA 2002'!$B$1:$U$1,0))*POWER(INDEX('WPP 2024 середина года'!$B:$U,MATCH($A2,'WPP 2024 середина года'!$A:$A,0),MATCH(S$1,'WPP 2024 середина года'!$B$1:$U$1,0))/(1000*INDEX('SALA 2002'!$B:$U,MATCH($A2,'SALA 2002'!$A:$A,0),MATCH(S$1,'SALA 2002'!$B$1:$U$1,0))),($A2-1994)/7),INDEX('WPP 2024 середина года'!$B:$U,MATCH($A2,'WPP 2024 середина года'!$A:$A,0),MATCH(S$1,'WPP 2024 середина года'!$B$1:$U$1,0)))))</f>
        <v>3000</v>
      </c>
      <c r="T2" s="7">
        <f>IF($A2&lt;=1951,INDEX('SALA 1974'!$B:$U,MATCH($A2,'SALA 1974'!$A:$A,0),MATCH(T$1,'SALA 1974'!$B$1:$U$1,0)),IF($A2&lt;=1994,1000*INDEX('SALA 2002'!$B:$U,MATCH($A2,'SALA 2002'!$A:$A,0),MATCH(T$1,'SALA 2002'!$B$1:$U$1,0)),IF($A2&lt;=2000,1000*INDEX('SALA 2002'!$B:$U,MATCH($A2,'SALA 2002'!$A:$A,0),MATCH(T$1,'SALA 2002'!$B$1:$U$1,0))*POWER(INDEX('WPP 2024 середина года'!$B:$U,MATCH($A2,'WPP 2024 середина года'!$A:$A,0),MATCH(T$1,'WPP 2024 середина года'!$B$1:$U$1,0))/(1000*INDEX('SALA 2002'!$B:$U,MATCH($A2,'SALA 2002'!$A:$A,0),MATCH(T$1,'SALA 2002'!$B$1:$U$1,0))),($A2-1994)/7),INDEX('WPP 2024 середина года'!$B:$U,MATCH($A2,'WPP 2024 середина года'!$A:$A,0),MATCH(T$1,'WPP 2024 середина года'!$B$1:$U$1,0)))))</f>
        <v>963</v>
      </c>
      <c r="U2" s="7">
        <f>IF($A2&lt;=1951,INDEX('SALA 1974'!$B:$U,MATCH($A2,'SALA 1974'!$A:$A,0),MATCH(U$1,'SALA 1974'!$B$1:$U$1,0)),IF($A2&lt;=1994,1000*INDEX('SALA 2002'!$B:$U,MATCH($A2,'SALA 2002'!$A:$A,0),MATCH(U$1,'SALA 2002'!$B$1:$U$1,0)),IF($A2&lt;=2000,1000*INDEX('SALA 2002'!$B:$U,MATCH($A2,'SALA 2002'!$A:$A,0),MATCH(U$1,'SALA 2002'!$B$1:$U$1,0))*POWER(INDEX('WPP 2024 середина года'!$B:$U,MATCH($A2,'WPP 2024 середина года'!$A:$A,0),MATCH(U$1,'WPP 2024 середина года'!$B$1:$U$1,0))/(1000*INDEX('SALA 2002'!$B:$U,MATCH($A2,'SALA 2002'!$A:$A,0),MATCH(U$1,'SALA 2002'!$B$1:$U$1,0))),($A2-1994)/7),INDEX('WPP 2024 середина года'!$B:$U,MATCH($A2,'WPP 2024 середина года'!$A:$A,0),MATCH(U$1,'WPP 2024 середина года'!$B$1:$U$1,0)))))</f>
        <v>2445</v>
      </c>
    </row>
    <row r="3" spans="1:21" x14ac:dyDescent="0.25">
      <c r="A3" s="5">
        <f>A2+1</f>
        <v>1901</v>
      </c>
      <c r="B3" s="7">
        <f>IF($A3&lt;=1951,INDEX('SALA 1974'!$B:$U,MATCH($A3,'SALA 1974'!$A:$A,0),MATCH(B$1,'SALA 1974'!$B$1:$U$1,0)),IF($A3&lt;=1994,1000*INDEX('SALA 2002'!$B:$U,MATCH($A3,'SALA 2002'!$A:$A,0),MATCH(B$1,'SALA 2002'!$B$1:$U$1,0)),IF($A3&lt;=2000,1000*INDEX('SALA 2002'!$B:$U,MATCH($A3,'SALA 2002'!$A:$A,0),MATCH(B$1,'SALA 2002'!$B$1:$U$1,0))*POWER(INDEX('WPP 2024 середина года'!$B:$U,MATCH($A3,'WPP 2024 середина года'!$A:$A,0),MATCH(B$1,'WPP 2024 середина года'!$B$1:$U$1,0))/(1000*INDEX('SALA 2002'!$B:$U,MATCH($A3,'SALA 2002'!$A:$A,0),MATCH(B$1,'SALA 2002'!$B$1:$U$1,0))),($A3-1994)/7),INDEX('WPP 2024 середина года'!$B:$U,MATCH($A3,'WPP 2024 середина года'!$A:$A,0),MATCH(B$1,'WPP 2024 середина года'!$B$1:$U$1,0)))))</f>
        <v>4741</v>
      </c>
      <c r="C3" s="7">
        <f>IF($A3&lt;=1951,INDEX('SALA 1974'!$B:$U,MATCH($A3,'SALA 1974'!$A:$A,0),MATCH(C$1,'SALA 1974'!$B$1:$U$1,0)),IF($A3&lt;=1994,1000*INDEX('SALA 2002'!$B:$U,MATCH($A3,'SALA 2002'!$A:$A,0),MATCH(C$1,'SALA 2002'!$B$1:$U$1,0)),IF($A3&lt;=2000,1000*INDEX('SALA 2002'!$B:$U,MATCH($A3,'SALA 2002'!$A:$A,0),MATCH(C$1,'SALA 2002'!$B$1:$U$1,0))*POWER(INDEX('WPP 2024 середина года'!$B:$U,MATCH($A3,'WPP 2024 середина года'!$A:$A,0),MATCH(C$1,'WPP 2024 середина года'!$B$1:$U$1,0))/(1000*INDEX('SALA 2002'!$B:$U,MATCH($A3,'SALA 2002'!$A:$A,0),MATCH(C$1,'SALA 2002'!$B$1:$U$1,0))),($A3-1994)/7),INDEX('WPP 2024 середина года'!$B:$U,MATCH($A3,'WPP 2024 середина года'!$A:$A,0),MATCH(C$1,'WPP 2024 середина года'!$B$1:$U$1,0)))))</f>
        <v>1785</v>
      </c>
      <c r="D3" s="7">
        <f>IF($A3&lt;=1951,INDEX('SALA 1974'!$B:$U,MATCH($A3,'SALA 1974'!$A:$A,0),MATCH(D$1,'SALA 1974'!$B$1:$U$1,0)),IF($A3&lt;=1994,1000*INDEX('SALA 2002'!$B:$U,MATCH($A3,'SALA 2002'!$A:$A,0),MATCH(D$1,'SALA 2002'!$B$1:$U$1,0)),IF($A3&lt;=2000,1000*INDEX('SALA 2002'!$B:$U,MATCH($A3,'SALA 2002'!$A:$A,0),MATCH(D$1,'SALA 2002'!$B$1:$U$1,0))*POWER(INDEX('WPP 2024 середина года'!$B:$U,MATCH($A3,'WPP 2024 середина года'!$A:$A,0),MATCH(D$1,'WPP 2024 середина года'!$B$1:$U$1,0))/(1000*INDEX('SALA 2002'!$B:$U,MATCH($A3,'SALA 2002'!$A:$A,0),MATCH(D$1,'SALA 2002'!$B$1:$U$1,0))),($A3-1994)/7),INDEX('WPP 2024 середина года'!$B:$U,MATCH($A3,'WPP 2024 середина года'!$A:$A,0),MATCH(D$1,'WPP 2024 середина года'!$B$1:$U$1,0)))))</f>
        <v>18392</v>
      </c>
      <c r="E3" s="7">
        <f>IF($A3&lt;=1951,INDEX('SALA 1974'!$B:$U,MATCH($A3,'SALA 1974'!$A:$A,0),MATCH(E$1,'SALA 1974'!$B$1:$U$1,0)),IF($A3&lt;=1994,1000*INDEX('SALA 2002'!$B:$U,MATCH($A3,'SALA 2002'!$A:$A,0),MATCH(E$1,'SALA 2002'!$B$1:$U$1,0)),IF($A3&lt;=2000,1000*INDEX('SALA 2002'!$B:$U,MATCH($A3,'SALA 2002'!$A:$A,0),MATCH(E$1,'SALA 2002'!$B$1:$U$1,0))*POWER(INDEX('WPP 2024 середина года'!$B:$U,MATCH($A3,'WPP 2024 середина года'!$A:$A,0),MATCH(E$1,'WPP 2024 середина года'!$B$1:$U$1,0))/(1000*INDEX('SALA 2002'!$B:$U,MATCH($A3,'SALA 2002'!$A:$A,0),MATCH(E$1,'SALA 2002'!$B$1:$U$1,0))),($A3-1994)/7),INDEX('WPP 2024 середина года'!$B:$U,MATCH($A3,'WPP 2024 середина года'!$A:$A,0),MATCH(E$1,'WPP 2024 середина года'!$B$1:$U$1,0)))))</f>
        <v>2994</v>
      </c>
      <c r="F3" s="7">
        <f>IF($A3&lt;=1947,INDEX('SALA 1974'!$B:$U,MATCH($A3,'SALA 1974'!$A:$A,0),MATCH(F$1,'SALA 1974'!$B$1:$U$1,0)),IF($A3&lt;=1994,1000*INDEX('SALA 2002'!$B:$U,MATCH($A3,'SALA 2002'!$A:$A,0),MATCH(F$1,'SALA 2002'!$B$1:$U$1,0)),IF($A3&lt;=2000,1000*INDEX('SALA 2002'!$B:$U,MATCH($A3,'SALA 2002'!$A:$A,0),MATCH(F$1,'SALA 2002'!$B$1:$U$1,0))*POWER(INDEX('WPP 2024 середина года'!$B:$U,MATCH($A3,'WPP 2024 середина года'!$A:$A,0),MATCH(F$1,'WPP 2024 середина года'!$B$1:$U$1,0))/(1000*INDEX('SALA 2002'!$B:$U,MATCH($A3,'SALA 2002'!$A:$A,0),MATCH(F$1,'SALA 2002'!$B$1:$U$1,0))),($A3-1994)/7),INDEX('WPP 2024 середина года'!$B:$U,MATCH($A3,'WPP 2024 середина года'!$A:$A,0),MATCH(F$1,'WPP 2024 середина года'!$B$1:$U$1,0)))))</f>
        <v>3944</v>
      </c>
      <c r="G3" s="7">
        <f>IF($A3&lt;=1951,INDEX('SALA 1974'!$B:$U,MATCH($A3,'SALA 1974'!$A:$A,0),MATCH(G$1,'SALA 1974'!$B$1:$U$1,0)),IF($A3&lt;=1994,1000*INDEX('SALA 2002'!$B:$U,MATCH($A3,'SALA 2002'!$A:$A,0),MATCH(G$1,'SALA 2002'!$B$1:$U$1,0)),IF($A3&lt;=2000,1000*INDEX('SALA 2002'!$B:$U,MATCH($A3,'SALA 2002'!$A:$A,0),MATCH(G$1,'SALA 2002'!$B$1:$U$1,0))*POWER(INDEX('WPP 2024 середина года'!$B:$U,MATCH($A3,'WPP 2024 середина года'!$A:$A,0),MATCH(G$1,'WPP 2024 середина года'!$B$1:$U$1,0))/(1000*INDEX('SALA 2002'!$B:$U,MATCH($A3,'SALA 2002'!$A:$A,0),MATCH(G$1,'SALA 2002'!$B$1:$U$1,0))),($A3-1994)/7),INDEX('WPP 2024 середина года'!$B:$U,MATCH($A3,'WPP 2024 середина года'!$A:$A,0),MATCH(G$1,'WPP 2024 середина года'!$B$1:$U$1,0)))))</f>
        <v>313</v>
      </c>
      <c r="H3" s="7">
        <f>IF($A3&lt;=1951,INDEX('SALA 1974'!$B:$U,MATCH($A3,'SALA 1974'!$A:$A,0),MATCH(H$1,'SALA 1974'!$B$1:$U$1,0)),IF($A3&lt;=1994,1000*INDEX('SALA 2002'!$B:$U,MATCH($A3,'SALA 2002'!$A:$A,0),MATCH(H$1,'SALA 2002'!$B$1:$U$1,0)),IF($A3&lt;=2000,1000*INDEX('SALA 2002'!$B:$U,MATCH($A3,'SALA 2002'!$A:$A,0),MATCH(H$1,'SALA 2002'!$B$1:$U$1,0))*POWER(INDEX('WPP 2024 середина года'!$B:$U,MATCH($A3,'WPP 2024 середина года'!$A:$A,0),MATCH(H$1,'WPP 2024 середина года'!$B$1:$U$1,0))/(1000*INDEX('SALA 2002'!$B:$U,MATCH($A3,'SALA 2002'!$A:$A,0),MATCH(H$1,'SALA 2002'!$B$1:$U$1,0))),($A3-1994)/7),INDEX('WPP 2024 середина года'!$B:$U,MATCH($A3,'WPP 2024 середина года'!$A:$A,0),MATCH(H$1,'WPP 2024 середина года'!$B$1:$U$1,0)))))</f>
        <v>1679</v>
      </c>
      <c r="I3" s="7">
        <f>IF($A3&lt;=1951,INDEX('SALA 1974'!$B:$U,MATCH($A3,'SALA 1974'!$A:$A,0),MATCH(I$1,'SALA 1974'!$B$1:$U$1,0)),IF($A3&lt;=1994,1000*INDEX('SALA 2002'!$B:$U,MATCH($A3,'SALA 2002'!$A:$A,0),MATCH(I$1,'SALA 2002'!$B$1:$U$1,0)),IF($A3&lt;=2000,1000*INDEX('SALA 2002'!$B:$U,MATCH($A3,'SALA 2002'!$A:$A,0),MATCH(I$1,'SALA 2002'!$B$1:$U$1,0))*POWER(INDEX('WPP 2024 середина года'!$B:$U,MATCH($A3,'WPP 2024 середина года'!$A:$A,0),MATCH(I$1,'WPP 2024 середина года'!$B$1:$U$1,0))/(1000*INDEX('SALA 2002'!$B:$U,MATCH($A3,'SALA 2002'!$A:$A,0),MATCH(I$1,'SALA 2002'!$B$1:$U$1,0))),($A3-1994)/7),INDEX('WPP 2024 середина года'!$B:$U,MATCH($A3,'WPP 2024 середина года'!$A:$A,0),MATCH(I$1,'WPP 2024 середина года'!$B$1:$U$1,0)))))</f>
        <v>614</v>
      </c>
      <c r="J3" s="7">
        <f>IF($A3&lt;=1951,INDEX('SALA 1974'!$B:$U,MATCH($A3,'SALA 1974'!$A:$A,0),MATCH(J$1,'SALA 1974'!$B$1:$U$1,0)),IF($A3&lt;=1994,1000*INDEX('SALA 2002'!$B:$U,MATCH($A3,'SALA 2002'!$A:$A,0),MATCH(J$1,'SALA 2002'!$B$1:$U$1,0)),IF($A3&lt;=2000,1000*INDEX('SALA 2002'!$B:$U,MATCH($A3,'SALA 2002'!$A:$A,0),MATCH(J$1,'SALA 2002'!$B$1:$U$1,0))*POWER(INDEX('WPP 2024 середина года'!$B:$U,MATCH($A3,'WPP 2024 середина года'!$A:$A,0),MATCH(J$1,'WPP 2024 середина года'!$B$1:$U$1,0))/(1000*INDEX('SALA 2002'!$B:$U,MATCH($A3,'SALA 2002'!$A:$A,0),MATCH(J$1,'SALA 2002'!$B$1:$U$1,0))),($A3-1994)/7),INDEX('WPP 2024 середина года'!$B:$U,MATCH($A3,'WPP 2024 середина года'!$A:$A,0),MATCH(J$1,'WPP 2024 середина года'!$B$1:$U$1,0)))))</f>
        <v>1312</v>
      </c>
      <c r="K3" s="7">
        <f>IF($A3&lt;=1951,INDEX('SALA 1974'!$B:$U,MATCH($A3,'SALA 1974'!$A:$A,0),MATCH(K$1,'SALA 1974'!$B$1:$U$1,0)),IF($A3&lt;=1994,1000*INDEX('SALA 2002'!$B:$U,MATCH($A3,'SALA 2002'!$A:$A,0),MATCH(K$1,'SALA 2002'!$B$1:$U$1,0)),IF($A3&lt;=2000,1000*INDEX('SALA 2002'!$B:$U,MATCH($A3,'SALA 2002'!$A:$A,0),MATCH(K$1,'SALA 2002'!$B$1:$U$1,0))*POWER(INDEX('WPP 2024 середина года'!$B:$U,MATCH($A3,'WPP 2024 середина года'!$A:$A,0),MATCH(K$1,'WPP 2024 середина года'!$B$1:$U$1,0))/(1000*INDEX('SALA 2002'!$B:$U,MATCH($A3,'SALA 2002'!$A:$A,0),MATCH(K$1,'SALA 2002'!$B$1:$U$1,0))),($A3-1994)/7),INDEX('WPP 2024 середина года'!$B:$U,MATCH($A3,'WPP 2024 середина года'!$A:$A,0),MATCH(K$1,'WPP 2024 середина года'!$B$1:$U$1,0)))))</f>
        <v>819</v>
      </c>
      <c r="L3" s="7">
        <f>IF($A3&lt;=1951,INDEX('SALA 1974'!$B:$U,MATCH($A3,'SALA 1974'!$A:$A,0),MATCH(L$1,'SALA 1974'!$B$1:$U$1,0)),IF($A3&lt;=1994,1000*INDEX('SALA 2002'!$B:$U,MATCH($A3,'SALA 2002'!$A:$A,0),MATCH(L$1,'SALA 2002'!$B$1:$U$1,0)),IF($A3&lt;=2000,1000*INDEX('SALA 2002'!$B:$U,MATCH($A3,'SALA 2002'!$A:$A,0),MATCH(L$1,'SALA 2002'!$B$1:$U$1,0))*POWER(INDEX('WPP 2024 середина года'!$B:$U,MATCH($A3,'WPP 2024 середина года'!$A:$A,0),MATCH(L$1,'WPP 2024 середина года'!$B$1:$U$1,0))/(1000*INDEX('SALA 2002'!$B:$U,MATCH($A3,'SALA 2002'!$A:$A,0),MATCH(L$1,'SALA 2002'!$B$1:$U$1,0))),($A3-1994)/7),INDEX('WPP 2024 середина года'!$B:$U,MATCH($A3,'WPP 2024 середина года'!$A:$A,0),MATCH(L$1,'WPP 2024 середина года'!$B$1:$U$1,0)))))</f>
        <v>910</v>
      </c>
      <c r="M3" s="7">
        <f>IF($A3&lt;=1951,INDEX('SALA 1974'!$B:$U,MATCH($A3,'SALA 1974'!$A:$A,0),MATCH(M$1,'SALA 1974'!$B$1:$U$1,0)),IF($A3&lt;=1994,1000*INDEX('SALA 2002'!$B:$U,MATCH($A3,'SALA 2002'!$A:$A,0),MATCH(M$1,'SALA 2002'!$B$1:$U$1,0)),IF($A3&lt;=2000,1000*INDEX('SALA 2002'!$B:$U,MATCH($A3,'SALA 2002'!$A:$A,0),MATCH(M$1,'SALA 2002'!$B$1:$U$1,0))*POWER(INDEX('WPP 2024 середина года'!$B:$U,MATCH($A3,'WPP 2024 середина года'!$A:$A,0),MATCH(M$1,'WPP 2024 середина года'!$B$1:$U$1,0))/(1000*INDEX('SALA 2002'!$B:$U,MATCH($A3,'SALA 2002'!$A:$A,0),MATCH(M$1,'SALA 2002'!$B$1:$U$1,0))),($A3-1994)/7),INDEX('WPP 2024 середина года'!$B:$U,MATCH($A3,'WPP 2024 середина года'!$A:$A,0),MATCH(M$1,'WPP 2024 середина года'!$B$1:$U$1,0)))))</f>
        <v>1294</v>
      </c>
      <c r="N3" s="7">
        <f>IF($A3&lt;=1951,INDEX('SALA 1974'!$B:$U,MATCH($A3,'SALA 1974'!$A:$A,0),MATCH(N$1,'SALA 1974'!$B$1:$U$1,0)),IF($A3&lt;=1994,1000*INDEX('SALA 2002'!$B:$U,MATCH($A3,'SALA 2002'!$A:$A,0),MATCH(N$1,'SALA 2002'!$B$1:$U$1,0)),IF($A3&lt;=2000,1000*INDEX('SALA 2002'!$B:$U,MATCH($A3,'SALA 2002'!$A:$A,0),MATCH(N$1,'SALA 2002'!$B$1:$U$1,0))*POWER(INDEX('WPP 2024 середина года'!$B:$U,MATCH($A3,'WPP 2024 середина года'!$A:$A,0),MATCH(N$1,'WPP 2024 середина года'!$B$1:$U$1,0))/(1000*INDEX('SALA 2002'!$B:$U,MATCH($A3,'SALA 2002'!$A:$A,0),MATCH(N$1,'SALA 2002'!$B$1:$U$1,0))),($A3-1994)/7),INDEX('WPP 2024 середина года'!$B:$U,MATCH($A3,'WPP 2024 середина года'!$A:$A,0),MATCH(N$1,'WPP 2024 середина года'!$B$1:$U$1,0)))))</f>
        <v>436</v>
      </c>
      <c r="O3" s="7">
        <f>IF($A3&lt;=1951,INDEX('SALA 1974'!$B:$U,MATCH($A3,'SALA 1974'!$A:$A,0),MATCH(O$1,'SALA 1974'!$B$1:$U$1,0)),IF($A3&lt;=1994,1000*INDEX('SALA 2002'!$B:$U,MATCH($A3,'SALA 2002'!$A:$A,0),MATCH(O$1,'SALA 2002'!$B$1:$U$1,0)),IF($A3&lt;=2000,1000*INDEX('SALA 2002'!$B:$U,MATCH($A3,'SALA 2002'!$A:$A,0),MATCH(O$1,'SALA 2002'!$B$1:$U$1,0))*POWER(INDEX('WPP 2024 середина года'!$B:$U,MATCH($A3,'WPP 2024 середина года'!$A:$A,0),MATCH(O$1,'WPP 2024 середина года'!$B$1:$U$1,0))/(1000*INDEX('SALA 2002'!$B:$U,MATCH($A3,'SALA 2002'!$A:$A,0),MATCH(O$1,'SALA 2002'!$B$1:$U$1,0))),($A3-1994)/7),INDEX('WPP 2024 середина года'!$B:$U,MATCH($A3,'WPP 2024 середина года'!$A:$A,0),MATCH(O$1,'WPP 2024 середина года'!$B$1:$U$1,0)))))</f>
        <v>13755</v>
      </c>
      <c r="P3" s="7">
        <f>IF($A3&lt;=1951,INDEX('SALA 1974'!$B:$U,MATCH($A3,'SALA 1974'!$A:$A,0),MATCH(P$1,'SALA 1974'!$B$1:$U$1,0)),IF($A3&lt;=1994,1000*INDEX('SALA 2002'!$B:$U,MATCH($A3,'SALA 2002'!$A:$A,0),MATCH(P$1,'SALA 2002'!$B$1:$U$1,0)),IF($A3&lt;=2000,1000*INDEX('SALA 2002'!$B:$U,MATCH($A3,'SALA 2002'!$A:$A,0),MATCH(P$1,'SALA 2002'!$B$1:$U$1,0))*POWER(INDEX('WPP 2024 середина года'!$B:$U,MATCH($A3,'WPP 2024 середина года'!$A:$A,0),MATCH(P$1,'WPP 2024 середина года'!$B$1:$U$1,0))/(1000*INDEX('SALA 2002'!$B:$U,MATCH($A3,'SALA 2002'!$A:$A,0),MATCH(P$1,'SALA 2002'!$B$1:$U$1,0))),($A3-1994)/7),INDEX('WPP 2024 середина года'!$B:$U,MATCH($A3,'WPP 2024 середина года'!$A:$A,0),MATCH(P$1,'WPP 2024 середина года'!$B$1:$U$1,0)))))</f>
        <v>434</v>
      </c>
      <c r="Q3" s="7">
        <f>IF($A3&lt;=1951,INDEX('SALA 1974'!$B:$U,MATCH($A3,'SALA 1974'!$A:$A,0),MATCH(Q$1,'SALA 1974'!$B$1:$U$1,0)),IF($A3&lt;=1994,1000*INDEX('SALA 2002'!$B:$U,MATCH($A3,'SALA 2002'!$A:$A,0),MATCH(Q$1,'SALA 2002'!$B$1:$U$1,0)),IF($A3&lt;=2000,1000*INDEX('SALA 2002'!$B:$U,MATCH($A3,'SALA 2002'!$A:$A,0),MATCH(Q$1,'SALA 2002'!$B$1:$U$1,0))*POWER(INDEX('WPP 2024 середина года'!$B:$U,MATCH($A3,'WPP 2024 середина года'!$A:$A,0),MATCH(Q$1,'WPP 2024 середина года'!$B$1:$U$1,0))/(1000*INDEX('SALA 2002'!$B:$U,MATCH($A3,'SALA 2002'!$A:$A,0),MATCH(Q$1,'SALA 2002'!$B$1:$U$1,0))),($A3-1994)/7),INDEX('WPP 2024 середина года'!$B:$U,MATCH($A3,'WPP 2024 середина года'!$A:$A,0),MATCH(Q$1,'WPP 2024 середина года'!$B$1:$U$1,0)))))</f>
        <v>270</v>
      </c>
      <c r="R3" s="7">
        <f>IF($A3&lt;=1951,INDEX('SALA 1974'!$B:$U,MATCH($A3,'SALA 1974'!$A:$A,0),MATCH(R$1,'SALA 1974'!$B$1:$U$1,0)),IF($A3&lt;=1994,1000*INDEX('SALA 2002'!$B:$U,MATCH($A3,'SALA 2002'!$A:$A,0),MATCH(R$1,'SALA 2002'!$B$1:$U$1,0)),IF($A3&lt;=2000,1000*INDEX('SALA 2002'!$B:$U,MATCH($A3,'SALA 2002'!$A:$A,0),MATCH(R$1,'SALA 2002'!$B$1:$U$1,0))*POWER(INDEX('WPP 2024 середина года'!$B:$U,MATCH($A3,'WPP 2024 середина года'!$A:$A,0),MATCH(R$1,'WPP 2024 середина года'!$B$1:$U$1,0))/(1000*INDEX('SALA 2002'!$B:$U,MATCH($A3,'SALA 2002'!$A:$A,0),MATCH(R$1,'SALA 2002'!$B$1:$U$1,0))),($A3-1994)/7),INDEX('WPP 2024 середина года'!$B:$U,MATCH($A3,'WPP 2024 середина года'!$A:$A,0),MATCH(R$1,'WPP 2024 середина года'!$B$1:$U$1,0)))))</f>
        <v>506</v>
      </c>
      <c r="S3" s="7">
        <f>IF($A3&lt;=1951,INDEX('SALA 1974'!$B:$U,MATCH($A3,'SALA 1974'!$A:$A,0),MATCH(S$1,'SALA 1974'!$B$1:$U$1,0)),IF($A3&lt;=1994,1000*INDEX('SALA 2002'!$B:$U,MATCH($A3,'SALA 2002'!$A:$A,0),MATCH(S$1,'SALA 2002'!$B$1:$U$1,0)),IF($A3&lt;=2000,1000*INDEX('SALA 2002'!$B:$U,MATCH($A3,'SALA 2002'!$A:$A,0),MATCH(S$1,'SALA 2002'!$B$1:$U$1,0))*POWER(INDEX('WPP 2024 середина года'!$B:$U,MATCH($A3,'WPP 2024 середина года'!$A:$A,0),MATCH(S$1,'WPP 2024 середина года'!$B$1:$U$1,0))/(1000*INDEX('SALA 2002'!$B:$U,MATCH($A3,'SALA 2002'!$A:$A,0),MATCH(S$1,'SALA 2002'!$B$1:$U$1,0))),($A3-1994)/7),INDEX('WPP 2024 середина года'!$B:$U,MATCH($A3,'WPP 2024 середина года'!$A:$A,0),MATCH(S$1,'WPP 2024 середина года'!$B$1:$U$1,0)))))</f>
        <v>3100</v>
      </c>
      <c r="T3" s="7">
        <f>IF($A3&lt;=1951,INDEX('SALA 1974'!$B:$U,MATCH($A3,'SALA 1974'!$A:$A,0),MATCH(T$1,'SALA 1974'!$B$1:$U$1,0)),IF($A3&lt;=1994,1000*INDEX('SALA 2002'!$B:$U,MATCH($A3,'SALA 2002'!$A:$A,0),MATCH(T$1,'SALA 2002'!$B$1:$U$1,0)),IF($A3&lt;=2000,1000*INDEX('SALA 2002'!$B:$U,MATCH($A3,'SALA 2002'!$A:$A,0),MATCH(T$1,'SALA 2002'!$B$1:$U$1,0))*POWER(INDEX('WPP 2024 середина года'!$B:$U,MATCH($A3,'WPP 2024 середина года'!$A:$A,0),MATCH(T$1,'WPP 2024 середина года'!$B$1:$U$1,0))/(1000*INDEX('SALA 2002'!$B:$U,MATCH($A3,'SALA 2002'!$A:$A,0),MATCH(T$1,'SALA 2002'!$B$1:$U$1,0))),($A3-1994)/7),INDEX('WPP 2024 середина года'!$B:$U,MATCH($A3,'WPP 2024 середина года'!$A:$A,0),MATCH(T$1,'WPP 2024 середина года'!$B$1:$U$1,0)))))</f>
        <v>965</v>
      </c>
      <c r="U3" s="7">
        <f>IF($A3&lt;=1951,INDEX('SALA 1974'!$B:$U,MATCH($A3,'SALA 1974'!$A:$A,0),MATCH(U$1,'SALA 1974'!$B$1:$U$1,0)),IF($A3&lt;=1994,1000*INDEX('SALA 2002'!$B:$U,MATCH($A3,'SALA 2002'!$A:$A,0),MATCH(U$1,'SALA 2002'!$B$1:$U$1,0)),IF($A3&lt;=2000,1000*INDEX('SALA 2002'!$B:$U,MATCH($A3,'SALA 2002'!$A:$A,0),MATCH(U$1,'SALA 2002'!$B$1:$U$1,0))*POWER(INDEX('WPP 2024 середина года'!$B:$U,MATCH($A3,'WPP 2024 середина года'!$A:$A,0),MATCH(U$1,'WPP 2024 середина года'!$B$1:$U$1,0))/(1000*INDEX('SALA 2002'!$B:$U,MATCH($A3,'SALA 2002'!$A:$A,0),MATCH(U$1,'SALA 2002'!$B$1:$U$1,0))),($A3-1994)/7),INDEX('WPP 2024 середина года'!$B:$U,MATCH($A3,'WPP 2024 середина года'!$A:$A,0),MATCH(U$1,'WPP 2024 середина года'!$B$1:$U$1,0)))))</f>
        <v>2451</v>
      </c>
    </row>
    <row r="4" spans="1:21" x14ac:dyDescent="0.25">
      <c r="A4" s="5">
        <f t="shared" ref="A4:A67" si="0">A3+1</f>
        <v>1902</v>
      </c>
      <c r="B4" s="7">
        <f>IF($A4&lt;=1951,INDEX('SALA 1974'!$B:$U,MATCH($A4,'SALA 1974'!$A:$A,0),MATCH(B$1,'SALA 1974'!$B$1:$U$1,0)),IF($A4&lt;=1994,1000*INDEX('SALA 2002'!$B:$U,MATCH($A4,'SALA 2002'!$A:$A,0),MATCH(B$1,'SALA 2002'!$B$1:$U$1,0)),IF($A4&lt;=2000,1000*INDEX('SALA 2002'!$B:$U,MATCH($A4,'SALA 2002'!$A:$A,0),MATCH(B$1,'SALA 2002'!$B$1:$U$1,0))*POWER(INDEX('WPP 2024 середина года'!$B:$U,MATCH($A4,'WPP 2024 середина года'!$A:$A,0),MATCH(B$1,'WPP 2024 середина года'!$B$1:$U$1,0))/(1000*INDEX('SALA 2002'!$B:$U,MATCH($A4,'SALA 2002'!$A:$A,0),MATCH(B$1,'SALA 2002'!$B$1:$U$1,0))),($A4-1994)/7),INDEX('WPP 2024 середина года'!$B:$U,MATCH($A4,'WPP 2024 середина года'!$A:$A,0),MATCH(B$1,'WPP 2024 середина года'!$B$1:$U$1,0)))))</f>
        <v>4872</v>
      </c>
      <c r="C4" s="7">
        <f>IF($A4&lt;=1951,INDEX('SALA 1974'!$B:$U,MATCH($A4,'SALA 1974'!$A:$A,0),MATCH(C$1,'SALA 1974'!$B$1:$U$1,0)),IF($A4&lt;=1994,1000*INDEX('SALA 2002'!$B:$U,MATCH($A4,'SALA 2002'!$A:$A,0),MATCH(C$1,'SALA 2002'!$B$1:$U$1,0)),IF($A4&lt;=2000,1000*INDEX('SALA 2002'!$B:$U,MATCH($A4,'SALA 2002'!$A:$A,0),MATCH(C$1,'SALA 2002'!$B$1:$U$1,0))*POWER(INDEX('WPP 2024 середина года'!$B:$U,MATCH($A4,'WPP 2024 середина года'!$A:$A,0),MATCH(C$1,'WPP 2024 середина года'!$B$1:$U$1,0))/(1000*INDEX('SALA 2002'!$B:$U,MATCH($A4,'SALA 2002'!$A:$A,0),MATCH(C$1,'SALA 2002'!$B$1:$U$1,0))),($A4-1994)/7),INDEX('WPP 2024 середина года'!$B:$U,MATCH($A4,'WPP 2024 середина года'!$A:$A,0),MATCH(C$1,'WPP 2024 середина года'!$B$1:$U$1,0)))))</f>
        <v>1803</v>
      </c>
      <c r="D4" s="7">
        <f>IF($A4&lt;=1951,INDEX('SALA 1974'!$B:$U,MATCH($A4,'SALA 1974'!$A:$A,0),MATCH(D$1,'SALA 1974'!$B$1:$U$1,0)),IF($A4&lt;=1994,1000*INDEX('SALA 2002'!$B:$U,MATCH($A4,'SALA 2002'!$A:$A,0),MATCH(D$1,'SALA 2002'!$B$1:$U$1,0)),IF($A4&lt;=2000,1000*INDEX('SALA 2002'!$B:$U,MATCH($A4,'SALA 2002'!$A:$A,0),MATCH(D$1,'SALA 2002'!$B$1:$U$1,0))*POWER(INDEX('WPP 2024 середина года'!$B:$U,MATCH($A4,'WPP 2024 середина года'!$A:$A,0),MATCH(D$1,'WPP 2024 середина года'!$B$1:$U$1,0))/(1000*INDEX('SALA 2002'!$B:$U,MATCH($A4,'SALA 2002'!$A:$A,0),MATCH(D$1,'SALA 2002'!$B$1:$U$1,0))),($A4-1994)/7),INDEX('WPP 2024 середина года'!$B:$U,MATCH($A4,'WPP 2024 середина года'!$A:$A,0),MATCH(D$1,'WPP 2024 середина года'!$B$1:$U$1,0)))))</f>
        <v>18782</v>
      </c>
      <c r="E4" s="7">
        <f>IF($A4&lt;=1951,INDEX('SALA 1974'!$B:$U,MATCH($A4,'SALA 1974'!$A:$A,0),MATCH(E$1,'SALA 1974'!$B$1:$U$1,0)),IF($A4&lt;=1994,1000*INDEX('SALA 2002'!$B:$U,MATCH($A4,'SALA 2002'!$A:$A,0),MATCH(E$1,'SALA 2002'!$B$1:$U$1,0)),IF($A4&lt;=2000,1000*INDEX('SALA 2002'!$B:$U,MATCH($A4,'SALA 2002'!$A:$A,0),MATCH(E$1,'SALA 2002'!$B$1:$U$1,0))*POWER(INDEX('WPP 2024 середина года'!$B:$U,MATCH($A4,'WPP 2024 середина года'!$A:$A,0),MATCH(E$1,'WPP 2024 середина года'!$B$1:$U$1,0))/(1000*INDEX('SALA 2002'!$B:$U,MATCH($A4,'SALA 2002'!$A:$A,0),MATCH(E$1,'SALA 2002'!$B$1:$U$1,0))),($A4-1994)/7),INDEX('WPP 2024 середина года'!$B:$U,MATCH($A4,'WPP 2024 середина года'!$A:$A,0),MATCH(E$1,'WPP 2024 середина года'!$B$1:$U$1,0)))))</f>
        <v>3030</v>
      </c>
      <c r="F4" s="7">
        <f>IF($A4&lt;=1947,INDEX('SALA 1974'!$B:$U,MATCH($A4,'SALA 1974'!$A:$A,0),MATCH(F$1,'SALA 1974'!$B$1:$U$1,0)),IF($A4&lt;=1994,1000*INDEX('SALA 2002'!$B:$U,MATCH($A4,'SALA 2002'!$A:$A,0),MATCH(F$1,'SALA 2002'!$B$1:$U$1,0)),IF($A4&lt;=2000,1000*INDEX('SALA 2002'!$B:$U,MATCH($A4,'SALA 2002'!$A:$A,0),MATCH(F$1,'SALA 2002'!$B$1:$U$1,0))*POWER(INDEX('WPP 2024 середина года'!$B:$U,MATCH($A4,'WPP 2024 середина года'!$A:$A,0),MATCH(F$1,'WPP 2024 середина года'!$B$1:$U$1,0))/(1000*INDEX('SALA 2002'!$B:$U,MATCH($A4,'SALA 2002'!$A:$A,0),MATCH(F$1,'SALA 2002'!$B$1:$U$1,0))),($A4-1994)/7),INDEX('WPP 2024 середина года'!$B:$U,MATCH($A4,'WPP 2024 середина года'!$A:$A,0),MATCH(F$1,'WPP 2024 середина года'!$B$1:$U$1,0)))))</f>
        <v>3994</v>
      </c>
      <c r="G4" s="7">
        <f>IF($A4&lt;=1951,INDEX('SALA 1974'!$B:$U,MATCH($A4,'SALA 1974'!$A:$A,0),MATCH(G$1,'SALA 1974'!$B$1:$U$1,0)),IF($A4&lt;=1994,1000*INDEX('SALA 2002'!$B:$U,MATCH($A4,'SALA 2002'!$A:$A,0),MATCH(G$1,'SALA 2002'!$B$1:$U$1,0)),IF($A4&lt;=2000,1000*INDEX('SALA 2002'!$B:$U,MATCH($A4,'SALA 2002'!$A:$A,0),MATCH(G$1,'SALA 2002'!$B$1:$U$1,0))*POWER(INDEX('WPP 2024 середина года'!$B:$U,MATCH($A4,'WPP 2024 середина года'!$A:$A,0),MATCH(G$1,'WPP 2024 середина года'!$B$1:$U$1,0))/(1000*INDEX('SALA 2002'!$B:$U,MATCH($A4,'SALA 2002'!$A:$A,0),MATCH(G$1,'SALA 2002'!$B$1:$U$1,0))),($A4-1994)/7),INDEX('WPP 2024 середина года'!$B:$U,MATCH($A4,'WPP 2024 середина года'!$A:$A,0),MATCH(G$1,'WPP 2024 середина года'!$B$1:$U$1,0)))))</f>
        <v>318</v>
      </c>
      <c r="H4" s="7">
        <f>IF($A4&lt;=1951,INDEX('SALA 1974'!$B:$U,MATCH($A4,'SALA 1974'!$A:$A,0),MATCH(H$1,'SALA 1974'!$B$1:$U$1,0)),IF($A4&lt;=1994,1000*INDEX('SALA 2002'!$B:$U,MATCH($A4,'SALA 2002'!$A:$A,0),MATCH(H$1,'SALA 2002'!$B$1:$U$1,0)),IF($A4&lt;=2000,1000*INDEX('SALA 2002'!$B:$U,MATCH($A4,'SALA 2002'!$A:$A,0),MATCH(H$1,'SALA 2002'!$B$1:$U$1,0))*POWER(INDEX('WPP 2024 середина года'!$B:$U,MATCH($A4,'WPP 2024 середина года'!$A:$A,0),MATCH(H$1,'WPP 2024 середина года'!$B$1:$U$1,0))/(1000*INDEX('SALA 2002'!$B:$U,MATCH($A4,'SALA 2002'!$A:$A,0),MATCH(H$1,'SALA 2002'!$B$1:$U$1,0))),($A4-1994)/7),INDEX('WPP 2024 середина года'!$B:$U,MATCH($A4,'WPP 2024 середина года'!$A:$A,0),MATCH(H$1,'WPP 2024 середина года'!$B$1:$U$1,0)))))</f>
        <v>1758</v>
      </c>
      <c r="I4" s="7">
        <f>IF($A4&lt;=1951,INDEX('SALA 1974'!$B:$U,MATCH($A4,'SALA 1974'!$A:$A,0),MATCH(I$1,'SALA 1974'!$B$1:$U$1,0)),IF($A4&lt;=1994,1000*INDEX('SALA 2002'!$B:$U,MATCH($A4,'SALA 2002'!$A:$A,0),MATCH(I$1,'SALA 2002'!$B$1:$U$1,0)),IF($A4&lt;=2000,1000*INDEX('SALA 2002'!$B:$U,MATCH($A4,'SALA 2002'!$A:$A,0),MATCH(I$1,'SALA 2002'!$B$1:$U$1,0))*POWER(INDEX('WPP 2024 середина года'!$B:$U,MATCH($A4,'WPP 2024 середина года'!$A:$A,0),MATCH(I$1,'WPP 2024 середина года'!$B$1:$U$1,0))/(1000*INDEX('SALA 2002'!$B:$U,MATCH($A4,'SALA 2002'!$A:$A,0),MATCH(I$1,'SALA 2002'!$B$1:$U$1,0))),($A4-1994)/7),INDEX('WPP 2024 середина года'!$B:$U,MATCH($A4,'WPP 2024 середина года'!$A:$A,0),MATCH(I$1,'WPP 2024 середина года'!$B$1:$U$1,0)))))</f>
        <v>628</v>
      </c>
      <c r="J4" s="7">
        <f>IF($A4&lt;=1951,INDEX('SALA 1974'!$B:$U,MATCH($A4,'SALA 1974'!$A:$A,0),MATCH(J$1,'SALA 1974'!$B$1:$U$1,0)),IF($A4&lt;=1994,1000*INDEX('SALA 2002'!$B:$U,MATCH($A4,'SALA 2002'!$A:$A,0),MATCH(J$1,'SALA 2002'!$B$1:$U$1,0)),IF($A4&lt;=2000,1000*INDEX('SALA 2002'!$B:$U,MATCH($A4,'SALA 2002'!$A:$A,0),MATCH(J$1,'SALA 2002'!$B$1:$U$1,0))*POWER(INDEX('WPP 2024 середина года'!$B:$U,MATCH($A4,'WPP 2024 середина года'!$A:$A,0),MATCH(J$1,'WPP 2024 середина года'!$B$1:$U$1,0))/(1000*INDEX('SALA 2002'!$B:$U,MATCH($A4,'SALA 2002'!$A:$A,0),MATCH(J$1,'SALA 2002'!$B$1:$U$1,0))),($A4-1994)/7),INDEX('WPP 2024 середина года'!$B:$U,MATCH($A4,'WPP 2024 середина года'!$A:$A,0),MATCH(J$1,'WPP 2024 середина года'!$B$1:$U$1,0)))))</f>
        <v>1324</v>
      </c>
      <c r="K4" s="7">
        <f>IF($A4&lt;=1951,INDEX('SALA 1974'!$B:$U,MATCH($A4,'SALA 1974'!$A:$A,0),MATCH(K$1,'SALA 1974'!$B$1:$U$1,0)),IF($A4&lt;=1994,1000*INDEX('SALA 2002'!$B:$U,MATCH($A4,'SALA 2002'!$A:$A,0),MATCH(K$1,'SALA 2002'!$B$1:$U$1,0)),IF($A4&lt;=2000,1000*INDEX('SALA 2002'!$B:$U,MATCH($A4,'SALA 2002'!$A:$A,0),MATCH(K$1,'SALA 2002'!$B$1:$U$1,0))*POWER(INDEX('WPP 2024 середина года'!$B:$U,MATCH($A4,'WPP 2024 середина года'!$A:$A,0),MATCH(K$1,'WPP 2024 середина года'!$B$1:$U$1,0))/(1000*INDEX('SALA 2002'!$B:$U,MATCH($A4,'SALA 2002'!$A:$A,0),MATCH(K$1,'SALA 2002'!$B$1:$U$1,0))),($A4-1994)/7),INDEX('WPP 2024 середина года'!$B:$U,MATCH($A4,'WPP 2024 середина года'!$A:$A,0),MATCH(K$1,'WPP 2024 середина года'!$B$1:$U$1,0)))))</f>
        <v>838</v>
      </c>
      <c r="L4" s="7">
        <f>IF($A4&lt;=1951,INDEX('SALA 1974'!$B:$U,MATCH($A4,'SALA 1974'!$A:$A,0),MATCH(L$1,'SALA 1974'!$B$1:$U$1,0)),IF($A4&lt;=1994,1000*INDEX('SALA 2002'!$B:$U,MATCH($A4,'SALA 2002'!$A:$A,0),MATCH(L$1,'SALA 2002'!$B$1:$U$1,0)),IF($A4&lt;=2000,1000*INDEX('SALA 2002'!$B:$U,MATCH($A4,'SALA 2002'!$A:$A,0),MATCH(L$1,'SALA 2002'!$B$1:$U$1,0))*POWER(INDEX('WPP 2024 середина года'!$B:$U,MATCH($A4,'WPP 2024 середина года'!$A:$A,0),MATCH(L$1,'WPP 2024 середина года'!$B$1:$U$1,0))/(1000*INDEX('SALA 2002'!$B:$U,MATCH($A4,'SALA 2002'!$A:$A,0),MATCH(L$1,'SALA 2002'!$B$1:$U$1,0))),($A4-1994)/7),INDEX('WPP 2024 середина года'!$B:$U,MATCH($A4,'WPP 2024 середина года'!$A:$A,0),MATCH(L$1,'WPP 2024 середина года'!$B$1:$U$1,0)))))</f>
        <v>936</v>
      </c>
      <c r="M4" s="7">
        <f>IF($A4&lt;=1951,INDEX('SALA 1974'!$B:$U,MATCH($A4,'SALA 1974'!$A:$A,0),MATCH(M$1,'SALA 1974'!$B$1:$U$1,0)),IF($A4&lt;=1994,1000*INDEX('SALA 2002'!$B:$U,MATCH($A4,'SALA 2002'!$A:$A,0),MATCH(M$1,'SALA 2002'!$B$1:$U$1,0)),IF($A4&lt;=2000,1000*INDEX('SALA 2002'!$B:$U,MATCH($A4,'SALA 2002'!$A:$A,0),MATCH(M$1,'SALA 2002'!$B$1:$U$1,0))*POWER(INDEX('WPP 2024 середина года'!$B:$U,MATCH($A4,'WPP 2024 середина года'!$A:$A,0),MATCH(M$1,'WPP 2024 середина года'!$B$1:$U$1,0))/(1000*INDEX('SALA 2002'!$B:$U,MATCH($A4,'SALA 2002'!$A:$A,0),MATCH(M$1,'SALA 2002'!$B$1:$U$1,0))),($A4-1994)/7),INDEX('WPP 2024 середина года'!$B:$U,MATCH($A4,'WPP 2024 середина года'!$A:$A,0),MATCH(M$1,'WPP 2024 середина года'!$B$1:$U$1,0)))))</f>
        <v>1338</v>
      </c>
      <c r="N4" s="7">
        <f>IF($A4&lt;=1951,INDEX('SALA 1974'!$B:$U,MATCH($A4,'SALA 1974'!$A:$A,0),MATCH(N$1,'SALA 1974'!$B$1:$U$1,0)),IF($A4&lt;=1994,1000*INDEX('SALA 2002'!$B:$U,MATCH($A4,'SALA 2002'!$A:$A,0),MATCH(N$1,'SALA 2002'!$B$1:$U$1,0)),IF($A4&lt;=2000,1000*INDEX('SALA 2002'!$B:$U,MATCH($A4,'SALA 2002'!$A:$A,0),MATCH(N$1,'SALA 2002'!$B$1:$U$1,0))*POWER(INDEX('WPP 2024 середина года'!$B:$U,MATCH($A4,'WPP 2024 середина года'!$A:$A,0),MATCH(N$1,'WPP 2024 середина года'!$B$1:$U$1,0))/(1000*INDEX('SALA 2002'!$B:$U,MATCH($A4,'SALA 2002'!$A:$A,0),MATCH(N$1,'SALA 2002'!$B$1:$U$1,0))),($A4-1994)/7),INDEX('WPP 2024 середина года'!$B:$U,MATCH($A4,'WPP 2024 середина года'!$A:$A,0),MATCH(N$1,'WPP 2024 середина года'!$B$1:$U$1,0)))))</f>
        <v>452</v>
      </c>
      <c r="O4" s="7">
        <f>IF($A4&lt;=1951,INDEX('SALA 1974'!$B:$U,MATCH($A4,'SALA 1974'!$A:$A,0),MATCH(O$1,'SALA 1974'!$B$1:$U$1,0)),IF($A4&lt;=1994,1000*INDEX('SALA 2002'!$B:$U,MATCH($A4,'SALA 2002'!$A:$A,0),MATCH(O$1,'SALA 2002'!$B$1:$U$1,0)),IF($A4&lt;=2000,1000*INDEX('SALA 2002'!$B:$U,MATCH($A4,'SALA 2002'!$A:$A,0),MATCH(O$1,'SALA 2002'!$B$1:$U$1,0))*POWER(INDEX('WPP 2024 середина года'!$B:$U,MATCH($A4,'WPP 2024 середина года'!$A:$A,0),MATCH(O$1,'WPP 2024 середина года'!$B$1:$U$1,0))/(1000*INDEX('SALA 2002'!$B:$U,MATCH($A4,'SALA 2002'!$A:$A,0),MATCH(O$1,'SALA 2002'!$B$1:$U$1,0))),($A4-1994)/7),INDEX('WPP 2024 середина года'!$B:$U,MATCH($A4,'WPP 2024 середина года'!$A:$A,0),MATCH(O$1,'WPP 2024 середина года'!$B$1:$U$1,0)))))</f>
        <v>13905</v>
      </c>
      <c r="P4" s="7">
        <f>IF($A4&lt;=1951,INDEX('SALA 1974'!$B:$U,MATCH($A4,'SALA 1974'!$A:$A,0),MATCH(P$1,'SALA 1974'!$B$1:$U$1,0)),IF($A4&lt;=1994,1000*INDEX('SALA 2002'!$B:$U,MATCH($A4,'SALA 2002'!$A:$A,0),MATCH(P$1,'SALA 2002'!$B$1:$U$1,0)),IF($A4&lt;=2000,1000*INDEX('SALA 2002'!$B:$U,MATCH($A4,'SALA 2002'!$A:$A,0),MATCH(P$1,'SALA 2002'!$B$1:$U$1,0))*POWER(INDEX('WPP 2024 середина года'!$B:$U,MATCH($A4,'WPP 2024 середина года'!$A:$A,0),MATCH(P$1,'WPP 2024 середина года'!$B$1:$U$1,0))/(1000*INDEX('SALA 2002'!$B:$U,MATCH($A4,'SALA 2002'!$A:$A,0),MATCH(P$1,'SALA 2002'!$B$1:$U$1,0))),($A4-1994)/7),INDEX('WPP 2024 середина года'!$B:$U,MATCH($A4,'WPP 2024 середина года'!$A:$A,0),MATCH(P$1,'WPP 2024 середина года'!$B$1:$U$1,0)))))</f>
        <v>448</v>
      </c>
      <c r="Q4" s="7">
        <f>IF($A4&lt;=1951,INDEX('SALA 1974'!$B:$U,MATCH($A4,'SALA 1974'!$A:$A,0),MATCH(Q$1,'SALA 1974'!$B$1:$U$1,0)),IF($A4&lt;=1994,1000*INDEX('SALA 2002'!$B:$U,MATCH($A4,'SALA 2002'!$A:$A,0),MATCH(Q$1,'SALA 2002'!$B$1:$U$1,0)),IF($A4&lt;=2000,1000*INDEX('SALA 2002'!$B:$U,MATCH($A4,'SALA 2002'!$A:$A,0),MATCH(Q$1,'SALA 2002'!$B$1:$U$1,0))*POWER(INDEX('WPP 2024 середина года'!$B:$U,MATCH($A4,'WPP 2024 середина года'!$A:$A,0),MATCH(Q$1,'WPP 2024 середина года'!$B$1:$U$1,0))/(1000*INDEX('SALA 2002'!$B:$U,MATCH($A4,'SALA 2002'!$A:$A,0),MATCH(Q$1,'SALA 2002'!$B$1:$U$1,0))),($A4-1994)/7),INDEX('WPP 2024 середина года'!$B:$U,MATCH($A4,'WPP 2024 середина года'!$A:$A,0),MATCH(Q$1,'WPP 2024 середина года'!$B$1:$U$1,0)))))</f>
        <v>276</v>
      </c>
      <c r="R4" s="7">
        <f>IF($A4&lt;=1951,INDEX('SALA 1974'!$B:$U,MATCH($A4,'SALA 1974'!$A:$A,0),MATCH(R$1,'SALA 1974'!$B$1:$U$1,0)),IF($A4&lt;=1994,1000*INDEX('SALA 2002'!$B:$U,MATCH($A4,'SALA 2002'!$A:$A,0),MATCH(R$1,'SALA 2002'!$B$1:$U$1,0)),IF($A4&lt;=2000,1000*INDEX('SALA 2002'!$B:$U,MATCH($A4,'SALA 2002'!$A:$A,0),MATCH(R$1,'SALA 2002'!$B$1:$U$1,0))*POWER(INDEX('WPP 2024 середина года'!$B:$U,MATCH($A4,'WPP 2024 середина года'!$A:$A,0),MATCH(R$1,'WPP 2024 середина года'!$B$1:$U$1,0))/(1000*INDEX('SALA 2002'!$B:$U,MATCH($A4,'SALA 2002'!$A:$A,0),MATCH(R$1,'SALA 2002'!$B$1:$U$1,0))),($A4-1994)/7),INDEX('WPP 2024 середина года'!$B:$U,MATCH($A4,'WPP 2024 середина года'!$A:$A,0),MATCH(R$1,'WPP 2024 середина года'!$B$1:$U$1,0)))))</f>
        <v>522</v>
      </c>
      <c r="S4" s="7">
        <f>IF($A4&lt;=1951,INDEX('SALA 1974'!$B:$U,MATCH($A4,'SALA 1974'!$A:$A,0),MATCH(S$1,'SALA 1974'!$B$1:$U$1,0)),IF($A4&lt;=1994,1000*INDEX('SALA 2002'!$B:$U,MATCH($A4,'SALA 2002'!$A:$A,0),MATCH(S$1,'SALA 2002'!$B$1:$U$1,0)),IF($A4&lt;=2000,1000*INDEX('SALA 2002'!$B:$U,MATCH($A4,'SALA 2002'!$A:$A,0),MATCH(S$1,'SALA 2002'!$B$1:$U$1,0))*POWER(INDEX('WPP 2024 середина года'!$B:$U,MATCH($A4,'WPP 2024 середина года'!$A:$A,0),MATCH(S$1,'WPP 2024 середина года'!$B$1:$U$1,0))/(1000*INDEX('SALA 2002'!$B:$U,MATCH($A4,'SALA 2002'!$A:$A,0),MATCH(S$1,'SALA 2002'!$B$1:$U$1,0))),($A4-1994)/7),INDEX('WPP 2024 середина года'!$B:$U,MATCH($A4,'WPP 2024 середина года'!$A:$A,0),MATCH(S$1,'WPP 2024 середина года'!$B$1:$U$1,0)))))</f>
        <v>3200</v>
      </c>
      <c r="T4" s="7">
        <f>IF($A4&lt;=1951,INDEX('SALA 1974'!$B:$U,MATCH($A4,'SALA 1974'!$A:$A,0),MATCH(T$1,'SALA 1974'!$B$1:$U$1,0)),IF($A4&lt;=1994,1000*INDEX('SALA 2002'!$B:$U,MATCH($A4,'SALA 2002'!$A:$A,0),MATCH(T$1,'SALA 2002'!$B$1:$U$1,0)),IF($A4&lt;=2000,1000*INDEX('SALA 2002'!$B:$U,MATCH($A4,'SALA 2002'!$A:$A,0),MATCH(T$1,'SALA 2002'!$B$1:$U$1,0))*POWER(INDEX('WPP 2024 середина года'!$B:$U,MATCH($A4,'WPP 2024 середина года'!$A:$A,0),MATCH(T$1,'WPP 2024 середина года'!$B$1:$U$1,0))/(1000*INDEX('SALA 2002'!$B:$U,MATCH($A4,'SALA 2002'!$A:$A,0),MATCH(T$1,'SALA 2002'!$B$1:$U$1,0))),($A4-1994)/7),INDEX('WPP 2024 середина года'!$B:$U,MATCH($A4,'WPP 2024 середина года'!$A:$A,0),MATCH(T$1,'WPP 2024 середина года'!$B$1:$U$1,0)))))</f>
        <v>990</v>
      </c>
      <c r="U4" s="7">
        <f>IF($A4&lt;=1951,INDEX('SALA 1974'!$B:$U,MATCH($A4,'SALA 1974'!$A:$A,0),MATCH(U$1,'SALA 1974'!$B$1:$U$1,0)),IF($A4&lt;=1994,1000*INDEX('SALA 2002'!$B:$U,MATCH($A4,'SALA 2002'!$A:$A,0),MATCH(U$1,'SALA 2002'!$B$1:$U$1,0)),IF($A4&lt;=2000,1000*INDEX('SALA 2002'!$B:$U,MATCH($A4,'SALA 2002'!$A:$A,0),MATCH(U$1,'SALA 2002'!$B$1:$U$1,0))*POWER(INDEX('WPP 2024 середина года'!$B:$U,MATCH($A4,'WPP 2024 середина года'!$A:$A,0),MATCH(U$1,'WPP 2024 середина года'!$B$1:$U$1,0))/(1000*INDEX('SALA 2002'!$B:$U,MATCH($A4,'SALA 2002'!$A:$A,0),MATCH(U$1,'SALA 2002'!$B$1:$U$1,0))),($A4-1994)/7),INDEX('WPP 2024 середина года'!$B:$U,MATCH($A4,'WPP 2024 середина года'!$A:$A,0),MATCH(U$1,'WPP 2024 середина года'!$B$1:$U$1,0)))))</f>
        <v>2458</v>
      </c>
    </row>
    <row r="5" spans="1:21" x14ac:dyDescent="0.25">
      <c r="A5" s="5">
        <f t="shared" si="0"/>
        <v>1903</v>
      </c>
      <c r="B5" s="7">
        <f>IF($A5&lt;=1951,INDEX('SALA 1974'!$B:$U,MATCH($A5,'SALA 1974'!$A:$A,0),MATCH(B$1,'SALA 1974'!$B$1:$U$1,0)),IF($A5&lt;=1994,1000*INDEX('SALA 2002'!$B:$U,MATCH($A5,'SALA 2002'!$A:$A,0),MATCH(B$1,'SALA 2002'!$B$1:$U$1,0)),IF($A5&lt;=2000,1000*INDEX('SALA 2002'!$B:$U,MATCH($A5,'SALA 2002'!$A:$A,0),MATCH(B$1,'SALA 2002'!$B$1:$U$1,0))*POWER(INDEX('WPP 2024 середина года'!$B:$U,MATCH($A5,'WPP 2024 середина года'!$A:$A,0),MATCH(B$1,'WPP 2024 середина года'!$B$1:$U$1,0))/(1000*INDEX('SALA 2002'!$B:$U,MATCH($A5,'SALA 2002'!$A:$A,0),MATCH(B$1,'SALA 2002'!$B$1:$U$1,0))),($A5-1994)/7),INDEX('WPP 2024 середина года'!$B:$U,MATCH($A5,'WPP 2024 середина года'!$A:$A,0),MATCH(B$1,'WPP 2024 середина года'!$B$1:$U$1,0)))))</f>
        <v>4976</v>
      </c>
      <c r="C5" s="7">
        <f>IF($A5&lt;=1951,INDEX('SALA 1974'!$B:$U,MATCH($A5,'SALA 1974'!$A:$A,0),MATCH(C$1,'SALA 1974'!$B$1:$U$1,0)),IF($A5&lt;=1994,1000*INDEX('SALA 2002'!$B:$U,MATCH($A5,'SALA 2002'!$A:$A,0),MATCH(C$1,'SALA 2002'!$B$1:$U$1,0)),IF($A5&lt;=2000,1000*INDEX('SALA 2002'!$B:$U,MATCH($A5,'SALA 2002'!$A:$A,0),MATCH(C$1,'SALA 2002'!$B$1:$U$1,0))*POWER(INDEX('WPP 2024 середина года'!$B:$U,MATCH($A5,'WPP 2024 середина года'!$A:$A,0),MATCH(C$1,'WPP 2024 середина года'!$B$1:$U$1,0))/(1000*INDEX('SALA 2002'!$B:$U,MATCH($A5,'SALA 2002'!$A:$A,0),MATCH(C$1,'SALA 2002'!$B$1:$U$1,0))),($A5-1994)/7),INDEX('WPP 2024 середина года'!$B:$U,MATCH($A5,'WPP 2024 середина года'!$A:$A,0),MATCH(C$1,'WPP 2024 середина года'!$B$1:$U$1,0)))))</f>
        <v>1822</v>
      </c>
      <c r="D5" s="7">
        <f>IF($A5&lt;=1951,INDEX('SALA 1974'!$B:$U,MATCH($A5,'SALA 1974'!$A:$A,0),MATCH(D$1,'SALA 1974'!$B$1:$U$1,0)),IF($A5&lt;=1994,1000*INDEX('SALA 2002'!$B:$U,MATCH($A5,'SALA 2002'!$A:$A,0),MATCH(D$1,'SALA 2002'!$B$1:$U$1,0)),IF($A5&lt;=2000,1000*INDEX('SALA 2002'!$B:$U,MATCH($A5,'SALA 2002'!$A:$A,0),MATCH(D$1,'SALA 2002'!$B$1:$U$1,0))*POWER(INDEX('WPP 2024 середина года'!$B:$U,MATCH($A5,'WPP 2024 середина года'!$A:$A,0),MATCH(D$1,'WPP 2024 середина года'!$B$1:$U$1,0))/(1000*INDEX('SALA 2002'!$B:$U,MATCH($A5,'SALA 2002'!$A:$A,0),MATCH(D$1,'SALA 2002'!$B$1:$U$1,0))),($A5-1994)/7),INDEX('WPP 2024 середина года'!$B:$U,MATCH($A5,'WPP 2024 середина года'!$A:$A,0),MATCH(D$1,'WPP 2024 середина года'!$B$1:$U$1,0)))))</f>
        <v>19180</v>
      </c>
      <c r="E5" s="7">
        <f>IF($A5&lt;=1951,INDEX('SALA 1974'!$B:$U,MATCH($A5,'SALA 1974'!$A:$A,0),MATCH(E$1,'SALA 1974'!$B$1:$U$1,0)),IF($A5&lt;=1994,1000*INDEX('SALA 2002'!$B:$U,MATCH($A5,'SALA 2002'!$A:$A,0),MATCH(E$1,'SALA 2002'!$B$1:$U$1,0)),IF($A5&lt;=2000,1000*INDEX('SALA 2002'!$B:$U,MATCH($A5,'SALA 2002'!$A:$A,0),MATCH(E$1,'SALA 2002'!$B$1:$U$1,0))*POWER(INDEX('WPP 2024 середина года'!$B:$U,MATCH($A5,'WPP 2024 середина года'!$A:$A,0),MATCH(E$1,'WPP 2024 середина года'!$B$1:$U$1,0))/(1000*INDEX('SALA 2002'!$B:$U,MATCH($A5,'SALA 2002'!$A:$A,0),MATCH(E$1,'SALA 2002'!$B$1:$U$1,0))),($A5-1994)/7),INDEX('WPP 2024 середина года'!$B:$U,MATCH($A5,'WPP 2024 середина года'!$A:$A,0),MATCH(E$1,'WPP 2024 середина года'!$B$1:$U$1,0)))))</f>
        <v>3066</v>
      </c>
      <c r="F5" s="7">
        <f>IF($A5&lt;=1947,INDEX('SALA 1974'!$B:$U,MATCH($A5,'SALA 1974'!$A:$A,0),MATCH(F$1,'SALA 1974'!$B$1:$U$1,0)),IF($A5&lt;=1994,1000*INDEX('SALA 2002'!$B:$U,MATCH($A5,'SALA 2002'!$A:$A,0),MATCH(F$1,'SALA 2002'!$B$1:$U$1,0)),IF($A5&lt;=2000,1000*INDEX('SALA 2002'!$B:$U,MATCH($A5,'SALA 2002'!$A:$A,0),MATCH(F$1,'SALA 2002'!$B$1:$U$1,0))*POWER(INDEX('WPP 2024 середина года'!$B:$U,MATCH($A5,'WPP 2024 середина года'!$A:$A,0),MATCH(F$1,'WPP 2024 середина года'!$B$1:$U$1,0))/(1000*INDEX('SALA 2002'!$B:$U,MATCH($A5,'SALA 2002'!$A:$A,0),MATCH(F$1,'SALA 2002'!$B$1:$U$1,0))),($A5-1994)/7),INDEX('WPP 2024 середина года'!$B:$U,MATCH($A5,'WPP 2024 середина года'!$A:$A,0),MATCH(F$1,'WPP 2024 середина года'!$B$1:$U$1,0)))))</f>
        <v>4044</v>
      </c>
      <c r="G5" s="7">
        <f>IF($A5&lt;=1951,INDEX('SALA 1974'!$B:$U,MATCH($A5,'SALA 1974'!$A:$A,0),MATCH(G$1,'SALA 1974'!$B$1:$U$1,0)),IF($A5&lt;=1994,1000*INDEX('SALA 2002'!$B:$U,MATCH($A5,'SALA 2002'!$A:$A,0),MATCH(G$1,'SALA 2002'!$B$1:$U$1,0)),IF($A5&lt;=2000,1000*INDEX('SALA 2002'!$B:$U,MATCH($A5,'SALA 2002'!$A:$A,0),MATCH(G$1,'SALA 2002'!$B$1:$U$1,0))*POWER(INDEX('WPP 2024 середина года'!$B:$U,MATCH($A5,'WPP 2024 середина года'!$A:$A,0),MATCH(G$1,'WPP 2024 середина года'!$B$1:$U$1,0))/(1000*INDEX('SALA 2002'!$B:$U,MATCH($A5,'SALA 2002'!$A:$A,0),MATCH(G$1,'SALA 2002'!$B$1:$U$1,0))),($A5-1994)/7),INDEX('WPP 2024 середина года'!$B:$U,MATCH($A5,'WPP 2024 середина года'!$A:$A,0),MATCH(G$1,'WPP 2024 середина года'!$B$1:$U$1,0)))))</f>
        <v>324</v>
      </c>
      <c r="H5" s="7">
        <f>IF($A5&lt;=1951,INDEX('SALA 1974'!$B:$U,MATCH($A5,'SALA 1974'!$A:$A,0),MATCH(H$1,'SALA 1974'!$B$1:$U$1,0)),IF($A5&lt;=1994,1000*INDEX('SALA 2002'!$B:$U,MATCH($A5,'SALA 2002'!$A:$A,0),MATCH(H$1,'SALA 2002'!$B$1:$U$1,0)),IF($A5&lt;=2000,1000*INDEX('SALA 2002'!$B:$U,MATCH($A5,'SALA 2002'!$A:$A,0),MATCH(H$1,'SALA 2002'!$B$1:$U$1,0))*POWER(INDEX('WPP 2024 середина года'!$B:$U,MATCH($A5,'WPP 2024 середина года'!$A:$A,0),MATCH(H$1,'WPP 2024 середина года'!$B$1:$U$1,0))/(1000*INDEX('SALA 2002'!$B:$U,MATCH($A5,'SALA 2002'!$A:$A,0),MATCH(H$1,'SALA 2002'!$B$1:$U$1,0))),($A5-1994)/7),INDEX('WPP 2024 середина года'!$B:$U,MATCH($A5,'WPP 2024 середина года'!$A:$A,0),MATCH(H$1,'WPP 2024 середина года'!$B$1:$U$1,0)))))</f>
        <v>1837</v>
      </c>
      <c r="I5" s="7">
        <f>IF($A5&lt;=1951,INDEX('SALA 1974'!$B:$U,MATCH($A5,'SALA 1974'!$A:$A,0),MATCH(I$1,'SALA 1974'!$B$1:$U$1,0)),IF($A5&lt;=1994,1000*INDEX('SALA 2002'!$B:$U,MATCH($A5,'SALA 2002'!$A:$A,0),MATCH(I$1,'SALA 2002'!$B$1:$U$1,0)),IF($A5&lt;=2000,1000*INDEX('SALA 2002'!$B:$U,MATCH($A5,'SALA 2002'!$A:$A,0),MATCH(I$1,'SALA 2002'!$B$1:$U$1,0))*POWER(INDEX('WPP 2024 середина года'!$B:$U,MATCH($A5,'WPP 2024 середина года'!$A:$A,0),MATCH(I$1,'WPP 2024 середина года'!$B$1:$U$1,0))/(1000*INDEX('SALA 2002'!$B:$U,MATCH($A5,'SALA 2002'!$A:$A,0),MATCH(I$1,'SALA 2002'!$B$1:$U$1,0))),($A5-1994)/7),INDEX('WPP 2024 середина года'!$B:$U,MATCH($A5,'WPP 2024 середина года'!$A:$A,0),MATCH(I$1,'WPP 2024 середина года'!$B$1:$U$1,0)))))</f>
        <v>642</v>
      </c>
      <c r="J5" s="7">
        <f>IF($A5&lt;=1951,INDEX('SALA 1974'!$B:$U,MATCH($A5,'SALA 1974'!$A:$A,0),MATCH(J$1,'SALA 1974'!$B$1:$U$1,0)),IF($A5&lt;=1994,1000*INDEX('SALA 2002'!$B:$U,MATCH($A5,'SALA 2002'!$A:$A,0),MATCH(J$1,'SALA 2002'!$B$1:$U$1,0)),IF($A5&lt;=2000,1000*INDEX('SALA 2002'!$B:$U,MATCH($A5,'SALA 2002'!$A:$A,0),MATCH(J$1,'SALA 2002'!$B$1:$U$1,0))*POWER(INDEX('WPP 2024 середина года'!$B:$U,MATCH($A5,'WPP 2024 середина года'!$A:$A,0),MATCH(J$1,'WPP 2024 середина года'!$B$1:$U$1,0))/(1000*INDEX('SALA 2002'!$B:$U,MATCH($A5,'SALA 2002'!$A:$A,0),MATCH(J$1,'SALA 2002'!$B$1:$U$1,0))),($A5-1994)/7),INDEX('WPP 2024 середина года'!$B:$U,MATCH($A5,'WPP 2024 середина года'!$A:$A,0),MATCH(J$1,'WPP 2024 середина года'!$B$1:$U$1,0)))))</f>
        <v>1336</v>
      </c>
      <c r="K5" s="7">
        <f>IF($A5&lt;=1951,INDEX('SALA 1974'!$B:$U,MATCH($A5,'SALA 1974'!$A:$A,0),MATCH(K$1,'SALA 1974'!$B$1:$U$1,0)),IF($A5&lt;=1994,1000*INDEX('SALA 2002'!$B:$U,MATCH($A5,'SALA 2002'!$A:$A,0),MATCH(K$1,'SALA 2002'!$B$1:$U$1,0)),IF($A5&lt;=2000,1000*INDEX('SALA 2002'!$B:$U,MATCH($A5,'SALA 2002'!$A:$A,0),MATCH(K$1,'SALA 2002'!$B$1:$U$1,0))*POWER(INDEX('WPP 2024 середина года'!$B:$U,MATCH($A5,'WPP 2024 середина года'!$A:$A,0),MATCH(K$1,'WPP 2024 середина года'!$B$1:$U$1,0))/(1000*INDEX('SALA 2002'!$B:$U,MATCH($A5,'SALA 2002'!$A:$A,0),MATCH(K$1,'SALA 2002'!$B$1:$U$1,0))),($A5-1994)/7),INDEX('WPP 2024 середина года'!$B:$U,MATCH($A5,'WPP 2024 середина года'!$A:$A,0),MATCH(K$1,'WPP 2024 середина года'!$B$1:$U$1,0)))))</f>
        <v>856</v>
      </c>
      <c r="L5" s="7">
        <f>IF($A5&lt;=1951,INDEX('SALA 1974'!$B:$U,MATCH($A5,'SALA 1974'!$A:$A,0),MATCH(L$1,'SALA 1974'!$B$1:$U$1,0)),IF($A5&lt;=1994,1000*INDEX('SALA 2002'!$B:$U,MATCH($A5,'SALA 2002'!$A:$A,0),MATCH(L$1,'SALA 2002'!$B$1:$U$1,0)),IF($A5&lt;=2000,1000*INDEX('SALA 2002'!$B:$U,MATCH($A5,'SALA 2002'!$A:$A,0),MATCH(L$1,'SALA 2002'!$B$1:$U$1,0))*POWER(INDEX('WPP 2024 середина года'!$B:$U,MATCH($A5,'WPP 2024 середина года'!$A:$A,0),MATCH(L$1,'WPP 2024 середина года'!$B$1:$U$1,0))/(1000*INDEX('SALA 2002'!$B:$U,MATCH($A5,'SALA 2002'!$A:$A,0),MATCH(L$1,'SALA 2002'!$B$1:$U$1,0))),($A5-1994)/7),INDEX('WPP 2024 середина года'!$B:$U,MATCH($A5,'WPP 2024 середина года'!$A:$A,0),MATCH(L$1,'WPP 2024 середина года'!$B$1:$U$1,0)))))</f>
        <v>961</v>
      </c>
      <c r="M5" s="7">
        <f>IF($A5&lt;=1951,INDEX('SALA 1974'!$B:$U,MATCH($A5,'SALA 1974'!$A:$A,0),MATCH(M$1,'SALA 1974'!$B$1:$U$1,0)),IF($A5&lt;=1994,1000*INDEX('SALA 2002'!$B:$U,MATCH($A5,'SALA 2002'!$A:$A,0),MATCH(M$1,'SALA 2002'!$B$1:$U$1,0)),IF($A5&lt;=2000,1000*INDEX('SALA 2002'!$B:$U,MATCH($A5,'SALA 2002'!$A:$A,0),MATCH(M$1,'SALA 2002'!$B$1:$U$1,0))*POWER(INDEX('WPP 2024 середина года'!$B:$U,MATCH($A5,'WPP 2024 середина года'!$A:$A,0),MATCH(M$1,'WPP 2024 середина года'!$B$1:$U$1,0))/(1000*INDEX('SALA 2002'!$B:$U,MATCH($A5,'SALA 2002'!$A:$A,0),MATCH(M$1,'SALA 2002'!$B$1:$U$1,0))),($A5-1994)/7),INDEX('WPP 2024 середина года'!$B:$U,MATCH($A5,'WPP 2024 середина года'!$A:$A,0),MATCH(M$1,'WPP 2024 середина года'!$B$1:$U$1,0)))))</f>
        <v>1381</v>
      </c>
      <c r="N5" s="7">
        <f>IF($A5&lt;=1951,INDEX('SALA 1974'!$B:$U,MATCH($A5,'SALA 1974'!$A:$A,0),MATCH(N$1,'SALA 1974'!$B$1:$U$1,0)),IF($A5&lt;=1994,1000*INDEX('SALA 2002'!$B:$U,MATCH($A5,'SALA 2002'!$A:$A,0),MATCH(N$1,'SALA 2002'!$B$1:$U$1,0)),IF($A5&lt;=2000,1000*INDEX('SALA 2002'!$B:$U,MATCH($A5,'SALA 2002'!$A:$A,0),MATCH(N$1,'SALA 2002'!$B$1:$U$1,0))*POWER(INDEX('WPP 2024 середина года'!$B:$U,MATCH($A5,'WPP 2024 середина года'!$A:$A,0),MATCH(N$1,'WPP 2024 середина года'!$B$1:$U$1,0))/(1000*INDEX('SALA 2002'!$B:$U,MATCH($A5,'SALA 2002'!$A:$A,0),MATCH(N$1,'SALA 2002'!$B$1:$U$1,0))),($A5-1994)/7),INDEX('WPP 2024 середина года'!$B:$U,MATCH($A5,'WPP 2024 середина года'!$A:$A,0),MATCH(N$1,'WPP 2024 середина года'!$B$1:$U$1,0)))))</f>
        <v>468</v>
      </c>
      <c r="O5" s="7">
        <f>IF($A5&lt;=1951,INDEX('SALA 1974'!$B:$U,MATCH($A5,'SALA 1974'!$A:$A,0),MATCH(O$1,'SALA 1974'!$B$1:$U$1,0)),IF($A5&lt;=1994,1000*INDEX('SALA 2002'!$B:$U,MATCH($A5,'SALA 2002'!$A:$A,0),MATCH(O$1,'SALA 2002'!$B$1:$U$1,0)),IF($A5&lt;=2000,1000*INDEX('SALA 2002'!$B:$U,MATCH($A5,'SALA 2002'!$A:$A,0),MATCH(O$1,'SALA 2002'!$B$1:$U$1,0))*POWER(INDEX('WPP 2024 середина года'!$B:$U,MATCH($A5,'WPP 2024 середина года'!$A:$A,0),MATCH(O$1,'WPP 2024 середина года'!$B$1:$U$1,0))/(1000*INDEX('SALA 2002'!$B:$U,MATCH($A5,'SALA 2002'!$A:$A,0),MATCH(O$1,'SALA 2002'!$B$1:$U$1,0))),($A5-1994)/7),INDEX('WPP 2024 середина года'!$B:$U,MATCH($A5,'WPP 2024 середина года'!$A:$A,0),MATCH(O$1,'WPP 2024 середина года'!$B$1:$U$1,0)))))</f>
        <v>14065</v>
      </c>
      <c r="P5" s="7">
        <f>IF($A5&lt;=1951,INDEX('SALA 1974'!$B:$U,MATCH($A5,'SALA 1974'!$A:$A,0),MATCH(P$1,'SALA 1974'!$B$1:$U$1,0)),IF($A5&lt;=1994,1000*INDEX('SALA 2002'!$B:$U,MATCH($A5,'SALA 2002'!$A:$A,0),MATCH(P$1,'SALA 2002'!$B$1:$U$1,0)),IF($A5&lt;=2000,1000*INDEX('SALA 2002'!$B:$U,MATCH($A5,'SALA 2002'!$A:$A,0),MATCH(P$1,'SALA 2002'!$B$1:$U$1,0))*POWER(INDEX('WPP 2024 середина года'!$B:$U,MATCH($A5,'WPP 2024 середина года'!$A:$A,0),MATCH(P$1,'WPP 2024 середина года'!$B$1:$U$1,0))/(1000*INDEX('SALA 2002'!$B:$U,MATCH($A5,'SALA 2002'!$A:$A,0),MATCH(P$1,'SALA 2002'!$B$1:$U$1,0))),($A5-1994)/7),INDEX('WPP 2024 середина года'!$B:$U,MATCH($A5,'WPP 2024 середина года'!$A:$A,0),MATCH(P$1,'WPP 2024 середина года'!$B$1:$U$1,0)))))</f>
        <v>462</v>
      </c>
      <c r="Q5" s="7">
        <f>IF($A5&lt;=1951,INDEX('SALA 1974'!$B:$U,MATCH($A5,'SALA 1974'!$A:$A,0),MATCH(Q$1,'SALA 1974'!$B$1:$U$1,0)),IF($A5&lt;=1994,1000*INDEX('SALA 2002'!$B:$U,MATCH($A5,'SALA 2002'!$A:$A,0),MATCH(Q$1,'SALA 2002'!$B$1:$U$1,0)),IF($A5&lt;=2000,1000*INDEX('SALA 2002'!$B:$U,MATCH($A5,'SALA 2002'!$A:$A,0),MATCH(Q$1,'SALA 2002'!$B$1:$U$1,0))*POWER(INDEX('WPP 2024 середина года'!$B:$U,MATCH($A5,'WPP 2024 середина года'!$A:$A,0),MATCH(Q$1,'WPP 2024 середина года'!$B$1:$U$1,0))/(1000*INDEX('SALA 2002'!$B:$U,MATCH($A5,'SALA 2002'!$A:$A,0),MATCH(Q$1,'SALA 2002'!$B$1:$U$1,0))),($A5-1994)/7),INDEX('WPP 2024 середина года'!$B:$U,MATCH($A5,'WPP 2024 середина года'!$A:$A,0),MATCH(Q$1,'WPP 2024 середина года'!$B$1:$U$1,0)))))</f>
        <v>283</v>
      </c>
      <c r="R5" s="7">
        <f>IF($A5&lt;=1951,INDEX('SALA 1974'!$B:$U,MATCH($A5,'SALA 1974'!$A:$A,0),MATCH(R$1,'SALA 1974'!$B$1:$U$1,0)),IF($A5&lt;=1994,1000*INDEX('SALA 2002'!$B:$U,MATCH($A5,'SALA 2002'!$A:$A,0),MATCH(R$1,'SALA 2002'!$B$1:$U$1,0)),IF($A5&lt;=2000,1000*INDEX('SALA 2002'!$B:$U,MATCH($A5,'SALA 2002'!$A:$A,0),MATCH(R$1,'SALA 2002'!$B$1:$U$1,0))*POWER(INDEX('WPP 2024 середина года'!$B:$U,MATCH($A5,'WPP 2024 середина года'!$A:$A,0),MATCH(R$1,'WPP 2024 середина года'!$B$1:$U$1,0))/(1000*INDEX('SALA 2002'!$B:$U,MATCH($A5,'SALA 2002'!$A:$A,0),MATCH(R$1,'SALA 2002'!$B$1:$U$1,0))),($A5-1994)/7),INDEX('WPP 2024 середина года'!$B:$U,MATCH($A5,'WPP 2024 середина года'!$A:$A,0),MATCH(R$1,'WPP 2024 середина года'!$B$1:$U$1,0)))))</f>
        <v>539</v>
      </c>
      <c r="S5" s="7">
        <f>IF($A5&lt;=1951,INDEX('SALA 1974'!$B:$U,MATCH($A5,'SALA 1974'!$A:$A,0),MATCH(S$1,'SALA 1974'!$B$1:$U$1,0)),IF($A5&lt;=1994,1000*INDEX('SALA 2002'!$B:$U,MATCH($A5,'SALA 2002'!$A:$A,0),MATCH(S$1,'SALA 2002'!$B$1:$U$1,0)),IF($A5&lt;=2000,1000*INDEX('SALA 2002'!$B:$U,MATCH($A5,'SALA 2002'!$A:$A,0),MATCH(S$1,'SALA 2002'!$B$1:$U$1,0))*POWER(INDEX('WPP 2024 середина года'!$B:$U,MATCH($A5,'WPP 2024 середина года'!$A:$A,0),MATCH(S$1,'WPP 2024 середина года'!$B$1:$U$1,0))/(1000*INDEX('SALA 2002'!$B:$U,MATCH($A5,'SALA 2002'!$A:$A,0),MATCH(S$1,'SALA 2002'!$B$1:$U$1,0))),($A5-1994)/7),INDEX('WPP 2024 середина года'!$B:$U,MATCH($A5,'WPP 2024 середина года'!$A:$A,0),MATCH(S$1,'WPP 2024 середина года'!$B$1:$U$1,0)))))</f>
        <v>3300</v>
      </c>
      <c r="T5" s="7">
        <f>IF($A5&lt;=1951,INDEX('SALA 1974'!$B:$U,MATCH($A5,'SALA 1974'!$A:$A,0),MATCH(T$1,'SALA 1974'!$B$1:$U$1,0)),IF($A5&lt;=1994,1000*INDEX('SALA 2002'!$B:$U,MATCH($A5,'SALA 2002'!$A:$A,0),MATCH(T$1,'SALA 2002'!$B$1:$U$1,0)),IF($A5&lt;=2000,1000*INDEX('SALA 2002'!$B:$U,MATCH($A5,'SALA 2002'!$A:$A,0),MATCH(T$1,'SALA 2002'!$B$1:$U$1,0))*POWER(INDEX('WPP 2024 середина года'!$B:$U,MATCH($A5,'WPP 2024 середина года'!$A:$A,0),MATCH(T$1,'WPP 2024 середина года'!$B$1:$U$1,0))/(1000*INDEX('SALA 2002'!$B:$U,MATCH($A5,'SALA 2002'!$A:$A,0),MATCH(T$1,'SALA 2002'!$B$1:$U$1,0))),($A5-1994)/7),INDEX('WPP 2024 середина года'!$B:$U,MATCH($A5,'WPP 2024 середина года'!$A:$A,0),MATCH(T$1,'WPP 2024 середина года'!$B$1:$U$1,0)))))</f>
        <v>1019</v>
      </c>
      <c r="U5" s="7">
        <f>IF($A5&lt;=1951,INDEX('SALA 1974'!$B:$U,MATCH($A5,'SALA 1974'!$A:$A,0),MATCH(U$1,'SALA 1974'!$B$1:$U$1,0)),IF($A5&lt;=1994,1000*INDEX('SALA 2002'!$B:$U,MATCH($A5,'SALA 2002'!$A:$A,0),MATCH(U$1,'SALA 2002'!$B$1:$U$1,0)),IF($A5&lt;=2000,1000*INDEX('SALA 2002'!$B:$U,MATCH($A5,'SALA 2002'!$A:$A,0),MATCH(U$1,'SALA 2002'!$B$1:$U$1,0))*POWER(INDEX('WPP 2024 середина года'!$B:$U,MATCH($A5,'WPP 2024 середина года'!$A:$A,0),MATCH(U$1,'WPP 2024 середина года'!$B$1:$U$1,0))/(1000*INDEX('SALA 2002'!$B:$U,MATCH($A5,'SALA 2002'!$A:$A,0),MATCH(U$1,'SALA 2002'!$B$1:$U$1,0))),($A5-1994)/7),INDEX('WPP 2024 середина года'!$B:$U,MATCH($A5,'WPP 2024 середина года'!$A:$A,0),MATCH(U$1,'WPP 2024 середина года'!$B$1:$U$1,0)))))</f>
        <v>2465</v>
      </c>
    </row>
    <row r="6" spans="1:21" x14ac:dyDescent="0.25">
      <c r="A6" s="5">
        <f t="shared" si="0"/>
        <v>1904</v>
      </c>
      <c r="B6" s="7">
        <f>IF($A6&lt;=1951,INDEX('SALA 1974'!$B:$U,MATCH($A6,'SALA 1974'!$A:$A,0),MATCH(B$1,'SALA 1974'!$B$1:$U$1,0)),IF($A6&lt;=1994,1000*INDEX('SALA 2002'!$B:$U,MATCH($A6,'SALA 2002'!$A:$A,0),MATCH(B$1,'SALA 2002'!$B$1:$U$1,0)),IF($A6&lt;=2000,1000*INDEX('SALA 2002'!$B:$U,MATCH($A6,'SALA 2002'!$A:$A,0),MATCH(B$1,'SALA 2002'!$B$1:$U$1,0))*POWER(INDEX('WPP 2024 середина года'!$B:$U,MATCH($A6,'WPP 2024 середина года'!$A:$A,0),MATCH(B$1,'WPP 2024 середина года'!$B$1:$U$1,0))/(1000*INDEX('SALA 2002'!$B:$U,MATCH($A6,'SALA 2002'!$A:$A,0),MATCH(B$1,'SALA 2002'!$B$1:$U$1,0))),($A6-1994)/7),INDEX('WPP 2024 середина года'!$B:$U,MATCH($A6,'WPP 2024 середина года'!$A:$A,0),MATCH(B$1,'WPP 2024 середина года'!$B$1:$U$1,0)))))</f>
        <v>5104</v>
      </c>
      <c r="C6" s="7">
        <f>IF($A6&lt;=1951,INDEX('SALA 1974'!$B:$U,MATCH($A6,'SALA 1974'!$A:$A,0),MATCH(C$1,'SALA 1974'!$B$1:$U$1,0)),IF($A6&lt;=1994,1000*INDEX('SALA 2002'!$B:$U,MATCH($A6,'SALA 2002'!$A:$A,0),MATCH(C$1,'SALA 2002'!$B$1:$U$1,0)),IF($A6&lt;=2000,1000*INDEX('SALA 2002'!$B:$U,MATCH($A6,'SALA 2002'!$A:$A,0),MATCH(C$1,'SALA 2002'!$B$1:$U$1,0))*POWER(INDEX('WPP 2024 середина года'!$B:$U,MATCH($A6,'WPP 2024 середина года'!$A:$A,0),MATCH(C$1,'WPP 2024 середина года'!$B$1:$U$1,0))/(1000*INDEX('SALA 2002'!$B:$U,MATCH($A6,'SALA 2002'!$A:$A,0),MATCH(C$1,'SALA 2002'!$B$1:$U$1,0))),($A6-1994)/7),INDEX('WPP 2024 середина года'!$B:$U,MATCH($A6,'WPP 2024 середина года'!$A:$A,0),MATCH(C$1,'WPP 2024 середина года'!$B$1:$U$1,0)))))</f>
        <v>1840</v>
      </c>
      <c r="D6" s="7">
        <f>IF($A6&lt;=1951,INDEX('SALA 1974'!$B:$U,MATCH($A6,'SALA 1974'!$A:$A,0),MATCH(D$1,'SALA 1974'!$B$1:$U$1,0)),IF($A6&lt;=1994,1000*INDEX('SALA 2002'!$B:$U,MATCH($A6,'SALA 2002'!$A:$A,0),MATCH(D$1,'SALA 2002'!$B$1:$U$1,0)),IF($A6&lt;=2000,1000*INDEX('SALA 2002'!$B:$U,MATCH($A6,'SALA 2002'!$A:$A,0),MATCH(D$1,'SALA 2002'!$B$1:$U$1,0))*POWER(INDEX('WPP 2024 середина года'!$B:$U,MATCH($A6,'WPP 2024 середина года'!$A:$A,0),MATCH(D$1,'WPP 2024 середина года'!$B$1:$U$1,0))/(1000*INDEX('SALA 2002'!$B:$U,MATCH($A6,'SALA 2002'!$A:$A,0),MATCH(D$1,'SALA 2002'!$B$1:$U$1,0))),($A6-1994)/7),INDEX('WPP 2024 середина года'!$B:$U,MATCH($A6,'WPP 2024 середина года'!$A:$A,0),MATCH(D$1,'WPP 2024 середина года'!$B$1:$U$1,0)))))</f>
        <v>19587</v>
      </c>
      <c r="E6" s="7">
        <f>IF($A6&lt;=1951,INDEX('SALA 1974'!$B:$U,MATCH($A6,'SALA 1974'!$A:$A,0),MATCH(E$1,'SALA 1974'!$B$1:$U$1,0)),IF($A6&lt;=1994,1000*INDEX('SALA 2002'!$B:$U,MATCH($A6,'SALA 2002'!$A:$A,0),MATCH(E$1,'SALA 2002'!$B$1:$U$1,0)),IF($A6&lt;=2000,1000*INDEX('SALA 2002'!$B:$U,MATCH($A6,'SALA 2002'!$A:$A,0),MATCH(E$1,'SALA 2002'!$B$1:$U$1,0))*POWER(INDEX('WPP 2024 середина года'!$B:$U,MATCH($A6,'WPP 2024 середина года'!$A:$A,0),MATCH(E$1,'WPP 2024 середина года'!$B$1:$U$1,0))/(1000*INDEX('SALA 2002'!$B:$U,MATCH($A6,'SALA 2002'!$A:$A,0),MATCH(E$1,'SALA 2002'!$B$1:$U$1,0))),($A6-1994)/7),INDEX('WPP 2024 середина года'!$B:$U,MATCH($A6,'WPP 2024 середина года'!$A:$A,0),MATCH(E$1,'WPP 2024 середина года'!$B$1:$U$1,0)))))</f>
        <v>3102</v>
      </c>
      <c r="F6" s="7">
        <f>IF($A6&lt;=1947,INDEX('SALA 1974'!$B:$U,MATCH($A6,'SALA 1974'!$A:$A,0),MATCH(F$1,'SALA 1974'!$B$1:$U$1,0)),IF($A6&lt;=1994,1000*INDEX('SALA 2002'!$B:$U,MATCH($A6,'SALA 2002'!$A:$A,0),MATCH(F$1,'SALA 2002'!$B$1:$U$1,0)),IF($A6&lt;=2000,1000*INDEX('SALA 2002'!$B:$U,MATCH($A6,'SALA 2002'!$A:$A,0),MATCH(F$1,'SALA 2002'!$B$1:$U$1,0))*POWER(INDEX('WPP 2024 середина года'!$B:$U,MATCH($A6,'WPP 2024 середина года'!$A:$A,0),MATCH(F$1,'WPP 2024 середина года'!$B$1:$U$1,0))/(1000*INDEX('SALA 2002'!$B:$U,MATCH($A6,'SALA 2002'!$A:$A,0),MATCH(F$1,'SALA 2002'!$B$1:$U$1,0))),($A6-1994)/7),INDEX('WPP 2024 середина года'!$B:$U,MATCH($A6,'WPP 2024 середина года'!$A:$A,0),MATCH(F$1,'WPP 2024 середина года'!$B$1:$U$1,0)))))</f>
        <v>4094</v>
      </c>
      <c r="G6" s="7">
        <f>IF($A6&lt;=1951,INDEX('SALA 1974'!$B:$U,MATCH($A6,'SALA 1974'!$A:$A,0),MATCH(G$1,'SALA 1974'!$B$1:$U$1,0)),IF($A6&lt;=1994,1000*INDEX('SALA 2002'!$B:$U,MATCH($A6,'SALA 2002'!$A:$A,0),MATCH(G$1,'SALA 2002'!$B$1:$U$1,0)),IF($A6&lt;=2000,1000*INDEX('SALA 2002'!$B:$U,MATCH($A6,'SALA 2002'!$A:$A,0),MATCH(G$1,'SALA 2002'!$B$1:$U$1,0))*POWER(INDEX('WPP 2024 середина года'!$B:$U,MATCH($A6,'WPP 2024 середина года'!$A:$A,0),MATCH(G$1,'WPP 2024 середина года'!$B$1:$U$1,0))/(1000*INDEX('SALA 2002'!$B:$U,MATCH($A6,'SALA 2002'!$A:$A,0),MATCH(G$1,'SALA 2002'!$B$1:$U$1,0))),($A6-1994)/7),INDEX('WPP 2024 середина года'!$B:$U,MATCH($A6,'WPP 2024 середина года'!$A:$A,0),MATCH(G$1,'WPP 2024 середина года'!$B$1:$U$1,0)))))</f>
        <v>330</v>
      </c>
      <c r="H6" s="7">
        <f>IF($A6&lt;=1951,INDEX('SALA 1974'!$B:$U,MATCH($A6,'SALA 1974'!$A:$A,0),MATCH(H$1,'SALA 1974'!$B$1:$U$1,0)),IF($A6&lt;=1994,1000*INDEX('SALA 2002'!$B:$U,MATCH($A6,'SALA 2002'!$A:$A,0),MATCH(H$1,'SALA 2002'!$B$1:$U$1,0)),IF($A6&lt;=2000,1000*INDEX('SALA 2002'!$B:$U,MATCH($A6,'SALA 2002'!$A:$A,0),MATCH(H$1,'SALA 2002'!$B$1:$U$1,0))*POWER(INDEX('WPP 2024 середина года'!$B:$U,MATCH($A6,'WPP 2024 середина года'!$A:$A,0),MATCH(H$1,'WPP 2024 середина года'!$B$1:$U$1,0))/(1000*INDEX('SALA 2002'!$B:$U,MATCH($A6,'SALA 2002'!$A:$A,0),MATCH(H$1,'SALA 2002'!$B$1:$U$1,0))),($A6-1994)/7),INDEX('WPP 2024 середина года'!$B:$U,MATCH($A6,'WPP 2024 середина года'!$A:$A,0),MATCH(H$1,'WPP 2024 середина года'!$B$1:$U$1,0)))))</f>
        <v>1879</v>
      </c>
      <c r="I6" s="7">
        <f>IF($A6&lt;=1951,INDEX('SALA 1974'!$B:$U,MATCH($A6,'SALA 1974'!$A:$A,0),MATCH(I$1,'SALA 1974'!$B$1:$U$1,0)),IF($A6&lt;=1994,1000*INDEX('SALA 2002'!$B:$U,MATCH($A6,'SALA 2002'!$A:$A,0),MATCH(I$1,'SALA 2002'!$B$1:$U$1,0)),IF($A6&lt;=2000,1000*INDEX('SALA 2002'!$B:$U,MATCH($A6,'SALA 2002'!$A:$A,0),MATCH(I$1,'SALA 2002'!$B$1:$U$1,0))*POWER(INDEX('WPP 2024 середина года'!$B:$U,MATCH($A6,'WPP 2024 середина года'!$A:$A,0),MATCH(I$1,'WPP 2024 середина года'!$B$1:$U$1,0))/(1000*INDEX('SALA 2002'!$B:$U,MATCH($A6,'SALA 2002'!$A:$A,0),MATCH(I$1,'SALA 2002'!$B$1:$U$1,0))),($A6-1994)/7),INDEX('WPP 2024 середина года'!$B:$U,MATCH($A6,'WPP 2024 середина года'!$A:$A,0),MATCH(I$1,'WPP 2024 середина года'!$B$1:$U$1,0)))))</f>
        <v>656</v>
      </c>
      <c r="J6" s="7">
        <f>IF($A6&lt;=1951,INDEX('SALA 1974'!$B:$U,MATCH($A6,'SALA 1974'!$A:$A,0),MATCH(J$1,'SALA 1974'!$B$1:$U$1,0)),IF($A6&lt;=1994,1000*INDEX('SALA 2002'!$B:$U,MATCH($A6,'SALA 2002'!$A:$A,0),MATCH(J$1,'SALA 2002'!$B$1:$U$1,0)),IF($A6&lt;=2000,1000*INDEX('SALA 2002'!$B:$U,MATCH($A6,'SALA 2002'!$A:$A,0),MATCH(J$1,'SALA 2002'!$B$1:$U$1,0))*POWER(INDEX('WPP 2024 середина года'!$B:$U,MATCH($A6,'WPP 2024 середина года'!$A:$A,0),MATCH(J$1,'WPP 2024 середина года'!$B$1:$U$1,0))/(1000*INDEX('SALA 2002'!$B:$U,MATCH($A6,'SALA 2002'!$A:$A,0),MATCH(J$1,'SALA 2002'!$B$1:$U$1,0))),($A6-1994)/7),INDEX('WPP 2024 середина года'!$B:$U,MATCH($A6,'WPP 2024 середина года'!$A:$A,0),MATCH(J$1,'WPP 2024 середина года'!$B$1:$U$1,0)))))</f>
        <v>1348</v>
      </c>
      <c r="K6" s="7">
        <f>IF($A6&lt;=1951,INDEX('SALA 1974'!$B:$U,MATCH($A6,'SALA 1974'!$A:$A,0),MATCH(K$1,'SALA 1974'!$B$1:$U$1,0)),IF($A6&lt;=1994,1000*INDEX('SALA 2002'!$B:$U,MATCH($A6,'SALA 2002'!$A:$A,0),MATCH(K$1,'SALA 2002'!$B$1:$U$1,0)),IF($A6&lt;=2000,1000*INDEX('SALA 2002'!$B:$U,MATCH($A6,'SALA 2002'!$A:$A,0),MATCH(K$1,'SALA 2002'!$B$1:$U$1,0))*POWER(INDEX('WPP 2024 середина года'!$B:$U,MATCH($A6,'WPP 2024 середина года'!$A:$A,0),MATCH(K$1,'WPP 2024 середина года'!$B$1:$U$1,0))/(1000*INDEX('SALA 2002'!$B:$U,MATCH($A6,'SALA 2002'!$A:$A,0),MATCH(K$1,'SALA 2002'!$B$1:$U$1,0))),($A6-1994)/7),INDEX('WPP 2024 середина года'!$B:$U,MATCH($A6,'WPP 2024 середина года'!$A:$A,0),MATCH(K$1,'WPP 2024 середина года'!$B$1:$U$1,0)))))</f>
        <v>874</v>
      </c>
      <c r="L6" s="7">
        <f>IF($A6&lt;=1951,INDEX('SALA 1974'!$B:$U,MATCH($A6,'SALA 1974'!$A:$A,0),MATCH(L$1,'SALA 1974'!$B$1:$U$1,0)),IF($A6&lt;=1994,1000*INDEX('SALA 2002'!$B:$U,MATCH($A6,'SALA 2002'!$A:$A,0),MATCH(L$1,'SALA 2002'!$B$1:$U$1,0)),IF($A6&lt;=2000,1000*INDEX('SALA 2002'!$B:$U,MATCH($A6,'SALA 2002'!$A:$A,0),MATCH(L$1,'SALA 2002'!$B$1:$U$1,0))*POWER(INDEX('WPP 2024 середина года'!$B:$U,MATCH($A6,'WPP 2024 середина года'!$A:$A,0),MATCH(L$1,'WPP 2024 середина года'!$B$1:$U$1,0))/(1000*INDEX('SALA 2002'!$B:$U,MATCH($A6,'SALA 2002'!$A:$A,0),MATCH(L$1,'SALA 2002'!$B$1:$U$1,0))),($A6-1994)/7),INDEX('WPP 2024 середина года'!$B:$U,MATCH($A6,'WPP 2024 середина года'!$A:$A,0),MATCH(L$1,'WPP 2024 середина года'!$B$1:$U$1,0)))))</f>
        <v>987</v>
      </c>
      <c r="M6" s="7">
        <f>IF($A6&lt;=1951,INDEX('SALA 1974'!$B:$U,MATCH($A6,'SALA 1974'!$A:$A,0),MATCH(M$1,'SALA 1974'!$B$1:$U$1,0)),IF($A6&lt;=1994,1000*INDEX('SALA 2002'!$B:$U,MATCH($A6,'SALA 2002'!$A:$A,0),MATCH(M$1,'SALA 2002'!$B$1:$U$1,0)),IF($A6&lt;=2000,1000*INDEX('SALA 2002'!$B:$U,MATCH($A6,'SALA 2002'!$A:$A,0),MATCH(M$1,'SALA 2002'!$B$1:$U$1,0))*POWER(INDEX('WPP 2024 середина года'!$B:$U,MATCH($A6,'WPP 2024 середина года'!$A:$A,0),MATCH(M$1,'WPP 2024 середина года'!$B$1:$U$1,0))/(1000*INDEX('SALA 2002'!$B:$U,MATCH($A6,'SALA 2002'!$A:$A,0),MATCH(M$1,'SALA 2002'!$B$1:$U$1,0))),($A6-1994)/7),INDEX('WPP 2024 середина года'!$B:$U,MATCH($A6,'WPP 2024 середина года'!$A:$A,0),MATCH(M$1,'WPP 2024 середина года'!$B$1:$U$1,0)))))</f>
        <v>1425</v>
      </c>
      <c r="N6" s="7">
        <f>IF($A6&lt;=1951,INDEX('SALA 1974'!$B:$U,MATCH($A6,'SALA 1974'!$A:$A,0),MATCH(N$1,'SALA 1974'!$B$1:$U$1,0)),IF($A6&lt;=1994,1000*INDEX('SALA 2002'!$B:$U,MATCH($A6,'SALA 2002'!$A:$A,0),MATCH(N$1,'SALA 2002'!$B$1:$U$1,0)),IF($A6&lt;=2000,1000*INDEX('SALA 2002'!$B:$U,MATCH($A6,'SALA 2002'!$A:$A,0),MATCH(N$1,'SALA 2002'!$B$1:$U$1,0))*POWER(INDEX('WPP 2024 середина года'!$B:$U,MATCH($A6,'WPP 2024 середина года'!$A:$A,0),MATCH(N$1,'WPP 2024 середина года'!$B$1:$U$1,0))/(1000*INDEX('SALA 2002'!$B:$U,MATCH($A6,'SALA 2002'!$A:$A,0),MATCH(N$1,'SALA 2002'!$B$1:$U$1,0))),($A6-1994)/7),INDEX('WPP 2024 середина года'!$B:$U,MATCH($A6,'WPP 2024 середина года'!$A:$A,0),MATCH(N$1,'WPP 2024 середина года'!$B$1:$U$1,0)))))</f>
        <v>484</v>
      </c>
      <c r="O6" s="7">
        <f>IF($A6&lt;=1951,INDEX('SALA 1974'!$B:$U,MATCH($A6,'SALA 1974'!$A:$A,0),MATCH(O$1,'SALA 1974'!$B$1:$U$1,0)),IF($A6&lt;=1994,1000*INDEX('SALA 2002'!$B:$U,MATCH($A6,'SALA 2002'!$A:$A,0),MATCH(O$1,'SALA 2002'!$B$1:$U$1,0)),IF($A6&lt;=2000,1000*INDEX('SALA 2002'!$B:$U,MATCH($A6,'SALA 2002'!$A:$A,0),MATCH(O$1,'SALA 2002'!$B$1:$U$1,0))*POWER(INDEX('WPP 2024 середина года'!$B:$U,MATCH($A6,'WPP 2024 середина года'!$A:$A,0),MATCH(O$1,'WPP 2024 середина года'!$B$1:$U$1,0))/(1000*INDEX('SALA 2002'!$B:$U,MATCH($A6,'SALA 2002'!$A:$A,0),MATCH(O$1,'SALA 2002'!$B$1:$U$1,0))),($A6-1994)/7),INDEX('WPP 2024 середина года'!$B:$U,MATCH($A6,'WPP 2024 середина года'!$A:$A,0),MATCH(O$1,'WPP 2024 середина года'!$B$1:$U$1,0)))))</f>
        <v>14208</v>
      </c>
      <c r="P6" s="7">
        <f>IF($A6&lt;=1951,INDEX('SALA 1974'!$B:$U,MATCH($A6,'SALA 1974'!$A:$A,0),MATCH(P$1,'SALA 1974'!$B$1:$U$1,0)),IF($A6&lt;=1994,1000*INDEX('SALA 2002'!$B:$U,MATCH($A6,'SALA 2002'!$A:$A,0),MATCH(P$1,'SALA 2002'!$B$1:$U$1,0)),IF($A6&lt;=2000,1000*INDEX('SALA 2002'!$B:$U,MATCH($A6,'SALA 2002'!$A:$A,0),MATCH(P$1,'SALA 2002'!$B$1:$U$1,0))*POWER(INDEX('WPP 2024 середина года'!$B:$U,MATCH($A6,'WPP 2024 середина года'!$A:$A,0),MATCH(P$1,'WPP 2024 середина года'!$B$1:$U$1,0))/(1000*INDEX('SALA 2002'!$B:$U,MATCH($A6,'SALA 2002'!$A:$A,0),MATCH(P$1,'SALA 2002'!$B$1:$U$1,0))),($A6-1994)/7),INDEX('WPP 2024 середина года'!$B:$U,MATCH($A6,'WPP 2024 середина года'!$A:$A,0),MATCH(P$1,'WPP 2024 середина года'!$B$1:$U$1,0)))))</f>
        <v>477</v>
      </c>
      <c r="Q6" s="7">
        <f>IF($A6&lt;=1951,INDEX('SALA 1974'!$B:$U,MATCH($A6,'SALA 1974'!$A:$A,0),MATCH(Q$1,'SALA 1974'!$B$1:$U$1,0)),IF($A6&lt;=1994,1000*INDEX('SALA 2002'!$B:$U,MATCH($A6,'SALA 2002'!$A:$A,0),MATCH(Q$1,'SALA 2002'!$B$1:$U$1,0)),IF($A6&lt;=2000,1000*INDEX('SALA 2002'!$B:$U,MATCH($A6,'SALA 2002'!$A:$A,0),MATCH(Q$1,'SALA 2002'!$B$1:$U$1,0))*POWER(INDEX('WPP 2024 середина года'!$B:$U,MATCH($A6,'WPP 2024 середина года'!$A:$A,0),MATCH(Q$1,'WPP 2024 середина года'!$B$1:$U$1,0))/(1000*INDEX('SALA 2002'!$B:$U,MATCH($A6,'SALA 2002'!$A:$A,0),MATCH(Q$1,'SALA 2002'!$B$1:$U$1,0))),($A6-1994)/7),INDEX('WPP 2024 середина года'!$B:$U,MATCH($A6,'WPP 2024 середина года'!$A:$A,0),MATCH(Q$1,'WPP 2024 середина года'!$B$1:$U$1,0)))))</f>
        <v>290</v>
      </c>
      <c r="R6" s="7">
        <f>IF($A6&lt;=1951,INDEX('SALA 1974'!$B:$U,MATCH($A6,'SALA 1974'!$A:$A,0),MATCH(R$1,'SALA 1974'!$B$1:$U$1,0)),IF($A6&lt;=1994,1000*INDEX('SALA 2002'!$B:$U,MATCH($A6,'SALA 2002'!$A:$A,0),MATCH(R$1,'SALA 2002'!$B$1:$U$1,0)),IF($A6&lt;=2000,1000*INDEX('SALA 2002'!$B:$U,MATCH($A6,'SALA 2002'!$A:$A,0),MATCH(R$1,'SALA 2002'!$B$1:$U$1,0))*POWER(INDEX('WPP 2024 середина года'!$B:$U,MATCH($A6,'WPP 2024 середина года'!$A:$A,0),MATCH(R$1,'WPP 2024 середина года'!$B$1:$U$1,0))/(1000*INDEX('SALA 2002'!$B:$U,MATCH($A6,'SALA 2002'!$A:$A,0),MATCH(R$1,'SALA 2002'!$B$1:$U$1,0))),($A6-1994)/7),INDEX('WPP 2024 середина года'!$B:$U,MATCH($A6,'WPP 2024 середина года'!$A:$A,0),MATCH(R$1,'WPP 2024 середина года'!$B$1:$U$1,0)))))</f>
        <v>555</v>
      </c>
      <c r="S6" s="7">
        <f>IF($A6&lt;=1951,INDEX('SALA 1974'!$B:$U,MATCH($A6,'SALA 1974'!$A:$A,0),MATCH(S$1,'SALA 1974'!$B$1:$U$1,0)),IF($A6&lt;=1994,1000*INDEX('SALA 2002'!$B:$U,MATCH($A6,'SALA 2002'!$A:$A,0),MATCH(S$1,'SALA 2002'!$B$1:$U$1,0)),IF($A6&lt;=2000,1000*INDEX('SALA 2002'!$B:$U,MATCH($A6,'SALA 2002'!$A:$A,0),MATCH(S$1,'SALA 2002'!$B$1:$U$1,0))*POWER(INDEX('WPP 2024 середина года'!$B:$U,MATCH($A6,'WPP 2024 середина года'!$A:$A,0),MATCH(S$1,'WPP 2024 середина года'!$B$1:$U$1,0))/(1000*INDEX('SALA 2002'!$B:$U,MATCH($A6,'SALA 2002'!$A:$A,0),MATCH(S$1,'SALA 2002'!$B$1:$U$1,0))),($A6-1994)/7),INDEX('WPP 2024 середина года'!$B:$U,MATCH($A6,'WPP 2024 середина года'!$A:$A,0),MATCH(S$1,'WPP 2024 середина года'!$B$1:$U$1,0)))))</f>
        <v>3400</v>
      </c>
      <c r="T6" s="7">
        <f>IF($A6&lt;=1951,INDEX('SALA 1974'!$B:$U,MATCH($A6,'SALA 1974'!$A:$A,0),MATCH(T$1,'SALA 1974'!$B$1:$U$1,0)),IF($A6&lt;=1994,1000*INDEX('SALA 2002'!$B:$U,MATCH($A6,'SALA 2002'!$A:$A,0),MATCH(T$1,'SALA 2002'!$B$1:$U$1,0)),IF($A6&lt;=2000,1000*INDEX('SALA 2002'!$B:$U,MATCH($A6,'SALA 2002'!$A:$A,0),MATCH(T$1,'SALA 2002'!$B$1:$U$1,0))*POWER(INDEX('WPP 2024 середина года'!$B:$U,MATCH($A6,'WPP 2024 середина года'!$A:$A,0),MATCH(T$1,'WPP 2024 середина года'!$B$1:$U$1,0))/(1000*INDEX('SALA 2002'!$B:$U,MATCH($A6,'SALA 2002'!$A:$A,0),MATCH(T$1,'SALA 2002'!$B$1:$U$1,0))),($A6-1994)/7),INDEX('WPP 2024 середина года'!$B:$U,MATCH($A6,'WPP 2024 середина года'!$A:$A,0),MATCH(T$1,'WPP 2024 середина года'!$B$1:$U$1,0)))))</f>
        <v>1038</v>
      </c>
      <c r="U6" s="7">
        <f>IF($A6&lt;=1951,INDEX('SALA 1974'!$B:$U,MATCH($A6,'SALA 1974'!$A:$A,0),MATCH(U$1,'SALA 1974'!$B$1:$U$1,0)),IF($A6&lt;=1994,1000*INDEX('SALA 2002'!$B:$U,MATCH($A6,'SALA 2002'!$A:$A,0),MATCH(U$1,'SALA 2002'!$B$1:$U$1,0)),IF($A6&lt;=2000,1000*INDEX('SALA 2002'!$B:$U,MATCH($A6,'SALA 2002'!$A:$A,0),MATCH(U$1,'SALA 2002'!$B$1:$U$1,0))*POWER(INDEX('WPP 2024 середина года'!$B:$U,MATCH($A6,'WPP 2024 середина года'!$A:$A,0),MATCH(U$1,'WPP 2024 середина года'!$B$1:$U$1,0))/(1000*INDEX('SALA 2002'!$B:$U,MATCH($A6,'SALA 2002'!$A:$A,0),MATCH(U$1,'SALA 2002'!$B$1:$U$1,0))),($A6-1994)/7),INDEX('WPP 2024 середина года'!$B:$U,MATCH($A6,'WPP 2024 середина года'!$A:$A,0),MATCH(U$1,'WPP 2024 середина года'!$B$1:$U$1,0)))))</f>
        <v>2471</v>
      </c>
    </row>
    <row r="7" spans="1:21" x14ac:dyDescent="0.25">
      <c r="A7" s="5">
        <f t="shared" si="0"/>
        <v>1905</v>
      </c>
      <c r="B7" s="7">
        <f>IF($A7&lt;=1951,INDEX('SALA 1974'!$B:$U,MATCH($A7,'SALA 1974'!$A:$A,0),MATCH(B$1,'SALA 1974'!$B$1:$U$1,0)),IF($A7&lt;=1994,1000*INDEX('SALA 2002'!$B:$U,MATCH($A7,'SALA 2002'!$A:$A,0),MATCH(B$1,'SALA 2002'!$B$1:$U$1,0)),IF($A7&lt;=2000,1000*INDEX('SALA 2002'!$B:$U,MATCH($A7,'SALA 2002'!$A:$A,0),MATCH(B$1,'SALA 2002'!$B$1:$U$1,0))*POWER(INDEX('WPP 2024 середина года'!$B:$U,MATCH($A7,'WPP 2024 середина года'!$A:$A,0),MATCH(B$1,'WPP 2024 середина года'!$B$1:$U$1,0))/(1000*INDEX('SALA 2002'!$B:$U,MATCH($A7,'SALA 2002'!$A:$A,0),MATCH(B$1,'SALA 2002'!$B$1:$U$1,0))),($A7-1994)/7),INDEX('WPP 2024 середина года'!$B:$U,MATCH($A7,'WPP 2024 середина года'!$A:$A,0),MATCH(B$1,'WPP 2024 середина года'!$B$1:$U$1,0)))))</f>
        <v>5290</v>
      </c>
      <c r="C7" s="7">
        <f>IF($A7&lt;=1951,INDEX('SALA 1974'!$B:$U,MATCH($A7,'SALA 1974'!$A:$A,0),MATCH(C$1,'SALA 1974'!$B$1:$U$1,0)),IF($A7&lt;=1994,1000*INDEX('SALA 2002'!$B:$U,MATCH($A7,'SALA 2002'!$A:$A,0),MATCH(C$1,'SALA 2002'!$B$1:$U$1,0)),IF($A7&lt;=2000,1000*INDEX('SALA 2002'!$B:$U,MATCH($A7,'SALA 2002'!$A:$A,0),MATCH(C$1,'SALA 2002'!$B$1:$U$1,0))*POWER(INDEX('WPP 2024 середина года'!$B:$U,MATCH($A7,'WPP 2024 середина года'!$A:$A,0),MATCH(C$1,'WPP 2024 середина года'!$B$1:$U$1,0))/(1000*INDEX('SALA 2002'!$B:$U,MATCH($A7,'SALA 2002'!$A:$A,0),MATCH(C$1,'SALA 2002'!$B$1:$U$1,0))),($A7-1994)/7),INDEX('WPP 2024 середина года'!$B:$U,MATCH($A7,'WPP 2024 середина года'!$A:$A,0),MATCH(C$1,'WPP 2024 середина года'!$B$1:$U$1,0)))))</f>
        <v>1859</v>
      </c>
      <c r="D7" s="7">
        <f>IF($A7&lt;=1951,INDEX('SALA 1974'!$B:$U,MATCH($A7,'SALA 1974'!$A:$A,0),MATCH(D$1,'SALA 1974'!$B$1:$U$1,0)),IF($A7&lt;=1994,1000*INDEX('SALA 2002'!$B:$U,MATCH($A7,'SALA 2002'!$A:$A,0),MATCH(D$1,'SALA 2002'!$B$1:$U$1,0)),IF($A7&lt;=2000,1000*INDEX('SALA 2002'!$B:$U,MATCH($A7,'SALA 2002'!$A:$A,0),MATCH(D$1,'SALA 2002'!$B$1:$U$1,0))*POWER(INDEX('WPP 2024 середина года'!$B:$U,MATCH($A7,'WPP 2024 середина года'!$A:$A,0),MATCH(D$1,'WPP 2024 середина года'!$B$1:$U$1,0))/(1000*INDEX('SALA 2002'!$B:$U,MATCH($A7,'SALA 2002'!$A:$A,0),MATCH(D$1,'SALA 2002'!$B$1:$U$1,0))),($A7-1994)/7),INDEX('WPP 2024 середина года'!$B:$U,MATCH($A7,'WPP 2024 середина года'!$A:$A,0),MATCH(D$1,'WPP 2024 середина года'!$B$1:$U$1,0)))))</f>
        <v>20003</v>
      </c>
      <c r="E7" s="7">
        <f>IF($A7&lt;=1951,INDEX('SALA 1974'!$B:$U,MATCH($A7,'SALA 1974'!$A:$A,0),MATCH(E$1,'SALA 1974'!$B$1:$U$1,0)),IF($A7&lt;=1994,1000*INDEX('SALA 2002'!$B:$U,MATCH($A7,'SALA 2002'!$A:$A,0),MATCH(E$1,'SALA 2002'!$B$1:$U$1,0)),IF($A7&lt;=2000,1000*INDEX('SALA 2002'!$B:$U,MATCH($A7,'SALA 2002'!$A:$A,0),MATCH(E$1,'SALA 2002'!$B$1:$U$1,0))*POWER(INDEX('WPP 2024 середина года'!$B:$U,MATCH($A7,'WPP 2024 середина года'!$A:$A,0),MATCH(E$1,'WPP 2024 середина года'!$B$1:$U$1,0))/(1000*INDEX('SALA 2002'!$B:$U,MATCH($A7,'SALA 2002'!$A:$A,0),MATCH(E$1,'SALA 2002'!$B$1:$U$1,0))),($A7-1994)/7),INDEX('WPP 2024 середина года'!$B:$U,MATCH($A7,'WPP 2024 середина года'!$A:$A,0),MATCH(E$1,'WPP 2024 середина года'!$B$1:$U$1,0)))))</f>
        <v>3139</v>
      </c>
      <c r="F7" s="7">
        <f>IF($A7&lt;=1947,INDEX('SALA 1974'!$B:$U,MATCH($A7,'SALA 1974'!$A:$A,0),MATCH(F$1,'SALA 1974'!$B$1:$U$1,0)),IF($A7&lt;=1994,1000*INDEX('SALA 2002'!$B:$U,MATCH($A7,'SALA 2002'!$A:$A,0),MATCH(F$1,'SALA 2002'!$B$1:$U$1,0)),IF($A7&lt;=2000,1000*INDEX('SALA 2002'!$B:$U,MATCH($A7,'SALA 2002'!$A:$A,0),MATCH(F$1,'SALA 2002'!$B$1:$U$1,0))*POWER(INDEX('WPP 2024 середина года'!$B:$U,MATCH($A7,'WPP 2024 середина года'!$A:$A,0),MATCH(F$1,'WPP 2024 середина года'!$B$1:$U$1,0))/(1000*INDEX('SALA 2002'!$B:$U,MATCH($A7,'SALA 2002'!$A:$A,0),MATCH(F$1,'SALA 2002'!$B$1:$U$1,0))),($A7-1994)/7),INDEX('WPP 2024 середина года'!$B:$U,MATCH($A7,'WPP 2024 середина года'!$A:$A,0),MATCH(F$1,'WPP 2024 середина года'!$B$1:$U$1,0)))))</f>
        <v>4144</v>
      </c>
      <c r="G7" s="7">
        <f>IF($A7&lt;=1951,INDEX('SALA 1974'!$B:$U,MATCH($A7,'SALA 1974'!$A:$A,0),MATCH(G$1,'SALA 1974'!$B$1:$U$1,0)),IF($A7&lt;=1994,1000*INDEX('SALA 2002'!$B:$U,MATCH($A7,'SALA 2002'!$A:$A,0),MATCH(G$1,'SALA 2002'!$B$1:$U$1,0)),IF($A7&lt;=2000,1000*INDEX('SALA 2002'!$B:$U,MATCH($A7,'SALA 2002'!$A:$A,0),MATCH(G$1,'SALA 2002'!$B$1:$U$1,0))*POWER(INDEX('WPP 2024 середина года'!$B:$U,MATCH($A7,'WPP 2024 середина года'!$A:$A,0),MATCH(G$1,'WPP 2024 середина года'!$B$1:$U$1,0))/(1000*INDEX('SALA 2002'!$B:$U,MATCH($A7,'SALA 2002'!$A:$A,0),MATCH(G$1,'SALA 2002'!$B$1:$U$1,0))),($A7-1994)/7),INDEX('WPP 2024 середина года'!$B:$U,MATCH($A7,'WPP 2024 середина года'!$A:$A,0),MATCH(G$1,'WPP 2024 середина года'!$B$1:$U$1,0)))))</f>
        <v>336</v>
      </c>
      <c r="H7" s="7">
        <f>IF($A7&lt;=1951,INDEX('SALA 1974'!$B:$U,MATCH($A7,'SALA 1974'!$A:$A,0),MATCH(H$1,'SALA 1974'!$B$1:$U$1,0)),IF($A7&lt;=1994,1000*INDEX('SALA 2002'!$B:$U,MATCH($A7,'SALA 2002'!$A:$A,0),MATCH(H$1,'SALA 2002'!$B$1:$U$1,0)),IF($A7&lt;=2000,1000*INDEX('SALA 2002'!$B:$U,MATCH($A7,'SALA 2002'!$A:$A,0),MATCH(H$1,'SALA 2002'!$B$1:$U$1,0))*POWER(INDEX('WPP 2024 середина года'!$B:$U,MATCH($A7,'WPP 2024 середина года'!$A:$A,0),MATCH(H$1,'WPP 2024 середина года'!$B$1:$U$1,0))/(1000*INDEX('SALA 2002'!$B:$U,MATCH($A7,'SALA 2002'!$A:$A,0),MATCH(H$1,'SALA 2002'!$B$1:$U$1,0))),($A7-1994)/7),INDEX('WPP 2024 середина года'!$B:$U,MATCH($A7,'WPP 2024 середина года'!$A:$A,0),MATCH(H$1,'WPP 2024 середина года'!$B$1:$U$1,0)))))</f>
        <v>1927</v>
      </c>
      <c r="I7" s="7">
        <f>IF($A7&lt;=1951,INDEX('SALA 1974'!$B:$U,MATCH($A7,'SALA 1974'!$A:$A,0),MATCH(I$1,'SALA 1974'!$B$1:$U$1,0)),IF($A7&lt;=1994,1000*INDEX('SALA 2002'!$B:$U,MATCH($A7,'SALA 2002'!$A:$A,0),MATCH(I$1,'SALA 2002'!$B$1:$U$1,0)),IF($A7&lt;=2000,1000*INDEX('SALA 2002'!$B:$U,MATCH($A7,'SALA 2002'!$A:$A,0),MATCH(I$1,'SALA 2002'!$B$1:$U$1,0))*POWER(INDEX('WPP 2024 середина года'!$B:$U,MATCH($A7,'WPP 2024 середина года'!$A:$A,0),MATCH(I$1,'WPP 2024 середина года'!$B$1:$U$1,0))/(1000*INDEX('SALA 2002'!$B:$U,MATCH($A7,'SALA 2002'!$A:$A,0),MATCH(I$1,'SALA 2002'!$B$1:$U$1,0))),($A7-1994)/7),INDEX('WPP 2024 середина года'!$B:$U,MATCH($A7,'WPP 2024 середина года'!$A:$A,0),MATCH(I$1,'WPP 2024 середина года'!$B$1:$U$1,0)))))</f>
        <v>670</v>
      </c>
      <c r="J7" s="7">
        <f>IF($A7&lt;=1951,INDEX('SALA 1974'!$B:$U,MATCH($A7,'SALA 1974'!$A:$A,0),MATCH(J$1,'SALA 1974'!$B$1:$U$1,0)),IF($A7&lt;=1994,1000*INDEX('SALA 2002'!$B:$U,MATCH($A7,'SALA 2002'!$A:$A,0),MATCH(J$1,'SALA 2002'!$B$1:$U$1,0)),IF($A7&lt;=2000,1000*INDEX('SALA 2002'!$B:$U,MATCH($A7,'SALA 2002'!$A:$A,0),MATCH(J$1,'SALA 2002'!$B$1:$U$1,0))*POWER(INDEX('WPP 2024 середина года'!$B:$U,MATCH($A7,'WPP 2024 середина года'!$A:$A,0),MATCH(J$1,'WPP 2024 середина года'!$B$1:$U$1,0))/(1000*INDEX('SALA 2002'!$B:$U,MATCH($A7,'SALA 2002'!$A:$A,0),MATCH(J$1,'SALA 2002'!$B$1:$U$1,0))),($A7-1994)/7),INDEX('WPP 2024 середина года'!$B:$U,MATCH($A7,'WPP 2024 середина года'!$A:$A,0),MATCH(J$1,'WPP 2024 середина года'!$B$1:$U$1,0)))))</f>
        <v>1360</v>
      </c>
      <c r="K7" s="7">
        <f>IF($A7&lt;=1951,INDEX('SALA 1974'!$B:$U,MATCH($A7,'SALA 1974'!$A:$A,0),MATCH(K$1,'SALA 1974'!$B$1:$U$1,0)),IF($A7&lt;=1994,1000*INDEX('SALA 2002'!$B:$U,MATCH($A7,'SALA 2002'!$A:$A,0),MATCH(K$1,'SALA 2002'!$B$1:$U$1,0)),IF($A7&lt;=2000,1000*INDEX('SALA 2002'!$B:$U,MATCH($A7,'SALA 2002'!$A:$A,0),MATCH(K$1,'SALA 2002'!$B$1:$U$1,0))*POWER(INDEX('WPP 2024 середина года'!$B:$U,MATCH($A7,'WPP 2024 середина года'!$A:$A,0),MATCH(K$1,'WPP 2024 середина года'!$B$1:$U$1,0))/(1000*INDEX('SALA 2002'!$B:$U,MATCH($A7,'SALA 2002'!$A:$A,0),MATCH(K$1,'SALA 2002'!$B$1:$U$1,0))),($A7-1994)/7),INDEX('WPP 2024 середина года'!$B:$U,MATCH($A7,'WPP 2024 середина года'!$A:$A,0),MATCH(K$1,'WPP 2024 середина года'!$B$1:$U$1,0)))))</f>
        <v>893</v>
      </c>
      <c r="L7" s="7">
        <f>IF($A7&lt;=1951,INDEX('SALA 1974'!$B:$U,MATCH($A7,'SALA 1974'!$A:$A,0),MATCH(L$1,'SALA 1974'!$B$1:$U$1,0)),IF($A7&lt;=1994,1000*INDEX('SALA 2002'!$B:$U,MATCH($A7,'SALA 2002'!$A:$A,0),MATCH(L$1,'SALA 2002'!$B$1:$U$1,0)),IF($A7&lt;=2000,1000*INDEX('SALA 2002'!$B:$U,MATCH($A7,'SALA 2002'!$A:$A,0),MATCH(L$1,'SALA 2002'!$B$1:$U$1,0))*POWER(INDEX('WPP 2024 середина года'!$B:$U,MATCH($A7,'WPP 2024 середина года'!$A:$A,0),MATCH(L$1,'WPP 2024 середина года'!$B$1:$U$1,0))/(1000*INDEX('SALA 2002'!$B:$U,MATCH($A7,'SALA 2002'!$A:$A,0),MATCH(L$1,'SALA 2002'!$B$1:$U$1,0))),($A7-1994)/7),INDEX('WPP 2024 середина года'!$B:$U,MATCH($A7,'WPP 2024 середина года'!$A:$A,0),MATCH(L$1,'WPP 2024 середина года'!$B$1:$U$1,0)))))</f>
        <v>1013</v>
      </c>
      <c r="M7" s="7">
        <f>IF($A7&lt;=1951,INDEX('SALA 1974'!$B:$U,MATCH($A7,'SALA 1974'!$A:$A,0),MATCH(M$1,'SALA 1974'!$B$1:$U$1,0)),IF($A7&lt;=1994,1000*INDEX('SALA 2002'!$B:$U,MATCH($A7,'SALA 2002'!$A:$A,0),MATCH(M$1,'SALA 2002'!$B$1:$U$1,0)),IF($A7&lt;=2000,1000*INDEX('SALA 2002'!$B:$U,MATCH($A7,'SALA 2002'!$A:$A,0),MATCH(M$1,'SALA 2002'!$B$1:$U$1,0))*POWER(INDEX('WPP 2024 середина года'!$B:$U,MATCH($A7,'WPP 2024 середина года'!$A:$A,0),MATCH(M$1,'WPP 2024 середина года'!$B$1:$U$1,0))/(1000*INDEX('SALA 2002'!$B:$U,MATCH($A7,'SALA 2002'!$A:$A,0),MATCH(M$1,'SALA 2002'!$B$1:$U$1,0))),($A7-1994)/7),INDEX('WPP 2024 середина года'!$B:$U,MATCH($A7,'WPP 2024 середина года'!$A:$A,0),MATCH(M$1,'WPP 2024 середина года'!$B$1:$U$1,0)))))</f>
        <v>1468</v>
      </c>
      <c r="N7" s="7">
        <f>IF($A7&lt;=1951,INDEX('SALA 1974'!$B:$U,MATCH($A7,'SALA 1974'!$A:$A,0),MATCH(N$1,'SALA 1974'!$B$1:$U$1,0)),IF($A7&lt;=1994,1000*INDEX('SALA 2002'!$B:$U,MATCH($A7,'SALA 2002'!$A:$A,0),MATCH(N$1,'SALA 2002'!$B$1:$U$1,0)),IF($A7&lt;=2000,1000*INDEX('SALA 2002'!$B:$U,MATCH($A7,'SALA 2002'!$A:$A,0),MATCH(N$1,'SALA 2002'!$B$1:$U$1,0))*POWER(INDEX('WPP 2024 середина года'!$B:$U,MATCH($A7,'WPP 2024 середина года'!$A:$A,0),MATCH(N$1,'WPP 2024 середина года'!$B$1:$U$1,0))/(1000*INDEX('SALA 2002'!$B:$U,MATCH($A7,'SALA 2002'!$A:$A,0),MATCH(N$1,'SALA 2002'!$B$1:$U$1,0))),($A7-1994)/7),INDEX('WPP 2024 середина года'!$B:$U,MATCH($A7,'WPP 2024 середина года'!$A:$A,0),MATCH(N$1,'WPP 2024 середина года'!$B$1:$U$1,0)))))</f>
        <v>500</v>
      </c>
      <c r="O7" s="7">
        <f>IF($A7&lt;=1951,INDEX('SALA 1974'!$B:$U,MATCH($A7,'SALA 1974'!$A:$A,0),MATCH(O$1,'SALA 1974'!$B$1:$U$1,0)),IF($A7&lt;=1994,1000*INDEX('SALA 2002'!$B:$U,MATCH($A7,'SALA 2002'!$A:$A,0),MATCH(O$1,'SALA 2002'!$B$1:$U$1,0)),IF($A7&lt;=2000,1000*INDEX('SALA 2002'!$B:$U,MATCH($A7,'SALA 2002'!$A:$A,0),MATCH(O$1,'SALA 2002'!$B$1:$U$1,0))*POWER(INDEX('WPP 2024 середина года'!$B:$U,MATCH($A7,'WPP 2024 середина года'!$A:$A,0),MATCH(O$1,'WPP 2024 середина года'!$B$1:$U$1,0))/(1000*INDEX('SALA 2002'!$B:$U,MATCH($A7,'SALA 2002'!$A:$A,0),MATCH(O$1,'SALA 2002'!$B$1:$U$1,0))),($A7-1994)/7),INDEX('WPP 2024 середина года'!$B:$U,MATCH($A7,'WPP 2024 середина года'!$A:$A,0),MATCH(O$1,'WPP 2024 середина года'!$B$1:$U$1,0)))))</f>
        <v>14363</v>
      </c>
      <c r="P7" s="7">
        <f>IF($A7&lt;=1951,INDEX('SALA 1974'!$B:$U,MATCH($A7,'SALA 1974'!$A:$A,0),MATCH(P$1,'SALA 1974'!$B$1:$U$1,0)),IF($A7&lt;=1994,1000*INDEX('SALA 2002'!$B:$U,MATCH($A7,'SALA 2002'!$A:$A,0),MATCH(P$1,'SALA 2002'!$B$1:$U$1,0)),IF($A7&lt;=2000,1000*INDEX('SALA 2002'!$B:$U,MATCH($A7,'SALA 2002'!$A:$A,0),MATCH(P$1,'SALA 2002'!$B$1:$U$1,0))*POWER(INDEX('WPP 2024 середина года'!$B:$U,MATCH($A7,'WPP 2024 середина года'!$A:$A,0),MATCH(P$1,'WPP 2024 середина года'!$B$1:$U$1,0))/(1000*INDEX('SALA 2002'!$B:$U,MATCH($A7,'SALA 2002'!$A:$A,0),MATCH(P$1,'SALA 2002'!$B$1:$U$1,0))),($A7-1994)/7),INDEX('WPP 2024 середина года'!$B:$U,MATCH($A7,'WPP 2024 середина года'!$A:$A,0),MATCH(P$1,'WPP 2024 середина года'!$B$1:$U$1,0)))))</f>
        <v>491</v>
      </c>
      <c r="Q7" s="7">
        <f>IF($A7&lt;=1951,INDEX('SALA 1974'!$B:$U,MATCH($A7,'SALA 1974'!$A:$A,0),MATCH(Q$1,'SALA 1974'!$B$1:$U$1,0)),IF($A7&lt;=1994,1000*INDEX('SALA 2002'!$B:$U,MATCH($A7,'SALA 2002'!$A:$A,0),MATCH(Q$1,'SALA 2002'!$B$1:$U$1,0)),IF($A7&lt;=2000,1000*INDEX('SALA 2002'!$B:$U,MATCH($A7,'SALA 2002'!$A:$A,0),MATCH(Q$1,'SALA 2002'!$B$1:$U$1,0))*POWER(INDEX('WPP 2024 середина года'!$B:$U,MATCH($A7,'WPP 2024 середина года'!$A:$A,0),MATCH(Q$1,'WPP 2024 середина года'!$B$1:$U$1,0))/(1000*INDEX('SALA 2002'!$B:$U,MATCH($A7,'SALA 2002'!$A:$A,0),MATCH(Q$1,'SALA 2002'!$B$1:$U$1,0))),($A7-1994)/7),INDEX('WPP 2024 середина года'!$B:$U,MATCH($A7,'WPP 2024 середина года'!$A:$A,0),MATCH(Q$1,'WPP 2024 середина года'!$B$1:$U$1,0)))))</f>
        <v>297</v>
      </c>
      <c r="R7" s="7">
        <f>IF($A7&lt;=1951,INDEX('SALA 1974'!$B:$U,MATCH($A7,'SALA 1974'!$A:$A,0),MATCH(R$1,'SALA 1974'!$B$1:$U$1,0)),IF($A7&lt;=1994,1000*INDEX('SALA 2002'!$B:$U,MATCH($A7,'SALA 2002'!$A:$A,0),MATCH(R$1,'SALA 2002'!$B$1:$U$1,0)),IF($A7&lt;=2000,1000*INDEX('SALA 2002'!$B:$U,MATCH($A7,'SALA 2002'!$A:$A,0),MATCH(R$1,'SALA 2002'!$B$1:$U$1,0))*POWER(INDEX('WPP 2024 середина года'!$B:$U,MATCH($A7,'WPP 2024 середина года'!$A:$A,0),MATCH(R$1,'WPP 2024 середина года'!$B$1:$U$1,0))/(1000*INDEX('SALA 2002'!$B:$U,MATCH($A7,'SALA 2002'!$A:$A,0),MATCH(R$1,'SALA 2002'!$B$1:$U$1,0))),($A7-1994)/7),INDEX('WPP 2024 середина года'!$B:$U,MATCH($A7,'WPP 2024 середина года'!$A:$A,0),MATCH(R$1,'WPP 2024 середина года'!$B$1:$U$1,0)))))</f>
        <v>571</v>
      </c>
      <c r="S7" s="7">
        <f>IF($A7&lt;=1951,INDEX('SALA 1974'!$B:$U,MATCH($A7,'SALA 1974'!$A:$A,0),MATCH(S$1,'SALA 1974'!$B$1:$U$1,0)),IF($A7&lt;=1994,1000*INDEX('SALA 2002'!$B:$U,MATCH($A7,'SALA 2002'!$A:$A,0),MATCH(S$1,'SALA 2002'!$B$1:$U$1,0)),IF($A7&lt;=2000,1000*INDEX('SALA 2002'!$B:$U,MATCH($A7,'SALA 2002'!$A:$A,0),MATCH(S$1,'SALA 2002'!$B$1:$U$1,0))*POWER(INDEX('WPP 2024 середина года'!$B:$U,MATCH($A7,'WPP 2024 середина года'!$A:$A,0),MATCH(S$1,'WPP 2024 середина года'!$B$1:$U$1,0))/(1000*INDEX('SALA 2002'!$B:$U,MATCH($A7,'SALA 2002'!$A:$A,0),MATCH(S$1,'SALA 2002'!$B$1:$U$1,0))),($A7-1994)/7),INDEX('WPP 2024 середина года'!$B:$U,MATCH($A7,'WPP 2024 середина года'!$A:$A,0),MATCH(S$1,'WPP 2024 середина года'!$B$1:$U$1,0)))))</f>
        <v>3500</v>
      </c>
      <c r="T7" s="7">
        <f>IF($A7&lt;=1951,INDEX('SALA 1974'!$B:$U,MATCH($A7,'SALA 1974'!$A:$A,0),MATCH(T$1,'SALA 1974'!$B$1:$U$1,0)),IF($A7&lt;=1994,1000*INDEX('SALA 2002'!$B:$U,MATCH($A7,'SALA 2002'!$A:$A,0),MATCH(T$1,'SALA 2002'!$B$1:$U$1,0)),IF($A7&lt;=2000,1000*INDEX('SALA 2002'!$B:$U,MATCH($A7,'SALA 2002'!$A:$A,0),MATCH(T$1,'SALA 2002'!$B$1:$U$1,0))*POWER(INDEX('WPP 2024 середина года'!$B:$U,MATCH($A7,'WPP 2024 середина года'!$A:$A,0),MATCH(T$1,'WPP 2024 середина года'!$B$1:$U$1,0))/(1000*INDEX('SALA 2002'!$B:$U,MATCH($A7,'SALA 2002'!$A:$A,0),MATCH(T$1,'SALA 2002'!$B$1:$U$1,0))),($A7-1994)/7),INDEX('WPP 2024 середина года'!$B:$U,MATCH($A7,'WPP 2024 середина года'!$A:$A,0),MATCH(T$1,'WPP 2024 середина года'!$B$1:$U$1,0)))))</f>
        <v>1071</v>
      </c>
      <c r="U7" s="7">
        <f>IF($A7&lt;=1951,INDEX('SALA 1974'!$B:$U,MATCH($A7,'SALA 1974'!$A:$A,0),MATCH(U$1,'SALA 1974'!$B$1:$U$1,0)),IF($A7&lt;=1994,1000*INDEX('SALA 2002'!$B:$U,MATCH($A7,'SALA 2002'!$A:$A,0),MATCH(U$1,'SALA 2002'!$B$1:$U$1,0)),IF($A7&lt;=2000,1000*INDEX('SALA 2002'!$B:$U,MATCH($A7,'SALA 2002'!$A:$A,0),MATCH(U$1,'SALA 2002'!$B$1:$U$1,0))*POWER(INDEX('WPP 2024 середина года'!$B:$U,MATCH($A7,'WPP 2024 середина года'!$A:$A,0),MATCH(U$1,'WPP 2024 середина года'!$B$1:$U$1,0))/(1000*INDEX('SALA 2002'!$B:$U,MATCH($A7,'SALA 2002'!$A:$A,0),MATCH(U$1,'SALA 2002'!$B$1:$U$1,0))),($A7-1994)/7),INDEX('WPP 2024 середина года'!$B:$U,MATCH($A7,'WPP 2024 середина года'!$A:$A,0),MATCH(U$1,'WPP 2024 середина года'!$B$1:$U$1,0)))))</f>
        <v>2492</v>
      </c>
    </row>
    <row r="8" spans="1:21" x14ac:dyDescent="0.25">
      <c r="A8" s="5">
        <f t="shared" si="0"/>
        <v>1906</v>
      </c>
      <c r="B8" s="7">
        <f>IF($A8&lt;=1951,INDEX('SALA 1974'!$B:$U,MATCH($A8,'SALA 1974'!$A:$A,0),MATCH(B$1,'SALA 1974'!$B$1:$U$1,0)),IF($A8&lt;=1994,1000*INDEX('SALA 2002'!$B:$U,MATCH($A8,'SALA 2002'!$A:$A,0),MATCH(B$1,'SALA 2002'!$B$1:$U$1,0)),IF($A8&lt;=2000,1000*INDEX('SALA 2002'!$B:$U,MATCH($A8,'SALA 2002'!$A:$A,0),MATCH(B$1,'SALA 2002'!$B$1:$U$1,0))*POWER(INDEX('WPP 2024 середина года'!$B:$U,MATCH($A8,'WPP 2024 середина года'!$A:$A,0),MATCH(B$1,'WPP 2024 середина года'!$B$1:$U$1,0))/(1000*INDEX('SALA 2002'!$B:$U,MATCH($A8,'SALA 2002'!$A:$A,0),MATCH(B$1,'SALA 2002'!$B$1:$U$1,0))),($A8-1994)/7),INDEX('WPP 2024 середина года'!$B:$U,MATCH($A8,'WPP 2024 середина года'!$A:$A,0),MATCH(B$1,'WPP 2024 середина года'!$B$1:$U$1,0)))))</f>
        <v>5524</v>
      </c>
      <c r="C8" s="7">
        <f>IF($A8&lt;=1951,INDEX('SALA 1974'!$B:$U,MATCH($A8,'SALA 1974'!$A:$A,0),MATCH(C$1,'SALA 1974'!$B$1:$U$1,0)),IF($A8&lt;=1994,1000*INDEX('SALA 2002'!$B:$U,MATCH($A8,'SALA 2002'!$A:$A,0),MATCH(C$1,'SALA 2002'!$B$1:$U$1,0)),IF($A8&lt;=2000,1000*INDEX('SALA 2002'!$B:$U,MATCH($A8,'SALA 2002'!$A:$A,0),MATCH(C$1,'SALA 2002'!$B$1:$U$1,0))*POWER(INDEX('WPP 2024 середина года'!$B:$U,MATCH($A8,'WPP 2024 середина года'!$A:$A,0),MATCH(C$1,'WPP 2024 середина года'!$B$1:$U$1,0))/(1000*INDEX('SALA 2002'!$B:$U,MATCH($A8,'SALA 2002'!$A:$A,0),MATCH(C$1,'SALA 2002'!$B$1:$U$1,0))),($A8-1994)/7),INDEX('WPP 2024 середина года'!$B:$U,MATCH($A8,'WPP 2024 середина года'!$A:$A,0),MATCH(C$1,'WPP 2024 середина года'!$B$1:$U$1,0)))))</f>
        <v>1877</v>
      </c>
      <c r="D8" s="7">
        <f>IF($A8&lt;=1951,INDEX('SALA 1974'!$B:$U,MATCH($A8,'SALA 1974'!$A:$A,0),MATCH(D$1,'SALA 1974'!$B$1:$U$1,0)),IF($A8&lt;=1994,1000*INDEX('SALA 2002'!$B:$U,MATCH($A8,'SALA 2002'!$A:$A,0),MATCH(D$1,'SALA 2002'!$B$1:$U$1,0)),IF($A8&lt;=2000,1000*INDEX('SALA 2002'!$B:$U,MATCH($A8,'SALA 2002'!$A:$A,0),MATCH(D$1,'SALA 2002'!$B$1:$U$1,0))*POWER(INDEX('WPP 2024 середина года'!$B:$U,MATCH($A8,'WPP 2024 середина года'!$A:$A,0),MATCH(D$1,'WPP 2024 середина года'!$B$1:$U$1,0))/(1000*INDEX('SALA 2002'!$B:$U,MATCH($A8,'SALA 2002'!$A:$A,0),MATCH(D$1,'SALA 2002'!$B$1:$U$1,0))),($A8-1994)/7),INDEX('WPP 2024 середина года'!$B:$U,MATCH($A8,'WPP 2024 середина года'!$A:$A,0),MATCH(D$1,'WPP 2024 середина года'!$B$1:$U$1,0)))))</f>
        <v>20427</v>
      </c>
      <c r="E8" s="7">
        <f>IF($A8&lt;=1951,INDEX('SALA 1974'!$B:$U,MATCH($A8,'SALA 1974'!$A:$A,0),MATCH(E$1,'SALA 1974'!$B$1:$U$1,0)),IF($A8&lt;=1994,1000*INDEX('SALA 2002'!$B:$U,MATCH($A8,'SALA 2002'!$A:$A,0),MATCH(E$1,'SALA 2002'!$B$1:$U$1,0)),IF($A8&lt;=2000,1000*INDEX('SALA 2002'!$B:$U,MATCH($A8,'SALA 2002'!$A:$A,0),MATCH(E$1,'SALA 2002'!$B$1:$U$1,0))*POWER(INDEX('WPP 2024 середина года'!$B:$U,MATCH($A8,'WPP 2024 середина года'!$A:$A,0),MATCH(E$1,'WPP 2024 середина года'!$B$1:$U$1,0))/(1000*INDEX('SALA 2002'!$B:$U,MATCH($A8,'SALA 2002'!$A:$A,0),MATCH(E$1,'SALA 2002'!$B$1:$U$1,0))),($A8-1994)/7),INDEX('WPP 2024 середина года'!$B:$U,MATCH($A8,'WPP 2024 середина года'!$A:$A,0),MATCH(E$1,'WPP 2024 середина года'!$B$1:$U$1,0)))))</f>
        <v>3176</v>
      </c>
      <c r="F8" s="7">
        <f>IF($A8&lt;=1947,INDEX('SALA 1974'!$B:$U,MATCH($A8,'SALA 1974'!$A:$A,0),MATCH(F$1,'SALA 1974'!$B$1:$U$1,0)),IF($A8&lt;=1994,1000*INDEX('SALA 2002'!$B:$U,MATCH($A8,'SALA 2002'!$A:$A,0),MATCH(F$1,'SALA 2002'!$B$1:$U$1,0)),IF($A8&lt;=2000,1000*INDEX('SALA 2002'!$B:$U,MATCH($A8,'SALA 2002'!$A:$A,0),MATCH(F$1,'SALA 2002'!$B$1:$U$1,0))*POWER(INDEX('WPP 2024 середина года'!$B:$U,MATCH($A8,'WPP 2024 середина года'!$A:$A,0),MATCH(F$1,'WPP 2024 середина года'!$B$1:$U$1,0))/(1000*INDEX('SALA 2002'!$B:$U,MATCH($A8,'SALA 2002'!$A:$A,0),MATCH(F$1,'SALA 2002'!$B$1:$U$1,0))),($A8-1994)/7),INDEX('WPP 2024 середина года'!$B:$U,MATCH($A8,'WPP 2024 середина года'!$A:$A,0),MATCH(F$1,'WPP 2024 середина года'!$B$1:$U$1,0)))))</f>
        <v>4277</v>
      </c>
      <c r="G8" s="7">
        <f>IF($A8&lt;=1951,INDEX('SALA 1974'!$B:$U,MATCH($A8,'SALA 1974'!$A:$A,0),MATCH(G$1,'SALA 1974'!$B$1:$U$1,0)),IF($A8&lt;=1994,1000*INDEX('SALA 2002'!$B:$U,MATCH($A8,'SALA 2002'!$A:$A,0),MATCH(G$1,'SALA 2002'!$B$1:$U$1,0)),IF($A8&lt;=2000,1000*INDEX('SALA 2002'!$B:$U,MATCH($A8,'SALA 2002'!$A:$A,0),MATCH(G$1,'SALA 2002'!$B$1:$U$1,0))*POWER(INDEX('WPP 2024 середина года'!$B:$U,MATCH($A8,'WPP 2024 середина года'!$A:$A,0),MATCH(G$1,'WPP 2024 середина года'!$B$1:$U$1,0))/(1000*INDEX('SALA 2002'!$B:$U,MATCH($A8,'SALA 2002'!$A:$A,0),MATCH(G$1,'SALA 2002'!$B$1:$U$1,0))),($A8-1994)/7),INDEX('WPP 2024 середина года'!$B:$U,MATCH($A8,'WPP 2024 середина года'!$A:$A,0),MATCH(G$1,'WPP 2024 середина года'!$B$1:$U$1,0)))))</f>
        <v>341</v>
      </c>
      <c r="H8" s="7">
        <f>IF($A8&lt;=1951,INDEX('SALA 1974'!$B:$U,MATCH($A8,'SALA 1974'!$A:$A,0),MATCH(H$1,'SALA 1974'!$B$1:$U$1,0)),IF($A8&lt;=1994,1000*INDEX('SALA 2002'!$B:$U,MATCH($A8,'SALA 2002'!$A:$A,0),MATCH(H$1,'SALA 2002'!$B$1:$U$1,0)),IF($A8&lt;=2000,1000*INDEX('SALA 2002'!$B:$U,MATCH($A8,'SALA 2002'!$A:$A,0),MATCH(H$1,'SALA 2002'!$B$1:$U$1,0))*POWER(INDEX('WPP 2024 середина года'!$B:$U,MATCH($A8,'WPP 2024 середина года'!$A:$A,0),MATCH(H$1,'WPP 2024 середина года'!$B$1:$U$1,0))/(1000*INDEX('SALA 2002'!$B:$U,MATCH($A8,'SALA 2002'!$A:$A,0),MATCH(H$1,'SALA 2002'!$B$1:$U$1,0))),($A8-1994)/7),INDEX('WPP 2024 середина года'!$B:$U,MATCH($A8,'WPP 2024 середина года'!$A:$A,0),MATCH(H$1,'WPP 2024 середина года'!$B$1:$U$1,0)))))</f>
        <v>1979</v>
      </c>
      <c r="I8" s="7">
        <f>IF($A8&lt;=1951,INDEX('SALA 1974'!$B:$U,MATCH($A8,'SALA 1974'!$A:$A,0),MATCH(I$1,'SALA 1974'!$B$1:$U$1,0)),IF($A8&lt;=1994,1000*INDEX('SALA 2002'!$B:$U,MATCH($A8,'SALA 2002'!$A:$A,0),MATCH(I$1,'SALA 2002'!$B$1:$U$1,0)),IF($A8&lt;=2000,1000*INDEX('SALA 2002'!$B:$U,MATCH($A8,'SALA 2002'!$A:$A,0),MATCH(I$1,'SALA 2002'!$B$1:$U$1,0))*POWER(INDEX('WPP 2024 середина года'!$B:$U,MATCH($A8,'WPP 2024 середина года'!$A:$A,0),MATCH(I$1,'WPP 2024 середина года'!$B$1:$U$1,0))/(1000*INDEX('SALA 2002'!$B:$U,MATCH($A8,'SALA 2002'!$A:$A,0),MATCH(I$1,'SALA 2002'!$B$1:$U$1,0))),($A8-1994)/7),INDEX('WPP 2024 середина года'!$B:$U,MATCH($A8,'WPP 2024 середина года'!$A:$A,0),MATCH(I$1,'WPP 2024 середина года'!$B$1:$U$1,0)))))</f>
        <v>684</v>
      </c>
      <c r="J8" s="7">
        <f>IF($A8&lt;=1951,INDEX('SALA 1974'!$B:$U,MATCH($A8,'SALA 1974'!$A:$A,0),MATCH(J$1,'SALA 1974'!$B$1:$U$1,0)),IF($A8&lt;=1994,1000*INDEX('SALA 2002'!$B:$U,MATCH($A8,'SALA 2002'!$A:$A,0),MATCH(J$1,'SALA 2002'!$B$1:$U$1,0)),IF($A8&lt;=2000,1000*INDEX('SALA 2002'!$B:$U,MATCH($A8,'SALA 2002'!$A:$A,0),MATCH(J$1,'SALA 2002'!$B$1:$U$1,0))*POWER(INDEX('WPP 2024 середина года'!$B:$U,MATCH($A8,'WPP 2024 середина года'!$A:$A,0),MATCH(J$1,'WPP 2024 середина года'!$B$1:$U$1,0))/(1000*INDEX('SALA 2002'!$B:$U,MATCH($A8,'SALA 2002'!$A:$A,0),MATCH(J$1,'SALA 2002'!$B$1:$U$1,0))),($A8-1994)/7),INDEX('WPP 2024 середина года'!$B:$U,MATCH($A8,'WPP 2024 середина года'!$A:$A,0),MATCH(J$1,'WPP 2024 середина года'!$B$1:$U$1,0)))))</f>
        <v>1372</v>
      </c>
      <c r="K8" s="7">
        <f>IF($A8&lt;=1951,INDEX('SALA 1974'!$B:$U,MATCH($A8,'SALA 1974'!$A:$A,0),MATCH(K$1,'SALA 1974'!$B$1:$U$1,0)),IF($A8&lt;=1994,1000*INDEX('SALA 2002'!$B:$U,MATCH($A8,'SALA 2002'!$A:$A,0),MATCH(K$1,'SALA 2002'!$B$1:$U$1,0)),IF($A8&lt;=2000,1000*INDEX('SALA 2002'!$B:$U,MATCH($A8,'SALA 2002'!$A:$A,0),MATCH(K$1,'SALA 2002'!$B$1:$U$1,0))*POWER(INDEX('WPP 2024 середина года'!$B:$U,MATCH($A8,'WPP 2024 середина года'!$A:$A,0),MATCH(K$1,'WPP 2024 середина года'!$B$1:$U$1,0))/(1000*INDEX('SALA 2002'!$B:$U,MATCH($A8,'SALA 2002'!$A:$A,0),MATCH(K$1,'SALA 2002'!$B$1:$U$1,0))),($A8-1994)/7),INDEX('WPP 2024 середина года'!$B:$U,MATCH($A8,'WPP 2024 середина года'!$A:$A,0),MATCH(K$1,'WPP 2024 середина года'!$B$1:$U$1,0)))))</f>
        <v>911</v>
      </c>
      <c r="L8" s="7">
        <f>IF($A8&lt;=1951,INDEX('SALA 1974'!$B:$U,MATCH($A8,'SALA 1974'!$A:$A,0),MATCH(L$1,'SALA 1974'!$B$1:$U$1,0)),IF($A8&lt;=1994,1000*INDEX('SALA 2002'!$B:$U,MATCH($A8,'SALA 2002'!$A:$A,0),MATCH(L$1,'SALA 2002'!$B$1:$U$1,0)),IF($A8&lt;=2000,1000*INDEX('SALA 2002'!$B:$U,MATCH($A8,'SALA 2002'!$A:$A,0),MATCH(L$1,'SALA 2002'!$B$1:$U$1,0))*POWER(INDEX('WPP 2024 середина года'!$B:$U,MATCH($A8,'WPP 2024 середина года'!$A:$A,0),MATCH(L$1,'WPP 2024 середина года'!$B$1:$U$1,0))/(1000*INDEX('SALA 2002'!$B:$U,MATCH($A8,'SALA 2002'!$A:$A,0),MATCH(L$1,'SALA 2002'!$B$1:$U$1,0))),($A8-1994)/7),INDEX('WPP 2024 середина года'!$B:$U,MATCH($A8,'WPP 2024 середина года'!$A:$A,0),MATCH(L$1,'WPP 2024 середина года'!$B$1:$U$1,0)))))</f>
        <v>1029</v>
      </c>
      <c r="M8" s="7">
        <f>IF($A8&lt;=1951,INDEX('SALA 1974'!$B:$U,MATCH($A8,'SALA 1974'!$A:$A,0),MATCH(M$1,'SALA 1974'!$B$1:$U$1,0)),IF($A8&lt;=1994,1000*INDEX('SALA 2002'!$B:$U,MATCH($A8,'SALA 2002'!$A:$A,0),MATCH(M$1,'SALA 2002'!$B$1:$U$1,0)),IF($A8&lt;=2000,1000*INDEX('SALA 2002'!$B:$U,MATCH($A8,'SALA 2002'!$A:$A,0),MATCH(M$1,'SALA 2002'!$B$1:$U$1,0))*POWER(INDEX('WPP 2024 середина года'!$B:$U,MATCH($A8,'WPP 2024 середина года'!$A:$A,0),MATCH(M$1,'WPP 2024 середина года'!$B$1:$U$1,0))/(1000*INDEX('SALA 2002'!$B:$U,MATCH($A8,'SALA 2002'!$A:$A,0),MATCH(M$1,'SALA 2002'!$B$1:$U$1,0))),($A8-1994)/7),INDEX('WPP 2024 середина года'!$B:$U,MATCH($A8,'WPP 2024 середина года'!$A:$A,0),MATCH(M$1,'WPP 2024 середина года'!$B$1:$U$1,0)))))</f>
        <v>1512</v>
      </c>
      <c r="N8" s="7">
        <f>IF($A8&lt;=1951,INDEX('SALA 1974'!$B:$U,MATCH($A8,'SALA 1974'!$A:$A,0),MATCH(N$1,'SALA 1974'!$B$1:$U$1,0)),IF($A8&lt;=1994,1000*INDEX('SALA 2002'!$B:$U,MATCH($A8,'SALA 2002'!$A:$A,0),MATCH(N$1,'SALA 2002'!$B$1:$U$1,0)),IF($A8&lt;=2000,1000*INDEX('SALA 2002'!$B:$U,MATCH($A8,'SALA 2002'!$A:$A,0),MATCH(N$1,'SALA 2002'!$B$1:$U$1,0))*POWER(INDEX('WPP 2024 середина года'!$B:$U,MATCH($A8,'WPP 2024 середина года'!$A:$A,0),MATCH(N$1,'WPP 2024 середина года'!$B$1:$U$1,0))/(1000*INDEX('SALA 2002'!$B:$U,MATCH($A8,'SALA 2002'!$A:$A,0),MATCH(N$1,'SALA 2002'!$B$1:$U$1,0))),($A8-1994)/7),INDEX('WPP 2024 середина года'!$B:$U,MATCH($A8,'WPP 2024 середина года'!$A:$A,0),MATCH(N$1,'WPP 2024 середина года'!$B$1:$U$1,0)))))</f>
        <v>511</v>
      </c>
      <c r="O8" s="7">
        <f>IF($A8&lt;=1951,INDEX('SALA 1974'!$B:$U,MATCH($A8,'SALA 1974'!$A:$A,0),MATCH(O$1,'SALA 1974'!$B$1:$U$1,0)),IF($A8&lt;=1994,1000*INDEX('SALA 2002'!$B:$U,MATCH($A8,'SALA 2002'!$A:$A,0),MATCH(O$1,'SALA 2002'!$B$1:$U$1,0)),IF($A8&lt;=2000,1000*INDEX('SALA 2002'!$B:$U,MATCH($A8,'SALA 2002'!$A:$A,0),MATCH(O$1,'SALA 2002'!$B$1:$U$1,0))*POWER(INDEX('WPP 2024 середина года'!$B:$U,MATCH($A8,'WPP 2024 середина года'!$A:$A,0),MATCH(O$1,'WPP 2024 середина года'!$B$1:$U$1,0))/(1000*INDEX('SALA 2002'!$B:$U,MATCH($A8,'SALA 2002'!$A:$A,0),MATCH(O$1,'SALA 2002'!$B$1:$U$1,0))),($A8-1994)/7),INDEX('WPP 2024 середина года'!$B:$U,MATCH($A8,'WPP 2024 середина года'!$A:$A,0),MATCH(O$1,'WPP 2024 середина года'!$B$1:$U$1,0)))))</f>
        <v>14519</v>
      </c>
      <c r="P8" s="7">
        <f>IF($A8&lt;=1951,INDEX('SALA 1974'!$B:$U,MATCH($A8,'SALA 1974'!$A:$A,0),MATCH(P$1,'SALA 1974'!$B$1:$U$1,0)),IF($A8&lt;=1994,1000*INDEX('SALA 2002'!$B:$U,MATCH($A8,'SALA 2002'!$A:$A,0),MATCH(P$1,'SALA 2002'!$B$1:$U$1,0)),IF($A8&lt;=2000,1000*INDEX('SALA 2002'!$B:$U,MATCH($A8,'SALA 2002'!$A:$A,0),MATCH(P$1,'SALA 2002'!$B$1:$U$1,0))*POWER(INDEX('WPP 2024 середина года'!$B:$U,MATCH($A8,'WPP 2024 середина года'!$A:$A,0),MATCH(P$1,'WPP 2024 середина года'!$B$1:$U$1,0))/(1000*INDEX('SALA 2002'!$B:$U,MATCH($A8,'SALA 2002'!$A:$A,0),MATCH(P$1,'SALA 2002'!$B$1:$U$1,0))),($A8-1994)/7),INDEX('WPP 2024 середина года'!$B:$U,MATCH($A8,'WPP 2024 середина года'!$A:$A,0),MATCH(P$1,'WPP 2024 середина года'!$B$1:$U$1,0)))))</f>
        <v>505</v>
      </c>
      <c r="Q8" s="7">
        <f>IF($A8&lt;=1951,INDEX('SALA 1974'!$B:$U,MATCH($A8,'SALA 1974'!$A:$A,0),MATCH(Q$1,'SALA 1974'!$B$1:$U$1,0)),IF($A8&lt;=1994,1000*INDEX('SALA 2002'!$B:$U,MATCH($A8,'SALA 2002'!$A:$A,0),MATCH(Q$1,'SALA 2002'!$B$1:$U$1,0)),IF($A8&lt;=2000,1000*INDEX('SALA 2002'!$B:$U,MATCH($A8,'SALA 2002'!$A:$A,0),MATCH(Q$1,'SALA 2002'!$B$1:$U$1,0))*POWER(INDEX('WPP 2024 середина года'!$B:$U,MATCH($A8,'WPP 2024 середина года'!$A:$A,0),MATCH(Q$1,'WPP 2024 середина года'!$B$1:$U$1,0))/(1000*INDEX('SALA 2002'!$B:$U,MATCH($A8,'SALA 2002'!$A:$A,0),MATCH(Q$1,'SALA 2002'!$B$1:$U$1,0))),($A8-1994)/7),INDEX('WPP 2024 середина года'!$B:$U,MATCH($A8,'WPP 2024 середина года'!$A:$A,0),MATCH(Q$1,'WPP 2024 середина года'!$B$1:$U$1,0)))))</f>
        <v>304</v>
      </c>
      <c r="R8" s="7">
        <f>IF($A8&lt;=1951,INDEX('SALA 1974'!$B:$U,MATCH($A8,'SALA 1974'!$A:$A,0),MATCH(R$1,'SALA 1974'!$B$1:$U$1,0)),IF($A8&lt;=1994,1000*INDEX('SALA 2002'!$B:$U,MATCH($A8,'SALA 2002'!$A:$A,0),MATCH(R$1,'SALA 2002'!$B$1:$U$1,0)),IF($A8&lt;=2000,1000*INDEX('SALA 2002'!$B:$U,MATCH($A8,'SALA 2002'!$A:$A,0),MATCH(R$1,'SALA 2002'!$B$1:$U$1,0))*POWER(INDEX('WPP 2024 середина года'!$B:$U,MATCH($A8,'WPP 2024 середина года'!$A:$A,0),MATCH(R$1,'WPP 2024 середина года'!$B$1:$U$1,0))/(1000*INDEX('SALA 2002'!$B:$U,MATCH($A8,'SALA 2002'!$A:$A,0),MATCH(R$1,'SALA 2002'!$B$1:$U$1,0))),($A8-1994)/7),INDEX('WPP 2024 середина года'!$B:$U,MATCH($A8,'WPP 2024 середина года'!$A:$A,0),MATCH(R$1,'WPP 2024 середина года'!$B$1:$U$1,0)))))</f>
        <v>580</v>
      </c>
      <c r="S8" s="7">
        <f>IF($A8&lt;=1951,INDEX('SALA 1974'!$B:$U,MATCH($A8,'SALA 1974'!$A:$A,0),MATCH(S$1,'SALA 1974'!$B$1:$U$1,0)),IF($A8&lt;=1994,1000*INDEX('SALA 2002'!$B:$U,MATCH($A8,'SALA 2002'!$A:$A,0),MATCH(S$1,'SALA 2002'!$B$1:$U$1,0)),IF($A8&lt;=2000,1000*INDEX('SALA 2002'!$B:$U,MATCH($A8,'SALA 2002'!$A:$A,0),MATCH(S$1,'SALA 2002'!$B$1:$U$1,0))*POWER(INDEX('WPP 2024 середина года'!$B:$U,MATCH($A8,'WPP 2024 середина года'!$A:$A,0),MATCH(S$1,'WPP 2024 середина года'!$B$1:$U$1,0))/(1000*INDEX('SALA 2002'!$B:$U,MATCH($A8,'SALA 2002'!$A:$A,0),MATCH(S$1,'SALA 2002'!$B$1:$U$1,0))),($A8-1994)/7),INDEX('WPP 2024 середина года'!$B:$U,MATCH($A8,'WPP 2024 середина года'!$A:$A,0),MATCH(S$1,'WPP 2024 середина года'!$B$1:$U$1,0)))))</f>
        <v>3600</v>
      </c>
      <c r="T8" s="7">
        <f>IF($A8&lt;=1951,INDEX('SALA 1974'!$B:$U,MATCH($A8,'SALA 1974'!$A:$A,0),MATCH(T$1,'SALA 1974'!$B$1:$U$1,0)),IF($A8&lt;=1994,1000*INDEX('SALA 2002'!$B:$U,MATCH($A8,'SALA 2002'!$A:$A,0),MATCH(T$1,'SALA 2002'!$B$1:$U$1,0)),IF($A8&lt;=2000,1000*INDEX('SALA 2002'!$B:$U,MATCH($A8,'SALA 2002'!$A:$A,0),MATCH(T$1,'SALA 2002'!$B$1:$U$1,0))*POWER(INDEX('WPP 2024 середина года'!$B:$U,MATCH($A8,'WPP 2024 середина года'!$A:$A,0),MATCH(T$1,'WPP 2024 середина года'!$B$1:$U$1,0))/(1000*INDEX('SALA 2002'!$B:$U,MATCH($A8,'SALA 2002'!$A:$A,0),MATCH(T$1,'SALA 2002'!$B$1:$U$1,0))),($A8-1994)/7),INDEX('WPP 2024 середина года'!$B:$U,MATCH($A8,'WPP 2024 середина года'!$A:$A,0),MATCH(T$1,'WPP 2024 середина года'!$B$1:$U$1,0)))))</f>
        <v>1103</v>
      </c>
      <c r="U8" s="7">
        <f>IF($A8&lt;=1951,INDEX('SALA 1974'!$B:$U,MATCH($A8,'SALA 1974'!$A:$A,0),MATCH(U$1,'SALA 1974'!$B$1:$U$1,0)),IF($A8&lt;=1994,1000*INDEX('SALA 2002'!$B:$U,MATCH($A8,'SALA 2002'!$A:$A,0),MATCH(U$1,'SALA 2002'!$B$1:$U$1,0)),IF($A8&lt;=2000,1000*INDEX('SALA 2002'!$B:$U,MATCH($A8,'SALA 2002'!$A:$A,0),MATCH(U$1,'SALA 2002'!$B$1:$U$1,0))*POWER(INDEX('WPP 2024 середина года'!$B:$U,MATCH($A8,'WPP 2024 середина года'!$A:$A,0),MATCH(U$1,'WPP 2024 середина года'!$B$1:$U$1,0))/(1000*INDEX('SALA 2002'!$B:$U,MATCH($A8,'SALA 2002'!$A:$A,0),MATCH(U$1,'SALA 2002'!$B$1:$U$1,0))),($A8-1994)/7),INDEX('WPP 2024 середина года'!$B:$U,MATCH($A8,'WPP 2024 середина года'!$A:$A,0),MATCH(U$1,'WPP 2024 середина года'!$B$1:$U$1,0)))))</f>
        <v>2512</v>
      </c>
    </row>
    <row r="9" spans="1:21" x14ac:dyDescent="0.25">
      <c r="A9" s="5">
        <f t="shared" si="0"/>
        <v>1907</v>
      </c>
      <c r="B9" s="7">
        <f>IF($A9&lt;=1951,INDEX('SALA 1974'!$B:$U,MATCH($A9,'SALA 1974'!$A:$A,0),MATCH(B$1,'SALA 1974'!$B$1:$U$1,0)),IF($A9&lt;=1994,1000*INDEX('SALA 2002'!$B:$U,MATCH($A9,'SALA 2002'!$A:$A,0),MATCH(B$1,'SALA 2002'!$B$1:$U$1,0)),IF($A9&lt;=2000,1000*INDEX('SALA 2002'!$B:$U,MATCH($A9,'SALA 2002'!$A:$A,0),MATCH(B$1,'SALA 2002'!$B$1:$U$1,0))*POWER(INDEX('WPP 2024 середина года'!$B:$U,MATCH($A9,'WPP 2024 середина года'!$A:$A,0),MATCH(B$1,'WPP 2024 середина года'!$B$1:$U$1,0))/(1000*INDEX('SALA 2002'!$B:$U,MATCH($A9,'SALA 2002'!$A:$A,0),MATCH(B$1,'SALA 2002'!$B$1:$U$1,0))),($A9-1994)/7),INDEX('WPP 2024 середина года'!$B:$U,MATCH($A9,'WPP 2024 середина года'!$A:$A,0),MATCH(B$1,'WPP 2024 середина года'!$B$1:$U$1,0)))))</f>
        <v>5822</v>
      </c>
      <c r="C9" s="7">
        <f>IF($A9&lt;=1951,INDEX('SALA 1974'!$B:$U,MATCH($A9,'SALA 1974'!$A:$A,0),MATCH(C$1,'SALA 1974'!$B$1:$U$1,0)),IF($A9&lt;=1994,1000*INDEX('SALA 2002'!$B:$U,MATCH($A9,'SALA 2002'!$A:$A,0),MATCH(C$1,'SALA 2002'!$B$1:$U$1,0)),IF($A9&lt;=2000,1000*INDEX('SALA 2002'!$B:$U,MATCH($A9,'SALA 2002'!$A:$A,0),MATCH(C$1,'SALA 2002'!$B$1:$U$1,0))*POWER(INDEX('WPP 2024 середина года'!$B:$U,MATCH($A9,'WPP 2024 середина года'!$A:$A,0),MATCH(C$1,'WPP 2024 середина года'!$B$1:$U$1,0))/(1000*INDEX('SALA 2002'!$B:$U,MATCH($A9,'SALA 2002'!$A:$A,0),MATCH(C$1,'SALA 2002'!$B$1:$U$1,0))),($A9-1994)/7),INDEX('WPP 2024 середина года'!$B:$U,MATCH($A9,'WPP 2024 середина года'!$A:$A,0),MATCH(C$1,'WPP 2024 середина года'!$B$1:$U$1,0)))))</f>
        <v>1896</v>
      </c>
      <c r="D9" s="7">
        <f>IF($A9&lt;=1951,INDEX('SALA 1974'!$B:$U,MATCH($A9,'SALA 1974'!$A:$A,0),MATCH(D$1,'SALA 1974'!$B$1:$U$1,0)),IF($A9&lt;=1994,1000*INDEX('SALA 2002'!$B:$U,MATCH($A9,'SALA 2002'!$A:$A,0),MATCH(D$1,'SALA 2002'!$B$1:$U$1,0)),IF($A9&lt;=2000,1000*INDEX('SALA 2002'!$B:$U,MATCH($A9,'SALA 2002'!$A:$A,0),MATCH(D$1,'SALA 2002'!$B$1:$U$1,0))*POWER(INDEX('WPP 2024 середина года'!$B:$U,MATCH($A9,'WPP 2024 середина года'!$A:$A,0),MATCH(D$1,'WPP 2024 середина года'!$B$1:$U$1,0))/(1000*INDEX('SALA 2002'!$B:$U,MATCH($A9,'SALA 2002'!$A:$A,0),MATCH(D$1,'SALA 2002'!$B$1:$U$1,0))),($A9-1994)/7),INDEX('WPP 2024 середина года'!$B:$U,MATCH($A9,'WPP 2024 середина года'!$A:$A,0),MATCH(D$1,'WPP 2024 середина года'!$B$1:$U$1,0)))))</f>
        <v>20860</v>
      </c>
      <c r="E9" s="7">
        <f>IF($A9&lt;=1951,INDEX('SALA 1974'!$B:$U,MATCH($A9,'SALA 1974'!$A:$A,0),MATCH(E$1,'SALA 1974'!$B$1:$U$1,0)),IF($A9&lt;=1994,1000*INDEX('SALA 2002'!$B:$U,MATCH($A9,'SALA 2002'!$A:$A,0),MATCH(E$1,'SALA 2002'!$B$1:$U$1,0)),IF($A9&lt;=2000,1000*INDEX('SALA 2002'!$B:$U,MATCH($A9,'SALA 2002'!$A:$A,0),MATCH(E$1,'SALA 2002'!$B$1:$U$1,0))*POWER(INDEX('WPP 2024 середина года'!$B:$U,MATCH($A9,'WPP 2024 середина года'!$A:$A,0),MATCH(E$1,'WPP 2024 середина года'!$B$1:$U$1,0))/(1000*INDEX('SALA 2002'!$B:$U,MATCH($A9,'SALA 2002'!$A:$A,0),MATCH(E$1,'SALA 2002'!$B$1:$U$1,0))),($A9-1994)/7),INDEX('WPP 2024 середина года'!$B:$U,MATCH($A9,'WPP 2024 середина года'!$A:$A,0),MATCH(E$1,'WPP 2024 середина года'!$B$1:$U$1,0)))))</f>
        <v>3213</v>
      </c>
      <c r="F9" s="7">
        <f>IF($A9&lt;=1947,INDEX('SALA 1974'!$B:$U,MATCH($A9,'SALA 1974'!$A:$A,0),MATCH(F$1,'SALA 1974'!$B$1:$U$1,0)),IF($A9&lt;=1994,1000*INDEX('SALA 2002'!$B:$U,MATCH($A9,'SALA 2002'!$A:$A,0),MATCH(F$1,'SALA 2002'!$B$1:$U$1,0)),IF($A9&lt;=2000,1000*INDEX('SALA 2002'!$B:$U,MATCH($A9,'SALA 2002'!$A:$A,0),MATCH(F$1,'SALA 2002'!$B$1:$U$1,0))*POWER(INDEX('WPP 2024 середина года'!$B:$U,MATCH($A9,'WPP 2024 середина года'!$A:$A,0),MATCH(F$1,'WPP 2024 середина года'!$B$1:$U$1,0))/(1000*INDEX('SALA 2002'!$B:$U,MATCH($A9,'SALA 2002'!$A:$A,0),MATCH(F$1,'SALA 2002'!$B$1:$U$1,0))),($A9-1994)/7),INDEX('WPP 2024 середина года'!$B:$U,MATCH($A9,'WPP 2024 середина года'!$A:$A,0),MATCH(F$1,'WPP 2024 середина года'!$B$1:$U$1,0)))))</f>
        <v>4409</v>
      </c>
      <c r="G9" s="7">
        <f>IF($A9&lt;=1951,INDEX('SALA 1974'!$B:$U,MATCH($A9,'SALA 1974'!$A:$A,0),MATCH(G$1,'SALA 1974'!$B$1:$U$1,0)),IF($A9&lt;=1994,1000*INDEX('SALA 2002'!$B:$U,MATCH($A9,'SALA 2002'!$A:$A,0),MATCH(G$1,'SALA 2002'!$B$1:$U$1,0)),IF($A9&lt;=2000,1000*INDEX('SALA 2002'!$B:$U,MATCH($A9,'SALA 2002'!$A:$A,0),MATCH(G$1,'SALA 2002'!$B$1:$U$1,0))*POWER(INDEX('WPP 2024 середина года'!$B:$U,MATCH($A9,'WPP 2024 середина года'!$A:$A,0),MATCH(G$1,'WPP 2024 середина года'!$B$1:$U$1,0))/(1000*INDEX('SALA 2002'!$B:$U,MATCH($A9,'SALA 2002'!$A:$A,0),MATCH(G$1,'SALA 2002'!$B$1:$U$1,0))),($A9-1994)/7),INDEX('WPP 2024 середина года'!$B:$U,MATCH($A9,'WPP 2024 середина года'!$A:$A,0),MATCH(G$1,'WPP 2024 середина года'!$B$1:$U$1,0)))))</f>
        <v>347</v>
      </c>
      <c r="H9" s="7">
        <f>IF($A9&lt;=1951,INDEX('SALA 1974'!$B:$U,MATCH($A9,'SALA 1974'!$A:$A,0),MATCH(H$1,'SALA 1974'!$B$1:$U$1,0)),IF($A9&lt;=1994,1000*INDEX('SALA 2002'!$B:$U,MATCH($A9,'SALA 2002'!$A:$A,0),MATCH(H$1,'SALA 2002'!$B$1:$U$1,0)),IF($A9&lt;=2000,1000*INDEX('SALA 2002'!$B:$U,MATCH($A9,'SALA 2002'!$A:$A,0),MATCH(H$1,'SALA 2002'!$B$1:$U$1,0))*POWER(INDEX('WPP 2024 середина года'!$B:$U,MATCH($A9,'WPP 2024 середина года'!$A:$A,0),MATCH(H$1,'WPP 2024 середина года'!$B$1:$U$1,0))/(1000*INDEX('SALA 2002'!$B:$U,MATCH($A9,'SALA 2002'!$A:$A,0),MATCH(H$1,'SALA 2002'!$B$1:$U$1,0))),($A9-1994)/7),INDEX('WPP 2024 середина года'!$B:$U,MATCH($A9,'WPP 2024 середина года'!$A:$A,0),MATCH(H$1,'WPP 2024 середина года'!$B$1:$U$1,0)))))</f>
        <v>2034</v>
      </c>
      <c r="I9" s="7">
        <f>IF($A9&lt;=1951,INDEX('SALA 1974'!$B:$U,MATCH($A9,'SALA 1974'!$A:$A,0),MATCH(I$1,'SALA 1974'!$B$1:$U$1,0)),IF($A9&lt;=1994,1000*INDEX('SALA 2002'!$B:$U,MATCH($A9,'SALA 2002'!$A:$A,0),MATCH(I$1,'SALA 2002'!$B$1:$U$1,0)),IF($A9&lt;=2000,1000*INDEX('SALA 2002'!$B:$U,MATCH($A9,'SALA 2002'!$A:$A,0),MATCH(I$1,'SALA 2002'!$B$1:$U$1,0))*POWER(INDEX('WPP 2024 середина года'!$B:$U,MATCH($A9,'WPP 2024 середина года'!$A:$A,0),MATCH(I$1,'WPP 2024 середина года'!$B$1:$U$1,0))/(1000*INDEX('SALA 2002'!$B:$U,MATCH($A9,'SALA 2002'!$A:$A,0),MATCH(I$1,'SALA 2002'!$B$1:$U$1,0))),($A9-1994)/7),INDEX('WPP 2024 середина года'!$B:$U,MATCH($A9,'WPP 2024 середина года'!$A:$A,0),MATCH(I$1,'WPP 2024 середина года'!$B$1:$U$1,0)))))</f>
        <v>698</v>
      </c>
      <c r="J9" s="7">
        <f>IF($A9&lt;=1951,INDEX('SALA 1974'!$B:$U,MATCH($A9,'SALA 1974'!$A:$A,0),MATCH(J$1,'SALA 1974'!$B$1:$U$1,0)),IF($A9&lt;=1994,1000*INDEX('SALA 2002'!$B:$U,MATCH($A9,'SALA 2002'!$A:$A,0),MATCH(J$1,'SALA 2002'!$B$1:$U$1,0)),IF($A9&lt;=2000,1000*INDEX('SALA 2002'!$B:$U,MATCH($A9,'SALA 2002'!$A:$A,0),MATCH(J$1,'SALA 2002'!$B$1:$U$1,0))*POWER(INDEX('WPP 2024 середина года'!$B:$U,MATCH($A9,'WPP 2024 середина года'!$A:$A,0),MATCH(J$1,'WPP 2024 середина года'!$B$1:$U$1,0))/(1000*INDEX('SALA 2002'!$B:$U,MATCH($A9,'SALA 2002'!$A:$A,0),MATCH(J$1,'SALA 2002'!$B$1:$U$1,0))),($A9-1994)/7),INDEX('WPP 2024 середина года'!$B:$U,MATCH($A9,'WPP 2024 середина года'!$A:$A,0),MATCH(J$1,'WPP 2024 середина года'!$B$1:$U$1,0)))))</f>
        <v>1384</v>
      </c>
      <c r="K9" s="7">
        <f>IF($A9&lt;=1951,INDEX('SALA 1974'!$B:$U,MATCH($A9,'SALA 1974'!$A:$A,0),MATCH(K$1,'SALA 1974'!$B$1:$U$1,0)),IF($A9&lt;=1994,1000*INDEX('SALA 2002'!$B:$U,MATCH($A9,'SALA 2002'!$A:$A,0),MATCH(K$1,'SALA 2002'!$B$1:$U$1,0)),IF($A9&lt;=2000,1000*INDEX('SALA 2002'!$B:$U,MATCH($A9,'SALA 2002'!$A:$A,0),MATCH(K$1,'SALA 2002'!$B$1:$U$1,0))*POWER(INDEX('WPP 2024 середина года'!$B:$U,MATCH($A9,'WPP 2024 середина года'!$A:$A,0),MATCH(K$1,'WPP 2024 середина года'!$B$1:$U$1,0))/(1000*INDEX('SALA 2002'!$B:$U,MATCH($A9,'SALA 2002'!$A:$A,0),MATCH(K$1,'SALA 2002'!$B$1:$U$1,0))),($A9-1994)/7),INDEX('WPP 2024 середина года'!$B:$U,MATCH($A9,'WPP 2024 середина года'!$A:$A,0),MATCH(K$1,'WPP 2024 середина года'!$B$1:$U$1,0)))))</f>
        <v>929</v>
      </c>
      <c r="L9" s="7">
        <f>IF($A9&lt;=1951,INDEX('SALA 1974'!$B:$U,MATCH($A9,'SALA 1974'!$A:$A,0),MATCH(L$1,'SALA 1974'!$B$1:$U$1,0)),IF($A9&lt;=1994,1000*INDEX('SALA 2002'!$B:$U,MATCH($A9,'SALA 2002'!$A:$A,0),MATCH(L$1,'SALA 2002'!$B$1:$U$1,0)),IF($A9&lt;=2000,1000*INDEX('SALA 2002'!$B:$U,MATCH($A9,'SALA 2002'!$A:$A,0),MATCH(L$1,'SALA 2002'!$B$1:$U$1,0))*POWER(INDEX('WPP 2024 середина года'!$B:$U,MATCH($A9,'WPP 2024 середина года'!$A:$A,0),MATCH(L$1,'WPP 2024 середина года'!$B$1:$U$1,0))/(1000*INDEX('SALA 2002'!$B:$U,MATCH($A9,'SALA 2002'!$A:$A,0),MATCH(L$1,'SALA 2002'!$B$1:$U$1,0))),($A9-1994)/7),INDEX('WPP 2024 середина года'!$B:$U,MATCH($A9,'WPP 2024 середина года'!$A:$A,0),MATCH(L$1,'WPP 2024 середина года'!$B$1:$U$1,0)))))</f>
        <v>1046</v>
      </c>
      <c r="M9" s="7">
        <f>IF($A9&lt;=1951,INDEX('SALA 1974'!$B:$U,MATCH($A9,'SALA 1974'!$A:$A,0),MATCH(M$1,'SALA 1974'!$B$1:$U$1,0)),IF($A9&lt;=1994,1000*INDEX('SALA 2002'!$B:$U,MATCH($A9,'SALA 2002'!$A:$A,0),MATCH(M$1,'SALA 2002'!$B$1:$U$1,0)),IF($A9&lt;=2000,1000*INDEX('SALA 2002'!$B:$U,MATCH($A9,'SALA 2002'!$A:$A,0),MATCH(M$1,'SALA 2002'!$B$1:$U$1,0))*POWER(INDEX('WPP 2024 середина года'!$B:$U,MATCH($A9,'WPP 2024 середина года'!$A:$A,0),MATCH(M$1,'WPP 2024 середина года'!$B$1:$U$1,0))/(1000*INDEX('SALA 2002'!$B:$U,MATCH($A9,'SALA 2002'!$A:$A,0),MATCH(M$1,'SALA 2002'!$B$1:$U$1,0))),($A9-1994)/7),INDEX('WPP 2024 середина года'!$B:$U,MATCH($A9,'WPP 2024 середина года'!$A:$A,0),MATCH(M$1,'WPP 2024 середина года'!$B$1:$U$1,0)))))</f>
        <v>1555</v>
      </c>
      <c r="N9" s="7">
        <f>IF($A9&lt;=1951,INDEX('SALA 1974'!$B:$U,MATCH($A9,'SALA 1974'!$A:$A,0),MATCH(N$1,'SALA 1974'!$B$1:$U$1,0)),IF($A9&lt;=1994,1000*INDEX('SALA 2002'!$B:$U,MATCH($A9,'SALA 2002'!$A:$A,0),MATCH(N$1,'SALA 2002'!$B$1:$U$1,0)),IF($A9&lt;=2000,1000*INDEX('SALA 2002'!$B:$U,MATCH($A9,'SALA 2002'!$A:$A,0),MATCH(N$1,'SALA 2002'!$B$1:$U$1,0))*POWER(INDEX('WPP 2024 середина года'!$B:$U,MATCH($A9,'WPP 2024 середина года'!$A:$A,0),MATCH(N$1,'WPP 2024 середина года'!$B$1:$U$1,0))/(1000*INDEX('SALA 2002'!$B:$U,MATCH($A9,'SALA 2002'!$A:$A,0),MATCH(N$1,'SALA 2002'!$B$1:$U$1,0))),($A9-1994)/7),INDEX('WPP 2024 середина года'!$B:$U,MATCH($A9,'WPP 2024 середина года'!$A:$A,0),MATCH(N$1,'WPP 2024 середина года'!$B$1:$U$1,0)))))</f>
        <v>521</v>
      </c>
      <c r="O9" s="7">
        <f>IF($A9&lt;=1951,INDEX('SALA 1974'!$B:$U,MATCH($A9,'SALA 1974'!$A:$A,0),MATCH(O$1,'SALA 1974'!$B$1:$U$1,0)),IF($A9&lt;=1994,1000*INDEX('SALA 2002'!$B:$U,MATCH($A9,'SALA 2002'!$A:$A,0),MATCH(O$1,'SALA 2002'!$B$1:$U$1,0)),IF($A9&lt;=2000,1000*INDEX('SALA 2002'!$B:$U,MATCH($A9,'SALA 2002'!$A:$A,0),MATCH(O$1,'SALA 2002'!$B$1:$U$1,0))*POWER(INDEX('WPP 2024 середина года'!$B:$U,MATCH($A9,'WPP 2024 середина года'!$A:$A,0),MATCH(O$1,'WPP 2024 середина года'!$B$1:$U$1,0))/(1000*INDEX('SALA 2002'!$B:$U,MATCH($A9,'SALA 2002'!$A:$A,0),MATCH(O$1,'SALA 2002'!$B$1:$U$1,0))),($A9-1994)/7),INDEX('WPP 2024 середина года'!$B:$U,MATCH($A9,'WPP 2024 середина года'!$A:$A,0),MATCH(O$1,'WPP 2024 середина года'!$B$1:$U$1,0)))))</f>
        <v>14677</v>
      </c>
      <c r="P9" s="7">
        <f>IF($A9&lt;=1951,INDEX('SALA 1974'!$B:$U,MATCH($A9,'SALA 1974'!$A:$A,0),MATCH(P$1,'SALA 1974'!$B$1:$U$1,0)),IF($A9&lt;=1994,1000*INDEX('SALA 2002'!$B:$U,MATCH($A9,'SALA 2002'!$A:$A,0),MATCH(P$1,'SALA 2002'!$B$1:$U$1,0)),IF($A9&lt;=2000,1000*INDEX('SALA 2002'!$B:$U,MATCH($A9,'SALA 2002'!$A:$A,0),MATCH(P$1,'SALA 2002'!$B$1:$U$1,0))*POWER(INDEX('WPP 2024 середина года'!$B:$U,MATCH($A9,'WPP 2024 середина года'!$A:$A,0),MATCH(P$1,'WPP 2024 середина года'!$B$1:$U$1,0))/(1000*INDEX('SALA 2002'!$B:$U,MATCH($A9,'SALA 2002'!$A:$A,0),MATCH(P$1,'SALA 2002'!$B$1:$U$1,0))),($A9-1994)/7),INDEX('WPP 2024 середина года'!$B:$U,MATCH($A9,'WPP 2024 середина года'!$A:$A,0),MATCH(P$1,'WPP 2024 середина года'!$B$1:$U$1,0)))))</f>
        <v>515</v>
      </c>
      <c r="Q9" s="7">
        <f>IF($A9&lt;=1951,INDEX('SALA 1974'!$B:$U,MATCH($A9,'SALA 1974'!$A:$A,0),MATCH(Q$1,'SALA 1974'!$B$1:$U$1,0)),IF($A9&lt;=1994,1000*INDEX('SALA 2002'!$B:$U,MATCH($A9,'SALA 2002'!$A:$A,0),MATCH(Q$1,'SALA 2002'!$B$1:$U$1,0)),IF($A9&lt;=2000,1000*INDEX('SALA 2002'!$B:$U,MATCH($A9,'SALA 2002'!$A:$A,0),MATCH(Q$1,'SALA 2002'!$B$1:$U$1,0))*POWER(INDEX('WPP 2024 середина года'!$B:$U,MATCH($A9,'WPP 2024 середина года'!$A:$A,0),MATCH(Q$1,'WPP 2024 середина года'!$B$1:$U$1,0))/(1000*INDEX('SALA 2002'!$B:$U,MATCH($A9,'SALA 2002'!$A:$A,0),MATCH(Q$1,'SALA 2002'!$B$1:$U$1,0))),($A9-1994)/7),INDEX('WPP 2024 середина года'!$B:$U,MATCH($A9,'WPP 2024 середина года'!$A:$A,0),MATCH(Q$1,'WPP 2024 середина года'!$B$1:$U$1,0)))))</f>
        <v>311</v>
      </c>
      <c r="R9" s="7">
        <f>IF($A9&lt;=1951,INDEX('SALA 1974'!$B:$U,MATCH($A9,'SALA 1974'!$A:$A,0),MATCH(R$1,'SALA 1974'!$B$1:$U$1,0)),IF($A9&lt;=1994,1000*INDEX('SALA 2002'!$B:$U,MATCH($A9,'SALA 2002'!$A:$A,0),MATCH(R$1,'SALA 2002'!$B$1:$U$1,0)),IF($A9&lt;=2000,1000*INDEX('SALA 2002'!$B:$U,MATCH($A9,'SALA 2002'!$A:$A,0),MATCH(R$1,'SALA 2002'!$B$1:$U$1,0))*POWER(INDEX('WPP 2024 середина года'!$B:$U,MATCH($A9,'WPP 2024 середина года'!$A:$A,0),MATCH(R$1,'WPP 2024 середина года'!$B$1:$U$1,0))/(1000*INDEX('SALA 2002'!$B:$U,MATCH($A9,'SALA 2002'!$A:$A,0),MATCH(R$1,'SALA 2002'!$B$1:$U$1,0))),($A9-1994)/7),INDEX('WPP 2024 середина года'!$B:$U,MATCH($A9,'WPP 2024 середина года'!$A:$A,0),MATCH(R$1,'WPP 2024 середина года'!$B$1:$U$1,0)))))</f>
        <v>590</v>
      </c>
      <c r="S9" s="7">
        <f>IF($A9&lt;=1951,INDEX('SALA 1974'!$B:$U,MATCH($A9,'SALA 1974'!$A:$A,0),MATCH(S$1,'SALA 1974'!$B$1:$U$1,0)),IF($A9&lt;=1994,1000*INDEX('SALA 2002'!$B:$U,MATCH($A9,'SALA 2002'!$A:$A,0),MATCH(S$1,'SALA 2002'!$B$1:$U$1,0)),IF($A9&lt;=2000,1000*INDEX('SALA 2002'!$B:$U,MATCH($A9,'SALA 2002'!$A:$A,0),MATCH(S$1,'SALA 2002'!$B$1:$U$1,0))*POWER(INDEX('WPP 2024 середина года'!$B:$U,MATCH($A9,'WPP 2024 середина года'!$A:$A,0),MATCH(S$1,'WPP 2024 середина года'!$B$1:$U$1,0))/(1000*INDEX('SALA 2002'!$B:$U,MATCH($A9,'SALA 2002'!$A:$A,0),MATCH(S$1,'SALA 2002'!$B$1:$U$1,0))),($A9-1994)/7),INDEX('WPP 2024 середина года'!$B:$U,MATCH($A9,'WPP 2024 середина года'!$A:$A,0),MATCH(S$1,'WPP 2024 середина года'!$B$1:$U$1,0)))))</f>
        <v>3700</v>
      </c>
      <c r="T9" s="7">
        <f>IF($A9&lt;=1951,INDEX('SALA 1974'!$B:$U,MATCH($A9,'SALA 1974'!$A:$A,0),MATCH(T$1,'SALA 1974'!$B$1:$U$1,0)),IF($A9&lt;=1994,1000*INDEX('SALA 2002'!$B:$U,MATCH($A9,'SALA 2002'!$A:$A,0),MATCH(T$1,'SALA 2002'!$B$1:$U$1,0)),IF($A9&lt;=2000,1000*INDEX('SALA 2002'!$B:$U,MATCH($A9,'SALA 2002'!$A:$A,0),MATCH(T$1,'SALA 2002'!$B$1:$U$1,0))*POWER(INDEX('WPP 2024 середина года'!$B:$U,MATCH($A9,'WPP 2024 середина года'!$A:$A,0),MATCH(T$1,'WPP 2024 середина года'!$B$1:$U$1,0))/(1000*INDEX('SALA 2002'!$B:$U,MATCH($A9,'SALA 2002'!$A:$A,0),MATCH(T$1,'SALA 2002'!$B$1:$U$1,0))),($A9-1994)/7),INDEX('WPP 2024 середина года'!$B:$U,MATCH($A9,'WPP 2024 середина года'!$A:$A,0),MATCH(T$1,'WPP 2024 середина года'!$B$1:$U$1,0)))))</f>
        <v>1141</v>
      </c>
      <c r="U9" s="7">
        <f>IF($A9&lt;=1951,INDEX('SALA 1974'!$B:$U,MATCH($A9,'SALA 1974'!$A:$A,0),MATCH(U$1,'SALA 1974'!$B$1:$U$1,0)),IF($A9&lt;=1994,1000*INDEX('SALA 2002'!$B:$U,MATCH($A9,'SALA 2002'!$A:$A,0),MATCH(U$1,'SALA 2002'!$B$1:$U$1,0)),IF($A9&lt;=2000,1000*INDEX('SALA 2002'!$B:$U,MATCH($A9,'SALA 2002'!$A:$A,0),MATCH(U$1,'SALA 2002'!$B$1:$U$1,0))*POWER(INDEX('WPP 2024 середина года'!$B:$U,MATCH($A9,'WPP 2024 середина года'!$A:$A,0),MATCH(U$1,'WPP 2024 середина года'!$B$1:$U$1,0))/(1000*INDEX('SALA 2002'!$B:$U,MATCH($A9,'SALA 2002'!$A:$A,0),MATCH(U$1,'SALA 2002'!$B$1:$U$1,0))),($A9-1994)/7),INDEX('WPP 2024 середина года'!$B:$U,MATCH($A9,'WPP 2024 середина года'!$A:$A,0),MATCH(U$1,'WPP 2024 середина года'!$B$1:$U$1,0)))))</f>
        <v>2532</v>
      </c>
    </row>
    <row r="10" spans="1:21" x14ac:dyDescent="0.25">
      <c r="A10" s="5">
        <f t="shared" si="0"/>
        <v>1908</v>
      </c>
      <c r="B10" s="7">
        <f>IF($A10&lt;=1951,INDEX('SALA 1974'!$B:$U,MATCH($A10,'SALA 1974'!$A:$A,0),MATCH(B$1,'SALA 1974'!$B$1:$U$1,0)),IF($A10&lt;=1994,1000*INDEX('SALA 2002'!$B:$U,MATCH($A10,'SALA 2002'!$A:$A,0),MATCH(B$1,'SALA 2002'!$B$1:$U$1,0)),IF($A10&lt;=2000,1000*INDEX('SALA 2002'!$B:$U,MATCH($A10,'SALA 2002'!$A:$A,0),MATCH(B$1,'SALA 2002'!$B$1:$U$1,0))*POWER(INDEX('WPP 2024 середина года'!$B:$U,MATCH($A10,'WPP 2024 середина года'!$A:$A,0),MATCH(B$1,'WPP 2024 середина года'!$B$1:$U$1,0))/(1000*INDEX('SALA 2002'!$B:$U,MATCH($A10,'SALA 2002'!$A:$A,0),MATCH(B$1,'SALA 2002'!$B$1:$U$1,0))),($A10-1994)/7),INDEX('WPP 2024 середина года'!$B:$U,MATCH($A10,'WPP 2024 середина года'!$A:$A,0),MATCH(B$1,'WPP 2024 середина года'!$B$1:$U$1,0)))))</f>
        <v>6145</v>
      </c>
      <c r="C10" s="7">
        <f>IF($A10&lt;=1951,INDEX('SALA 1974'!$B:$U,MATCH($A10,'SALA 1974'!$A:$A,0),MATCH(C$1,'SALA 1974'!$B$1:$U$1,0)),IF($A10&lt;=1994,1000*INDEX('SALA 2002'!$B:$U,MATCH($A10,'SALA 2002'!$A:$A,0),MATCH(C$1,'SALA 2002'!$B$1:$U$1,0)),IF($A10&lt;=2000,1000*INDEX('SALA 2002'!$B:$U,MATCH($A10,'SALA 2002'!$A:$A,0),MATCH(C$1,'SALA 2002'!$B$1:$U$1,0))*POWER(INDEX('WPP 2024 середина года'!$B:$U,MATCH($A10,'WPP 2024 середина года'!$A:$A,0),MATCH(C$1,'WPP 2024 середина года'!$B$1:$U$1,0))/(1000*INDEX('SALA 2002'!$B:$U,MATCH($A10,'SALA 2002'!$A:$A,0),MATCH(C$1,'SALA 2002'!$B$1:$U$1,0))),($A10-1994)/7),INDEX('WPP 2024 середина года'!$B:$U,MATCH($A10,'WPP 2024 середина года'!$A:$A,0),MATCH(C$1,'WPP 2024 середина года'!$B$1:$U$1,0)))))</f>
        <v>1914</v>
      </c>
      <c r="D10" s="7">
        <f>IF($A10&lt;=1951,INDEX('SALA 1974'!$B:$U,MATCH($A10,'SALA 1974'!$A:$A,0),MATCH(D$1,'SALA 1974'!$B$1:$U$1,0)),IF($A10&lt;=1994,1000*INDEX('SALA 2002'!$B:$U,MATCH($A10,'SALA 2002'!$A:$A,0),MATCH(D$1,'SALA 2002'!$B$1:$U$1,0)),IF($A10&lt;=2000,1000*INDEX('SALA 2002'!$B:$U,MATCH($A10,'SALA 2002'!$A:$A,0),MATCH(D$1,'SALA 2002'!$B$1:$U$1,0))*POWER(INDEX('WPP 2024 середина года'!$B:$U,MATCH($A10,'WPP 2024 середина года'!$A:$A,0),MATCH(D$1,'WPP 2024 середина года'!$B$1:$U$1,0))/(1000*INDEX('SALA 2002'!$B:$U,MATCH($A10,'SALA 2002'!$A:$A,0),MATCH(D$1,'SALA 2002'!$B$1:$U$1,0))),($A10-1994)/7),INDEX('WPP 2024 середина года'!$B:$U,MATCH($A10,'WPP 2024 середина года'!$A:$A,0),MATCH(D$1,'WPP 2024 середина года'!$B$1:$U$1,0)))))</f>
        <v>21303</v>
      </c>
      <c r="E10" s="7">
        <f>IF($A10&lt;=1951,INDEX('SALA 1974'!$B:$U,MATCH($A10,'SALA 1974'!$A:$A,0),MATCH(E$1,'SALA 1974'!$B$1:$U$1,0)),IF($A10&lt;=1994,1000*INDEX('SALA 2002'!$B:$U,MATCH($A10,'SALA 2002'!$A:$A,0),MATCH(E$1,'SALA 2002'!$B$1:$U$1,0)),IF($A10&lt;=2000,1000*INDEX('SALA 2002'!$B:$U,MATCH($A10,'SALA 2002'!$A:$A,0),MATCH(E$1,'SALA 2002'!$B$1:$U$1,0))*POWER(INDEX('WPP 2024 середина года'!$B:$U,MATCH($A10,'WPP 2024 середина года'!$A:$A,0),MATCH(E$1,'WPP 2024 середина года'!$B$1:$U$1,0))/(1000*INDEX('SALA 2002'!$B:$U,MATCH($A10,'SALA 2002'!$A:$A,0),MATCH(E$1,'SALA 2002'!$B$1:$U$1,0))),($A10-1994)/7),INDEX('WPP 2024 середина года'!$B:$U,MATCH($A10,'WPP 2024 середина года'!$A:$A,0),MATCH(E$1,'WPP 2024 середина года'!$B$1:$U$1,0)))))</f>
        <v>3253</v>
      </c>
      <c r="F10" s="7">
        <f>IF($A10&lt;=1947,INDEX('SALA 1974'!$B:$U,MATCH($A10,'SALA 1974'!$A:$A,0),MATCH(F$1,'SALA 1974'!$B$1:$U$1,0)),IF($A10&lt;=1994,1000*INDEX('SALA 2002'!$B:$U,MATCH($A10,'SALA 2002'!$A:$A,0),MATCH(F$1,'SALA 2002'!$B$1:$U$1,0)),IF($A10&lt;=2000,1000*INDEX('SALA 2002'!$B:$U,MATCH($A10,'SALA 2002'!$A:$A,0),MATCH(F$1,'SALA 2002'!$B$1:$U$1,0))*POWER(INDEX('WPP 2024 середина года'!$B:$U,MATCH($A10,'WPP 2024 середина года'!$A:$A,0),MATCH(F$1,'WPP 2024 середина года'!$B$1:$U$1,0))/(1000*INDEX('SALA 2002'!$B:$U,MATCH($A10,'SALA 2002'!$A:$A,0),MATCH(F$1,'SALA 2002'!$B$1:$U$1,0))),($A10-1994)/7),INDEX('WPP 2024 середина года'!$B:$U,MATCH($A10,'WPP 2024 середина года'!$A:$A,0),MATCH(F$1,'WPP 2024 середина года'!$B$1:$U$1,0)))))</f>
        <v>4542</v>
      </c>
      <c r="G10" s="7">
        <f>IF($A10&lt;=1951,INDEX('SALA 1974'!$B:$U,MATCH($A10,'SALA 1974'!$A:$A,0),MATCH(G$1,'SALA 1974'!$B$1:$U$1,0)),IF($A10&lt;=1994,1000*INDEX('SALA 2002'!$B:$U,MATCH($A10,'SALA 2002'!$A:$A,0),MATCH(G$1,'SALA 2002'!$B$1:$U$1,0)),IF($A10&lt;=2000,1000*INDEX('SALA 2002'!$B:$U,MATCH($A10,'SALA 2002'!$A:$A,0),MATCH(G$1,'SALA 2002'!$B$1:$U$1,0))*POWER(INDEX('WPP 2024 середина года'!$B:$U,MATCH($A10,'WPP 2024 середина года'!$A:$A,0),MATCH(G$1,'WPP 2024 середина года'!$B$1:$U$1,0))/(1000*INDEX('SALA 2002'!$B:$U,MATCH($A10,'SALA 2002'!$A:$A,0),MATCH(G$1,'SALA 2002'!$B$1:$U$1,0))),($A10-1994)/7),INDEX('WPP 2024 середина года'!$B:$U,MATCH($A10,'WPP 2024 середина года'!$A:$A,0),MATCH(G$1,'WPP 2024 середина года'!$B$1:$U$1,0)))))</f>
        <v>353</v>
      </c>
      <c r="H10" s="7">
        <f>IF($A10&lt;=1951,INDEX('SALA 1974'!$B:$U,MATCH($A10,'SALA 1974'!$A:$A,0),MATCH(H$1,'SALA 1974'!$B$1:$U$1,0)),IF($A10&lt;=1994,1000*INDEX('SALA 2002'!$B:$U,MATCH($A10,'SALA 2002'!$A:$A,0),MATCH(H$1,'SALA 2002'!$B$1:$U$1,0)),IF($A10&lt;=2000,1000*INDEX('SALA 2002'!$B:$U,MATCH($A10,'SALA 2002'!$A:$A,0),MATCH(H$1,'SALA 2002'!$B$1:$U$1,0))*POWER(INDEX('WPP 2024 середина года'!$B:$U,MATCH($A10,'WPP 2024 середина года'!$A:$A,0),MATCH(H$1,'WPP 2024 середина года'!$B$1:$U$1,0))/(1000*INDEX('SALA 2002'!$B:$U,MATCH($A10,'SALA 2002'!$A:$A,0),MATCH(H$1,'SALA 2002'!$B$1:$U$1,0))),($A10-1994)/7),INDEX('WPP 2024 середина года'!$B:$U,MATCH($A10,'WPP 2024 середина года'!$A:$A,0),MATCH(H$1,'WPP 2024 середина года'!$B$1:$U$1,0)))))</f>
        <v>2092</v>
      </c>
      <c r="I10" s="7">
        <f>IF($A10&lt;=1951,INDEX('SALA 1974'!$B:$U,MATCH($A10,'SALA 1974'!$A:$A,0),MATCH(I$1,'SALA 1974'!$B$1:$U$1,0)),IF($A10&lt;=1994,1000*INDEX('SALA 2002'!$B:$U,MATCH($A10,'SALA 2002'!$A:$A,0),MATCH(I$1,'SALA 2002'!$B$1:$U$1,0)),IF($A10&lt;=2000,1000*INDEX('SALA 2002'!$B:$U,MATCH($A10,'SALA 2002'!$A:$A,0),MATCH(I$1,'SALA 2002'!$B$1:$U$1,0))*POWER(INDEX('WPP 2024 середина года'!$B:$U,MATCH($A10,'WPP 2024 середина года'!$A:$A,0),MATCH(I$1,'WPP 2024 середина года'!$B$1:$U$1,0))/(1000*INDEX('SALA 2002'!$B:$U,MATCH($A10,'SALA 2002'!$A:$A,0),MATCH(I$1,'SALA 2002'!$B$1:$U$1,0))),($A10-1994)/7),INDEX('WPP 2024 середина года'!$B:$U,MATCH($A10,'WPP 2024 середина года'!$A:$A,0),MATCH(I$1,'WPP 2024 середина года'!$B$1:$U$1,0)))))</f>
        <v>712</v>
      </c>
      <c r="J10" s="7">
        <f>IF($A10&lt;=1951,INDEX('SALA 1974'!$B:$U,MATCH($A10,'SALA 1974'!$A:$A,0),MATCH(J$1,'SALA 1974'!$B$1:$U$1,0)),IF($A10&lt;=1994,1000*INDEX('SALA 2002'!$B:$U,MATCH($A10,'SALA 2002'!$A:$A,0),MATCH(J$1,'SALA 2002'!$B$1:$U$1,0)),IF($A10&lt;=2000,1000*INDEX('SALA 2002'!$B:$U,MATCH($A10,'SALA 2002'!$A:$A,0),MATCH(J$1,'SALA 2002'!$B$1:$U$1,0))*POWER(INDEX('WPP 2024 середина года'!$B:$U,MATCH($A10,'WPP 2024 середина года'!$A:$A,0),MATCH(J$1,'WPP 2024 середина года'!$B$1:$U$1,0))/(1000*INDEX('SALA 2002'!$B:$U,MATCH($A10,'SALA 2002'!$A:$A,0),MATCH(J$1,'SALA 2002'!$B$1:$U$1,0))),($A10-1994)/7),INDEX('WPP 2024 середина года'!$B:$U,MATCH($A10,'WPP 2024 середина года'!$A:$A,0),MATCH(J$1,'WPP 2024 середина года'!$B$1:$U$1,0)))))</f>
        <v>1396</v>
      </c>
      <c r="K10" s="7">
        <f>IF($A10&lt;=1951,INDEX('SALA 1974'!$B:$U,MATCH($A10,'SALA 1974'!$A:$A,0),MATCH(K$1,'SALA 1974'!$B$1:$U$1,0)),IF($A10&lt;=1994,1000*INDEX('SALA 2002'!$B:$U,MATCH($A10,'SALA 2002'!$A:$A,0),MATCH(K$1,'SALA 2002'!$B$1:$U$1,0)),IF($A10&lt;=2000,1000*INDEX('SALA 2002'!$B:$U,MATCH($A10,'SALA 2002'!$A:$A,0),MATCH(K$1,'SALA 2002'!$B$1:$U$1,0))*POWER(INDEX('WPP 2024 середина года'!$B:$U,MATCH($A10,'WPP 2024 середина года'!$A:$A,0),MATCH(K$1,'WPP 2024 середина года'!$B$1:$U$1,0))/(1000*INDEX('SALA 2002'!$B:$U,MATCH($A10,'SALA 2002'!$A:$A,0),MATCH(K$1,'SALA 2002'!$B$1:$U$1,0))),($A10-1994)/7),INDEX('WPP 2024 середина года'!$B:$U,MATCH($A10,'WPP 2024 середина года'!$A:$A,0),MATCH(K$1,'WPP 2024 середина года'!$B$1:$U$1,0)))))</f>
        <v>948</v>
      </c>
      <c r="L10" s="7">
        <f>IF($A10&lt;=1951,INDEX('SALA 1974'!$B:$U,MATCH($A10,'SALA 1974'!$A:$A,0),MATCH(L$1,'SALA 1974'!$B$1:$U$1,0)),IF($A10&lt;=1994,1000*INDEX('SALA 2002'!$B:$U,MATCH($A10,'SALA 2002'!$A:$A,0),MATCH(L$1,'SALA 2002'!$B$1:$U$1,0)),IF($A10&lt;=2000,1000*INDEX('SALA 2002'!$B:$U,MATCH($A10,'SALA 2002'!$A:$A,0),MATCH(L$1,'SALA 2002'!$B$1:$U$1,0))*POWER(INDEX('WPP 2024 середина года'!$B:$U,MATCH($A10,'WPP 2024 середина года'!$A:$A,0),MATCH(L$1,'WPP 2024 середина года'!$B$1:$U$1,0))/(1000*INDEX('SALA 2002'!$B:$U,MATCH($A10,'SALA 2002'!$A:$A,0),MATCH(L$1,'SALA 2002'!$B$1:$U$1,0))),($A10-1994)/7),INDEX('WPP 2024 середина года'!$B:$U,MATCH($A10,'WPP 2024 середина года'!$A:$A,0),MATCH(L$1,'WPP 2024 середина года'!$B$1:$U$1,0)))))</f>
        <v>1062</v>
      </c>
      <c r="M10" s="7">
        <f>IF($A10&lt;=1951,INDEX('SALA 1974'!$B:$U,MATCH($A10,'SALA 1974'!$A:$A,0),MATCH(M$1,'SALA 1974'!$B$1:$U$1,0)),IF($A10&lt;=1994,1000*INDEX('SALA 2002'!$B:$U,MATCH($A10,'SALA 2002'!$A:$A,0),MATCH(M$1,'SALA 2002'!$B$1:$U$1,0)),IF($A10&lt;=2000,1000*INDEX('SALA 2002'!$B:$U,MATCH($A10,'SALA 2002'!$A:$A,0),MATCH(M$1,'SALA 2002'!$B$1:$U$1,0))*POWER(INDEX('WPP 2024 середина года'!$B:$U,MATCH($A10,'WPP 2024 середина года'!$A:$A,0),MATCH(M$1,'WPP 2024 середина года'!$B$1:$U$1,0))/(1000*INDEX('SALA 2002'!$B:$U,MATCH($A10,'SALA 2002'!$A:$A,0),MATCH(M$1,'SALA 2002'!$B$1:$U$1,0))),($A10-1994)/7),INDEX('WPP 2024 середина года'!$B:$U,MATCH($A10,'WPP 2024 середина года'!$A:$A,0),MATCH(M$1,'WPP 2024 середина года'!$B$1:$U$1,0)))))</f>
        <v>1559</v>
      </c>
      <c r="N10" s="7">
        <f>IF($A10&lt;=1951,INDEX('SALA 1974'!$B:$U,MATCH($A10,'SALA 1974'!$A:$A,0),MATCH(N$1,'SALA 1974'!$B$1:$U$1,0)),IF($A10&lt;=1994,1000*INDEX('SALA 2002'!$B:$U,MATCH($A10,'SALA 2002'!$A:$A,0),MATCH(N$1,'SALA 2002'!$B$1:$U$1,0)),IF($A10&lt;=2000,1000*INDEX('SALA 2002'!$B:$U,MATCH($A10,'SALA 2002'!$A:$A,0),MATCH(N$1,'SALA 2002'!$B$1:$U$1,0))*POWER(INDEX('WPP 2024 середина года'!$B:$U,MATCH($A10,'WPP 2024 середина года'!$A:$A,0),MATCH(N$1,'WPP 2024 середина года'!$B$1:$U$1,0))/(1000*INDEX('SALA 2002'!$B:$U,MATCH($A10,'SALA 2002'!$A:$A,0),MATCH(N$1,'SALA 2002'!$B$1:$U$1,0))),($A10-1994)/7),INDEX('WPP 2024 середина года'!$B:$U,MATCH($A10,'WPP 2024 середина года'!$A:$A,0),MATCH(N$1,'WPP 2024 середина года'!$B$1:$U$1,0)))))</f>
        <v>532</v>
      </c>
      <c r="O10" s="7">
        <f>IF($A10&lt;=1951,INDEX('SALA 1974'!$B:$U,MATCH($A10,'SALA 1974'!$A:$A,0),MATCH(O$1,'SALA 1974'!$B$1:$U$1,0)),IF($A10&lt;=1994,1000*INDEX('SALA 2002'!$B:$U,MATCH($A10,'SALA 2002'!$A:$A,0),MATCH(O$1,'SALA 2002'!$B$1:$U$1,0)),IF($A10&lt;=2000,1000*INDEX('SALA 2002'!$B:$U,MATCH($A10,'SALA 2002'!$A:$A,0),MATCH(O$1,'SALA 2002'!$B$1:$U$1,0))*POWER(INDEX('WPP 2024 середина года'!$B:$U,MATCH($A10,'WPP 2024 середина года'!$A:$A,0),MATCH(O$1,'WPP 2024 середина года'!$B$1:$U$1,0))/(1000*INDEX('SALA 2002'!$B:$U,MATCH($A10,'SALA 2002'!$A:$A,0),MATCH(O$1,'SALA 2002'!$B$1:$U$1,0))),($A10-1994)/7),INDEX('WPP 2024 середина года'!$B:$U,MATCH($A10,'WPP 2024 середина года'!$A:$A,0),MATCH(O$1,'WPP 2024 середина года'!$B$1:$U$1,0)))))</f>
        <v>14836</v>
      </c>
      <c r="P10" s="7">
        <f>IF($A10&lt;=1951,INDEX('SALA 1974'!$B:$U,MATCH($A10,'SALA 1974'!$A:$A,0),MATCH(P$1,'SALA 1974'!$B$1:$U$1,0)),IF($A10&lt;=1994,1000*INDEX('SALA 2002'!$B:$U,MATCH($A10,'SALA 2002'!$A:$A,0),MATCH(P$1,'SALA 2002'!$B$1:$U$1,0)),IF($A10&lt;=2000,1000*INDEX('SALA 2002'!$B:$U,MATCH($A10,'SALA 2002'!$A:$A,0),MATCH(P$1,'SALA 2002'!$B$1:$U$1,0))*POWER(INDEX('WPP 2024 середина года'!$B:$U,MATCH($A10,'WPP 2024 середина года'!$A:$A,0),MATCH(P$1,'WPP 2024 середина года'!$B$1:$U$1,0))/(1000*INDEX('SALA 2002'!$B:$U,MATCH($A10,'SALA 2002'!$A:$A,0),MATCH(P$1,'SALA 2002'!$B$1:$U$1,0))),($A10-1994)/7),INDEX('WPP 2024 середина года'!$B:$U,MATCH($A10,'WPP 2024 середина года'!$A:$A,0),MATCH(P$1,'WPP 2024 середина года'!$B$1:$U$1,0)))))</f>
        <v>524</v>
      </c>
      <c r="Q10" s="7">
        <f>IF($A10&lt;=1951,INDEX('SALA 1974'!$B:$U,MATCH($A10,'SALA 1974'!$A:$A,0),MATCH(Q$1,'SALA 1974'!$B$1:$U$1,0)),IF($A10&lt;=1994,1000*INDEX('SALA 2002'!$B:$U,MATCH($A10,'SALA 2002'!$A:$A,0),MATCH(Q$1,'SALA 2002'!$B$1:$U$1,0)),IF($A10&lt;=2000,1000*INDEX('SALA 2002'!$B:$U,MATCH($A10,'SALA 2002'!$A:$A,0),MATCH(Q$1,'SALA 2002'!$B$1:$U$1,0))*POWER(INDEX('WPP 2024 середина года'!$B:$U,MATCH($A10,'WPP 2024 середина года'!$A:$A,0),MATCH(Q$1,'WPP 2024 середина года'!$B$1:$U$1,0))/(1000*INDEX('SALA 2002'!$B:$U,MATCH($A10,'SALA 2002'!$A:$A,0),MATCH(Q$1,'SALA 2002'!$B$1:$U$1,0))),($A10-1994)/7),INDEX('WPP 2024 середина года'!$B:$U,MATCH($A10,'WPP 2024 середина года'!$A:$A,0),MATCH(Q$1,'WPP 2024 середина года'!$B$1:$U$1,0)))))</f>
        <v>318</v>
      </c>
      <c r="R10" s="7">
        <f>IF($A10&lt;=1951,INDEX('SALA 1974'!$B:$U,MATCH($A10,'SALA 1974'!$A:$A,0),MATCH(R$1,'SALA 1974'!$B$1:$U$1,0)),IF($A10&lt;=1994,1000*INDEX('SALA 2002'!$B:$U,MATCH($A10,'SALA 2002'!$A:$A,0),MATCH(R$1,'SALA 2002'!$B$1:$U$1,0)),IF($A10&lt;=2000,1000*INDEX('SALA 2002'!$B:$U,MATCH($A10,'SALA 2002'!$A:$A,0),MATCH(R$1,'SALA 2002'!$B$1:$U$1,0))*POWER(INDEX('WPP 2024 середина года'!$B:$U,MATCH($A10,'WPP 2024 середина года'!$A:$A,0),MATCH(R$1,'WPP 2024 середина года'!$B$1:$U$1,0))/(1000*INDEX('SALA 2002'!$B:$U,MATCH($A10,'SALA 2002'!$A:$A,0),MATCH(R$1,'SALA 2002'!$B$1:$U$1,0))),($A10-1994)/7),INDEX('WPP 2024 середина года'!$B:$U,MATCH($A10,'WPP 2024 середина года'!$A:$A,0),MATCH(R$1,'WPP 2024 середина года'!$B$1:$U$1,0)))))</f>
        <v>600</v>
      </c>
      <c r="S10" s="7">
        <f>IF($A10&lt;=1951,INDEX('SALA 1974'!$B:$U,MATCH($A10,'SALA 1974'!$A:$A,0),MATCH(S$1,'SALA 1974'!$B$1:$U$1,0)),IF($A10&lt;=1994,1000*INDEX('SALA 2002'!$B:$U,MATCH($A10,'SALA 2002'!$A:$A,0),MATCH(S$1,'SALA 2002'!$B$1:$U$1,0)),IF($A10&lt;=2000,1000*INDEX('SALA 2002'!$B:$U,MATCH($A10,'SALA 2002'!$A:$A,0),MATCH(S$1,'SALA 2002'!$B$1:$U$1,0))*POWER(INDEX('WPP 2024 середина года'!$B:$U,MATCH($A10,'WPP 2024 середина года'!$A:$A,0),MATCH(S$1,'WPP 2024 середина года'!$B$1:$U$1,0))/(1000*INDEX('SALA 2002'!$B:$U,MATCH($A10,'SALA 2002'!$A:$A,0),MATCH(S$1,'SALA 2002'!$B$1:$U$1,0))),($A10-1994)/7),INDEX('WPP 2024 середина года'!$B:$U,MATCH($A10,'WPP 2024 середина года'!$A:$A,0),MATCH(S$1,'WPP 2024 середина года'!$B$1:$U$1,0)))))</f>
        <v>3800</v>
      </c>
      <c r="T10" s="7">
        <f>IF($A10&lt;=1951,INDEX('SALA 1974'!$B:$U,MATCH($A10,'SALA 1974'!$A:$A,0),MATCH(T$1,'SALA 1974'!$B$1:$U$1,0)),IF($A10&lt;=1994,1000*INDEX('SALA 2002'!$B:$U,MATCH($A10,'SALA 2002'!$A:$A,0),MATCH(T$1,'SALA 2002'!$B$1:$U$1,0)),IF($A10&lt;=2000,1000*INDEX('SALA 2002'!$B:$U,MATCH($A10,'SALA 2002'!$A:$A,0),MATCH(T$1,'SALA 2002'!$B$1:$U$1,0))*POWER(INDEX('WPP 2024 середина года'!$B:$U,MATCH($A10,'WPP 2024 середина года'!$A:$A,0),MATCH(T$1,'WPP 2024 середина года'!$B$1:$U$1,0))/(1000*INDEX('SALA 2002'!$B:$U,MATCH($A10,'SALA 2002'!$A:$A,0),MATCH(T$1,'SALA 2002'!$B$1:$U$1,0))),($A10-1994)/7),INDEX('WPP 2024 середина года'!$B:$U,MATCH($A10,'WPP 2024 середина года'!$A:$A,0),MATCH(T$1,'WPP 2024 середина года'!$B$1:$U$1,0)))))</f>
        <v>1054</v>
      </c>
      <c r="U10" s="7">
        <f>IF($A10&lt;=1951,INDEX('SALA 1974'!$B:$U,MATCH($A10,'SALA 1974'!$A:$A,0),MATCH(U$1,'SALA 1974'!$B$1:$U$1,0)),IF($A10&lt;=1994,1000*INDEX('SALA 2002'!$B:$U,MATCH($A10,'SALA 2002'!$A:$A,0),MATCH(U$1,'SALA 2002'!$B$1:$U$1,0)),IF($A10&lt;=2000,1000*INDEX('SALA 2002'!$B:$U,MATCH($A10,'SALA 2002'!$A:$A,0),MATCH(U$1,'SALA 2002'!$B$1:$U$1,0))*POWER(INDEX('WPP 2024 середина года'!$B:$U,MATCH($A10,'WPP 2024 середина года'!$A:$A,0),MATCH(U$1,'WPP 2024 середина года'!$B$1:$U$1,0))/(1000*INDEX('SALA 2002'!$B:$U,MATCH($A10,'SALA 2002'!$A:$A,0),MATCH(U$1,'SALA 2002'!$B$1:$U$1,0))),($A10-1994)/7),INDEX('WPP 2024 середина года'!$B:$U,MATCH($A10,'WPP 2024 середина года'!$A:$A,0),MATCH(U$1,'WPP 2024 середина года'!$B$1:$U$1,0)))))</f>
        <v>2554</v>
      </c>
    </row>
    <row r="11" spans="1:21" x14ac:dyDescent="0.25">
      <c r="A11" s="5">
        <f t="shared" si="0"/>
        <v>1909</v>
      </c>
      <c r="B11" s="7">
        <f>IF($A11&lt;=1951,INDEX('SALA 1974'!$B:$U,MATCH($A11,'SALA 1974'!$A:$A,0),MATCH(B$1,'SALA 1974'!$B$1:$U$1,0)),IF($A11&lt;=1994,1000*INDEX('SALA 2002'!$B:$U,MATCH($A11,'SALA 2002'!$A:$A,0),MATCH(B$1,'SALA 2002'!$B$1:$U$1,0)),IF($A11&lt;=2000,1000*INDEX('SALA 2002'!$B:$U,MATCH($A11,'SALA 2002'!$A:$A,0),MATCH(B$1,'SALA 2002'!$B$1:$U$1,0))*POWER(INDEX('WPP 2024 середина года'!$B:$U,MATCH($A11,'WPP 2024 середина года'!$A:$A,0),MATCH(B$1,'WPP 2024 середина года'!$B$1:$U$1,0))/(1000*INDEX('SALA 2002'!$B:$U,MATCH($A11,'SALA 2002'!$A:$A,0),MATCH(B$1,'SALA 2002'!$B$1:$U$1,0))),($A11-1994)/7),INDEX('WPP 2024 середина года'!$B:$U,MATCH($A11,'WPP 2024 середина года'!$A:$A,0),MATCH(B$1,'WPP 2024 середина года'!$B$1:$U$1,0)))))</f>
        <v>6432</v>
      </c>
      <c r="C11" s="7">
        <f>IF($A11&lt;=1951,INDEX('SALA 1974'!$B:$U,MATCH($A11,'SALA 1974'!$A:$A,0),MATCH(C$1,'SALA 1974'!$B$1:$U$1,0)),IF($A11&lt;=1994,1000*INDEX('SALA 2002'!$B:$U,MATCH($A11,'SALA 2002'!$A:$A,0),MATCH(C$1,'SALA 2002'!$B$1:$U$1,0)),IF($A11&lt;=2000,1000*INDEX('SALA 2002'!$B:$U,MATCH($A11,'SALA 2002'!$A:$A,0),MATCH(C$1,'SALA 2002'!$B$1:$U$1,0))*POWER(INDEX('WPP 2024 середина года'!$B:$U,MATCH($A11,'WPP 2024 середина года'!$A:$A,0),MATCH(C$1,'WPP 2024 середина года'!$B$1:$U$1,0))/(1000*INDEX('SALA 2002'!$B:$U,MATCH($A11,'SALA 2002'!$A:$A,0),MATCH(C$1,'SALA 2002'!$B$1:$U$1,0))),($A11-1994)/7),INDEX('WPP 2024 середина года'!$B:$U,MATCH($A11,'WPP 2024 середина года'!$A:$A,0),MATCH(C$1,'WPP 2024 середина года'!$B$1:$U$1,0)))))</f>
        <v>1933</v>
      </c>
      <c r="D11" s="7">
        <f>IF($A11&lt;=1951,INDEX('SALA 1974'!$B:$U,MATCH($A11,'SALA 1974'!$A:$A,0),MATCH(D$1,'SALA 1974'!$B$1:$U$1,0)),IF($A11&lt;=1994,1000*INDEX('SALA 2002'!$B:$U,MATCH($A11,'SALA 2002'!$A:$A,0),MATCH(D$1,'SALA 2002'!$B$1:$U$1,0)),IF($A11&lt;=2000,1000*INDEX('SALA 2002'!$B:$U,MATCH($A11,'SALA 2002'!$A:$A,0),MATCH(D$1,'SALA 2002'!$B$1:$U$1,0))*POWER(INDEX('WPP 2024 середина года'!$B:$U,MATCH($A11,'WPP 2024 середина года'!$A:$A,0),MATCH(D$1,'WPP 2024 середина года'!$B$1:$U$1,0))/(1000*INDEX('SALA 2002'!$B:$U,MATCH($A11,'SALA 2002'!$A:$A,0),MATCH(D$1,'SALA 2002'!$B$1:$U$1,0))),($A11-1994)/7),INDEX('WPP 2024 середина года'!$B:$U,MATCH($A11,'WPP 2024 середина года'!$A:$A,0),MATCH(D$1,'WPP 2024 середина года'!$B$1:$U$1,0)))))</f>
        <v>21754</v>
      </c>
      <c r="E11" s="7">
        <f>IF($A11&lt;=1951,INDEX('SALA 1974'!$B:$U,MATCH($A11,'SALA 1974'!$A:$A,0),MATCH(E$1,'SALA 1974'!$B$1:$U$1,0)),IF($A11&lt;=1994,1000*INDEX('SALA 2002'!$B:$U,MATCH($A11,'SALA 2002'!$A:$A,0),MATCH(E$1,'SALA 2002'!$B$1:$U$1,0)),IF($A11&lt;=2000,1000*INDEX('SALA 2002'!$B:$U,MATCH($A11,'SALA 2002'!$A:$A,0),MATCH(E$1,'SALA 2002'!$B$1:$U$1,0))*POWER(INDEX('WPP 2024 середина года'!$B:$U,MATCH($A11,'WPP 2024 середина года'!$A:$A,0),MATCH(E$1,'WPP 2024 середина года'!$B$1:$U$1,0))/(1000*INDEX('SALA 2002'!$B:$U,MATCH($A11,'SALA 2002'!$A:$A,0),MATCH(E$1,'SALA 2002'!$B$1:$U$1,0))),($A11-1994)/7),INDEX('WPP 2024 середина года'!$B:$U,MATCH($A11,'WPP 2024 середина года'!$A:$A,0),MATCH(E$1,'WPP 2024 середина года'!$B$1:$U$1,0)))))</f>
        <v>3294</v>
      </c>
      <c r="F11" s="7">
        <f>IF($A11&lt;=1947,INDEX('SALA 1974'!$B:$U,MATCH($A11,'SALA 1974'!$A:$A,0),MATCH(F$1,'SALA 1974'!$B$1:$U$1,0)),IF($A11&lt;=1994,1000*INDEX('SALA 2002'!$B:$U,MATCH($A11,'SALA 2002'!$A:$A,0),MATCH(F$1,'SALA 2002'!$B$1:$U$1,0)),IF($A11&lt;=2000,1000*INDEX('SALA 2002'!$B:$U,MATCH($A11,'SALA 2002'!$A:$A,0),MATCH(F$1,'SALA 2002'!$B$1:$U$1,0))*POWER(INDEX('WPP 2024 середина года'!$B:$U,MATCH($A11,'WPP 2024 середина года'!$A:$A,0),MATCH(F$1,'WPP 2024 середина года'!$B$1:$U$1,0))/(1000*INDEX('SALA 2002'!$B:$U,MATCH($A11,'SALA 2002'!$A:$A,0),MATCH(F$1,'SALA 2002'!$B$1:$U$1,0))),($A11-1994)/7),INDEX('WPP 2024 середина года'!$B:$U,MATCH($A11,'WPP 2024 середина года'!$A:$A,0),MATCH(F$1,'WPP 2024 середина года'!$B$1:$U$1,0)))))</f>
        <v>4674</v>
      </c>
      <c r="G11" s="7">
        <f>IF($A11&lt;=1951,INDEX('SALA 1974'!$B:$U,MATCH($A11,'SALA 1974'!$A:$A,0),MATCH(G$1,'SALA 1974'!$B$1:$U$1,0)),IF($A11&lt;=1994,1000*INDEX('SALA 2002'!$B:$U,MATCH($A11,'SALA 2002'!$A:$A,0),MATCH(G$1,'SALA 2002'!$B$1:$U$1,0)),IF($A11&lt;=2000,1000*INDEX('SALA 2002'!$B:$U,MATCH($A11,'SALA 2002'!$A:$A,0),MATCH(G$1,'SALA 2002'!$B$1:$U$1,0))*POWER(INDEX('WPP 2024 середина года'!$B:$U,MATCH($A11,'WPP 2024 середина года'!$A:$A,0),MATCH(G$1,'WPP 2024 середина года'!$B$1:$U$1,0))/(1000*INDEX('SALA 2002'!$B:$U,MATCH($A11,'SALA 2002'!$A:$A,0),MATCH(G$1,'SALA 2002'!$B$1:$U$1,0))),($A11-1994)/7),INDEX('WPP 2024 середина года'!$B:$U,MATCH($A11,'WPP 2024 середина года'!$A:$A,0),MATCH(G$1,'WPP 2024 середина года'!$B$1:$U$1,0)))))</f>
        <v>358</v>
      </c>
      <c r="H11" s="7">
        <f>IF($A11&lt;=1951,INDEX('SALA 1974'!$B:$U,MATCH($A11,'SALA 1974'!$A:$A,0),MATCH(H$1,'SALA 1974'!$B$1:$U$1,0)),IF($A11&lt;=1994,1000*INDEX('SALA 2002'!$B:$U,MATCH($A11,'SALA 2002'!$A:$A,0),MATCH(H$1,'SALA 2002'!$B$1:$U$1,0)),IF($A11&lt;=2000,1000*INDEX('SALA 2002'!$B:$U,MATCH($A11,'SALA 2002'!$A:$A,0),MATCH(H$1,'SALA 2002'!$B$1:$U$1,0))*POWER(INDEX('WPP 2024 середина года'!$B:$U,MATCH($A11,'WPP 2024 середина года'!$A:$A,0),MATCH(H$1,'WPP 2024 середина года'!$B$1:$U$1,0))/(1000*INDEX('SALA 2002'!$B:$U,MATCH($A11,'SALA 2002'!$A:$A,0),MATCH(H$1,'SALA 2002'!$B$1:$U$1,0))),($A11-1994)/7),INDEX('WPP 2024 середина года'!$B:$U,MATCH($A11,'WPP 2024 середина года'!$A:$A,0),MATCH(H$1,'WPP 2024 середина года'!$B$1:$U$1,0)))))</f>
        <v>2154</v>
      </c>
      <c r="I11" s="7">
        <f>IF($A11&lt;=1951,INDEX('SALA 1974'!$B:$U,MATCH($A11,'SALA 1974'!$A:$A,0),MATCH(I$1,'SALA 1974'!$B$1:$U$1,0)),IF($A11&lt;=1994,1000*INDEX('SALA 2002'!$B:$U,MATCH($A11,'SALA 2002'!$A:$A,0),MATCH(I$1,'SALA 2002'!$B$1:$U$1,0)),IF($A11&lt;=2000,1000*INDEX('SALA 2002'!$B:$U,MATCH($A11,'SALA 2002'!$A:$A,0),MATCH(I$1,'SALA 2002'!$B$1:$U$1,0))*POWER(INDEX('WPP 2024 середина года'!$B:$U,MATCH($A11,'WPP 2024 середина года'!$A:$A,0),MATCH(I$1,'WPP 2024 середина года'!$B$1:$U$1,0))/(1000*INDEX('SALA 2002'!$B:$U,MATCH($A11,'SALA 2002'!$A:$A,0),MATCH(I$1,'SALA 2002'!$B$1:$U$1,0))),($A11-1994)/7),INDEX('WPP 2024 середина года'!$B:$U,MATCH($A11,'WPP 2024 середина года'!$A:$A,0),MATCH(I$1,'WPP 2024 середина года'!$B$1:$U$1,0)))))</f>
        <v>726</v>
      </c>
      <c r="J11" s="7">
        <f>IF($A11&lt;=1951,INDEX('SALA 1974'!$B:$U,MATCH($A11,'SALA 1974'!$A:$A,0),MATCH(J$1,'SALA 1974'!$B$1:$U$1,0)),IF($A11&lt;=1994,1000*INDEX('SALA 2002'!$B:$U,MATCH($A11,'SALA 2002'!$A:$A,0),MATCH(J$1,'SALA 2002'!$B$1:$U$1,0)),IF($A11&lt;=2000,1000*INDEX('SALA 2002'!$B:$U,MATCH($A11,'SALA 2002'!$A:$A,0),MATCH(J$1,'SALA 2002'!$B$1:$U$1,0))*POWER(INDEX('WPP 2024 середина года'!$B:$U,MATCH($A11,'WPP 2024 середина года'!$A:$A,0),MATCH(J$1,'WPP 2024 середина года'!$B$1:$U$1,0))/(1000*INDEX('SALA 2002'!$B:$U,MATCH($A11,'SALA 2002'!$A:$A,0),MATCH(J$1,'SALA 2002'!$B$1:$U$1,0))),($A11-1994)/7),INDEX('WPP 2024 середина года'!$B:$U,MATCH($A11,'WPP 2024 середина года'!$A:$A,0),MATCH(J$1,'WPP 2024 середина года'!$B$1:$U$1,0)))))</f>
        <v>1408</v>
      </c>
      <c r="K11" s="7">
        <f>IF($A11&lt;=1951,INDEX('SALA 1974'!$B:$U,MATCH($A11,'SALA 1974'!$A:$A,0),MATCH(K$1,'SALA 1974'!$B$1:$U$1,0)),IF($A11&lt;=1994,1000*INDEX('SALA 2002'!$B:$U,MATCH($A11,'SALA 2002'!$A:$A,0),MATCH(K$1,'SALA 2002'!$B$1:$U$1,0)),IF($A11&lt;=2000,1000*INDEX('SALA 2002'!$B:$U,MATCH($A11,'SALA 2002'!$A:$A,0),MATCH(K$1,'SALA 2002'!$B$1:$U$1,0))*POWER(INDEX('WPP 2024 середина года'!$B:$U,MATCH($A11,'WPP 2024 середина года'!$A:$A,0),MATCH(K$1,'WPP 2024 середина года'!$B$1:$U$1,0))/(1000*INDEX('SALA 2002'!$B:$U,MATCH($A11,'SALA 2002'!$A:$A,0),MATCH(K$1,'SALA 2002'!$B$1:$U$1,0))),($A11-1994)/7),INDEX('WPP 2024 середина года'!$B:$U,MATCH($A11,'WPP 2024 середина года'!$A:$A,0),MATCH(K$1,'WPP 2024 середина года'!$B$1:$U$1,0)))))</f>
        <v>966</v>
      </c>
      <c r="L11" s="7">
        <f>IF($A11&lt;=1951,INDEX('SALA 1974'!$B:$U,MATCH($A11,'SALA 1974'!$A:$A,0),MATCH(L$1,'SALA 1974'!$B$1:$U$1,0)),IF($A11&lt;=1994,1000*INDEX('SALA 2002'!$B:$U,MATCH($A11,'SALA 2002'!$A:$A,0),MATCH(L$1,'SALA 2002'!$B$1:$U$1,0)),IF($A11&lt;=2000,1000*INDEX('SALA 2002'!$B:$U,MATCH($A11,'SALA 2002'!$A:$A,0),MATCH(L$1,'SALA 2002'!$B$1:$U$1,0))*POWER(INDEX('WPP 2024 середина года'!$B:$U,MATCH($A11,'WPP 2024 середина года'!$A:$A,0),MATCH(L$1,'WPP 2024 середина года'!$B$1:$U$1,0))/(1000*INDEX('SALA 2002'!$B:$U,MATCH($A11,'SALA 2002'!$A:$A,0),MATCH(L$1,'SALA 2002'!$B$1:$U$1,0))),($A11-1994)/7),INDEX('WPP 2024 середина года'!$B:$U,MATCH($A11,'WPP 2024 середина года'!$A:$A,0),MATCH(L$1,'WPP 2024 середина года'!$B$1:$U$1,0)))))</f>
        <v>1079</v>
      </c>
      <c r="M11" s="7">
        <f>IF($A11&lt;=1951,INDEX('SALA 1974'!$B:$U,MATCH($A11,'SALA 1974'!$A:$A,0),MATCH(M$1,'SALA 1974'!$B$1:$U$1,0)),IF($A11&lt;=1994,1000*INDEX('SALA 2002'!$B:$U,MATCH($A11,'SALA 2002'!$A:$A,0),MATCH(M$1,'SALA 2002'!$B$1:$U$1,0)),IF($A11&lt;=2000,1000*INDEX('SALA 2002'!$B:$U,MATCH($A11,'SALA 2002'!$A:$A,0),MATCH(M$1,'SALA 2002'!$B$1:$U$1,0))*POWER(INDEX('WPP 2024 середина года'!$B:$U,MATCH($A11,'WPP 2024 середина года'!$A:$A,0),MATCH(M$1,'WPP 2024 середина года'!$B$1:$U$1,0))/(1000*INDEX('SALA 2002'!$B:$U,MATCH($A11,'SALA 2002'!$A:$A,0),MATCH(M$1,'SALA 2002'!$B$1:$U$1,0))),($A11-1994)/7),INDEX('WPP 2024 середина года'!$B:$U,MATCH($A11,'WPP 2024 середина года'!$A:$A,0),MATCH(M$1,'WPP 2024 середина года'!$B$1:$U$1,0)))))</f>
        <v>1643</v>
      </c>
      <c r="N11" s="7">
        <f>IF($A11&lt;=1951,INDEX('SALA 1974'!$B:$U,MATCH($A11,'SALA 1974'!$A:$A,0),MATCH(N$1,'SALA 1974'!$B$1:$U$1,0)),IF($A11&lt;=1994,1000*INDEX('SALA 2002'!$B:$U,MATCH($A11,'SALA 2002'!$A:$A,0),MATCH(N$1,'SALA 2002'!$B$1:$U$1,0)),IF($A11&lt;=2000,1000*INDEX('SALA 2002'!$B:$U,MATCH($A11,'SALA 2002'!$A:$A,0),MATCH(N$1,'SALA 2002'!$B$1:$U$1,0))*POWER(INDEX('WPP 2024 середина года'!$B:$U,MATCH($A11,'WPP 2024 середина года'!$A:$A,0),MATCH(N$1,'WPP 2024 середина года'!$B$1:$U$1,0))/(1000*INDEX('SALA 2002'!$B:$U,MATCH($A11,'SALA 2002'!$A:$A,0),MATCH(N$1,'SALA 2002'!$B$1:$U$1,0))),($A11-1994)/7),INDEX('WPP 2024 середина года'!$B:$U,MATCH($A11,'WPP 2024 середина года'!$A:$A,0),MATCH(N$1,'WPP 2024 середина года'!$B$1:$U$1,0)))))</f>
        <v>542</v>
      </c>
      <c r="O11" s="7">
        <f>IF($A11&lt;=1951,INDEX('SALA 1974'!$B:$U,MATCH($A11,'SALA 1974'!$A:$A,0),MATCH(O$1,'SALA 1974'!$B$1:$U$1,0)),IF($A11&lt;=1994,1000*INDEX('SALA 2002'!$B:$U,MATCH($A11,'SALA 2002'!$A:$A,0),MATCH(O$1,'SALA 2002'!$B$1:$U$1,0)),IF($A11&lt;=2000,1000*INDEX('SALA 2002'!$B:$U,MATCH($A11,'SALA 2002'!$A:$A,0),MATCH(O$1,'SALA 2002'!$B$1:$U$1,0))*POWER(INDEX('WPP 2024 середина года'!$B:$U,MATCH($A11,'WPP 2024 середина года'!$A:$A,0),MATCH(O$1,'WPP 2024 середина года'!$B$1:$U$1,0))/(1000*INDEX('SALA 2002'!$B:$U,MATCH($A11,'SALA 2002'!$A:$A,0),MATCH(O$1,'SALA 2002'!$B$1:$U$1,0))),($A11-1994)/7),INDEX('WPP 2024 середина года'!$B:$U,MATCH($A11,'WPP 2024 середина года'!$A:$A,0),MATCH(O$1,'WPP 2024 середина года'!$B$1:$U$1,0)))))</f>
        <v>14997</v>
      </c>
      <c r="P11" s="7">
        <f>IF($A11&lt;=1951,INDEX('SALA 1974'!$B:$U,MATCH($A11,'SALA 1974'!$A:$A,0),MATCH(P$1,'SALA 1974'!$B$1:$U$1,0)),IF($A11&lt;=1994,1000*INDEX('SALA 2002'!$B:$U,MATCH($A11,'SALA 2002'!$A:$A,0),MATCH(P$1,'SALA 2002'!$B$1:$U$1,0)),IF($A11&lt;=2000,1000*INDEX('SALA 2002'!$B:$U,MATCH($A11,'SALA 2002'!$A:$A,0),MATCH(P$1,'SALA 2002'!$B$1:$U$1,0))*POWER(INDEX('WPP 2024 середина года'!$B:$U,MATCH($A11,'WPP 2024 середина года'!$A:$A,0),MATCH(P$1,'WPP 2024 середина года'!$B$1:$U$1,0))/(1000*INDEX('SALA 2002'!$B:$U,MATCH($A11,'SALA 2002'!$A:$A,0),MATCH(P$1,'SALA 2002'!$B$1:$U$1,0))),($A11-1994)/7),INDEX('WPP 2024 середина года'!$B:$U,MATCH($A11,'WPP 2024 середина года'!$A:$A,0),MATCH(P$1,'WPP 2024 середина года'!$B$1:$U$1,0)))))</f>
        <v>534</v>
      </c>
      <c r="Q11" s="7">
        <f>IF($A11&lt;=1951,INDEX('SALA 1974'!$B:$U,MATCH($A11,'SALA 1974'!$A:$A,0),MATCH(Q$1,'SALA 1974'!$B$1:$U$1,0)),IF($A11&lt;=1994,1000*INDEX('SALA 2002'!$B:$U,MATCH($A11,'SALA 2002'!$A:$A,0),MATCH(Q$1,'SALA 2002'!$B$1:$U$1,0)),IF($A11&lt;=2000,1000*INDEX('SALA 2002'!$B:$U,MATCH($A11,'SALA 2002'!$A:$A,0),MATCH(Q$1,'SALA 2002'!$B$1:$U$1,0))*POWER(INDEX('WPP 2024 середина года'!$B:$U,MATCH($A11,'WPP 2024 середина года'!$A:$A,0),MATCH(Q$1,'WPP 2024 середина года'!$B$1:$U$1,0))/(1000*INDEX('SALA 2002'!$B:$U,MATCH($A11,'SALA 2002'!$A:$A,0),MATCH(Q$1,'SALA 2002'!$B$1:$U$1,0))),($A11-1994)/7),INDEX('WPP 2024 середина года'!$B:$U,MATCH($A11,'WPP 2024 середина года'!$A:$A,0),MATCH(Q$1,'WPP 2024 середина года'!$B$1:$U$1,0)))))</f>
        <v>325</v>
      </c>
      <c r="R11" s="7">
        <f>IF($A11&lt;=1951,INDEX('SALA 1974'!$B:$U,MATCH($A11,'SALA 1974'!$A:$A,0),MATCH(R$1,'SALA 1974'!$B$1:$U$1,0)),IF($A11&lt;=1994,1000*INDEX('SALA 2002'!$B:$U,MATCH($A11,'SALA 2002'!$A:$A,0),MATCH(R$1,'SALA 2002'!$B$1:$U$1,0)),IF($A11&lt;=2000,1000*INDEX('SALA 2002'!$B:$U,MATCH($A11,'SALA 2002'!$A:$A,0),MATCH(R$1,'SALA 2002'!$B$1:$U$1,0))*POWER(INDEX('WPP 2024 середина года'!$B:$U,MATCH($A11,'WPP 2024 середина года'!$A:$A,0),MATCH(R$1,'WPP 2024 середина года'!$B$1:$U$1,0))/(1000*INDEX('SALA 2002'!$B:$U,MATCH($A11,'SALA 2002'!$A:$A,0),MATCH(R$1,'SALA 2002'!$B$1:$U$1,0))),($A11-1994)/7),INDEX('WPP 2024 середина года'!$B:$U,MATCH($A11,'WPP 2024 середина года'!$A:$A,0),MATCH(R$1,'WPP 2024 середина года'!$B$1:$U$1,0)))))</f>
        <v>610</v>
      </c>
      <c r="S11" s="7">
        <f>IF($A11&lt;=1951,INDEX('SALA 1974'!$B:$U,MATCH($A11,'SALA 1974'!$A:$A,0),MATCH(S$1,'SALA 1974'!$B$1:$U$1,0)),IF($A11&lt;=1994,1000*INDEX('SALA 2002'!$B:$U,MATCH($A11,'SALA 2002'!$A:$A,0),MATCH(S$1,'SALA 2002'!$B$1:$U$1,0)),IF($A11&lt;=2000,1000*INDEX('SALA 2002'!$B:$U,MATCH($A11,'SALA 2002'!$A:$A,0),MATCH(S$1,'SALA 2002'!$B$1:$U$1,0))*POWER(INDEX('WPP 2024 середина года'!$B:$U,MATCH($A11,'WPP 2024 середина года'!$A:$A,0),MATCH(S$1,'WPP 2024 середина года'!$B$1:$U$1,0))/(1000*INDEX('SALA 2002'!$B:$U,MATCH($A11,'SALA 2002'!$A:$A,0),MATCH(S$1,'SALA 2002'!$B$1:$U$1,0))),($A11-1994)/7),INDEX('WPP 2024 середина года'!$B:$U,MATCH($A11,'WPP 2024 середина года'!$A:$A,0),MATCH(S$1,'WPP 2024 середина года'!$B$1:$U$1,0)))))</f>
        <v>3900</v>
      </c>
      <c r="T11" s="7">
        <f>IF($A11&lt;=1951,INDEX('SALA 1974'!$B:$U,MATCH($A11,'SALA 1974'!$A:$A,0),MATCH(T$1,'SALA 1974'!$B$1:$U$1,0)),IF($A11&lt;=1994,1000*INDEX('SALA 2002'!$B:$U,MATCH($A11,'SALA 2002'!$A:$A,0),MATCH(T$1,'SALA 2002'!$B$1:$U$1,0)),IF($A11&lt;=2000,1000*INDEX('SALA 2002'!$B:$U,MATCH($A11,'SALA 2002'!$A:$A,0),MATCH(T$1,'SALA 2002'!$B$1:$U$1,0))*POWER(INDEX('WPP 2024 середина года'!$B:$U,MATCH($A11,'WPP 2024 середина года'!$A:$A,0),MATCH(T$1,'WPP 2024 середина года'!$B$1:$U$1,0))/(1000*INDEX('SALA 2002'!$B:$U,MATCH($A11,'SALA 2002'!$A:$A,0),MATCH(T$1,'SALA 2002'!$B$1:$U$1,0))),($A11-1994)/7),INDEX('WPP 2024 середина года'!$B:$U,MATCH($A11,'WPP 2024 середина года'!$A:$A,0),MATCH(T$1,'WPP 2024 середина года'!$B$1:$U$1,0)))))</f>
        <v>1095</v>
      </c>
      <c r="U11" s="7">
        <f>IF($A11&lt;=1951,INDEX('SALA 1974'!$B:$U,MATCH($A11,'SALA 1974'!$A:$A,0),MATCH(U$1,'SALA 1974'!$B$1:$U$1,0)),IF($A11&lt;=1994,1000*INDEX('SALA 2002'!$B:$U,MATCH($A11,'SALA 2002'!$A:$A,0),MATCH(U$1,'SALA 2002'!$B$1:$U$1,0)),IF($A11&lt;=2000,1000*INDEX('SALA 2002'!$B:$U,MATCH($A11,'SALA 2002'!$A:$A,0),MATCH(U$1,'SALA 2002'!$B$1:$U$1,0))*POWER(INDEX('WPP 2024 середина года'!$B:$U,MATCH($A11,'WPP 2024 середина года'!$A:$A,0),MATCH(U$1,'WPP 2024 середина года'!$B$1:$U$1,0))/(1000*INDEX('SALA 2002'!$B:$U,MATCH($A11,'SALA 2002'!$A:$A,0),MATCH(U$1,'SALA 2002'!$B$1:$U$1,0))),($A11-1994)/7),INDEX('WPP 2024 середина года'!$B:$U,MATCH($A11,'WPP 2024 середина года'!$A:$A,0),MATCH(U$1,'WPP 2024 середина года'!$B$1:$U$1,0)))))</f>
        <v>2575</v>
      </c>
    </row>
    <row r="12" spans="1:21" x14ac:dyDescent="0.25">
      <c r="A12" s="5">
        <f t="shared" si="0"/>
        <v>1910</v>
      </c>
      <c r="B12" s="7">
        <f>IF($A12&lt;=1951,INDEX('SALA 1974'!$B:$U,MATCH($A12,'SALA 1974'!$A:$A,0),MATCH(B$1,'SALA 1974'!$B$1:$U$1,0)),IF($A12&lt;=1994,1000*INDEX('SALA 2002'!$B:$U,MATCH($A12,'SALA 2002'!$A:$A,0),MATCH(B$1,'SALA 2002'!$B$1:$U$1,0)),IF($A12&lt;=2000,1000*INDEX('SALA 2002'!$B:$U,MATCH($A12,'SALA 2002'!$A:$A,0),MATCH(B$1,'SALA 2002'!$B$1:$U$1,0))*POWER(INDEX('WPP 2024 середина года'!$B:$U,MATCH($A12,'WPP 2024 середина года'!$A:$A,0),MATCH(B$1,'WPP 2024 середина года'!$B$1:$U$1,0))/(1000*INDEX('SALA 2002'!$B:$U,MATCH($A12,'SALA 2002'!$A:$A,0),MATCH(B$1,'SALA 2002'!$B$1:$U$1,0))),($A12-1994)/7),INDEX('WPP 2024 середина года'!$B:$U,MATCH($A12,'WPP 2024 середина года'!$A:$A,0),MATCH(B$1,'WPP 2024 середина года'!$B$1:$U$1,0)))))</f>
        <v>6799</v>
      </c>
      <c r="C12" s="7">
        <f>IF($A12&lt;=1951,INDEX('SALA 1974'!$B:$U,MATCH($A12,'SALA 1974'!$A:$A,0),MATCH(C$1,'SALA 1974'!$B$1:$U$1,0)),IF($A12&lt;=1994,1000*INDEX('SALA 2002'!$B:$U,MATCH($A12,'SALA 2002'!$A:$A,0),MATCH(C$1,'SALA 2002'!$B$1:$U$1,0)),IF($A12&lt;=2000,1000*INDEX('SALA 2002'!$B:$U,MATCH($A12,'SALA 2002'!$A:$A,0),MATCH(C$1,'SALA 2002'!$B$1:$U$1,0))*POWER(INDEX('WPP 2024 середина года'!$B:$U,MATCH($A12,'WPP 2024 середина года'!$A:$A,0),MATCH(C$1,'WPP 2024 середина года'!$B$1:$U$1,0))/(1000*INDEX('SALA 2002'!$B:$U,MATCH($A12,'SALA 2002'!$A:$A,0),MATCH(C$1,'SALA 2002'!$B$1:$U$1,0))),($A12-1994)/7),INDEX('WPP 2024 середина года'!$B:$U,MATCH($A12,'WPP 2024 середина года'!$A:$A,0),MATCH(C$1,'WPP 2024 середина года'!$B$1:$U$1,0)))))</f>
        <v>1951</v>
      </c>
      <c r="D12" s="7">
        <f>IF($A12&lt;=1951,INDEX('SALA 1974'!$B:$U,MATCH($A12,'SALA 1974'!$A:$A,0),MATCH(D$1,'SALA 1974'!$B$1:$U$1,0)),IF($A12&lt;=1994,1000*INDEX('SALA 2002'!$B:$U,MATCH($A12,'SALA 2002'!$A:$A,0),MATCH(D$1,'SALA 2002'!$B$1:$U$1,0)),IF($A12&lt;=2000,1000*INDEX('SALA 2002'!$B:$U,MATCH($A12,'SALA 2002'!$A:$A,0),MATCH(D$1,'SALA 2002'!$B$1:$U$1,0))*POWER(INDEX('WPP 2024 середина года'!$B:$U,MATCH($A12,'WPP 2024 середина года'!$A:$A,0),MATCH(D$1,'WPP 2024 середина года'!$B$1:$U$1,0))/(1000*INDEX('SALA 2002'!$B:$U,MATCH($A12,'SALA 2002'!$A:$A,0),MATCH(D$1,'SALA 2002'!$B$1:$U$1,0))),($A12-1994)/7),INDEX('WPP 2024 середина года'!$B:$U,MATCH($A12,'WPP 2024 середина года'!$A:$A,0),MATCH(D$1,'WPP 2024 середина года'!$B$1:$U$1,0)))))</f>
        <v>22216</v>
      </c>
      <c r="E12" s="7">
        <f>IF($A12&lt;=1951,INDEX('SALA 1974'!$B:$U,MATCH($A12,'SALA 1974'!$A:$A,0),MATCH(E$1,'SALA 1974'!$B$1:$U$1,0)),IF($A12&lt;=1994,1000*INDEX('SALA 2002'!$B:$U,MATCH($A12,'SALA 2002'!$A:$A,0),MATCH(E$1,'SALA 2002'!$B$1:$U$1,0)),IF($A12&lt;=2000,1000*INDEX('SALA 2002'!$B:$U,MATCH($A12,'SALA 2002'!$A:$A,0),MATCH(E$1,'SALA 2002'!$B$1:$U$1,0))*POWER(INDEX('WPP 2024 середина года'!$B:$U,MATCH($A12,'WPP 2024 середина года'!$A:$A,0),MATCH(E$1,'WPP 2024 середина года'!$B$1:$U$1,0))/(1000*INDEX('SALA 2002'!$B:$U,MATCH($A12,'SALA 2002'!$A:$A,0),MATCH(E$1,'SALA 2002'!$B$1:$U$1,0))),($A12-1994)/7),INDEX('WPP 2024 середина года'!$B:$U,MATCH($A12,'WPP 2024 середина года'!$A:$A,0),MATCH(E$1,'WPP 2024 середина года'!$B$1:$U$1,0)))))</f>
        <v>3336</v>
      </c>
      <c r="F12" s="7">
        <f>IF($A12&lt;=1947,INDEX('SALA 1974'!$B:$U,MATCH($A12,'SALA 1974'!$A:$A,0),MATCH(F$1,'SALA 1974'!$B$1:$U$1,0)),IF($A12&lt;=1994,1000*INDEX('SALA 2002'!$B:$U,MATCH($A12,'SALA 2002'!$A:$A,0),MATCH(F$1,'SALA 2002'!$B$1:$U$1,0)),IF($A12&lt;=2000,1000*INDEX('SALA 2002'!$B:$U,MATCH($A12,'SALA 2002'!$A:$A,0),MATCH(F$1,'SALA 2002'!$B$1:$U$1,0))*POWER(INDEX('WPP 2024 середина года'!$B:$U,MATCH($A12,'WPP 2024 середина года'!$A:$A,0),MATCH(F$1,'WPP 2024 середина года'!$B$1:$U$1,0))/(1000*INDEX('SALA 2002'!$B:$U,MATCH($A12,'SALA 2002'!$A:$A,0),MATCH(F$1,'SALA 2002'!$B$1:$U$1,0))),($A12-1994)/7),INDEX('WPP 2024 середина года'!$B:$U,MATCH($A12,'WPP 2024 середина года'!$A:$A,0),MATCH(F$1,'WPP 2024 середина года'!$B$1:$U$1,0)))))</f>
        <v>4807</v>
      </c>
      <c r="G12" s="7">
        <f>IF($A12&lt;=1951,INDEX('SALA 1974'!$B:$U,MATCH($A12,'SALA 1974'!$A:$A,0),MATCH(G$1,'SALA 1974'!$B$1:$U$1,0)),IF($A12&lt;=1994,1000*INDEX('SALA 2002'!$B:$U,MATCH($A12,'SALA 2002'!$A:$A,0),MATCH(G$1,'SALA 2002'!$B$1:$U$1,0)),IF($A12&lt;=2000,1000*INDEX('SALA 2002'!$B:$U,MATCH($A12,'SALA 2002'!$A:$A,0),MATCH(G$1,'SALA 2002'!$B$1:$U$1,0))*POWER(INDEX('WPP 2024 середина года'!$B:$U,MATCH($A12,'WPP 2024 середина года'!$A:$A,0),MATCH(G$1,'WPP 2024 середина года'!$B$1:$U$1,0))/(1000*INDEX('SALA 2002'!$B:$U,MATCH($A12,'SALA 2002'!$A:$A,0),MATCH(G$1,'SALA 2002'!$B$1:$U$1,0))),($A12-1994)/7),INDEX('WPP 2024 середина года'!$B:$U,MATCH($A12,'WPP 2024 середина года'!$A:$A,0),MATCH(G$1,'WPP 2024 середина года'!$B$1:$U$1,0)))))</f>
        <v>364</v>
      </c>
      <c r="H12" s="7">
        <f>IF($A12&lt;=1951,INDEX('SALA 1974'!$B:$U,MATCH($A12,'SALA 1974'!$A:$A,0),MATCH(H$1,'SALA 1974'!$B$1:$U$1,0)),IF($A12&lt;=1994,1000*INDEX('SALA 2002'!$B:$U,MATCH($A12,'SALA 2002'!$A:$A,0),MATCH(H$1,'SALA 2002'!$B$1:$U$1,0)),IF($A12&lt;=2000,1000*INDEX('SALA 2002'!$B:$U,MATCH($A12,'SALA 2002'!$A:$A,0),MATCH(H$1,'SALA 2002'!$B$1:$U$1,0))*POWER(INDEX('WPP 2024 середина года'!$B:$U,MATCH($A12,'WPP 2024 середина года'!$A:$A,0),MATCH(H$1,'WPP 2024 середина года'!$B$1:$U$1,0))/(1000*INDEX('SALA 2002'!$B:$U,MATCH($A12,'SALA 2002'!$A:$A,0),MATCH(H$1,'SALA 2002'!$B$1:$U$1,0))),($A12-1994)/7),INDEX('WPP 2024 середина года'!$B:$U,MATCH($A12,'WPP 2024 середина года'!$A:$A,0),MATCH(H$1,'WPP 2024 середина года'!$B$1:$U$1,0)))))</f>
        <v>2219</v>
      </c>
      <c r="I12" s="7">
        <f>IF($A12&lt;=1951,INDEX('SALA 1974'!$B:$U,MATCH($A12,'SALA 1974'!$A:$A,0),MATCH(I$1,'SALA 1974'!$B$1:$U$1,0)),IF($A12&lt;=1994,1000*INDEX('SALA 2002'!$B:$U,MATCH($A12,'SALA 2002'!$A:$A,0),MATCH(I$1,'SALA 2002'!$B$1:$U$1,0)),IF($A12&lt;=2000,1000*INDEX('SALA 2002'!$B:$U,MATCH($A12,'SALA 2002'!$A:$A,0),MATCH(I$1,'SALA 2002'!$B$1:$U$1,0))*POWER(INDEX('WPP 2024 середина года'!$B:$U,MATCH($A12,'WPP 2024 середина года'!$A:$A,0),MATCH(I$1,'WPP 2024 середина года'!$B$1:$U$1,0))/(1000*INDEX('SALA 2002'!$B:$U,MATCH($A12,'SALA 2002'!$A:$A,0),MATCH(I$1,'SALA 2002'!$B$1:$U$1,0))),($A12-1994)/7),INDEX('WPP 2024 середина года'!$B:$U,MATCH($A12,'WPP 2024 середина года'!$A:$A,0),MATCH(I$1,'WPP 2024 середина года'!$B$1:$U$1,0)))))</f>
        <v>740</v>
      </c>
      <c r="J12" s="7">
        <f>IF($A12&lt;=1951,INDEX('SALA 1974'!$B:$U,MATCH($A12,'SALA 1974'!$A:$A,0),MATCH(J$1,'SALA 1974'!$B$1:$U$1,0)),IF($A12&lt;=1994,1000*INDEX('SALA 2002'!$B:$U,MATCH($A12,'SALA 2002'!$A:$A,0),MATCH(J$1,'SALA 2002'!$B$1:$U$1,0)),IF($A12&lt;=2000,1000*INDEX('SALA 2002'!$B:$U,MATCH($A12,'SALA 2002'!$A:$A,0),MATCH(J$1,'SALA 2002'!$B$1:$U$1,0))*POWER(INDEX('WPP 2024 середина года'!$B:$U,MATCH($A12,'WPP 2024 середина года'!$A:$A,0),MATCH(J$1,'WPP 2024 середина года'!$B$1:$U$1,0))/(1000*INDEX('SALA 2002'!$B:$U,MATCH($A12,'SALA 2002'!$A:$A,0),MATCH(J$1,'SALA 2002'!$B$1:$U$1,0))),($A12-1994)/7),INDEX('WPP 2024 середина года'!$B:$U,MATCH($A12,'WPP 2024 середина года'!$A:$A,0),MATCH(J$1,'WPP 2024 середина года'!$B$1:$U$1,0)))))</f>
        <v>1421</v>
      </c>
      <c r="K12" s="7">
        <f>IF($A12&lt;=1951,INDEX('SALA 1974'!$B:$U,MATCH($A12,'SALA 1974'!$A:$A,0),MATCH(K$1,'SALA 1974'!$B$1:$U$1,0)),IF($A12&lt;=1994,1000*INDEX('SALA 2002'!$B:$U,MATCH($A12,'SALA 2002'!$A:$A,0),MATCH(K$1,'SALA 2002'!$B$1:$U$1,0)),IF($A12&lt;=2000,1000*INDEX('SALA 2002'!$B:$U,MATCH($A12,'SALA 2002'!$A:$A,0),MATCH(K$1,'SALA 2002'!$B$1:$U$1,0))*POWER(INDEX('WPP 2024 середина года'!$B:$U,MATCH($A12,'WPP 2024 середина года'!$A:$A,0),MATCH(K$1,'WPP 2024 середина года'!$B$1:$U$1,0))/(1000*INDEX('SALA 2002'!$B:$U,MATCH($A12,'SALA 2002'!$A:$A,0),MATCH(K$1,'SALA 2002'!$B$1:$U$1,0))),($A12-1994)/7),INDEX('WPP 2024 середина года'!$B:$U,MATCH($A12,'WPP 2024 середина года'!$A:$A,0),MATCH(K$1,'WPP 2024 середина года'!$B$1:$U$1,0)))))</f>
        <v>985</v>
      </c>
      <c r="L12" s="7">
        <f>IF($A12&lt;=1951,INDEX('SALA 1974'!$B:$U,MATCH($A12,'SALA 1974'!$A:$A,0),MATCH(L$1,'SALA 1974'!$B$1:$U$1,0)),IF($A12&lt;=1994,1000*INDEX('SALA 2002'!$B:$U,MATCH($A12,'SALA 2002'!$A:$A,0),MATCH(L$1,'SALA 2002'!$B$1:$U$1,0)),IF($A12&lt;=2000,1000*INDEX('SALA 2002'!$B:$U,MATCH($A12,'SALA 2002'!$A:$A,0),MATCH(L$1,'SALA 2002'!$B$1:$U$1,0))*POWER(INDEX('WPP 2024 середина года'!$B:$U,MATCH($A12,'WPP 2024 середина года'!$A:$A,0),MATCH(L$1,'WPP 2024 середина года'!$B$1:$U$1,0))/(1000*INDEX('SALA 2002'!$B:$U,MATCH($A12,'SALA 2002'!$A:$A,0),MATCH(L$1,'SALA 2002'!$B$1:$U$1,0))),($A12-1994)/7),INDEX('WPP 2024 середина года'!$B:$U,MATCH($A12,'WPP 2024 середина года'!$A:$A,0),MATCH(L$1,'WPP 2024 середина года'!$B$1:$U$1,0)))))</f>
        <v>1096</v>
      </c>
      <c r="M12" s="7">
        <f>IF($A12&lt;=1951,INDEX('SALA 1974'!$B:$U,MATCH($A12,'SALA 1974'!$A:$A,0),MATCH(M$1,'SALA 1974'!$B$1:$U$1,0)),IF($A12&lt;=1994,1000*INDEX('SALA 2002'!$B:$U,MATCH($A12,'SALA 2002'!$A:$A,0),MATCH(M$1,'SALA 2002'!$B$1:$U$1,0)),IF($A12&lt;=2000,1000*INDEX('SALA 2002'!$B:$U,MATCH($A12,'SALA 2002'!$A:$A,0),MATCH(M$1,'SALA 2002'!$B$1:$U$1,0))*POWER(INDEX('WPP 2024 середина года'!$B:$U,MATCH($A12,'WPP 2024 середина года'!$A:$A,0),MATCH(M$1,'WPP 2024 середина года'!$B$1:$U$1,0))/(1000*INDEX('SALA 2002'!$B:$U,MATCH($A12,'SALA 2002'!$A:$A,0),MATCH(M$1,'SALA 2002'!$B$1:$U$1,0))),($A12-1994)/7),INDEX('WPP 2024 середина года'!$B:$U,MATCH($A12,'WPP 2024 середина года'!$A:$A,0),MATCH(M$1,'WPP 2024 середина года'!$B$1:$U$1,0)))))</f>
        <v>1687</v>
      </c>
      <c r="N12" s="7">
        <f>IF($A12&lt;=1951,INDEX('SALA 1974'!$B:$U,MATCH($A12,'SALA 1974'!$A:$A,0),MATCH(N$1,'SALA 1974'!$B$1:$U$1,0)),IF($A12&lt;=1994,1000*INDEX('SALA 2002'!$B:$U,MATCH($A12,'SALA 2002'!$A:$A,0),MATCH(N$1,'SALA 2002'!$B$1:$U$1,0)),IF($A12&lt;=2000,1000*INDEX('SALA 2002'!$B:$U,MATCH($A12,'SALA 2002'!$A:$A,0),MATCH(N$1,'SALA 2002'!$B$1:$U$1,0))*POWER(INDEX('WPP 2024 середина года'!$B:$U,MATCH($A12,'WPP 2024 середина года'!$A:$A,0),MATCH(N$1,'WPP 2024 середина года'!$B$1:$U$1,0))/(1000*INDEX('SALA 2002'!$B:$U,MATCH($A12,'SALA 2002'!$A:$A,0),MATCH(N$1,'SALA 2002'!$B$1:$U$1,0))),($A12-1994)/7),INDEX('WPP 2024 середина года'!$B:$U,MATCH($A12,'WPP 2024 середина года'!$A:$A,0),MATCH(N$1,'WPP 2024 середина года'!$B$1:$U$1,0)))))</f>
        <v>553</v>
      </c>
      <c r="O12" s="7">
        <f>IF($A12&lt;=1951,INDEX('SALA 1974'!$B:$U,MATCH($A12,'SALA 1974'!$A:$A,0),MATCH(O$1,'SALA 1974'!$B$1:$U$1,0)),IF($A12&lt;=1994,1000*INDEX('SALA 2002'!$B:$U,MATCH($A12,'SALA 2002'!$A:$A,0),MATCH(O$1,'SALA 2002'!$B$1:$U$1,0)),IF($A12&lt;=2000,1000*INDEX('SALA 2002'!$B:$U,MATCH($A12,'SALA 2002'!$A:$A,0),MATCH(O$1,'SALA 2002'!$B$1:$U$1,0))*POWER(INDEX('WPP 2024 середина года'!$B:$U,MATCH($A12,'WPP 2024 середина года'!$A:$A,0),MATCH(O$1,'WPP 2024 середина года'!$B$1:$U$1,0))/(1000*INDEX('SALA 2002'!$B:$U,MATCH($A12,'SALA 2002'!$A:$A,0),MATCH(O$1,'SALA 2002'!$B$1:$U$1,0))),($A12-1994)/7),INDEX('WPP 2024 середина года'!$B:$U,MATCH($A12,'WPP 2024 середина года'!$A:$A,0),MATCH(O$1,'WPP 2024 середина года'!$B$1:$U$1,0)))))</f>
        <v>15160</v>
      </c>
      <c r="P12" s="7">
        <f>IF($A12&lt;=1951,INDEX('SALA 1974'!$B:$U,MATCH($A12,'SALA 1974'!$A:$A,0),MATCH(P$1,'SALA 1974'!$B$1:$U$1,0)),IF($A12&lt;=1994,1000*INDEX('SALA 2002'!$B:$U,MATCH($A12,'SALA 2002'!$A:$A,0),MATCH(P$1,'SALA 2002'!$B$1:$U$1,0)),IF($A12&lt;=2000,1000*INDEX('SALA 2002'!$B:$U,MATCH($A12,'SALA 2002'!$A:$A,0),MATCH(P$1,'SALA 2002'!$B$1:$U$1,0))*POWER(INDEX('WPP 2024 середина года'!$B:$U,MATCH($A12,'WPP 2024 середина года'!$A:$A,0),MATCH(P$1,'WPP 2024 середина года'!$B$1:$U$1,0))/(1000*INDEX('SALA 2002'!$B:$U,MATCH($A12,'SALA 2002'!$A:$A,0),MATCH(P$1,'SALA 2002'!$B$1:$U$1,0))),($A12-1994)/7),INDEX('WPP 2024 середина года'!$B:$U,MATCH($A12,'WPP 2024 середина года'!$A:$A,0),MATCH(P$1,'WPP 2024 середина года'!$B$1:$U$1,0)))))</f>
        <v>543</v>
      </c>
      <c r="Q12" s="7">
        <f>IF($A12&lt;=1951,INDEX('SALA 1974'!$B:$U,MATCH($A12,'SALA 1974'!$A:$A,0),MATCH(Q$1,'SALA 1974'!$B$1:$U$1,0)),IF($A12&lt;=1994,1000*INDEX('SALA 2002'!$B:$U,MATCH($A12,'SALA 2002'!$A:$A,0),MATCH(Q$1,'SALA 2002'!$B$1:$U$1,0)),IF($A12&lt;=2000,1000*INDEX('SALA 2002'!$B:$U,MATCH($A12,'SALA 2002'!$A:$A,0),MATCH(Q$1,'SALA 2002'!$B$1:$U$1,0))*POWER(INDEX('WPP 2024 середина года'!$B:$U,MATCH($A12,'WPP 2024 середина года'!$A:$A,0),MATCH(Q$1,'WPP 2024 середина года'!$B$1:$U$1,0))/(1000*INDEX('SALA 2002'!$B:$U,MATCH($A12,'SALA 2002'!$A:$A,0),MATCH(Q$1,'SALA 2002'!$B$1:$U$1,0))),($A12-1994)/7),INDEX('WPP 2024 середина года'!$B:$U,MATCH($A12,'WPP 2024 середина года'!$A:$A,0),MATCH(Q$1,'WPP 2024 середина года'!$B$1:$U$1,0)))))</f>
        <v>332</v>
      </c>
      <c r="R12" s="7">
        <f>IF($A12&lt;=1951,INDEX('SALA 1974'!$B:$U,MATCH($A12,'SALA 1974'!$A:$A,0),MATCH(R$1,'SALA 1974'!$B$1:$U$1,0)),IF($A12&lt;=1994,1000*INDEX('SALA 2002'!$B:$U,MATCH($A12,'SALA 2002'!$A:$A,0),MATCH(R$1,'SALA 2002'!$B$1:$U$1,0)),IF($A12&lt;=2000,1000*INDEX('SALA 2002'!$B:$U,MATCH($A12,'SALA 2002'!$A:$A,0),MATCH(R$1,'SALA 2002'!$B$1:$U$1,0))*POWER(INDEX('WPP 2024 середина года'!$B:$U,MATCH($A12,'WPP 2024 середина года'!$A:$A,0),MATCH(R$1,'WPP 2024 середина года'!$B$1:$U$1,0))/(1000*INDEX('SALA 2002'!$B:$U,MATCH($A12,'SALA 2002'!$A:$A,0),MATCH(R$1,'SALA 2002'!$B$1:$U$1,0))),($A12-1994)/7),INDEX('WPP 2024 середина года'!$B:$U,MATCH($A12,'WPP 2024 середина года'!$A:$A,0),MATCH(R$1,'WPP 2024 середина года'!$B$1:$U$1,0)))))</f>
        <v>620</v>
      </c>
      <c r="S12" s="7">
        <f>IF($A12&lt;=1951,INDEX('SALA 1974'!$B:$U,MATCH($A12,'SALA 1974'!$A:$A,0),MATCH(S$1,'SALA 1974'!$B$1:$U$1,0)),IF($A12&lt;=1994,1000*INDEX('SALA 2002'!$B:$U,MATCH($A12,'SALA 2002'!$A:$A,0),MATCH(S$1,'SALA 2002'!$B$1:$U$1,0)),IF($A12&lt;=2000,1000*INDEX('SALA 2002'!$B:$U,MATCH($A12,'SALA 2002'!$A:$A,0),MATCH(S$1,'SALA 2002'!$B$1:$U$1,0))*POWER(INDEX('WPP 2024 середина года'!$B:$U,MATCH($A12,'WPP 2024 середина года'!$A:$A,0),MATCH(S$1,'WPP 2024 середина года'!$B$1:$U$1,0))/(1000*INDEX('SALA 2002'!$B:$U,MATCH($A12,'SALA 2002'!$A:$A,0),MATCH(S$1,'SALA 2002'!$B$1:$U$1,0))),($A12-1994)/7),INDEX('WPP 2024 середина года'!$B:$U,MATCH($A12,'WPP 2024 середина года'!$A:$A,0),MATCH(S$1,'WPP 2024 середина года'!$B$1:$U$1,0)))))</f>
        <v>4000</v>
      </c>
      <c r="T12" s="7">
        <f>IF($A12&lt;=1951,INDEX('SALA 1974'!$B:$U,MATCH($A12,'SALA 1974'!$A:$A,0),MATCH(T$1,'SALA 1974'!$B$1:$U$1,0)),IF($A12&lt;=1994,1000*INDEX('SALA 2002'!$B:$U,MATCH($A12,'SALA 2002'!$A:$A,0),MATCH(T$1,'SALA 2002'!$B$1:$U$1,0)),IF($A12&lt;=2000,1000*INDEX('SALA 2002'!$B:$U,MATCH($A12,'SALA 2002'!$A:$A,0),MATCH(T$1,'SALA 2002'!$B$1:$U$1,0))*POWER(INDEX('WPP 2024 середина года'!$B:$U,MATCH($A12,'WPP 2024 середина года'!$A:$A,0),MATCH(T$1,'WPP 2024 середина года'!$B$1:$U$1,0))/(1000*INDEX('SALA 2002'!$B:$U,MATCH($A12,'SALA 2002'!$A:$A,0),MATCH(T$1,'SALA 2002'!$B$1:$U$1,0))),($A12-1994)/7),INDEX('WPP 2024 середина года'!$B:$U,MATCH($A12,'WPP 2024 середина года'!$A:$A,0),MATCH(T$1,'WPP 2024 середина года'!$B$1:$U$1,0)))))</f>
        <v>1132</v>
      </c>
      <c r="U12" s="7">
        <f>IF($A12&lt;=1951,INDEX('SALA 1974'!$B:$U,MATCH($A12,'SALA 1974'!$A:$A,0),MATCH(U$1,'SALA 1974'!$B$1:$U$1,0)),IF($A12&lt;=1994,1000*INDEX('SALA 2002'!$B:$U,MATCH($A12,'SALA 2002'!$A:$A,0),MATCH(U$1,'SALA 2002'!$B$1:$U$1,0)),IF($A12&lt;=2000,1000*INDEX('SALA 2002'!$B:$U,MATCH($A12,'SALA 2002'!$A:$A,0),MATCH(U$1,'SALA 2002'!$B$1:$U$1,0))*POWER(INDEX('WPP 2024 середина года'!$B:$U,MATCH($A12,'WPP 2024 середина года'!$A:$A,0),MATCH(U$1,'WPP 2024 середина года'!$B$1:$U$1,0))/(1000*INDEX('SALA 2002'!$B:$U,MATCH($A12,'SALA 2002'!$A:$A,0),MATCH(U$1,'SALA 2002'!$B$1:$U$1,0))),($A12-1994)/7),INDEX('WPP 2024 середина года'!$B:$U,MATCH($A12,'WPP 2024 середина года'!$A:$A,0),MATCH(U$1,'WPP 2024 середина года'!$B$1:$U$1,0)))))</f>
        <v>2596</v>
      </c>
    </row>
    <row r="13" spans="1:21" x14ac:dyDescent="0.25">
      <c r="A13" s="5">
        <f t="shared" si="0"/>
        <v>1911</v>
      </c>
      <c r="B13" s="7">
        <f>IF($A13&lt;=1951,INDEX('SALA 1974'!$B:$U,MATCH($A13,'SALA 1974'!$A:$A,0),MATCH(B$1,'SALA 1974'!$B$1:$U$1,0)),IF($A13&lt;=1994,1000*INDEX('SALA 2002'!$B:$U,MATCH($A13,'SALA 2002'!$A:$A,0),MATCH(B$1,'SALA 2002'!$B$1:$U$1,0)),IF($A13&lt;=2000,1000*INDEX('SALA 2002'!$B:$U,MATCH($A13,'SALA 2002'!$A:$A,0),MATCH(B$1,'SALA 2002'!$B$1:$U$1,0))*POWER(INDEX('WPP 2024 середина года'!$B:$U,MATCH($A13,'WPP 2024 середина года'!$A:$A,0),MATCH(B$1,'WPP 2024 середина года'!$B$1:$U$1,0))/(1000*INDEX('SALA 2002'!$B:$U,MATCH($A13,'SALA 2002'!$A:$A,0),MATCH(B$1,'SALA 2002'!$B$1:$U$1,0))),($A13-1994)/7),INDEX('WPP 2024 середина года'!$B:$U,MATCH($A13,'WPP 2024 середина года'!$A:$A,0),MATCH(B$1,'WPP 2024 середина года'!$B$1:$U$1,0)))))</f>
        <v>7070</v>
      </c>
      <c r="C13" s="7">
        <f>IF($A13&lt;=1951,INDEX('SALA 1974'!$B:$U,MATCH($A13,'SALA 1974'!$A:$A,0),MATCH(C$1,'SALA 1974'!$B$1:$U$1,0)),IF($A13&lt;=1994,1000*INDEX('SALA 2002'!$B:$U,MATCH($A13,'SALA 2002'!$A:$A,0),MATCH(C$1,'SALA 2002'!$B$1:$U$1,0)),IF($A13&lt;=2000,1000*INDEX('SALA 2002'!$B:$U,MATCH($A13,'SALA 2002'!$A:$A,0),MATCH(C$1,'SALA 2002'!$B$1:$U$1,0))*POWER(INDEX('WPP 2024 середина года'!$B:$U,MATCH($A13,'WPP 2024 середина года'!$A:$A,0),MATCH(C$1,'WPP 2024 середина года'!$B$1:$U$1,0))/(1000*INDEX('SALA 2002'!$B:$U,MATCH($A13,'SALA 2002'!$A:$A,0),MATCH(C$1,'SALA 2002'!$B$1:$U$1,0))),($A13-1994)/7),INDEX('WPP 2024 середина года'!$B:$U,MATCH($A13,'WPP 2024 середина года'!$A:$A,0),MATCH(C$1,'WPP 2024 середина года'!$B$1:$U$1,0)))))</f>
        <v>1970</v>
      </c>
      <c r="D13" s="7">
        <f>IF($A13&lt;=1951,INDEX('SALA 1974'!$B:$U,MATCH($A13,'SALA 1974'!$A:$A,0),MATCH(D$1,'SALA 1974'!$B$1:$U$1,0)),IF($A13&lt;=1994,1000*INDEX('SALA 2002'!$B:$U,MATCH($A13,'SALA 2002'!$A:$A,0),MATCH(D$1,'SALA 2002'!$B$1:$U$1,0)),IF($A13&lt;=2000,1000*INDEX('SALA 2002'!$B:$U,MATCH($A13,'SALA 2002'!$A:$A,0),MATCH(D$1,'SALA 2002'!$B$1:$U$1,0))*POWER(INDEX('WPP 2024 середина года'!$B:$U,MATCH($A13,'WPP 2024 середина года'!$A:$A,0),MATCH(D$1,'WPP 2024 середина года'!$B$1:$U$1,0))/(1000*INDEX('SALA 2002'!$B:$U,MATCH($A13,'SALA 2002'!$A:$A,0),MATCH(D$1,'SALA 2002'!$B$1:$U$1,0))),($A13-1994)/7),INDEX('WPP 2024 середина года'!$B:$U,MATCH($A13,'WPP 2024 середина года'!$A:$A,0),MATCH(D$1,'WPP 2024 середина года'!$B$1:$U$1,0)))))</f>
        <v>22687</v>
      </c>
      <c r="E13" s="7">
        <f>IF($A13&lt;=1951,INDEX('SALA 1974'!$B:$U,MATCH($A13,'SALA 1974'!$A:$A,0),MATCH(E$1,'SALA 1974'!$B$1:$U$1,0)),IF($A13&lt;=1994,1000*INDEX('SALA 2002'!$B:$U,MATCH($A13,'SALA 2002'!$A:$A,0),MATCH(E$1,'SALA 2002'!$B$1:$U$1,0)),IF($A13&lt;=2000,1000*INDEX('SALA 2002'!$B:$U,MATCH($A13,'SALA 2002'!$A:$A,0),MATCH(E$1,'SALA 2002'!$B$1:$U$1,0))*POWER(INDEX('WPP 2024 середина года'!$B:$U,MATCH($A13,'WPP 2024 середина года'!$A:$A,0),MATCH(E$1,'WPP 2024 середина года'!$B$1:$U$1,0))/(1000*INDEX('SALA 2002'!$B:$U,MATCH($A13,'SALA 2002'!$A:$A,0),MATCH(E$1,'SALA 2002'!$B$1:$U$1,0))),($A13-1994)/7),INDEX('WPP 2024 середина года'!$B:$U,MATCH($A13,'WPP 2024 середина года'!$A:$A,0),MATCH(E$1,'WPP 2024 середина года'!$B$1:$U$1,0)))))</f>
        <v>3378</v>
      </c>
      <c r="F13" s="7">
        <f>IF($A13&lt;=1947,INDEX('SALA 1974'!$B:$U,MATCH($A13,'SALA 1974'!$A:$A,0),MATCH(F$1,'SALA 1974'!$B$1:$U$1,0)),IF($A13&lt;=1994,1000*INDEX('SALA 2002'!$B:$U,MATCH($A13,'SALA 2002'!$A:$A,0),MATCH(F$1,'SALA 2002'!$B$1:$U$1,0)),IF($A13&lt;=2000,1000*INDEX('SALA 2002'!$B:$U,MATCH($A13,'SALA 2002'!$A:$A,0),MATCH(F$1,'SALA 2002'!$B$1:$U$1,0))*POWER(INDEX('WPP 2024 середина года'!$B:$U,MATCH($A13,'WPP 2024 середина года'!$A:$A,0),MATCH(F$1,'WPP 2024 середина года'!$B$1:$U$1,0))/(1000*INDEX('SALA 2002'!$B:$U,MATCH($A13,'SALA 2002'!$A:$A,0),MATCH(F$1,'SALA 2002'!$B$1:$U$1,0))),($A13-1994)/7),INDEX('WPP 2024 середина года'!$B:$U,MATCH($A13,'WPP 2024 середина года'!$A:$A,0),MATCH(F$1,'WPP 2024 середина года'!$B$1:$U$1,0)))))</f>
        <v>4940</v>
      </c>
      <c r="G13" s="7">
        <f>IF($A13&lt;=1951,INDEX('SALA 1974'!$B:$U,MATCH($A13,'SALA 1974'!$A:$A,0),MATCH(G$1,'SALA 1974'!$B$1:$U$1,0)),IF($A13&lt;=1994,1000*INDEX('SALA 2002'!$B:$U,MATCH($A13,'SALA 2002'!$A:$A,0),MATCH(G$1,'SALA 2002'!$B$1:$U$1,0)),IF($A13&lt;=2000,1000*INDEX('SALA 2002'!$B:$U,MATCH($A13,'SALA 2002'!$A:$A,0),MATCH(G$1,'SALA 2002'!$B$1:$U$1,0))*POWER(INDEX('WPP 2024 середина года'!$B:$U,MATCH($A13,'WPP 2024 середина года'!$A:$A,0),MATCH(G$1,'WPP 2024 середина года'!$B$1:$U$1,0))/(1000*INDEX('SALA 2002'!$B:$U,MATCH($A13,'SALA 2002'!$A:$A,0),MATCH(G$1,'SALA 2002'!$B$1:$U$1,0))),($A13-1994)/7),INDEX('WPP 2024 середина года'!$B:$U,MATCH($A13,'WPP 2024 середина года'!$A:$A,0),MATCH(G$1,'WPP 2024 середина года'!$B$1:$U$1,0)))))</f>
        <v>370</v>
      </c>
      <c r="H13" s="7">
        <f>IF($A13&lt;=1951,INDEX('SALA 1974'!$B:$U,MATCH($A13,'SALA 1974'!$A:$A,0),MATCH(H$1,'SALA 1974'!$B$1:$U$1,0)),IF($A13&lt;=1994,1000*INDEX('SALA 2002'!$B:$U,MATCH($A13,'SALA 2002'!$A:$A,0),MATCH(H$1,'SALA 2002'!$B$1:$U$1,0)),IF($A13&lt;=2000,1000*INDEX('SALA 2002'!$B:$U,MATCH($A13,'SALA 2002'!$A:$A,0),MATCH(H$1,'SALA 2002'!$B$1:$U$1,0))*POWER(INDEX('WPP 2024 середина года'!$B:$U,MATCH($A13,'WPP 2024 середина года'!$A:$A,0),MATCH(H$1,'WPP 2024 середина года'!$B$1:$U$1,0))/(1000*INDEX('SALA 2002'!$B:$U,MATCH($A13,'SALA 2002'!$A:$A,0),MATCH(H$1,'SALA 2002'!$B$1:$U$1,0))),($A13-1994)/7),INDEX('WPP 2024 середина года'!$B:$U,MATCH($A13,'WPP 2024 середина года'!$A:$A,0),MATCH(H$1,'WPP 2024 середина года'!$B$1:$U$1,0)))))</f>
        <v>2287</v>
      </c>
      <c r="I13" s="7">
        <f>IF($A13&lt;=1951,INDEX('SALA 1974'!$B:$U,MATCH($A13,'SALA 1974'!$A:$A,0),MATCH(I$1,'SALA 1974'!$B$1:$U$1,0)),IF($A13&lt;=1994,1000*INDEX('SALA 2002'!$B:$U,MATCH($A13,'SALA 2002'!$A:$A,0),MATCH(I$1,'SALA 2002'!$B$1:$U$1,0)),IF($A13&lt;=2000,1000*INDEX('SALA 2002'!$B:$U,MATCH($A13,'SALA 2002'!$A:$A,0),MATCH(I$1,'SALA 2002'!$B$1:$U$1,0))*POWER(INDEX('WPP 2024 середина года'!$B:$U,MATCH($A13,'WPP 2024 середина года'!$A:$A,0),MATCH(I$1,'WPP 2024 середина года'!$B$1:$U$1,0))/(1000*INDEX('SALA 2002'!$B:$U,MATCH($A13,'SALA 2002'!$A:$A,0),MATCH(I$1,'SALA 2002'!$B$1:$U$1,0))),($A13-1994)/7),INDEX('WPP 2024 середина года'!$B:$U,MATCH($A13,'WPP 2024 середина года'!$A:$A,0),MATCH(I$1,'WPP 2024 середина года'!$B$1:$U$1,0)))))</f>
        <v>753</v>
      </c>
      <c r="J13" s="7">
        <f>IF($A13&lt;=1951,INDEX('SALA 1974'!$B:$U,MATCH($A13,'SALA 1974'!$A:$A,0),MATCH(J$1,'SALA 1974'!$B$1:$U$1,0)),IF($A13&lt;=1994,1000*INDEX('SALA 2002'!$B:$U,MATCH($A13,'SALA 2002'!$A:$A,0),MATCH(J$1,'SALA 2002'!$B$1:$U$1,0)),IF($A13&lt;=2000,1000*INDEX('SALA 2002'!$B:$U,MATCH($A13,'SALA 2002'!$A:$A,0),MATCH(J$1,'SALA 2002'!$B$1:$U$1,0))*POWER(INDEX('WPP 2024 середина года'!$B:$U,MATCH($A13,'WPP 2024 середина года'!$A:$A,0),MATCH(J$1,'WPP 2024 середина года'!$B$1:$U$1,0))/(1000*INDEX('SALA 2002'!$B:$U,MATCH($A13,'SALA 2002'!$A:$A,0),MATCH(J$1,'SALA 2002'!$B$1:$U$1,0))),($A13-1994)/7),INDEX('WPP 2024 середина года'!$B:$U,MATCH($A13,'WPP 2024 середина года'!$A:$A,0),MATCH(J$1,'WPP 2024 середина года'!$B$1:$U$1,0)))))</f>
        <v>1433</v>
      </c>
      <c r="K13" s="7">
        <f>IF($A13&lt;=1951,INDEX('SALA 1974'!$B:$U,MATCH($A13,'SALA 1974'!$A:$A,0),MATCH(K$1,'SALA 1974'!$B$1:$U$1,0)),IF($A13&lt;=1994,1000*INDEX('SALA 2002'!$B:$U,MATCH($A13,'SALA 2002'!$A:$A,0),MATCH(K$1,'SALA 2002'!$B$1:$U$1,0)),IF($A13&lt;=2000,1000*INDEX('SALA 2002'!$B:$U,MATCH($A13,'SALA 2002'!$A:$A,0),MATCH(K$1,'SALA 2002'!$B$1:$U$1,0))*POWER(INDEX('WPP 2024 середина года'!$B:$U,MATCH($A13,'WPP 2024 середина года'!$A:$A,0),MATCH(K$1,'WPP 2024 середина года'!$B$1:$U$1,0))/(1000*INDEX('SALA 2002'!$B:$U,MATCH($A13,'SALA 2002'!$A:$A,0),MATCH(K$1,'SALA 2002'!$B$1:$U$1,0))),($A13-1994)/7),INDEX('WPP 2024 середина года'!$B:$U,MATCH($A13,'WPP 2024 середина года'!$A:$A,0),MATCH(K$1,'WPP 2024 середина года'!$B$1:$U$1,0)))))</f>
        <v>1003</v>
      </c>
      <c r="L13" s="7">
        <f>IF($A13&lt;=1951,INDEX('SALA 1974'!$B:$U,MATCH($A13,'SALA 1974'!$A:$A,0),MATCH(L$1,'SALA 1974'!$B$1:$U$1,0)),IF($A13&lt;=1994,1000*INDEX('SALA 2002'!$B:$U,MATCH($A13,'SALA 2002'!$A:$A,0),MATCH(L$1,'SALA 2002'!$B$1:$U$1,0)),IF($A13&lt;=2000,1000*INDEX('SALA 2002'!$B:$U,MATCH($A13,'SALA 2002'!$A:$A,0),MATCH(L$1,'SALA 2002'!$B$1:$U$1,0))*POWER(INDEX('WPP 2024 середина года'!$B:$U,MATCH($A13,'WPP 2024 середина года'!$A:$A,0),MATCH(L$1,'WPP 2024 середина года'!$B$1:$U$1,0))/(1000*INDEX('SALA 2002'!$B:$U,MATCH($A13,'SALA 2002'!$A:$A,0),MATCH(L$1,'SALA 2002'!$B$1:$U$1,0))),($A13-1994)/7),INDEX('WPP 2024 середина года'!$B:$U,MATCH($A13,'WPP 2024 середина года'!$A:$A,0),MATCH(L$1,'WPP 2024 середина года'!$B$1:$U$1,0)))))</f>
        <v>1119</v>
      </c>
      <c r="M13" s="7">
        <f>IF($A13&lt;=1951,INDEX('SALA 1974'!$B:$U,MATCH($A13,'SALA 1974'!$A:$A,0),MATCH(M$1,'SALA 1974'!$B$1:$U$1,0)),IF($A13&lt;=1994,1000*INDEX('SALA 2002'!$B:$U,MATCH($A13,'SALA 2002'!$A:$A,0),MATCH(M$1,'SALA 2002'!$B$1:$U$1,0)),IF($A13&lt;=2000,1000*INDEX('SALA 2002'!$B:$U,MATCH($A13,'SALA 2002'!$A:$A,0),MATCH(M$1,'SALA 2002'!$B$1:$U$1,0))*POWER(INDEX('WPP 2024 середина года'!$B:$U,MATCH($A13,'WPP 2024 середина года'!$A:$A,0),MATCH(M$1,'WPP 2024 середина года'!$B$1:$U$1,0))/(1000*INDEX('SALA 2002'!$B:$U,MATCH($A13,'SALA 2002'!$A:$A,0),MATCH(M$1,'SALA 2002'!$B$1:$U$1,0))),($A13-1994)/7),INDEX('WPP 2024 середина года'!$B:$U,MATCH($A13,'WPP 2024 середина года'!$A:$A,0),MATCH(M$1,'WPP 2024 середина года'!$B$1:$U$1,0)))))</f>
        <v>1730</v>
      </c>
      <c r="N13" s="7">
        <f>IF($A13&lt;=1951,INDEX('SALA 1974'!$B:$U,MATCH($A13,'SALA 1974'!$A:$A,0),MATCH(N$1,'SALA 1974'!$B$1:$U$1,0)),IF($A13&lt;=1994,1000*INDEX('SALA 2002'!$B:$U,MATCH($A13,'SALA 2002'!$A:$A,0),MATCH(N$1,'SALA 2002'!$B$1:$U$1,0)),IF($A13&lt;=2000,1000*INDEX('SALA 2002'!$B:$U,MATCH($A13,'SALA 2002'!$A:$A,0),MATCH(N$1,'SALA 2002'!$B$1:$U$1,0))*POWER(INDEX('WPP 2024 середина года'!$B:$U,MATCH($A13,'WPP 2024 середина года'!$A:$A,0),MATCH(N$1,'WPP 2024 середина года'!$B$1:$U$1,0))/(1000*INDEX('SALA 2002'!$B:$U,MATCH($A13,'SALA 2002'!$A:$A,0),MATCH(N$1,'SALA 2002'!$B$1:$U$1,0))),($A13-1994)/7),INDEX('WPP 2024 середина года'!$B:$U,MATCH($A13,'WPP 2024 середина года'!$A:$A,0),MATCH(N$1,'WPP 2024 середина года'!$B$1:$U$1,0)))))</f>
        <v>562</v>
      </c>
      <c r="O13" s="7">
        <f>IF($A13&lt;=1951,INDEX('SALA 1974'!$B:$U,MATCH($A13,'SALA 1974'!$A:$A,0),MATCH(O$1,'SALA 1974'!$B$1:$U$1,0)),IF($A13&lt;=1994,1000*INDEX('SALA 2002'!$B:$U,MATCH($A13,'SALA 2002'!$A:$A,0),MATCH(O$1,'SALA 2002'!$B$1:$U$1,0)),IF($A13&lt;=2000,1000*INDEX('SALA 2002'!$B:$U,MATCH($A13,'SALA 2002'!$A:$A,0),MATCH(O$1,'SALA 2002'!$B$1:$U$1,0))*POWER(INDEX('WPP 2024 середина года'!$B:$U,MATCH($A13,'WPP 2024 середина года'!$A:$A,0),MATCH(O$1,'WPP 2024 середина года'!$B$1:$U$1,0))/(1000*INDEX('SALA 2002'!$B:$U,MATCH($A13,'SALA 2002'!$A:$A,0),MATCH(O$1,'SALA 2002'!$B$1:$U$1,0))),($A13-1994)/7),INDEX('WPP 2024 середина года'!$B:$U,MATCH($A13,'WPP 2024 середина года'!$A:$A,0),MATCH(O$1,'WPP 2024 середина года'!$B$1:$U$1,0)))))</f>
        <v>15333</v>
      </c>
      <c r="P13" s="7">
        <f>IF($A13&lt;=1951,INDEX('SALA 1974'!$B:$U,MATCH($A13,'SALA 1974'!$A:$A,0),MATCH(P$1,'SALA 1974'!$B$1:$U$1,0)),IF($A13&lt;=1994,1000*INDEX('SALA 2002'!$B:$U,MATCH($A13,'SALA 2002'!$A:$A,0),MATCH(P$1,'SALA 2002'!$B$1:$U$1,0)),IF($A13&lt;=2000,1000*INDEX('SALA 2002'!$B:$U,MATCH($A13,'SALA 2002'!$A:$A,0),MATCH(P$1,'SALA 2002'!$B$1:$U$1,0))*POWER(INDEX('WPP 2024 середина года'!$B:$U,MATCH($A13,'WPP 2024 середина года'!$A:$A,0),MATCH(P$1,'WPP 2024 середина года'!$B$1:$U$1,0))/(1000*INDEX('SALA 2002'!$B:$U,MATCH($A13,'SALA 2002'!$A:$A,0),MATCH(P$1,'SALA 2002'!$B$1:$U$1,0))),($A13-1994)/7),INDEX('WPP 2024 середина года'!$B:$U,MATCH($A13,'WPP 2024 середина года'!$A:$A,0),MATCH(P$1,'WPP 2024 середина года'!$B$1:$U$1,0)))))</f>
        <v>553</v>
      </c>
      <c r="Q13" s="7">
        <f>IF($A13&lt;=1951,INDEX('SALA 1974'!$B:$U,MATCH($A13,'SALA 1974'!$A:$A,0),MATCH(Q$1,'SALA 1974'!$B$1:$U$1,0)),IF($A13&lt;=1994,1000*INDEX('SALA 2002'!$B:$U,MATCH($A13,'SALA 2002'!$A:$A,0),MATCH(Q$1,'SALA 2002'!$B$1:$U$1,0)),IF($A13&lt;=2000,1000*INDEX('SALA 2002'!$B:$U,MATCH($A13,'SALA 2002'!$A:$A,0),MATCH(Q$1,'SALA 2002'!$B$1:$U$1,0))*POWER(INDEX('WPP 2024 середина года'!$B:$U,MATCH($A13,'WPP 2024 середина года'!$A:$A,0),MATCH(Q$1,'WPP 2024 середина года'!$B$1:$U$1,0))/(1000*INDEX('SALA 2002'!$B:$U,MATCH($A13,'SALA 2002'!$A:$A,0),MATCH(Q$1,'SALA 2002'!$B$1:$U$1,0))),($A13-1994)/7),INDEX('WPP 2024 середина года'!$B:$U,MATCH($A13,'WPP 2024 середина года'!$A:$A,0),MATCH(Q$1,'WPP 2024 середина года'!$B$1:$U$1,0)))))</f>
        <v>339</v>
      </c>
      <c r="R13" s="7">
        <f>IF($A13&lt;=1951,INDEX('SALA 1974'!$B:$U,MATCH($A13,'SALA 1974'!$A:$A,0),MATCH(R$1,'SALA 1974'!$B$1:$U$1,0)),IF($A13&lt;=1994,1000*INDEX('SALA 2002'!$B:$U,MATCH($A13,'SALA 2002'!$A:$A,0),MATCH(R$1,'SALA 2002'!$B$1:$U$1,0)),IF($A13&lt;=2000,1000*INDEX('SALA 2002'!$B:$U,MATCH($A13,'SALA 2002'!$A:$A,0),MATCH(R$1,'SALA 2002'!$B$1:$U$1,0))*POWER(INDEX('WPP 2024 середина года'!$B:$U,MATCH($A13,'WPP 2024 середина года'!$A:$A,0),MATCH(R$1,'WPP 2024 середина года'!$B$1:$U$1,0))/(1000*INDEX('SALA 2002'!$B:$U,MATCH($A13,'SALA 2002'!$A:$A,0),MATCH(R$1,'SALA 2002'!$B$1:$U$1,0))),($A13-1994)/7),INDEX('WPP 2024 середина года'!$B:$U,MATCH($A13,'WPP 2024 середина года'!$A:$A,0),MATCH(R$1,'WPP 2024 середина года'!$B$1:$U$1,0)))))</f>
        <v>630</v>
      </c>
      <c r="S13" s="7">
        <f>IF($A13&lt;=1951,INDEX('SALA 1974'!$B:$U,MATCH($A13,'SALA 1974'!$A:$A,0),MATCH(S$1,'SALA 1974'!$B$1:$U$1,0)),IF($A13&lt;=1994,1000*INDEX('SALA 2002'!$B:$U,MATCH($A13,'SALA 2002'!$A:$A,0),MATCH(S$1,'SALA 2002'!$B$1:$U$1,0)),IF($A13&lt;=2000,1000*INDEX('SALA 2002'!$B:$U,MATCH($A13,'SALA 2002'!$A:$A,0),MATCH(S$1,'SALA 2002'!$B$1:$U$1,0))*POWER(INDEX('WPP 2024 середина года'!$B:$U,MATCH($A13,'WPP 2024 середина года'!$A:$A,0),MATCH(S$1,'WPP 2024 середина года'!$B$1:$U$1,0))/(1000*INDEX('SALA 2002'!$B:$U,MATCH($A13,'SALA 2002'!$A:$A,0),MATCH(S$1,'SALA 2002'!$B$1:$U$1,0))),($A13-1994)/7),INDEX('WPP 2024 середина года'!$B:$U,MATCH($A13,'WPP 2024 середина года'!$A:$A,0),MATCH(S$1,'WPP 2024 середина года'!$B$1:$U$1,0)))))</f>
        <v>4100</v>
      </c>
      <c r="T13" s="7">
        <f>IF($A13&lt;=1951,INDEX('SALA 1974'!$B:$U,MATCH($A13,'SALA 1974'!$A:$A,0),MATCH(T$1,'SALA 1974'!$B$1:$U$1,0)),IF($A13&lt;=1994,1000*INDEX('SALA 2002'!$B:$U,MATCH($A13,'SALA 2002'!$A:$A,0),MATCH(T$1,'SALA 2002'!$B$1:$U$1,0)),IF($A13&lt;=2000,1000*INDEX('SALA 2002'!$B:$U,MATCH($A13,'SALA 2002'!$A:$A,0),MATCH(T$1,'SALA 2002'!$B$1:$U$1,0))*POWER(INDEX('WPP 2024 середина года'!$B:$U,MATCH($A13,'WPP 2024 середина года'!$A:$A,0),MATCH(T$1,'WPP 2024 середина года'!$B$1:$U$1,0))/(1000*INDEX('SALA 2002'!$B:$U,MATCH($A13,'SALA 2002'!$A:$A,0),MATCH(T$1,'SALA 2002'!$B$1:$U$1,0))),($A13-1994)/7),INDEX('WPP 2024 середина года'!$B:$U,MATCH($A13,'WPP 2024 середина года'!$A:$A,0),MATCH(T$1,'WPP 2024 середина года'!$B$1:$U$1,0)))))</f>
        <v>1178</v>
      </c>
      <c r="U13" s="7">
        <f>IF($A13&lt;=1951,INDEX('SALA 1974'!$B:$U,MATCH($A13,'SALA 1974'!$A:$A,0),MATCH(U$1,'SALA 1974'!$B$1:$U$1,0)),IF($A13&lt;=1994,1000*INDEX('SALA 2002'!$B:$U,MATCH($A13,'SALA 2002'!$A:$A,0),MATCH(U$1,'SALA 2002'!$B$1:$U$1,0)),IF($A13&lt;=2000,1000*INDEX('SALA 2002'!$B:$U,MATCH($A13,'SALA 2002'!$A:$A,0),MATCH(U$1,'SALA 2002'!$B$1:$U$1,0))*POWER(INDEX('WPP 2024 середина года'!$B:$U,MATCH($A13,'WPP 2024 середина года'!$A:$A,0),MATCH(U$1,'WPP 2024 середина года'!$B$1:$U$1,0))/(1000*INDEX('SALA 2002'!$B:$U,MATCH($A13,'SALA 2002'!$A:$A,0),MATCH(U$1,'SALA 2002'!$B$1:$U$1,0))),($A13-1994)/7),INDEX('WPP 2024 середина года'!$B:$U,MATCH($A13,'WPP 2024 середина года'!$A:$A,0),MATCH(U$1,'WPP 2024 середина года'!$B$1:$U$1,0)))))</f>
        <v>2612</v>
      </c>
    </row>
    <row r="14" spans="1:21" x14ac:dyDescent="0.25">
      <c r="A14" s="5">
        <f t="shared" si="0"/>
        <v>1912</v>
      </c>
      <c r="B14" s="7">
        <f>IF($A14&lt;=1951,INDEX('SALA 1974'!$B:$U,MATCH($A14,'SALA 1974'!$A:$A,0),MATCH(B$1,'SALA 1974'!$B$1:$U$1,0)),IF($A14&lt;=1994,1000*INDEX('SALA 2002'!$B:$U,MATCH($A14,'SALA 2002'!$A:$A,0),MATCH(B$1,'SALA 2002'!$B$1:$U$1,0)),IF($A14&lt;=2000,1000*INDEX('SALA 2002'!$B:$U,MATCH($A14,'SALA 2002'!$A:$A,0),MATCH(B$1,'SALA 2002'!$B$1:$U$1,0))*POWER(INDEX('WPP 2024 середина года'!$B:$U,MATCH($A14,'WPP 2024 середина года'!$A:$A,0),MATCH(B$1,'WPP 2024 середина года'!$B$1:$U$1,0))/(1000*INDEX('SALA 2002'!$B:$U,MATCH($A14,'SALA 2002'!$A:$A,0),MATCH(B$1,'SALA 2002'!$B$1:$U$1,0))),($A14-1994)/7),INDEX('WPP 2024 середина года'!$B:$U,MATCH($A14,'WPP 2024 середина года'!$A:$A,0),MATCH(B$1,'WPP 2024 середина года'!$B$1:$U$1,0)))))</f>
        <v>7467</v>
      </c>
      <c r="C14" s="7">
        <f>IF($A14&lt;=1951,INDEX('SALA 1974'!$B:$U,MATCH($A14,'SALA 1974'!$A:$A,0),MATCH(C$1,'SALA 1974'!$B$1:$U$1,0)),IF($A14&lt;=1994,1000*INDEX('SALA 2002'!$B:$U,MATCH($A14,'SALA 2002'!$A:$A,0),MATCH(C$1,'SALA 2002'!$B$1:$U$1,0)),IF($A14&lt;=2000,1000*INDEX('SALA 2002'!$B:$U,MATCH($A14,'SALA 2002'!$A:$A,0),MATCH(C$1,'SALA 2002'!$B$1:$U$1,0))*POWER(INDEX('WPP 2024 середина года'!$B:$U,MATCH($A14,'WPP 2024 середина года'!$A:$A,0),MATCH(C$1,'WPP 2024 середина года'!$B$1:$U$1,0))/(1000*INDEX('SALA 2002'!$B:$U,MATCH($A14,'SALA 2002'!$A:$A,0),MATCH(C$1,'SALA 2002'!$B$1:$U$1,0))),($A14-1994)/7),INDEX('WPP 2024 середина года'!$B:$U,MATCH($A14,'WPP 2024 середина года'!$A:$A,0),MATCH(C$1,'WPP 2024 середина года'!$B$1:$U$1,0)))))</f>
        <v>1988</v>
      </c>
      <c r="D14" s="7">
        <f>IF($A14&lt;=1951,INDEX('SALA 1974'!$B:$U,MATCH($A14,'SALA 1974'!$A:$A,0),MATCH(D$1,'SALA 1974'!$B$1:$U$1,0)),IF($A14&lt;=1994,1000*INDEX('SALA 2002'!$B:$U,MATCH($A14,'SALA 2002'!$A:$A,0),MATCH(D$1,'SALA 2002'!$B$1:$U$1,0)),IF($A14&lt;=2000,1000*INDEX('SALA 2002'!$B:$U,MATCH($A14,'SALA 2002'!$A:$A,0),MATCH(D$1,'SALA 2002'!$B$1:$U$1,0))*POWER(INDEX('WPP 2024 середина года'!$B:$U,MATCH($A14,'WPP 2024 середина года'!$A:$A,0),MATCH(D$1,'WPP 2024 середина года'!$B$1:$U$1,0))/(1000*INDEX('SALA 2002'!$B:$U,MATCH($A14,'SALA 2002'!$A:$A,0),MATCH(D$1,'SALA 2002'!$B$1:$U$1,0))),($A14-1994)/7),INDEX('WPP 2024 середина года'!$B:$U,MATCH($A14,'WPP 2024 середина года'!$A:$A,0),MATCH(D$1,'WPP 2024 середина года'!$B$1:$U$1,0)))))</f>
        <v>23168</v>
      </c>
      <c r="E14" s="7">
        <f>IF($A14&lt;=1951,INDEX('SALA 1974'!$B:$U,MATCH($A14,'SALA 1974'!$A:$A,0),MATCH(E$1,'SALA 1974'!$B$1:$U$1,0)),IF($A14&lt;=1994,1000*INDEX('SALA 2002'!$B:$U,MATCH($A14,'SALA 2002'!$A:$A,0),MATCH(E$1,'SALA 2002'!$B$1:$U$1,0)),IF($A14&lt;=2000,1000*INDEX('SALA 2002'!$B:$U,MATCH($A14,'SALA 2002'!$A:$A,0),MATCH(E$1,'SALA 2002'!$B$1:$U$1,0))*POWER(INDEX('WPP 2024 середина года'!$B:$U,MATCH($A14,'WPP 2024 середина года'!$A:$A,0),MATCH(E$1,'WPP 2024 середина года'!$B$1:$U$1,0))/(1000*INDEX('SALA 2002'!$B:$U,MATCH($A14,'SALA 2002'!$A:$A,0),MATCH(E$1,'SALA 2002'!$B$1:$U$1,0))),($A14-1994)/7),INDEX('WPP 2024 середина года'!$B:$U,MATCH($A14,'WPP 2024 середина года'!$A:$A,0),MATCH(E$1,'WPP 2024 середина года'!$B$1:$U$1,0)))))</f>
        <v>3421</v>
      </c>
      <c r="F14" s="7">
        <f>IF($A14&lt;=1947,INDEX('SALA 1974'!$B:$U,MATCH($A14,'SALA 1974'!$A:$A,0),MATCH(F$1,'SALA 1974'!$B$1:$U$1,0)),IF($A14&lt;=1994,1000*INDEX('SALA 2002'!$B:$U,MATCH($A14,'SALA 2002'!$A:$A,0),MATCH(F$1,'SALA 2002'!$B$1:$U$1,0)),IF($A14&lt;=2000,1000*INDEX('SALA 2002'!$B:$U,MATCH($A14,'SALA 2002'!$A:$A,0),MATCH(F$1,'SALA 2002'!$B$1:$U$1,0))*POWER(INDEX('WPP 2024 середина года'!$B:$U,MATCH($A14,'WPP 2024 середина года'!$A:$A,0),MATCH(F$1,'WPP 2024 середина года'!$B$1:$U$1,0))/(1000*INDEX('SALA 2002'!$B:$U,MATCH($A14,'SALA 2002'!$A:$A,0),MATCH(F$1,'SALA 2002'!$B$1:$U$1,0))),($A14-1994)/7),INDEX('WPP 2024 середина года'!$B:$U,MATCH($A14,'WPP 2024 середина года'!$A:$A,0),MATCH(F$1,'WPP 2024 середина года'!$B$1:$U$1,0)))))</f>
        <v>5072</v>
      </c>
      <c r="G14" s="7">
        <f>IF($A14&lt;=1951,INDEX('SALA 1974'!$B:$U,MATCH($A14,'SALA 1974'!$A:$A,0),MATCH(G$1,'SALA 1974'!$B$1:$U$1,0)),IF($A14&lt;=1994,1000*INDEX('SALA 2002'!$B:$U,MATCH($A14,'SALA 2002'!$A:$A,0),MATCH(G$1,'SALA 2002'!$B$1:$U$1,0)),IF($A14&lt;=2000,1000*INDEX('SALA 2002'!$B:$U,MATCH($A14,'SALA 2002'!$A:$A,0),MATCH(G$1,'SALA 2002'!$B$1:$U$1,0))*POWER(INDEX('WPP 2024 середина года'!$B:$U,MATCH($A14,'WPP 2024 середина года'!$A:$A,0),MATCH(G$1,'WPP 2024 середина года'!$B$1:$U$1,0))/(1000*INDEX('SALA 2002'!$B:$U,MATCH($A14,'SALA 2002'!$A:$A,0),MATCH(G$1,'SALA 2002'!$B$1:$U$1,0))),($A14-1994)/7),INDEX('WPP 2024 середина года'!$B:$U,MATCH($A14,'WPP 2024 середина года'!$A:$A,0),MATCH(G$1,'WPP 2024 середина года'!$B$1:$U$1,0)))))</f>
        <v>375</v>
      </c>
      <c r="H14" s="7">
        <f>IF($A14&lt;=1951,INDEX('SALA 1974'!$B:$U,MATCH($A14,'SALA 1974'!$A:$A,0),MATCH(H$1,'SALA 1974'!$B$1:$U$1,0)),IF($A14&lt;=1994,1000*INDEX('SALA 2002'!$B:$U,MATCH($A14,'SALA 2002'!$A:$A,0),MATCH(H$1,'SALA 2002'!$B$1:$U$1,0)),IF($A14&lt;=2000,1000*INDEX('SALA 2002'!$B:$U,MATCH($A14,'SALA 2002'!$A:$A,0),MATCH(H$1,'SALA 2002'!$B$1:$U$1,0))*POWER(INDEX('WPP 2024 середина года'!$B:$U,MATCH($A14,'WPP 2024 середина года'!$A:$A,0),MATCH(H$1,'WPP 2024 середина года'!$B$1:$U$1,0))/(1000*INDEX('SALA 2002'!$B:$U,MATCH($A14,'SALA 2002'!$A:$A,0),MATCH(H$1,'SALA 2002'!$B$1:$U$1,0))),($A14-1994)/7),INDEX('WPP 2024 середина года'!$B:$U,MATCH($A14,'WPP 2024 середина года'!$A:$A,0),MATCH(H$1,'WPP 2024 середина года'!$B$1:$U$1,0)))))</f>
        <v>2358</v>
      </c>
      <c r="I14" s="7">
        <f>IF($A14&lt;=1951,INDEX('SALA 1974'!$B:$U,MATCH($A14,'SALA 1974'!$A:$A,0),MATCH(I$1,'SALA 1974'!$B$1:$U$1,0)),IF($A14&lt;=1994,1000*INDEX('SALA 2002'!$B:$U,MATCH($A14,'SALA 2002'!$A:$A,0),MATCH(I$1,'SALA 2002'!$B$1:$U$1,0)),IF($A14&lt;=2000,1000*INDEX('SALA 2002'!$B:$U,MATCH($A14,'SALA 2002'!$A:$A,0),MATCH(I$1,'SALA 2002'!$B$1:$U$1,0))*POWER(INDEX('WPP 2024 середина года'!$B:$U,MATCH($A14,'WPP 2024 середина года'!$A:$A,0),MATCH(I$1,'WPP 2024 середина года'!$B$1:$U$1,0))/(1000*INDEX('SALA 2002'!$B:$U,MATCH($A14,'SALA 2002'!$A:$A,0),MATCH(I$1,'SALA 2002'!$B$1:$U$1,0))),($A14-1994)/7),INDEX('WPP 2024 середина года'!$B:$U,MATCH($A14,'WPP 2024 середина года'!$A:$A,0),MATCH(I$1,'WPP 2024 середина года'!$B$1:$U$1,0)))))</f>
        <v>767</v>
      </c>
      <c r="J14" s="7">
        <f>IF($A14&lt;=1951,INDEX('SALA 1974'!$B:$U,MATCH($A14,'SALA 1974'!$A:$A,0),MATCH(J$1,'SALA 1974'!$B$1:$U$1,0)),IF($A14&lt;=1994,1000*INDEX('SALA 2002'!$B:$U,MATCH($A14,'SALA 2002'!$A:$A,0),MATCH(J$1,'SALA 2002'!$B$1:$U$1,0)),IF($A14&lt;=2000,1000*INDEX('SALA 2002'!$B:$U,MATCH($A14,'SALA 2002'!$A:$A,0),MATCH(J$1,'SALA 2002'!$B$1:$U$1,0))*POWER(INDEX('WPP 2024 середина года'!$B:$U,MATCH($A14,'WPP 2024 середина года'!$A:$A,0),MATCH(J$1,'WPP 2024 середина года'!$B$1:$U$1,0))/(1000*INDEX('SALA 2002'!$B:$U,MATCH($A14,'SALA 2002'!$A:$A,0),MATCH(J$1,'SALA 2002'!$B$1:$U$1,0))),($A14-1994)/7),INDEX('WPP 2024 середина года'!$B:$U,MATCH($A14,'WPP 2024 середина года'!$A:$A,0),MATCH(J$1,'WPP 2024 середина года'!$B$1:$U$1,0)))))</f>
        <v>1445</v>
      </c>
      <c r="K14" s="7">
        <f>IF($A14&lt;=1951,INDEX('SALA 1974'!$B:$U,MATCH($A14,'SALA 1974'!$A:$A,0),MATCH(K$1,'SALA 1974'!$B$1:$U$1,0)),IF($A14&lt;=1994,1000*INDEX('SALA 2002'!$B:$U,MATCH($A14,'SALA 2002'!$A:$A,0),MATCH(K$1,'SALA 2002'!$B$1:$U$1,0)),IF($A14&lt;=2000,1000*INDEX('SALA 2002'!$B:$U,MATCH($A14,'SALA 2002'!$A:$A,0),MATCH(K$1,'SALA 2002'!$B$1:$U$1,0))*POWER(INDEX('WPP 2024 середина года'!$B:$U,MATCH($A14,'WPP 2024 середина года'!$A:$A,0),MATCH(K$1,'WPP 2024 середина года'!$B$1:$U$1,0))/(1000*INDEX('SALA 2002'!$B:$U,MATCH($A14,'SALA 2002'!$A:$A,0),MATCH(K$1,'SALA 2002'!$B$1:$U$1,0))),($A14-1994)/7),INDEX('WPP 2024 середина года'!$B:$U,MATCH($A14,'WPP 2024 середина года'!$A:$A,0),MATCH(K$1,'WPP 2024 середина года'!$B$1:$U$1,0)))))</f>
        <v>1021</v>
      </c>
      <c r="L14" s="7">
        <f>IF($A14&lt;=1951,INDEX('SALA 1974'!$B:$U,MATCH($A14,'SALA 1974'!$A:$A,0),MATCH(L$1,'SALA 1974'!$B$1:$U$1,0)),IF($A14&lt;=1994,1000*INDEX('SALA 2002'!$B:$U,MATCH($A14,'SALA 2002'!$A:$A,0),MATCH(L$1,'SALA 2002'!$B$1:$U$1,0)),IF($A14&lt;=2000,1000*INDEX('SALA 2002'!$B:$U,MATCH($A14,'SALA 2002'!$A:$A,0),MATCH(L$1,'SALA 2002'!$B$1:$U$1,0))*POWER(INDEX('WPP 2024 середина года'!$B:$U,MATCH($A14,'WPP 2024 середина года'!$A:$A,0),MATCH(L$1,'WPP 2024 середина года'!$B$1:$U$1,0))/(1000*INDEX('SALA 2002'!$B:$U,MATCH($A14,'SALA 2002'!$A:$A,0),MATCH(L$1,'SALA 2002'!$B$1:$U$1,0))),($A14-1994)/7),INDEX('WPP 2024 середина года'!$B:$U,MATCH($A14,'WPP 2024 середина года'!$A:$A,0),MATCH(L$1,'WPP 2024 середина года'!$B$1:$U$1,0)))))</f>
        <v>1142</v>
      </c>
      <c r="M14" s="7">
        <f>IF($A14&lt;=1951,INDEX('SALA 1974'!$B:$U,MATCH($A14,'SALA 1974'!$A:$A,0),MATCH(M$1,'SALA 1974'!$B$1:$U$1,0)),IF($A14&lt;=1994,1000*INDEX('SALA 2002'!$B:$U,MATCH($A14,'SALA 2002'!$A:$A,0),MATCH(M$1,'SALA 2002'!$B$1:$U$1,0)),IF($A14&lt;=2000,1000*INDEX('SALA 2002'!$B:$U,MATCH($A14,'SALA 2002'!$A:$A,0),MATCH(M$1,'SALA 2002'!$B$1:$U$1,0))*POWER(INDEX('WPP 2024 середина года'!$B:$U,MATCH($A14,'WPP 2024 середина года'!$A:$A,0),MATCH(M$1,'WPP 2024 середина года'!$B$1:$U$1,0))/(1000*INDEX('SALA 2002'!$B:$U,MATCH($A14,'SALA 2002'!$A:$A,0),MATCH(M$1,'SALA 2002'!$B$1:$U$1,0))),($A14-1994)/7),INDEX('WPP 2024 середина года'!$B:$U,MATCH($A14,'WPP 2024 середина года'!$A:$A,0),MATCH(M$1,'WPP 2024 середина года'!$B$1:$U$1,0)))))</f>
        <v>1774</v>
      </c>
      <c r="N14" s="7">
        <f>IF($A14&lt;=1951,INDEX('SALA 1974'!$B:$U,MATCH($A14,'SALA 1974'!$A:$A,0),MATCH(N$1,'SALA 1974'!$B$1:$U$1,0)),IF($A14&lt;=1994,1000*INDEX('SALA 2002'!$B:$U,MATCH($A14,'SALA 2002'!$A:$A,0),MATCH(N$1,'SALA 2002'!$B$1:$U$1,0)),IF($A14&lt;=2000,1000*INDEX('SALA 2002'!$B:$U,MATCH($A14,'SALA 2002'!$A:$A,0),MATCH(N$1,'SALA 2002'!$B$1:$U$1,0))*POWER(INDEX('WPP 2024 середина года'!$B:$U,MATCH($A14,'WPP 2024 середина года'!$A:$A,0),MATCH(N$1,'WPP 2024 середина года'!$B$1:$U$1,0))/(1000*INDEX('SALA 2002'!$B:$U,MATCH($A14,'SALA 2002'!$A:$A,0),MATCH(N$1,'SALA 2002'!$B$1:$U$1,0))),($A14-1994)/7),INDEX('WPP 2024 середина года'!$B:$U,MATCH($A14,'WPP 2024 середина года'!$A:$A,0),MATCH(N$1,'WPP 2024 середина года'!$B$1:$U$1,0)))))</f>
        <v>571</v>
      </c>
      <c r="O14" s="7">
        <f>IF($A14&lt;=1951,INDEX('SALA 1974'!$B:$U,MATCH($A14,'SALA 1974'!$A:$A,0),MATCH(O$1,'SALA 1974'!$B$1:$U$1,0)),IF($A14&lt;=1994,1000*INDEX('SALA 2002'!$B:$U,MATCH($A14,'SALA 2002'!$A:$A,0),MATCH(O$1,'SALA 2002'!$B$1:$U$1,0)),IF($A14&lt;=2000,1000*INDEX('SALA 2002'!$B:$U,MATCH($A14,'SALA 2002'!$A:$A,0),MATCH(O$1,'SALA 2002'!$B$1:$U$1,0))*POWER(INDEX('WPP 2024 середина года'!$B:$U,MATCH($A14,'WPP 2024 середина года'!$A:$A,0),MATCH(O$1,'WPP 2024 середина года'!$B$1:$U$1,0))/(1000*INDEX('SALA 2002'!$B:$U,MATCH($A14,'SALA 2002'!$A:$A,0),MATCH(O$1,'SALA 2002'!$B$1:$U$1,0))),($A14-1994)/7),INDEX('WPP 2024 середина года'!$B:$U,MATCH($A14,'WPP 2024 середина года'!$A:$A,0),MATCH(O$1,'WPP 2024 середина года'!$B$1:$U$1,0)))))</f>
        <v>15508</v>
      </c>
      <c r="P14" s="7">
        <f>IF($A14&lt;=1951,INDEX('SALA 1974'!$B:$U,MATCH($A14,'SALA 1974'!$A:$A,0),MATCH(P$1,'SALA 1974'!$B$1:$U$1,0)),IF($A14&lt;=1994,1000*INDEX('SALA 2002'!$B:$U,MATCH($A14,'SALA 2002'!$A:$A,0),MATCH(P$1,'SALA 2002'!$B$1:$U$1,0)),IF($A14&lt;=2000,1000*INDEX('SALA 2002'!$B:$U,MATCH($A14,'SALA 2002'!$A:$A,0),MATCH(P$1,'SALA 2002'!$B$1:$U$1,0))*POWER(INDEX('WPP 2024 середина года'!$B:$U,MATCH($A14,'WPP 2024 середина года'!$A:$A,0),MATCH(P$1,'WPP 2024 середина года'!$B$1:$U$1,0))/(1000*INDEX('SALA 2002'!$B:$U,MATCH($A14,'SALA 2002'!$A:$A,0),MATCH(P$1,'SALA 2002'!$B$1:$U$1,0))),($A14-1994)/7),INDEX('WPP 2024 середина года'!$B:$U,MATCH($A14,'WPP 2024 середина года'!$A:$A,0),MATCH(P$1,'WPP 2024 середина года'!$B$1:$U$1,0)))))</f>
        <v>562</v>
      </c>
      <c r="Q14" s="7">
        <f>IF($A14&lt;=1951,INDEX('SALA 1974'!$B:$U,MATCH($A14,'SALA 1974'!$A:$A,0),MATCH(Q$1,'SALA 1974'!$B$1:$U$1,0)),IF($A14&lt;=1994,1000*INDEX('SALA 2002'!$B:$U,MATCH($A14,'SALA 2002'!$A:$A,0),MATCH(Q$1,'SALA 2002'!$B$1:$U$1,0)),IF($A14&lt;=2000,1000*INDEX('SALA 2002'!$B:$U,MATCH($A14,'SALA 2002'!$A:$A,0),MATCH(Q$1,'SALA 2002'!$B$1:$U$1,0))*POWER(INDEX('WPP 2024 середина года'!$B:$U,MATCH($A14,'WPP 2024 середина года'!$A:$A,0),MATCH(Q$1,'WPP 2024 середина года'!$B$1:$U$1,0))/(1000*INDEX('SALA 2002'!$B:$U,MATCH($A14,'SALA 2002'!$A:$A,0),MATCH(Q$1,'SALA 2002'!$B$1:$U$1,0))),($A14-1994)/7),INDEX('WPP 2024 середина года'!$B:$U,MATCH($A14,'WPP 2024 середина года'!$A:$A,0),MATCH(Q$1,'WPP 2024 середина года'!$B$1:$U$1,0)))))</f>
        <v>352</v>
      </c>
      <c r="R14" s="7">
        <f>IF($A14&lt;=1951,INDEX('SALA 1974'!$B:$U,MATCH($A14,'SALA 1974'!$A:$A,0),MATCH(R$1,'SALA 1974'!$B$1:$U$1,0)),IF($A14&lt;=1994,1000*INDEX('SALA 2002'!$B:$U,MATCH($A14,'SALA 2002'!$A:$A,0),MATCH(R$1,'SALA 2002'!$B$1:$U$1,0)),IF($A14&lt;=2000,1000*INDEX('SALA 2002'!$B:$U,MATCH($A14,'SALA 2002'!$A:$A,0),MATCH(R$1,'SALA 2002'!$B$1:$U$1,0))*POWER(INDEX('WPP 2024 середина года'!$B:$U,MATCH($A14,'WPP 2024 середина года'!$A:$A,0),MATCH(R$1,'WPP 2024 середина года'!$B$1:$U$1,0))/(1000*INDEX('SALA 2002'!$B:$U,MATCH($A14,'SALA 2002'!$A:$A,0),MATCH(R$1,'SALA 2002'!$B$1:$U$1,0))),($A14-1994)/7),INDEX('WPP 2024 середина года'!$B:$U,MATCH($A14,'WPP 2024 середина года'!$A:$A,0),MATCH(R$1,'WPP 2024 середина года'!$B$1:$U$1,0)))))</f>
        <v>640</v>
      </c>
      <c r="S14" s="7">
        <f>IF($A14&lt;=1951,INDEX('SALA 1974'!$B:$U,MATCH($A14,'SALA 1974'!$A:$A,0),MATCH(S$1,'SALA 1974'!$B$1:$U$1,0)),IF($A14&lt;=1994,1000*INDEX('SALA 2002'!$B:$U,MATCH($A14,'SALA 2002'!$A:$A,0),MATCH(S$1,'SALA 2002'!$B$1:$U$1,0)),IF($A14&lt;=2000,1000*INDEX('SALA 2002'!$B:$U,MATCH($A14,'SALA 2002'!$A:$A,0),MATCH(S$1,'SALA 2002'!$B$1:$U$1,0))*POWER(INDEX('WPP 2024 середина года'!$B:$U,MATCH($A14,'WPP 2024 середина года'!$A:$A,0),MATCH(S$1,'WPP 2024 середина года'!$B$1:$U$1,0))/(1000*INDEX('SALA 2002'!$B:$U,MATCH($A14,'SALA 2002'!$A:$A,0),MATCH(S$1,'SALA 2002'!$B$1:$U$1,0))),($A14-1994)/7),INDEX('WPP 2024 середина года'!$B:$U,MATCH($A14,'WPP 2024 середина года'!$A:$A,0),MATCH(S$1,'WPP 2024 середина года'!$B$1:$U$1,0)))))</f>
        <v>4187</v>
      </c>
      <c r="T14" s="7">
        <f>IF($A14&lt;=1951,INDEX('SALA 1974'!$B:$U,MATCH($A14,'SALA 1974'!$A:$A,0),MATCH(T$1,'SALA 1974'!$B$1:$U$1,0)),IF($A14&lt;=1994,1000*INDEX('SALA 2002'!$B:$U,MATCH($A14,'SALA 2002'!$A:$A,0),MATCH(T$1,'SALA 2002'!$B$1:$U$1,0)),IF($A14&lt;=2000,1000*INDEX('SALA 2002'!$B:$U,MATCH($A14,'SALA 2002'!$A:$A,0),MATCH(T$1,'SALA 2002'!$B$1:$U$1,0))*POWER(INDEX('WPP 2024 середина года'!$B:$U,MATCH($A14,'WPP 2024 середина года'!$A:$A,0),MATCH(T$1,'WPP 2024 середина года'!$B$1:$U$1,0))/(1000*INDEX('SALA 2002'!$B:$U,MATCH($A14,'SALA 2002'!$A:$A,0),MATCH(T$1,'SALA 2002'!$B$1:$U$1,0))),($A14-1994)/7),INDEX('WPP 2024 середина года'!$B:$U,MATCH($A14,'WPP 2024 середина года'!$A:$A,0),MATCH(T$1,'WPP 2024 середина года'!$B$1:$U$1,0)))))</f>
        <v>1226</v>
      </c>
      <c r="U14" s="7">
        <f>IF($A14&lt;=1951,INDEX('SALA 1974'!$B:$U,MATCH($A14,'SALA 1974'!$A:$A,0),MATCH(U$1,'SALA 1974'!$B$1:$U$1,0)),IF($A14&lt;=1994,1000*INDEX('SALA 2002'!$B:$U,MATCH($A14,'SALA 2002'!$A:$A,0),MATCH(U$1,'SALA 2002'!$B$1:$U$1,0)),IF($A14&lt;=2000,1000*INDEX('SALA 2002'!$B:$U,MATCH($A14,'SALA 2002'!$A:$A,0),MATCH(U$1,'SALA 2002'!$B$1:$U$1,0))*POWER(INDEX('WPP 2024 середина года'!$B:$U,MATCH($A14,'WPP 2024 середина года'!$A:$A,0),MATCH(U$1,'WPP 2024 середина года'!$B$1:$U$1,0))/(1000*INDEX('SALA 2002'!$B:$U,MATCH($A14,'SALA 2002'!$A:$A,0),MATCH(U$1,'SALA 2002'!$B$1:$U$1,0))),($A14-1994)/7),INDEX('WPP 2024 середина года'!$B:$U,MATCH($A14,'WPP 2024 середина года'!$A:$A,0),MATCH(U$1,'WPP 2024 середина года'!$B$1:$U$1,0)))))</f>
        <v>2639</v>
      </c>
    </row>
    <row r="15" spans="1:21" x14ac:dyDescent="0.25">
      <c r="A15" s="5">
        <f t="shared" si="0"/>
        <v>1913</v>
      </c>
      <c r="B15" s="7">
        <f>IF($A15&lt;=1951,INDEX('SALA 1974'!$B:$U,MATCH($A15,'SALA 1974'!$A:$A,0),MATCH(B$1,'SALA 1974'!$B$1:$U$1,0)),IF($A15&lt;=1994,1000*INDEX('SALA 2002'!$B:$U,MATCH($A15,'SALA 2002'!$A:$A,0),MATCH(B$1,'SALA 2002'!$B$1:$U$1,0)),IF($A15&lt;=2000,1000*INDEX('SALA 2002'!$B:$U,MATCH($A15,'SALA 2002'!$A:$A,0),MATCH(B$1,'SALA 2002'!$B$1:$U$1,0))*POWER(INDEX('WPP 2024 середина года'!$B:$U,MATCH($A15,'WPP 2024 середина года'!$A:$A,0),MATCH(B$1,'WPP 2024 середина года'!$B$1:$U$1,0))/(1000*INDEX('SALA 2002'!$B:$U,MATCH($A15,'SALA 2002'!$A:$A,0),MATCH(B$1,'SALA 2002'!$B$1:$U$1,0))),($A15-1994)/7),INDEX('WPP 2024 середина года'!$B:$U,MATCH($A15,'WPP 2024 середина года'!$A:$A,0),MATCH(B$1,'WPP 2024 середина года'!$B$1:$U$1,0)))))</f>
        <v>7838</v>
      </c>
      <c r="C15" s="7">
        <f>IF($A15&lt;=1951,INDEX('SALA 1974'!$B:$U,MATCH($A15,'SALA 1974'!$A:$A,0),MATCH(C$1,'SALA 1974'!$B$1:$U$1,0)),IF($A15&lt;=1994,1000*INDEX('SALA 2002'!$B:$U,MATCH($A15,'SALA 2002'!$A:$A,0),MATCH(C$1,'SALA 2002'!$B$1:$U$1,0)),IF($A15&lt;=2000,1000*INDEX('SALA 2002'!$B:$U,MATCH($A15,'SALA 2002'!$A:$A,0),MATCH(C$1,'SALA 2002'!$B$1:$U$1,0))*POWER(INDEX('WPP 2024 середина года'!$B:$U,MATCH($A15,'WPP 2024 середина года'!$A:$A,0),MATCH(C$1,'WPP 2024 середина года'!$B$1:$U$1,0))/(1000*INDEX('SALA 2002'!$B:$U,MATCH($A15,'SALA 2002'!$A:$A,0),MATCH(C$1,'SALA 2002'!$B$1:$U$1,0))),($A15-1994)/7),INDEX('WPP 2024 середина года'!$B:$U,MATCH($A15,'WPP 2024 середина года'!$A:$A,0),MATCH(C$1,'WPP 2024 середина года'!$B$1:$U$1,0)))))</f>
        <v>2007</v>
      </c>
      <c r="D15" s="7">
        <f>IF($A15&lt;=1951,INDEX('SALA 1974'!$B:$U,MATCH($A15,'SALA 1974'!$A:$A,0),MATCH(D$1,'SALA 1974'!$B$1:$U$1,0)),IF($A15&lt;=1994,1000*INDEX('SALA 2002'!$B:$U,MATCH($A15,'SALA 2002'!$A:$A,0),MATCH(D$1,'SALA 2002'!$B$1:$U$1,0)),IF($A15&lt;=2000,1000*INDEX('SALA 2002'!$B:$U,MATCH($A15,'SALA 2002'!$A:$A,0),MATCH(D$1,'SALA 2002'!$B$1:$U$1,0))*POWER(INDEX('WPP 2024 середина года'!$B:$U,MATCH($A15,'WPP 2024 середина года'!$A:$A,0),MATCH(D$1,'WPP 2024 середина года'!$B$1:$U$1,0))/(1000*INDEX('SALA 2002'!$B:$U,MATCH($A15,'SALA 2002'!$A:$A,0),MATCH(D$1,'SALA 2002'!$B$1:$U$1,0))),($A15-1994)/7),INDEX('WPP 2024 середина года'!$B:$U,MATCH($A15,'WPP 2024 середина года'!$A:$A,0),MATCH(D$1,'WPP 2024 середина года'!$B$1:$U$1,0)))))</f>
        <v>23660</v>
      </c>
      <c r="E15" s="7">
        <f>IF($A15&lt;=1951,INDEX('SALA 1974'!$B:$U,MATCH($A15,'SALA 1974'!$A:$A,0),MATCH(E$1,'SALA 1974'!$B$1:$U$1,0)),IF($A15&lt;=1994,1000*INDEX('SALA 2002'!$B:$U,MATCH($A15,'SALA 2002'!$A:$A,0),MATCH(E$1,'SALA 2002'!$B$1:$U$1,0)),IF($A15&lt;=2000,1000*INDEX('SALA 2002'!$B:$U,MATCH($A15,'SALA 2002'!$A:$A,0),MATCH(E$1,'SALA 2002'!$B$1:$U$1,0))*POWER(INDEX('WPP 2024 середина года'!$B:$U,MATCH($A15,'WPP 2024 середина года'!$A:$A,0),MATCH(E$1,'WPP 2024 середина года'!$B$1:$U$1,0))/(1000*INDEX('SALA 2002'!$B:$U,MATCH($A15,'SALA 2002'!$A:$A,0),MATCH(E$1,'SALA 2002'!$B$1:$U$1,0))),($A15-1994)/7),INDEX('WPP 2024 середина года'!$B:$U,MATCH($A15,'WPP 2024 середина года'!$A:$A,0),MATCH(E$1,'WPP 2024 середина года'!$B$1:$U$1,0)))))</f>
        <v>3465</v>
      </c>
      <c r="F15" s="7">
        <f>IF($A15&lt;=1947,INDEX('SALA 1974'!$B:$U,MATCH($A15,'SALA 1974'!$A:$A,0),MATCH(F$1,'SALA 1974'!$B$1:$U$1,0)),IF($A15&lt;=1994,1000*INDEX('SALA 2002'!$B:$U,MATCH($A15,'SALA 2002'!$A:$A,0),MATCH(F$1,'SALA 2002'!$B$1:$U$1,0)),IF($A15&lt;=2000,1000*INDEX('SALA 2002'!$B:$U,MATCH($A15,'SALA 2002'!$A:$A,0),MATCH(F$1,'SALA 2002'!$B$1:$U$1,0))*POWER(INDEX('WPP 2024 середина года'!$B:$U,MATCH($A15,'WPP 2024 середина года'!$A:$A,0),MATCH(F$1,'WPP 2024 середина года'!$B$1:$U$1,0))/(1000*INDEX('SALA 2002'!$B:$U,MATCH($A15,'SALA 2002'!$A:$A,0),MATCH(F$1,'SALA 2002'!$B$1:$U$1,0))),($A15-1994)/7),INDEX('WPP 2024 середина года'!$B:$U,MATCH($A15,'WPP 2024 середина года'!$A:$A,0),MATCH(F$1,'WPP 2024 середина года'!$B$1:$U$1,0)))))</f>
        <v>5193</v>
      </c>
      <c r="G15" s="7">
        <f>IF($A15&lt;=1951,INDEX('SALA 1974'!$B:$U,MATCH($A15,'SALA 1974'!$A:$A,0),MATCH(G$1,'SALA 1974'!$B$1:$U$1,0)),IF($A15&lt;=1994,1000*INDEX('SALA 2002'!$B:$U,MATCH($A15,'SALA 2002'!$A:$A,0),MATCH(G$1,'SALA 2002'!$B$1:$U$1,0)),IF($A15&lt;=2000,1000*INDEX('SALA 2002'!$B:$U,MATCH($A15,'SALA 2002'!$A:$A,0),MATCH(G$1,'SALA 2002'!$B$1:$U$1,0))*POWER(INDEX('WPP 2024 середина года'!$B:$U,MATCH($A15,'WPP 2024 середина года'!$A:$A,0),MATCH(G$1,'WPP 2024 середина года'!$B$1:$U$1,0))/(1000*INDEX('SALA 2002'!$B:$U,MATCH($A15,'SALA 2002'!$A:$A,0),MATCH(G$1,'SALA 2002'!$B$1:$U$1,0))),($A15-1994)/7),INDEX('WPP 2024 середина года'!$B:$U,MATCH($A15,'WPP 2024 середина года'!$A:$A,0),MATCH(G$1,'WPP 2024 середина года'!$B$1:$U$1,0)))))</f>
        <v>381</v>
      </c>
      <c r="H15" s="7">
        <f>IF($A15&lt;=1951,INDEX('SALA 1974'!$B:$U,MATCH($A15,'SALA 1974'!$A:$A,0),MATCH(H$1,'SALA 1974'!$B$1:$U$1,0)),IF($A15&lt;=1994,1000*INDEX('SALA 2002'!$B:$U,MATCH($A15,'SALA 2002'!$A:$A,0),MATCH(H$1,'SALA 2002'!$B$1:$U$1,0)),IF($A15&lt;=2000,1000*INDEX('SALA 2002'!$B:$U,MATCH($A15,'SALA 2002'!$A:$A,0),MATCH(H$1,'SALA 2002'!$B$1:$U$1,0))*POWER(INDEX('WPP 2024 середина года'!$B:$U,MATCH($A15,'WPP 2024 середина года'!$A:$A,0),MATCH(H$1,'WPP 2024 середина года'!$B$1:$U$1,0))/(1000*INDEX('SALA 2002'!$B:$U,MATCH($A15,'SALA 2002'!$A:$A,0),MATCH(H$1,'SALA 2002'!$B$1:$U$1,0))),($A15-1994)/7),INDEX('WPP 2024 середина года'!$B:$U,MATCH($A15,'WPP 2024 середина года'!$A:$A,0),MATCH(H$1,'WPP 2024 середина года'!$B$1:$U$1,0)))))</f>
        <v>2413</v>
      </c>
      <c r="I15" s="7">
        <f>IF($A15&lt;=1951,INDEX('SALA 1974'!$B:$U,MATCH($A15,'SALA 1974'!$A:$A,0),MATCH(I$1,'SALA 1974'!$B$1:$U$1,0)),IF($A15&lt;=1994,1000*INDEX('SALA 2002'!$B:$U,MATCH($A15,'SALA 2002'!$A:$A,0),MATCH(I$1,'SALA 2002'!$B$1:$U$1,0)),IF($A15&lt;=2000,1000*INDEX('SALA 2002'!$B:$U,MATCH($A15,'SALA 2002'!$A:$A,0),MATCH(I$1,'SALA 2002'!$B$1:$U$1,0))*POWER(INDEX('WPP 2024 середина года'!$B:$U,MATCH($A15,'WPP 2024 середина года'!$A:$A,0),MATCH(I$1,'WPP 2024 середина года'!$B$1:$U$1,0))/(1000*INDEX('SALA 2002'!$B:$U,MATCH($A15,'SALA 2002'!$A:$A,0),MATCH(I$1,'SALA 2002'!$B$1:$U$1,0))),($A15-1994)/7),INDEX('WPP 2024 середина года'!$B:$U,MATCH($A15,'WPP 2024 середина года'!$A:$A,0),MATCH(I$1,'WPP 2024 середина года'!$B$1:$U$1,0)))))</f>
        <v>781</v>
      </c>
      <c r="J15" s="7">
        <f>IF($A15&lt;=1951,INDEX('SALA 1974'!$B:$U,MATCH($A15,'SALA 1974'!$A:$A,0),MATCH(J$1,'SALA 1974'!$B$1:$U$1,0)),IF($A15&lt;=1994,1000*INDEX('SALA 2002'!$B:$U,MATCH($A15,'SALA 2002'!$A:$A,0),MATCH(J$1,'SALA 2002'!$B$1:$U$1,0)),IF($A15&lt;=2000,1000*INDEX('SALA 2002'!$B:$U,MATCH($A15,'SALA 2002'!$A:$A,0),MATCH(J$1,'SALA 2002'!$B$1:$U$1,0))*POWER(INDEX('WPP 2024 середина года'!$B:$U,MATCH($A15,'WPP 2024 середина года'!$A:$A,0),MATCH(J$1,'WPP 2024 середина года'!$B$1:$U$1,0))/(1000*INDEX('SALA 2002'!$B:$U,MATCH($A15,'SALA 2002'!$A:$A,0),MATCH(J$1,'SALA 2002'!$B$1:$U$1,0))),($A15-1994)/7),INDEX('WPP 2024 середина года'!$B:$U,MATCH($A15,'WPP 2024 середина года'!$A:$A,0),MATCH(J$1,'WPP 2024 середина года'!$B$1:$U$1,0)))))</f>
        <v>1457</v>
      </c>
      <c r="K15" s="7">
        <f>IF($A15&lt;=1951,INDEX('SALA 1974'!$B:$U,MATCH($A15,'SALA 1974'!$A:$A,0),MATCH(K$1,'SALA 1974'!$B$1:$U$1,0)),IF($A15&lt;=1994,1000*INDEX('SALA 2002'!$B:$U,MATCH($A15,'SALA 2002'!$A:$A,0),MATCH(K$1,'SALA 2002'!$B$1:$U$1,0)),IF($A15&lt;=2000,1000*INDEX('SALA 2002'!$B:$U,MATCH($A15,'SALA 2002'!$A:$A,0),MATCH(K$1,'SALA 2002'!$B$1:$U$1,0))*POWER(INDEX('WPP 2024 середина года'!$B:$U,MATCH($A15,'WPP 2024 середина года'!$A:$A,0),MATCH(K$1,'WPP 2024 середина года'!$B$1:$U$1,0))/(1000*INDEX('SALA 2002'!$B:$U,MATCH($A15,'SALA 2002'!$A:$A,0),MATCH(K$1,'SALA 2002'!$B$1:$U$1,0))),($A15-1994)/7),INDEX('WPP 2024 середина года'!$B:$U,MATCH($A15,'WPP 2024 середина года'!$A:$A,0),MATCH(K$1,'WPP 2024 середина года'!$B$1:$U$1,0)))))</f>
        <v>1040</v>
      </c>
      <c r="L15" s="7">
        <f>IF($A15&lt;=1951,INDEX('SALA 1974'!$B:$U,MATCH($A15,'SALA 1974'!$A:$A,0),MATCH(L$1,'SALA 1974'!$B$1:$U$1,0)),IF($A15&lt;=1994,1000*INDEX('SALA 2002'!$B:$U,MATCH($A15,'SALA 2002'!$A:$A,0),MATCH(L$1,'SALA 2002'!$B$1:$U$1,0)),IF($A15&lt;=2000,1000*INDEX('SALA 2002'!$B:$U,MATCH($A15,'SALA 2002'!$A:$A,0),MATCH(L$1,'SALA 2002'!$B$1:$U$1,0))*POWER(INDEX('WPP 2024 середина года'!$B:$U,MATCH($A15,'WPP 2024 середина года'!$A:$A,0),MATCH(L$1,'WPP 2024 середина года'!$B$1:$U$1,0))/(1000*INDEX('SALA 2002'!$B:$U,MATCH($A15,'SALA 2002'!$A:$A,0),MATCH(L$1,'SALA 2002'!$B$1:$U$1,0))),($A15-1994)/7),INDEX('WPP 2024 середина года'!$B:$U,MATCH($A15,'WPP 2024 середина года'!$A:$A,0),MATCH(L$1,'WPP 2024 середина года'!$B$1:$U$1,0)))))</f>
        <v>1165</v>
      </c>
      <c r="M15" s="7">
        <f>IF($A15&lt;=1951,INDEX('SALA 1974'!$B:$U,MATCH($A15,'SALA 1974'!$A:$A,0),MATCH(M$1,'SALA 1974'!$B$1:$U$1,0)),IF($A15&lt;=1994,1000*INDEX('SALA 2002'!$B:$U,MATCH($A15,'SALA 2002'!$A:$A,0),MATCH(M$1,'SALA 2002'!$B$1:$U$1,0)),IF($A15&lt;=2000,1000*INDEX('SALA 2002'!$B:$U,MATCH($A15,'SALA 2002'!$A:$A,0),MATCH(M$1,'SALA 2002'!$B$1:$U$1,0))*POWER(INDEX('WPP 2024 середина года'!$B:$U,MATCH($A15,'WPP 2024 середина года'!$A:$A,0),MATCH(M$1,'WPP 2024 середина года'!$B$1:$U$1,0))/(1000*INDEX('SALA 2002'!$B:$U,MATCH($A15,'SALA 2002'!$A:$A,0),MATCH(M$1,'SALA 2002'!$B$1:$U$1,0))),($A15-1994)/7),INDEX('WPP 2024 середина года'!$B:$U,MATCH($A15,'WPP 2024 середина года'!$A:$A,0),MATCH(M$1,'WPP 2024 середина года'!$B$1:$U$1,0)))))</f>
        <v>1818</v>
      </c>
      <c r="N15" s="7">
        <f>IF($A15&lt;=1951,INDEX('SALA 1974'!$B:$U,MATCH($A15,'SALA 1974'!$A:$A,0),MATCH(N$1,'SALA 1974'!$B$1:$U$1,0)),IF($A15&lt;=1994,1000*INDEX('SALA 2002'!$B:$U,MATCH($A15,'SALA 2002'!$A:$A,0),MATCH(N$1,'SALA 2002'!$B$1:$U$1,0)),IF($A15&lt;=2000,1000*INDEX('SALA 2002'!$B:$U,MATCH($A15,'SALA 2002'!$A:$A,0),MATCH(N$1,'SALA 2002'!$B$1:$U$1,0))*POWER(INDEX('WPP 2024 середина года'!$B:$U,MATCH($A15,'WPP 2024 середина года'!$A:$A,0),MATCH(N$1,'WPP 2024 середина года'!$B$1:$U$1,0))/(1000*INDEX('SALA 2002'!$B:$U,MATCH($A15,'SALA 2002'!$A:$A,0),MATCH(N$1,'SALA 2002'!$B$1:$U$1,0))),($A15-1994)/7),INDEX('WPP 2024 середина года'!$B:$U,MATCH($A15,'WPP 2024 середина года'!$A:$A,0),MATCH(N$1,'WPP 2024 середина года'!$B$1:$U$1,0)))))</f>
        <v>579</v>
      </c>
      <c r="O15" s="7">
        <f>IF($A15&lt;=1951,INDEX('SALA 1974'!$B:$U,MATCH($A15,'SALA 1974'!$A:$A,0),MATCH(O$1,'SALA 1974'!$B$1:$U$1,0)),IF($A15&lt;=1994,1000*INDEX('SALA 2002'!$B:$U,MATCH($A15,'SALA 2002'!$A:$A,0),MATCH(O$1,'SALA 2002'!$B$1:$U$1,0)),IF($A15&lt;=2000,1000*INDEX('SALA 2002'!$B:$U,MATCH($A15,'SALA 2002'!$A:$A,0),MATCH(O$1,'SALA 2002'!$B$1:$U$1,0))*POWER(INDEX('WPP 2024 середина года'!$B:$U,MATCH($A15,'WPP 2024 середина года'!$A:$A,0),MATCH(O$1,'WPP 2024 середина года'!$B$1:$U$1,0))/(1000*INDEX('SALA 2002'!$B:$U,MATCH($A15,'SALA 2002'!$A:$A,0),MATCH(O$1,'SALA 2002'!$B$1:$U$1,0))),($A15-1994)/7),INDEX('WPP 2024 середина года'!$B:$U,MATCH($A15,'WPP 2024 середина года'!$A:$A,0),MATCH(O$1,'WPP 2024 середина года'!$B$1:$U$1,0)))))</f>
        <v>15373</v>
      </c>
      <c r="P15" s="7">
        <f>IF($A15&lt;=1951,INDEX('SALA 1974'!$B:$U,MATCH($A15,'SALA 1974'!$A:$A,0),MATCH(P$1,'SALA 1974'!$B$1:$U$1,0)),IF($A15&lt;=1994,1000*INDEX('SALA 2002'!$B:$U,MATCH($A15,'SALA 2002'!$A:$A,0),MATCH(P$1,'SALA 2002'!$B$1:$U$1,0)),IF($A15&lt;=2000,1000*INDEX('SALA 2002'!$B:$U,MATCH($A15,'SALA 2002'!$A:$A,0),MATCH(P$1,'SALA 2002'!$B$1:$U$1,0))*POWER(INDEX('WPP 2024 середина года'!$B:$U,MATCH($A15,'WPP 2024 середина года'!$A:$A,0),MATCH(P$1,'WPP 2024 середина года'!$B$1:$U$1,0))/(1000*INDEX('SALA 2002'!$B:$U,MATCH($A15,'SALA 2002'!$A:$A,0),MATCH(P$1,'SALA 2002'!$B$1:$U$1,0))),($A15-1994)/7),INDEX('WPP 2024 середина года'!$B:$U,MATCH($A15,'WPP 2024 середина года'!$A:$A,0),MATCH(P$1,'WPP 2024 середина года'!$B$1:$U$1,0)))))</f>
        <v>572</v>
      </c>
      <c r="Q15" s="7">
        <f>IF($A15&lt;=1951,INDEX('SALA 1974'!$B:$U,MATCH($A15,'SALA 1974'!$A:$A,0),MATCH(Q$1,'SALA 1974'!$B$1:$U$1,0)),IF($A15&lt;=1994,1000*INDEX('SALA 2002'!$B:$U,MATCH($A15,'SALA 2002'!$A:$A,0),MATCH(Q$1,'SALA 2002'!$B$1:$U$1,0)),IF($A15&lt;=2000,1000*INDEX('SALA 2002'!$B:$U,MATCH($A15,'SALA 2002'!$A:$A,0),MATCH(Q$1,'SALA 2002'!$B$1:$U$1,0))*POWER(INDEX('WPP 2024 середина года'!$B:$U,MATCH($A15,'WPP 2024 середина года'!$A:$A,0),MATCH(Q$1,'WPP 2024 середина года'!$B$1:$U$1,0))/(1000*INDEX('SALA 2002'!$B:$U,MATCH($A15,'SALA 2002'!$A:$A,0),MATCH(Q$1,'SALA 2002'!$B$1:$U$1,0))),($A15-1994)/7),INDEX('WPP 2024 середина года'!$B:$U,MATCH($A15,'WPP 2024 середина года'!$A:$A,0),MATCH(Q$1,'WPP 2024 середина года'!$B$1:$U$1,0)))))</f>
        <v>364</v>
      </c>
      <c r="R15" s="7">
        <f>IF($A15&lt;=1951,INDEX('SALA 1974'!$B:$U,MATCH($A15,'SALA 1974'!$A:$A,0),MATCH(R$1,'SALA 1974'!$B$1:$U$1,0)),IF($A15&lt;=1994,1000*INDEX('SALA 2002'!$B:$U,MATCH($A15,'SALA 2002'!$A:$A,0),MATCH(R$1,'SALA 2002'!$B$1:$U$1,0)),IF($A15&lt;=2000,1000*INDEX('SALA 2002'!$B:$U,MATCH($A15,'SALA 2002'!$A:$A,0),MATCH(R$1,'SALA 2002'!$B$1:$U$1,0))*POWER(INDEX('WPP 2024 середина года'!$B:$U,MATCH($A15,'WPP 2024 середина года'!$A:$A,0),MATCH(R$1,'WPP 2024 середина года'!$B$1:$U$1,0))/(1000*INDEX('SALA 2002'!$B:$U,MATCH($A15,'SALA 2002'!$A:$A,0),MATCH(R$1,'SALA 2002'!$B$1:$U$1,0))),($A15-1994)/7),INDEX('WPP 2024 середина года'!$B:$U,MATCH($A15,'WPP 2024 середина года'!$A:$A,0),MATCH(R$1,'WPP 2024 середина года'!$B$1:$U$1,0)))))</f>
        <v>650</v>
      </c>
      <c r="S15" s="7">
        <f>IF($A15&lt;=1951,INDEX('SALA 1974'!$B:$U,MATCH($A15,'SALA 1974'!$A:$A,0),MATCH(S$1,'SALA 1974'!$B$1:$U$1,0)),IF($A15&lt;=1994,1000*INDEX('SALA 2002'!$B:$U,MATCH($A15,'SALA 2002'!$A:$A,0),MATCH(S$1,'SALA 2002'!$B$1:$U$1,0)),IF($A15&lt;=2000,1000*INDEX('SALA 2002'!$B:$U,MATCH($A15,'SALA 2002'!$A:$A,0),MATCH(S$1,'SALA 2002'!$B$1:$U$1,0))*POWER(INDEX('WPP 2024 середина года'!$B:$U,MATCH($A15,'WPP 2024 середина года'!$A:$A,0),MATCH(S$1,'WPP 2024 середина года'!$B$1:$U$1,0))/(1000*INDEX('SALA 2002'!$B:$U,MATCH($A15,'SALA 2002'!$A:$A,0),MATCH(S$1,'SALA 2002'!$B$1:$U$1,0))),($A15-1994)/7),INDEX('WPP 2024 середина года'!$B:$U,MATCH($A15,'WPP 2024 середина года'!$A:$A,0),MATCH(S$1,'WPP 2024 середина года'!$B$1:$U$1,0)))))</f>
        <v>4267</v>
      </c>
      <c r="T15" s="7">
        <f>IF($A15&lt;=1951,INDEX('SALA 1974'!$B:$U,MATCH($A15,'SALA 1974'!$A:$A,0),MATCH(T$1,'SALA 1974'!$B$1:$U$1,0)),IF($A15&lt;=1994,1000*INDEX('SALA 2002'!$B:$U,MATCH($A15,'SALA 2002'!$A:$A,0),MATCH(T$1,'SALA 2002'!$B$1:$U$1,0)),IF($A15&lt;=2000,1000*INDEX('SALA 2002'!$B:$U,MATCH($A15,'SALA 2002'!$A:$A,0),MATCH(T$1,'SALA 2002'!$B$1:$U$1,0))*POWER(INDEX('WPP 2024 середина года'!$B:$U,MATCH($A15,'WPP 2024 середина года'!$A:$A,0),MATCH(T$1,'WPP 2024 середина года'!$B$1:$U$1,0))/(1000*INDEX('SALA 2002'!$B:$U,MATCH($A15,'SALA 2002'!$A:$A,0),MATCH(T$1,'SALA 2002'!$B$1:$U$1,0))),($A15-1994)/7),INDEX('WPP 2024 середина года'!$B:$U,MATCH($A15,'WPP 2024 середина года'!$A:$A,0),MATCH(T$1,'WPP 2024 середина года'!$B$1:$U$1,0)))))</f>
        <v>1279</v>
      </c>
      <c r="U15" s="7">
        <f>IF($A15&lt;=1951,INDEX('SALA 1974'!$B:$U,MATCH($A15,'SALA 1974'!$A:$A,0),MATCH(U$1,'SALA 1974'!$B$1:$U$1,0)),IF($A15&lt;=1994,1000*INDEX('SALA 2002'!$B:$U,MATCH($A15,'SALA 2002'!$A:$A,0),MATCH(U$1,'SALA 2002'!$B$1:$U$1,0)),IF($A15&lt;=2000,1000*INDEX('SALA 2002'!$B:$U,MATCH($A15,'SALA 2002'!$A:$A,0),MATCH(U$1,'SALA 2002'!$B$1:$U$1,0))*POWER(INDEX('WPP 2024 середина года'!$B:$U,MATCH($A15,'WPP 2024 середина года'!$A:$A,0),MATCH(U$1,'WPP 2024 середина года'!$B$1:$U$1,0))/(1000*INDEX('SALA 2002'!$B:$U,MATCH($A15,'SALA 2002'!$A:$A,0),MATCH(U$1,'SALA 2002'!$B$1:$U$1,0))),($A15-1994)/7),INDEX('WPP 2024 середина года'!$B:$U,MATCH($A15,'WPP 2024 середина года'!$A:$A,0),MATCH(U$1,'WPP 2024 середина года'!$B$1:$U$1,0)))))</f>
        <v>2661</v>
      </c>
    </row>
    <row r="16" spans="1:21" x14ac:dyDescent="0.25">
      <c r="A16" s="5">
        <f t="shared" si="0"/>
        <v>1914</v>
      </c>
      <c r="B16" s="7">
        <f>IF($A16&lt;=1951,INDEX('SALA 1974'!$B:$U,MATCH($A16,'SALA 1974'!$A:$A,0),MATCH(B$1,'SALA 1974'!$B$1:$U$1,0)),IF($A16&lt;=1994,1000*INDEX('SALA 2002'!$B:$U,MATCH($A16,'SALA 2002'!$A:$A,0),MATCH(B$1,'SALA 2002'!$B$1:$U$1,0)),IF($A16&lt;=2000,1000*INDEX('SALA 2002'!$B:$U,MATCH($A16,'SALA 2002'!$A:$A,0),MATCH(B$1,'SALA 2002'!$B$1:$U$1,0))*POWER(INDEX('WPP 2024 середина года'!$B:$U,MATCH($A16,'WPP 2024 середина года'!$A:$A,0),MATCH(B$1,'WPP 2024 середина года'!$B$1:$U$1,0))/(1000*INDEX('SALA 2002'!$B:$U,MATCH($A16,'SALA 2002'!$A:$A,0),MATCH(B$1,'SALA 2002'!$B$1:$U$1,0))),($A16-1994)/7),INDEX('WPP 2024 середина года'!$B:$U,MATCH($A16,'WPP 2024 середина года'!$A:$A,0),MATCH(B$1,'WPP 2024 середина года'!$B$1:$U$1,0)))))</f>
        <v>7996</v>
      </c>
      <c r="C16" s="7">
        <f>IF($A16&lt;=1951,INDEX('SALA 1974'!$B:$U,MATCH($A16,'SALA 1974'!$A:$A,0),MATCH(C$1,'SALA 1974'!$B$1:$U$1,0)),IF($A16&lt;=1994,1000*INDEX('SALA 2002'!$B:$U,MATCH($A16,'SALA 2002'!$A:$A,0),MATCH(C$1,'SALA 2002'!$B$1:$U$1,0)),IF($A16&lt;=2000,1000*INDEX('SALA 2002'!$B:$U,MATCH($A16,'SALA 2002'!$A:$A,0),MATCH(C$1,'SALA 2002'!$B$1:$U$1,0))*POWER(INDEX('WPP 2024 середина года'!$B:$U,MATCH($A16,'WPP 2024 середина года'!$A:$A,0),MATCH(C$1,'WPP 2024 середина года'!$B$1:$U$1,0))/(1000*INDEX('SALA 2002'!$B:$U,MATCH($A16,'SALA 2002'!$A:$A,0),MATCH(C$1,'SALA 2002'!$B$1:$U$1,0))),($A16-1994)/7),INDEX('WPP 2024 середина года'!$B:$U,MATCH($A16,'WPP 2024 середина года'!$A:$A,0),MATCH(C$1,'WPP 2024 середина года'!$B$1:$U$1,0)))))</f>
        <v>2025</v>
      </c>
      <c r="D16" s="7">
        <f>IF($A16&lt;=1951,INDEX('SALA 1974'!$B:$U,MATCH($A16,'SALA 1974'!$A:$A,0),MATCH(D$1,'SALA 1974'!$B$1:$U$1,0)),IF($A16&lt;=1994,1000*INDEX('SALA 2002'!$B:$U,MATCH($A16,'SALA 2002'!$A:$A,0),MATCH(D$1,'SALA 2002'!$B$1:$U$1,0)),IF($A16&lt;=2000,1000*INDEX('SALA 2002'!$B:$U,MATCH($A16,'SALA 2002'!$A:$A,0),MATCH(D$1,'SALA 2002'!$B$1:$U$1,0))*POWER(INDEX('WPP 2024 середина года'!$B:$U,MATCH($A16,'WPP 2024 середина года'!$A:$A,0),MATCH(D$1,'WPP 2024 середина года'!$B$1:$U$1,0))/(1000*INDEX('SALA 2002'!$B:$U,MATCH($A16,'SALA 2002'!$A:$A,0),MATCH(D$1,'SALA 2002'!$B$1:$U$1,0))),($A16-1994)/7),INDEX('WPP 2024 середина года'!$B:$U,MATCH($A16,'WPP 2024 середина года'!$A:$A,0),MATCH(D$1,'WPP 2024 середина года'!$B$1:$U$1,0)))))</f>
        <v>24161</v>
      </c>
      <c r="E16" s="7">
        <f>IF($A16&lt;=1951,INDEX('SALA 1974'!$B:$U,MATCH($A16,'SALA 1974'!$A:$A,0),MATCH(E$1,'SALA 1974'!$B$1:$U$1,0)),IF($A16&lt;=1994,1000*INDEX('SALA 2002'!$B:$U,MATCH($A16,'SALA 2002'!$A:$A,0),MATCH(E$1,'SALA 2002'!$B$1:$U$1,0)),IF($A16&lt;=2000,1000*INDEX('SALA 2002'!$B:$U,MATCH($A16,'SALA 2002'!$A:$A,0),MATCH(E$1,'SALA 2002'!$B$1:$U$1,0))*POWER(INDEX('WPP 2024 середина года'!$B:$U,MATCH($A16,'WPP 2024 середина года'!$A:$A,0),MATCH(E$1,'WPP 2024 середина года'!$B$1:$U$1,0))/(1000*INDEX('SALA 2002'!$B:$U,MATCH($A16,'SALA 2002'!$A:$A,0),MATCH(E$1,'SALA 2002'!$B$1:$U$1,0))),($A16-1994)/7),INDEX('WPP 2024 середина года'!$B:$U,MATCH($A16,'WPP 2024 середина года'!$A:$A,0),MATCH(E$1,'WPP 2024 середина года'!$B$1:$U$1,0)))))</f>
        <v>3509</v>
      </c>
      <c r="F16" s="7">
        <f>IF($A16&lt;=1947,INDEX('SALA 1974'!$B:$U,MATCH($A16,'SALA 1974'!$A:$A,0),MATCH(F$1,'SALA 1974'!$B$1:$U$1,0)),IF($A16&lt;=1994,1000*INDEX('SALA 2002'!$B:$U,MATCH($A16,'SALA 2002'!$A:$A,0),MATCH(F$1,'SALA 2002'!$B$1:$U$1,0)),IF($A16&lt;=2000,1000*INDEX('SALA 2002'!$B:$U,MATCH($A16,'SALA 2002'!$A:$A,0),MATCH(F$1,'SALA 2002'!$B$1:$U$1,0))*POWER(INDEX('WPP 2024 середина года'!$B:$U,MATCH($A16,'WPP 2024 середина года'!$A:$A,0),MATCH(F$1,'WPP 2024 середина года'!$B$1:$U$1,0))/(1000*INDEX('SALA 2002'!$B:$U,MATCH($A16,'SALA 2002'!$A:$A,0),MATCH(F$1,'SALA 2002'!$B$1:$U$1,0))),($A16-1994)/7),INDEX('WPP 2024 середина года'!$B:$U,MATCH($A16,'WPP 2024 середина года'!$A:$A,0),MATCH(F$1,'WPP 2024 середина года'!$B$1:$U$1,0)))))</f>
        <v>5318</v>
      </c>
      <c r="G16" s="7">
        <f>IF($A16&lt;=1951,INDEX('SALA 1974'!$B:$U,MATCH($A16,'SALA 1974'!$A:$A,0),MATCH(G$1,'SALA 1974'!$B$1:$U$1,0)),IF($A16&lt;=1994,1000*INDEX('SALA 2002'!$B:$U,MATCH($A16,'SALA 2002'!$A:$A,0),MATCH(G$1,'SALA 2002'!$B$1:$U$1,0)),IF($A16&lt;=2000,1000*INDEX('SALA 2002'!$B:$U,MATCH($A16,'SALA 2002'!$A:$A,0),MATCH(G$1,'SALA 2002'!$B$1:$U$1,0))*POWER(INDEX('WPP 2024 середина года'!$B:$U,MATCH($A16,'WPP 2024 середина года'!$A:$A,0),MATCH(G$1,'WPP 2024 середина года'!$B$1:$U$1,0))/(1000*INDEX('SALA 2002'!$B:$U,MATCH($A16,'SALA 2002'!$A:$A,0),MATCH(G$1,'SALA 2002'!$B$1:$U$1,0))),($A16-1994)/7),INDEX('WPP 2024 середина года'!$B:$U,MATCH($A16,'WPP 2024 середина года'!$A:$A,0),MATCH(G$1,'WPP 2024 середина года'!$B$1:$U$1,0)))))</f>
        <v>387</v>
      </c>
      <c r="H16" s="7">
        <f>IF($A16&lt;=1951,INDEX('SALA 1974'!$B:$U,MATCH($A16,'SALA 1974'!$A:$A,0),MATCH(H$1,'SALA 1974'!$B$1:$U$1,0)),IF($A16&lt;=1994,1000*INDEX('SALA 2002'!$B:$U,MATCH($A16,'SALA 2002'!$A:$A,0),MATCH(H$1,'SALA 2002'!$B$1:$U$1,0)),IF($A16&lt;=2000,1000*INDEX('SALA 2002'!$B:$U,MATCH($A16,'SALA 2002'!$A:$A,0),MATCH(H$1,'SALA 2002'!$B$1:$U$1,0))*POWER(INDEX('WPP 2024 середина года'!$B:$U,MATCH($A16,'WPP 2024 середина года'!$A:$A,0),MATCH(H$1,'WPP 2024 середина года'!$B$1:$U$1,0))/(1000*INDEX('SALA 2002'!$B:$U,MATCH($A16,'SALA 2002'!$A:$A,0),MATCH(H$1,'SALA 2002'!$B$1:$U$1,0))),($A16-1994)/7),INDEX('WPP 2024 середина года'!$B:$U,MATCH($A16,'WPP 2024 середина года'!$A:$A,0),MATCH(H$1,'WPP 2024 середина года'!$B$1:$U$1,0)))))</f>
        <v>2507</v>
      </c>
      <c r="I16" s="7">
        <f>IF($A16&lt;=1951,INDEX('SALA 1974'!$B:$U,MATCH($A16,'SALA 1974'!$A:$A,0),MATCH(I$1,'SALA 1974'!$B$1:$U$1,0)),IF($A16&lt;=1994,1000*INDEX('SALA 2002'!$B:$U,MATCH($A16,'SALA 2002'!$A:$A,0),MATCH(I$1,'SALA 2002'!$B$1:$U$1,0)),IF($A16&lt;=2000,1000*INDEX('SALA 2002'!$B:$U,MATCH($A16,'SALA 2002'!$A:$A,0),MATCH(I$1,'SALA 2002'!$B$1:$U$1,0))*POWER(INDEX('WPP 2024 середина года'!$B:$U,MATCH($A16,'WPP 2024 середина года'!$A:$A,0),MATCH(I$1,'WPP 2024 середина года'!$B$1:$U$1,0))/(1000*INDEX('SALA 2002'!$B:$U,MATCH($A16,'SALA 2002'!$A:$A,0),MATCH(I$1,'SALA 2002'!$B$1:$U$1,0))),($A16-1994)/7),INDEX('WPP 2024 середина года'!$B:$U,MATCH($A16,'WPP 2024 середина года'!$A:$A,0),MATCH(I$1,'WPP 2024 середина года'!$B$1:$U$1,0)))))</f>
        <v>795</v>
      </c>
      <c r="J16" s="7">
        <f>IF($A16&lt;=1951,INDEX('SALA 1974'!$B:$U,MATCH($A16,'SALA 1974'!$A:$A,0),MATCH(J$1,'SALA 1974'!$B$1:$U$1,0)),IF($A16&lt;=1994,1000*INDEX('SALA 2002'!$B:$U,MATCH($A16,'SALA 2002'!$A:$A,0),MATCH(J$1,'SALA 2002'!$B$1:$U$1,0)),IF($A16&lt;=2000,1000*INDEX('SALA 2002'!$B:$U,MATCH($A16,'SALA 2002'!$A:$A,0),MATCH(J$1,'SALA 2002'!$B$1:$U$1,0))*POWER(INDEX('WPP 2024 середина года'!$B:$U,MATCH($A16,'WPP 2024 середина года'!$A:$A,0),MATCH(J$1,'WPP 2024 середина года'!$B$1:$U$1,0))/(1000*INDEX('SALA 2002'!$B:$U,MATCH($A16,'SALA 2002'!$A:$A,0),MATCH(J$1,'SALA 2002'!$B$1:$U$1,0))),($A16-1994)/7),INDEX('WPP 2024 середина года'!$B:$U,MATCH($A16,'WPP 2024 середина года'!$A:$A,0),MATCH(J$1,'WPP 2024 середина года'!$B$1:$U$1,0)))))</f>
        <v>1469</v>
      </c>
      <c r="K16" s="7">
        <f>IF($A16&lt;=1951,INDEX('SALA 1974'!$B:$U,MATCH($A16,'SALA 1974'!$A:$A,0),MATCH(K$1,'SALA 1974'!$B$1:$U$1,0)),IF($A16&lt;=1994,1000*INDEX('SALA 2002'!$B:$U,MATCH($A16,'SALA 2002'!$A:$A,0),MATCH(K$1,'SALA 2002'!$B$1:$U$1,0)),IF($A16&lt;=2000,1000*INDEX('SALA 2002'!$B:$U,MATCH($A16,'SALA 2002'!$A:$A,0),MATCH(K$1,'SALA 2002'!$B$1:$U$1,0))*POWER(INDEX('WPP 2024 середина года'!$B:$U,MATCH($A16,'WPP 2024 середина года'!$A:$A,0),MATCH(K$1,'WPP 2024 середина года'!$B$1:$U$1,0))/(1000*INDEX('SALA 2002'!$B:$U,MATCH($A16,'SALA 2002'!$A:$A,0),MATCH(K$1,'SALA 2002'!$B$1:$U$1,0))),($A16-1994)/7),INDEX('WPP 2024 середина года'!$B:$U,MATCH($A16,'WPP 2024 середина года'!$A:$A,0),MATCH(K$1,'WPP 2024 середина года'!$B$1:$U$1,0)))))</f>
        <v>1058</v>
      </c>
      <c r="L16" s="7">
        <f>IF($A16&lt;=1951,INDEX('SALA 1974'!$B:$U,MATCH($A16,'SALA 1974'!$A:$A,0),MATCH(L$1,'SALA 1974'!$B$1:$U$1,0)),IF($A16&lt;=1994,1000*INDEX('SALA 2002'!$B:$U,MATCH($A16,'SALA 2002'!$A:$A,0),MATCH(L$1,'SALA 2002'!$B$1:$U$1,0)),IF($A16&lt;=2000,1000*INDEX('SALA 2002'!$B:$U,MATCH($A16,'SALA 2002'!$A:$A,0),MATCH(L$1,'SALA 2002'!$B$1:$U$1,0))*POWER(INDEX('WPP 2024 середина года'!$B:$U,MATCH($A16,'WPP 2024 середина года'!$A:$A,0),MATCH(L$1,'WPP 2024 середина года'!$B$1:$U$1,0))/(1000*INDEX('SALA 2002'!$B:$U,MATCH($A16,'SALA 2002'!$A:$A,0),MATCH(L$1,'SALA 2002'!$B$1:$U$1,0))),($A16-1994)/7),INDEX('WPP 2024 середина года'!$B:$U,MATCH($A16,'WPP 2024 середина года'!$A:$A,0),MATCH(L$1,'WPP 2024 середина года'!$B$1:$U$1,0)))))</f>
        <v>1180</v>
      </c>
      <c r="M16" s="7">
        <f>IF($A16&lt;=1951,INDEX('SALA 1974'!$B:$U,MATCH($A16,'SALA 1974'!$A:$A,0),MATCH(M$1,'SALA 1974'!$B$1:$U$1,0)),IF($A16&lt;=1994,1000*INDEX('SALA 2002'!$B:$U,MATCH($A16,'SALA 2002'!$A:$A,0),MATCH(M$1,'SALA 2002'!$B$1:$U$1,0)),IF($A16&lt;=2000,1000*INDEX('SALA 2002'!$B:$U,MATCH($A16,'SALA 2002'!$A:$A,0),MATCH(M$1,'SALA 2002'!$B$1:$U$1,0))*POWER(INDEX('WPP 2024 середина года'!$B:$U,MATCH($A16,'WPP 2024 середина года'!$A:$A,0),MATCH(M$1,'WPP 2024 середина года'!$B$1:$U$1,0))/(1000*INDEX('SALA 2002'!$B:$U,MATCH($A16,'SALA 2002'!$A:$A,0),MATCH(M$1,'SALA 2002'!$B$1:$U$1,0))),($A16-1994)/7),INDEX('WPP 2024 середина года'!$B:$U,MATCH($A16,'WPP 2024 середина года'!$A:$A,0),MATCH(M$1,'WPP 2024 середина года'!$B$1:$U$1,0)))))</f>
        <v>1862</v>
      </c>
      <c r="N16" s="7">
        <f>IF($A16&lt;=1951,INDEX('SALA 1974'!$B:$U,MATCH($A16,'SALA 1974'!$A:$A,0),MATCH(N$1,'SALA 1974'!$B$1:$U$1,0)),IF($A16&lt;=1994,1000*INDEX('SALA 2002'!$B:$U,MATCH($A16,'SALA 2002'!$A:$A,0),MATCH(N$1,'SALA 2002'!$B$1:$U$1,0)),IF($A16&lt;=2000,1000*INDEX('SALA 2002'!$B:$U,MATCH($A16,'SALA 2002'!$A:$A,0),MATCH(N$1,'SALA 2002'!$B$1:$U$1,0))*POWER(INDEX('WPP 2024 середина года'!$B:$U,MATCH($A16,'WPP 2024 середина года'!$A:$A,0),MATCH(N$1,'WPP 2024 середина года'!$B$1:$U$1,0))/(1000*INDEX('SALA 2002'!$B:$U,MATCH($A16,'SALA 2002'!$A:$A,0),MATCH(N$1,'SALA 2002'!$B$1:$U$1,0))),($A16-1994)/7),INDEX('WPP 2024 середина года'!$B:$U,MATCH($A16,'WPP 2024 середина года'!$A:$A,0),MATCH(N$1,'WPP 2024 середина года'!$B$1:$U$1,0)))))</f>
        <v>588</v>
      </c>
      <c r="O16" s="7">
        <f>IF($A16&lt;=1951,INDEX('SALA 1974'!$B:$U,MATCH($A16,'SALA 1974'!$A:$A,0),MATCH(O$1,'SALA 1974'!$B$1:$U$1,0)),IF($A16&lt;=1994,1000*INDEX('SALA 2002'!$B:$U,MATCH($A16,'SALA 2002'!$A:$A,0),MATCH(O$1,'SALA 2002'!$B$1:$U$1,0)),IF($A16&lt;=2000,1000*INDEX('SALA 2002'!$B:$U,MATCH($A16,'SALA 2002'!$A:$A,0),MATCH(O$1,'SALA 2002'!$B$1:$U$1,0))*POWER(INDEX('WPP 2024 середина года'!$B:$U,MATCH($A16,'WPP 2024 середина года'!$A:$A,0),MATCH(O$1,'WPP 2024 середина года'!$B$1:$U$1,0))/(1000*INDEX('SALA 2002'!$B:$U,MATCH($A16,'SALA 2002'!$A:$A,0),MATCH(O$1,'SALA 2002'!$B$1:$U$1,0))),($A16-1994)/7),INDEX('WPP 2024 середина года'!$B:$U,MATCH($A16,'WPP 2024 середина года'!$A:$A,0),MATCH(O$1,'WPP 2024 середина года'!$B$1:$U$1,0)))))</f>
        <v>15083</v>
      </c>
      <c r="P16" s="7">
        <f>IF($A16&lt;=1951,INDEX('SALA 1974'!$B:$U,MATCH($A16,'SALA 1974'!$A:$A,0),MATCH(P$1,'SALA 1974'!$B$1:$U$1,0)),IF($A16&lt;=1994,1000*INDEX('SALA 2002'!$B:$U,MATCH($A16,'SALA 2002'!$A:$A,0),MATCH(P$1,'SALA 2002'!$B$1:$U$1,0)),IF($A16&lt;=2000,1000*INDEX('SALA 2002'!$B:$U,MATCH($A16,'SALA 2002'!$A:$A,0),MATCH(P$1,'SALA 2002'!$B$1:$U$1,0))*POWER(INDEX('WPP 2024 середина года'!$B:$U,MATCH($A16,'WPP 2024 середина года'!$A:$A,0),MATCH(P$1,'WPP 2024 середина года'!$B$1:$U$1,0))/(1000*INDEX('SALA 2002'!$B:$U,MATCH($A16,'SALA 2002'!$A:$A,0),MATCH(P$1,'SALA 2002'!$B$1:$U$1,0))),($A16-1994)/7),INDEX('WPP 2024 середина года'!$B:$U,MATCH($A16,'WPP 2024 середина года'!$A:$A,0),MATCH(P$1,'WPP 2024 середина года'!$B$1:$U$1,0)))))</f>
        <v>581</v>
      </c>
      <c r="Q16" s="7">
        <f>IF($A16&lt;=1951,INDEX('SALA 1974'!$B:$U,MATCH($A16,'SALA 1974'!$A:$A,0),MATCH(Q$1,'SALA 1974'!$B$1:$U$1,0)),IF($A16&lt;=1994,1000*INDEX('SALA 2002'!$B:$U,MATCH($A16,'SALA 2002'!$A:$A,0),MATCH(Q$1,'SALA 2002'!$B$1:$U$1,0)),IF($A16&lt;=2000,1000*INDEX('SALA 2002'!$B:$U,MATCH($A16,'SALA 2002'!$A:$A,0),MATCH(Q$1,'SALA 2002'!$B$1:$U$1,0))*POWER(INDEX('WPP 2024 середина года'!$B:$U,MATCH($A16,'WPP 2024 середина года'!$A:$A,0),MATCH(Q$1,'WPP 2024 середина года'!$B$1:$U$1,0))/(1000*INDEX('SALA 2002'!$B:$U,MATCH($A16,'SALA 2002'!$A:$A,0),MATCH(Q$1,'SALA 2002'!$B$1:$U$1,0))),($A16-1994)/7),INDEX('WPP 2024 середина года'!$B:$U,MATCH($A16,'WPP 2024 середина года'!$A:$A,0),MATCH(Q$1,'WPP 2024 середина года'!$B$1:$U$1,0)))))</f>
        <v>378</v>
      </c>
      <c r="R16" s="7">
        <f>IF($A16&lt;=1951,INDEX('SALA 1974'!$B:$U,MATCH($A16,'SALA 1974'!$A:$A,0),MATCH(R$1,'SALA 1974'!$B$1:$U$1,0)),IF($A16&lt;=1994,1000*INDEX('SALA 2002'!$B:$U,MATCH($A16,'SALA 2002'!$A:$A,0),MATCH(R$1,'SALA 2002'!$B$1:$U$1,0)),IF($A16&lt;=2000,1000*INDEX('SALA 2002'!$B:$U,MATCH($A16,'SALA 2002'!$A:$A,0),MATCH(R$1,'SALA 2002'!$B$1:$U$1,0))*POWER(INDEX('WPP 2024 середина года'!$B:$U,MATCH($A16,'WPP 2024 середина года'!$A:$A,0),MATCH(R$1,'WPP 2024 середина года'!$B$1:$U$1,0))/(1000*INDEX('SALA 2002'!$B:$U,MATCH($A16,'SALA 2002'!$A:$A,0),MATCH(R$1,'SALA 2002'!$B$1:$U$1,0))),($A16-1994)/7),INDEX('WPP 2024 середина года'!$B:$U,MATCH($A16,'WPP 2024 середина года'!$A:$A,0),MATCH(R$1,'WPP 2024 середина года'!$B$1:$U$1,0)))))</f>
        <v>657</v>
      </c>
      <c r="S16" s="7">
        <f>IF($A16&lt;=1951,INDEX('SALA 1974'!$B:$U,MATCH($A16,'SALA 1974'!$A:$A,0),MATCH(S$1,'SALA 1974'!$B$1:$U$1,0)),IF($A16&lt;=1994,1000*INDEX('SALA 2002'!$B:$U,MATCH($A16,'SALA 2002'!$A:$A,0),MATCH(S$1,'SALA 2002'!$B$1:$U$1,0)),IF($A16&lt;=2000,1000*INDEX('SALA 2002'!$B:$U,MATCH($A16,'SALA 2002'!$A:$A,0),MATCH(S$1,'SALA 2002'!$B$1:$U$1,0))*POWER(INDEX('WPP 2024 середина года'!$B:$U,MATCH($A16,'WPP 2024 середина года'!$A:$A,0),MATCH(S$1,'WPP 2024 середина года'!$B$1:$U$1,0))/(1000*INDEX('SALA 2002'!$B:$U,MATCH($A16,'SALA 2002'!$A:$A,0),MATCH(S$1,'SALA 2002'!$B$1:$U$1,0))),($A16-1994)/7),INDEX('WPP 2024 середина года'!$B:$U,MATCH($A16,'WPP 2024 середина года'!$A:$A,0),MATCH(S$1,'WPP 2024 середина года'!$B$1:$U$1,0)))))</f>
        <v>4347</v>
      </c>
      <c r="T16" s="7">
        <f>IF($A16&lt;=1951,INDEX('SALA 1974'!$B:$U,MATCH($A16,'SALA 1974'!$A:$A,0),MATCH(T$1,'SALA 1974'!$B$1:$U$1,0)),IF($A16&lt;=1994,1000*INDEX('SALA 2002'!$B:$U,MATCH($A16,'SALA 2002'!$A:$A,0),MATCH(T$1,'SALA 2002'!$B$1:$U$1,0)),IF($A16&lt;=2000,1000*INDEX('SALA 2002'!$B:$U,MATCH($A16,'SALA 2002'!$A:$A,0),MATCH(T$1,'SALA 2002'!$B$1:$U$1,0))*POWER(INDEX('WPP 2024 середина года'!$B:$U,MATCH($A16,'WPP 2024 середина года'!$A:$A,0),MATCH(T$1,'WPP 2024 середина года'!$B$1:$U$1,0))/(1000*INDEX('SALA 2002'!$B:$U,MATCH($A16,'SALA 2002'!$A:$A,0),MATCH(T$1,'SALA 2002'!$B$1:$U$1,0))),($A16-1994)/7),INDEX('WPP 2024 середина года'!$B:$U,MATCH($A16,'WPP 2024 середина года'!$A:$A,0),MATCH(T$1,'WPP 2024 середина года'!$B$1:$U$1,0)))))</f>
        <v>1316</v>
      </c>
      <c r="U16" s="7">
        <f>IF($A16&lt;=1951,INDEX('SALA 1974'!$B:$U,MATCH($A16,'SALA 1974'!$A:$A,0),MATCH(U$1,'SALA 1974'!$B$1:$U$1,0)),IF($A16&lt;=1994,1000*INDEX('SALA 2002'!$B:$U,MATCH($A16,'SALA 2002'!$A:$A,0),MATCH(U$1,'SALA 2002'!$B$1:$U$1,0)),IF($A16&lt;=2000,1000*INDEX('SALA 2002'!$B:$U,MATCH($A16,'SALA 2002'!$A:$A,0),MATCH(U$1,'SALA 2002'!$B$1:$U$1,0))*POWER(INDEX('WPP 2024 середина года'!$B:$U,MATCH($A16,'WPP 2024 середина года'!$A:$A,0),MATCH(U$1,'WPP 2024 середина года'!$B$1:$U$1,0))/(1000*INDEX('SALA 2002'!$B:$U,MATCH($A16,'SALA 2002'!$A:$A,0),MATCH(U$1,'SALA 2002'!$B$1:$U$1,0))),($A16-1994)/7),INDEX('WPP 2024 середина года'!$B:$U,MATCH($A16,'WPP 2024 середина года'!$A:$A,0),MATCH(U$1,'WPP 2024 середина года'!$B$1:$U$1,0)))))</f>
        <v>2683</v>
      </c>
    </row>
    <row r="17" spans="1:21" x14ac:dyDescent="0.25">
      <c r="A17" s="5">
        <f t="shared" si="0"/>
        <v>1915</v>
      </c>
      <c r="B17" s="7">
        <f>IF($A17&lt;=1951,INDEX('SALA 1974'!$B:$U,MATCH($A17,'SALA 1974'!$A:$A,0),MATCH(B$1,'SALA 1974'!$B$1:$U$1,0)),IF($A17&lt;=1994,1000*INDEX('SALA 2002'!$B:$U,MATCH($A17,'SALA 2002'!$A:$A,0),MATCH(B$1,'SALA 2002'!$B$1:$U$1,0)),IF($A17&lt;=2000,1000*INDEX('SALA 2002'!$B:$U,MATCH($A17,'SALA 2002'!$A:$A,0),MATCH(B$1,'SALA 2002'!$B$1:$U$1,0))*POWER(INDEX('WPP 2024 середина года'!$B:$U,MATCH($A17,'WPP 2024 середина года'!$A:$A,0),MATCH(B$1,'WPP 2024 середина года'!$B$1:$U$1,0))/(1000*INDEX('SALA 2002'!$B:$U,MATCH($A17,'SALA 2002'!$A:$A,0),MATCH(B$1,'SALA 2002'!$B$1:$U$1,0))),($A17-1994)/7),INDEX('WPP 2024 середина года'!$B:$U,MATCH($A17,'WPP 2024 середина года'!$A:$A,0),MATCH(B$1,'WPP 2024 середина года'!$B$1:$U$1,0)))))</f>
        <v>8148</v>
      </c>
      <c r="C17" s="7">
        <f>IF($A17&lt;=1951,INDEX('SALA 1974'!$B:$U,MATCH($A17,'SALA 1974'!$A:$A,0),MATCH(C$1,'SALA 1974'!$B$1:$U$1,0)),IF($A17&lt;=1994,1000*INDEX('SALA 2002'!$B:$U,MATCH($A17,'SALA 2002'!$A:$A,0),MATCH(C$1,'SALA 2002'!$B$1:$U$1,0)),IF($A17&lt;=2000,1000*INDEX('SALA 2002'!$B:$U,MATCH($A17,'SALA 2002'!$A:$A,0),MATCH(C$1,'SALA 2002'!$B$1:$U$1,0))*POWER(INDEX('WPP 2024 середина года'!$B:$U,MATCH($A17,'WPP 2024 середина года'!$A:$A,0),MATCH(C$1,'WPP 2024 середина года'!$B$1:$U$1,0))/(1000*INDEX('SALA 2002'!$B:$U,MATCH($A17,'SALA 2002'!$A:$A,0),MATCH(C$1,'SALA 2002'!$B$1:$U$1,0))),($A17-1994)/7),INDEX('WPP 2024 середина года'!$B:$U,MATCH($A17,'WPP 2024 середина года'!$A:$A,0),MATCH(C$1,'WPP 2024 середина года'!$B$1:$U$1,0)))))</f>
        <v>2044</v>
      </c>
      <c r="D17" s="7">
        <f>IF($A17&lt;=1951,INDEX('SALA 1974'!$B:$U,MATCH($A17,'SALA 1974'!$A:$A,0),MATCH(D$1,'SALA 1974'!$B$1:$U$1,0)),IF($A17&lt;=1994,1000*INDEX('SALA 2002'!$B:$U,MATCH($A17,'SALA 2002'!$A:$A,0),MATCH(D$1,'SALA 2002'!$B$1:$U$1,0)),IF($A17&lt;=2000,1000*INDEX('SALA 2002'!$B:$U,MATCH($A17,'SALA 2002'!$A:$A,0),MATCH(D$1,'SALA 2002'!$B$1:$U$1,0))*POWER(INDEX('WPP 2024 середина года'!$B:$U,MATCH($A17,'WPP 2024 середина года'!$A:$A,0),MATCH(D$1,'WPP 2024 середина года'!$B$1:$U$1,0))/(1000*INDEX('SALA 2002'!$B:$U,MATCH($A17,'SALA 2002'!$A:$A,0),MATCH(D$1,'SALA 2002'!$B$1:$U$1,0))),($A17-1994)/7),INDEX('WPP 2024 середина года'!$B:$U,MATCH($A17,'WPP 2024 середина года'!$A:$A,0),MATCH(D$1,'WPP 2024 середина года'!$B$1:$U$1,0)))))</f>
        <v>24674</v>
      </c>
      <c r="E17" s="7">
        <f>IF($A17&lt;=1951,INDEX('SALA 1974'!$B:$U,MATCH($A17,'SALA 1974'!$A:$A,0),MATCH(E$1,'SALA 1974'!$B$1:$U$1,0)),IF($A17&lt;=1994,1000*INDEX('SALA 2002'!$B:$U,MATCH($A17,'SALA 2002'!$A:$A,0),MATCH(E$1,'SALA 2002'!$B$1:$U$1,0)),IF($A17&lt;=2000,1000*INDEX('SALA 2002'!$B:$U,MATCH($A17,'SALA 2002'!$A:$A,0),MATCH(E$1,'SALA 2002'!$B$1:$U$1,0))*POWER(INDEX('WPP 2024 середина года'!$B:$U,MATCH($A17,'WPP 2024 середина года'!$A:$A,0),MATCH(E$1,'WPP 2024 середина года'!$B$1:$U$1,0))/(1000*INDEX('SALA 2002'!$B:$U,MATCH($A17,'SALA 2002'!$A:$A,0),MATCH(E$1,'SALA 2002'!$B$1:$U$1,0))),($A17-1994)/7),INDEX('WPP 2024 середина года'!$B:$U,MATCH($A17,'WPP 2024 середина года'!$A:$A,0),MATCH(E$1,'WPP 2024 середина года'!$B$1:$U$1,0)))))</f>
        <v>3553</v>
      </c>
      <c r="F17" s="7">
        <f>IF($A17&lt;=1947,INDEX('SALA 1974'!$B:$U,MATCH($A17,'SALA 1974'!$A:$A,0),MATCH(F$1,'SALA 1974'!$B$1:$U$1,0)),IF($A17&lt;=1994,1000*INDEX('SALA 2002'!$B:$U,MATCH($A17,'SALA 2002'!$A:$A,0),MATCH(F$1,'SALA 2002'!$B$1:$U$1,0)),IF($A17&lt;=2000,1000*INDEX('SALA 2002'!$B:$U,MATCH($A17,'SALA 2002'!$A:$A,0),MATCH(F$1,'SALA 2002'!$B$1:$U$1,0))*POWER(INDEX('WPP 2024 середина года'!$B:$U,MATCH($A17,'WPP 2024 середина года'!$A:$A,0),MATCH(F$1,'WPP 2024 середина года'!$B$1:$U$1,0))/(1000*INDEX('SALA 2002'!$B:$U,MATCH($A17,'SALA 2002'!$A:$A,0),MATCH(F$1,'SALA 2002'!$B$1:$U$1,0))),($A17-1994)/7),INDEX('WPP 2024 середина года'!$B:$U,MATCH($A17,'WPP 2024 середина года'!$A:$A,0),MATCH(F$1,'WPP 2024 середина года'!$B$1:$U$1,0)))))</f>
        <v>5447</v>
      </c>
      <c r="G17" s="7">
        <f>IF($A17&lt;=1951,INDEX('SALA 1974'!$B:$U,MATCH($A17,'SALA 1974'!$A:$A,0),MATCH(G$1,'SALA 1974'!$B$1:$U$1,0)),IF($A17&lt;=1994,1000*INDEX('SALA 2002'!$B:$U,MATCH($A17,'SALA 2002'!$A:$A,0),MATCH(G$1,'SALA 2002'!$B$1:$U$1,0)),IF($A17&lt;=2000,1000*INDEX('SALA 2002'!$B:$U,MATCH($A17,'SALA 2002'!$A:$A,0),MATCH(G$1,'SALA 2002'!$B$1:$U$1,0))*POWER(INDEX('WPP 2024 середина года'!$B:$U,MATCH($A17,'WPP 2024 середина года'!$A:$A,0),MATCH(G$1,'WPP 2024 середина года'!$B$1:$U$1,0))/(1000*INDEX('SALA 2002'!$B:$U,MATCH($A17,'SALA 2002'!$A:$A,0),MATCH(G$1,'SALA 2002'!$B$1:$U$1,0))),($A17-1994)/7),INDEX('WPP 2024 середина года'!$B:$U,MATCH($A17,'WPP 2024 середина года'!$A:$A,0),MATCH(G$1,'WPP 2024 середина года'!$B$1:$U$1,0)))))</f>
        <v>393</v>
      </c>
      <c r="H17" s="7">
        <f>IF($A17&lt;=1951,INDEX('SALA 1974'!$B:$U,MATCH($A17,'SALA 1974'!$A:$A,0),MATCH(H$1,'SALA 1974'!$B$1:$U$1,0)),IF($A17&lt;=1994,1000*INDEX('SALA 2002'!$B:$U,MATCH($A17,'SALA 2002'!$A:$A,0),MATCH(H$1,'SALA 2002'!$B$1:$U$1,0)),IF($A17&lt;=2000,1000*INDEX('SALA 2002'!$B:$U,MATCH($A17,'SALA 2002'!$A:$A,0),MATCH(H$1,'SALA 2002'!$B$1:$U$1,0))*POWER(INDEX('WPP 2024 середина года'!$B:$U,MATCH($A17,'WPP 2024 середина года'!$A:$A,0),MATCH(H$1,'WPP 2024 середина года'!$B$1:$U$1,0))/(1000*INDEX('SALA 2002'!$B:$U,MATCH($A17,'SALA 2002'!$A:$A,0),MATCH(H$1,'SALA 2002'!$B$1:$U$1,0))),($A17-1994)/7),INDEX('WPP 2024 середина года'!$B:$U,MATCH($A17,'WPP 2024 середина года'!$A:$A,0),MATCH(H$1,'WPP 2024 середина года'!$B$1:$U$1,0)))))</f>
        <v>2585</v>
      </c>
      <c r="I17" s="7">
        <f>IF($A17&lt;=1951,INDEX('SALA 1974'!$B:$U,MATCH($A17,'SALA 1974'!$A:$A,0),MATCH(I$1,'SALA 1974'!$B$1:$U$1,0)),IF($A17&lt;=1994,1000*INDEX('SALA 2002'!$B:$U,MATCH($A17,'SALA 2002'!$A:$A,0),MATCH(I$1,'SALA 2002'!$B$1:$U$1,0)),IF($A17&lt;=2000,1000*INDEX('SALA 2002'!$B:$U,MATCH($A17,'SALA 2002'!$A:$A,0),MATCH(I$1,'SALA 2002'!$B$1:$U$1,0))*POWER(INDEX('WPP 2024 середина года'!$B:$U,MATCH($A17,'WPP 2024 середина года'!$A:$A,0),MATCH(I$1,'WPP 2024 середина года'!$B$1:$U$1,0))/(1000*INDEX('SALA 2002'!$B:$U,MATCH($A17,'SALA 2002'!$A:$A,0),MATCH(I$1,'SALA 2002'!$B$1:$U$1,0))),($A17-1994)/7),INDEX('WPP 2024 середина года'!$B:$U,MATCH($A17,'WPP 2024 середина года'!$A:$A,0),MATCH(I$1,'WPP 2024 середина года'!$B$1:$U$1,0)))))</f>
        <v>809</v>
      </c>
      <c r="J17" s="7">
        <f>IF($A17&lt;=1951,INDEX('SALA 1974'!$B:$U,MATCH($A17,'SALA 1974'!$A:$A,0),MATCH(J$1,'SALA 1974'!$B$1:$U$1,0)),IF($A17&lt;=1994,1000*INDEX('SALA 2002'!$B:$U,MATCH($A17,'SALA 2002'!$A:$A,0),MATCH(J$1,'SALA 2002'!$B$1:$U$1,0)),IF($A17&lt;=2000,1000*INDEX('SALA 2002'!$B:$U,MATCH($A17,'SALA 2002'!$A:$A,0),MATCH(J$1,'SALA 2002'!$B$1:$U$1,0))*POWER(INDEX('WPP 2024 середина года'!$B:$U,MATCH($A17,'WPP 2024 середина года'!$A:$A,0),MATCH(J$1,'WPP 2024 середина года'!$B$1:$U$1,0))/(1000*INDEX('SALA 2002'!$B:$U,MATCH($A17,'SALA 2002'!$A:$A,0),MATCH(J$1,'SALA 2002'!$B$1:$U$1,0))),($A17-1994)/7),INDEX('WPP 2024 середина года'!$B:$U,MATCH($A17,'WPP 2024 середина года'!$A:$A,0),MATCH(J$1,'WPP 2024 середина года'!$B$1:$U$1,0)))))</f>
        <v>1481</v>
      </c>
      <c r="K17" s="7">
        <f>IF($A17&lt;=1951,INDEX('SALA 1974'!$B:$U,MATCH($A17,'SALA 1974'!$A:$A,0),MATCH(K$1,'SALA 1974'!$B$1:$U$1,0)),IF($A17&lt;=1994,1000*INDEX('SALA 2002'!$B:$U,MATCH($A17,'SALA 2002'!$A:$A,0),MATCH(K$1,'SALA 2002'!$B$1:$U$1,0)),IF($A17&lt;=2000,1000*INDEX('SALA 2002'!$B:$U,MATCH($A17,'SALA 2002'!$A:$A,0),MATCH(K$1,'SALA 2002'!$B$1:$U$1,0))*POWER(INDEX('WPP 2024 середина года'!$B:$U,MATCH($A17,'WPP 2024 середина года'!$A:$A,0),MATCH(K$1,'WPP 2024 середина года'!$B$1:$U$1,0))/(1000*INDEX('SALA 2002'!$B:$U,MATCH($A17,'SALA 2002'!$A:$A,0),MATCH(K$1,'SALA 2002'!$B$1:$U$1,0))),($A17-1994)/7),INDEX('WPP 2024 середина года'!$B:$U,MATCH($A17,'WPP 2024 середина года'!$A:$A,0),MATCH(K$1,'WPP 2024 середина года'!$B$1:$U$1,0)))))</f>
        <v>1076</v>
      </c>
      <c r="L17" s="7">
        <f>IF($A17&lt;=1951,INDEX('SALA 1974'!$B:$U,MATCH($A17,'SALA 1974'!$A:$A,0),MATCH(L$1,'SALA 1974'!$B$1:$U$1,0)),IF($A17&lt;=1994,1000*INDEX('SALA 2002'!$B:$U,MATCH($A17,'SALA 2002'!$A:$A,0),MATCH(L$1,'SALA 2002'!$B$1:$U$1,0)),IF($A17&lt;=2000,1000*INDEX('SALA 2002'!$B:$U,MATCH($A17,'SALA 2002'!$A:$A,0),MATCH(L$1,'SALA 2002'!$B$1:$U$1,0))*POWER(INDEX('WPP 2024 середина года'!$B:$U,MATCH($A17,'WPP 2024 середина года'!$A:$A,0),MATCH(L$1,'WPP 2024 середина года'!$B$1:$U$1,0))/(1000*INDEX('SALA 2002'!$B:$U,MATCH($A17,'SALA 2002'!$A:$A,0),MATCH(L$1,'SALA 2002'!$B$1:$U$1,0))),($A17-1994)/7),INDEX('WPP 2024 середина года'!$B:$U,MATCH($A17,'WPP 2024 середина года'!$A:$A,0),MATCH(L$1,'WPP 2024 середина года'!$B$1:$U$1,0)))))</f>
        <v>1196</v>
      </c>
      <c r="M17" s="7">
        <f>IF($A17&lt;=1951,INDEX('SALA 1974'!$B:$U,MATCH($A17,'SALA 1974'!$A:$A,0),MATCH(M$1,'SALA 1974'!$B$1:$U$1,0)),IF($A17&lt;=1994,1000*INDEX('SALA 2002'!$B:$U,MATCH($A17,'SALA 2002'!$A:$A,0),MATCH(M$1,'SALA 2002'!$B$1:$U$1,0)),IF($A17&lt;=2000,1000*INDEX('SALA 2002'!$B:$U,MATCH($A17,'SALA 2002'!$A:$A,0),MATCH(M$1,'SALA 2002'!$B$1:$U$1,0))*POWER(INDEX('WPP 2024 середина года'!$B:$U,MATCH($A17,'WPP 2024 середина года'!$A:$A,0),MATCH(M$1,'WPP 2024 середина года'!$B$1:$U$1,0))/(1000*INDEX('SALA 2002'!$B:$U,MATCH($A17,'SALA 2002'!$A:$A,0),MATCH(M$1,'SALA 2002'!$B$1:$U$1,0))),($A17-1994)/7),INDEX('WPP 2024 середина года'!$B:$U,MATCH($A17,'WPP 2024 середина года'!$A:$A,0),MATCH(M$1,'WPP 2024 середина года'!$B$1:$U$1,0)))))</f>
        <v>1907</v>
      </c>
      <c r="N17" s="7">
        <f>IF($A17&lt;=1951,INDEX('SALA 1974'!$B:$U,MATCH($A17,'SALA 1974'!$A:$A,0),MATCH(N$1,'SALA 1974'!$B$1:$U$1,0)),IF($A17&lt;=1994,1000*INDEX('SALA 2002'!$B:$U,MATCH($A17,'SALA 2002'!$A:$A,0),MATCH(N$1,'SALA 2002'!$B$1:$U$1,0)),IF($A17&lt;=2000,1000*INDEX('SALA 2002'!$B:$U,MATCH($A17,'SALA 2002'!$A:$A,0),MATCH(N$1,'SALA 2002'!$B$1:$U$1,0))*POWER(INDEX('WPP 2024 середина года'!$B:$U,MATCH($A17,'WPP 2024 середина года'!$A:$A,0),MATCH(N$1,'WPP 2024 середина года'!$B$1:$U$1,0))/(1000*INDEX('SALA 2002'!$B:$U,MATCH($A17,'SALA 2002'!$A:$A,0),MATCH(N$1,'SALA 2002'!$B$1:$U$1,0))),($A17-1994)/7),INDEX('WPP 2024 середина года'!$B:$U,MATCH($A17,'WPP 2024 середина года'!$A:$A,0),MATCH(N$1,'WPP 2024 середина года'!$B$1:$U$1,0)))))</f>
        <v>597</v>
      </c>
      <c r="O17" s="7">
        <f>IF($A17&lt;=1951,INDEX('SALA 1974'!$B:$U,MATCH($A17,'SALA 1974'!$A:$A,0),MATCH(O$1,'SALA 1974'!$B$1:$U$1,0)),IF($A17&lt;=1994,1000*INDEX('SALA 2002'!$B:$U,MATCH($A17,'SALA 2002'!$A:$A,0),MATCH(O$1,'SALA 2002'!$B$1:$U$1,0)),IF($A17&lt;=2000,1000*INDEX('SALA 2002'!$B:$U,MATCH($A17,'SALA 2002'!$A:$A,0),MATCH(O$1,'SALA 2002'!$B$1:$U$1,0))*POWER(INDEX('WPP 2024 середина года'!$B:$U,MATCH($A17,'WPP 2024 середина года'!$A:$A,0),MATCH(O$1,'WPP 2024 середина года'!$B$1:$U$1,0))/(1000*INDEX('SALA 2002'!$B:$U,MATCH($A17,'SALA 2002'!$A:$A,0),MATCH(O$1,'SALA 2002'!$B$1:$U$1,0))),($A17-1994)/7),INDEX('WPP 2024 середина года'!$B:$U,MATCH($A17,'WPP 2024 середина года'!$A:$A,0),MATCH(O$1,'WPP 2024 середина года'!$B$1:$U$1,0)))))</f>
        <v>14637</v>
      </c>
      <c r="P17" s="7">
        <f>IF($A17&lt;=1951,INDEX('SALA 1974'!$B:$U,MATCH($A17,'SALA 1974'!$A:$A,0),MATCH(P$1,'SALA 1974'!$B$1:$U$1,0)),IF($A17&lt;=1994,1000*INDEX('SALA 2002'!$B:$U,MATCH($A17,'SALA 2002'!$A:$A,0),MATCH(P$1,'SALA 2002'!$B$1:$U$1,0)),IF($A17&lt;=2000,1000*INDEX('SALA 2002'!$B:$U,MATCH($A17,'SALA 2002'!$A:$A,0),MATCH(P$1,'SALA 2002'!$B$1:$U$1,0))*POWER(INDEX('WPP 2024 середина года'!$B:$U,MATCH($A17,'WPP 2024 середина года'!$A:$A,0),MATCH(P$1,'WPP 2024 середина года'!$B$1:$U$1,0))/(1000*INDEX('SALA 2002'!$B:$U,MATCH($A17,'SALA 2002'!$A:$A,0),MATCH(P$1,'SALA 2002'!$B$1:$U$1,0))),($A17-1994)/7),INDEX('WPP 2024 середина года'!$B:$U,MATCH($A17,'WPP 2024 середина года'!$A:$A,0),MATCH(P$1,'WPP 2024 середина года'!$B$1:$U$1,0)))))</f>
        <v>591</v>
      </c>
      <c r="Q17" s="7">
        <f>IF($A17&lt;=1951,INDEX('SALA 1974'!$B:$U,MATCH($A17,'SALA 1974'!$A:$A,0),MATCH(Q$1,'SALA 1974'!$B$1:$U$1,0)),IF($A17&lt;=1994,1000*INDEX('SALA 2002'!$B:$U,MATCH($A17,'SALA 2002'!$A:$A,0),MATCH(Q$1,'SALA 2002'!$B$1:$U$1,0)),IF($A17&lt;=2000,1000*INDEX('SALA 2002'!$B:$U,MATCH($A17,'SALA 2002'!$A:$A,0),MATCH(Q$1,'SALA 2002'!$B$1:$U$1,0))*POWER(INDEX('WPP 2024 середина года'!$B:$U,MATCH($A17,'WPP 2024 середина года'!$A:$A,0),MATCH(Q$1,'WPP 2024 середина года'!$B$1:$U$1,0))/(1000*INDEX('SALA 2002'!$B:$U,MATCH($A17,'SALA 2002'!$A:$A,0),MATCH(Q$1,'SALA 2002'!$B$1:$U$1,0))),($A17-1994)/7),INDEX('WPP 2024 середина года'!$B:$U,MATCH($A17,'WPP 2024 середина года'!$A:$A,0),MATCH(Q$1,'WPP 2024 середина года'!$B$1:$U$1,0)))))</f>
        <v>389</v>
      </c>
      <c r="R17" s="7">
        <f>IF($A17&lt;=1951,INDEX('SALA 1974'!$B:$U,MATCH($A17,'SALA 1974'!$A:$A,0),MATCH(R$1,'SALA 1974'!$B$1:$U$1,0)),IF($A17&lt;=1994,1000*INDEX('SALA 2002'!$B:$U,MATCH($A17,'SALA 2002'!$A:$A,0),MATCH(R$1,'SALA 2002'!$B$1:$U$1,0)),IF($A17&lt;=2000,1000*INDEX('SALA 2002'!$B:$U,MATCH($A17,'SALA 2002'!$A:$A,0),MATCH(R$1,'SALA 2002'!$B$1:$U$1,0))*POWER(INDEX('WPP 2024 середина года'!$B:$U,MATCH($A17,'WPP 2024 середина года'!$A:$A,0),MATCH(R$1,'WPP 2024 середина года'!$B$1:$U$1,0))/(1000*INDEX('SALA 2002'!$B:$U,MATCH($A17,'SALA 2002'!$A:$A,0),MATCH(R$1,'SALA 2002'!$B$1:$U$1,0))),($A17-1994)/7),INDEX('WPP 2024 середина года'!$B:$U,MATCH($A17,'WPP 2024 середина года'!$A:$A,0),MATCH(R$1,'WPP 2024 середина года'!$B$1:$U$1,0)))))</f>
        <v>664</v>
      </c>
      <c r="S17" s="7">
        <f>IF($A17&lt;=1951,INDEX('SALA 1974'!$B:$U,MATCH($A17,'SALA 1974'!$A:$A,0),MATCH(S$1,'SALA 1974'!$B$1:$U$1,0)),IF($A17&lt;=1994,1000*INDEX('SALA 2002'!$B:$U,MATCH($A17,'SALA 2002'!$A:$A,0),MATCH(S$1,'SALA 2002'!$B$1:$U$1,0)),IF($A17&lt;=2000,1000*INDEX('SALA 2002'!$B:$U,MATCH($A17,'SALA 2002'!$A:$A,0),MATCH(S$1,'SALA 2002'!$B$1:$U$1,0))*POWER(INDEX('WPP 2024 середина года'!$B:$U,MATCH($A17,'WPP 2024 середина года'!$A:$A,0),MATCH(S$1,'WPP 2024 середина года'!$B$1:$U$1,0))/(1000*INDEX('SALA 2002'!$B:$U,MATCH($A17,'SALA 2002'!$A:$A,0),MATCH(S$1,'SALA 2002'!$B$1:$U$1,0))),($A17-1994)/7),INDEX('WPP 2024 середина года'!$B:$U,MATCH($A17,'WPP 2024 середина года'!$A:$A,0),MATCH(S$1,'WPP 2024 середина года'!$B$1:$U$1,0)))))</f>
        <v>4427</v>
      </c>
      <c r="T17" s="7">
        <f>IF($A17&lt;=1951,INDEX('SALA 1974'!$B:$U,MATCH($A17,'SALA 1974'!$A:$A,0),MATCH(T$1,'SALA 1974'!$B$1:$U$1,0)),IF($A17&lt;=1994,1000*INDEX('SALA 2002'!$B:$U,MATCH($A17,'SALA 2002'!$A:$A,0),MATCH(T$1,'SALA 2002'!$B$1:$U$1,0)),IF($A17&lt;=2000,1000*INDEX('SALA 2002'!$B:$U,MATCH($A17,'SALA 2002'!$A:$A,0),MATCH(T$1,'SALA 2002'!$B$1:$U$1,0))*POWER(INDEX('WPP 2024 середина года'!$B:$U,MATCH($A17,'WPP 2024 середина года'!$A:$A,0),MATCH(T$1,'WPP 2024 середина года'!$B$1:$U$1,0))/(1000*INDEX('SALA 2002'!$B:$U,MATCH($A17,'SALA 2002'!$A:$A,0),MATCH(T$1,'SALA 2002'!$B$1:$U$1,0))),($A17-1994)/7),INDEX('WPP 2024 середина года'!$B:$U,MATCH($A17,'WPP 2024 середина года'!$A:$A,0),MATCH(T$1,'WPP 2024 середина года'!$B$1:$U$1,0)))))</f>
        <v>1346</v>
      </c>
      <c r="U17" s="7">
        <f>IF($A17&lt;=1951,INDEX('SALA 1974'!$B:$U,MATCH($A17,'SALA 1974'!$A:$A,0),MATCH(U$1,'SALA 1974'!$B$1:$U$1,0)),IF($A17&lt;=1994,1000*INDEX('SALA 2002'!$B:$U,MATCH($A17,'SALA 2002'!$A:$A,0),MATCH(U$1,'SALA 2002'!$B$1:$U$1,0)),IF($A17&lt;=2000,1000*INDEX('SALA 2002'!$B:$U,MATCH($A17,'SALA 2002'!$A:$A,0),MATCH(U$1,'SALA 2002'!$B$1:$U$1,0))*POWER(INDEX('WPP 2024 середина года'!$B:$U,MATCH($A17,'WPP 2024 середина года'!$A:$A,0),MATCH(U$1,'WPP 2024 середина года'!$B$1:$U$1,0))/(1000*INDEX('SALA 2002'!$B:$U,MATCH($A17,'SALA 2002'!$A:$A,0),MATCH(U$1,'SALA 2002'!$B$1:$U$1,0))),($A17-1994)/7),INDEX('WPP 2024 середина года'!$B:$U,MATCH($A17,'WPP 2024 середина года'!$A:$A,0),MATCH(U$1,'WPP 2024 середина года'!$B$1:$U$1,0)))))</f>
        <v>2705</v>
      </c>
    </row>
    <row r="18" spans="1:21" x14ac:dyDescent="0.25">
      <c r="A18" s="5">
        <f t="shared" si="0"/>
        <v>1916</v>
      </c>
      <c r="B18" s="7">
        <f>IF($A18&lt;=1951,INDEX('SALA 1974'!$B:$U,MATCH($A18,'SALA 1974'!$A:$A,0),MATCH(B$1,'SALA 1974'!$B$1:$U$1,0)),IF($A18&lt;=1994,1000*INDEX('SALA 2002'!$B:$U,MATCH($A18,'SALA 2002'!$A:$A,0),MATCH(B$1,'SALA 2002'!$B$1:$U$1,0)),IF($A18&lt;=2000,1000*INDEX('SALA 2002'!$B:$U,MATCH($A18,'SALA 2002'!$A:$A,0),MATCH(B$1,'SALA 2002'!$B$1:$U$1,0))*POWER(INDEX('WPP 2024 середина года'!$B:$U,MATCH($A18,'WPP 2024 середина года'!$A:$A,0),MATCH(B$1,'WPP 2024 середина года'!$B$1:$U$1,0))/(1000*INDEX('SALA 2002'!$B:$U,MATCH($A18,'SALA 2002'!$A:$A,0),MATCH(B$1,'SALA 2002'!$B$1:$U$1,0))),($A18-1994)/7),INDEX('WPP 2024 середина года'!$B:$U,MATCH($A18,'WPP 2024 середина года'!$A:$A,0),MATCH(B$1,'WPP 2024 середина года'!$B$1:$U$1,0)))))</f>
        <v>8303</v>
      </c>
      <c r="C18" s="7">
        <f>IF($A18&lt;=1951,INDEX('SALA 1974'!$B:$U,MATCH($A18,'SALA 1974'!$A:$A,0),MATCH(C$1,'SALA 1974'!$B$1:$U$1,0)),IF($A18&lt;=1994,1000*INDEX('SALA 2002'!$B:$U,MATCH($A18,'SALA 2002'!$A:$A,0),MATCH(C$1,'SALA 2002'!$B$1:$U$1,0)),IF($A18&lt;=2000,1000*INDEX('SALA 2002'!$B:$U,MATCH($A18,'SALA 2002'!$A:$A,0),MATCH(C$1,'SALA 2002'!$B$1:$U$1,0))*POWER(INDEX('WPP 2024 середина года'!$B:$U,MATCH($A18,'WPP 2024 середина года'!$A:$A,0),MATCH(C$1,'WPP 2024 середина года'!$B$1:$U$1,0))/(1000*INDEX('SALA 2002'!$B:$U,MATCH($A18,'SALA 2002'!$A:$A,0),MATCH(C$1,'SALA 2002'!$B$1:$U$1,0))),($A18-1994)/7),INDEX('WPP 2024 середина года'!$B:$U,MATCH($A18,'WPP 2024 середина года'!$A:$A,0),MATCH(C$1,'WPP 2024 середина года'!$B$1:$U$1,0)))))</f>
        <v>2062</v>
      </c>
      <c r="D18" s="7">
        <f>IF($A18&lt;=1951,INDEX('SALA 1974'!$B:$U,MATCH($A18,'SALA 1974'!$A:$A,0),MATCH(D$1,'SALA 1974'!$B$1:$U$1,0)),IF($A18&lt;=1994,1000*INDEX('SALA 2002'!$B:$U,MATCH($A18,'SALA 2002'!$A:$A,0),MATCH(D$1,'SALA 2002'!$B$1:$U$1,0)),IF($A18&lt;=2000,1000*INDEX('SALA 2002'!$B:$U,MATCH($A18,'SALA 2002'!$A:$A,0),MATCH(D$1,'SALA 2002'!$B$1:$U$1,0))*POWER(INDEX('WPP 2024 середина года'!$B:$U,MATCH($A18,'WPP 2024 середина года'!$A:$A,0),MATCH(D$1,'WPP 2024 середина года'!$B$1:$U$1,0))/(1000*INDEX('SALA 2002'!$B:$U,MATCH($A18,'SALA 2002'!$A:$A,0),MATCH(D$1,'SALA 2002'!$B$1:$U$1,0))),($A18-1994)/7),INDEX('WPP 2024 середина года'!$B:$U,MATCH($A18,'WPP 2024 середина года'!$A:$A,0),MATCH(D$1,'WPP 2024 середина года'!$B$1:$U$1,0)))))</f>
        <v>25197</v>
      </c>
      <c r="E18" s="7">
        <f>IF($A18&lt;=1951,INDEX('SALA 1974'!$B:$U,MATCH($A18,'SALA 1974'!$A:$A,0),MATCH(E$1,'SALA 1974'!$B$1:$U$1,0)),IF($A18&lt;=1994,1000*INDEX('SALA 2002'!$B:$U,MATCH($A18,'SALA 2002'!$A:$A,0),MATCH(E$1,'SALA 2002'!$B$1:$U$1,0)),IF($A18&lt;=2000,1000*INDEX('SALA 2002'!$B:$U,MATCH($A18,'SALA 2002'!$A:$A,0),MATCH(E$1,'SALA 2002'!$B$1:$U$1,0))*POWER(INDEX('WPP 2024 середина года'!$B:$U,MATCH($A18,'WPP 2024 середина года'!$A:$A,0),MATCH(E$1,'WPP 2024 середина года'!$B$1:$U$1,0))/(1000*INDEX('SALA 2002'!$B:$U,MATCH($A18,'SALA 2002'!$A:$A,0),MATCH(E$1,'SALA 2002'!$B$1:$U$1,0))),($A18-1994)/7),INDEX('WPP 2024 середина года'!$B:$U,MATCH($A18,'WPP 2024 середина года'!$A:$A,0),MATCH(E$1,'WPP 2024 середина года'!$B$1:$U$1,0)))))</f>
        <v>3598</v>
      </c>
      <c r="F18" s="7">
        <f>IF($A18&lt;=1947,INDEX('SALA 1974'!$B:$U,MATCH($A18,'SALA 1974'!$A:$A,0),MATCH(F$1,'SALA 1974'!$B$1:$U$1,0)),IF($A18&lt;=1994,1000*INDEX('SALA 2002'!$B:$U,MATCH($A18,'SALA 2002'!$A:$A,0),MATCH(F$1,'SALA 2002'!$B$1:$U$1,0)),IF($A18&lt;=2000,1000*INDEX('SALA 2002'!$B:$U,MATCH($A18,'SALA 2002'!$A:$A,0),MATCH(F$1,'SALA 2002'!$B$1:$U$1,0))*POWER(INDEX('WPP 2024 середина года'!$B:$U,MATCH($A18,'WPP 2024 середина года'!$A:$A,0),MATCH(F$1,'WPP 2024 середина года'!$B$1:$U$1,0))/(1000*INDEX('SALA 2002'!$B:$U,MATCH($A18,'SALA 2002'!$A:$A,0),MATCH(F$1,'SALA 2002'!$B$1:$U$1,0))),($A18-1994)/7),INDEX('WPP 2024 середина года'!$B:$U,MATCH($A18,'WPP 2024 середина года'!$A:$A,0),MATCH(F$1,'WPP 2024 середина года'!$B$1:$U$1,0)))))</f>
        <v>5579</v>
      </c>
      <c r="G18" s="7">
        <f>IF($A18&lt;=1951,INDEX('SALA 1974'!$B:$U,MATCH($A18,'SALA 1974'!$A:$A,0),MATCH(G$1,'SALA 1974'!$B$1:$U$1,0)),IF($A18&lt;=1994,1000*INDEX('SALA 2002'!$B:$U,MATCH($A18,'SALA 2002'!$A:$A,0),MATCH(G$1,'SALA 2002'!$B$1:$U$1,0)),IF($A18&lt;=2000,1000*INDEX('SALA 2002'!$B:$U,MATCH($A18,'SALA 2002'!$A:$A,0),MATCH(G$1,'SALA 2002'!$B$1:$U$1,0))*POWER(INDEX('WPP 2024 середина года'!$B:$U,MATCH($A18,'WPP 2024 середина года'!$A:$A,0),MATCH(G$1,'WPP 2024 середина года'!$B$1:$U$1,0))/(1000*INDEX('SALA 2002'!$B:$U,MATCH($A18,'SALA 2002'!$A:$A,0),MATCH(G$1,'SALA 2002'!$B$1:$U$1,0))),($A18-1994)/7),INDEX('WPP 2024 середина года'!$B:$U,MATCH($A18,'WPP 2024 середина года'!$A:$A,0),MATCH(G$1,'WPP 2024 середина года'!$B$1:$U$1,0)))))</f>
        <v>398</v>
      </c>
      <c r="H18" s="7">
        <f>IF($A18&lt;=1951,INDEX('SALA 1974'!$B:$U,MATCH($A18,'SALA 1974'!$A:$A,0),MATCH(H$1,'SALA 1974'!$B$1:$U$1,0)),IF($A18&lt;=1994,1000*INDEX('SALA 2002'!$B:$U,MATCH($A18,'SALA 2002'!$A:$A,0),MATCH(H$1,'SALA 2002'!$B$1:$U$1,0)),IF($A18&lt;=2000,1000*INDEX('SALA 2002'!$B:$U,MATCH($A18,'SALA 2002'!$A:$A,0),MATCH(H$1,'SALA 2002'!$B$1:$U$1,0))*POWER(INDEX('WPP 2024 середина года'!$B:$U,MATCH($A18,'WPP 2024 середина года'!$A:$A,0),MATCH(H$1,'WPP 2024 середина года'!$B$1:$U$1,0))/(1000*INDEX('SALA 2002'!$B:$U,MATCH($A18,'SALA 2002'!$A:$A,0),MATCH(H$1,'SALA 2002'!$B$1:$U$1,0))),($A18-1994)/7),INDEX('WPP 2024 середина года'!$B:$U,MATCH($A18,'WPP 2024 середина года'!$A:$A,0),MATCH(H$1,'WPP 2024 середина года'!$B$1:$U$1,0)))))</f>
        <v>2664</v>
      </c>
      <c r="I18" s="7">
        <f>IF($A18&lt;=1951,INDEX('SALA 1974'!$B:$U,MATCH($A18,'SALA 1974'!$A:$A,0),MATCH(I$1,'SALA 1974'!$B$1:$U$1,0)),IF($A18&lt;=1994,1000*INDEX('SALA 2002'!$B:$U,MATCH($A18,'SALA 2002'!$A:$A,0),MATCH(I$1,'SALA 2002'!$B$1:$U$1,0)),IF($A18&lt;=2000,1000*INDEX('SALA 2002'!$B:$U,MATCH($A18,'SALA 2002'!$A:$A,0),MATCH(I$1,'SALA 2002'!$B$1:$U$1,0))*POWER(INDEX('WPP 2024 середина года'!$B:$U,MATCH($A18,'WPP 2024 середина года'!$A:$A,0),MATCH(I$1,'WPP 2024 середина года'!$B$1:$U$1,0))/(1000*INDEX('SALA 2002'!$B:$U,MATCH($A18,'SALA 2002'!$A:$A,0),MATCH(I$1,'SALA 2002'!$B$1:$U$1,0))),($A18-1994)/7),INDEX('WPP 2024 середина года'!$B:$U,MATCH($A18,'WPP 2024 середина года'!$A:$A,0),MATCH(I$1,'WPP 2024 середина года'!$B$1:$U$1,0)))))</f>
        <v>823</v>
      </c>
      <c r="J18" s="7">
        <f>IF($A18&lt;=1951,INDEX('SALA 1974'!$B:$U,MATCH($A18,'SALA 1974'!$A:$A,0),MATCH(J$1,'SALA 1974'!$B$1:$U$1,0)),IF($A18&lt;=1994,1000*INDEX('SALA 2002'!$B:$U,MATCH($A18,'SALA 2002'!$A:$A,0),MATCH(J$1,'SALA 2002'!$B$1:$U$1,0)),IF($A18&lt;=2000,1000*INDEX('SALA 2002'!$B:$U,MATCH($A18,'SALA 2002'!$A:$A,0),MATCH(J$1,'SALA 2002'!$B$1:$U$1,0))*POWER(INDEX('WPP 2024 середина года'!$B:$U,MATCH($A18,'WPP 2024 середина года'!$A:$A,0),MATCH(J$1,'WPP 2024 середина года'!$B$1:$U$1,0))/(1000*INDEX('SALA 2002'!$B:$U,MATCH($A18,'SALA 2002'!$A:$A,0),MATCH(J$1,'SALA 2002'!$B$1:$U$1,0))),($A18-1994)/7),INDEX('WPP 2024 середина года'!$B:$U,MATCH($A18,'WPP 2024 середина года'!$A:$A,0),MATCH(J$1,'WPP 2024 середина года'!$B$1:$U$1,0)))))</f>
        <v>1493</v>
      </c>
      <c r="K18" s="7">
        <f>IF($A18&lt;=1951,INDEX('SALA 1974'!$B:$U,MATCH($A18,'SALA 1974'!$A:$A,0),MATCH(K$1,'SALA 1974'!$B$1:$U$1,0)),IF($A18&lt;=1994,1000*INDEX('SALA 2002'!$B:$U,MATCH($A18,'SALA 2002'!$A:$A,0),MATCH(K$1,'SALA 2002'!$B$1:$U$1,0)),IF($A18&lt;=2000,1000*INDEX('SALA 2002'!$B:$U,MATCH($A18,'SALA 2002'!$A:$A,0),MATCH(K$1,'SALA 2002'!$B$1:$U$1,0))*POWER(INDEX('WPP 2024 середина года'!$B:$U,MATCH($A18,'WPP 2024 середина года'!$A:$A,0),MATCH(K$1,'WPP 2024 середина года'!$B$1:$U$1,0))/(1000*INDEX('SALA 2002'!$B:$U,MATCH($A18,'SALA 2002'!$A:$A,0),MATCH(K$1,'SALA 2002'!$B$1:$U$1,0))),($A18-1994)/7),INDEX('WPP 2024 середина года'!$B:$U,MATCH($A18,'WPP 2024 середина года'!$A:$A,0),MATCH(K$1,'WPP 2024 середина года'!$B$1:$U$1,0)))))</f>
        <v>1095</v>
      </c>
      <c r="L18" s="7">
        <f>IF($A18&lt;=1951,INDEX('SALA 1974'!$B:$U,MATCH($A18,'SALA 1974'!$A:$A,0),MATCH(L$1,'SALA 1974'!$B$1:$U$1,0)),IF($A18&lt;=1994,1000*INDEX('SALA 2002'!$B:$U,MATCH($A18,'SALA 2002'!$A:$A,0),MATCH(L$1,'SALA 2002'!$B$1:$U$1,0)),IF($A18&lt;=2000,1000*INDEX('SALA 2002'!$B:$U,MATCH($A18,'SALA 2002'!$A:$A,0),MATCH(L$1,'SALA 2002'!$B$1:$U$1,0))*POWER(INDEX('WPP 2024 середина года'!$B:$U,MATCH($A18,'WPP 2024 середина года'!$A:$A,0),MATCH(L$1,'WPP 2024 середина года'!$B$1:$U$1,0))/(1000*INDEX('SALA 2002'!$B:$U,MATCH($A18,'SALA 2002'!$A:$A,0),MATCH(L$1,'SALA 2002'!$B$1:$U$1,0))),($A18-1994)/7),INDEX('WPP 2024 середина года'!$B:$U,MATCH($A18,'WPP 2024 середина года'!$A:$A,0),MATCH(L$1,'WPP 2024 середина года'!$B$1:$U$1,0)))))</f>
        <v>1211</v>
      </c>
      <c r="M18" s="7">
        <f>IF($A18&lt;=1951,INDEX('SALA 1974'!$B:$U,MATCH($A18,'SALA 1974'!$A:$A,0),MATCH(M$1,'SALA 1974'!$B$1:$U$1,0)),IF($A18&lt;=1994,1000*INDEX('SALA 2002'!$B:$U,MATCH($A18,'SALA 2002'!$A:$A,0),MATCH(M$1,'SALA 2002'!$B$1:$U$1,0)),IF($A18&lt;=2000,1000*INDEX('SALA 2002'!$B:$U,MATCH($A18,'SALA 2002'!$A:$A,0),MATCH(M$1,'SALA 2002'!$B$1:$U$1,0))*POWER(INDEX('WPP 2024 середина года'!$B:$U,MATCH($A18,'WPP 2024 середина года'!$A:$A,0),MATCH(M$1,'WPP 2024 середина года'!$B$1:$U$1,0))/(1000*INDEX('SALA 2002'!$B:$U,MATCH($A18,'SALA 2002'!$A:$A,0),MATCH(M$1,'SALA 2002'!$B$1:$U$1,0))),($A18-1994)/7),INDEX('WPP 2024 середина года'!$B:$U,MATCH($A18,'WPP 2024 середина года'!$A:$A,0),MATCH(M$1,'WPP 2024 середина года'!$B$1:$U$1,0)))))</f>
        <v>1949</v>
      </c>
      <c r="N18" s="7">
        <f>IF($A18&lt;=1951,INDEX('SALA 1974'!$B:$U,MATCH($A18,'SALA 1974'!$A:$A,0),MATCH(N$1,'SALA 1974'!$B$1:$U$1,0)),IF($A18&lt;=1994,1000*INDEX('SALA 2002'!$B:$U,MATCH($A18,'SALA 2002'!$A:$A,0),MATCH(N$1,'SALA 2002'!$B$1:$U$1,0)),IF($A18&lt;=2000,1000*INDEX('SALA 2002'!$B:$U,MATCH($A18,'SALA 2002'!$A:$A,0),MATCH(N$1,'SALA 2002'!$B$1:$U$1,0))*POWER(INDEX('WPP 2024 середина года'!$B:$U,MATCH($A18,'WPP 2024 середина года'!$A:$A,0),MATCH(N$1,'WPP 2024 середина года'!$B$1:$U$1,0))/(1000*INDEX('SALA 2002'!$B:$U,MATCH($A18,'SALA 2002'!$A:$A,0),MATCH(N$1,'SALA 2002'!$B$1:$U$1,0))),($A18-1994)/7),INDEX('WPP 2024 середина года'!$B:$U,MATCH($A18,'WPP 2024 середина года'!$A:$A,0),MATCH(N$1,'WPP 2024 середина года'!$B$1:$U$1,0)))))</f>
        <v>606</v>
      </c>
      <c r="O18" s="7">
        <f>IF($A18&lt;=1951,INDEX('SALA 1974'!$B:$U,MATCH($A18,'SALA 1974'!$A:$A,0),MATCH(O$1,'SALA 1974'!$B$1:$U$1,0)),IF($A18&lt;=1994,1000*INDEX('SALA 2002'!$B:$U,MATCH($A18,'SALA 2002'!$A:$A,0),MATCH(O$1,'SALA 2002'!$B$1:$U$1,0)),IF($A18&lt;=2000,1000*INDEX('SALA 2002'!$B:$U,MATCH($A18,'SALA 2002'!$A:$A,0),MATCH(O$1,'SALA 2002'!$B$1:$U$1,0))*POWER(INDEX('WPP 2024 середина года'!$B:$U,MATCH($A18,'WPP 2024 середина года'!$A:$A,0),MATCH(O$1,'WPP 2024 середина года'!$B$1:$U$1,0))/(1000*INDEX('SALA 2002'!$B:$U,MATCH($A18,'SALA 2002'!$A:$A,0),MATCH(O$1,'SALA 2002'!$B$1:$U$1,0))),($A18-1994)/7),INDEX('WPP 2024 середина года'!$B:$U,MATCH($A18,'WPP 2024 середина года'!$A:$A,0),MATCH(O$1,'WPP 2024 середина года'!$B$1:$U$1,0)))))</f>
        <v>14029</v>
      </c>
      <c r="P18" s="7">
        <f>IF($A18&lt;=1951,INDEX('SALA 1974'!$B:$U,MATCH($A18,'SALA 1974'!$A:$A,0),MATCH(P$1,'SALA 1974'!$B$1:$U$1,0)),IF($A18&lt;=1994,1000*INDEX('SALA 2002'!$B:$U,MATCH($A18,'SALA 2002'!$A:$A,0),MATCH(P$1,'SALA 2002'!$B$1:$U$1,0)),IF($A18&lt;=2000,1000*INDEX('SALA 2002'!$B:$U,MATCH($A18,'SALA 2002'!$A:$A,0),MATCH(P$1,'SALA 2002'!$B$1:$U$1,0))*POWER(INDEX('WPP 2024 середина года'!$B:$U,MATCH($A18,'WPP 2024 середина года'!$A:$A,0),MATCH(P$1,'WPP 2024 середина года'!$B$1:$U$1,0))/(1000*INDEX('SALA 2002'!$B:$U,MATCH($A18,'SALA 2002'!$A:$A,0),MATCH(P$1,'SALA 2002'!$B$1:$U$1,0))),($A18-1994)/7),INDEX('WPP 2024 середина года'!$B:$U,MATCH($A18,'WPP 2024 середина года'!$A:$A,0),MATCH(P$1,'WPP 2024 середина года'!$B$1:$U$1,0)))))</f>
        <v>600</v>
      </c>
      <c r="Q18" s="7">
        <f>IF($A18&lt;=1951,INDEX('SALA 1974'!$B:$U,MATCH($A18,'SALA 1974'!$A:$A,0),MATCH(Q$1,'SALA 1974'!$B$1:$U$1,0)),IF($A18&lt;=1994,1000*INDEX('SALA 2002'!$B:$U,MATCH($A18,'SALA 2002'!$A:$A,0),MATCH(Q$1,'SALA 2002'!$B$1:$U$1,0)),IF($A18&lt;=2000,1000*INDEX('SALA 2002'!$B:$U,MATCH($A18,'SALA 2002'!$A:$A,0),MATCH(Q$1,'SALA 2002'!$B$1:$U$1,0))*POWER(INDEX('WPP 2024 середина года'!$B:$U,MATCH($A18,'WPP 2024 середина года'!$A:$A,0),MATCH(Q$1,'WPP 2024 середина года'!$B$1:$U$1,0))/(1000*INDEX('SALA 2002'!$B:$U,MATCH($A18,'SALA 2002'!$A:$A,0),MATCH(Q$1,'SALA 2002'!$B$1:$U$1,0))),($A18-1994)/7),INDEX('WPP 2024 середина года'!$B:$U,MATCH($A18,'WPP 2024 середина года'!$A:$A,0),MATCH(Q$1,'WPP 2024 середина года'!$B$1:$U$1,0)))))</f>
        <v>401</v>
      </c>
      <c r="R18" s="7">
        <f>IF($A18&lt;=1951,INDEX('SALA 1974'!$B:$U,MATCH($A18,'SALA 1974'!$A:$A,0),MATCH(R$1,'SALA 1974'!$B$1:$U$1,0)),IF($A18&lt;=1994,1000*INDEX('SALA 2002'!$B:$U,MATCH($A18,'SALA 2002'!$A:$A,0),MATCH(R$1,'SALA 2002'!$B$1:$U$1,0)),IF($A18&lt;=2000,1000*INDEX('SALA 2002'!$B:$U,MATCH($A18,'SALA 2002'!$A:$A,0),MATCH(R$1,'SALA 2002'!$B$1:$U$1,0))*POWER(INDEX('WPP 2024 середина года'!$B:$U,MATCH($A18,'WPP 2024 середина года'!$A:$A,0),MATCH(R$1,'WPP 2024 середина года'!$B$1:$U$1,0))/(1000*INDEX('SALA 2002'!$B:$U,MATCH($A18,'SALA 2002'!$A:$A,0),MATCH(R$1,'SALA 2002'!$B$1:$U$1,0))),($A18-1994)/7),INDEX('WPP 2024 середина года'!$B:$U,MATCH($A18,'WPP 2024 середина года'!$A:$A,0),MATCH(R$1,'WPP 2024 середина года'!$B$1:$U$1,0)))))</f>
        <v>671</v>
      </c>
      <c r="S18" s="7">
        <f>IF($A18&lt;=1951,INDEX('SALA 1974'!$B:$U,MATCH($A18,'SALA 1974'!$A:$A,0),MATCH(S$1,'SALA 1974'!$B$1:$U$1,0)),IF($A18&lt;=1994,1000*INDEX('SALA 2002'!$B:$U,MATCH($A18,'SALA 2002'!$A:$A,0),MATCH(S$1,'SALA 2002'!$B$1:$U$1,0)),IF($A18&lt;=2000,1000*INDEX('SALA 2002'!$B:$U,MATCH($A18,'SALA 2002'!$A:$A,0),MATCH(S$1,'SALA 2002'!$B$1:$U$1,0))*POWER(INDEX('WPP 2024 середина года'!$B:$U,MATCH($A18,'WPP 2024 середина года'!$A:$A,0),MATCH(S$1,'WPP 2024 середина года'!$B$1:$U$1,0))/(1000*INDEX('SALA 2002'!$B:$U,MATCH($A18,'SALA 2002'!$A:$A,0),MATCH(S$1,'SALA 2002'!$B$1:$U$1,0))),($A18-1994)/7),INDEX('WPP 2024 середина года'!$B:$U,MATCH($A18,'WPP 2024 середина года'!$A:$A,0),MATCH(S$1,'WPP 2024 середина года'!$B$1:$U$1,0)))))</f>
        <v>4508</v>
      </c>
      <c r="T18" s="7">
        <f>IF($A18&lt;=1951,INDEX('SALA 1974'!$B:$U,MATCH($A18,'SALA 1974'!$A:$A,0),MATCH(T$1,'SALA 1974'!$B$1:$U$1,0)),IF($A18&lt;=1994,1000*INDEX('SALA 2002'!$B:$U,MATCH($A18,'SALA 2002'!$A:$A,0),MATCH(T$1,'SALA 2002'!$B$1:$U$1,0)),IF($A18&lt;=2000,1000*INDEX('SALA 2002'!$B:$U,MATCH($A18,'SALA 2002'!$A:$A,0),MATCH(T$1,'SALA 2002'!$B$1:$U$1,0))*POWER(INDEX('WPP 2024 середина года'!$B:$U,MATCH($A18,'WPP 2024 середина года'!$A:$A,0),MATCH(T$1,'WPP 2024 середина года'!$B$1:$U$1,0))/(1000*INDEX('SALA 2002'!$B:$U,MATCH($A18,'SALA 2002'!$A:$A,0),MATCH(T$1,'SALA 2002'!$B$1:$U$1,0))),($A18-1994)/7),INDEX('WPP 2024 середина года'!$B:$U,MATCH($A18,'WPP 2024 середина года'!$A:$A,0),MATCH(T$1,'WPP 2024 середина года'!$B$1:$U$1,0)))))</f>
        <v>1379</v>
      </c>
      <c r="U18" s="7">
        <f>IF($A18&lt;=1951,INDEX('SALA 1974'!$B:$U,MATCH($A18,'SALA 1974'!$A:$A,0),MATCH(U$1,'SALA 1974'!$B$1:$U$1,0)),IF($A18&lt;=1994,1000*INDEX('SALA 2002'!$B:$U,MATCH($A18,'SALA 2002'!$A:$A,0),MATCH(U$1,'SALA 2002'!$B$1:$U$1,0)),IF($A18&lt;=2000,1000*INDEX('SALA 2002'!$B:$U,MATCH($A18,'SALA 2002'!$A:$A,0),MATCH(U$1,'SALA 2002'!$B$1:$U$1,0))*POWER(INDEX('WPP 2024 середина года'!$B:$U,MATCH($A18,'WPP 2024 середина года'!$A:$A,0),MATCH(U$1,'WPP 2024 середина года'!$B$1:$U$1,0))/(1000*INDEX('SALA 2002'!$B:$U,MATCH($A18,'SALA 2002'!$A:$A,0),MATCH(U$1,'SALA 2002'!$B$1:$U$1,0))),($A18-1994)/7),INDEX('WPP 2024 середина года'!$B:$U,MATCH($A18,'WPP 2024 середина года'!$A:$A,0),MATCH(U$1,'WPP 2024 середина года'!$B$1:$U$1,0)))))</f>
        <v>2727</v>
      </c>
    </row>
    <row r="19" spans="1:21" x14ac:dyDescent="0.25">
      <c r="A19" s="5">
        <f t="shared" si="0"/>
        <v>1917</v>
      </c>
      <c r="B19" s="7">
        <f>IF($A19&lt;=1951,INDEX('SALA 1974'!$B:$U,MATCH($A19,'SALA 1974'!$A:$A,0),MATCH(B$1,'SALA 1974'!$B$1:$U$1,0)),IF($A19&lt;=1994,1000*INDEX('SALA 2002'!$B:$U,MATCH($A19,'SALA 2002'!$A:$A,0),MATCH(B$1,'SALA 2002'!$B$1:$U$1,0)),IF($A19&lt;=2000,1000*INDEX('SALA 2002'!$B:$U,MATCH($A19,'SALA 2002'!$A:$A,0),MATCH(B$1,'SALA 2002'!$B$1:$U$1,0))*POWER(INDEX('WPP 2024 середина года'!$B:$U,MATCH($A19,'WPP 2024 середина года'!$A:$A,0),MATCH(B$1,'WPP 2024 середина года'!$B$1:$U$1,0))/(1000*INDEX('SALA 2002'!$B:$U,MATCH($A19,'SALA 2002'!$A:$A,0),MATCH(B$1,'SALA 2002'!$B$1:$U$1,0))),($A19-1994)/7),INDEX('WPP 2024 середина года'!$B:$U,MATCH($A19,'WPP 2024 середина года'!$A:$A,0),MATCH(B$1,'WPP 2024 середина года'!$B$1:$U$1,0)))))</f>
        <v>8445</v>
      </c>
      <c r="C19" s="7">
        <f>IF($A19&lt;=1951,INDEX('SALA 1974'!$B:$U,MATCH($A19,'SALA 1974'!$A:$A,0),MATCH(C$1,'SALA 1974'!$B$1:$U$1,0)),IF($A19&lt;=1994,1000*INDEX('SALA 2002'!$B:$U,MATCH($A19,'SALA 2002'!$A:$A,0),MATCH(C$1,'SALA 2002'!$B$1:$U$1,0)),IF($A19&lt;=2000,1000*INDEX('SALA 2002'!$B:$U,MATCH($A19,'SALA 2002'!$A:$A,0),MATCH(C$1,'SALA 2002'!$B$1:$U$1,0))*POWER(INDEX('WPP 2024 середина года'!$B:$U,MATCH($A19,'WPP 2024 середина года'!$A:$A,0),MATCH(C$1,'WPP 2024 середина года'!$B$1:$U$1,0))/(1000*INDEX('SALA 2002'!$B:$U,MATCH($A19,'SALA 2002'!$A:$A,0),MATCH(C$1,'SALA 2002'!$B$1:$U$1,0))),($A19-1994)/7),INDEX('WPP 2024 середина года'!$B:$U,MATCH($A19,'WPP 2024 середина года'!$A:$A,0),MATCH(C$1,'WPP 2024 середина года'!$B$1:$U$1,0)))))</f>
        <v>2081</v>
      </c>
      <c r="D19" s="7">
        <f>IF($A19&lt;=1951,INDEX('SALA 1974'!$B:$U,MATCH($A19,'SALA 1974'!$A:$A,0),MATCH(D$1,'SALA 1974'!$B$1:$U$1,0)),IF($A19&lt;=1994,1000*INDEX('SALA 2002'!$B:$U,MATCH($A19,'SALA 2002'!$A:$A,0),MATCH(D$1,'SALA 2002'!$B$1:$U$1,0)),IF($A19&lt;=2000,1000*INDEX('SALA 2002'!$B:$U,MATCH($A19,'SALA 2002'!$A:$A,0),MATCH(D$1,'SALA 2002'!$B$1:$U$1,0))*POWER(INDEX('WPP 2024 середина года'!$B:$U,MATCH($A19,'WPP 2024 середина года'!$A:$A,0),MATCH(D$1,'WPP 2024 середина года'!$B$1:$U$1,0))/(1000*INDEX('SALA 2002'!$B:$U,MATCH($A19,'SALA 2002'!$A:$A,0),MATCH(D$1,'SALA 2002'!$B$1:$U$1,0))),($A19-1994)/7),INDEX('WPP 2024 середина года'!$B:$U,MATCH($A19,'WPP 2024 середина года'!$A:$A,0),MATCH(D$1,'WPP 2024 середина года'!$B$1:$U$1,0)))))</f>
        <v>25732</v>
      </c>
      <c r="E19" s="7">
        <f>IF($A19&lt;=1951,INDEX('SALA 1974'!$B:$U,MATCH($A19,'SALA 1974'!$A:$A,0),MATCH(E$1,'SALA 1974'!$B$1:$U$1,0)),IF($A19&lt;=1994,1000*INDEX('SALA 2002'!$B:$U,MATCH($A19,'SALA 2002'!$A:$A,0),MATCH(E$1,'SALA 2002'!$B$1:$U$1,0)),IF($A19&lt;=2000,1000*INDEX('SALA 2002'!$B:$U,MATCH($A19,'SALA 2002'!$A:$A,0),MATCH(E$1,'SALA 2002'!$B$1:$U$1,0))*POWER(INDEX('WPP 2024 середина года'!$B:$U,MATCH($A19,'WPP 2024 середина года'!$A:$A,0),MATCH(E$1,'WPP 2024 середина года'!$B$1:$U$1,0))/(1000*INDEX('SALA 2002'!$B:$U,MATCH($A19,'SALA 2002'!$A:$A,0),MATCH(E$1,'SALA 2002'!$B$1:$U$1,0))),($A19-1994)/7),INDEX('WPP 2024 середина года'!$B:$U,MATCH($A19,'WPP 2024 середина года'!$A:$A,0),MATCH(E$1,'WPP 2024 середина года'!$B$1:$U$1,0)))))</f>
        <v>3644</v>
      </c>
      <c r="F19" s="7">
        <f>IF($A19&lt;=1947,INDEX('SALA 1974'!$B:$U,MATCH($A19,'SALA 1974'!$A:$A,0),MATCH(F$1,'SALA 1974'!$B$1:$U$1,0)),IF($A19&lt;=1994,1000*INDEX('SALA 2002'!$B:$U,MATCH($A19,'SALA 2002'!$A:$A,0),MATCH(F$1,'SALA 2002'!$B$1:$U$1,0)),IF($A19&lt;=2000,1000*INDEX('SALA 2002'!$B:$U,MATCH($A19,'SALA 2002'!$A:$A,0),MATCH(F$1,'SALA 2002'!$B$1:$U$1,0))*POWER(INDEX('WPP 2024 середина года'!$B:$U,MATCH($A19,'WPP 2024 середина года'!$A:$A,0),MATCH(F$1,'WPP 2024 середина года'!$B$1:$U$1,0))/(1000*INDEX('SALA 2002'!$B:$U,MATCH($A19,'SALA 2002'!$A:$A,0),MATCH(F$1,'SALA 2002'!$B$1:$U$1,0))),($A19-1994)/7),INDEX('WPP 2024 середина года'!$B:$U,MATCH($A19,'WPP 2024 середина года'!$A:$A,0),MATCH(F$1,'WPP 2024 середина года'!$B$1:$U$1,0)))))</f>
        <v>5715</v>
      </c>
      <c r="G19" s="7">
        <f>IF($A19&lt;=1951,INDEX('SALA 1974'!$B:$U,MATCH($A19,'SALA 1974'!$A:$A,0),MATCH(G$1,'SALA 1974'!$B$1:$U$1,0)),IF($A19&lt;=1994,1000*INDEX('SALA 2002'!$B:$U,MATCH($A19,'SALA 2002'!$A:$A,0),MATCH(G$1,'SALA 2002'!$B$1:$U$1,0)),IF($A19&lt;=2000,1000*INDEX('SALA 2002'!$B:$U,MATCH($A19,'SALA 2002'!$A:$A,0),MATCH(G$1,'SALA 2002'!$B$1:$U$1,0))*POWER(INDEX('WPP 2024 середина года'!$B:$U,MATCH($A19,'WPP 2024 середина года'!$A:$A,0),MATCH(G$1,'WPP 2024 середина года'!$B$1:$U$1,0))/(1000*INDEX('SALA 2002'!$B:$U,MATCH($A19,'SALA 2002'!$A:$A,0),MATCH(G$1,'SALA 2002'!$B$1:$U$1,0))),($A19-1994)/7),INDEX('WPP 2024 середина года'!$B:$U,MATCH($A19,'WPP 2024 середина года'!$A:$A,0),MATCH(G$1,'WPP 2024 середина года'!$B$1:$U$1,0)))))</f>
        <v>404</v>
      </c>
      <c r="H19" s="7">
        <f>IF($A19&lt;=1951,INDEX('SALA 1974'!$B:$U,MATCH($A19,'SALA 1974'!$A:$A,0),MATCH(H$1,'SALA 1974'!$B$1:$U$1,0)),IF($A19&lt;=1994,1000*INDEX('SALA 2002'!$B:$U,MATCH($A19,'SALA 2002'!$A:$A,0),MATCH(H$1,'SALA 2002'!$B$1:$U$1,0)),IF($A19&lt;=2000,1000*INDEX('SALA 2002'!$B:$U,MATCH($A19,'SALA 2002'!$A:$A,0),MATCH(H$1,'SALA 2002'!$B$1:$U$1,0))*POWER(INDEX('WPP 2024 середина года'!$B:$U,MATCH($A19,'WPP 2024 середина года'!$A:$A,0),MATCH(H$1,'WPP 2024 середина года'!$B$1:$U$1,0))/(1000*INDEX('SALA 2002'!$B:$U,MATCH($A19,'SALA 2002'!$A:$A,0),MATCH(H$1,'SALA 2002'!$B$1:$U$1,0))),($A19-1994)/7),INDEX('WPP 2024 середина года'!$B:$U,MATCH($A19,'WPP 2024 середина года'!$A:$A,0),MATCH(H$1,'WPP 2024 середина года'!$B$1:$U$1,0)))))</f>
        <v>2746</v>
      </c>
      <c r="I19" s="7">
        <f>IF($A19&lt;=1951,INDEX('SALA 1974'!$B:$U,MATCH($A19,'SALA 1974'!$A:$A,0),MATCH(I$1,'SALA 1974'!$B$1:$U$1,0)),IF($A19&lt;=1994,1000*INDEX('SALA 2002'!$B:$U,MATCH($A19,'SALA 2002'!$A:$A,0),MATCH(I$1,'SALA 2002'!$B$1:$U$1,0)),IF($A19&lt;=2000,1000*INDEX('SALA 2002'!$B:$U,MATCH($A19,'SALA 2002'!$A:$A,0),MATCH(I$1,'SALA 2002'!$B$1:$U$1,0))*POWER(INDEX('WPP 2024 середина года'!$B:$U,MATCH($A19,'WPP 2024 середина года'!$A:$A,0),MATCH(I$1,'WPP 2024 середина года'!$B$1:$U$1,0))/(1000*INDEX('SALA 2002'!$B:$U,MATCH($A19,'SALA 2002'!$A:$A,0),MATCH(I$1,'SALA 2002'!$B$1:$U$1,0))),($A19-1994)/7),INDEX('WPP 2024 середина года'!$B:$U,MATCH($A19,'WPP 2024 середина года'!$A:$A,0),MATCH(I$1,'WPP 2024 середина года'!$B$1:$U$1,0)))))</f>
        <v>837</v>
      </c>
      <c r="J19" s="7">
        <f>IF($A19&lt;=1951,INDEX('SALA 1974'!$B:$U,MATCH($A19,'SALA 1974'!$A:$A,0),MATCH(J$1,'SALA 1974'!$B$1:$U$1,0)),IF($A19&lt;=1994,1000*INDEX('SALA 2002'!$B:$U,MATCH($A19,'SALA 2002'!$A:$A,0),MATCH(J$1,'SALA 2002'!$B$1:$U$1,0)),IF($A19&lt;=2000,1000*INDEX('SALA 2002'!$B:$U,MATCH($A19,'SALA 2002'!$A:$A,0),MATCH(J$1,'SALA 2002'!$B$1:$U$1,0))*POWER(INDEX('WPP 2024 середина года'!$B:$U,MATCH($A19,'WPP 2024 середина года'!$A:$A,0),MATCH(J$1,'WPP 2024 середина года'!$B$1:$U$1,0))/(1000*INDEX('SALA 2002'!$B:$U,MATCH($A19,'SALA 2002'!$A:$A,0),MATCH(J$1,'SALA 2002'!$B$1:$U$1,0))),($A19-1994)/7),INDEX('WPP 2024 середина года'!$B:$U,MATCH($A19,'WPP 2024 середина года'!$A:$A,0),MATCH(J$1,'WPP 2024 середина года'!$B$1:$U$1,0)))))</f>
        <v>1505</v>
      </c>
      <c r="K19" s="7">
        <f>IF($A19&lt;=1951,INDEX('SALA 1974'!$B:$U,MATCH($A19,'SALA 1974'!$A:$A,0),MATCH(K$1,'SALA 1974'!$B$1:$U$1,0)),IF($A19&lt;=1994,1000*INDEX('SALA 2002'!$B:$U,MATCH($A19,'SALA 2002'!$A:$A,0),MATCH(K$1,'SALA 2002'!$B$1:$U$1,0)),IF($A19&lt;=2000,1000*INDEX('SALA 2002'!$B:$U,MATCH($A19,'SALA 2002'!$A:$A,0),MATCH(K$1,'SALA 2002'!$B$1:$U$1,0))*POWER(INDEX('WPP 2024 середина года'!$B:$U,MATCH($A19,'WPP 2024 середина года'!$A:$A,0),MATCH(K$1,'WPP 2024 середина года'!$B$1:$U$1,0))/(1000*INDEX('SALA 2002'!$B:$U,MATCH($A19,'SALA 2002'!$A:$A,0),MATCH(K$1,'SALA 2002'!$B$1:$U$1,0))),($A19-1994)/7),INDEX('WPP 2024 середина года'!$B:$U,MATCH($A19,'WPP 2024 середина года'!$A:$A,0),MATCH(K$1,'WPP 2024 середина года'!$B$1:$U$1,0)))))</f>
        <v>1113</v>
      </c>
      <c r="L19" s="7">
        <f>IF($A19&lt;=1951,INDEX('SALA 1974'!$B:$U,MATCH($A19,'SALA 1974'!$A:$A,0),MATCH(L$1,'SALA 1974'!$B$1:$U$1,0)),IF($A19&lt;=1994,1000*INDEX('SALA 2002'!$B:$U,MATCH($A19,'SALA 2002'!$A:$A,0),MATCH(L$1,'SALA 2002'!$B$1:$U$1,0)),IF($A19&lt;=2000,1000*INDEX('SALA 2002'!$B:$U,MATCH($A19,'SALA 2002'!$A:$A,0),MATCH(L$1,'SALA 2002'!$B$1:$U$1,0))*POWER(INDEX('WPP 2024 середина года'!$B:$U,MATCH($A19,'WPP 2024 середина года'!$A:$A,0),MATCH(L$1,'WPP 2024 середина года'!$B$1:$U$1,0))/(1000*INDEX('SALA 2002'!$B:$U,MATCH($A19,'SALA 2002'!$A:$A,0),MATCH(L$1,'SALA 2002'!$B$1:$U$1,0))),($A19-1994)/7),INDEX('WPP 2024 середина года'!$B:$U,MATCH($A19,'WPP 2024 середина года'!$A:$A,0),MATCH(L$1,'WPP 2024 середина года'!$B$1:$U$1,0)))))</f>
        <v>1226</v>
      </c>
      <c r="M19" s="7">
        <f>IF($A19&lt;=1951,INDEX('SALA 1974'!$B:$U,MATCH($A19,'SALA 1974'!$A:$A,0),MATCH(M$1,'SALA 1974'!$B$1:$U$1,0)),IF($A19&lt;=1994,1000*INDEX('SALA 2002'!$B:$U,MATCH($A19,'SALA 2002'!$A:$A,0),MATCH(M$1,'SALA 2002'!$B$1:$U$1,0)),IF($A19&lt;=2000,1000*INDEX('SALA 2002'!$B:$U,MATCH($A19,'SALA 2002'!$A:$A,0),MATCH(M$1,'SALA 2002'!$B$1:$U$1,0))*POWER(INDEX('WPP 2024 середина года'!$B:$U,MATCH($A19,'WPP 2024 середина года'!$A:$A,0),MATCH(M$1,'WPP 2024 середина года'!$B$1:$U$1,0))/(1000*INDEX('SALA 2002'!$B:$U,MATCH($A19,'SALA 2002'!$A:$A,0),MATCH(M$1,'SALA 2002'!$B$1:$U$1,0))),($A19-1994)/7),INDEX('WPP 2024 середина года'!$B:$U,MATCH($A19,'WPP 2024 середина года'!$A:$A,0),MATCH(M$1,'WPP 2024 середина года'!$B$1:$U$1,0)))))</f>
        <v>1993</v>
      </c>
      <c r="N19" s="7">
        <f>IF($A19&lt;=1951,INDEX('SALA 1974'!$B:$U,MATCH($A19,'SALA 1974'!$A:$A,0),MATCH(N$1,'SALA 1974'!$B$1:$U$1,0)),IF($A19&lt;=1994,1000*INDEX('SALA 2002'!$B:$U,MATCH($A19,'SALA 2002'!$A:$A,0),MATCH(N$1,'SALA 2002'!$B$1:$U$1,0)),IF($A19&lt;=2000,1000*INDEX('SALA 2002'!$B:$U,MATCH($A19,'SALA 2002'!$A:$A,0),MATCH(N$1,'SALA 2002'!$B$1:$U$1,0))*POWER(INDEX('WPP 2024 середина года'!$B:$U,MATCH($A19,'WPP 2024 середина года'!$A:$A,0),MATCH(N$1,'WPP 2024 середина года'!$B$1:$U$1,0))/(1000*INDEX('SALA 2002'!$B:$U,MATCH($A19,'SALA 2002'!$A:$A,0),MATCH(N$1,'SALA 2002'!$B$1:$U$1,0))),($A19-1994)/7),INDEX('WPP 2024 середина года'!$B:$U,MATCH($A19,'WPP 2024 середина года'!$A:$A,0),MATCH(N$1,'WPP 2024 середина года'!$B$1:$U$1,0)))))</f>
        <v>633</v>
      </c>
      <c r="O19" s="7">
        <f>IF($A19&lt;=1951,INDEX('SALA 1974'!$B:$U,MATCH($A19,'SALA 1974'!$A:$A,0),MATCH(O$1,'SALA 1974'!$B$1:$U$1,0)),IF($A19&lt;=1994,1000*INDEX('SALA 2002'!$B:$U,MATCH($A19,'SALA 2002'!$A:$A,0),MATCH(O$1,'SALA 2002'!$B$1:$U$1,0)),IF($A19&lt;=2000,1000*INDEX('SALA 2002'!$B:$U,MATCH($A19,'SALA 2002'!$A:$A,0),MATCH(O$1,'SALA 2002'!$B$1:$U$1,0))*POWER(INDEX('WPP 2024 середина года'!$B:$U,MATCH($A19,'WPP 2024 середина года'!$A:$A,0),MATCH(O$1,'WPP 2024 середина года'!$B$1:$U$1,0))/(1000*INDEX('SALA 2002'!$B:$U,MATCH($A19,'SALA 2002'!$A:$A,0),MATCH(O$1,'SALA 2002'!$B$1:$U$1,0))),($A19-1994)/7),INDEX('WPP 2024 середина года'!$B:$U,MATCH($A19,'WPP 2024 середина года'!$A:$A,0),MATCH(O$1,'WPP 2024 середина года'!$B$1:$U$1,0)))))</f>
        <v>13898</v>
      </c>
      <c r="P19" s="7">
        <f>IF($A19&lt;=1951,INDEX('SALA 1974'!$B:$U,MATCH($A19,'SALA 1974'!$A:$A,0),MATCH(P$1,'SALA 1974'!$B$1:$U$1,0)),IF($A19&lt;=1994,1000*INDEX('SALA 2002'!$B:$U,MATCH($A19,'SALA 2002'!$A:$A,0),MATCH(P$1,'SALA 2002'!$B$1:$U$1,0)),IF($A19&lt;=2000,1000*INDEX('SALA 2002'!$B:$U,MATCH($A19,'SALA 2002'!$A:$A,0),MATCH(P$1,'SALA 2002'!$B$1:$U$1,0))*POWER(INDEX('WPP 2024 середина года'!$B:$U,MATCH($A19,'WPP 2024 середина года'!$A:$A,0),MATCH(P$1,'WPP 2024 середина года'!$B$1:$U$1,0))/(1000*INDEX('SALA 2002'!$B:$U,MATCH($A19,'SALA 2002'!$A:$A,0),MATCH(P$1,'SALA 2002'!$B$1:$U$1,0))),($A19-1994)/7),INDEX('WPP 2024 середина года'!$B:$U,MATCH($A19,'WPP 2024 середина года'!$A:$A,0),MATCH(P$1,'WPP 2024 середина года'!$B$1:$U$1,0)))))</f>
        <v>610</v>
      </c>
      <c r="Q19" s="7">
        <f>IF($A19&lt;=1951,INDEX('SALA 1974'!$B:$U,MATCH($A19,'SALA 1974'!$A:$A,0),MATCH(Q$1,'SALA 1974'!$B$1:$U$1,0)),IF($A19&lt;=1994,1000*INDEX('SALA 2002'!$B:$U,MATCH($A19,'SALA 2002'!$A:$A,0),MATCH(Q$1,'SALA 2002'!$B$1:$U$1,0)),IF($A19&lt;=2000,1000*INDEX('SALA 2002'!$B:$U,MATCH($A19,'SALA 2002'!$A:$A,0),MATCH(Q$1,'SALA 2002'!$B$1:$U$1,0))*POWER(INDEX('WPP 2024 середина года'!$B:$U,MATCH($A19,'WPP 2024 середина года'!$A:$A,0),MATCH(Q$1,'WPP 2024 середина года'!$B$1:$U$1,0))/(1000*INDEX('SALA 2002'!$B:$U,MATCH($A19,'SALA 2002'!$A:$A,0),MATCH(Q$1,'SALA 2002'!$B$1:$U$1,0))),($A19-1994)/7),INDEX('WPP 2024 середина года'!$B:$U,MATCH($A19,'WPP 2024 середина года'!$A:$A,0),MATCH(Q$1,'WPP 2024 середина года'!$B$1:$U$1,0)))))</f>
        <v>413</v>
      </c>
      <c r="R19" s="7">
        <f>IF($A19&lt;=1951,INDEX('SALA 1974'!$B:$U,MATCH($A19,'SALA 1974'!$A:$A,0),MATCH(R$1,'SALA 1974'!$B$1:$U$1,0)),IF($A19&lt;=1994,1000*INDEX('SALA 2002'!$B:$U,MATCH($A19,'SALA 2002'!$A:$A,0),MATCH(R$1,'SALA 2002'!$B$1:$U$1,0)),IF($A19&lt;=2000,1000*INDEX('SALA 2002'!$B:$U,MATCH($A19,'SALA 2002'!$A:$A,0),MATCH(R$1,'SALA 2002'!$B$1:$U$1,0))*POWER(INDEX('WPP 2024 середина года'!$B:$U,MATCH($A19,'WPP 2024 середина года'!$A:$A,0),MATCH(R$1,'WPP 2024 середина года'!$B$1:$U$1,0))/(1000*INDEX('SALA 2002'!$B:$U,MATCH($A19,'SALA 2002'!$A:$A,0),MATCH(R$1,'SALA 2002'!$B$1:$U$1,0))),($A19-1994)/7),INDEX('WPP 2024 середина года'!$B:$U,MATCH($A19,'WPP 2024 середина года'!$A:$A,0),MATCH(R$1,'WPP 2024 середина года'!$B$1:$U$1,0)))))</f>
        <v>678</v>
      </c>
      <c r="S19" s="7">
        <f>IF($A19&lt;=1951,INDEX('SALA 1974'!$B:$U,MATCH($A19,'SALA 1974'!$A:$A,0),MATCH(S$1,'SALA 1974'!$B$1:$U$1,0)),IF($A19&lt;=1994,1000*INDEX('SALA 2002'!$B:$U,MATCH($A19,'SALA 2002'!$A:$A,0),MATCH(S$1,'SALA 2002'!$B$1:$U$1,0)),IF($A19&lt;=2000,1000*INDEX('SALA 2002'!$B:$U,MATCH($A19,'SALA 2002'!$A:$A,0),MATCH(S$1,'SALA 2002'!$B$1:$U$1,0))*POWER(INDEX('WPP 2024 середина года'!$B:$U,MATCH($A19,'WPP 2024 середина года'!$A:$A,0),MATCH(S$1,'WPP 2024 середина года'!$B$1:$U$1,0))/(1000*INDEX('SALA 2002'!$B:$U,MATCH($A19,'SALA 2002'!$A:$A,0),MATCH(S$1,'SALA 2002'!$B$1:$U$1,0))),($A19-1994)/7),INDEX('WPP 2024 середина года'!$B:$U,MATCH($A19,'WPP 2024 середина года'!$A:$A,0),MATCH(S$1,'WPP 2024 середина года'!$B$1:$U$1,0)))))</f>
        <v>4588</v>
      </c>
      <c r="T19" s="7">
        <f>IF($A19&lt;=1951,INDEX('SALA 1974'!$B:$U,MATCH($A19,'SALA 1974'!$A:$A,0),MATCH(T$1,'SALA 1974'!$B$1:$U$1,0)),IF($A19&lt;=1994,1000*INDEX('SALA 2002'!$B:$U,MATCH($A19,'SALA 2002'!$A:$A,0),MATCH(T$1,'SALA 2002'!$B$1:$U$1,0)),IF($A19&lt;=2000,1000*INDEX('SALA 2002'!$B:$U,MATCH($A19,'SALA 2002'!$A:$A,0),MATCH(T$1,'SALA 2002'!$B$1:$U$1,0))*POWER(INDEX('WPP 2024 середина года'!$B:$U,MATCH($A19,'WPP 2024 середина года'!$A:$A,0),MATCH(T$1,'WPP 2024 середина года'!$B$1:$U$1,0))/(1000*INDEX('SALA 2002'!$B:$U,MATCH($A19,'SALA 2002'!$A:$A,0),MATCH(T$1,'SALA 2002'!$B$1:$U$1,0))),($A19-1994)/7),INDEX('WPP 2024 середина года'!$B:$U,MATCH($A19,'WPP 2024 середина года'!$A:$A,0),MATCH(T$1,'WPP 2024 середина года'!$B$1:$U$1,0)))))</f>
        <v>1407</v>
      </c>
      <c r="U19" s="7">
        <f>IF($A19&lt;=1951,INDEX('SALA 1974'!$B:$U,MATCH($A19,'SALA 1974'!$A:$A,0),MATCH(U$1,'SALA 1974'!$B$1:$U$1,0)),IF($A19&lt;=1994,1000*INDEX('SALA 2002'!$B:$U,MATCH($A19,'SALA 2002'!$A:$A,0),MATCH(U$1,'SALA 2002'!$B$1:$U$1,0)),IF($A19&lt;=2000,1000*INDEX('SALA 2002'!$B:$U,MATCH($A19,'SALA 2002'!$A:$A,0),MATCH(U$1,'SALA 2002'!$B$1:$U$1,0))*POWER(INDEX('WPP 2024 середина года'!$B:$U,MATCH($A19,'WPP 2024 середина года'!$A:$A,0),MATCH(U$1,'WPP 2024 середина года'!$B$1:$U$1,0))/(1000*INDEX('SALA 2002'!$B:$U,MATCH($A19,'SALA 2002'!$A:$A,0),MATCH(U$1,'SALA 2002'!$B$1:$U$1,0))),($A19-1994)/7),INDEX('WPP 2024 середина года'!$B:$U,MATCH($A19,'WPP 2024 середина года'!$A:$A,0),MATCH(U$1,'WPP 2024 середина года'!$B$1:$U$1,0)))))</f>
        <v>2750</v>
      </c>
    </row>
    <row r="20" spans="1:21" x14ac:dyDescent="0.25">
      <c r="A20" s="5">
        <f t="shared" si="0"/>
        <v>1918</v>
      </c>
      <c r="B20" s="7">
        <f>IF($A20&lt;=1951,INDEX('SALA 1974'!$B:$U,MATCH($A20,'SALA 1974'!$A:$A,0),MATCH(B$1,'SALA 1974'!$B$1:$U$1,0)),IF($A20&lt;=1994,1000*INDEX('SALA 2002'!$B:$U,MATCH($A20,'SALA 2002'!$A:$A,0),MATCH(B$1,'SALA 2002'!$B$1:$U$1,0)),IF($A20&lt;=2000,1000*INDEX('SALA 2002'!$B:$U,MATCH($A20,'SALA 2002'!$A:$A,0),MATCH(B$1,'SALA 2002'!$B$1:$U$1,0))*POWER(INDEX('WPP 2024 середина года'!$B:$U,MATCH($A20,'WPP 2024 середина года'!$A:$A,0),MATCH(B$1,'WPP 2024 середина года'!$B$1:$U$1,0))/(1000*INDEX('SALA 2002'!$B:$U,MATCH($A20,'SALA 2002'!$A:$A,0),MATCH(B$1,'SALA 2002'!$B$1:$U$1,0))),($A20-1994)/7),INDEX('WPP 2024 середина года'!$B:$U,MATCH($A20,'WPP 2024 середина года'!$A:$A,0),MATCH(B$1,'WPP 2024 середина года'!$B$1:$U$1,0)))))</f>
        <v>8590</v>
      </c>
      <c r="C20" s="7">
        <f>IF($A20&lt;=1951,INDEX('SALA 1974'!$B:$U,MATCH($A20,'SALA 1974'!$A:$A,0),MATCH(C$1,'SALA 1974'!$B$1:$U$1,0)),IF($A20&lt;=1994,1000*INDEX('SALA 2002'!$B:$U,MATCH($A20,'SALA 2002'!$A:$A,0),MATCH(C$1,'SALA 2002'!$B$1:$U$1,0)),IF($A20&lt;=2000,1000*INDEX('SALA 2002'!$B:$U,MATCH($A20,'SALA 2002'!$A:$A,0),MATCH(C$1,'SALA 2002'!$B$1:$U$1,0))*POWER(INDEX('WPP 2024 середина года'!$B:$U,MATCH($A20,'WPP 2024 середина года'!$A:$A,0),MATCH(C$1,'WPP 2024 середина года'!$B$1:$U$1,0))/(1000*INDEX('SALA 2002'!$B:$U,MATCH($A20,'SALA 2002'!$A:$A,0),MATCH(C$1,'SALA 2002'!$B$1:$U$1,0))),($A20-1994)/7),INDEX('WPP 2024 середина года'!$B:$U,MATCH($A20,'WPP 2024 середина года'!$A:$A,0),MATCH(C$1,'WPP 2024 середина года'!$B$1:$U$1,0)))))</f>
        <v>2099</v>
      </c>
      <c r="D20" s="7">
        <f>IF($A20&lt;=1951,INDEX('SALA 1974'!$B:$U,MATCH($A20,'SALA 1974'!$A:$A,0),MATCH(D$1,'SALA 1974'!$B$1:$U$1,0)),IF($A20&lt;=1994,1000*INDEX('SALA 2002'!$B:$U,MATCH($A20,'SALA 2002'!$A:$A,0),MATCH(D$1,'SALA 2002'!$B$1:$U$1,0)),IF($A20&lt;=2000,1000*INDEX('SALA 2002'!$B:$U,MATCH($A20,'SALA 2002'!$A:$A,0),MATCH(D$1,'SALA 2002'!$B$1:$U$1,0))*POWER(INDEX('WPP 2024 середина года'!$B:$U,MATCH($A20,'WPP 2024 середина года'!$A:$A,0),MATCH(D$1,'WPP 2024 середина года'!$B$1:$U$1,0))/(1000*INDEX('SALA 2002'!$B:$U,MATCH($A20,'SALA 2002'!$A:$A,0),MATCH(D$1,'SALA 2002'!$B$1:$U$1,0))),($A20-1994)/7),INDEX('WPP 2024 середина года'!$B:$U,MATCH($A20,'WPP 2024 середина года'!$A:$A,0),MATCH(D$1,'WPP 2024 середина года'!$B$1:$U$1,0)))))</f>
        <v>26277</v>
      </c>
      <c r="E20" s="7">
        <f>IF($A20&lt;=1951,INDEX('SALA 1974'!$B:$U,MATCH($A20,'SALA 1974'!$A:$A,0),MATCH(E$1,'SALA 1974'!$B$1:$U$1,0)),IF($A20&lt;=1994,1000*INDEX('SALA 2002'!$B:$U,MATCH($A20,'SALA 2002'!$A:$A,0),MATCH(E$1,'SALA 2002'!$B$1:$U$1,0)),IF($A20&lt;=2000,1000*INDEX('SALA 2002'!$B:$U,MATCH($A20,'SALA 2002'!$A:$A,0),MATCH(E$1,'SALA 2002'!$B$1:$U$1,0))*POWER(INDEX('WPP 2024 середина года'!$B:$U,MATCH($A20,'WPP 2024 середина года'!$A:$A,0),MATCH(E$1,'WPP 2024 середина года'!$B$1:$U$1,0))/(1000*INDEX('SALA 2002'!$B:$U,MATCH($A20,'SALA 2002'!$A:$A,0),MATCH(E$1,'SALA 2002'!$B$1:$U$1,0))),($A20-1994)/7),INDEX('WPP 2024 середина года'!$B:$U,MATCH($A20,'WPP 2024 середина года'!$A:$A,0),MATCH(E$1,'WPP 2024 середина года'!$B$1:$U$1,0)))))</f>
        <v>3690</v>
      </c>
      <c r="F20" s="7">
        <f>IF($A20&lt;=1947,INDEX('SALA 1974'!$B:$U,MATCH($A20,'SALA 1974'!$A:$A,0),MATCH(F$1,'SALA 1974'!$B$1:$U$1,0)),IF($A20&lt;=1994,1000*INDEX('SALA 2002'!$B:$U,MATCH($A20,'SALA 2002'!$A:$A,0),MATCH(F$1,'SALA 2002'!$B$1:$U$1,0)),IF($A20&lt;=2000,1000*INDEX('SALA 2002'!$B:$U,MATCH($A20,'SALA 2002'!$A:$A,0),MATCH(F$1,'SALA 2002'!$B$1:$U$1,0))*POWER(INDEX('WPP 2024 середина года'!$B:$U,MATCH($A20,'WPP 2024 середина года'!$A:$A,0),MATCH(F$1,'WPP 2024 середина года'!$B$1:$U$1,0))/(1000*INDEX('SALA 2002'!$B:$U,MATCH($A20,'SALA 2002'!$A:$A,0),MATCH(F$1,'SALA 2002'!$B$1:$U$1,0))),($A20-1994)/7),INDEX('WPP 2024 середина года'!$B:$U,MATCH($A20,'WPP 2024 середина года'!$A:$A,0),MATCH(F$1,'WPP 2024 середина года'!$B$1:$U$1,0)))))</f>
        <v>5855</v>
      </c>
      <c r="G20" s="7">
        <f>IF($A20&lt;=1951,INDEX('SALA 1974'!$B:$U,MATCH($A20,'SALA 1974'!$A:$A,0),MATCH(G$1,'SALA 1974'!$B$1:$U$1,0)),IF($A20&lt;=1994,1000*INDEX('SALA 2002'!$B:$U,MATCH($A20,'SALA 2002'!$A:$A,0),MATCH(G$1,'SALA 2002'!$B$1:$U$1,0)),IF($A20&lt;=2000,1000*INDEX('SALA 2002'!$B:$U,MATCH($A20,'SALA 2002'!$A:$A,0),MATCH(G$1,'SALA 2002'!$B$1:$U$1,0))*POWER(INDEX('WPP 2024 середина года'!$B:$U,MATCH($A20,'WPP 2024 середина года'!$A:$A,0),MATCH(G$1,'WPP 2024 середина года'!$B$1:$U$1,0))/(1000*INDEX('SALA 2002'!$B:$U,MATCH($A20,'SALA 2002'!$A:$A,0),MATCH(G$1,'SALA 2002'!$B$1:$U$1,0))),($A20-1994)/7),INDEX('WPP 2024 середина года'!$B:$U,MATCH($A20,'WPP 2024 середина года'!$A:$A,0),MATCH(G$1,'WPP 2024 середина года'!$B$1:$U$1,0)))))</f>
        <v>410</v>
      </c>
      <c r="H20" s="7">
        <f>IF($A20&lt;=1951,INDEX('SALA 1974'!$B:$U,MATCH($A20,'SALA 1974'!$A:$A,0),MATCH(H$1,'SALA 1974'!$B$1:$U$1,0)),IF($A20&lt;=1994,1000*INDEX('SALA 2002'!$B:$U,MATCH($A20,'SALA 2002'!$A:$A,0),MATCH(H$1,'SALA 2002'!$B$1:$U$1,0)),IF($A20&lt;=2000,1000*INDEX('SALA 2002'!$B:$U,MATCH($A20,'SALA 2002'!$A:$A,0),MATCH(H$1,'SALA 2002'!$B$1:$U$1,0))*POWER(INDEX('WPP 2024 середина года'!$B:$U,MATCH($A20,'WPP 2024 середина года'!$A:$A,0),MATCH(H$1,'WPP 2024 середина года'!$B$1:$U$1,0))/(1000*INDEX('SALA 2002'!$B:$U,MATCH($A20,'SALA 2002'!$A:$A,0),MATCH(H$1,'SALA 2002'!$B$1:$U$1,0))),($A20-1994)/7),INDEX('WPP 2024 середина года'!$B:$U,MATCH($A20,'WPP 2024 середина года'!$A:$A,0),MATCH(H$1,'WPP 2024 середина года'!$B$1:$U$1,0)))))</f>
        <v>2828</v>
      </c>
      <c r="I20" s="7">
        <f>IF($A20&lt;=1951,INDEX('SALA 1974'!$B:$U,MATCH($A20,'SALA 1974'!$A:$A,0),MATCH(I$1,'SALA 1974'!$B$1:$U$1,0)),IF($A20&lt;=1994,1000*INDEX('SALA 2002'!$B:$U,MATCH($A20,'SALA 2002'!$A:$A,0),MATCH(I$1,'SALA 2002'!$B$1:$U$1,0)),IF($A20&lt;=2000,1000*INDEX('SALA 2002'!$B:$U,MATCH($A20,'SALA 2002'!$A:$A,0),MATCH(I$1,'SALA 2002'!$B$1:$U$1,0))*POWER(INDEX('WPP 2024 середина года'!$B:$U,MATCH($A20,'WPP 2024 середина года'!$A:$A,0),MATCH(I$1,'WPP 2024 середина года'!$B$1:$U$1,0))/(1000*INDEX('SALA 2002'!$B:$U,MATCH($A20,'SALA 2002'!$A:$A,0),MATCH(I$1,'SALA 2002'!$B$1:$U$1,0))),($A20-1994)/7),INDEX('WPP 2024 середина года'!$B:$U,MATCH($A20,'WPP 2024 середина года'!$A:$A,0),MATCH(I$1,'WPP 2024 середина года'!$B$1:$U$1,0)))))</f>
        <v>851</v>
      </c>
      <c r="J20" s="7">
        <f>IF($A20&lt;=1951,INDEX('SALA 1974'!$B:$U,MATCH($A20,'SALA 1974'!$A:$A,0),MATCH(J$1,'SALA 1974'!$B$1:$U$1,0)),IF($A20&lt;=1994,1000*INDEX('SALA 2002'!$B:$U,MATCH($A20,'SALA 2002'!$A:$A,0),MATCH(J$1,'SALA 2002'!$B$1:$U$1,0)),IF($A20&lt;=2000,1000*INDEX('SALA 2002'!$B:$U,MATCH($A20,'SALA 2002'!$A:$A,0),MATCH(J$1,'SALA 2002'!$B$1:$U$1,0))*POWER(INDEX('WPP 2024 середина года'!$B:$U,MATCH($A20,'WPP 2024 середина года'!$A:$A,0),MATCH(J$1,'WPP 2024 середина года'!$B$1:$U$1,0))/(1000*INDEX('SALA 2002'!$B:$U,MATCH($A20,'SALA 2002'!$A:$A,0),MATCH(J$1,'SALA 2002'!$B$1:$U$1,0))),($A20-1994)/7),INDEX('WPP 2024 середина года'!$B:$U,MATCH($A20,'WPP 2024 середина года'!$A:$A,0),MATCH(J$1,'WPP 2024 середина года'!$B$1:$U$1,0)))))</f>
        <v>1517</v>
      </c>
      <c r="K20" s="7">
        <f>IF($A20&lt;=1951,INDEX('SALA 1974'!$B:$U,MATCH($A20,'SALA 1974'!$A:$A,0),MATCH(K$1,'SALA 1974'!$B$1:$U$1,0)),IF($A20&lt;=1994,1000*INDEX('SALA 2002'!$B:$U,MATCH($A20,'SALA 2002'!$A:$A,0),MATCH(K$1,'SALA 2002'!$B$1:$U$1,0)),IF($A20&lt;=2000,1000*INDEX('SALA 2002'!$B:$U,MATCH($A20,'SALA 2002'!$A:$A,0),MATCH(K$1,'SALA 2002'!$B$1:$U$1,0))*POWER(INDEX('WPP 2024 середина года'!$B:$U,MATCH($A20,'WPP 2024 середина года'!$A:$A,0),MATCH(K$1,'WPP 2024 середина года'!$B$1:$U$1,0))/(1000*INDEX('SALA 2002'!$B:$U,MATCH($A20,'SALA 2002'!$A:$A,0),MATCH(K$1,'SALA 2002'!$B$1:$U$1,0))),($A20-1994)/7),INDEX('WPP 2024 середина года'!$B:$U,MATCH($A20,'WPP 2024 середина года'!$A:$A,0),MATCH(K$1,'WPP 2024 середина года'!$B$1:$U$1,0)))))</f>
        <v>1131</v>
      </c>
      <c r="L20" s="7">
        <f>IF($A20&lt;=1951,INDEX('SALA 1974'!$B:$U,MATCH($A20,'SALA 1974'!$A:$A,0),MATCH(L$1,'SALA 1974'!$B$1:$U$1,0)),IF($A20&lt;=1994,1000*INDEX('SALA 2002'!$B:$U,MATCH($A20,'SALA 2002'!$A:$A,0),MATCH(L$1,'SALA 2002'!$B$1:$U$1,0)),IF($A20&lt;=2000,1000*INDEX('SALA 2002'!$B:$U,MATCH($A20,'SALA 2002'!$A:$A,0),MATCH(L$1,'SALA 2002'!$B$1:$U$1,0))*POWER(INDEX('WPP 2024 середина года'!$B:$U,MATCH($A20,'WPP 2024 середина года'!$A:$A,0),MATCH(L$1,'WPP 2024 середина года'!$B$1:$U$1,0))/(1000*INDEX('SALA 2002'!$B:$U,MATCH($A20,'SALA 2002'!$A:$A,0),MATCH(L$1,'SALA 2002'!$B$1:$U$1,0))),($A20-1994)/7),INDEX('WPP 2024 середина года'!$B:$U,MATCH($A20,'WPP 2024 середина года'!$A:$A,0),MATCH(L$1,'WPP 2024 середина года'!$B$1:$U$1,0)))))</f>
        <v>1241</v>
      </c>
      <c r="M20" s="7">
        <f>IF($A20&lt;=1951,INDEX('SALA 1974'!$B:$U,MATCH($A20,'SALA 1974'!$A:$A,0),MATCH(M$1,'SALA 1974'!$B$1:$U$1,0)),IF($A20&lt;=1994,1000*INDEX('SALA 2002'!$B:$U,MATCH($A20,'SALA 2002'!$A:$A,0),MATCH(M$1,'SALA 2002'!$B$1:$U$1,0)),IF($A20&lt;=2000,1000*INDEX('SALA 2002'!$B:$U,MATCH($A20,'SALA 2002'!$A:$A,0),MATCH(M$1,'SALA 2002'!$B$1:$U$1,0))*POWER(INDEX('WPP 2024 середина года'!$B:$U,MATCH($A20,'WPP 2024 середина года'!$A:$A,0),MATCH(M$1,'WPP 2024 середина года'!$B$1:$U$1,0))/(1000*INDEX('SALA 2002'!$B:$U,MATCH($A20,'SALA 2002'!$A:$A,0),MATCH(M$1,'SALA 2002'!$B$1:$U$1,0))),($A20-1994)/7),INDEX('WPP 2024 середина года'!$B:$U,MATCH($A20,'WPP 2024 середина года'!$A:$A,0),MATCH(M$1,'WPP 2024 середина года'!$B$1:$U$1,0)))))</f>
        <v>2037</v>
      </c>
      <c r="N20" s="7">
        <f>IF($A20&lt;=1951,INDEX('SALA 1974'!$B:$U,MATCH($A20,'SALA 1974'!$A:$A,0),MATCH(N$1,'SALA 1974'!$B$1:$U$1,0)),IF($A20&lt;=1994,1000*INDEX('SALA 2002'!$B:$U,MATCH($A20,'SALA 2002'!$A:$A,0),MATCH(N$1,'SALA 2002'!$B$1:$U$1,0)),IF($A20&lt;=2000,1000*INDEX('SALA 2002'!$B:$U,MATCH($A20,'SALA 2002'!$A:$A,0),MATCH(N$1,'SALA 2002'!$B$1:$U$1,0))*POWER(INDEX('WPP 2024 середина года'!$B:$U,MATCH($A20,'WPP 2024 середина года'!$A:$A,0),MATCH(N$1,'WPP 2024 середина года'!$B$1:$U$1,0))/(1000*INDEX('SALA 2002'!$B:$U,MATCH($A20,'SALA 2002'!$A:$A,0),MATCH(N$1,'SALA 2002'!$B$1:$U$1,0))),($A20-1994)/7),INDEX('WPP 2024 середина года'!$B:$U,MATCH($A20,'WPP 2024 середина года'!$A:$A,0),MATCH(N$1,'WPP 2024 середина года'!$B$1:$U$1,0)))))</f>
        <v>660</v>
      </c>
      <c r="O20" s="7">
        <f>IF($A20&lt;=1951,INDEX('SALA 1974'!$B:$U,MATCH($A20,'SALA 1974'!$A:$A,0),MATCH(O$1,'SALA 1974'!$B$1:$U$1,0)),IF($A20&lt;=1994,1000*INDEX('SALA 2002'!$B:$U,MATCH($A20,'SALA 2002'!$A:$A,0),MATCH(O$1,'SALA 2002'!$B$1:$U$1,0)),IF($A20&lt;=2000,1000*INDEX('SALA 2002'!$B:$U,MATCH($A20,'SALA 2002'!$A:$A,0),MATCH(O$1,'SALA 2002'!$B$1:$U$1,0))*POWER(INDEX('WPP 2024 середина года'!$B:$U,MATCH($A20,'WPP 2024 середина года'!$A:$A,0),MATCH(O$1,'WPP 2024 середина года'!$B$1:$U$1,0))/(1000*INDEX('SALA 2002'!$B:$U,MATCH($A20,'SALA 2002'!$A:$A,0),MATCH(O$1,'SALA 2002'!$B$1:$U$1,0))),($A20-1994)/7),INDEX('WPP 2024 середина года'!$B:$U,MATCH($A20,'WPP 2024 середина года'!$A:$A,0),MATCH(O$1,'WPP 2024 середина года'!$B$1:$U$1,0)))))</f>
        <v>14000</v>
      </c>
      <c r="P20" s="7">
        <f>IF($A20&lt;=1951,INDEX('SALA 1974'!$B:$U,MATCH($A20,'SALA 1974'!$A:$A,0),MATCH(P$1,'SALA 1974'!$B$1:$U$1,0)),IF($A20&lt;=1994,1000*INDEX('SALA 2002'!$B:$U,MATCH($A20,'SALA 2002'!$A:$A,0),MATCH(P$1,'SALA 2002'!$B$1:$U$1,0)),IF($A20&lt;=2000,1000*INDEX('SALA 2002'!$B:$U,MATCH($A20,'SALA 2002'!$A:$A,0),MATCH(P$1,'SALA 2002'!$B$1:$U$1,0))*POWER(INDEX('WPP 2024 середина года'!$B:$U,MATCH($A20,'WPP 2024 середина года'!$A:$A,0),MATCH(P$1,'WPP 2024 середина года'!$B$1:$U$1,0))/(1000*INDEX('SALA 2002'!$B:$U,MATCH($A20,'SALA 2002'!$A:$A,0),MATCH(P$1,'SALA 2002'!$B$1:$U$1,0))),($A20-1994)/7),INDEX('WPP 2024 середина года'!$B:$U,MATCH($A20,'WPP 2024 середина года'!$A:$A,0),MATCH(P$1,'WPP 2024 середина года'!$B$1:$U$1,0)))))</f>
        <v>619</v>
      </c>
      <c r="Q20" s="7">
        <f>IF($A20&lt;=1951,INDEX('SALA 1974'!$B:$U,MATCH($A20,'SALA 1974'!$A:$A,0),MATCH(Q$1,'SALA 1974'!$B$1:$U$1,0)),IF($A20&lt;=1994,1000*INDEX('SALA 2002'!$B:$U,MATCH($A20,'SALA 2002'!$A:$A,0),MATCH(Q$1,'SALA 2002'!$B$1:$U$1,0)),IF($A20&lt;=2000,1000*INDEX('SALA 2002'!$B:$U,MATCH($A20,'SALA 2002'!$A:$A,0),MATCH(Q$1,'SALA 2002'!$B$1:$U$1,0))*POWER(INDEX('WPP 2024 середина года'!$B:$U,MATCH($A20,'WPP 2024 середина года'!$A:$A,0),MATCH(Q$1,'WPP 2024 середина года'!$B$1:$U$1,0))/(1000*INDEX('SALA 2002'!$B:$U,MATCH($A20,'SALA 2002'!$A:$A,0),MATCH(Q$1,'SALA 2002'!$B$1:$U$1,0))),($A20-1994)/7),INDEX('WPP 2024 середина года'!$B:$U,MATCH($A20,'WPP 2024 середина года'!$A:$A,0),MATCH(Q$1,'WPP 2024 середина года'!$B$1:$U$1,0)))))</f>
        <v>426</v>
      </c>
      <c r="R20" s="7">
        <f>IF($A20&lt;=1951,INDEX('SALA 1974'!$B:$U,MATCH($A20,'SALA 1974'!$A:$A,0),MATCH(R$1,'SALA 1974'!$B$1:$U$1,0)),IF($A20&lt;=1994,1000*INDEX('SALA 2002'!$B:$U,MATCH($A20,'SALA 2002'!$A:$A,0),MATCH(R$1,'SALA 2002'!$B$1:$U$1,0)),IF($A20&lt;=2000,1000*INDEX('SALA 2002'!$B:$U,MATCH($A20,'SALA 2002'!$A:$A,0),MATCH(R$1,'SALA 2002'!$B$1:$U$1,0))*POWER(INDEX('WPP 2024 середина года'!$B:$U,MATCH($A20,'WPP 2024 середина года'!$A:$A,0),MATCH(R$1,'WPP 2024 середина года'!$B$1:$U$1,0))/(1000*INDEX('SALA 2002'!$B:$U,MATCH($A20,'SALA 2002'!$A:$A,0),MATCH(R$1,'SALA 2002'!$B$1:$U$1,0))),($A20-1994)/7),INDEX('WPP 2024 середина года'!$B:$U,MATCH($A20,'WPP 2024 середина года'!$A:$A,0),MATCH(R$1,'WPP 2024 середина года'!$B$1:$U$1,0)))))</f>
        <v>685</v>
      </c>
      <c r="S20" s="7">
        <f>IF($A20&lt;=1951,INDEX('SALA 1974'!$B:$U,MATCH($A20,'SALA 1974'!$A:$A,0),MATCH(S$1,'SALA 1974'!$B$1:$U$1,0)),IF($A20&lt;=1994,1000*INDEX('SALA 2002'!$B:$U,MATCH($A20,'SALA 2002'!$A:$A,0),MATCH(S$1,'SALA 2002'!$B$1:$U$1,0)),IF($A20&lt;=2000,1000*INDEX('SALA 2002'!$B:$U,MATCH($A20,'SALA 2002'!$A:$A,0),MATCH(S$1,'SALA 2002'!$B$1:$U$1,0))*POWER(INDEX('WPP 2024 середина года'!$B:$U,MATCH($A20,'WPP 2024 середина года'!$A:$A,0),MATCH(S$1,'WPP 2024 середина года'!$B$1:$U$1,0))/(1000*INDEX('SALA 2002'!$B:$U,MATCH($A20,'SALA 2002'!$A:$A,0),MATCH(S$1,'SALA 2002'!$B$1:$U$1,0))),($A20-1994)/7),INDEX('WPP 2024 середина года'!$B:$U,MATCH($A20,'WPP 2024 середина года'!$A:$A,0),MATCH(S$1,'WPP 2024 середина года'!$B$1:$U$1,0)))))</f>
        <v>4668</v>
      </c>
      <c r="T20" s="7">
        <f>IF($A20&lt;=1951,INDEX('SALA 1974'!$B:$U,MATCH($A20,'SALA 1974'!$A:$A,0),MATCH(T$1,'SALA 1974'!$B$1:$U$1,0)),IF($A20&lt;=1994,1000*INDEX('SALA 2002'!$B:$U,MATCH($A20,'SALA 2002'!$A:$A,0),MATCH(T$1,'SALA 2002'!$B$1:$U$1,0)),IF($A20&lt;=2000,1000*INDEX('SALA 2002'!$B:$U,MATCH($A20,'SALA 2002'!$A:$A,0),MATCH(T$1,'SALA 2002'!$B$1:$U$1,0))*POWER(INDEX('WPP 2024 середина года'!$B:$U,MATCH($A20,'WPP 2024 середина года'!$A:$A,0),MATCH(T$1,'WPP 2024 середина года'!$B$1:$U$1,0))/(1000*INDEX('SALA 2002'!$B:$U,MATCH($A20,'SALA 2002'!$A:$A,0),MATCH(T$1,'SALA 2002'!$B$1:$U$1,0))),($A20-1994)/7),INDEX('WPP 2024 середина года'!$B:$U,MATCH($A20,'WPP 2024 середина года'!$A:$A,0),MATCH(T$1,'WPP 2024 середина года'!$B$1:$U$1,0)))))</f>
        <v>1430</v>
      </c>
      <c r="U20" s="7">
        <f>IF($A20&lt;=1951,INDEX('SALA 1974'!$B:$U,MATCH($A20,'SALA 1974'!$A:$A,0),MATCH(U$1,'SALA 1974'!$B$1:$U$1,0)),IF($A20&lt;=1994,1000*INDEX('SALA 2002'!$B:$U,MATCH($A20,'SALA 2002'!$A:$A,0),MATCH(U$1,'SALA 2002'!$B$1:$U$1,0)),IF($A20&lt;=2000,1000*INDEX('SALA 2002'!$B:$U,MATCH($A20,'SALA 2002'!$A:$A,0),MATCH(U$1,'SALA 2002'!$B$1:$U$1,0))*POWER(INDEX('WPP 2024 середина года'!$B:$U,MATCH($A20,'WPP 2024 середина года'!$A:$A,0),MATCH(U$1,'WPP 2024 середина года'!$B$1:$U$1,0))/(1000*INDEX('SALA 2002'!$B:$U,MATCH($A20,'SALA 2002'!$A:$A,0),MATCH(U$1,'SALA 2002'!$B$1:$U$1,0))),($A20-1994)/7),INDEX('WPP 2024 середина года'!$B:$U,MATCH($A20,'WPP 2024 середина года'!$A:$A,0),MATCH(U$1,'WPP 2024 середина года'!$B$1:$U$1,0)))))</f>
        <v>2772</v>
      </c>
    </row>
    <row r="21" spans="1:21" x14ac:dyDescent="0.25">
      <c r="A21" s="5">
        <f t="shared" si="0"/>
        <v>1919</v>
      </c>
      <c r="B21" s="7">
        <f>IF($A21&lt;=1951,INDEX('SALA 1974'!$B:$U,MATCH($A21,'SALA 1974'!$A:$A,0),MATCH(B$1,'SALA 1974'!$B$1:$U$1,0)),IF($A21&lt;=1994,1000*INDEX('SALA 2002'!$B:$U,MATCH($A21,'SALA 2002'!$A:$A,0),MATCH(B$1,'SALA 2002'!$B$1:$U$1,0)),IF($A21&lt;=2000,1000*INDEX('SALA 2002'!$B:$U,MATCH($A21,'SALA 2002'!$A:$A,0),MATCH(B$1,'SALA 2002'!$B$1:$U$1,0))*POWER(INDEX('WPP 2024 середина года'!$B:$U,MATCH($A21,'WPP 2024 середина года'!$A:$A,0),MATCH(B$1,'WPP 2024 середина года'!$B$1:$U$1,0))/(1000*INDEX('SALA 2002'!$B:$U,MATCH($A21,'SALA 2002'!$A:$A,0),MATCH(B$1,'SALA 2002'!$B$1:$U$1,0))),($A21-1994)/7),INDEX('WPP 2024 середина года'!$B:$U,MATCH($A21,'WPP 2024 середина года'!$A:$A,0),MATCH(B$1,'WPP 2024 середина года'!$B$1:$U$1,0)))))</f>
        <v>8754</v>
      </c>
      <c r="C21" s="7">
        <f>IF($A21&lt;=1951,INDEX('SALA 1974'!$B:$U,MATCH($A21,'SALA 1974'!$A:$A,0),MATCH(C$1,'SALA 1974'!$B$1:$U$1,0)),IF($A21&lt;=1994,1000*INDEX('SALA 2002'!$B:$U,MATCH($A21,'SALA 2002'!$A:$A,0),MATCH(C$1,'SALA 2002'!$B$1:$U$1,0)),IF($A21&lt;=2000,1000*INDEX('SALA 2002'!$B:$U,MATCH($A21,'SALA 2002'!$A:$A,0),MATCH(C$1,'SALA 2002'!$B$1:$U$1,0))*POWER(INDEX('WPP 2024 середина года'!$B:$U,MATCH($A21,'WPP 2024 середина года'!$A:$A,0),MATCH(C$1,'WPP 2024 середина года'!$B$1:$U$1,0))/(1000*INDEX('SALA 2002'!$B:$U,MATCH($A21,'SALA 2002'!$A:$A,0),MATCH(C$1,'SALA 2002'!$B$1:$U$1,0))),($A21-1994)/7),INDEX('WPP 2024 середина года'!$B:$U,MATCH($A21,'WPP 2024 середина года'!$A:$A,0),MATCH(C$1,'WPP 2024 середина года'!$B$1:$U$1,0)))))</f>
        <v>2118</v>
      </c>
      <c r="D21" s="7">
        <f>IF($A21&lt;=1951,INDEX('SALA 1974'!$B:$U,MATCH($A21,'SALA 1974'!$A:$A,0),MATCH(D$1,'SALA 1974'!$B$1:$U$1,0)),IF($A21&lt;=1994,1000*INDEX('SALA 2002'!$B:$U,MATCH($A21,'SALA 2002'!$A:$A,0),MATCH(D$1,'SALA 2002'!$B$1:$U$1,0)),IF($A21&lt;=2000,1000*INDEX('SALA 2002'!$B:$U,MATCH($A21,'SALA 2002'!$A:$A,0),MATCH(D$1,'SALA 2002'!$B$1:$U$1,0))*POWER(INDEX('WPP 2024 середина года'!$B:$U,MATCH($A21,'WPP 2024 середина года'!$A:$A,0),MATCH(D$1,'WPP 2024 середина года'!$B$1:$U$1,0))/(1000*INDEX('SALA 2002'!$B:$U,MATCH($A21,'SALA 2002'!$A:$A,0),MATCH(D$1,'SALA 2002'!$B$1:$U$1,0))),($A21-1994)/7),INDEX('WPP 2024 середина года'!$B:$U,MATCH($A21,'WPP 2024 середина года'!$A:$A,0),MATCH(D$1,'WPP 2024 середина года'!$B$1:$U$1,0)))))</f>
        <v>26835</v>
      </c>
      <c r="E21" s="7">
        <f>IF($A21&lt;=1951,INDEX('SALA 1974'!$B:$U,MATCH($A21,'SALA 1974'!$A:$A,0),MATCH(E$1,'SALA 1974'!$B$1:$U$1,0)),IF($A21&lt;=1994,1000*INDEX('SALA 2002'!$B:$U,MATCH($A21,'SALA 2002'!$A:$A,0),MATCH(E$1,'SALA 2002'!$B$1:$U$1,0)),IF($A21&lt;=2000,1000*INDEX('SALA 2002'!$B:$U,MATCH($A21,'SALA 2002'!$A:$A,0),MATCH(E$1,'SALA 2002'!$B$1:$U$1,0))*POWER(INDEX('WPP 2024 середина года'!$B:$U,MATCH($A21,'WPP 2024 середина года'!$A:$A,0),MATCH(E$1,'WPP 2024 середина года'!$B$1:$U$1,0))/(1000*INDEX('SALA 2002'!$B:$U,MATCH($A21,'SALA 2002'!$A:$A,0),MATCH(E$1,'SALA 2002'!$B$1:$U$1,0))),($A21-1994)/7),INDEX('WPP 2024 середина года'!$B:$U,MATCH($A21,'WPP 2024 середина года'!$A:$A,0),MATCH(E$1,'WPP 2024 середина года'!$B$1:$U$1,0)))))</f>
        <v>3737</v>
      </c>
      <c r="F21" s="7">
        <f>IF($A21&lt;=1947,INDEX('SALA 1974'!$B:$U,MATCH($A21,'SALA 1974'!$A:$A,0),MATCH(F$1,'SALA 1974'!$B$1:$U$1,0)),IF($A21&lt;=1994,1000*INDEX('SALA 2002'!$B:$U,MATCH($A21,'SALA 2002'!$A:$A,0),MATCH(F$1,'SALA 2002'!$B$1:$U$1,0)),IF($A21&lt;=2000,1000*INDEX('SALA 2002'!$B:$U,MATCH($A21,'SALA 2002'!$A:$A,0),MATCH(F$1,'SALA 2002'!$B$1:$U$1,0))*POWER(INDEX('WPP 2024 середина года'!$B:$U,MATCH($A21,'WPP 2024 середина года'!$A:$A,0),MATCH(F$1,'WPP 2024 середина года'!$B$1:$U$1,0))/(1000*INDEX('SALA 2002'!$B:$U,MATCH($A21,'SALA 2002'!$A:$A,0),MATCH(F$1,'SALA 2002'!$B$1:$U$1,0))),($A21-1994)/7),INDEX('WPP 2024 середина года'!$B:$U,MATCH($A21,'WPP 2024 середина года'!$A:$A,0),MATCH(F$1,'WPP 2024 середина года'!$B$1:$U$1,0)))))</f>
        <v>6029</v>
      </c>
      <c r="G21" s="7">
        <f>IF($A21&lt;=1951,INDEX('SALA 1974'!$B:$U,MATCH($A21,'SALA 1974'!$A:$A,0),MATCH(G$1,'SALA 1974'!$B$1:$U$1,0)),IF($A21&lt;=1994,1000*INDEX('SALA 2002'!$B:$U,MATCH($A21,'SALA 2002'!$A:$A,0),MATCH(G$1,'SALA 2002'!$B$1:$U$1,0)),IF($A21&lt;=2000,1000*INDEX('SALA 2002'!$B:$U,MATCH($A21,'SALA 2002'!$A:$A,0),MATCH(G$1,'SALA 2002'!$B$1:$U$1,0))*POWER(INDEX('WPP 2024 середина года'!$B:$U,MATCH($A21,'WPP 2024 середина года'!$A:$A,0),MATCH(G$1,'WPP 2024 середина года'!$B$1:$U$1,0))/(1000*INDEX('SALA 2002'!$B:$U,MATCH($A21,'SALA 2002'!$A:$A,0),MATCH(G$1,'SALA 2002'!$B$1:$U$1,0))),($A21-1994)/7),INDEX('WPP 2024 середина года'!$B:$U,MATCH($A21,'WPP 2024 середина года'!$A:$A,0),MATCH(G$1,'WPP 2024 середина года'!$B$1:$U$1,0)))))</f>
        <v>415</v>
      </c>
      <c r="H21" s="7">
        <f>IF($A21&lt;=1951,INDEX('SALA 1974'!$B:$U,MATCH($A21,'SALA 1974'!$A:$A,0),MATCH(H$1,'SALA 1974'!$B$1:$U$1,0)),IF($A21&lt;=1994,1000*INDEX('SALA 2002'!$B:$U,MATCH($A21,'SALA 2002'!$A:$A,0),MATCH(H$1,'SALA 2002'!$B$1:$U$1,0)),IF($A21&lt;=2000,1000*INDEX('SALA 2002'!$B:$U,MATCH($A21,'SALA 2002'!$A:$A,0),MATCH(H$1,'SALA 2002'!$B$1:$U$1,0))*POWER(INDEX('WPP 2024 середина года'!$B:$U,MATCH($A21,'WPP 2024 середина года'!$A:$A,0),MATCH(H$1,'WPP 2024 середина года'!$B$1:$U$1,0))/(1000*INDEX('SALA 2002'!$B:$U,MATCH($A21,'SALA 2002'!$A:$A,0),MATCH(H$1,'SALA 2002'!$B$1:$U$1,0))),($A21-1994)/7),INDEX('WPP 2024 середина года'!$B:$U,MATCH($A21,'WPP 2024 середина года'!$A:$A,0),MATCH(H$1,'WPP 2024 середина года'!$B$1:$U$1,0)))))</f>
        <v>2912</v>
      </c>
      <c r="I21" s="7">
        <f>IF($A21&lt;=1951,INDEX('SALA 1974'!$B:$U,MATCH($A21,'SALA 1974'!$A:$A,0),MATCH(I$1,'SALA 1974'!$B$1:$U$1,0)),IF($A21&lt;=1994,1000*INDEX('SALA 2002'!$B:$U,MATCH($A21,'SALA 2002'!$A:$A,0),MATCH(I$1,'SALA 2002'!$B$1:$U$1,0)),IF($A21&lt;=2000,1000*INDEX('SALA 2002'!$B:$U,MATCH($A21,'SALA 2002'!$A:$A,0),MATCH(I$1,'SALA 2002'!$B$1:$U$1,0))*POWER(INDEX('WPP 2024 середина года'!$B:$U,MATCH($A21,'WPP 2024 середина года'!$A:$A,0),MATCH(I$1,'WPP 2024 середина года'!$B$1:$U$1,0))/(1000*INDEX('SALA 2002'!$B:$U,MATCH($A21,'SALA 2002'!$A:$A,0),MATCH(I$1,'SALA 2002'!$B$1:$U$1,0))),($A21-1994)/7),INDEX('WPP 2024 середина года'!$B:$U,MATCH($A21,'WPP 2024 середина года'!$A:$A,0),MATCH(I$1,'WPP 2024 середина года'!$B$1:$U$1,0)))))</f>
        <v>865</v>
      </c>
      <c r="J21" s="7">
        <f>IF($A21&lt;=1951,INDEX('SALA 1974'!$B:$U,MATCH($A21,'SALA 1974'!$A:$A,0),MATCH(J$1,'SALA 1974'!$B$1:$U$1,0)),IF($A21&lt;=1994,1000*INDEX('SALA 2002'!$B:$U,MATCH($A21,'SALA 2002'!$A:$A,0),MATCH(J$1,'SALA 2002'!$B$1:$U$1,0)),IF($A21&lt;=2000,1000*INDEX('SALA 2002'!$B:$U,MATCH($A21,'SALA 2002'!$A:$A,0),MATCH(J$1,'SALA 2002'!$B$1:$U$1,0))*POWER(INDEX('WPP 2024 середина года'!$B:$U,MATCH($A21,'WPP 2024 середина года'!$A:$A,0),MATCH(J$1,'WPP 2024 середина года'!$B$1:$U$1,0))/(1000*INDEX('SALA 2002'!$B:$U,MATCH($A21,'SALA 2002'!$A:$A,0),MATCH(J$1,'SALA 2002'!$B$1:$U$1,0))),($A21-1994)/7),INDEX('WPP 2024 середина года'!$B:$U,MATCH($A21,'WPP 2024 середина года'!$A:$A,0),MATCH(J$1,'WPP 2024 середина года'!$B$1:$U$1,0)))))</f>
        <v>1529</v>
      </c>
      <c r="K21" s="7">
        <f>IF($A21&lt;=1951,INDEX('SALA 1974'!$B:$U,MATCH($A21,'SALA 1974'!$A:$A,0),MATCH(K$1,'SALA 1974'!$B$1:$U$1,0)),IF($A21&lt;=1994,1000*INDEX('SALA 2002'!$B:$U,MATCH($A21,'SALA 2002'!$A:$A,0),MATCH(K$1,'SALA 2002'!$B$1:$U$1,0)),IF($A21&lt;=2000,1000*INDEX('SALA 2002'!$B:$U,MATCH($A21,'SALA 2002'!$A:$A,0),MATCH(K$1,'SALA 2002'!$B$1:$U$1,0))*POWER(INDEX('WPP 2024 середина года'!$B:$U,MATCH($A21,'WPP 2024 середина года'!$A:$A,0),MATCH(K$1,'WPP 2024 середина года'!$B$1:$U$1,0))/(1000*INDEX('SALA 2002'!$B:$U,MATCH($A21,'SALA 2002'!$A:$A,0),MATCH(K$1,'SALA 2002'!$B$1:$U$1,0))),($A21-1994)/7),INDEX('WPP 2024 середина года'!$B:$U,MATCH($A21,'WPP 2024 середина года'!$A:$A,0),MATCH(K$1,'WPP 2024 середина года'!$B$1:$U$1,0)))))</f>
        <v>1150</v>
      </c>
      <c r="L21" s="7">
        <f>IF($A21&lt;=1951,INDEX('SALA 1974'!$B:$U,MATCH($A21,'SALA 1974'!$A:$A,0),MATCH(L$1,'SALA 1974'!$B$1:$U$1,0)),IF($A21&lt;=1994,1000*INDEX('SALA 2002'!$B:$U,MATCH($A21,'SALA 2002'!$A:$A,0),MATCH(L$1,'SALA 2002'!$B$1:$U$1,0)),IF($A21&lt;=2000,1000*INDEX('SALA 2002'!$B:$U,MATCH($A21,'SALA 2002'!$A:$A,0),MATCH(L$1,'SALA 2002'!$B$1:$U$1,0))*POWER(INDEX('WPP 2024 середина года'!$B:$U,MATCH($A21,'WPP 2024 середина года'!$A:$A,0),MATCH(L$1,'WPP 2024 середина года'!$B$1:$U$1,0))/(1000*INDEX('SALA 2002'!$B:$U,MATCH($A21,'SALA 2002'!$A:$A,0),MATCH(L$1,'SALA 2002'!$B$1:$U$1,0))),($A21-1994)/7),INDEX('WPP 2024 середина года'!$B:$U,MATCH($A21,'WPP 2024 середина года'!$A:$A,0),MATCH(L$1,'WPP 2024 середина года'!$B$1:$U$1,0)))))</f>
        <v>1257</v>
      </c>
      <c r="M21" s="7">
        <f>IF($A21&lt;=1951,INDEX('SALA 1974'!$B:$U,MATCH($A21,'SALA 1974'!$A:$A,0),MATCH(M$1,'SALA 1974'!$B$1:$U$1,0)),IF($A21&lt;=1994,1000*INDEX('SALA 2002'!$B:$U,MATCH($A21,'SALA 2002'!$A:$A,0),MATCH(M$1,'SALA 2002'!$B$1:$U$1,0)),IF($A21&lt;=2000,1000*INDEX('SALA 2002'!$B:$U,MATCH($A21,'SALA 2002'!$A:$A,0),MATCH(M$1,'SALA 2002'!$B$1:$U$1,0))*POWER(INDEX('WPP 2024 середина года'!$B:$U,MATCH($A21,'WPP 2024 середина года'!$A:$A,0),MATCH(M$1,'WPP 2024 середина года'!$B$1:$U$1,0))/(1000*INDEX('SALA 2002'!$B:$U,MATCH($A21,'SALA 2002'!$A:$A,0),MATCH(M$1,'SALA 2002'!$B$1:$U$1,0))),($A21-1994)/7),INDEX('WPP 2024 середина года'!$B:$U,MATCH($A21,'WPP 2024 середина года'!$A:$A,0),MATCH(M$1,'WPP 2024 середина года'!$B$1:$U$1,0)))))</f>
        <v>2080</v>
      </c>
      <c r="N21" s="7">
        <f>IF($A21&lt;=1951,INDEX('SALA 1974'!$B:$U,MATCH($A21,'SALA 1974'!$A:$A,0),MATCH(N$1,'SALA 1974'!$B$1:$U$1,0)),IF($A21&lt;=1994,1000*INDEX('SALA 2002'!$B:$U,MATCH($A21,'SALA 2002'!$A:$A,0),MATCH(N$1,'SALA 2002'!$B$1:$U$1,0)),IF($A21&lt;=2000,1000*INDEX('SALA 2002'!$B:$U,MATCH($A21,'SALA 2002'!$A:$A,0),MATCH(N$1,'SALA 2002'!$B$1:$U$1,0))*POWER(INDEX('WPP 2024 середина года'!$B:$U,MATCH($A21,'WPP 2024 середина года'!$A:$A,0),MATCH(N$1,'WPP 2024 середина года'!$B$1:$U$1,0))/(1000*INDEX('SALA 2002'!$B:$U,MATCH($A21,'SALA 2002'!$A:$A,0),MATCH(N$1,'SALA 2002'!$B$1:$U$1,0))),($A21-1994)/7),INDEX('WPP 2024 середина года'!$B:$U,MATCH($A21,'WPP 2024 середина года'!$A:$A,0),MATCH(N$1,'WPP 2024 середина года'!$B$1:$U$1,0)))))</f>
        <v>688</v>
      </c>
      <c r="O21" s="7">
        <f>IF($A21&lt;=1951,INDEX('SALA 1974'!$B:$U,MATCH($A21,'SALA 1974'!$A:$A,0),MATCH(O$1,'SALA 1974'!$B$1:$U$1,0)),IF($A21&lt;=1994,1000*INDEX('SALA 2002'!$B:$U,MATCH($A21,'SALA 2002'!$A:$A,0),MATCH(O$1,'SALA 2002'!$B$1:$U$1,0)),IF($A21&lt;=2000,1000*INDEX('SALA 2002'!$B:$U,MATCH($A21,'SALA 2002'!$A:$A,0),MATCH(O$1,'SALA 2002'!$B$1:$U$1,0))*POWER(INDEX('WPP 2024 середина года'!$B:$U,MATCH($A21,'WPP 2024 середина года'!$A:$A,0),MATCH(O$1,'WPP 2024 середина года'!$B$1:$U$1,0))/(1000*INDEX('SALA 2002'!$B:$U,MATCH($A21,'SALA 2002'!$A:$A,0),MATCH(O$1,'SALA 2002'!$B$1:$U$1,0))),($A21-1994)/7),INDEX('WPP 2024 середина года'!$B:$U,MATCH($A21,'WPP 2024 середина года'!$A:$A,0),MATCH(O$1,'WPP 2024 середина года'!$B$1:$U$1,0)))))</f>
        <v>14150</v>
      </c>
      <c r="P21" s="7">
        <f>IF($A21&lt;=1951,INDEX('SALA 1974'!$B:$U,MATCH($A21,'SALA 1974'!$A:$A,0),MATCH(P$1,'SALA 1974'!$B$1:$U$1,0)),IF($A21&lt;=1994,1000*INDEX('SALA 2002'!$B:$U,MATCH($A21,'SALA 2002'!$A:$A,0),MATCH(P$1,'SALA 2002'!$B$1:$U$1,0)),IF($A21&lt;=2000,1000*INDEX('SALA 2002'!$B:$U,MATCH($A21,'SALA 2002'!$A:$A,0),MATCH(P$1,'SALA 2002'!$B$1:$U$1,0))*POWER(INDEX('WPP 2024 середина года'!$B:$U,MATCH($A21,'WPP 2024 середина года'!$A:$A,0),MATCH(P$1,'WPP 2024 середина года'!$B$1:$U$1,0))/(1000*INDEX('SALA 2002'!$B:$U,MATCH($A21,'SALA 2002'!$A:$A,0),MATCH(P$1,'SALA 2002'!$B$1:$U$1,0))),($A21-1994)/7),INDEX('WPP 2024 середина года'!$B:$U,MATCH($A21,'WPP 2024 середина года'!$A:$A,0),MATCH(P$1,'WPP 2024 середина года'!$B$1:$U$1,0)))))</f>
        <v>629</v>
      </c>
      <c r="Q21" s="7">
        <f>IF($A21&lt;=1951,INDEX('SALA 1974'!$B:$U,MATCH($A21,'SALA 1974'!$A:$A,0),MATCH(Q$1,'SALA 1974'!$B$1:$U$1,0)),IF($A21&lt;=1994,1000*INDEX('SALA 2002'!$B:$U,MATCH($A21,'SALA 2002'!$A:$A,0),MATCH(Q$1,'SALA 2002'!$B$1:$U$1,0)),IF($A21&lt;=2000,1000*INDEX('SALA 2002'!$B:$U,MATCH($A21,'SALA 2002'!$A:$A,0),MATCH(Q$1,'SALA 2002'!$B$1:$U$1,0))*POWER(INDEX('WPP 2024 середина года'!$B:$U,MATCH($A21,'WPP 2024 середина года'!$A:$A,0),MATCH(Q$1,'WPP 2024 середина года'!$B$1:$U$1,0))/(1000*INDEX('SALA 2002'!$B:$U,MATCH($A21,'SALA 2002'!$A:$A,0),MATCH(Q$1,'SALA 2002'!$B$1:$U$1,0))),($A21-1994)/7),INDEX('WPP 2024 середина года'!$B:$U,MATCH($A21,'WPP 2024 середина года'!$A:$A,0),MATCH(Q$1,'WPP 2024 середина года'!$B$1:$U$1,0)))))</f>
        <v>437</v>
      </c>
      <c r="R21" s="7">
        <f>IF($A21&lt;=1951,INDEX('SALA 1974'!$B:$U,MATCH($A21,'SALA 1974'!$A:$A,0),MATCH(R$1,'SALA 1974'!$B$1:$U$1,0)),IF($A21&lt;=1994,1000*INDEX('SALA 2002'!$B:$U,MATCH($A21,'SALA 2002'!$A:$A,0),MATCH(R$1,'SALA 2002'!$B$1:$U$1,0)),IF($A21&lt;=2000,1000*INDEX('SALA 2002'!$B:$U,MATCH($A21,'SALA 2002'!$A:$A,0),MATCH(R$1,'SALA 2002'!$B$1:$U$1,0))*POWER(INDEX('WPP 2024 середина года'!$B:$U,MATCH($A21,'WPP 2024 середина года'!$A:$A,0),MATCH(R$1,'WPP 2024 середина года'!$B$1:$U$1,0))/(1000*INDEX('SALA 2002'!$B:$U,MATCH($A21,'SALA 2002'!$A:$A,0),MATCH(R$1,'SALA 2002'!$B$1:$U$1,0))),($A21-1994)/7),INDEX('WPP 2024 середина года'!$B:$U,MATCH($A21,'WPP 2024 середина года'!$A:$A,0),MATCH(R$1,'WPP 2024 середина года'!$B$1:$U$1,0)))))</f>
        <v>692</v>
      </c>
      <c r="S21" s="7">
        <f>IF($A21&lt;=1951,INDEX('SALA 1974'!$B:$U,MATCH($A21,'SALA 1974'!$A:$A,0),MATCH(S$1,'SALA 1974'!$B$1:$U$1,0)),IF($A21&lt;=1994,1000*INDEX('SALA 2002'!$B:$U,MATCH($A21,'SALA 2002'!$A:$A,0),MATCH(S$1,'SALA 2002'!$B$1:$U$1,0)),IF($A21&lt;=2000,1000*INDEX('SALA 2002'!$B:$U,MATCH($A21,'SALA 2002'!$A:$A,0),MATCH(S$1,'SALA 2002'!$B$1:$U$1,0))*POWER(INDEX('WPP 2024 середина года'!$B:$U,MATCH($A21,'WPP 2024 середина года'!$A:$A,0),MATCH(S$1,'WPP 2024 середина года'!$B$1:$U$1,0))/(1000*INDEX('SALA 2002'!$B:$U,MATCH($A21,'SALA 2002'!$A:$A,0),MATCH(S$1,'SALA 2002'!$B$1:$U$1,0))),($A21-1994)/7),INDEX('WPP 2024 середина года'!$B:$U,MATCH($A21,'WPP 2024 середина года'!$A:$A,0),MATCH(S$1,'WPP 2024 середина года'!$B$1:$U$1,0)))))</f>
        <v>4748</v>
      </c>
      <c r="T21" s="7">
        <f>IF($A21&lt;=1951,INDEX('SALA 1974'!$B:$U,MATCH($A21,'SALA 1974'!$A:$A,0),MATCH(T$1,'SALA 1974'!$B$1:$U$1,0)),IF($A21&lt;=1994,1000*INDEX('SALA 2002'!$B:$U,MATCH($A21,'SALA 2002'!$A:$A,0),MATCH(T$1,'SALA 2002'!$B$1:$U$1,0)),IF($A21&lt;=2000,1000*INDEX('SALA 2002'!$B:$U,MATCH($A21,'SALA 2002'!$A:$A,0),MATCH(T$1,'SALA 2002'!$B$1:$U$1,0))*POWER(INDEX('WPP 2024 середина года'!$B:$U,MATCH($A21,'WPP 2024 середина года'!$A:$A,0),MATCH(T$1,'WPP 2024 середина года'!$B$1:$U$1,0))/(1000*INDEX('SALA 2002'!$B:$U,MATCH($A21,'SALA 2002'!$A:$A,0),MATCH(T$1,'SALA 2002'!$B$1:$U$1,0))),($A21-1994)/7),INDEX('WPP 2024 середина года'!$B:$U,MATCH($A21,'WPP 2024 середина года'!$A:$A,0),MATCH(T$1,'WPP 2024 середина года'!$B$1:$U$1,0)))))</f>
        <v>1463</v>
      </c>
      <c r="U21" s="7">
        <f>IF($A21&lt;=1951,INDEX('SALA 1974'!$B:$U,MATCH($A21,'SALA 1974'!$A:$A,0),MATCH(U$1,'SALA 1974'!$B$1:$U$1,0)),IF($A21&lt;=1994,1000*INDEX('SALA 2002'!$B:$U,MATCH($A21,'SALA 2002'!$A:$A,0),MATCH(U$1,'SALA 2002'!$B$1:$U$1,0)),IF($A21&lt;=2000,1000*INDEX('SALA 2002'!$B:$U,MATCH($A21,'SALA 2002'!$A:$A,0),MATCH(U$1,'SALA 2002'!$B$1:$U$1,0))*POWER(INDEX('WPP 2024 середина года'!$B:$U,MATCH($A21,'WPP 2024 середина года'!$A:$A,0),MATCH(U$1,'WPP 2024 середина года'!$B$1:$U$1,0))/(1000*INDEX('SALA 2002'!$B:$U,MATCH($A21,'SALA 2002'!$A:$A,0),MATCH(U$1,'SALA 2002'!$B$1:$U$1,0))),($A21-1994)/7),INDEX('WPP 2024 середина года'!$B:$U,MATCH($A21,'WPP 2024 середина года'!$A:$A,0),MATCH(U$1,'WPP 2024 середина года'!$B$1:$U$1,0)))))</f>
        <v>2795</v>
      </c>
    </row>
    <row r="22" spans="1:21" x14ac:dyDescent="0.25">
      <c r="A22" s="5">
        <f t="shared" si="0"/>
        <v>1920</v>
      </c>
      <c r="B22" s="7">
        <f>IF($A22&lt;=1951,INDEX('SALA 1974'!$B:$U,MATCH($A22,'SALA 1974'!$A:$A,0),MATCH(B$1,'SALA 1974'!$B$1:$U$1,0)),IF($A22&lt;=1994,1000*INDEX('SALA 2002'!$B:$U,MATCH($A22,'SALA 2002'!$A:$A,0),MATCH(B$1,'SALA 2002'!$B$1:$U$1,0)),IF($A22&lt;=2000,1000*INDEX('SALA 2002'!$B:$U,MATCH($A22,'SALA 2002'!$A:$A,0),MATCH(B$1,'SALA 2002'!$B$1:$U$1,0))*POWER(INDEX('WPP 2024 середина года'!$B:$U,MATCH($A22,'WPP 2024 середина года'!$A:$A,0),MATCH(B$1,'WPP 2024 середина года'!$B$1:$U$1,0))/(1000*INDEX('SALA 2002'!$B:$U,MATCH($A22,'SALA 2002'!$A:$A,0),MATCH(B$1,'SALA 2002'!$B$1:$U$1,0))),($A22-1994)/7),INDEX('WPP 2024 середина года'!$B:$U,MATCH($A22,'WPP 2024 середина года'!$A:$A,0),MATCH(B$1,'WPP 2024 середина года'!$B$1:$U$1,0)))))</f>
        <v>8969</v>
      </c>
      <c r="C22" s="7">
        <f>IF($A22&lt;=1951,INDEX('SALA 1974'!$B:$U,MATCH($A22,'SALA 1974'!$A:$A,0),MATCH(C$1,'SALA 1974'!$B$1:$U$1,0)),IF($A22&lt;=1994,1000*INDEX('SALA 2002'!$B:$U,MATCH($A22,'SALA 2002'!$A:$A,0),MATCH(C$1,'SALA 2002'!$B$1:$U$1,0)),IF($A22&lt;=2000,1000*INDEX('SALA 2002'!$B:$U,MATCH($A22,'SALA 2002'!$A:$A,0),MATCH(C$1,'SALA 2002'!$B$1:$U$1,0))*POWER(INDEX('WPP 2024 середина года'!$B:$U,MATCH($A22,'WPP 2024 середина года'!$A:$A,0),MATCH(C$1,'WPP 2024 середина года'!$B$1:$U$1,0))/(1000*INDEX('SALA 2002'!$B:$U,MATCH($A22,'SALA 2002'!$A:$A,0),MATCH(C$1,'SALA 2002'!$B$1:$U$1,0))),($A22-1994)/7),INDEX('WPP 2024 середина года'!$B:$U,MATCH($A22,'WPP 2024 середина года'!$A:$A,0),MATCH(C$1,'WPP 2024 середина года'!$B$1:$U$1,0)))))</f>
        <v>2136</v>
      </c>
      <c r="D22" s="7">
        <f>IF($A22&lt;=1951,INDEX('SALA 1974'!$B:$U,MATCH($A22,'SALA 1974'!$A:$A,0),MATCH(D$1,'SALA 1974'!$B$1:$U$1,0)),IF($A22&lt;=1994,1000*INDEX('SALA 2002'!$B:$U,MATCH($A22,'SALA 2002'!$A:$A,0),MATCH(D$1,'SALA 2002'!$B$1:$U$1,0)),IF($A22&lt;=2000,1000*INDEX('SALA 2002'!$B:$U,MATCH($A22,'SALA 2002'!$A:$A,0),MATCH(D$1,'SALA 2002'!$B$1:$U$1,0))*POWER(INDEX('WPP 2024 середина года'!$B:$U,MATCH($A22,'WPP 2024 середина года'!$A:$A,0),MATCH(D$1,'WPP 2024 середина года'!$B$1:$U$1,0))/(1000*INDEX('SALA 2002'!$B:$U,MATCH($A22,'SALA 2002'!$A:$A,0),MATCH(D$1,'SALA 2002'!$B$1:$U$1,0))),($A22-1994)/7),INDEX('WPP 2024 середина года'!$B:$U,MATCH($A22,'WPP 2024 середина года'!$A:$A,0),MATCH(D$1,'WPP 2024 середина года'!$B$1:$U$1,0)))))</f>
        <v>27404</v>
      </c>
      <c r="E22" s="7">
        <f>IF($A22&lt;=1951,INDEX('SALA 1974'!$B:$U,MATCH($A22,'SALA 1974'!$A:$A,0),MATCH(E$1,'SALA 1974'!$B$1:$U$1,0)),IF($A22&lt;=1994,1000*INDEX('SALA 2002'!$B:$U,MATCH($A22,'SALA 2002'!$A:$A,0),MATCH(E$1,'SALA 2002'!$B$1:$U$1,0)),IF($A22&lt;=2000,1000*INDEX('SALA 2002'!$B:$U,MATCH($A22,'SALA 2002'!$A:$A,0),MATCH(E$1,'SALA 2002'!$B$1:$U$1,0))*POWER(INDEX('WPP 2024 середина года'!$B:$U,MATCH($A22,'WPP 2024 середина года'!$A:$A,0),MATCH(E$1,'WPP 2024 середина года'!$B$1:$U$1,0))/(1000*INDEX('SALA 2002'!$B:$U,MATCH($A22,'SALA 2002'!$A:$A,0),MATCH(E$1,'SALA 2002'!$B$1:$U$1,0))),($A22-1994)/7),INDEX('WPP 2024 середина года'!$B:$U,MATCH($A22,'WPP 2024 середина года'!$A:$A,0),MATCH(E$1,'WPP 2024 середина года'!$B$1:$U$1,0)))))</f>
        <v>3785</v>
      </c>
      <c r="F22" s="7">
        <f>IF($A22&lt;=1947,INDEX('SALA 1974'!$B:$U,MATCH($A22,'SALA 1974'!$A:$A,0),MATCH(F$1,'SALA 1974'!$B$1:$U$1,0)),IF($A22&lt;=1994,1000*INDEX('SALA 2002'!$B:$U,MATCH($A22,'SALA 2002'!$A:$A,0),MATCH(F$1,'SALA 2002'!$B$1:$U$1,0)),IF($A22&lt;=2000,1000*INDEX('SALA 2002'!$B:$U,MATCH($A22,'SALA 2002'!$A:$A,0),MATCH(F$1,'SALA 2002'!$B$1:$U$1,0))*POWER(INDEX('WPP 2024 середина года'!$B:$U,MATCH($A22,'WPP 2024 середина года'!$A:$A,0),MATCH(F$1,'WPP 2024 середина года'!$B$1:$U$1,0))/(1000*INDEX('SALA 2002'!$B:$U,MATCH($A22,'SALA 2002'!$A:$A,0),MATCH(F$1,'SALA 2002'!$B$1:$U$1,0))),($A22-1994)/7),INDEX('WPP 2024 середина года'!$B:$U,MATCH($A22,'WPP 2024 середина года'!$A:$A,0),MATCH(F$1,'WPP 2024 середина года'!$B$1:$U$1,0)))))</f>
        <v>6089</v>
      </c>
      <c r="G22" s="7">
        <f>IF($A22&lt;=1951,INDEX('SALA 1974'!$B:$U,MATCH($A22,'SALA 1974'!$A:$A,0),MATCH(G$1,'SALA 1974'!$B$1:$U$1,0)),IF($A22&lt;=1994,1000*INDEX('SALA 2002'!$B:$U,MATCH($A22,'SALA 2002'!$A:$A,0),MATCH(G$1,'SALA 2002'!$B$1:$U$1,0)),IF($A22&lt;=2000,1000*INDEX('SALA 2002'!$B:$U,MATCH($A22,'SALA 2002'!$A:$A,0),MATCH(G$1,'SALA 2002'!$B$1:$U$1,0))*POWER(INDEX('WPP 2024 середина года'!$B:$U,MATCH($A22,'WPP 2024 середина года'!$A:$A,0),MATCH(G$1,'WPP 2024 середина года'!$B$1:$U$1,0))/(1000*INDEX('SALA 2002'!$B:$U,MATCH($A22,'SALA 2002'!$A:$A,0),MATCH(G$1,'SALA 2002'!$B$1:$U$1,0))),($A22-1994)/7),INDEX('WPP 2024 середина года'!$B:$U,MATCH($A22,'WPP 2024 середина года'!$A:$A,0),MATCH(G$1,'WPP 2024 середина года'!$B$1:$U$1,0)))))</f>
        <v>421</v>
      </c>
      <c r="H22" s="7">
        <f>IF($A22&lt;=1951,INDEX('SALA 1974'!$B:$U,MATCH($A22,'SALA 1974'!$A:$A,0),MATCH(H$1,'SALA 1974'!$B$1:$U$1,0)),IF($A22&lt;=1994,1000*INDEX('SALA 2002'!$B:$U,MATCH($A22,'SALA 2002'!$A:$A,0),MATCH(H$1,'SALA 2002'!$B$1:$U$1,0)),IF($A22&lt;=2000,1000*INDEX('SALA 2002'!$B:$U,MATCH($A22,'SALA 2002'!$A:$A,0),MATCH(H$1,'SALA 2002'!$B$1:$U$1,0))*POWER(INDEX('WPP 2024 середина года'!$B:$U,MATCH($A22,'WPP 2024 середина года'!$A:$A,0),MATCH(H$1,'WPP 2024 середина года'!$B$1:$U$1,0))/(1000*INDEX('SALA 2002'!$B:$U,MATCH($A22,'SALA 2002'!$A:$A,0),MATCH(H$1,'SALA 2002'!$B$1:$U$1,0))),($A22-1994)/7),INDEX('WPP 2024 середина года'!$B:$U,MATCH($A22,'WPP 2024 середина года'!$A:$A,0),MATCH(H$1,'WPP 2024 середина года'!$B$1:$U$1,0)))))</f>
        <v>2997</v>
      </c>
      <c r="I22" s="7">
        <f>IF($A22&lt;=1951,INDEX('SALA 1974'!$B:$U,MATCH($A22,'SALA 1974'!$A:$A,0),MATCH(I$1,'SALA 1974'!$B$1:$U$1,0)),IF($A22&lt;=1994,1000*INDEX('SALA 2002'!$B:$U,MATCH($A22,'SALA 2002'!$A:$A,0),MATCH(I$1,'SALA 2002'!$B$1:$U$1,0)),IF($A22&lt;=2000,1000*INDEX('SALA 2002'!$B:$U,MATCH($A22,'SALA 2002'!$A:$A,0),MATCH(I$1,'SALA 2002'!$B$1:$U$1,0))*POWER(INDEX('WPP 2024 середина года'!$B:$U,MATCH($A22,'WPP 2024 середина года'!$A:$A,0),MATCH(I$1,'WPP 2024 середина года'!$B$1:$U$1,0))/(1000*INDEX('SALA 2002'!$B:$U,MATCH($A22,'SALA 2002'!$A:$A,0),MATCH(I$1,'SALA 2002'!$B$1:$U$1,0))),($A22-1994)/7),INDEX('WPP 2024 середина года'!$B:$U,MATCH($A22,'WPP 2024 середина года'!$A:$A,0),MATCH(I$1,'WPP 2024 середина года'!$B$1:$U$1,0)))))</f>
        <v>879</v>
      </c>
      <c r="J22" s="7">
        <f>IF($A22&lt;=1951,INDEX('SALA 1974'!$B:$U,MATCH($A22,'SALA 1974'!$A:$A,0),MATCH(J$1,'SALA 1974'!$B$1:$U$1,0)),IF($A22&lt;=1994,1000*INDEX('SALA 2002'!$B:$U,MATCH($A22,'SALA 2002'!$A:$A,0),MATCH(J$1,'SALA 2002'!$B$1:$U$1,0)),IF($A22&lt;=2000,1000*INDEX('SALA 2002'!$B:$U,MATCH($A22,'SALA 2002'!$A:$A,0),MATCH(J$1,'SALA 2002'!$B$1:$U$1,0))*POWER(INDEX('WPP 2024 середина года'!$B:$U,MATCH($A22,'WPP 2024 середина года'!$A:$A,0),MATCH(J$1,'WPP 2024 середина года'!$B$1:$U$1,0))/(1000*INDEX('SALA 2002'!$B:$U,MATCH($A22,'SALA 2002'!$A:$A,0),MATCH(J$1,'SALA 2002'!$B$1:$U$1,0))),($A22-1994)/7),INDEX('WPP 2024 середина года'!$B:$U,MATCH($A22,'WPP 2024 середина года'!$A:$A,0),MATCH(J$1,'WPP 2024 середина года'!$B$1:$U$1,0)))))</f>
        <v>1541</v>
      </c>
      <c r="K22" s="7">
        <f>IF($A22&lt;=1951,INDEX('SALA 1974'!$B:$U,MATCH($A22,'SALA 1974'!$A:$A,0),MATCH(K$1,'SALA 1974'!$B$1:$U$1,0)),IF($A22&lt;=1994,1000*INDEX('SALA 2002'!$B:$U,MATCH($A22,'SALA 2002'!$A:$A,0),MATCH(K$1,'SALA 2002'!$B$1:$U$1,0)),IF($A22&lt;=2000,1000*INDEX('SALA 2002'!$B:$U,MATCH($A22,'SALA 2002'!$A:$A,0),MATCH(K$1,'SALA 2002'!$B$1:$U$1,0))*POWER(INDEX('WPP 2024 середина года'!$B:$U,MATCH($A22,'WPP 2024 середина года'!$A:$A,0),MATCH(K$1,'WPP 2024 середина года'!$B$1:$U$1,0))/(1000*INDEX('SALA 2002'!$B:$U,MATCH($A22,'SALA 2002'!$A:$A,0),MATCH(K$1,'SALA 2002'!$B$1:$U$1,0))),($A22-1994)/7),INDEX('WPP 2024 середина года'!$B:$U,MATCH($A22,'WPP 2024 середина года'!$A:$A,0),MATCH(K$1,'WPP 2024 середина года'!$B$1:$U$1,0)))))</f>
        <v>1168</v>
      </c>
      <c r="L22" s="7">
        <f>IF($A22&lt;=1951,INDEX('SALA 1974'!$B:$U,MATCH($A22,'SALA 1974'!$A:$A,0),MATCH(L$1,'SALA 1974'!$B$1:$U$1,0)),IF($A22&lt;=1994,1000*INDEX('SALA 2002'!$B:$U,MATCH($A22,'SALA 2002'!$A:$A,0),MATCH(L$1,'SALA 2002'!$B$1:$U$1,0)),IF($A22&lt;=2000,1000*INDEX('SALA 2002'!$B:$U,MATCH($A22,'SALA 2002'!$A:$A,0),MATCH(L$1,'SALA 2002'!$B$1:$U$1,0))*POWER(INDEX('WPP 2024 середина года'!$B:$U,MATCH($A22,'WPP 2024 середина года'!$A:$A,0),MATCH(L$1,'WPP 2024 середина года'!$B$1:$U$1,0))/(1000*INDEX('SALA 2002'!$B:$U,MATCH($A22,'SALA 2002'!$A:$A,0),MATCH(L$1,'SALA 2002'!$B$1:$U$1,0))),($A22-1994)/7),INDEX('WPP 2024 середина года'!$B:$U,MATCH($A22,'WPP 2024 середина года'!$A:$A,0),MATCH(L$1,'WPP 2024 середина года'!$B$1:$U$1,0)))))</f>
        <v>1272</v>
      </c>
      <c r="M22" s="7">
        <f>IF($A22&lt;=1951,INDEX('SALA 1974'!$B:$U,MATCH($A22,'SALA 1974'!$A:$A,0),MATCH(M$1,'SALA 1974'!$B$1:$U$1,0)),IF($A22&lt;=1994,1000*INDEX('SALA 2002'!$B:$U,MATCH($A22,'SALA 2002'!$A:$A,0),MATCH(M$1,'SALA 2002'!$B$1:$U$1,0)),IF($A22&lt;=2000,1000*INDEX('SALA 2002'!$B:$U,MATCH($A22,'SALA 2002'!$A:$A,0),MATCH(M$1,'SALA 2002'!$B$1:$U$1,0))*POWER(INDEX('WPP 2024 середина года'!$B:$U,MATCH($A22,'WPP 2024 середина года'!$A:$A,0),MATCH(M$1,'WPP 2024 середина года'!$B$1:$U$1,0))/(1000*INDEX('SALA 2002'!$B:$U,MATCH($A22,'SALA 2002'!$A:$A,0),MATCH(M$1,'SALA 2002'!$B$1:$U$1,0))),($A22-1994)/7),INDEX('WPP 2024 середина года'!$B:$U,MATCH($A22,'WPP 2024 середина года'!$A:$A,0),MATCH(M$1,'WPP 2024 середина года'!$B$1:$U$1,0)))))</f>
        <v>2124</v>
      </c>
      <c r="N22" s="7">
        <f>IF($A22&lt;=1951,INDEX('SALA 1974'!$B:$U,MATCH($A22,'SALA 1974'!$A:$A,0),MATCH(N$1,'SALA 1974'!$B$1:$U$1,0)),IF($A22&lt;=1994,1000*INDEX('SALA 2002'!$B:$U,MATCH($A22,'SALA 2002'!$A:$A,0),MATCH(N$1,'SALA 2002'!$B$1:$U$1,0)),IF($A22&lt;=2000,1000*INDEX('SALA 2002'!$B:$U,MATCH($A22,'SALA 2002'!$A:$A,0),MATCH(N$1,'SALA 2002'!$B$1:$U$1,0))*POWER(INDEX('WPP 2024 середина года'!$B:$U,MATCH($A22,'WPP 2024 середина года'!$A:$A,0),MATCH(N$1,'WPP 2024 середина года'!$B$1:$U$1,0))/(1000*INDEX('SALA 2002'!$B:$U,MATCH($A22,'SALA 2002'!$A:$A,0),MATCH(N$1,'SALA 2002'!$B$1:$U$1,0))),($A22-1994)/7),INDEX('WPP 2024 середина года'!$B:$U,MATCH($A22,'WPP 2024 середина года'!$A:$A,0),MATCH(N$1,'WPP 2024 середина года'!$B$1:$U$1,0)))))</f>
        <v>715</v>
      </c>
      <c r="O22" s="7">
        <f>IF($A22&lt;=1951,INDEX('SALA 1974'!$B:$U,MATCH($A22,'SALA 1974'!$A:$A,0),MATCH(O$1,'SALA 1974'!$B$1:$U$1,0)),IF($A22&lt;=1994,1000*INDEX('SALA 2002'!$B:$U,MATCH($A22,'SALA 2002'!$A:$A,0),MATCH(O$1,'SALA 2002'!$B$1:$U$1,0)),IF($A22&lt;=2000,1000*INDEX('SALA 2002'!$B:$U,MATCH($A22,'SALA 2002'!$A:$A,0),MATCH(O$1,'SALA 2002'!$B$1:$U$1,0))*POWER(INDEX('WPP 2024 середина года'!$B:$U,MATCH($A22,'WPP 2024 середина года'!$A:$A,0),MATCH(O$1,'WPP 2024 середина года'!$B$1:$U$1,0))/(1000*INDEX('SALA 2002'!$B:$U,MATCH($A22,'SALA 2002'!$A:$A,0),MATCH(O$1,'SALA 2002'!$B$1:$U$1,0))),($A22-1994)/7),INDEX('WPP 2024 середина года'!$B:$U,MATCH($A22,'WPP 2024 середина года'!$A:$A,0),MATCH(O$1,'WPP 2024 середина года'!$B$1:$U$1,0)))))</f>
        <v>14150</v>
      </c>
      <c r="P22" s="7">
        <f>IF($A22&lt;=1951,INDEX('SALA 1974'!$B:$U,MATCH($A22,'SALA 1974'!$A:$A,0),MATCH(P$1,'SALA 1974'!$B$1:$U$1,0)),IF($A22&lt;=1994,1000*INDEX('SALA 2002'!$B:$U,MATCH($A22,'SALA 2002'!$A:$A,0),MATCH(P$1,'SALA 2002'!$B$1:$U$1,0)),IF($A22&lt;=2000,1000*INDEX('SALA 2002'!$B:$U,MATCH($A22,'SALA 2002'!$A:$A,0),MATCH(P$1,'SALA 2002'!$B$1:$U$1,0))*POWER(INDEX('WPP 2024 середина года'!$B:$U,MATCH($A22,'WPP 2024 середина года'!$A:$A,0),MATCH(P$1,'WPP 2024 середина года'!$B$1:$U$1,0))/(1000*INDEX('SALA 2002'!$B:$U,MATCH($A22,'SALA 2002'!$A:$A,0),MATCH(P$1,'SALA 2002'!$B$1:$U$1,0))),($A22-1994)/7),INDEX('WPP 2024 середина года'!$B:$U,MATCH($A22,'WPP 2024 середина года'!$A:$A,0),MATCH(P$1,'WPP 2024 середина года'!$B$1:$U$1,0)))))</f>
        <v>638</v>
      </c>
      <c r="Q22" s="7">
        <f>IF($A22&lt;=1951,INDEX('SALA 1974'!$B:$U,MATCH($A22,'SALA 1974'!$A:$A,0),MATCH(Q$1,'SALA 1974'!$B$1:$U$1,0)),IF($A22&lt;=1994,1000*INDEX('SALA 2002'!$B:$U,MATCH($A22,'SALA 2002'!$A:$A,0),MATCH(Q$1,'SALA 2002'!$B$1:$U$1,0)),IF($A22&lt;=2000,1000*INDEX('SALA 2002'!$B:$U,MATCH($A22,'SALA 2002'!$A:$A,0),MATCH(Q$1,'SALA 2002'!$B$1:$U$1,0))*POWER(INDEX('WPP 2024 середина года'!$B:$U,MATCH($A22,'WPP 2024 середина года'!$A:$A,0),MATCH(Q$1,'WPP 2024 середина года'!$B$1:$U$1,0))/(1000*INDEX('SALA 2002'!$B:$U,MATCH($A22,'SALA 2002'!$A:$A,0),MATCH(Q$1,'SALA 2002'!$B$1:$U$1,0))),($A22-1994)/7),INDEX('WPP 2024 середина года'!$B:$U,MATCH($A22,'WPP 2024 середина года'!$A:$A,0),MATCH(Q$1,'WPP 2024 середина года'!$B$1:$U$1,0)))))</f>
        <v>447</v>
      </c>
      <c r="R22" s="7">
        <f>IF($A22&lt;=1951,INDEX('SALA 1974'!$B:$U,MATCH($A22,'SALA 1974'!$A:$A,0),MATCH(R$1,'SALA 1974'!$B$1:$U$1,0)),IF($A22&lt;=1994,1000*INDEX('SALA 2002'!$B:$U,MATCH($A22,'SALA 2002'!$A:$A,0),MATCH(R$1,'SALA 2002'!$B$1:$U$1,0)),IF($A22&lt;=2000,1000*INDEX('SALA 2002'!$B:$U,MATCH($A22,'SALA 2002'!$A:$A,0),MATCH(R$1,'SALA 2002'!$B$1:$U$1,0))*POWER(INDEX('WPP 2024 середина года'!$B:$U,MATCH($A22,'WPP 2024 середина года'!$A:$A,0),MATCH(R$1,'WPP 2024 середина года'!$B$1:$U$1,0))/(1000*INDEX('SALA 2002'!$B:$U,MATCH($A22,'SALA 2002'!$A:$A,0),MATCH(R$1,'SALA 2002'!$B$1:$U$1,0))),($A22-1994)/7),INDEX('WPP 2024 середина года'!$B:$U,MATCH($A22,'WPP 2024 середина года'!$A:$A,0),MATCH(R$1,'WPP 2024 середина года'!$B$1:$U$1,0)))))</f>
        <v>699</v>
      </c>
      <c r="S22" s="7">
        <f>IF($A22&lt;=1951,INDEX('SALA 1974'!$B:$U,MATCH($A22,'SALA 1974'!$A:$A,0),MATCH(S$1,'SALA 1974'!$B$1:$U$1,0)),IF($A22&lt;=1994,1000*INDEX('SALA 2002'!$B:$U,MATCH($A22,'SALA 2002'!$A:$A,0),MATCH(S$1,'SALA 2002'!$B$1:$U$1,0)),IF($A22&lt;=2000,1000*INDEX('SALA 2002'!$B:$U,MATCH($A22,'SALA 2002'!$A:$A,0),MATCH(S$1,'SALA 2002'!$B$1:$U$1,0))*POWER(INDEX('WPP 2024 середина года'!$B:$U,MATCH($A22,'WPP 2024 середина года'!$A:$A,0),MATCH(S$1,'WPP 2024 середина года'!$B$1:$U$1,0))/(1000*INDEX('SALA 2002'!$B:$U,MATCH($A22,'SALA 2002'!$A:$A,0),MATCH(S$1,'SALA 2002'!$B$1:$U$1,0))),($A22-1994)/7),INDEX('WPP 2024 середина года'!$B:$U,MATCH($A22,'WPP 2024 середина года'!$A:$A,0),MATCH(S$1,'WPP 2024 середина года'!$B$1:$U$1,0)))))</f>
        <v>4828</v>
      </c>
      <c r="T22" s="7">
        <f>IF($A22&lt;=1951,INDEX('SALA 1974'!$B:$U,MATCH($A22,'SALA 1974'!$A:$A,0),MATCH(T$1,'SALA 1974'!$B$1:$U$1,0)),IF($A22&lt;=1994,1000*INDEX('SALA 2002'!$B:$U,MATCH($A22,'SALA 2002'!$A:$A,0),MATCH(T$1,'SALA 2002'!$B$1:$U$1,0)),IF($A22&lt;=2000,1000*INDEX('SALA 2002'!$B:$U,MATCH($A22,'SALA 2002'!$A:$A,0),MATCH(T$1,'SALA 2002'!$B$1:$U$1,0))*POWER(INDEX('WPP 2024 середина года'!$B:$U,MATCH($A22,'WPP 2024 середина года'!$A:$A,0),MATCH(T$1,'WPP 2024 середина года'!$B$1:$U$1,0))/(1000*INDEX('SALA 2002'!$B:$U,MATCH($A22,'SALA 2002'!$A:$A,0),MATCH(T$1,'SALA 2002'!$B$1:$U$1,0))),($A22-1994)/7),INDEX('WPP 2024 середина года'!$B:$U,MATCH($A22,'WPP 2024 середина года'!$A:$A,0),MATCH(T$1,'WPP 2024 середина года'!$B$1:$U$1,0)))))</f>
        <v>1481</v>
      </c>
      <c r="U22" s="7">
        <f>IF($A22&lt;=1951,INDEX('SALA 1974'!$B:$U,MATCH($A22,'SALA 1974'!$A:$A,0),MATCH(U$1,'SALA 1974'!$B$1:$U$1,0)),IF($A22&lt;=1994,1000*INDEX('SALA 2002'!$B:$U,MATCH($A22,'SALA 2002'!$A:$A,0),MATCH(U$1,'SALA 2002'!$B$1:$U$1,0)),IF($A22&lt;=2000,1000*INDEX('SALA 2002'!$B:$U,MATCH($A22,'SALA 2002'!$A:$A,0),MATCH(U$1,'SALA 2002'!$B$1:$U$1,0))*POWER(INDEX('WPP 2024 середина года'!$B:$U,MATCH($A22,'WPP 2024 середина года'!$A:$A,0),MATCH(U$1,'WPP 2024 середина года'!$B$1:$U$1,0))/(1000*INDEX('SALA 2002'!$B:$U,MATCH($A22,'SALA 2002'!$A:$A,0),MATCH(U$1,'SALA 2002'!$B$1:$U$1,0))),($A22-1994)/7),INDEX('WPP 2024 середина года'!$B:$U,MATCH($A22,'WPP 2024 середина года'!$A:$A,0),MATCH(U$1,'WPP 2024 середина года'!$B$1:$U$1,0)))))</f>
        <v>2818</v>
      </c>
    </row>
    <row r="23" spans="1:21" x14ac:dyDescent="0.25">
      <c r="A23" s="5">
        <f t="shared" si="0"/>
        <v>1921</v>
      </c>
      <c r="B23" s="7">
        <f>IF($A23&lt;=1951,INDEX('SALA 1974'!$B:$U,MATCH($A23,'SALA 1974'!$A:$A,0),MATCH(B$1,'SALA 1974'!$B$1:$U$1,0)),IF($A23&lt;=1994,1000*INDEX('SALA 2002'!$B:$U,MATCH($A23,'SALA 2002'!$A:$A,0),MATCH(B$1,'SALA 2002'!$B$1:$U$1,0)),IF($A23&lt;=2000,1000*INDEX('SALA 2002'!$B:$U,MATCH($A23,'SALA 2002'!$A:$A,0),MATCH(B$1,'SALA 2002'!$B$1:$U$1,0))*POWER(INDEX('WPP 2024 середина года'!$B:$U,MATCH($A23,'WPP 2024 середина года'!$A:$A,0),MATCH(B$1,'WPP 2024 середина года'!$B$1:$U$1,0))/(1000*INDEX('SALA 2002'!$B:$U,MATCH($A23,'SALA 2002'!$A:$A,0),MATCH(B$1,'SALA 2002'!$B$1:$U$1,0))),($A23-1994)/7),INDEX('WPP 2024 середина года'!$B:$U,MATCH($A23,'WPP 2024 середина года'!$A:$A,0),MATCH(B$1,'WPP 2024 середина года'!$B$1:$U$1,0)))))</f>
        <v>9215</v>
      </c>
      <c r="C23" s="7">
        <f>IF($A23&lt;=1951,INDEX('SALA 1974'!$B:$U,MATCH($A23,'SALA 1974'!$A:$A,0),MATCH(C$1,'SALA 1974'!$B$1:$U$1,0)),IF($A23&lt;=1994,1000*INDEX('SALA 2002'!$B:$U,MATCH($A23,'SALA 2002'!$A:$A,0),MATCH(C$1,'SALA 2002'!$B$1:$U$1,0)),IF($A23&lt;=2000,1000*INDEX('SALA 2002'!$B:$U,MATCH($A23,'SALA 2002'!$A:$A,0),MATCH(C$1,'SALA 2002'!$B$1:$U$1,0))*POWER(INDEX('WPP 2024 середина года'!$B:$U,MATCH($A23,'WPP 2024 середина года'!$A:$A,0),MATCH(C$1,'WPP 2024 середина года'!$B$1:$U$1,0))/(1000*INDEX('SALA 2002'!$B:$U,MATCH($A23,'SALA 2002'!$A:$A,0),MATCH(C$1,'SALA 2002'!$B$1:$U$1,0))),($A23-1994)/7),INDEX('WPP 2024 середина года'!$B:$U,MATCH($A23,'WPP 2024 середина года'!$A:$A,0),MATCH(C$1,'WPP 2024 середина года'!$B$1:$U$1,0)))))</f>
        <v>2161</v>
      </c>
      <c r="D23" s="7">
        <f>IF($A23&lt;=1951,INDEX('SALA 1974'!$B:$U,MATCH($A23,'SALA 1974'!$A:$A,0),MATCH(D$1,'SALA 1974'!$B$1:$U$1,0)),IF($A23&lt;=1994,1000*INDEX('SALA 2002'!$B:$U,MATCH($A23,'SALA 2002'!$A:$A,0),MATCH(D$1,'SALA 2002'!$B$1:$U$1,0)),IF($A23&lt;=2000,1000*INDEX('SALA 2002'!$B:$U,MATCH($A23,'SALA 2002'!$A:$A,0),MATCH(D$1,'SALA 2002'!$B$1:$U$1,0))*POWER(INDEX('WPP 2024 середина года'!$B:$U,MATCH($A23,'WPP 2024 середина года'!$A:$A,0),MATCH(D$1,'WPP 2024 середина года'!$B$1:$U$1,0))/(1000*INDEX('SALA 2002'!$B:$U,MATCH($A23,'SALA 2002'!$A:$A,0),MATCH(D$1,'SALA 2002'!$B$1:$U$1,0))),($A23-1994)/7),INDEX('WPP 2024 середина года'!$B:$U,MATCH($A23,'WPP 2024 середина года'!$A:$A,0),MATCH(D$1,'WPP 2024 середина года'!$B$1:$U$1,0)))))</f>
        <v>27969</v>
      </c>
      <c r="E23" s="7">
        <f>IF($A23&lt;=1951,INDEX('SALA 1974'!$B:$U,MATCH($A23,'SALA 1974'!$A:$A,0),MATCH(E$1,'SALA 1974'!$B$1:$U$1,0)),IF($A23&lt;=1994,1000*INDEX('SALA 2002'!$B:$U,MATCH($A23,'SALA 2002'!$A:$A,0),MATCH(E$1,'SALA 2002'!$B$1:$U$1,0)),IF($A23&lt;=2000,1000*INDEX('SALA 2002'!$B:$U,MATCH($A23,'SALA 2002'!$A:$A,0),MATCH(E$1,'SALA 2002'!$B$1:$U$1,0))*POWER(INDEX('WPP 2024 середина года'!$B:$U,MATCH($A23,'WPP 2024 середина года'!$A:$A,0),MATCH(E$1,'WPP 2024 середина года'!$B$1:$U$1,0))/(1000*INDEX('SALA 2002'!$B:$U,MATCH($A23,'SALA 2002'!$A:$A,0),MATCH(E$1,'SALA 2002'!$B$1:$U$1,0))),($A23-1994)/7),INDEX('WPP 2024 середина года'!$B:$U,MATCH($A23,'WPP 2024 середина года'!$A:$A,0),MATCH(E$1,'WPP 2024 середина года'!$B$1:$U$1,0)))))</f>
        <v>3853</v>
      </c>
      <c r="F23" s="7">
        <f>IF($A23&lt;=1947,INDEX('SALA 1974'!$B:$U,MATCH($A23,'SALA 1974'!$A:$A,0),MATCH(F$1,'SALA 1974'!$B$1:$U$1,0)),IF($A23&lt;=1994,1000*INDEX('SALA 2002'!$B:$U,MATCH($A23,'SALA 2002'!$A:$A,0),MATCH(F$1,'SALA 2002'!$B$1:$U$1,0)),IF($A23&lt;=2000,1000*INDEX('SALA 2002'!$B:$U,MATCH($A23,'SALA 2002'!$A:$A,0),MATCH(F$1,'SALA 2002'!$B$1:$U$1,0))*POWER(INDEX('WPP 2024 середина года'!$B:$U,MATCH($A23,'WPP 2024 середина года'!$A:$A,0),MATCH(F$1,'WPP 2024 середина года'!$B$1:$U$1,0))/(1000*INDEX('SALA 2002'!$B:$U,MATCH($A23,'SALA 2002'!$A:$A,0),MATCH(F$1,'SALA 2002'!$B$1:$U$1,0))),($A23-1994)/7),INDEX('WPP 2024 середина года'!$B:$U,MATCH($A23,'WPP 2024 середина года'!$A:$A,0),MATCH(F$1,'WPP 2024 середина года'!$B$1:$U$1,0)))))</f>
        <v>6211</v>
      </c>
      <c r="G23" s="7">
        <f>IF($A23&lt;=1951,INDEX('SALA 1974'!$B:$U,MATCH($A23,'SALA 1974'!$A:$A,0),MATCH(G$1,'SALA 1974'!$B$1:$U$1,0)),IF($A23&lt;=1994,1000*INDEX('SALA 2002'!$B:$U,MATCH($A23,'SALA 2002'!$A:$A,0),MATCH(G$1,'SALA 2002'!$B$1:$U$1,0)),IF($A23&lt;=2000,1000*INDEX('SALA 2002'!$B:$U,MATCH($A23,'SALA 2002'!$A:$A,0),MATCH(G$1,'SALA 2002'!$B$1:$U$1,0))*POWER(INDEX('WPP 2024 середина года'!$B:$U,MATCH($A23,'WPP 2024 середина года'!$A:$A,0),MATCH(G$1,'WPP 2024 середина года'!$B$1:$U$1,0))/(1000*INDEX('SALA 2002'!$B:$U,MATCH($A23,'SALA 2002'!$A:$A,0),MATCH(G$1,'SALA 2002'!$B$1:$U$1,0))),($A23-1994)/7),INDEX('WPP 2024 середина года'!$B:$U,MATCH($A23,'WPP 2024 середина года'!$A:$A,0),MATCH(G$1,'WPP 2024 середина года'!$B$1:$U$1,0)))))</f>
        <v>425</v>
      </c>
      <c r="H23" s="7">
        <f>IF($A23&lt;=1951,INDEX('SALA 1974'!$B:$U,MATCH($A23,'SALA 1974'!$A:$A,0),MATCH(H$1,'SALA 1974'!$B$1:$U$1,0)),IF($A23&lt;=1994,1000*INDEX('SALA 2002'!$B:$U,MATCH($A23,'SALA 2002'!$A:$A,0),MATCH(H$1,'SALA 2002'!$B$1:$U$1,0)),IF($A23&lt;=2000,1000*INDEX('SALA 2002'!$B:$U,MATCH($A23,'SALA 2002'!$A:$A,0),MATCH(H$1,'SALA 2002'!$B$1:$U$1,0))*POWER(INDEX('WPP 2024 середина года'!$B:$U,MATCH($A23,'WPP 2024 середина года'!$A:$A,0),MATCH(H$1,'WPP 2024 середина года'!$B$1:$U$1,0))/(1000*INDEX('SALA 2002'!$B:$U,MATCH($A23,'SALA 2002'!$A:$A,0),MATCH(H$1,'SALA 2002'!$B$1:$U$1,0))),($A23-1994)/7),INDEX('WPP 2024 середина года'!$B:$U,MATCH($A23,'WPP 2024 середина года'!$A:$A,0),MATCH(H$1,'WPP 2024 середина года'!$B$1:$U$1,0)))))</f>
        <v>3083</v>
      </c>
      <c r="I23" s="7">
        <f>IF($A23&lt;=1951,INDEX('SALA 1974'!$B:$U,MATCH($A23,'SALA 1974'!$A:$A,0),MATCH(I$1,'SALA 1974'!$B$1:$U$1,0)),IF($A23&lt;=1994,1000*INDEX('SALA 2002'!$B:$U,MATCH($A23,'SALA 2002'!$A:$A,0),MATCH(I$1,'SALA 2002'!$B$1:$U$1,0)),IF($A23&lt;=2000,1000*INDEX('SALA 2002'!$B:$U,MATCH($A23,'SALA 2002'!$A:$A,0),MATCH(I$1,'SALA 2002'!$B$1:$U$1,0))*POWER(INDEX('WPP 2024 середина года'!$B:$U,MATCH($A23,'WPP 2024 середина года'!$A:$A,0),MATCH(I$1,'WPP 2024 середина года'!$B$1:$U$1,0))/(1000*INDEX('SALA 2002'!$B:$U,MATCH($A23,'SALA 2002'!$A:$A,0),MATCH(I$1,'SALA 2002'!$B$1:$U$1,0))),($A23-1994)/7),INDEX('WPP 2024 середина года'!$B:$U,MATCH($A23,'WPP 2024 середина года'!$A:$A,0),MATCH(I$1,'WPP 2024 середина года'!$B$1:$U$1,0)))))</f>
        <v>912</v>
      </c>
      <c r="J23" s="7">
        <f>IF($A23&lt;=1951,INDEX('SALA 1974'!$B:$U,MATCH($A23,'SALA 1974'!$A:$A,0),MATCH(J$1,'SALA 1974'!$B$1:$U$1,0)),IF($A23&lt;=1994,1000*INDEX('SALA 2002'!$B:$U,MATCH($A23,'SALA 2002'!$A:$A,0),MATCH(J$1,'SALA 2002'!$B$1:$U$1,0)),IF($A23&lt;=2000,1000*INDEX('SALA 2002'!$B:$U,MATCH($A23,'SALA 2002'!$A:$A,0),MATCH(J$1,'SALA 2002'!$B$1:$U$1,0))*POWER(INDEX('WPP 2024 середина года'!$B:$U,MATCH($A23,'WPP 2024 середина года'!$A:$A,0),MATCH(J$1,'WPP 2024 середина года'!$B$1:$U$1,0))/(1000*INDEX('SALA 2002'!$B:$U,MATCH($A23,'SALA 2002'!$A:$A,0),MATCH(J$1,'SALA 2002'!$B$1:$U$1,0))),($A23-1994)/7),INDEX('WPP 2024 середина года'!$B:$U,MATCH($A23,'WPP 2024 середина года'!$A:$A,0),MATCH(J$1,'WPP 2024 середина года'!$B$1:$U$1,0)))))</f>
        <v>1570</v>
      </c>
      <c r="K23" s="7">
        <f>IF($A23&lt;=1951,INDEX('SALA 1974'!$B:$U,MATCH($A23,'SALA 1974'!$A:$A,0),MATCH(K$1,'SALA 1974'!$B$1:$U$1,0)),IF($A23&lt;=1994,1000*INDEX('SALA 2002'!$B:$U,MATCH($A23,'SALA 2002'!$A:$A,0),MATCH(K$1,'SALA 2002'!$B$1:$U$1,0)),IF($A23&lt;=2000,1000*INDEX('SALA 2002'!$B:$U,MATCH($A23,'SALA 2002'!$A:$A,0),MATCH(K$1,'SALA 2002'!$B$1:$U$1,0))*POWER(INDEX('WPP 2024 середина года'!$B:$U,MATCH($A23,'WPP 2024 середина года'!$A:$A,0),MATCH(K$1,'WPP 2024 середина года'!$B$1:$U$1,0))/(1000*INDEX('SALA 2002'!$B:$U,MATCH($A23,'SALA 2002'!$A:$A,0),MATCH(K$1,'SALA 2002'!$B$1:$U$1,0))),($A23-1994)/7),INDEX('WPP 2024 середина года'!$B:$U,MATCH($A23,'WPP 2024 середина года'!$A:$A,0),MATCH(K$1,'WPP 2024 середина года'!$B$1:$U$1,0)))))</f>
        <v>1193</v>
      </c>
      <c r="L23" s="7">
        <f>IF($A23&lt;=1951,INDEX('SALA 1974'!$B:$U,MATCH($A23,'SALA 1974'!$A:$A,0),MATCH(L$1,'SALA 1974'!$B$1:$U$1,0)),IF($A23&lt;=1994,1000*INDEX('SALA 2002'!$B:$U,MATCH($A23,'SALA 2002'!$A:$A,0),MATCH(L$1,'SALA 2002'!$B$1:$U$1,0)),IF($A23&lt;=2000,1000*INDEX('SALA 2002'!$B:$U,MATCH($A23,'SALA 2002'!$A:$A,0),MATCH(L$1,'SALA 2002'!$B$1:$U$1,0))*POWER(INDEX('WPP 2024 середина года'!$B:$U,MATCH($A23,'WPP 2024 середина года'!$A:$A,0),MATCH(L$1,'WPP 2024 середина года'!$B$1:$U$1,0))/(1000*INDEX('SALA 2002'!$B:$U,MATCH($A23,'SALA 2002'!$A:$A,0),MATCH(L$1,'SALA 2002'!$B$1:$U$1,0))),($A23-1994)/7),INDEX('WPP 2024 середина года'!$B:$U,MATCH($A23,'WPP 2024 середина года'!$A:$A,0),MATCH(L$1,'WPP 2024 середина года'!$B$1:$U$1,0)))))</f>
        <v>1319</v>
      </c>
      <c r="M23" s="7">
        <f>IF($A23&lt;=1951,INDEX('SALA 1974'!$B:$U,MATCH($A23,'SALA 1974'!$A:$A,0),MATCH(M$1,'SALA 1974'!$B$1:$U$1,0)),IF($A23&lt;=1994,1000*INDEX('SALA 2002'!$B:$U,MATCH($A23,'SALA 2002'!$A:$A,0),MATCH(M$1,'SALA 2002'!$B$1:$U$1,0)),IF($A23&lt;=2000,1000*INDEX('SALA 2002'!$B:$U,MATCH($A23,'SALA 2002'!$A:$A,0),MATCH(M$1,'SALA 2002'!$B$1:$U$1,0))*POWER(INDEX('WPP 2024 середина года'!$B:$U,MATCH($A23,'WPP 2024 середина года'!$A:$A,0),MATCH(M$1,'WPP 2024 середина года'!$B$1:$U$1,0))/(1000*INDEX('SALA 2002'!$B:$U,MATCH($A23,'SALA 2002'!$A:$A,0),MATCH(M$1,'SALA 2002'!$B$1:$U$1,0))),($A23-1994)/7),INDEX('WPP 2024 середина года'!$B:$U,MATCH($A23,'WPP 2024 середина года'!$A:$A,0),MATCH(M$1,'WPP 2024 середина года'!$B$1:$U$1,0)))))</f>
        <v>2151</v>
      </c>
      <c r="N23" s="7">
        <f>IF($A23&lt;=1951,INDEX('SALA 1974'!$B:$U,MATCH($A23,'SALA 1974'!$A:$A,0),MATCH(N$1,'SALA 1974'!$B$1:$U$1,0)),IF($A23&lt;=1994,1000*INDEX('SALA 2002'!$B:$U,MATCH($A23,'SALA 2002'!$A:$A,0),MATCH(N$1,'SALA 2002'!$B$1:$U$1,0)),IF($A23&lt;=2000,1000*INDEX('SALA 2002'!$B:$U,MATCH($A23,'SALA 2002'!$A:$A,0),MATCH(N$1,'SALA 2002'!$B$1:$U$1,0))*POWER(INDEX('WPP 2024 середина года'!$B:$U,MATCH($A23,'WPP 2024 середина года'!$A:$A,0),MATCH(N$1,'WPP 2024 середина года'!$B$1:$U$1,0))/(1000*INDEX('SALA 2002'!$B:$U,MATCH($A23,'SALA 2002'!$A:$A,0),MATCH(N$1,'SALA 2002'!$B$1:$U$1,0))),($A23-1994)/7),INDEX('WPP 2024 середина года'!$B:$U,MATCH($A23,'WPP 2024 середина года'!$A:$A,0),MATCH(N$1,'WPP 2024 середина года'!$B$1:$U$1,0)))))</f>
        <v>742</v>
      </c>
      <c r="O23" s="7">
        <f>IF($A23&lt;=1951,INDEX('SALA 1974'!$B:$U,MATCH($A23,'SALA 1974'!$A:$A,0),MATCH(O$1,'SALA 1974'!$B$1:$U$1,0)),IF($A23&lt;=1994,1000*INDEX('SALA 2002'!$B:$U,MATCH($A23,'SALA 2002'!$A:$A,0),MATCH(O$1,'SALA 2002'!$B$1:$U$1,0)),IF($A23&lt;=2000,1000*INDEX('SALA 2002'!$B:$U,MATCH($A23,'SALA 2002'!$A:$A,0),MATCH(O$1,'SALA 2002'!$B$1:$U$1,0))*POWER(INDEX('WPP 2024 середина года'!$B:$U,MATCH($A23,'WPP 2024 середина года'!$A:$A,0),MATCH(O$1,'WPP 2024 середина года'!$B$1:$U$1,0))/(1000*INDEX('SALA 2002'!$B:$U,MATCH($A23,'SALA 2002'!$A:$A,0),MATCH(O$1,'SALA 2002'!$B$1:$U$1,0))),($A23-1994)/7),INDEX('WPP 2024 середина года'!$B:$U,MATCH($A23,'WPP 2024 середина года'!$A:$A,0),MATCH(O$1,'WPP 2024 середина года'!$B$1:$U$1,0)))))</f>
        <v>14335</v>
      </c>
      <c r="P23" s="7">
        <f>IF($A23&lt;=1951,INDEX('SALA 1974'!$B:$U,MATCH($A23,'SALA 1974'!$A:$A,0),MATCH(P$1,'SALA 1974'!$B$1:$U$1,0)),IF($A23&lt;=1994,1000*INDEX('SALA 2002'!$B:$U,MATCH($A23,'SALA 2002'!$A:$A,0),MATCH(P$1,'SALA 2002'!$B$1:$U$1,0)),IF($A23&lt;=2000,1000*INDEX('SALA 2002'!$B:$U,MATCH($A23,'SALA 2002'!$A:$A,0),MATCH(P$1,'SALA 2002'!$B$1:$U$1,0))*POWER(INDEX('WPP 2024 середина года'!$B:$U,MATCH($A23,'WPP 2024 середина года'!$A:$A,0),MATCH(P$1,'WPP 2024 середина года'!$B$1:$U$1,0))/(1000*INDEX('SALA 2002'!$B:$U,MATCH($A23,'SALA 2002'!$A:$A,0),MATCH(P$1,'SALA 2002'!$B$1:$U$1,0))),($A23-1994)/7),INDEX('WPP 2024 середина года'!$B:$U,MATCH($A23,'WPP 2024 середина года'!$A:$A,0),MATCH(P$1,'WPP 2024 середина года'!$B$1:$U$1,0)))))</f>
        <v>643</v>
      </c>
      <c r="Q23" s="7">
        <f>IF($A23&lt;=1951,INDEX('SALA 1974'!$B:$U,MATCH($A23,'SALA 1974'!$A:$A,0),MATCH(Q$1,'SALA 1974'!$B$1:$U$1,0)),IF($A23&lt;=1994,1000*INDEX('SALA 2002'!$B:$U,MATCH($A23,'SALA 2002'!$A:$A,0),MATCH(Q$1,'SALA 2002'!$B$1:$U$1,0)),IF($A23&lt;=2000,1000*INDEX('SALA 2002'!$B:$U,MATCH($A23,'SALA 2002'!$A:$A,0),MATCH(Q$1,'SALA 2002'!$B$1:$U$1,0))*POWER(INDEX('WPP 2024 середина года'!$B:$U,MATCH($A23,'WPP 2024 середина года'!$A:$A,0),MATCH(Q$1,'WPP 2024 середина года'!$B$1:$U$1,0))/(1000*INDEX('SALA 2002'!$B:$U,MATCH($A23,'SALA 2002'!$A:$A,0),MATCH(Q$1,'SALA 2002'!$B$1:$U$1,0))),($A23-1994)/7),INDEX('WPP 2024 середина года'!$B:$U,MATCH($A23,'WPP 2024 середина года'!$A:$A,0),MATCH(Q$1,'WPP 2024 середина года'!$B$1:$U$1,0)))))</f>
        <v>449</v>
      </c>
      <c r="R23" s="7">
        <f>IF($A23&lt;=1951,INDEX('SALA 1974'!$B:$U,MATCH($A23,'SALA 1974'!$A:$A,0),MATCH(R$1,'SALA 1974'!$B$1:$U$1,0)),IF($A23&lt;=1994,1000*INDEX('SALA 2002'!$B:$U,MATCH($A23,'SALA 2002'!$A:$A,0),MATCH(R$1,'SALA 2002'!$B$1:$U$1,0)),IF($A23&lt;=2000,1000*INDEX('SALA 2002'!$B:$U,MATCH($A23,'SALA 2002'!$A:$A,0),MATCH(R$1,'SALA 2002'!$B$1:$U$1,0))*POWER(INDEX('WPP 2024 середина года'!$B:$U,MATCH($A23,'WPP 2024 середина года'!$A:$A,0),MATCH(R$1,'WPP 2024 середина года'!$B$1:$U$1,0))/(1000*INDEX('SALA 2002'!$B:$U,MATCH($A23,'SALA 2002'!$A:$A,0),MATCH(R$1,'SALA 2002'!$B$1:$U$1,0))),($A23-1994)/7),INDEX('WPP 2024 середина года'!$B:$U,MATCH($A23,'WPP 2024 середина года'!$A:$A,0),MATCH(R$1,'WPP 2024 середина года'!$B$1:$U$1,0)))))</f>
        <v>715</v>
      </c>
      <c r="S23" s="7">
        <f>IF($A23&lt;=1951,INDEX('SALA 1974'!$B:$U,MATCH($A23,'SALA 1974'!$A:$A,0),MATCH(S$1,'SALA 1974'!$B$1:$U$1,0)),IF($A23&lt;=1994,1000*INDEX('SALA 2002'!$B:$U,MATCH($A23,'SALA 2002'!$A:$A,0),MATCH(S$1,'SALA 2002'!$B$1:$U$1,0)),IF($A23&lt;=2000,1000*INDEX('SALA 2002'!$B:$U,MATCH($A23,'SALA 2002'!$A:$A,0),MATCH(S$1,'SALA 2002'!$B$1:$U$1,0))*POWER(INDEX('WPP 2024 середина года'!$B:$U,MATCH($A23,'WPP 2024 середина года'!$A:$A,0),MATCH(S$1,'WPP 2024 середина года'!$B$1:$U$1,0))/(1000*INDEX('SALA 2002'!$B:$U,MATCH($A23,'SALA 2002'!$A:$A,0),MATCH(S$1,'SALA 2002'!$B$1:$U$1,0))),($A23-1994)/7),INDEX('WPP 2024 середина года'!$B:$U,MATCH($A23,'WPP 2024 середина года'!$A:$A,0),MATCH(S$1,'WPP 2024 середина года'!$B$1:$U$1,0)))))</f>
        <v>4908</v>
      </c>
      <c r="T23" s="7">
        <f>IF($A23&lt;=1951,INDEX('SALA 1974'!$B:$U,MATCH($A23,'SALA 1974'!$A:$A,0),MATCH(T$1,'SALA 1974'!$B$1:$U$1,0)),IF($A23&lt;=1994,1000*INDEX('SALA 2002'!$B:$U,MATCH($A23,'SALA 2002'!$A:$A,0),MATCH(T$1,'SALA 2002'!$B$1:$U$1,0)),IF($A23&lt;=2000,1000*INDEX('SALA 2002'!$B:$U,MATCH($A23,'SALA 2002'!$A:$A,0),MATCH(T$1,'SALA 2002'!$B$1:$U$1,0))*POWER(INDEX('WPP 2024 середина года'!$B:$U,MATCH($A23,'WPP 2024 середина года'!$A:$A,0),MATCH(T$1,'WPP 2024 середина года'!$B$1:$U$1,0))/(1000*INDEX('SALA 2002'!$B:$U,MATCH($A23,'SALA 2002'!$A:$A,0),MATCH(T$1,'SALA 2002'!$B$1:$U$1,0))),($A23-1994)/7),INDEX('WPP 2024 середина года'!$B:$U,MATCH($A23,'WPP 2024 середина года'!$A:$A,0),MATCH(T$1,'WPP 2024 середина года'!$B$1:$U$1,0)))))</f>
        <v>1499</v>
      </c>
      <c r="U23" s="7">
        <f>IF($A23&lt;=1951,INDEX('SALA 1974'!$B:$U,MATCH($A23,'SALA 1974'!$A:$A,0),MATCH(U$1,'SALA 1974'!$B$1:$U$1,0)),IF($A23&lt;=1994,1000*INDEX('SALA 2002'!$B:$U,MATCH($A23,'SALA 2002'!$A:$A,0),MATCH(U$1,'SALA 2002'!$B$1:$U$1,0)),IF($A23&lt;=2000,1000*INDEX('SALA 2002'!$B:$U,MATCH($A23,'SALA 2002'!$A:$A,0),MATCH(U$1,'SALA 2002'!$B$1:$U$1,0))*POWER(INDEX('WPP 2024 середина года'!$B:$U,MATCH($A23,'WPP 2024 середина года'!$A:$A,0),MATCH(U$1,'WPP 2024 середина года'!$B$1:$U$1,0))/(1000*INDEX('SALA 2002'!$B:$U,MATCH($A23,'SALA 2002'!$A:$A,0),MATCH(U$1,'SALA 2002'!$B$1:$U$1,0))),($A23-1994)/7),INDEX('WPP 2024 середина года'!$B:$U,MATCH($A23,'WPP 2024 середина года'!$A:$A,0),MATCH(U$1,'WPP 2024 середина года'!$B$1:$U$1,0)))))</f>
        <v>2843</v>
      </c>
    </row>
    <row r="24" spans="1:21" x14ac:dyDescent="0.25">
      <c r="A24" s="5">
        <f t="shared" si="0"/>
        <v>1922</v>
      </c>
      <c r="B24" s="7">
        <f>IF($A24&lt;=1951,INDEX('SALA 1974'!$B:$U,MATCH($A24,'SALA 1974'!$A:$A,0),MATCH(B$1,'SALA 1974'!$B$1:$U$1,0)),IF($A24&lt;=1994,1000*INDEX('SALA 2002'!$B:$U,MATCH($A24,'SALA 2002'!$A:$A,0),MATCH(B$1,'SALA 2002'!$B$1:$U$1,0)),IF($A24&lt;=2000,1000*INDEX('SALA 2002'!$B:$U,MATCH($A24,'SALA 2002'!$A:$A,0),MATCH(B$1,'SALA 2002'!$B$1:$U$1,0))*POWER(INDEX('WPP 2024 середина года'!$B:$U,MATCH($A24,'WPP 2024 середина года'!$A:$A,0),MATCH(B$1,'WPP 2024 середина года'!$B$1:$U$1,0))/(1000*INDEX('SALA 2002'!$B:$U,MATCH($A24,'SALA 2002'!$A:$A,0),MATCH(B$1,'SALA 2002'!$B$1:$U$1,0))),($A24-1994)/7),INDEX('WPP 2024 середина года'!$B:$U,MATCH($A24,'WPP 2024 середина года'!$A:$A,0),MATCH(B$1,'WPP 2024 середина года'!$B$1:$U$1,0)))))</f>
        <v>9521</v>
      </c>
      <c r="C24" s="7">
        <f>IF($A24&lt;=1951,INDEX('SALA 1974'!$B:$U,MATCH($A24,'SALA 1974'!$A:$A,0),MATCH(C$1,'SALA 1974'!$B$1:$U$1,0)),IF($A24&lt;=1994,1000*INDEX('SALA 2002'!$B:$U,MATCH($A24,'SALA 2002'!$A:$A,0),MATCH(C$1,'SALA 2002'!$B$1:$U$1,0)),IF($A24&lt;=2000,1000*INDEX('SALA 2002'!$B:$U,MATCH($A24,'SALA 2002'!$A:$A,0),MATCH(C$1,'SALA 2002'!$B$1:$U$1,0))*POWER(INDEX('WPP 2024 середина года'!$B:$U,MATCH($A24,'WPP 2024 середина года'!$A:$A,0),MATCH(C$1,'WPP 2024 середина года'!$B$1:$U$1,0))/(1000*INDEX('SALA 2002'!$B:$U,MATCH($A24,'SALA 2002'!$A:$A,0),MATCH(C$1,'SALA 2002'!$B$1:$U$1,0))),($A24-1994)/7),INDEX('WPP 2024 середина года'!$B:$U,MATCH($A24,'WPP 2024 середина года'!$A:$A,0),MATCH(C$1,'WPP 2024 середина года'!$B$1:$U$1,0)))))</f>
        <v>2186</v>
      </c>
      <c r="D24" s="7">
        <f>IF($A24&lt;=1951,INDEX('SALA 1974'!$B:$U,MATCH($A24,'SALA 1974'!$A:$A,0),MATCH(D$1,'SALA 1974'!$B$1:$U$1,0)),IF($A24&lt;=1994,1000*INDEX('SALA 2002'!$B:$U,MATCH($A24,'SALA 2002'!$A:$A,0),MATCH(D$1,'SALA 2002'!$B$1:$U$1,0)),IF($A24&lt;=2000,1000*INDEX('SALA 2002'!$B:$U,MATCH($A24,'SALA 2002'!$A:$A,0),MATCH(D$1,'SALA 2002'!$B$1:$U$1,0))*POWER(INDEX('WPP 2024 середина года'!$B:$U,MATCH($A24,'WPP 2024 середина года'!$A:$A,0),MATCH(D$1,'WPP 2024 середина года'!$B$1:$U$1,0))/(1000*INDEX('SALA 2002'!$B:$U,MATCH($A24,'SALA 2002'!$A:$A,0),MATCH(D$1,'SALA 2002'!$B$1:$U$1,0))),($A24-1994)/7),INDEX('WPP 2024 середина года'!$B:$U,MATCH($A24,'WPP 2024 середина года'!$A:$A,0),MATCH(D$1,'WPP 2024 середина года'!$B$1:$U$1,0)))))</f>
        <v>28542</v>
      </c>
      <c r="E24" s="7">
        <f>IF($A24&lt;=1951,INDEX('SALA 1974'!$B:$U,MATCH($A24,'SALA 1974'!$A:$A,0),MATCH(E$1,'SALA 1974'!$B$1:$U$1,0)),IF($A24&lt;=1994,1000*INDEX('SALA 2002'!$B:$U,MATCH($A24,'SALA 2002'!$A:$A,0),MATCH(E$1,'SALA 2002'!$B$1:$U$1,0)),IF($A24&lt;=2000,1000*INDEX('SALA 2002'!$B:$U,MATCH($A24,'SALA 2002'!$A:$A,0),MATCH(E$1,'SALA 2002'!$B$1:$U$1,0))*POWER(INDEX('WPP 2024 середина года'!$B:$U,MATCH($A24,'WPP 2024 середина года'!$A:$A,0),MATCH(E$1,'WPP 2024 середина года'!$B$1:$U$1,0))/(1000*INDEX('SALA 2002'!$B:$U,MATCH($A24,'SALA 2002'!$A:$A,0),MATCH(E$1,'SALA 2002'!$B$1:$U$1,0))),($A24-1994)/7),INDEX('WPP 2024 середина года'!$B:$U,MATCH($A24,'WPP 2024 середина года'!$A:$A,0),MATCH(E$1,'WPP 2024 середина года'!$B$1:$U$1,0)))))</f>
        <v>3907</v>
      </c>
      <c r="F24" s="7">
        <f>IF($A24&lt;=1947,INDEX('SALA 1974'!$B:$U,MATCH($A24,'SALA 1974'!$A:$A,0),MATCH(F$1,'SALA 1974'!$B$1:$U$1,0)),IF($A24&lt;=1994,1000*INDEX('SALA 2002'!$B:$U,MATCH($A24,'SALA 2002'!$A:$A,0),MATCH(F$1,'SALA 2002'!$B$1:$U$1,0)),IF($A24&lt;=2000,1000*INDEX('SALA 2002'!$B:$U,MATCH($A24,'SALA 2002'!$A:$A,0),MATCH(F$1,'SALA 2002'!$B$1:$U$1,0))*POWER(INDEX('WPP 2024 середина года'!$B:$U,MATCH($A24,'WPP 2024 середина года'!$A:$A,0),MATCH(F$1,'WPP 2024 середина года'!$B$1:$U$1,0))/(1000*INDEX('SALA 2002'!$B:$U,MATCH($A24,'SALA 2002'!$A:$A,0),MATCH(F$1,'SALA 2002'!$B$1:$U$1,0))),($A24-1994)/7),INDEX('WPP 2024 середина года'!$B:$U,MATCH($A24,'WPP 2024 середина года'!$A:$A,0),MATCH(F$1,'WPP 2024 середина года'!$B$1:$U$1,0)))))</f>
        <v>6336</v>
      </c>
      <c r="G24" s="7">
        <f>IF($A24&lt;=1951,INDEX('SALA 1974'!$B:$U,MATCH($A24,'SALA 1974'!$A:$A,0),MATCH(G$1,'SALA 1974'!$B$1:$U$1,0)),IF($A24&lt;=1994,1000*INDEX('SALA 2002'!$B:$U,MATCH($A24,'SALA 2002'!$A:$A,0),MATCH(G$1,'SALA 2002'!$B$1:$U$1,0)),IF($A24&lt;=2000,1000*INDEX('SALA 2002'!$B:$U,MATCH($A24,'SALA 2002'!$A:$A,0),MATCH(G$1,'SALA 2002'!$B$1:$U$1,0))*POWER(INDEX('WPP 2024 середина года'!$B:$U,MATCH($A24,'WPP 2024 середина года'!$A:$A,0),MATCH(G$1,'WPP 2024 середина года'!$B$1:$U$1,0))/(1000*INDEX('SALA 2002'!$B:$U,MATCH($A24,'SALA 2002'!$A:$A,0),MATCH(G$1,'SALA 2002'!$B$1:$U$1,0))),($A24-1994)/7),INDEX('WPP 2024 середина года'!$B:$U,MATCH($A24,'WPP 2024 середина года'!$A:$A,0),MATCH(G$1,'WPP 2024 середина года'!$B$1:$U$1,0)))))</f>
        <v>431</v>
      </c>
      <c r="H24" s="7">
        <f>IF($A24&lt;=1951,INDEX('SALA 1974'!$B:$U,MATCH($A24,'SALA 1974'!$A:$A,0),MATCH(H$1,'SALA 1974'!$B$1:$U$1,0)),IF($A24&lt;=1994,1000*INDEX('SALA 2002'!$B:$U,MATCH($A24,'SALA 2002'!$A:$A,0),MATCH(H$1,'SALA 2002'!$B$1:$U$1,0)),IF($A24&lt;=2000,1000*INDEX('SALA 2002'!$B:$U,MATCH($A24,'SALA 2002'!$A:$A,0),MATCH(H$1,'SALA 2002'!$B$1:$U$1,0))*POWER(INDEX('WPP 2024 середина года'!$B:$U,MATCH($A24,'WPP 2024 середина года'!$A:$A,0),MATCH(H$1,'WPP 2024 середина года'!$B$1:$U$1,0))/(1000*INDEX('SALA 2002'!$B:$U,MATCH($A24,'SALA 2002'!$A:$A,0),MATCH(H$1,'SALA 2002'!$B$1:$U$1,0))),($A24-1994)/7),INDEX('WPP 2024 середина года'!$B:$U,MATCH($A24,'WPP 2024 середина года'!$A:$A,0),MATCH(H$1,'WPP 2024 середина года'!$B$1:$U$1,0)))))</f>
        <v>3170</v>
      </c>
      <c r="I24" s="7">
        <f>IF($A24&lt;=1951,INDEX('SALA 1974'!$B:$U,MATCH($A24,'SALA 1974'!$A:$A,0),MATCH(I$1,'SALA 1974'!$B$1:$U$1,0)),IF($A24&lt;=1994,1000*INDEX('SALA 2002'!$B:$U,MATCH($A24,'SALA 2002'!$A:$A,0),MATCH(I$1,'SALA 2002'!$B$1:$U$1,0)),IF($A24&lt;=2000,1000*INDEX('SALA 2002'!$B:$U,MATCH($A24,'SALA 2002'!$A:$A,0),MATCH(I$1,'SALA 2002'!$B$1:$U$1,0))*POWER(INDEX('WPP 2024 середина года'!$B:$U,MATCH($A24,'WPP 2024 середина года'!$A:$A,0),MATCH(I$1,'WPP 2024 середина года'!$B$1:$U$1,0))/(1000*INDEX('SALA 2002'!$B:$U,MATCH($A24,'SALA 2002'!$A:$A,0),MATCH(I$1,'SALA 2002'!$B$1:$U$1,0))),($A24-1994)/7),INDEX('WPP 2024 середина года'!$B:$U,MATCH($A24,'WPP 2024 середина года'!$A:$A,0),MATCH(I$1,'WPP 2024 середина года'!$B$1:$U$1,0)))))</f>
        <v>946</v>
      </c>
      <c r="J24" s="7">
        <f>IF($A24&lt;=1951,INDEX('SALA 1974'!$B:$U,MATCH($A24,'SALA 1974'!$A:$A,0),MATCH(J$1,'SALA 1974'!$B$1:$U$1,0)),IF($A24&lt;=1994,1000*INDEX('SALA 2002'!$B:$U,MATCH($A24,'SALA 2002'!$A:$A,0),MATCH(J$1,'SALA 2002'!$B$1:$U$1,0)),IF($A24&lt;=2000,1000*INDEX('SALA 2002'!$B:$U,MATCH($A24,'SALA 2002'!$A:$A,0),MATCH(J$1,'SALA 2002'!$B$1:$U$1,0))*POWER(INDEX('WPP 2024 середина года'!$B:$U,MATCH($A24,'WPP 2024 середина года'!$A:$A,0),MATCH(J$1,'WPP 2024 середина года'!$B$1:$U$1,0))/(1000*INDEX('SALA 2002'!$B:$U,MATCH($A24,'SALA 2002'!$A:$A,0),MATCH(J$1,'SALA 2002'!$B$1:$U$1,0))),($A24-1994)/7),INDEX('WPP 2024 середина года'!$B:$U,MATCH($A24,'WPP 2024 середина года'!$A:$A,0),MATCH(J$1,'WPP 2024 середина года'!$B$1:$U$1,0)))))</f>
        <v>1610</v>
      </c>
      <c r="K24" s="7">
        <f>IF($A24&lt;=1951,INDEX('SALA 1974'!$B:$U,MATCH($A24,'SALA 1974'!$A:$A,0),MATCH(K$1,'SALA 1974'!$B$1:$U$1,0)),IF($A24&lt;=1994,1000*INDEX('SALA 2002'!$B:$U,MATCH($A24,'SALA 2002'!$A:$A,0),MATCH(K$1,'SALA 2002'!$B$1:$U$1,0)),IF($A24&lt;=2000,1000*INDEX('SALA 2002'!$B:$U,MATCH($A24,'SALA 2002'!$A:$A,0),MATCH(K$1,'SALA 2002'!$B$1:$U$1,0))*POWER(INDEX('WPP 2024 середина года'!$B:$U,MATCH($A24,'WPP 2024 середина года'!$A:$A,0),MATCH(K$1,'WPP 2024 середина года'!$B$1:$U$1,0))/(1000*INDEX('SALA 2002'!$B:$U,MATCH($A24,'SALA 2002'!$A:$A,0),MATCH(K$1,'SALA 2002'!$B$1:$U$1,0))),($A24-1994)/7),INDEX('WPP 2024 середина года'!$B:$U,MATCH($A24,'WPP 2024 середина года'!$A:$A,0),MATCH(K$1,'WPP 2024 середина года'!$B$1:$U$1,0)))))</f>
        <v>1217</v>
      </c>
      <c r="L24" s="7">
        <f>IF($A24&lt;=1951,INDEX('SALA 1974'!$B:$U,MATCH($A24,'SALA 1974'!$A:$A,0),MATCH(L$1,'SALA 1974'!$B$1:$U$1,0)),IF($A24&lt;=1994,1000*INDEX('SALA 2002'!$B:$U,MATCH($A24,'SALA 2002'!$A:$A,0),MATCH(L$1,'SALA 2002'!$B$1:$U$1,0)),IF($A24&lt;=2000,1000*INDEX('SALA 2002'!$B:$U,MATCH($A24,'SALA 2002'!$A:$A,0),MATCH(L$1,'SALA 2002'!$B$1:$U$1,0))*POWER(INDEX('WPP 2024 середина года'!$B:$U,MATCH($A24,'WPP 2024 середина года'!$A:$A,0),MATCH(L$1,'WPP 2024 середина года'!$B$1:$U$1,0))/(1000*INDEX('SALA 2002'!$B:$U,MATCH($A24,'SALA 2002'!$A:$A,0),MATCH(L$1,'SALA 2002'!$B$1:$U$1,0))),($A24-1994)/7),INDEX('WPP 2024 середина года'!$B:$U,MATCH($A24,'WPP 2024 середина года'!$A:$A,0),MATCH(L$1,'WPP 2024 середина года'!$B$1:$U$1,0)))))</f>
        <v>1367</v>
      </c>
      <c r="M24" s="7">
        <f>IF($A24&lt;=1951,INDEX('SALA 1974'!$B:$U,MATCH($A24,'SALA 1974'!$A:$A,0),MATCH(M$1,'SALA 1974'!$B$1:$U$1,0)),IF($A24&lt;=1994,1000*INDEX('SALA 2002'!$B:$U,MATCH($A24,'SALA 2002'!$A:$A,0),MATCH(M$1,'SALA 2002'!$B$1:$U$1,0)),IF($A24&lt;=2000,1000*INDEX('SALA 2002'!$B:$U,MATCH($A24,'SALA 2002'!$A:$A,0),MATCH(M$1,'SALA 2002'!$B$1:$U$1,0))*POWER(INDEX('WPP 2024 середина года'!$B:$U,MATCH($A24,'WPP 2024 середина года'!$A:$A,0),MATCH(M$1,'WPP 2024 середина года'!$B$1:$U$1,0))/(1000*INDEX('SALA 2002'!$B:$U,MATCH($A24,'SALA 2002'!$A:$A,0),MATCH(M$1,'SALA 2002'!$B$1:$U$1,0))),($A24-1994)/7),INDEX('WPP 2024 середина года'!$B:$U,MATCH($A24,'WPP 2024 середина года'!$A:$A,0),MATCH(M$1,'WPP 2024 середина года'!$B$1:$U$1,0)))))</f>
        <v>2178</v>
      </c>
      <c r="N24" s="7">
        <f>IF($A24&lt;=1951,INDEX('SALA 1974'!$B:$U,MATCH($A24,'SALA 1974'!$A:$A,0),MATCH(N$1,'SALA 1974'!$B$1:$U$1,0)),IF($A24&lt;=1994,1000*INDEX('SALA 2002'!$B:$U,MATCH($A24,'SALA 2002'!$A:$A,0),MATCH(N$1,'SALA 2002'!$B$1:$U$1,0)),IF($A24&lt;=2000,1000*INDEX('SALA 2002'!$B:$U,MATCH($A24,'SALA 2002'!$A:$A,0),MATCH(N$1,'SALA 2002'!$B$1:$U$1,0))*POWER(INDEX('WPP 2024 середина года'!$B:$U,MATCH($A24,'WPP 2024 середина года'!$A:$A,0),MATCH(N$1,'WPP 2024 середина года'!$B$1:$U$1,0))/(1000*INDEX('SALA 2002'!$B:$U,MATCH($A24,'SALA 2002'!$A:$A,0),MATCH(N$1,'SALA 2002'!$B$1:$U$1,0))),($A24-1994)/7),INDEX('WPP 2024 середина года'!$B:$U,MATCH($A24,'WPP 2024 середина года'!$A:$A,0),MATCH(N$1,'WPP 2024 середина года'!$B$1:$U$1,0)))))</f>
        <v>769</v>
      </c>
      <c r="O24" s="7">
        <f>IF($A24&lt;=1951,INDEX('SALA 1974'!$B:$U,MATCH($A24,'SALA 1974'!$A:$A,0),MATCH(O$1,'SALA 1974'!$B$1:$U$1,0)),IF($A24&lt;=1994,1000*INDEX('SALA 2002'!$B:$U,MATCH($A24,'SALA 2002'!$A:$A,0),MATCH(O$1,'SALA 2002'!$B$1:$U$1,0)),IF($A24&lt;=2000,1000*INDEX('SALA 2002'!$B:$U,MATCH($A24,'SALA 2002'!$A:$A,0),MATCH(O$1,'SALA 2002'!$B$1:$U$1,0))*POWER(INDEX('WPP 2024 середина года'!$B:$U,MATCH($A24,'WPP 2024 середина года'!$A:$A,0),MATCH(O$1,'WPP 2024 середина года'!$B$1:$U$1,0))/(1000*INDEX('SALA 2002'!$B:$U,MATCH($A24,'SALA 2002'!$A:$A,0),MATCH(O$1,'SALA 2002'!$B$1:$U$1,0))),($A24-1994)/7),INDEX('WPP 2024 середина года'!$B:$U,MATCH($A24,'WPP 2024 середина года'!$A:$A,0),MATCH(O$1,'WPP 2024 середина года'!$B$1:$U$1,0)))))</f>
        <v>14444</v>
      </c>
      <c r="P24" s="7">
        <f>IF($A24&lt;=1951,INDEX('SALA 1974'!$B:$U,MATCH($A24,'SALA 1974'!$A:$A,0),MATCH(P$1,'SALA 1974'!$B$1:$U$1,0)),IF($A24&lt;=1994,1000*INDEX('SALA 2002'!$B:$U,MATCH($A24,'SALA 2002'!$A:$A,0),MATCH(P$1,'SALA 2002'!$B$1:$U$1,0)),IF($A24&lt;=2000,1000*INDEX('SALA 2002'!$B:$U,MATCH($A24,'SALA 2002'!$A:$A,0),MATCH(P$1,'SALA 2002'!$B$1:$U$1,0))*POWER(INDEX('WPP 2024 середина года'!$B:$U,MATCH($A24,'WPP 2024 середина года'!$A:$A,0),MATCH(P$1,'WPP 2024 середина года'!$B$1:$U$1,0))/(1000*INDEX('SALA 2002'!$B:$U,MATCH($A24,'SALA 2002'!$A:$A,0),MATCH(P$1,'SALA 2002'!$B$1:$U$1,0))),($A24-1994)/7),INDEX('WPP 2024 середина года'!$B:$U,MATCH($A24,'WPP 2024 середина года'!$A:$A,0),MATCH(P$1,'WPP 2024 середина года'!$B$1:$U$1,0)))))</f>
        <v>647</v>
      </c>
      <c r="Q24" s="7">
        <f>IF($A24&lt;=1951,INDEX('SALA 1974'!$B:$U,MATCH($A24,'SALA 1974'!$A:$A,0),MATCH(Q$1,'SALA 1974'!$B$1:$U$1,0)),IF($A24&lt;=1994,1000*INDEX('SALA 2002'!$B:$U,MATCH($A24,'SALA 2002'!$A:$A,0),MATCH(Q$1,'SALA 2002'!$B$1:$U$1,0)),IF($A24&lt;=2000,1000*INDEX('SALA 2002'!$B:$U,MATCH($A24,'SALA 2002'!$A:$A,0),MATCH(Q$1,'SALA 2002'!$B$1:$U$1,0))*POWER(INDEX('WPP 2024 середина года'!$B:$U,MATCH($A24,'WPP 2024 середина года'!$A:$A,0),MATCH(Q$1,'WPP 2024 середина года'!$B$1:$U$1,0))/(1000*INDEX('SALA 2002'!$B:$U,MATCH($A24,'SALA 2002'!$A:$A,0),MATCH(Q$1,'SALA 2002'!$B$1:$U$1,0))),($A24-1994)/7),INDEX('WPP 2024 середина года'!$B:$U,MATCH($A24,'WPP 2024 середина года'!$A:$A,0),MATCH(Q$1,'WPP 2024 середина года'!$B$1:$U$1,0)))))</f>
        <v>451</v>
      </c>
      <c r="R24" s="7">
        <f>IF($A24&lt;=1951,INDEX('SALA 1974'!$B:$U,MATCH($A24,'SALA 1974'!$A:$A,0),MATCH(R$1,'SALA 1974'!$B$1:$U$1,0)),IF($A24&lt;=1994,1000*INDEX('SALA 2002'!$B:$U,MATCH($A24,'SALA 2002'!$A:$A,0),MATCH(R$1,'SALA 2002'!$B$1:$U$1,0)),IF($A24&lt;=2000,1000*INDEX('SALA 2002'!$B:$U,MATCH($A24,'SALA 2002'!$A:$A,0),MATCH(R$1,'SALA 2002'!$B$1:$U$1,0))*POWER(INDEX('WPP 2024 середина года'!$B:$U,MATCH($A24,'WPP 2024 середина года'!$A:$A,0),MATCH(R$1,'WPP 2024 середина года'!$B$1:$U$1,0))/(1000*INDEX('SALA 2002'!$B:$U,MATCH($A24,'SALA 2002'!$A:$A,0),MATCH(R$1,'SALA 2002'!$B$1:$U$1,0))),($A24-1994)/7),INDEX('WPP 2024 середина года'!$B:$U,MATCH($A24,'WPP 2024 середина года'!$A:$A,0),MATCH(R$1,'WPP 2024 середина года'!$B$1:$U$1,0)))))</f>
        <v>732</v>
      </c>
      <c r="S24" s="7">
        <f>IF($A24&lt;=1951,INDEX('SALA 1974'!$B:$U,MATCH($A24,'SALA 1974'!$A:$A,0),MATCH(S$1,'SALA 1974'!$B$1:$U$1,0)),IF($A24&lt;=1994,1000*INDEX('SALA 2002'!$B:$U,MATCH($A24,'SALA 2002'!$A:$A,0),MATCH(S$1,'SALA 2002'!$B$1:$U$1,0)),IF($A24&lt;=2000,1000*INDEX('SALA 2002'!$B:$U,MATCH($A24,'SALA 2002'!$A:$A,0),MATCH(S$1,'SALA 2002'!$B$1:$U$1,0))*POWER(INDEX('WPP 2024 середина года'!$B:$U,MATCH($A24,'WPP 2024 середина года'!$A:$A,0),MATCH(S$1,'WPP 2024 середина года'!$B$1:$U$1,0))/(1000*INDEX('SALA 2002'!$B:$U,MATCH($A24,'SALA 2002'!$A:$A,0),MATCH(S$1,'SALA 2002'!$B$1:$U$1,0))),($A24-1994)/7),INDEX('WPP 2024 середина года'!$B:$U,MATCH($A24,'WPP 2024 середина года'!$A:$A,0),MATCH(S$1,'WPP 2024 середина года'!$B$1:$U$1,0)))))</f>
        <v>4989</v>
      </c>
      <c r="T24" s="7">
        <f>IF($A24&lt;=1951,INDEX('SALA 1974'!$B:$U,MATCH($A24,'SALA 1974'!$A:$A,0),MATCH(T$1,'SALA 1974'!$B$1:$U$1,0)),IF($A24&lt;=1994,1000*INDEX('SALA 2002'!$B:$U,MATCH($A24,'SALA 2002'!$A:$A,0),MATCH(T$1,'SALA 2002'!$B$1:$U$1,0)),IF($A24&lt;=2000,1000*INDEX('SALA 2002'!$B:$U,MATCH($A24,'SALA 2002'!$A:$A,0),MATCH(T$1,'SALA 2002'!$B$1:$U$1,0))*POWER(INDEX('WPP 2024 середина года'!$B:$U,MATCH($A24,'WPP 2024 середина года'!$A:$A,0),MATCH(T$1,'WPP 2024 середина года'!$B$1:$U$1,0))/(1000*INDEX('SALA 2002'!$B:$U,MATCH($A24,'SALA 2002'!$A:$A,0),MATCH(T$1,'SALA 2002'!$B$1:$U$1,0))),($A24-1994)/7),INDEX('WPP 2024 середина года'!$B:$U,MATCH($A24,'WPP 2024 середина года'!$A:$A,0),MATCH(T$1,'WPP 2024 середина года'!$B$1:$U$1,0)))))</f>
        <v>1517</v>
      </c>
      <c r="U24" s="7">
        <f>IF($A24&lt;=1951,INDEX('SALA 1974'!$B:$U,MATCH($A24,'SALA 1974'!$A:$A,0),MATCH(U$1,'SALA 1974'!$B$1:$U$1,0)),IF($A24&lt;=1994,1000*INDEX('SALA 2002'!$B:$U,MATCH($A24,'SALA 2002'!$A:$A,0),MATCH(U$1,'SALA 2002'!$B$1:$U$1,0)),IF($A24&lt;=2000,1000*INDEX('SALA 2002'!$B:$U,MATCH($A24,'SALA 2002'!$A:$A,0),MATCH(U$1,'SALA 2002'!$B$1:$U$1,0))*POWER(INDEX('WPP 2024 середина года'!$B:$U,MATCH($A24,'WPP 2024 середина года'!$A:$A,0),MATCH(U$1,'WPP 2024 середина года'!$B$1:$U$1,0))/(1000*INDEX('SALA 2002'!$B:$U,MATCH($A24,'SALA 2002'!$A:$A,0),MATCH(U$1,'SALA 2002'!$B$1:$U$1,0))),($A24-1994)/7),INDEX('WPP 2024 середина года'!$B:$U,MATCH($A24,'WPP 2024 середина года'!$A:$A,0),MATCH(U$1,'WPP 2024 середина года'!$B$1:$U$1,0)))))</f>
        <v>2870</v>
      </c>
    </row>
    <row r="25" spans="1:21" x14ac:dyDescent="0.25">
      <c r="A25" s="5">
        <f t="shared" si="0"/>
        <v>1923</v>
      </c>
      <c r="B25" s="7">
        <f>IF($A25&lt;=1951,INDEX('SALA 1974'!$B:$U,MATCH($A25,'SALA 1974'!$A:$A,0),MATCH(B$1,'SALA 1974'!$B$1:$U$1,0)),IF($A25&lt;=1994,1000*INDEX('SALA 2002'!$B:$U,MATCH($A25,'SALA 2002'!$A:$A,0),MATCH(B$1,'SALA 2002'!$B$1:$U$1,0)),IF($A25&lt;=2000,1000*INDEX('SALA 2002'!$B:$U,MATCH($A25,'SALA 2002'!$A:$A,0),MATCH(B$1,'SALA 2002'!$B$1:$U$1,0))*POWER(INDEX('WPP 2024 середина года'!$B:$U,MATCH($A25,'WPP 2024 середина года'!$A:$A,0),MATCH(B$1,'WPP 2024 середина года'!$B$1:$U$1,0))/(1000*INDEX('SALA 2002'!$B:$U,MATCH($A25,'SALA 2002'!$A:$A,0),MATCH(B$1,'SALA 2002'!$B$1:$U$1,0))),($A25-1994)/7),INDEX('WPP 2024 середина года'!$B:$U,MATCH($A25,'WPP 2024 середина года'!$A:$A,0),MATCH(B$1,'WPP 2024 середина года'!$B$1:$U$1,0)))))</f>
        <v>9892</v>
      </c>
      <c r="C25" s="7">
        <f>IF($A25&lt;=1951,INDEX('SALA 1974'!$B:$U,MATCH($A25,'SALA 1974'!$A:$A,0),MATCH(C$1,'SALA 1974'!$B$1:$U$1,0)),IF($A25&lt;=1994,1000*INDEX('SALA 2002'!$B:$U,MATCH($A25,'SALA 2002'!$A:$A,0),MATCH(C$1,'SALA 2002'!$B$1:$U$1,0)),IF($A25&lt;=2000,1000*INDEX('SALA 2002'!$B:$U,MATCH($A25,'SALA 2002'!$A:$A,0),MATCH(C$1,'SALA 2002'!$B$1:$U$1,0))*POWER(INDEX('WPP 2024 середина года'!$B:$U,MATCH($A25,'WPP 2024 середина года'!$A:$A,0),MATCH(C$1,'WPP 2024 середина года'!$B$1:$U$1,0))/(1000*INDEX('SALA 2002'!$B:$U,MATCH($A25,'SALA 2002'!$A:$A,0),MATCH(C$1,'SALA 2002'!$B$1:$U$1,0))),($A25-1994)/7),INDEX('WPP 2024 середина года'!$B:$U,MATCH($A25,'WPP 2024 середина года'!$A:$A,0),MATCH(C$1,'WPP 2024 середина года'!$B$1:$U$1,0)))))</f>
        <v>2212</v>
      </c>
      <c r="D25" s="7">
        <f>IF($A25&lt;=1951,INDEX('SALA 1974'!$B:$U,MATCH($A25,'SALA 1974'!$A:$A,0),MATCH(D$1,'SALA 1974'!$B$1:$U$1,0)),IF($A25&lt;=1994,1000*INDEX('SALA 2002'!$B:$U,MATCH($A25,'SALA 2002'!$A:$A,0),MATCH(D$1,'SALA 2002'!$B$1:$U$1,0)),IF($A25&lt;=2000,1000*INDEX('SALA 2002'!$B:$U,MATCH($A25,'SALA 2002'!$A:$A,0),MATCH(D$1,'SALA 2002'!$B$1:$U$1,0))*POWER(INDEX('WPP 2024 середина года'!$B:$U,MATCH($A25,'WPP 2024 середина года'!$A:$A,0),MATCH(D$1,'WPP 2024 середина года'!$B$1:$U$1,0))/(1000*INDEX('SALA 2002'!$B:$U,MATCH($A25,'SALA 2002'!$A:$A,0),MATCH(D$1,'SALA 2002'!$B$1:$U$1,0))),($A25-1994)/7),INDEX('WPP 2024 середина года'!$B:$U,MATCH($A25,'WPP 2024 середина года'!$A:$A,0),MATCH(D$1,'WPP 2024 середина года'!$B$1:$U$1,0)))))</f>
        <v>29126</v>
      </c>
      <c r="E25" s="7">
        <f>IF($A25&lt;=1951,INDEX('SALA 1974'!$B:$U,MATCH($A25,'SALA 1974'!$A:$A,0),MATCH(E$1,'SALA 1974'!$B$1:$U$1,0)),IF($A25&lt;=1994,1000*INDEX('SALA 2002'!$B:$U,MATCH($A25,'SALA 2002'!$A:$A,0),MATCH(E$1,'SALA 2002'!$B$1:$U$1,0)),IF($A25&lt;=2000,1000*INDEX('SALA 2002'!$B:$U,MATCH($A25,'SALA 2002'!$A:$A,0),MATCH(E$1,'SALA 2002'!$B$1:$U$1,0))*POWER(INDEX('WPP 2024 середина года'!$B:$U,MATCH($A25,'WPP 2024 середина года'!$A:$A,0),MATCH(E$1,'WPP 2024 середина года'!$B$1:$U$1,0))/(1000*INDEX('SALA 2002'!$B:$U,MATCH($A25,'SALA 2002'!$A:$A,0),MATCH(E$1,'SALA 2002'!$B$1:$U$1,0))),($A25-1994)/7),INDEX('WPP 2024 середина года'!$B:$U,MATCH($A25,'WPP 2024 середина года'!$A:$A,0),MATCH(E$1,'WPP 2024 середина года'!$B$1:$U$1,0)))))</f>
        <v>3961</v>
      </c>
      <c r="F25" s="7">
        <f>IF($A25&lt;=1947,INDEX('SALA 1974'!$B:$U,MATCH($A25,'SALA 1974'!$A:$A,0),MATCH(F$1,'SALA 1974'!$B$1:$U$1,0)),IF($A25&lt;=1994,1000*INDEX('SALA 2002'!$B:$U,MATCH($A25,'SALA 2002'!$A:$A,0),MATCH(F$1,'SALA 2002'!$B$1:$U$1,0)),IF($A25&lt;=2000,1000*INDEX('SALA 2002'!$B:$U,MATCH($A25,'SALA 2002'!$A:$A,0),MATCH(F$1,'SALA 2002'!$B$1:$U$1,0))*POWER(INDEX('WPP 2024 середина года'!$B:$U,MATCH($A25,'WPP 2024 середина года'!$A:$A,0),MATCH(F$1,'WPP 2024 середина года'!$B$1:$U$1,0))/(1000*INDEX('SALA 2002'!$B:$U,MATCH($A25,'SALA 2002'!$A:$A,0),MATCH(F$1,'SALA 2002'!$B$1:$U$1,0))),($A25-1994)/7),INDEX('WPP 2024 середина года'!$B:$U,MATCH($A25,'WPP 2024 середина года'!$A:$A,0),MATCH(F$1,'WPP 2024 середина года'!$B$1:$U$1,0)))))</f>
        <v>6463</v>
      </c>
      <c r="G25" s="7">
        <f>IF($A25&lt;=1951,INDEX('SALA 1974'!$B:$U,MATCH($A25,'SALA 1974'!$A:$A,0),MATCH(G$1,'SALA 1974'!$B$1:$U$1,0)),IF($A25&lt;=1994,1000*INDEX('SALA 2002'!$B:$U,MATCH($A25,'SALA 2002'!$A:$A,0),MATCH(G$1,'SALA 2002'!$B$1:$U$1,0)),IF($A25&lt;=2000,1000*INDEX('SALA 2002'!$B:$U,MATCH($A25,'SALA 2002'!$A:$A,0),MATCH(G$1,'SALA 2002'!$B$1:$U$1,0))*POWER(INDEX('WPP 2024 середина года'!$B:$U,MATCH($A25,'WPP 2024 середина года'!$A:$A,0),MATCH(G$1,'WPP 2024 середина года'!$B$1:$U$1,0))/(1000*INDEX('SALA 2002'!$B:$U,MATCH($A25,'SALA 2002'!$A:$A,0),MATCH(G$1,'SALA 2002'!$B$1:$U$1,0))),($A25-1994)/7),INDEX('WPP 2024 середина года'!$B:$U,MATCH($A25,'WPP 2024 середина года'!$A:$A,0),MATCH(G$1,'WPP 2024 середина года'!$B$1:$U$1,0)))))</f>
        <v>439</v>
      </c>
      <c r="H25" s="7">
        <f>IF($A25&lt;=1951,INDEX('SALA 1974'!$B:$U,MATCH($A25,'SALA 1974'!$A:$A,0),MATCH(H$1,'SALA 1974'!$B$1:$U$1,0)),IF($A25&lt;=1994,1000*INDEX('SALA 2002'!$B:$U,MATCH($A25,'SALA 2002'!$A:$A,0),MATCH(H$1,'SALA 2002'!$B$1:$U$1,0)),IF($A25&lt;=2000,1000*INDEX('SALA 2002'!$B:$U,MATCH($A25,'SALA 2002'!$A:$A,0),MATCH(H$1,'SALA 2002'!$B$1:$U$1,0))*POWER(INDEX('WPP 2024 середина года'!$B:$U,MATCH($A25,'WPP 2024 середина года'!$A:$A,0),MATCH(H$1,'WPP 2024 середина года'!$B$1:$U$1,0))/(1000*INDEX('SALA 2002'!$B:$U,MATCH($A25,'SALA 2002'!$A:$A,0),MATCH(H$1,'SALA 2002'!$B$1:$U$1,0))),($A25-1994)/7),INDEX('WPP 2024 середина года'!$B:$U,MATCH($A25,'WPP 2024 середина года'!$A:$A,0),MATCH(H$1,'WPP 2024 середина года'!$B$1:$U$1,0)))))</f>
        <v>3257</v>
      </c>
      <c r="I25" s="7">
        <f>IF($A25&lt;=1951,INDEX('SALA 1974'!$B:$U,MATCH($A25,'SALA 1974'!$A:$A,0),MATCH(I$1,'SALA 1974'!$B$1:$U$1,0)),IF($A25&lt;=1994,1000*INDEX('SALA 2002'!$B:$U,MATCH($A25,'SALA 2002'!$A:$A,0),MATCH(I$1,'SALA 2002'!$B$1:$U$1,0)),IF($A25&lt;=2000,1000*INDEX('SALA 2002'!$B:$U,MATCH($A25,'SALA 2002'!$A:$A,0),MATCH(I$1,'SALA 2002'!$B$1:$U$1,0))*POWER(INDEX('WPP 2024 середина года'!$B:$U,MATCH($A25,'WPP 2024 середина года'!$A:$A,0),MATCH(I$1,'WPP 2024 середина года'!$B$1:$U$1,0))/(1000*INDEX('SALA 2002'!$B:$U,MATCH($A25,'SALA 2002'!$A:$A,0),MATCH(I$1,'SALA 2002'!$B$1:$U$1,0))),($A25-1994)/7),INDEX('WPP 2024 середина года'!$B:$U,MATCH($A25,'WPP 2024 середина года'!$A:$A,0),MATCH(I$1,'WPP 2024 середина года'!$B$1:$U$1,0)))))</f>
        <v>981</v>
      </c>
      <c r="J25" s="7">
        <f>IF($A25&lt;=1951,INDEX('SALA 1974'!$B:$U,MATCH($A25,'SALA 1974'!$A:$A,0),MATCH(J$1,'SALA 1974'!$B$1:$U$1,0)),IF($A25&lt;=1994,1000*INDEX('SALA 2002'!$B:$U,MATCH($A25,'SALA 2002'!$A:$A,0),MATCH(J$1,'SALA 2002'!$B$1:$U$1,0)),IF($A25&lt;=2000,1000*INDEX('SALA 2002'!$B:$U,MATCH($A25,'SALA 2002'!$A:$A,0),MATCH(J$1,'SALA 2002'!$B$1:$U$1,0))*POWER(INDEX('WPP 2024 середина года'!$B:$U,MATCH($A25,'WPP 2024 середина года'!$A:$A,0),MATCH(J$1,'WPP 2024 середина года'!$B$1:$U$1,0))/(1000*INDEX('SALA 2002'!$B:$U,MATCH($A25,'SALA 2002'!$A:$A,0),MATCH(J$1,'SALA 2002'!$B$1:$U$1,0))),($A25-1994)/7),INDEX('WPP 2024 середина года'!$B:$U,MATCH($A25,'WPP 2024 середина года'!$A:$A,0),MATCH(J$1,'WPP 2024 середина года'!$B$1:$U$1,0)))))</f>
        <v>1646</v>
      </c>
      <c r="K25" s="7">
        <f>IF($A25&lt;=1951,INDEX('SALA 1974'!$B:$U,MATCH($A25,'SALA 1974'!$A:$A,0),MATCH(K$1,'SALA 1974'!$B$1:$U$1,0)),IF($A25&lt;=1994,1000*INDEX('SALA 2002'!$B:$U,MATCH($A25,'SALA 2002'!$A:$A,0),MATCH(K$1,'SALA 2002'!$B$1:$U$1,0)),IF($A25&lt;=2000,1000*INDEX('SALA 2002'!$B:$U,MATCH($A25,'SALA 2002'!$A:$A,0),MATCH(K$1,'SALA 2002'!$B$1:$U$1,0))*POWER(INDEX('WPP 2024 середина года'!$B:$U,MATCH($A25,'WPP 2024 середина года'!$A:$A,0),MATCH(K$1,'WPP 2024 середина года'!$B$1:$U$1,0))/(1000*INDEX('SALA 2002'!$B:$U,MATCH($A25,'SALA 2002'!$A:$A,0),MATCH(K$1,'SALA 2002'!$B$1:$U$1,0))),($A25-1994)/7),INDEX('WPP 2024 середина года'!$B:$U,MATCH($A25,'WPP 2024 середина года'!$A:$A,0),MATCH(K$1,'WPP 2024 середина года'!$B$1:$U$1,0)))))</f>
        <v>1244</v>
      </c>
      <c r="L25" s="7">
        <f>IF($A25&lt;=1951,INDEX('SALA 1974'!$B:$U,MATCH($A25,'SALA 1974'!$A:$A,0),MATCH(L$1,'SALA 1974'!$B$1:$U$1,0)),IF($A25&lt;=1994,1000*INDEX('SALA 2002'!$B:$U,MATCH($A25,'SALA 2002'!$A:$A,0),MATCH(L$1,'SALA 2002'!$B$1:$U$1,0)),IF($A25&lt;=2000,1000*INDEX('SALA 2002'!$B:$U,MATCH($A25,'SALA 2002'!$A:$A,0),MATCH(L$1,'SALA 2002'!$B$1:$U$1,0))*POWER(INDEX('WPP 2024 середина года'!$B:$U,MATCH($A25,'WPP 2024 середина года'!$A:$A,0),MATCH(L$1,'WPP 2024 середина года'!$B$1:$U$1,0))/(1000*INDEX('SALA 2002'!$B:$U,MATCH($A25,'SALA 2002'!$A:$A,0),MATCH(L$1,'SALA 2002'!$B$1:$U$1,0))),($A25-1994)/7),INDEX('WPP 2024 середина года'!$B:$U,MATCH($A25,'WPP 2024 середина года'!$A:$A,0),MATCH(L$1,'WPP 2024 середина года'!$B$1:$U$1,0)))))</f>
        <v>1416</v>
      </c>
      <c r="M25" s="7">
        <f>IF($A25&lt;=1951,INDEX('SALA 1974'!$B:$U,MATCH($A25,'SALA 1974'!$A:$A,0),MATCH(M$1,'SALA 1974'!$B$1:$U$1,0)),IF($A25&lt;=1994,1000*INDEX('SALA 2002'!$B:$U,MATCH($A25,'SALA 2002'!$A:$A,0),MATCH(M$1,'SALA 2002'!$B$1:$U$1,0)),IF($A25&lt;=2000,1000*INDEX('SALA 2002'!$B:$U,MATCH($A25,'SALA 2002'!$A:$A,0),MATCH(M$1,'SALA 2002'!$B$1:$U$1,0))*POWER(INDEX('WPP 2024 середина года'!$B:$U,MATCH($A25,'WPP 2024 середина года'!$A:$A,0),MATCH(M$1,'WPP 2024 середина года'!$B$1:$U$1,0))/(1000*INDEX('SALA 2002'!$B:$U,MATCH($A25,'SALA 2002'!$A:$A,0),MATCH(M$1,'SALA 2002'!$B$1:$U$1,0))),($A25-1994)/7),INDEX('WPP 2024 середина года'!$B:$U,MATCH($A25,'WPP 2024 середина года'!$A:$A,0),MATCH(M$1,'WPP 2024 середина года'!$B$1:$U$1,0)))))</f>
        <v>2206</v>
      </c>
      <c r="N25" s="7">
        <f>IF($A25&lt;=1951,INDEX('SALA 1974'!$B:$U,MATCH($A25,'SALA 1974'!$A:$A,0),MATCH(N$1,'SALA 1974'!$B$1:$U$1,0)),IF($A25&lt;=1994,1000*INDEX('SALA 2002'!$B:$U,MATCH($A25,'SALA 2002'!$A:$A,0),MATCH(N$1,'SALA 2002'!$B$1:$U$1,0)),IF($A25&lt;=2000,1000*INDEX('SALA 2002'!$B:$U,MATCH($A25,'SALA 2002'!$A:$A,0),MATCH(N$1,'SALA 2002'!$B$1:$U$1,0))*POWER(INDEX('WPP 2024 середина года'!$B:$U,MATCH($A25,'WPP 2024 середина года'!$A:$A,0),MATCH(N$1,'WPP 2024 середина года'!$B$1:$U$1,0))/(1000*INDEX('SALA 2002'!$B:$U,MATCH($A25,'SALA 2002'!$A:$A,0),MATCH(N$1,'SALA 2002'!$B$1:$U$1,0))),($A25-1994)/7),INDEX('WPP 2024 середина года'!$B:$U,MATCH($A25,'WPP 2024 середина года'!$A:$A,0),MATCH(N$1,'WPP 2024 середина года'!$B$1:$U$1,0)))))</f>
        <v>796</v>
      </c>
      <c r="O25" s="7">
        <f>IF($A25&lt;=1951,INDEX('SALA 1974'!$B:$U,MATCH($A25,'SALA 1974'!$A:$A,0),MATCH(O$1,'SALA 1974'!$B$1:$U$1,0)),IF($A25&lt;=1994,1000*INDEX('SALA 2002'!$B:$U,MATCH($A25,'SALA 2002'!$A:$A,0),MATCH(O$1,'SALA 2002'!$B$1:$U$1,0)),IF($A25&lt;=2000,1000*INDEX('SALA 2002'!$B:$U,MATCH($A25,'SALA 2002'!$A:$A,0),MATCH(O$1,'SALA 2002'!$B$1:$U$1,0))*POWER(INDEX('WPP 2024 середина года'!$B:$U,MATCH($A25,'WPP 2024 середина года'!$A:$A,0),MATCH(O$1,'WPP 2024 середина года'!$B$1:$U$1,0))/(1000*INDEX('SALA 2002'!$B:$U,MATCH($A25,'SALA 2002'!$A:$A,0),MATCH(O$1,'SALA 2002'!$B$1:$U$1,0))),($A25-1994)/7),INDEX('WPP 2024 середина года'!$B:$U,MATCH($A25,'WPP 2024 середина года'!$A:$A,0),MATCH(O$1,'WPP 2024 середина года'!$B$1:$U$1,0)))))</f>
        <v>14693</v>
      </c>
      <c r="P25" s="7">
        <f>IF($A25&lt;=1951,INDEX('SALA 1974'!$B:$U,MATCH($A25,'SALA 1974'!$A:$A,0),MATCH(P$1,'SALA 1974'!$B$1:$U$1,0)),IF($A25&lt;=1994,1000*INDEX('SALA 2002'!$B:$U,MATCH($A25,'SALA 2002'!$A:$A,0),MATCH(P$1,'SALA 2002'!$B$1:$U$1,0)),IF($A25&lt;=2000,1000*INDEX('SALA 2002'!$B:$U,MATCH($A25,'SALA 2002'!$A:$A,0),MATCH(P$1,'SALA 2002'!$B$1:$U$1,0))*POWER(INDEX('WPP 2024 середина года'!$B:$U,MATCH($A25,'WPP 2024 середина года'!$A:$A,0),MATCH(P$1,'WPP 2024 середина года'!$B$1:$U$1,0))/(1000*INDEX('SALA 2002'!$B:$U,MATCH($A25,'SALA 2002'!$A:$A,0),MATCH(P$1,'SALA 2002'!$B$1:$U$1,0))),($A25-1994)/7),INDEX('WPP 2024 середина года'!$B:$U,MATCH($A25,'WPP 2024 середина года'!$A:$A,0),MATCH(P$1,'WPP 2024 середина года'!$B$1:$U$1,0)))))</f>
        <v>652</v>
      </c>
      <c r="Q25" s="7">
        <f>IF($A25&lt;=1951,INDEX('SALA 1974'!$B:$U,MATCH($A25,'SALA 1974'!$A:$A,0),MATCH(Q$1,'SALA 1974'!$B$1:$U$1,0)),IF($A25&lt;=1994,1000*INDEX('SALA 2002'!$B:$U,MATCH($A25,'SALA 2002'!$A:$A,0),MATCH(Q$1,'SALA 2002'!$B$1:$U$1,0)),IF($A25&lt;=2000,1000*INDEX('SALA 2002'!$B:$U,MATCH($A25,'SALA 2002'!$A:$A,0),MATCH(Q$1,'SALA 2002'!$B$1:$U$1,0))*POWER(INDEX('WPP 2024 середина года'!$B:$U,MATCH($A25,'WPP 2024 середина года'!$A:$A,0),MATCH(Q$1,'WPP 2024 середина года'!$B$1:$U$1,0))/(1000*INDEX('SALA 2002'!$B:$U,MATCH($A25,'SALA 2002'!$A:$A,0),MATCH(Q$1,'SALA 2002'!$B$1:$U$1,0))),($A25-1994)/7),INDEX('WPP 2024 середина года'!$B:$U,MATCH($A25,'WPP 2024 середина года'!$A:$A,0),MATCH(Q$1,'WPP 2024 середина года'!$B$1:$U$1,0)))))</f>
        <v>453</v>
      </c>
      <c r="R25" s="7">
        <f>IF($A25&lt;=1951,INDEX('SALA 1974'!$B:$U,MATCH($A25,'SALA 1974'!$A:$A,0),MATCH(R$1,'SALA 1974'!$B$1:$U$1,0)),IF($A25&lt;=1994,1000*INDEX('SALA 2002'!$B:$U,MATCH($A25,'SALA 2002'!$A:$A,0),MATCH(R$1,'SALA 2002'!$B$1:$U$1,0)),IF($A25&lt;=2000,1000*INDEX('SALA 2002'!$B:$U,MATCH($A25,'SALA 2002'!$A:$A,0),MATCH(R$1,'SALA 2002'!$B$1:$U$1,0))*POWER(INDEX('WPP 2024 середина года'!$B:$U,MATCH($A25,'WPP 2024 середина года'!$A:$A,0),MATCH(R$1,'WPP 2024 середина года'!$B$1:$U$1,0))/(1000*INDEX('SALA 2002'!$B:$U,MATCH($A25,'SALA 2002'!$A:$A,0),MATCH(R$1,'SALA 2002'!$B$1:$U$1,0))),($A25-1994)/7),INDEX('WPP 2024 середина года'!$B:$U,MATCH($A25,'WPP 2024 середина года'!$A:$A,0),MATCH(R$1,'WPP 2024 середина года'!$B$1:$U$1,0)))))</f>
        <v>749</v>
      </c>
      <c r="S25" s="7">
        <f>IF($A25&lt;=1951,INDEX('SALA 1974'!$B:$U,MATCH($A25,'SALA 1974'!$A:$A,0),MATCH(S$1,'SALA 1974'!$B$1:$U$1,0)),IF($A25&lt;=1994,1000*INDEX('SALA 2002'!$B:$U,MATCH($A25,'SALA 2002'!$A:$A,0),MATCH(S$1,'SALA 2002'!$B$1:$U$1,0)),IF($A25&lt;=2000,1000*INDEX('SALA 2002'!$B:$U,MATCH($A25,'SALA 2002'!$A:$A,0),MATCH(S$1,'SALA 2002'!$B$1:$U$1,0))*POWER(INDEX('WPP 2024 середина года'!$B:$U,MATCH($A25,'WPP 2024 середина года'!$A:$A,0),MATCH(S$1,'WPP 2024 середина года'!$B$1:$U$1,0))/(1000*INDEX('SALA 2002'!$B:$U,MATCH($A25,'SALA 2002'!$A:$A,0),MATCH(S$1,'SALA 2002'!$B$1:$U$1,0))),($A25-1994)/7),INDEX('WPP 2024 середина года'!$B:$U,MATCH($A25,'WPP 2024 середина года'!$A:$A,0),MATCH(S$1,'WPP 2024 середина года'!$B$1:$U$1,0)))))</f>
        <v>5069</v>
      </c>
      <c r="T25" s="7">
        <f>IF($A25&lt;=1951,INDEX('SALA 1974'!$B:$U,MATCH($A25,'SALA 1974'!$A:$A,0),MATCH(T$1,'SALA 1974'!$B$1:$U$1,0)),IF($A25&lt;=1994,1000*INDEX('SALA 2002'!$B:$U,MATCH($A25,'SALA 2002'!$A:$A,0),MATCH(T$1,'SALA 2002'!$B$1:$U$1,0)),IF($A25&lt;=2000,1000*INDEX('SALA 2002'!$B:$U,MATCH($A25,'SALA 2002'!$A:$A,0),MATCH(T$1,'SALA 2002'!$B$1:$U$1,0))*POWER(INDEX('WPP 2024 середина года'!$B:$U,MATCH($A25,'WPP 2024 середина года'!$A:$A,0),MATCH(T$1,'WPP 2024 середина года'!$B$1:$U$1,0))/(1000*INDEX('SALA 2002'!$B:$U,MATCH($A25,'SALA 2002'!$A:$A,0),MATCH(T$1,'SALA 2002'!$B$1:$U$1,0))),($A25-1994)/7),INDEX('WPP 2024 середина года'!$B:$U,MATCH($A25,'WPP 2024 середина года'!$A:$A,0),MATCH(T$1,'WPP 2024 середина года'!$B$1:$U$1,0)))))</f>
        <v>1535</v>
      </c>
      <c r="U25" s="7">
        <f>IF($A25&lt;=1951,INDEX('SALA 1974'!$B:$U,MATCH($A25,'SALA 1974'!$A:$A,0),MATCH(U$1,'SALA 1974'!$B$1:$U$1,0)),IF($A25&lt;=1994,1000*INDEX('SALA 2002'!$B:$U,MATCH($A25,'SALA 2002'!$A:$A,0),MATCH(U$1,'SALA 2002'!$B$1:$U$1,0)),IF($A25&lt;=2000,1000*INDEX('SALA 2002'!$B:$U,MATCH($A25,'SALA 2002'!$A:$A,0),MATCH(U$1,'SALA 2002'!$B$1:$U$1,0))*POWER(INDEX('WPP 2024 середина года'!$B:$U,MATCH($A25,'WPP 2024 середина года'!$A:$A,0),MATCH(U$1,'WPP 2024 середина года'!$B$1:$U$1,0))/(1000*INDEX('SALA 2002'!$B:$U,MATCH($A25,'SALA 2002'!$A:$A,0),MATCH(U$1,'SALA 2002'!$B$1:$U$1,0))),($A25-1994)/7),INDEX('WPP 2024 середина года'!$B:$U,MATCH($A25,'WPP 2024 середина года'!$A:$A,0),MATCH(U$1,'WPP 2024 середина года'!$B$1:$U$1,0)))))</f>
        <v>2898</v>
      </c>
    </row>
    <row r="26" spans="1:21" x14ac:dyDescent="0.25">
      <c r="A26" s="5">
        <f t="shared" si="0"/>
        <v>1924</v>
      </c>
      <c r="B26" s="7">
        <f>IF($A26&lt;=1951,INDEX('SALA 1974'!$B:$U,MATCH($A26,'SALA 1974'!$A:$A,0),MATCH(B$1,'SALA 1974'!$B$1:$U$1,0)),IF($A26&lt;=1994,1000*INDEX('SALA 2002'!$B:$U,MATCH($A26,'SALA 2002'!$A:$A,0),MATCH(B$1,'SALA 2002'!$B$1:$U$1,0)),IF($A26&lt;=2000,1000*INDEX('SALA 2002'!$B:$U,MATCH($A26,'SALA 2002'!$A:$A,0),MATCH(B$1,'SALA 2002'!$B$1:$U$1,0))*POWER(INDEX('WPP 2024 середина года'!$B:$U,MATCH($A26,'WPP 2024 середина года'!$A:$A,0),MATCH(B$1,'WPP 2024 середина года'!$B$1:$U$1,0))/(1000*INDEX('SALA 2002'!$B:$U,MATCH($A26,'SALA 2002'!$A:$A,0),MATCH(B$1,'SALA 2002'!$B$1:$U$1,0))),($A26-1994)/7),INDEX('WPP 2024 середина года'!$B:$U,MATCH($A26,'WPP 2024 середина года'!$A:$A,0),MATCH(B$1,'WPP 2024 середина года'!$B$1:$U$1,0)))))</f>
        <v>10216</v>
      </c>
      <c r="C26" s="7">
        <f>IF($A26&lt;=1951,INDEX('SALA 1974'!$B:$U,MATCH($A26,'SALA 1974'!$A:$A,0),MATCH(C$1,'SALA 1974'!$B$1:$U$1,0)),IF($A26&lt;=1994,1000*INDEX('SALA 2002'!$B:$U,MATCH($A26,'SALA 2002'!$A:$A,0),MATCH(C$1,'SALA 2002'!$B$1:$U$1,0)),IF($A26&lt;=2000,1000*INDEX('SALA 2002'!$B:$U,MATCH($A26,'SALA 2002'!$A:$A,0),MATCH(C$1,'SALA 2002'!$B$1:$U$1,0))*POWER(INDEX('WPP 2024 середина года'!$B:$U,MATCH($A26,'WPP 2024 середина года'!$A:$A,0),MATCH(C$1,'WPP 2024 середина года'!$B$1:$U$1,0))/(1000*INDEX('SALA 2002'!$B:$U,MATCH($A26,'SALA 2002'!$A:$A,0),MATCH(C$1,'SALA 2002'!$B$1:$U$1,0))),($A26-1994)/7),INDEX('WPP 2024 середина года'!$B:$U,MATCH($A26,'WPP 2024 середина года'!$A:$A,0),MATCH(C$1,'WPP 2024 середина года'!$B$1:$U$1,0)))))</f>
        <v>2237</v>
      </c>
      <c r="D26" s="7">
        <f>IF($A26&lt;=1951,INDEX('SALA 1974'!$B:$U,MATCH($A26,'SALA 1974'!$A:$A,0),MATCH(D$1,'SALA 1974'!$B$1:$U$1,0)),IF($A26&lt;=1994,1000*INDEX('SALA 2002'!$B:$U,MATCH($A26,'SALA 2002'!$A:$A,0),MATCH(D$1,'SALA 2002'!$B$1:$U$1,0)),IF($A26&lt;=2000,1000*INDEX('SALA 2002'!$B:$U,MATCH($A26,'SALA 2002'!$A:$A,0),MATCH(D$1,'SALA 2002'!$B$1:$U$1,0))*POWER(INDEX('WPP 2024 середина года'!$B:$U,MATCH($A26,'WPP 2024 середина года'!$A:$A,0),MATCH(D$1,'WPP 2024 середина года'!$B$1:$U$1,0))/(1000*INDEX('SALA 2002'!$B:$U,MATCH($A26,'SALA 2002'!$A:$A,0),MATCH(D$1,'SALA 2002'!$B$1:$U$1,0))),($A26-1994)/7),INDEX('WPP 2024 середина года'!$B:$U,MATCH($A26,'WPP 2024 середина года'!$A:$A,0),MATCH(D$1,'WPP 2024 середина года'!$B$1:$U$1,0)))))</f>
        <v>29723</v>
      </c>
      <c r="E26" s="7">
        <f>IF($A26&lt;=1951,INDEX('SALA 1974'!$B:$U,MATCH($A26,'SALA 1974'!$A:$A,0),MATCH(E$1,'SALA 1974'!$B$1:$U$1,0)),IF($A26&lt;=1994,1000*INDEX('SALA 2002'!$B:$U,MATCH($A26,'SALA 2002'!$A:$A,0),MATCH(E$1,'SALA 2002'!$B$1:$U$1,0)),IF($A26&lt;=2000,1000*INDEX('SALA 2002'!$B:$U,MATCH($A26,'SALA 2002'!$A:$A,0),MATCH(E$1,'SALA 2002'!$B$1:$U$1,0))*POWER(INDEX('WPP 2024 середина года'!$B:$U,MATCH($A26,'WPP 2024 середина года'!$A:$A,0),MATCH(E$1,'WPP 2024 середина года'!$B$1:$U$1,0))/(1000*INDEX('SALA 2002'!$B:$U,MATCH($A26,'SALA 2002'!$A:$A,0),MATCH(E$1,'SALA 2002'!$B$1:$U$1,0))),($A26-1994)/7),INDEX('WPP 2024 середина года'!$B:$U,MATCH($A26,'WPP 2024 середина года'!$A:$A,0),MATCH(E$1,'WPP 2024 середина года'!$B$1:$U$1,0)))))</f>
        <v>4017</v>
      </c>
      <c r="F26" s="7">
        <f>IF($A26&lt;=1947,INDEX('SALA 1974'!$B:$U,MATCH($A26,'SALA 1974'!$A:$A,0),MATCH(F$1,'SALA 1974'!$B$1:$U$1,0)),IF($A26&lt;=1994,1000*INDEX('SALA 2002'!$B:$U,MATCH($A26,'SALA 2002'!$A:$A,0),MATCH(F$1,'SALA 2002'!$B$1:$U$1,0)),IF($A26&lt;=2000,1000*INDEX('SALA 2002'!$B:$U,MATCH($A26,'SALA 2002'!$A:$A,0),MATCH(F$1,'SALA 2002'!$B$1:$U$1,0))*POWER(INDEX('WPP 2024 середина года'!$B:$U,MATCH($A26,'WPP 2024 середина года'!$A:$A,0),MATCH(F$1,'WPP 2024 середина года'!$B$1:$U$1,0))/(1000*INDEX('SALA 2002'!$B:$U,MATCH($A26,'SALA 2002'!$A:$A,0),MATCH(F$1,'SALA 2002'!$B$1:$U$1,0))),($A26-1994)/7),INDEX('WPP 2024 середина года'!$B:$U,MATCH($A26,'WPP 2024 середина года'!$A:$A,0),MATCH(F$1,'WPP 2024 середина года'!$B$1:$U$1,0)))))</f>
        <v>6592</v>
      </c>
      <c r="G26" s="7">
        <f>IF($A26&lt;=1951,INDEX('SALA 1974'!$B:$U,MATCH($A26,'SALA 1974'!$A:$A,0),MATCH(G$1,'SALA 1974'!$B$1:$U$1,0)),IF($A26&lt;=1994,1000*INDEX('SALA 2002'!$B:$U,MATCH($A26,'SALA 2002'!$A:$A,0),MATCH(G$1,'SALA 2002'!$B$1:$U$1,0)),IF($A26&lt;=2000,1000*INDEX('SALA 2002'!$B:$U,MATCH($A26,'SALA 2002'!$A:$A,0),MATCH(G$1,'SALA 2002'!$B$1:$U$1,0))*POWER(INDEX('WPP 2024 середина года'!$B:$U,MATCH($A26,'WPP 2024 середина года'!$A:$A,0),MATCH(G$1,'WPP 2024 середина года'!$B$1:$U$1,0))/(1000*INDEX('SALA 2002'!$B:$U,MATCH($A26,'SALA 2002'!$A:$A,0),MATCH(G$1,'SALA 2002'!$B$1:$U$1,0))),($A26-1994)/7),INDEX('WPP 2024 середина года'!$B:$U,MATCH($A26,'WPP 2024 середина года'!$A:$A,0),MATCH(G$1,'WPP 2024 середина года'!$B$1:$U$1,0)))))</f>
        <v>447</v>
      </c>
      <c r="H26" s="7">
        <f>IF($A26&lt;=1951,INDEX('SALA 1974'!$B:$U,MATCH($A26,'SALA 1974'!$A:$A,0),MATCH(H$1,'SALA 1974'!$B$1:$U$1,0)),IF($A26&lt;=1994,1000*INDEX('SALA 2002'!$B:$U,MATCH($A26,'SALA 2002'!$A:$A,0),MATCH(H$1,'SALA 2002'!$B$1:$U$1,0)),IF($A26&lt;=2000,1000*INDEX('SALA 2002'!$B:$U,MATCH($A26,'SALA 2002'!$A:$A,0),MATCH(H$1,'SALA 2002'!$B$1:$U$1,0))*POWER(INDEX('WPP 2024 середина года'!$B:$U,MATCH($A26,'WPP 2024 середина года'!$A:$A,0),MATCH(H$1,'WPP 2024 середина года'!$B$1:$U$1,0))/(1000*INDEX('SALA 2002'!$B:$U,MATCH($A26,'SALA 2002'!$A:$A,0),MATCH(H$1,'SALA 2002'!$B$1:$U$1,0))),($A26-1994)/7),INDEX('WPP 2024 середина года'!$B:$U,MATCH($A26,'WPP 2024 середина года'!$A:$A,0),MATCH(H$1,'WPP 2024 середина года'!$B$1:$U$1,0)))))</f>
        <v>3345</v>
      </c>
      <c r="I26" s="7">
        <f>IF($A26&lt;=1951,INDEX('SALA 1974'!$B:$U,MATCH($A26,'SALA 1974'!$A:$A,0),MATCH(I$1,'SALA 1974'!$B$1:$U$1,0)),IF($A26&lt;=1994,1000*INDEX('SALA 2002'!$B:$U,MATCH($A26,'SALA 2002'!$A:$A,0),MATCH(I$1,'SALA 2002'!$B$1:$U$1,0)),IF($A26&lt;=2000,1000*INDEX('SALA 2002'!$B:$U,MATCH($A26,'SALA 2002'!$A:$A,0),MATCH(I$1,'SALA 2002'!$B$1:$U$1,0))*POWER(INDEX('WPP 2024 середина года'!$B:$U,MATCH($A26,'WPP 2024 середина года'!$A:$A,0),MATCH(I$1,'WPP 2024 середина года'!$B$1:$U$1,0))/(1000*INDEX('SALA 2002'!$B:$U,MATCH($A26,'SALA 2002'!$A:$A,0),MATCH(I$1,'SALA 2002'!$B$1:$U$1,0))),($A26-1994)/7),INDEX('WPP 2024 середина года'!$B:$U,MATCH($A26,'WPP 2024 середина года'!$A:$A,0),MATCH(I$1,'WPP 2024 середина года'!$B$1:$U$1,0)))))</f>
        <v>1017</v>
      </c>
      <c r="J26" s="7">
        <f>IF($A26&lt;=1951,INDEX('SALA 1974'!$B:$U,MATCH($A26,'SALA 1974'!$A:$A,0),MATCH(J$1,'SALA 1974'!$B$1:$U$1,0)),IF($A26&lt;=1994,1000*INDEX('SALA 2002'!$B:$U,MATCH($A26,'SALA 2002'!$A:$A,0),MATCH(J$1,'SALA 2002'!$B$1:$U$1,0)),IF($A26&lt;=2000,1000*INDEX('SALA 2002'!$B:$U,MATCH($A26,'SALA 2002'!$A:$A,0),MATCH(J$1,'SALA 2002'!$B$1:$U$1,0))*POWER(INDEX('WPP 2024 середина года'!$B:$U,MATCH($A26,'WPP 2024 середина года'!$A:$A,0),MATCH(J$1,'WPP 2024 середина года'!$B$1:$U$1,0))/(1000*INDEX('SALA 2002'!$B:$U,MATCH($A26,'SALA 2002'!$A:$A,0),MATCH(J$1,'SALA 2002'!$B$1:$U$1,0))),($A26-1994)/7),INDEX('WPP 2024 середина года'!$B:$U,MATCH($A26,'WPP 2024 середина года'!$A:$A,0),MATCH(J$1,'WPP 2024 середина года'!$B$1:$U$1,0)))))</f>
        <v>1685</v>
      </c>
      <c r="K26" s="7">
        <f>IF($A26&lt;=1951,INDEX('SALA 1974'!$B:$U,MATCH($A26,'SALA 1974'!$A:$A,0),MATCH(K$1,'SALA 1974'!$B$1:$U$1,0)),IF($A26&lt;=1994,1000*INDEX('SALA 2002'!$B:$U,MATCH($A26,'SALA 2002'!$A:$A,0),MATCH(K$1,'SALA 2002'!$B$1:$U$1,0)),IF($A26&lt;=2000,1000*INDEX('SALA 2002'!$B:$U,MATCH($A26,'SALA 2002'!$A:$A,0),MATCH(K$1,'SALA 2002'!$B$1:$U$1,0))*POWER(INDEX('WPP 2024 середина года'!$B:$U,MATCH($A26,'WPP 2024 середина года'!$A:$A,0),MATCH(K$1,'WPP 2024 середина года'!$B$1:$U$1,0))/(1000*INDEX('SALA 2002'!$B:$U,MATCH($A26,'SALA 2002'!$A:$A,0),MATCH(K$1,'SALA 2002'!$B$1:$U$1,0))),($A26-1994)/7),INDEX('WPP 2024 середина года'!$B:$U,MATCH($A26,'WPP 2024 середина года'!$A:$A,0),MATCH(K$1,'WPP 2024 середина года'!$B$1:$U$1,0)))))</f>
        <v>1274</v>
      </c>
      <c r="L26" s="7">
        <f>IF($A26&lt;=1951,INDEX('SALA 1974'!$B:$U,MATCH($A26,'SALA 1974'!$A:$A,0),MATCH(L$1,'SALA 1974'!$B$1:$U$1,0)),IF($A26&lt;=1994,1000*INDEX('SALA 2002'!$B:$U,MATCH($A26,'SALA 2002'!$A:$A,0),MATCH(L$1,'SALA 2002'!$B$1:$U$1,0)),IF($A26&lt;=2000,1000*INDEX('SALA 2002'!$B:$U,MATCH($A26,'SALA 2002'!$A:$A,0),MATCH(L$1,'SALA 2002'!$B$1:$U$1,0))*POWER(INDEX('WPP 2024 середина года'!$B:$U,MATCH($A26,'WPP 2024 середина года'!$A:$A,0),MATCH(L$1,'WPP 2024 середина года'!$B$1:$U$1,0))/(1000*INDEX('SALA 2002'!$B:$U,MATCH($A26,'SALA 2002'!$A:$A,0),MATCH(L$1,'SALA 2002'!$B$1:$U$1,0))),($A26-1994)/7),INDEX('WPP 2024 середина года'!$B:$U,MATCH($A26,'WPP 2024 середина года'!$A:$A,0),MATCH(L$1,'WPP 2024 середина года'!$B$1:$U$1,0)))))</f>
        <v>1471</v>
      </c>
      <c r="M26" s="7">
        <f>IF($A26&lt;=1951,INDEX('SALA 1974'!$B:$U,MATCH($A26,'SALA 1974'!$A:$A,0),MATCH(M$1,'SALA 1974'!$B$1:$U$1,0)),IF($A26&lt;=1994,1000*INDEX('SALA 2002'!$B:$U,MATCH($A26,'SALA 2002'!$A:$A,0),MATCH(M$1,'SALA 2002'!$B$1:$U$1,0)),IF($A26&lt;=2000,1000*INDEX('SALA 2002'!$B:$U,MATCH($A26,'SALA 2002'!$A:$A,0),MATCH(M$1,'SALA 2002'!$B$1:$U$1,0))*POWER(INDEX('WPP 2024 середина года'!$B:$U,MATCH($A26,'WPP 2024 середина года'!$A:$A,0),MATCH(M$1,'WPP 2024 середина года'!$B$1:$U$1,0))/(1000*INDEX('SALA 2002'!$B:$U,MATCH($A26,'SALA 2002'!$A:$A,0),MATCH(M$1,'SALA 2002'!$B$1:$U$1,0))),($A26-1994)/7),INDEX('WPP 2024 середина года'!$B:$U,MATCH($A26,'WPP 2024 середина года'!$A:$A,0),MATCH(M$1,'WPP 2024 середина года'!$B$1:$U$1,0)))))</f>
        <v>2232</v>
      </c>
      <c r="N26" s="7">
        <f>IF($A26&lt;=1951,INDEX('SALA 1974'!$B:$U,MATCH($A26,'SALA 1974'!$A:$A,0),MATCH(N$1,'SALA 1974'!$B$1:$U$1,0)),IF($A26&lt;=1994,1000*INDEX('SALA 2002'!$B:$U,MATCH($A26,'SALA 2002'!$A:$A,0),MATCH(N$1,'SALA 2002'!$B$1:$U$1,0)),IF($A26&lt;=2000,1000*INDEX('SALA 2002'!$B:$U,MATCH($A26,'SALA 2002'!$A:$A,0),MATCH(N$1,'SALA 2002'!$B$1:$U$1,0))*POWER(INDEX('WPP 2024 середина года'!$B:$U,MATCH($A26,'WPP 2024 середина года'!$A:$A,0),MATCH(N$1,'WPP 2024 середина года'!$B$1:$U$1,0))/(1000*INDEX('SALA 2002'!$B:$U,MATCH($A26,'SALA 2002'!$A:$A,0),MATCH(N$1,'SALA 2002'!$B$1:$U$1,0))),($A26-1994)/7),INDEX('WPP 2024 середина года'!$B:$U,MATCH($A26,'WPP 2024 середина года'!$A:$A,0),MATCH(N$1,'WPP 2024 середина года'!$B$1:$U$1,0)))))</f>
        <v>824</v>
      </c>
      <c r="O26" s="7">
        <f>IF($A26&lt;=1951,INDEX('SALA 1974'!$B:$U,MATCH($A26,'SALA 1974'!$A:$A,0),MATCH(O$1,'SALA 1974'!$B$1:$U$1,0)),IF($A26&lt;=1994,1000*INDEX('SALA 2002'!$B:$U,MATCH($A26,'SALA 2002'!$A:$A,0),MATCH(O$1,'SALA 2002'!$B$1:$U$1,0)),IF($A26&lt;=2000,1000*INDEX('SALA 2002'!$B:$U,MATCH($A26,'SALA 2002'!$A:$A,0),MATCH(O$1,'SALA 2002'!$B$1:$U$1,0))*POWER(INDEX('WPP 2024 середина года'!$B:$U,MATCH($A26,'WPP 2024 середина года'!$A:$A,0),MATCH(O$1,'WPP 2024 середина года'!$B$1:$U$1,0))/(1000*INDEX('SALA 2002'!$B:$U,MATCH($A26,'SALA 2002'!$A:$A,0),MATCH(O$1,'SALA 2002'!$B$1:$U$1,0))),($A26-1994)/7),INDEX('WPP 2024 середина года'!$B:$U,MATCH($A26,'WPP 2024 середина года'!$A:$A,0),MATCH(O$1,'WPP 2024 середина года'!$B$1:$U$1,0)))))</f>
        <v>14945</v>
      </c>
      <c r="P26" s="7">
        <f>IF($A26&lt;=1951,INDEX('SALA 1974'!$B:$U,MATCH($A26,'SALA 1974'!$A:$A,0),MATCH(P$1,'SALA 1974'!$B$1:$U$1,0)),IF($A26&lt;=1994,1000*INDEX('SALA 2002'!$B:$U,MATCH($A26,'SALA 2002'!$A:$A,0),MATCH(P$1,'SALA 2002'!$B$1:$U$1,0)),IF($A26&lt;=2000,1000*INDEX('SALA 2002'!$B:$U,MATCH($A26,'SALA 2002'!$A:$A,0),MATCH(P$1,'SALA 2002'!$B$1:$U$1,0))*POWER(INDEX('WPP 2024 середина года'!$B:$U,MATCH($A26,'WPP 2024 середина года'!$A:$A,0),MATCH(P$1,'WPP 2024 середина года'!$B$1:$U$1,0))/(1000*INDEX('SALA 2002'!$B:$U,MATCH($A26,'SALA 2002'!$A:$A,0),MATCH(P$1,'SALA 2002'!$B$1:$U$1,0))),($A26-1994)/7),INDEX('WPP 2024 середина года'!$B:$U,MATCH($A26,'WPP 2024 середина года'!$A:$A,0),MATCH(P$1,'WPP 2024 середина года'!$B$1:$U$1,0)))))</f>
        <v>656</v>
      </c>
      <c r="Q26" s="7">
        <f>IF($A26&lt;=1951,INDEX('SALA 1974'!$B:$U,MATCH($A26,'SALA 1974'!$A:$A,0),MATCH(Q$1,'SALA 1974'!$B$1:$U$1,0)),IF($A26&lt;=1994,1000*INDEX('SALA 2002'!$B:$U,MATCH($A26,'SALA 2002'!$A:$A,0),MATCH(Q$1,'SALA 2002'!$B$1:$U$1,0)),IF($A26&lt;=2000,1000*INDEX('SALA 2002'!$B:$U,MATCH($A26,'SALA 2002'!$A:$A,0),MATCH(Q$1,'SALA 2002'!$B$1:$U$1,0))*POWER(INDEX('WPP 2024 середина года'!$B:$U,MATCH($A26,'WPP 2024 середина года'!$A:$A,0),MATCH(Q$1,'WPP 2024 середина года'!$B$1:$U$1,0))/(1000*INDEX('SALA 2002'!$B:$U,MATCH($A26,'SALA 2002'!$A:$A,0),MATCH(Q$1,'SALA 2002'!$B$1:$U$1,0))),($A26-1994)/7),INDEX('WPP 2024 середина года'!$B:$U,MATCH($A26,'WPP 2024 середина года'!$A:$A,0),MATCH(Q$1,'WPP 2024 середина года'!$B$1:$U$1,0)))))</f>
        <v>455</v>
      </c>
      <c r="R26" s="7">
        <f>IF($A26&lt;=1951,INDEX('SALA 1974'!$B:$U,MATCH($A26,'SALA 1974'!$A:$A,0),MATCH(R$1,'SALA 1974'!$B$1:$U$1,0)),IF($A26&lt;=1994,1000*INDEX('SALA 2002'!$B:$U,MATCH($A26,'SALA 2002'!$A:$A,0),MATCH(R$1,'SALA 2002'!$B$1:$U$1,0)),IF($A26&lt;=2000,1000*INDEX('SALA 2002'!$B:$U,MATCH($A26,'SALA 2002'!$A:$A,0),MATCH(R$1,'SALA 2002'!$B$1:$U$1,0))*POWER(INDEX('WPP 2024 середина года'!$B:$U,MATCH($A26,'WPP 2024 середина года'!$A:$A,0),MATCH(R$1,'WPP 2024 середина года'!$B$1:$U$1,0))/(1000*INDEX('SALA 2002'!$B:$U,MATCH($A26,'SALA 2002'!$A:$A,0),MATCH(R$1,'SALA 2002'!$B$1:$U$1,0))),($A26-1994)/7),INDEX('WPP 2024 середина года'!$B:$U,MATCH($A26,'WPP 2024 середина года'!$A:$A,0),MATCH(R$1,'WPP 2024 середина года'!$B$1:$U$1,0)))))</f>
        <v>767</v>
      </c>
      <c r="S26" s="7">
        <f>IF($A26&lt;=1951,INDEX('SALA 1974'!$B:$U,MATCH($A26,'SALA 1974'!$A:$A,0),MATCH(S$1,'SALA 1974'!$B$1:$U$1,0)),IF($A26&lt;=1994,1000*INDEX('SALA 2002'!$B:$U,MATCH($A26,'SALA 2002'!$A:$A,0),MATCH(S$1,'SALA 2002'!$B$1:$U$1,0)),IF($A26&lt;=2000,1000*INDEX('SALA 2002'!$B:$U,MATCH($A26,'SALA 2002'!$A:$A,0),MATCH(S$1,'SALA 2002'!$B$1:$U$1,0))*POWER(INDEX('WPP 2024 середина года'!$B:$U,MATCH($A26,'WPP 2024 середина года'!$A:$A,0),MATCH(S$1,'WPP 2024 середина года'!$B$1:$U$1,0))/(1000*INDEX('SALA 2002'!$B:$U,MATCH($A26,'SALA 2002'!$A:$A,0),MATCH(S$1,'SALA 2002'!$B$1:$U$1,0))),($A26-1994)/7),INDEX('WPP 2024 середина года'!$B:$U,MATCH($A26,'WPP 2024 середина года'!$A:$A,0),MATCH(S$1,'WPP 2024 середина года'!$B$1:$U$1,0)))))</f>
        <v>5148</v>
      </c>
      <c r="T26" s="7">
        <f>IF($A26&lt;=1951,INDEX('SALA 1974'!$B:$U,MATCH($A26,'SALA 1974'!$A:$A,0),MATCH(T$1,'SALA 1974'!$B$1:$U$1,0)),IF($A26&lt;=1994,1000*INDEX('SALA 2002'!$B:$U,MATCH($A26,'SALA 2002'!$A:$A,0),MATCH(T$1,'SALA 2002'!$B$1:$U$1,0)),IF($A26&lt;=2000,1000*INDEX('SALA 2002'!$B:$U,MATCH($A26,'SALA 2002'!$A:$A,0),MATCH(T$1,'SALA 2002'!$B$1:$U$1,0))*POWER(INDEX('WPP 2024 середина года'!$B:$U,MATCH($A26,'WPP 2024 середина года'!$A:$A,0),MATCH(T$1,'WPP 2024 середина года'!$B$1:$U$1,0))/(1000*INDEX('SALA 2002'!$B:$U,MATCH($A26,'SALA 2002'!$A:$A,0),MATCH(T$1,'SALA 2002'!$B$1:$U$1,0))),($A26-1994)/7),INDEX('WPP 2024 середина года'!$B:$U,MATCH($A26,'WPP 2024 середина года'!$A:$A,0),MATCH(T$1,'WPP 2024 середина года'!$B$1:$U$1,0)))))</f>
        <v>1553</v>
      </c>
      <c r="U26" s="7">
        <f>IF($A26&lt;=1951,INDEX('SALA 1974'!$B:$U,MATCH($A26,'SALA 1974'!$A:$A,0),MATCH(U$1,'SALA 1974'!$B$1:$U$1,0)),IF($A26&lt;=1994,1000*INDEX('SALA 2002'!$B:$U,MATCH($A26,'SALA 2002'!$A:$A,0),MATCH(U$1,'SALA 2002'!$B$1:$U$1,0)),IF($A26&lt;=2000,1000*INDEX('SALA 2002'!$B:$U,MATCH($A26,'SALA 2002'!$A:$A,0),MATCH(U$1,'SALA 2002'!$B$1:$U$1,0))*POWER(INDEX('WPP 2024 середина года'!$B:$U,MATCH($A26,'WPP 2024 середина года'!$A:$A,0),MATCH(U$1,'WPP 2024 середина года'!$B$1:$U$1,0))/(1000*INDEX('SALA 2002'!$B:$U,MATCH($A26,'SALA 2002'!$A:$A,0),MATCH(U$1,'SALA 2002'!$B$1:$U$1,0))),($A26-1994)/7),INDEX('WPP 2024 середина года'!$B:$U,MATCH($A26,'WPP 2024 середина года'!$A:$A,0),MATCH(U$1,'WPP 2024 середина года'!$B$1:$U$1,0)))))</f>
        <v>2925</v>
      </c>
    </row>
    <row r="27" spans="1:21" x14ac:dyDescent="0.25">
      <c r="A27" s="5">
        <f t="shared" si="0"/>
        <v>1925</v>
      </c>
      <c r="B27" s="7">
        <f>IF($A27&lt;=1951,INDEX('SALA 1974'!$B:$U,MATCH($A27,'SALA 1974'!$A:$A,0),MATCH(B$1,'SALA 1974'!$B$1:$U$1,0)),IF($A27&lt;=1994,1000*INDEX('SALA 2002'!$B:$U,MATCH($A27,'SALA 2002'!$A:$A,0),MATCH(B$1,'SALA 2002'!$B$1:$U$1,0)),IF($A27&lt;=2000,1000*INDEX('SALA 2002'!$B:$U,MATCH($A27,'SALA 2002'!$A:$A,0),MATCH(B$1,'SALA 2002'!$B$1:$U$1,0))*POWER(INDEX('WPP 2024 середина года'!$B:$U,MATCH($A27,'WPP 2024 середина года'!$A:$A,0),MATCH(B$1,'WPP 2024 середина года'!$B$1:$U$1,0))/(1000*INDEX('SALA 2002'!$B:$U,MATCH($A27,'SALA 2002'!$A:$A,0),MATCH(B$1,'SALA 2002'!$B$1:$U$1,0))),($A27-1994)/7),INDEX('WPP 2024 середина года'!$B:$U,MATCH($A27,'WPP 2024 середина года'!$A:$A,0),MATCH(B$1,'WPP 2024 середина года'!$B$1:$U$1,0)))))</f>
        <v>10500</v>
      </c>
      <c r="C27" s="7">
        <f>IF($A27&lt;=1951,INDEX('SALA 1974'!$B:$U,MATCH($A27,'SALA 1974'!$A:$A,0),MATCH(C$1,'SALA 1974'!$B$1:$U$1,0)),IF($A27&lt;=1994,1000*INDEX('SALA 2002'!$B:$U,MATCH($A27,'SALA 2002'!$A:$A,0),MATCH(C$1,'SALA 2002'!$B$1:$U$1,0)),IF($A27&lt;=2000,1000*INDEX('SALA 2002'!$B:$U,MATCH($A27,'SALA 2002'!$A:$A,0),MATCH(C$1,'SALA 2002'!$B$1:$U$1,0))*POWER(INDEX('WPP 2024 середина года'!$B:$U,MATCH($A27,'WPP 2024 середина года'!$A:$A,0),MATCH(C$1,'WPP 2024 середина года'!$B$1:$U$1,0))/(1000*INDEX('SALA 2002'!$B:$U,MATCH($A27,'SALA 2002'!$A:$A,0),MATCH(C$1,'SALA 2002'!$B$1:$U$1,0))),($A27-1994)/7),INDEX('WPP 2024 середина года'!$B:$U,MATCH($A27,'WPP 2024 середина года'!$A:$A,0),MATCH(C$1,'WPP 2024 середина года'!$B$1:$U$1,0)))))</f>
        <v>2263</v>
      </c>
      <c r="D27" s="7">
        <f>IF($A27&lt;=1951,INDEX('SALA 1974'!$B:$U,MATCH($A27,'SALA 1974'!$A:$A,0),MATCH(D$1,'SALA 1974'!$B$1:$U$1,0)),IF($A27&lt;=1994,1000*INDEX('SALA 2002'!$B:$U,MATCH($A27,'SALA 2002'!$A:$A,0),MATCH(D$1,'SALA 2002'!$B$1:$U$1,0)),IF($A27&lt;=2000,1000*INDEX('SALA 2002'!$B:$U,MATCH($A27,'SALA 2002'!$A:$A,0),MATCH(D$1,'SALA 2002'!$B$1:$U$1,0))*POWER(INDEX('WPP 2024 середина года'!$B:$U,MATCH($A27,'WPP 2024 середина года'!$A:$A,0),MATCH(D$1,'WPP 2024 середина года'!$B$1:$U$1,0))/(1000*INDEX('SALA 2002'!$B:$U,MATCH($A27,'SALA 2002'!$A:$A,0),MATCH(D$1,'SALA 2002'!$B$1:$U$1,0))),($A27-1994)/7),INDEX('WPP 2024 середина года'!$B:$U,MATCH($A27,'WPP 2024 середина года'!$A:$A,0),MATCH(D$1,'WPP 2024 середина года'!$B$1:$U$1,0)))))</f>
        <v>30332</v>
      </c>
      <c r="E27" s="7">
        <f>IF($A27&lt;=1951,INDEX('SALA 1974'!$B:$U,MATCH($A27,'SALA 1974'!$A:$A,0),MATCH(E$1,'SALA 1974'!$B$1:$U$1,0)),IF($A27&lt;=1994,1000*INDEX('SALA 2002'!$B:$U,MATCH($A27,'SALA 2002'!$A:$A,0),MATCH(E$1,'SALA 2002'!$B$1:$U$1,0)),IF($A27&lt;=2000,1000*INDEX('SALA 2002'!$B:$U,MATCH($A27,'SALA 2002'!$A:$A,0),MATCH(E$1,'SALA 2002'!$B$1:$U$1,0))*POWER(INDEX('WPP 2024 середина года'!$B:$U,MATCH($A27,'WPP 2024 середина года'!$A:$A,0),MATCH(E$1,'WPP 2024 середина года'!$B$1:$U$1,0))/(1000*INDEX('SALA 2002'!$B:$U,MATCH($A27,'SALA 2002'!$A:$A,0),MATCH(E$1,'SALA 2002'!$B$1:$U$1,0))),($A27-1994)/7),INDEX('WPP 2024 середина года'!$B:$U,MATCH($A27,'WPP 2024 середина года'!$A:$A,0),MATCH(E$1,'WPP 2024 середина года'!$B$1:$U$1,0)))))</f>
        <v>4073</v>
      </c>
      <c r="F27" s="7">
        <f>IF($A27&lt;=1947,INDEX('SALA 1974'!$B:$U,MATCH($A27,'SALA 1974'!$A:$A,0),MATCH(F$1,'SALA 1974'!$B$1:$U$1,0)),IF($A27&lt;=1994,1000*INDEX('SALA 2002'!$B:$U,MATCH($A27,'SALA 2002'!$A:$A,0),MATCH(F$1,'SALA 2002'!$B$1:$U$1,0)),IF($A27&lt;=2000,1000*INDEX('SALA 2002'!$B:$U,MATCH($A27,'SALA 2002'!$A:$A,0),MATCH(F$1,'SALA 2002'!$B$1:$U$1,0))*POWER(INDEX('WPP 2024 середина года'!$B:$U,MATCH($A27,'WPP 2024 середина года'!$A:$A,0),MATCH(F$1,'WPP 2024 середина года'!$B$1:$U$1,0))/(1000*INDEX('SALA 2002'!$B:$U,MATCH($A27,'SALA 2002'!$A:$A,0),MATCH(F$1,'SALA 2002'!$B$1:$U$1,0))),($A27-1994)/7),INDEX('WPP 2024 середина года'!$B:$U,MATCH($A27,'WPP 2024 середина года'!$A:$A,0),MATCH(F$1,'WPP 2024 середина года'!$B$1:$U$1,0)))))</f>
        <v>6724</v>
      </c>
      <c r="G27" s="7">
        <f>IF($A27&lt;=1951,INDEX('SALA 1974'!$B:$U,MATCH($A27,'SALA 1974'!$A:$A,0),MATCH(G$1,'SALA 1974'!$B$1:$U$1,0)),IF($A27&lt;=1994,1000*INDEX('SALA 2002'!$B:$U,MATCH($A27,'SALA 2002'!$A:$A,0),MATCH(G$1,'SALA 2002'!$B$1:$U$1,0)),IF($A27&lt;=2000,1000*INDEX('SALA 2002'!$B:$U,MATCH($A27,'SALA 2002'!$A:$A,0),MATCH(G$1,'SALA 2002'!$B$1:$U$1,0))*POWER(INDEX('WPP 2024 середина года'!$B:$U,MATCH($A27,'WPP 2024 середина года'!$A:$A,0),MATCH(G$1,'WPP 2024 середина года'!$B$1:$U$1,0))/(1000*INDEX('SALA 2002'!$B:$U,MATCH($A27,'SALA 2002'!$A:$A,0),MATCH(G$1,'SALA 2002'!$B$1:$U$1,0))),($A27-1994)/7),INDEX('WPP 2024 середина года'!$B:$U,MATCH($A27,'WPP 2024 середина года'!$A:$A,0),MATCH(G$1,'WPP 2024 середина года'!$B$1:$U$1,0)))))</f>
        <v>456</v>
      </c>
      <c r="H27" s="7">
        <f>IF($A27&lt;=1951,INDEX('SALA 1974'!$B:$U,MATCH($A27,'SALA 1974'!$A:$A,0),MATCH(H$1,'SALA 1974'!$B$1:$U$1,0)),IF($A27&lt;=1994,1000*INDEX('SALA 2002'!$B:$U,MATCH($A27,'SALA 2002'!$A:$A,0),MATCH(H$1,'SALA 2002'!$B$1:$U$1,0)),IF($A27&lt;=2000,1000*INDEX('SALA 2002'!$B:$U,MATCH($A27,'SALA 2002'!$A:$A,0),MATCH(H$1,'SALA 2002'!$B$1:$U$1,0))*POWER(INDEX('WPP 2024 середина года'!$B:$U,MATCH($A27,'WPP 2024 середина года'!$A:$A,0),MATCH(H$1,'WPP 2024 середина года'!$B$1:$U$1,0))/(1000*INDEX('SALA 2002'!$B:$U,MATCH($A27,'SALA 2002'!$A:$A,0),MATCH(H$1,'SALA 2002'!$B$1:$U$1,0))),($A27-1994)/7),INDEX('WPP 2024 середина года'!$B:$U,MATCH($A27,'WPP 2024 середина года'!$A:$A,0),MATCH(H$1,'WPP 2024 середина года'!$B$1:$U$1,0)))))</f>
        <v>3432</v>
      </c>
      <c r="I27" s="7">
        <f>IF($A27&lt;=1951,INDEX('SALA 1974'!$B:$U,MATCH($A27,'SALA 1974'!$A:$A,0),MATCH(I$1,'SALA 1974'!$B$1:$U$1,0)),IF($A27&lt;=1994,1000*INDEX('SALA 2002'!$B:$U,MATCH($A27,'SALA 2002'!$A:$A,0),MATCH(I$1,'SALA 2002'!$B$1:$U$1,0)),IF($A27&lt;=2000,1000*INDEX('SALA 2002'!$B:$U,MATCH($A27,'SALA 2002'!$A:$A,0),MATCH(I$1,'SALA 2002'!$B$1:$U$1,0))*POWER(INDEX('WPP 2024 середина года'!$B:$U,MATCH($A27,'WPP 2024 середина года'!$A:$A,0),MATCH(I$1,'WPP 2024 середина года'!$B$1:$U$1,0))/(1000*INDEX('SALA 2002'!$B:$U,MATCH($A27,'SALA 2002'!$A:$A,0),MATCH(I$1,'SALA 2002'!$B$1:$U$1,0))),($A27-1994)/7),INDEX('WPP 2024 середина года'!$B:$U,MATCH($A27,'WPP 2024 середина года'!$A:$A,0),MATCH(I$1,'WPP 2024 середина года'!$B$1:$U$1,0)))))</f>
        <v>1054</v>
      </c>
      <c r="J27" s="7">
        <f>IF($A27&lt;=1951,INDEX('SALA 1974'!$B:$U,MATCH($A27,'SALA 1974'!$A:$A,0),MATCH(J$1,'SALA 1974'!$B$1:$U$1,0)),IF($A27&lt;=1994,1000*INDEX('SALA 2002'!$B:$U,MATCH($A27,'SALA 2002'!$A:$A,0),MATCH(J$1,'SALA 2002'!$B$1:$U$1,0)),IF($A27&lt;=2000,1000*INDEX('SALA 2002'!$B:$U,MATCH($A27,'SALA 2002'!$A:$A,0),MATCH(J$1,'SALA 2002'!$B$1:$U$1,0))*POWER(INDEX('WPP 2024 середина года'!$B:$U,MATCH($A27,'WPP 2024 середина года'!$A:$A,0),MATCH(J$1,'WPP 2024 середина года'!$B$1:$U$1,0))/(1000*INDEX('SALA 2002'!$B:$U,MATCH($A27,'SALA 2002'!$A:$A,0),MATCH(J$1,'SALA 2002'!$B$1:$U$1,0))),($A27-1994)/7),INDEX('WPP 2024 середина года'!$B:$U,MATCH($A27,'WPP 2024 середина года'!$A:$A,0),MATCH(J$1,'WPP 2024 середина года'!$B$1:$U$1,0)))))</f>
        <v>1724</v>
      </c>
      <c r="K27" s="7">
        <f>IF($A27&lt;=1951,INDEX('SALA 1974'!$B:$U,MATCH($A27,'SALA 1974'!$A:$A,0),MATCH(K$1,'SALA 1974'!$B$1:$U$1,0)),IF($A27&lt;=1994,1000*INDEX('SALA 2002'!$B:$U,MATCH($A27,'SALA 2002'!$A:$A,0),MATCH(K$1,'SALA 2002'!$B$1:$U$1,0)),IF($A27&lt;=2000,1000*INDEX('SALA 2002'!$B:$U,MATCH($A27,'SALA 2002'!$A:$A,0),MATCH(K$1,'SALA 2002'!$B$1:$U$1,0))*POWER(INDEX('WPP 2024 середина года'!$B:$U,MATCH($A27,'WPP 2024 середина года'!$A:$A,0),MATCH(K$1,'WPP 2024 середина года'!$B$1:$U$1,0))/(1000*INDEX('SALA 2002'!$B:$U,MATCH($A27,'SALA 2002'!$A:$A,0),MATCH(K$1,'SALA 2002'!$B$1:$U$1,0))),($A27-1994)/7),INDEX('WPP 2024 середина года'!$B:$U,MATCH($A27,'WPP 2024 середина года'!$A:$A,0),MATCH(K$1,'WPP 2024 середина года'!$B$1:$U$1,0)))))</f>
        <v>1301</v>
      </c>
      <c r="L27" s="7">
        <f>IF($A27&lt;=1951,INDEX('SALA 1974'!$B:$U,MATCH($A27,'SALA 1974'!$A:$A,0),MATCH(L$1,'SALA 1974'!$B$1:$U$1,0)),IF($A27&lt;=1994,1000*INDEX('SALA 2002'!$B:$U,MATCH($A27,'SALA 2002'!$A:$A,0),MATCH(L$1,'SALA 2002'!$B$1:$U$1,0)),IF($A27&lt;=2000,1000*INDEX('SALA 2002'!$B:$U,MATCH($A27,'SALA 2002'!$A:$A,0),MATCH(L$1,'SALA 2002'!$B$1:$U$1,0))*POWER(INDEX('WPP 2024 середина года'!$B:$U,MATCH($A27,'WPP 2024 середина года'!$A:$A,0),MATCH(L$1,'WPP 2024 середина года'!$B$1:$U$1,0))/(1000*INDEX('SALA 2002'!$B:$U,MATCH($A27,'SALA 2002'!$A:$A,0),MATCH(L$1,'SALA 2002'!$B$1:$U$1,0))),($A27-1994)/7),INDEX('WPP 2024 середина года'!$B:$U,MATCH($A27,'WPP 2024 середина года'!$A:$A,0),MATCH(L$1,'WPP 2024 середина года'!$B$1:$U$1,0)))))</f>
        <v>1514</v>
      </c>
      <c r="M27" s="7">
        <f>IF($A27&lt;=1951,INDEX('SALA 1974'!$B:$U,MATCH($A27,'SALA 1974'!$A:$A,0),MATCH(M$1,'SALA 1974'!$B$1:$U$1,0)),IF($A27&lt;=1994,1000*INDEX('SALA 2002'!$B:$U,MATCH($A27,'SALA 2002'!$A:$A,0),MATCH(M$1,'SALA 2002'!$B$1:$U$1,0)),IF($A27&lt;=2000,1000*INDEX('SALA 2002'!$B:$U,MATCH($A27,'SALA 2002'!$A:$A,0),MATCH(M$1,'SALA 2002'!$B$1:$U$1,0))*POWER(INDEX('WPP 2024 середина года'!$B:$U,MATCH($A27,'WPP 2024 середина года'!$A:$A,0),MATCH(M$1,'WPP 2024 середина года'!$B$1:$U$1,0))/(1000*INDEX('SALA 2002'!$B:$U,MATCH($A27,'SALA 2002'!$A:$A,0),MATCH(M$1,'SALA 2002'!$B$1:$U$1,0))),($A27-1994)/7),INDEX('WPP 2024 середина года'!$B:$U,MATCH($A27,'WPP 2024 середина года'!$A:$A,0),MATCH(M$1,'WPP 2024 середина года'!$B$1:$U$1,0)))))</f>
        <v>2260</v>
      </c>
      <c r="N27" s="7">
        <f>IF($A27&lt;=1951,INDEX('SALA 1974'!$B:$U,MATCH($A27,'SALA 1974'!$A:$A,0),MATCH(N$1,'SALA 1974'!$B$1:$U$1,0)),IF($A27&lt;=1994,1000*INDEX('SALA 2002'!$B:$U,MATCH($A27,'SALA 2002'!$A:$A,0),MATCH(N$1,'SALA 2002'!$B$1:$U$1,0)),IF($A27&lt;=2000,1000*INDEX('SALA 2002'!$B:$U,MATCH($A27,'SALA 2002'!$A:$A,0),MATCH(N$1,'SALA 2002'!$B$1:$U$1,0))*POWER(INDEX('WPP 2024 середина года'!$B:$U,MATCH($A27,'WPP 2024 середина года'!$A:$A,0),MATCH(N$1,'WPP 2024 середина года'!$B$1:$U$1,0))/(1000*INDEX('SALA 2002'!$B:$U,MATCH($A27,'SALA 2002'!$A:$A,0),MATCH(N$1,'SALA 2002'!$B$1:$U$1,0))),($A27-1994)/7),INDEX('WPP 2024 середина года'!$B:$U,MATCH($A27,'WPP 2024 середина года'!$A:$A,0),MATCH(N$1,'WPP 2024 середина года'!$B$1:$U$1,0)))))</f>
        <v>851</v>
      </c>
      <c r="O27" s="7">
        <f>IF($A27&lt;=1951,INDEX('SALA 1974'!$B:$U,MATCH($A27,'SALA 1974'!$A:$A,0),MATCH(O$1,'SALA 1974'!$B$1:$U$1,0)),IF($A27&lt;=1994,1000*INDEX('SALA 2002'!$B:$U,MATCH($A27,'SALA 2002'!$A:$A,0),MATCH(O$1,'SALA 2002'!$B$1:$U$1,0)),IF($A27&lt;=2000,1000*INDEX('SALA 2002'!$B:$U,MATCH($A27,'SALA 2002'!$A:$A,0),MATCH(O$1,'SALA 2002'!$B$1:$U$1,0))*POWER(INDEX('WPP 2024 середина года'!$B:$U,MATCH($A27,'WPP 2024 середина года'!$A:$A,0),MATCH(O$1,'WPP 2024 середина года'!$B$1:$U$1,0))/(1000*INDEX('SALA 2002'!$B:$U,MATCH($A27,'SALA 2002'!$A:$A,0),MATCH(O$1,'SALA 2002'!$B$1:$U$1,0))),($A27-1994)/7),INDEX('WPP 2024 середина года'!$B:$U,MATCH($A27,'WPP 2024 середина года'!$A:$A,0),MATCH(O$1,'WPP 2024 середина года'!$B$1:$U$1,0)))))</f>
        <v>15204</v>
      </c>
      <c r="P27" s="7">
        <f>IF($A27&lt;=1951,INDEX('SALA 1974'!$B:$U,MATCH($A27,'SALA 1974'!$A:$A,0),MATCH(P$1,'SALA 1974'!$B$1:$U$1,0)),IF($A27&lt;=1994,1000*INDEX('SALA 2002'!$B:$U,MATCH($A27,'SALA 2002'!$A:$A,0),MATCH(P$1,'SALA 2002'!$B$1:$U$1,0)),IF($A27&lt;=2000,1000*INDEX('SALA 2002'!$B:$U,MATCH($A27,'SALA 2002'!$A:$A,0),MATCH(P$1,'SALA 2002'!$B$1:$U$1,0))*POWER(INDEX('WPP 2024 середина года'!$B:$U,MATCH($A27,'WPP 2024 середина года'!$A:$A,0),MATCH(P$1,'WPP 2024 середина года'!$B$1:$U$1,0))/(1000*INDEX('SALA 2002'!$B:$U,MATCH($A27,'SALA 2002'!$A:$A,0),MATCH(P$1,'SALA 2002'!$B$1:$U$1,0))),($A27-1994)/7),INDEX('WPP 2024 середина года'!$B:$U,MATCH($A27,'WPP 2024 середина года'!$A:$A,0),MATCH(P$1,'WPP 2024 середина года'!$B$1:$U$1,0)))))</f>
        <v>660</v>
      </c>
      <c r="Q27" s="7">
        <f>IF($A27&lt;=1951,INDEX('SALA 1974'!$B:$U,MATCH($A27,'SALA 1974'!$A:$A,0),MATCH(Q$1,'SALA 1974'!$B$1:$U$1,0)),IF($A27&lt;=1994,1000*INDEX('SALA 2002'!$B:$U,MATCH($A27,'SALA 2002'!$A:$A,0),MATCH(Q$1,'SALA 2002'!$B$1:$U$1,0)),IF($A27&lt;=2000,1000*INDEX('SALA 2002'!$B:$U,MATCH($A27,'SALA 2002'!$A:$A,0),MATCH(Q$1,'SALA 2002'!$B$1:$U$1,0))*POWER(INDEX('WPP 2024 середина года'!$B:$U,MATCH($A27,'WPP 2024 середина года'!$A:$A,0),MATCH(Q$1,'WPP 2024 середина года'!$B$1:$U$1,0))/(1000*INDEX('SALA 2002'!$B:$U,MATCH($A27,'SALA 2002'!$A:$A,0),MATCH(Q$1,'SALA 2002'!$B$1:$U$1,0))),($A27-1994)/7),INDEX('WPP 2024 середина года'!$B:$U,MATCH($A27,'WPP 2024 середина года'!$A:$A,0),MATCH(Q$1,'WPP 2024 середина года'!$B$1:$U$1,0)))))</f>
        <v>457</v>
      </c>
      <c r="R27" s="7">
        <f>IF($A27&lt;=1951,INDEX('SALA 1974'!$B:$U,MATCH($A27,'SALA 1974'!$A:$A,0),MATCH(R$1,'SALA 1974'!$B$1:$U$1,0)),IF($A27&lt;=1994,1000*INDEX('SALA 2002'!$B:$U,MATCH($A27,'SALA 2002'!$A:$A,0),MATCH(R$1,'SALA 2002'!$B$1:$U$1,0)),IF($A27&lt;=2000,1000*INDEX('SALA 2002'!$B:$U,MATCH($A27,'SALA 2002'!$A:$A,0),MATCH(R$1,'SALA 2002'!$B$1:$U$1,0))*POWER(INDEX('WPP 2024 середина года'!$B:$U,MATCH($A27,'WPP 2024 середина года'!$A:$A,0),MATCH(R$1,'WPP 2024 середина года'!$B$1:$U$1,0))/(1000*INDEX('SALA 2002'!$B:$U,MATCH($A27,'SALA 2002'!$A:$A,0),MATCH(R$1,'SALA 2002'!$B$1:$U$1,0))),($A27-1994)/7),INDEX('WPP 2024 середина года'!$B:$U,MATCH($A27,'WPP 2024 середина года'!$A:$A,0),MATCH(R$1,'WPP 2024 середина года'!$B$1:$U$1,0)))))</f>
        <v>785</v>
      </c>
      <c r="S27" s="7">
        <f>IF($A27&lt;=1951,INDEX('SALA 1974'!$B:$U,MATCH($A27,'SALA 1974'!$A:$A,0),MATCH(S$1,'SALA 1974'!$B$1:$U$1,0)),IF($A27&lt;=1994,1000*INDEX('SALA 2002'!$B:$U,MATCH($A27,'SALA 2002'!$A:$A,0),MATCH(S$1,'SALA 2002'!$B$1:$U$1,0)),IF($A27&lt;=2000,1000*INDEX('SALA 2002'!$B:$U,MATCH($A27,'SALA 2002'!$A:$A,0),MATCH(S$1,'SALA 2002'!$B$1:$U$1,0))*POWER(INDEX('WPP 2024 середина года'!$B:$U,MATCH($A27,'WPP 2024 середина года'!$A:$A,0),MATCH(S$1,'WPP 2024 середина года'!$B$1:$U$1,0))/(1000*INDEX('SALA 2002'!$B:$U,MATCH($A27,'SALA 2002'!$A:$A,0),MATCH(S$1,'SALA 2002'!$B$1:$U$1,0))),($A27-1994)/7),INDEX('WPP 2024 середина года'!$B:$U,MATCH($A27,'WPP 2024 середина года'!$A:$A,0),MATCH(S$1,'WPP 2024 середина года'!$B$1:$U$1,0)))))</f>
        <v>5229</v>
      </c>
      <c r="T27" s="7">
        <f>IF($A27&lt;=1951,INDEX('SALA 1974'!$B:$U,MATCH($A27,'SALA 1974'!$A:$A,0),MATCH(T$1,'SALA 1974'!$B$1:$U$1,0)),IF($A27&lt;=1994,1000*INDEX('SALA 2002'!$B:$U,MATCH($A27,'SALA 2002'!$A:$A,0),MATCH(T$1,'SALA 2002'!$B$1:$U$1,0)),IF($A27&lt;=2000,1000*INDEX('SALA 2002'!$B:$U,MATCH($A27,'SALA 2002'!$A:$A,0),MATCH(T$1,'SALA 2002'!$B$1:$U$1,0))*POWER(INDEX('WPP 2024 середина года'!$B:$U,MATCH($A27,'WPP 2024 середина года'!$A:$A,0),MATCH(T$1,'WPP 2024 середина года'!$B$1:$U$1,0))/(1000*INDEX('SALA 2002'!$B:$U,MATCH($A27,'SALA 2002'!$A:$A,0),MATCH(T$1,'SALA 2002'!$B$1:$U$1,0))),($A27-1994)/7),INDEX('WPP 2024 середина года'!$B:$U,MATCH($A27,'WPP 2024 середина года'!$A:$A,0),MATCH(T$1,'WPP 2024 середина года'!$B$1:$U$1,0)))))</f>
        <v>1571</v>
      </c>
      <c r="U27" s="7">
        <f>IF($A27&lt;=1951,INDEX('SALA 1974'!$B:$U,MATCH($A27,'SALA 1974'!$A:$A,0),MATCH(U$1,'SALA 1974'!$B$1:$U$1,0)),IF($A27&lt;=1994,1000*INDEX('SALA 2002'!$B:$U,MATCH($A27,'SALA 2002'!$A:$A,0),MATCH(U$1,'SALA 2002'!$B$1:$U$1,0)),IF($A27&lt;=2000,1000*INDEX('SALA 2002'!$B:$U,MATCH($A27,'SALA 2002'!$A:$A,0),MATCH(U$1,'SALA 2002'!$B$1:$U$1,0))*POWER(INDEX('WPP 2024 середина года'!$B:$U,MATCH($A27,'WPP 2024 середина года'!$A:$A,0),MATCH(U$1,'WPP 2024 середина года'!$B$1:$U$1,0))/(1000*INDEX('SALA 2002'!$B:$U,MATCH($A27,'SALA 2002'!$A:$A,0),MATCH(U$1,'SALA 2002'!$B$1:$U$1,0))),($A27-1994)/7),INDEX('WPP 2024 середина года'!$B:$U,MATCH($A27,'WPP 2024 середина года'!$A:$A,0),MATCH(U$1,'WPP 2024 середина года'!$B$1:$U$1,0)))))</f>
        <v>2953</v>
      </c>
    </row>
    <row r="28" spans="1:21" x14ac:dyDescent="0.25">
      <c r="A28" s="5">
        <f t="shared" si="0"/>
        <v>1926</v>
      </c>
      <c r="B28" s="7">
        <f>IF($A28&lt;=1951,INDEX('SALA 1974'!$B:$U,MATCH($A28,'SALA 1974'!$A:$A,0),MATCH(B$1,'SALA 1974'!$B$1:$U$1,0)),IF($A28&lt;=1994,1000*INDEX('SALA 2002'!$B:$U,MATCH($A28,'SALA 2002'!$A:$A,0),MATCH(B$1,'SALA 2002'!$B$1:$U$1,0)),IF($A28&lt;=2000,1000*INDEX('SALA 2002'!$B:$U,MATCH($A28,'SALA 2002'!$A:$A,0),MATCH(B$1,'SALA 2002'!$B$1:$U$1,0))*POWER(INDEX('WPP 2024 середина года'!$B:$U,MATCH($A28,'WPP 2024 середина года'!$A:$A,0),MATCH(B$1,'WPP 2024 середина года'!$B$1:$U$1,0))/(1000*INDEX('SALA 2002'!$B:$U,MATCH($A28,'SALA 2002'!$A:$A,0),MATCH(B$1,'SALA 2002'!$B$1:$U$1,0))),($A28-1994)/7),INDEX('WPP 2024 середина года'!$B:$U,MATCH($A28,'WPP 2024 середина года'!$A:$A,0),MATCH(B$1,'WPP 2024 середина года'!$B$1:$U$1,0)))))</f>
        <v>10804</v>
      </c>
      <c r="C28" s="7">
        <f>IF($A28&lt;=1951,INDEX('SALA 1974'!$B:$U,MATCH($A28,'SALA 1974'!$A:$A,0),MATCH(C$1,'SALA 1974'!$B$1:$U$1,0)),IF($A28&lt;=1994,1000*INDEX('SALA 2002'!$B:$U,MATCH($A28,'SALA 2002'!$A:$A,0),MATCH(C$1,'SALA 2002'!$B$1:$U$1,0)),IF($A28&lt;=2000,1000*INDEX('SALA 2002'!$B:$U,MATCH($A28,'SALA 2002'!$A:$A,0),MATCH(C$1,'SALA 2002'!$B$1:$U$1,0))*POWER(INDEX('WPP 2024 середина года'!$B:$U,MATCH($A28,'WPP 2024 середина года'!$A:$A,0),MATCH(C$1,'WPP 2024 середина года'!$B$1:$U$1,0))/(1000*INDEX('SALA 2002'!$B:$U,MATCH($A28,'SALA 2002'!$A:$A,0),MATCH(C$1,'SALA 2002'!$B$1:$U$1,0))),($A28-1994)/7),INDEX('WPP 2024 середина года'!$B:$U,MATCH($A28,'WPP 2024 середина года'!$A:$A,0),MATCH(C$1,'WPP 2024 середина года'!$B$1:$U$1,0)))))</f>
        <v>2289</v>
      </c>
      <c r="D28" s="7">
        <f>IF($A28&lt;=1951,INDEX('SALA 1974'!$B:$U,MATCH($A28,'SALA 1974'!$A:$A,0),MATCH(D$1,'SALA 1974'!$B$1:$U$1,0)),IF($A28&lt;=1994,1000*INDEX('SALA 2002'!$B:$U,MATCH($A28,'SALA 2002'!$A:$A,0),MATCH(D$1,'SALA 2002'!$B$1:$U$1,0)),IF($A28&lt;=2000,1000*INDEX('SALA 2002'!$B:$U,MATCH($A28,'SALA 2002'!$A:$A,0),MATCH(D$1,'SALA 2002'!$B$1:$U$1,0))*POWER(INDEX('WPP 2024 середина года'!$B:$U,MATCH($A28,'WPP 2024 середина года'!$A:$A,0),MATCH(D$1,'WPP 2024 середина года'!$B$1:$U$1,0))/(1000*INDEX('SALA 2002'!$B:$U,MATCH($A28,'SALA 2002'!$A:$A,0),MATCH(D$1,'SALA 2002'!$B$1:$U$1,0))),($A28-1994)/7),INDEX('WPP 2024 середина года'!$B:$U,MATCH($A28,'WPP 2024 середина года'!$A:$A,0),MATCH(D$1,'WPP 2024 середина года'!$B$1:$U$1,0)))))</f>
        <v>30953</v>
      </c>
      <c r="E28" s="7">
        <f>IF($A28&lt;=1951,INDEX('SALA 1974'!$B:$U,MATCH($A28,'SALA 1974'!$A:$A,0),MATCH(E$1,'SALA 1974'!$B$1:$U$1,0)),IF($A28&lt;=1994,1000*INDEX('SALA 2002'!$B:$U,MATCH($A28,'SALA 2002'!$A:$A,0),MATCH(E$1,'SALA 2002'!$B$1:$U$1,0)),IF($A28&lt;=2000,1000*INDEX('SALA 2002'!$B:$U,MATCH($A28,'SALA 2002'!$A:$A,0),MATCH(E$1,'SALA 2002'!$B$1:$U$1,0))*POWER(INDEX('WPP 2024 середина года'!$B:$U,MATCH($A28,'WPP 2024 середина года'!$A:$A,0),MATCH(E$1,'WPP 2024 середина года'!$B$1:$U$1,0))/(1000*INDEX('SALA 2002'!$B:$U,MATCH($A28,'SALA 2002'!$A:$A,0),MATCH(E$1,'SALA 2002'!$B$1:$U$1,0))),($A28-1994)/7),INDEX('WPP 2024 середина года'!$B:$U,MATCH($A28,'WPP 2024 середина года'!$A:$A,0),MATCH(E$1,'WPP 2024 середина года'!$B$1:$U$1,0)))))</f>
        <v>4130</v>
      </c>
      <c r="F28" s="7">
        <f>IF($A28&lt;=1947,INDEX('SALA 1974'!$B:$U,MATCH($A28,'SALA 1974'!$A:$A,0),MATCH(F$1,'SALA 1974'!$B$1:$U$1,0)),IF($A28&lt;=1994,1000*INDEX('SALA 2002'!$B:$U,MATCH($A28,'SALA 2002'!$A:$A,0),MATCH(F$1,'SALA 2002'!$B$1:$U$1,0)),IF($A28&lt;=2000,1000*INDEX('SALA 2002'!$B:$U,MATCH($A28,'SALA 2002'!$A:$A,0),MATCH(F$1,'SALA 2002'!$B$1:$U$1,0))*POWER(INDEX('WPP 2024 середина года'!$B:$U,MATCH($A28,'WPP 2024 середина года'!$A:$A,0),MATCH(F$1,'WPP 2024 середина года'!$B$1:$U$1,0))/(1000*INDEX('SALA 2002'!$B:$U,MATCH($A28,'SALA 2002'!$A:$A,0),MATCH(F$1,'SALA 2002'!$B$1:$U$1,0))),($A28-1994)/7),INDEX('WPP 2024 середина года'!$B:$U,MATCH($A28,'WPP 2024 середина года'!$A:$A,0),MATCH(F$1,'WPP 2024 середина года'!$B$1:$U$1,0)))))</f>
        <v>6859</v>
      </c>
      <c r="G28" s="7">
        <f>IF($A28&lt;=1951,INDEX('SALA 1974'!$B:$U,MATCH($A28,'SALA 1974'!$A:$A,0),MATCH(G$1,'SALA 1974'!$B$1:$U$1,0)),IF($A28&lt;=1994,1000*INDEX('SALA 2002'!$B:$U,MATCH($A28,'SALA 2002'!$A:$A,0),MATCH(G$1,'SALA 2002'!$B$1:$U$1,0)),IF($A28&lt;=2000,1000*INDEX('SALA 2002'!$B:$U,MATCH($A28,'SALA 2002'!$A:$A,0),MATCH(G$1,'SALA 2002'!$B$1:$U$1,0))*POWER(INDEX('WPP 2024 середина года'!$B:$U,MATCH($A28,'WPP 2024 середина года'!$A:$A,0),MATCH(G$1,'WPP 2024 середина года'!$B$1:$U$1,0))/(1000*INDEX('SALA 2002'!$B:$U,MATCH($A28,'SALA 2002'!$A:$A,0),MATCH(G$1,'SALA 2002'!$B$1:$U$1,0))),($A28-1994)/7),INDEX('WPP 2024 середина года'!$B:$U,MATCH($A28,'WPP 2024 середина года'!$A:$A,0),MATCH(G$1,'WPP 2024 середина года'!$B$1:$U$1,0)))))</f>
        <v>466</v>
      </c>
      <c r="H28" s="7">
        <f>IF($A28&lt;=1951,INDEX('SALA 1974'!$B:$U,MATCH($A28,'SALA 1974'!$A:$A,0),MATCH(H$1,'SALA 1974'!$B$1:$U$1,0)),IF($A28&lt;=1994,1000*INDEX('SALA 2002'!$B:$U,MATCH($A28,'SALA 2002'!$A:$A,0),MATCH(H$1,'SALA 2002'!$B$1:$U$1,0)),IF($A28&lt;=2000,1000*INDEX('SALA 2002'!$B:$U,MATCH($A28,'SALA 2002'!$A:$A,0),MATCH(H$1,'SALA 2002'!$B$1:$U$1,0))*POWER(INDEX('WPP 2024 середина года'!$B:$U,MATCH($A28,'WPP 2024 середина года'!$A:$A,0),MATCH(H$1,'WPP 2024 середина года'!$B$1:$U$1,0))/(1000*INDEX('SALA 2002'!$B:$U,MATCH($A28,'SALA 2002'!$A:$A,0),MATCH(H$1,'SALA 2002'!$B$1:$U$1,0))),($A28-1994)/7),INDEX('WPP 2024 середина года'!$B:$U,MATCH($A28,'WPP 2024 середина года'!$A:$A,0),MATCH(H$1,'WPP 2024 середина года'!$B$1:$U$1,0)))))</f>
        <v>3519</v>
      </c>
      <c r="I28" s="7">
        <f>IF($A28&lt;=1951,INDEX('SALA 1974'!$B:$U,MATCH($A28,'SALA 1974'!$A:$A,0),MATCH(I$1,'SALA 1974'!$B$1:$U$1,0)),IF($A28&lt;=1994,1000*INDEX('SALA 2002'!$B:$U,MATCH($A28,'SALA 2002'!$A:$A,0),MATCH(I$1,'SALA 2002'!$B$1:$U$1,0)),IF($A28&lt;=2000,1000*INDEX('SALA 2002'!$B:$U,MATCH($A28,'SALA 2002'!$A:$A,0),MATCH(I$1,'SALA 2002'!$B$1:$U$1,0))*POWER(INDEX('WPP 2024 середина года'!$B:$U,MATCH($A28,'WPP 2024 середина года'!$A:$A,0),MATCH(I$1,'WPP 2024 середина года'!$B$1:$U$1,0))/(1000*INDEX('SALA 2002'!$B:$U,MATCH($A28,'SALA 2002'!$A:$A,0),MATCH(I$1,'SALA 2002'!$B$1:$U$1,0))),($A28-1994)/7),INDEX('WPP 2024 середина года'!$B:$U,MATCH($A28,'WPP 2024 середина года'!$A:$A,0),MATCH(I$1,'WPP 2024 середина года'!$B$1:$U$1,0)))))</f>
        <v>1092</v>
      </c>
      <c r="J28" s="7">
        <f>IF($A28&lt;=1951,INDEX('SALA 1974'!$B:$U,MATCH($A28,'SALA 1974'!$A:$A,0),MATCH(J$1,'SALA 1974'!$B$1:$U$1,0)),IF($A28&lt;=1994,1000*INDEX('SALA 2002'!$B:$U,MATCH($A28,'SALA 2002'!$A:$A,0),MATCH(J$1,'SALA 2002'!$B$1:$U$1,0)),IF($A28&lt;=2000,1000*INDEX('SALA 2002'!$B:$U,MATCH($A28,'SALA 2002'!$A:$A,0),MATCH(J$1,'SALA 2002'!$B$1:$U$1,0))*POWER(INDEX('WPP 2024 середина года'!$B:$U,MATCH($A28,'WPP 2024 середина года'!$A:$A,0),MATCH(J$1,'WPP 2024 середина года'!$B$1:$U$1,0))/(1000*INDEX('SALA 2002'!$B:$U,MATCH($A28,'SALA 2002'!$A:$A,0),MATCH(J$1,'SALA 2002'!$B$1:$U$1,0))),($A28-1994)/7),INDEX('WPP 2024 середина года'!$B:$U,MATCH($A28,'WPP 2024 середина года'!$A:$A,0),MATCH(J$1,'WPP 2024 середина года'!$B$1:$U$1,0)))))</f>
        <v>1762</v>
      </c>
      <c r="K28" s="7">
        <f>IF($A28&lt;=1951,INDEX('SALA 1974'!$B:$U,MATCH($A28,'SALA 1974'!$A:$A,0),MATCH(K$1,'SALA 1974'!$B$1:$U$1,0)),IF($A28&lt;=1994,1000*INDEX('SALA 2002'!$B:$U,MATCH($A28,'SALA 2002'!$A:$A,0),MATCH(K$1,'SALA 2002'!$B$1:$U$1,0)),IF($A28&lt;=2000,1000*INDEX('SALA 2002'!$B:$U,MATCH($A28,'SALA 2002'!$A:$A,0),MATCH(K$1,'SALA 2002'!$B$1:$U$1,0))*POWER(INDEX('WPP 2024 середина года'!$B:$U,MATCH($A28,'WPP 2024 середина года'!$A:$A,0),MATCH(K$1,'WPP 2024 середина года'!$B$1:$U$1,0))/(1000*INDEX('SALA 2002'!$B:$U,MATCH($A28,'SALA 2002'!$A:$A,0),MATCH(K$1,'SALA 2002'!$B$1:$U$1,0))),($A28-1994)/7),INDEX('WPP 2024 середина года'!$B:$U,MATCH($A28,'WPP 2024 середина года'!$A:$A,0),MATCH(K$1,'WPP 2024 середина года'!$B$1:$U$1,0)))))</f>
        <v>1325</v>
      </c>
      <c r="L28" s="7">
        <f>IF($A28&lt;=1951,INDEX('SALA 1974'!$B:$U,MATCH($A28,'SALA 1974'!$A:$A,0),MATCH(L$1,'SALA 1974'!$B$1:$U$1,0)),IF($A28&lt;=1994,1000*INDEX('SALA 2002'!$B:$U,MATCH($A28,'SALA 2002'!$A:$A,0),MATCH(L$1,'SALA 2002'!$B$1:$U$1,0)),IF($A28&lt;=2000,1000*INDEX('SALA 2002'!$B:$U,MATCH($A28,'SALA 2002'!$A:$A,0),MATCH(L$1,'SALA 2002'!$B$1:$U$1,0))*POWER(INDEX('WPP 2024 середина года'!$B:$U,MATCH($A28,'WPP 2024 середина года'!$A:$A,0),MATCH(L$1,'WPP 2024 середина года'!$B$1:$U$1,0))/(1000*INDEX('SALA 2002'!$B:$U,MATCH($A28,'SALA 2002'!$A:$A,0),MATCH(L$1,'SALA 2002'!$B$1:$U$1,0))),($A28-1994)/7),INDEX('WPP 2024 середина года'!$B:$U,MATCH($A28,'WPP 2024 середина года'!$A:$A,0),MATCH(L$1,'WPP 2024 середина года'!$B$1:$U$1,0)))))</f>
        <v>1557</v>
      </c>
      <c r="M28" s="7">
        <f>IF($A28&lt;=1951,INDEX('SALA 1974'!$B:$U,MATCH($A28,'SALA 1974'!$A:$A,0),MATCH(M$1,'SALA 1974'!$B$1:$U$1,0)),IF($A28&lt;=1994,1000*INDEX('SALA 2002'!$B:$U,MATCH($A28,'SALA 2002'!$A:$A,0),MATCH(M$1,'SALA 2002'!$B$1:$U$1,0)),IF($A28&lt;=2000,1000*INDEX('SALA 2002'!$B:$U,MATCH($A28,'SALA 2002'!$A:$A,0),MATCH(M$1,'SALA 2002'!$B$1:$U$1,0))*POWER(INDEX('WPP 2024 середина года'!$B:$U,MATCH($A28,'WPP 2024 середина года'!$A:$A,0),MATCH(M$1,'WPP 2024 середина года'!$B$1:$U$1,0))/(1000*INDEX('SALA 2002'!$B:$U,MATCH($A28,'SALA 2002'!$A:$A,0),MATCH(M$1,'SALA 2002'!$B$1:$U$1,0))),($A28-1994)/7),INDEX('WPP 2024 середина года'!$B:$U,MATCH($A28,'WPP 2024 середина года'!$A:$A,0),MATCH(M$1,'WPP 2024 середина года'!$B$1:$U$1,0)))))</f>
        <v>2292</v>
      </c>
      <c r="N28" s="7">
        <f>IF($A28&lt;=1951,INDEX('SALA 1974'!$B:$U,MATCH($A28,'SALA 1974'!$A:$A,0),MATCH(N$1,'SALA 1974'!$B$1:$U$1,0)),IF($A28&lt;=1994,1000*INDEX('SALA 2002'!$B:$U,MATCH($A28,'SALA 2002'!$A:$A,0),MATCH(N$1,'SALA 2002'!$B$1:$U$1,0)),IF($A28&lt;=2000,1000*INDEX('SALA 2002'!$B:$U,MATCH($A28,'SALA 2002'!$A:$A,0),MATCH(N$1,'SALA 2002'!$B$1:$U$1,0))*POWER(INDEX('WPP 2024 середина года'!$B:$U,MATCH($A28,'WPP 2024 середина года'!$A:$A,0),MATCH(N$1,'WPP 2024 середина года'!$B$1:$U$1,0))/(1000*INDEX('SALA 2002'!$B:$U,MATCH($A28,'SALA 2002'!$A:$A,0),MATCH(N$1,'SALA 2002'!$B$1:$U$1,0))),($A28-1994)/7),INDEX('WPP 2024 середина года'!$B:$U,MATCH($A28,'WPP 2024 середина года'!$A:$A,0),MATCH(N$1,'WPP 2024 середина года'!$B$1:$U$1,0)))))</f>
        <v>878</v>
      </c>
      <c r="O28" s="7">
        <f>IF($A28&lt;=1951,INDEX('SALA 1974'!$B:$U,MATCH($A28,'SALA 1974'!$A:$A,0),MATCH(O$1,'SALA 1974'!$B$1:$U$1,0)),IF($A28&lt;=1994,1000*INDEX('SALA 2002'!$B:$U,MATCH($A28,'SALA 2002'!$A:$A,0),MATCH(O$1,'SALA 2002'!$B$1:$U$1,0)),IF($A28&lt;=2000,1000*INDEX('SALA 2002'!$B:$U,MATCH($A28,'SALA 2002'!$A:$A,0),MATCH(O$1,'SALA 2002'!$B$1:$U$1,0))*POWER(INDEX('WPP 2024 середина года'!$B:$U,MATCH($A28,'WPP 2024 середина года'!$A:$A,0),MATCH(O$1,'WPP 2024 середина года'!$B$1:$U$1,0))/(1000*INDEX('SALA 2002'!$B:$U,MATCH($A28,'SALA 2002'!$A:$A,0),MATCH(O$1,'SALA 2002'!$B$1:$U$1,0))),($A28-1994)/7),INDEX('WPP 2024 середина года'!$B:$U,MATCH($A28,'WPP 2024 середина года'!$A:$A,0),MATCH(O$1,'WPP 2024 середина года'!$B$1:$U$1,0)))))</f>
        <v>15468</v>
      </c>
      <c r="P28" s="7">
        <f>IF($A28&lt;=1951,INDEX('SALA 1974'!$B:$U,MATCH($A28,'SALA 1974'!$A:$A,0),MATCH(P$1,'SALA 1974'!$B$1:$U$1,0)),IF($A28&lt;=1994,1000*INDEX('SALA 2002'!$B:$U,MATCH($A28,'SALA 2002'!$A:$A,0),MATCH(P$1,'SALA 2002'!$B$1:$U$1,0)),IF($A28&lt;=2000,1000*INDEX('SALA 2002'!$B:$U,MATCH($A28,'SALA 2002'!$A:$A,0),MATCH(P$1,'SALA 2002'!$B$1:$U$1,0))*POWER(INDEX('WPP 2024 середина года'!$B:$U,MATCH($A28,'WPP 2024 середина года'!$A:$A,0),MATCH(P$1,'WPP 2024 середина года'!$B$1:$U$1,0))/(1000*INDEX('SALA 2002'!$B:$U,MATCH($A28,'SALA 2002'!$A:$A,0),MATCH(P$1,'SALA 2002'!$B$1:$U$1,0))),($A28-1994)/7),INDEX('WPP 2024 середина года'!$B:$U,MATCH($A28,'WPP 2024 середина года'!$A:$A,0),MATCH(P$1,'WPP 2024 середина года'!$B$1:$U$1,0)))))</f>
        <v>665</v>
      </c>
      <c r="Q28" s="7">
        <f>IF($A28&lt;=1951,INDEX('SALA 1974'!$B:$U,MATCH($A28,'SALA 1974'!$A:$A,0),MATCH(Q$1,'SALA 1974'!$B$1:$U$1,0)),IF($A28&lt;=1994,1000*INDEX('SALA 2002'!$B:$U,MATCH($A28,'SALA 2002'!$A:$A,0),MATCH(Q$1,'SALA 2002'!$B$1:$U$1,0)),IF($A28&lt;=2000,1000*INDEX('SALA 2002'!$B:$U,MATCH($A28,'SALA 2002'!$A:$A,0),MATCH(Q$1,'SALA 2002'!$B$1:$U$1,0))*POWER(INDEX('WPP 2024 середина года'!$B:$U,MATCH($A28,'WPP 2024 середина года'!$A:$A,0),MATCH(Q$1,'WPP 2024 середина года'!$B$1:$U$1,0))/(1000*INDEX('SALA 2002'!$B:$U,MATCH($A28,'SALA 2002'!$A:$A,0),MATCH(Q$1,'SALA 2002'!$B$1:$U$1,0))),($A28-1994)/7),INDEX('WPP 2024 середина года'!$B:$U,MATCH($A28,'WPP 2024 середина года'!$A:$A,0),MATCH(Q$1,'WPP 2024 середина года'!$B$1:$U$1,0)))))</f>
        <v>459</v>
      </c>
      <c r="R28" s="7">
        <f>IF($A28&lt;=1951,INDEX('SALA 1974'!$B:$U,MATCH($A28,'SALA 1974'!$A:$A,0),MATCH(R$1,'SALA 1974'!$B$1:$U$1,0)),IF($A28&lt;=1994,1000*INDEX('SALA 2002'!$B:$U,MATCH($A28,'SALA 2002'!$A:$A,0),MATCH(R$1,'SALA 2002'!$B$1:$U$1,0)),IF($A28&lt;=2000,1000*INDEX('SALA 2002'!$B:$U,MATCH($A28,'SALA 2002'!$A:$A,0),MATCH(R$1,'SALA 2002'!$B$1:$U$1,0))*POWER(INDEX('WPP 2024 середина года'!$B:$U,MATCH($A28,'WPP 2024 середина года'!$A:$A,0),MATCH(R$1,'WPP 2024 середина года'!$B$1:$U$1,0))/(1000*INDEX('SALA 2002'!$B:$U,MATCH($A28,'SALA 2002'!$A:$A,0),MATCH(R$1,'SALA 2002'!$B$1:$U$1,0))),($A28-1994)/7),INDEX('WPP 2024 середина года'!$B:$U,MATCH($A28,'WPP 2024 середина года'!$A:$A,0),MATCH(R$1,'WPP 2024 середина года'!$B$1:$U$1,0)))))</f>
        <v>803</v>
      </c>
      <c r="S28" s="7">
        <f>IF($A28&lt;=1951,INDEX('SALA 1974'!$B:$U,MATCH($A28,'SALA 1974'!$A:$A,0),MATCH(S$1,'SALA 1974'!$B$1:$U$1,0)),IF($A28&lt;=1994,1000*INDEX('SALA 2002'!$B:$U,MATCH($A28,'SALA 2002'!$A:$A,0),MATCH(S$1,'SALA 2002'!$B$1:$U$1,0)),IF($A28&lt;=2000,1000*INDEX('SALA 2002'!$B:$U,MATCH($A28,'SALA 2002'!$A:$A,0),MATCH(S$1,'SALA 2002'!$B$1:$U$1,0))*POWER(INDEX('WPP 2024 середина года'!$B:$U,MATCH($A28,'WPP 2024 середина года'!$A:$A,0),MATCH(S$1,'WPP 2024 середина года'!$B$1:$U$1,0))/(1000*INDEX('SALA 2002'!$B:$U,MATCH($A28,'SALA 2002'!$A:$A,0),MATCH(S$1,'SALA 2002'!$B$1:$U$1,0))),($A28-1994)/7),INDEX('WPP 2024 середина года'!$B:$U,MATCH($A28,'WPP 2024 середина года'!$A:$A,0),MATCH(S$1,'WPP 2024 середина года'!$B$1:$U$1,0)))))</f>
        <v>5313</v>
      </c>
      <c r="T28" s="7">
        <f>IF($A28&lt;=1951,INDEX('SALA 1974'!$B:$U,MATCH($A28,'SALA 1974'!$A:$A,0),MATCH(T$1,'SALA 1974'!$B$1:$U$1,0)),IF($A28&lt;=1994,1000*INDEX('SALA 2002'!$B:$U,MATCH($A28,'SALA 2002'!$A:$A,0),MATCH(T$1,'SALA 2002'!$B$1:$U$1,0)),IF($A28&lt;=2000,1000*INDEX('SALA 2002'!$B:$U,MATCH($A28,'SALA 2002'!$A:$A,0),MATCH(T$1,'SALA 2002'!$B$1:$U$1,0))*POWER(INDEX('WPP 2024 середина года'!$B:$U,MATCH($A28,'WPP 2024 середина года'!$A:$A,0),MATCH(T$1,'WPP 2024 середина года'!$B$1:$U$1,0))/(1000*INDEX('SALA 2002'!$B:$U,MATCH($A28,'SALA 2002'!$A:$A,0),MATCH(T$1,'SALA 2002'!$B$1:$U$1,0))),($A28-1994)/7),INDEX('WPP 2024 середина года'!$B:$U,MATCH($A28,'WPP 2024 середина года'!$A:$A,0),MATCH(T$1,'WPP 2024 середина года'!$B$1:$U$1,0)))))</f>
        <v>1604</v>
      </c>
      <c r="U28" s="7">
        <f>IF($A28&lt;=1951,INDEX('SALA 1974'!$B:$U,MATCH($A28,'SALA 1974'!$A:$A,0),MATCH(U$1,'SALA 1974'!$B$1:$U$1,0)),IF($A28&lt;=1994,1000*INDEX('SALA 2002'!$B:$U,MATCH($A28,'SALA 2002'!$A:$A,0),MATCH(U$1,'SALA 2002'!$B$1:$U$1,0)),IF($A28&lt;=2000,1000*INDEX('SALA 2002'!$B:$U,MATCH($A28,'SALA 2002'!$A:$A,0),MATCH(U$1,'SALA 2002'!$B$1:$U$1,0))*POWER(INDEX('WPP 2024 середина года'!$B:$U,MATCH($A28,'WPP 2024 середина года'!$A:$A,0),MATCH(U$1,'WPP 2024 середина года'!$B$1:$U$1,0))/(1000*INDEX('SALA 2002'!$B:$U,MATCH($A28,'SALA 2002'!$A:$A,0),MATCH(U$1,'SALA 2002'!$B$1:$U$1,0))),($A28-1994)/7),INDEX('WPP 2024 середина года'!$B:$U,MATCH($A28,'WPP 2024 середина года'!$A:$A,0),MATCH(U$1,'WPP 2024 середина года'!$B$1:$U$1,0)))))</f>
        <v>2981</v>
      </c>
    </row>
    <row r="29" spans="1:21" x14ac:dyDescent="0.25">
      <c r="A29" s="5">
        <f t="shared" si="0"/>
        <v>1927</v>
      </c>
      <c r="B29" s="7">
        <f>IF($A29&lt;=1951,INDEX('SALA 1974'!$B:$U,MATCH($A29,'SALA 1974'!$A:$A,0),MATCH(B$1,'SALA 1974'!$B$1:$U$1,0)),IF($A29&lt;=1994,1000*INDEX('SALA 2002'!$B:$U,MATCH($A29,'SALA 2002'!$A:$A,0),MATCH(B$1,'SALA 2002'!$B$1:$U$1,0)),IF($A29&lt;=2000,1000*INDEX('SALA 2002'!$B:$U,MATCH($A29,'SALA 2002'!$A:$A,0),MATCH(B$1,'SALA 2002'!$B$1:$U$1,0))*POWER(INDEX('WPP 2024 середина года'!$B:$U,MATCH($A29,'WPP 2024 середина года'!$A:$A,0),MATCH(B$1,'WPP 2024 середина года'!$B$1:$U$1,0))/(1000*INDEX('SALA 2002'!$B:$U,MATCH($A29,'SALA 2002'!$A:$A,0),MATCH(B$1,'SALA 2002'!$B$1:$U$1,0))),($A29-1994)/7),INDEX('WPP 2024 середина года'!$B:$U,MATCH($A29,'WPP 2024 середина года'!$A:$A,0),MATCH(B$1,'WPP 2024 середина года'!$B$1:$U$1,0)))))</f>
        <v>11126</v>
      </c>
      <c r="C29" s="7">
        <f>IF($A29&lt;=1951,INDEX('SALA 1974'!$B:$U,MATCH($A29,'SALA 1974'!$A:$A,0),MATCH(C$1,'SALA 1974'!$B$1:$U$1,0)),IF($A29&lt;=1994,1000*INDEX('SALA 2002'!$B:$U,MATCH($A29,'SALA 2002'!$A:$A,0),MATCH(C$1,'SALA 2002'!$B$1:$U$1,0)),IF($A29&lt;=2000,1000*INDEX('SALA 2002'!$B:$U,MATCH($A29,'SALA 2002'!$A:$A,0),MATCH(C$1,'SALA 2002'!$B$1:$U$1,0))*POWER(INDEX('WPP 2024 середина года'!$B:$U,MATCH($A29,'WPP 2024 середина года'!$A:$A,0),MATCH(C$1,'WPP 2024 середина года'!$B$1:$U$1,0))/(1000*INDEX('SALA 2002'!$B:$U,MATCH($A29,'SALA 2002'!$A:$A,0),MATCH(C$1,'SALA 2002'!$B$1:$U$1,0))),($A29-1994)/7),INDEX('WPP 2024 середина года'!$B:$U,MATCH($A29,'WPP 2024 середина года'!$A:$A,0),MATCH(C$1,'WPP 2024 середина года'!$B$1:$U$1,0)))))</f>
        <v>2316</v>
      </c>
      <c r="D29" s="7">
        <f>IF($A29&lt;=1951,INDEX('SALA 1974'!$B:$U,MATCH($A29,'SALA 1974'!$A:$A,0),MATCH(D$1,'SALA 1974'!$B$1:$U$1,0)),IF($A29&lt;=1994,1000*INDEX('SALA 2002'!$B:$U,MATCH($A29,'SALA 2002'!$A:$A,0),MATCH(D$1,'SALA 2002'!$B$1:$U$1,0)),IF($A29&lt;=2000,1000*INDEX('SALA 2002'!$B:$U,MATCH($A29,'SALA 2002'!$A:$A,0),MATCH(D$1,'SALA 2002'!$B$1:$U$1,0))*POWER(INDEX('WPP 2024 середина года'!$B:$U,MATCH($A29,'WPP 2024 середина года'!$A:$A,0),MATCH(D$1,'WPP 2024 середина года'!$B$1:$U$1,0))/(1000*INDEX('SALA 2002'!$B:$U,MATCH($A29,'SALA 2002'!$A:$A,0),MATCH(D$1,'SALA 2002'!$B$1:$U$1,0))),($A29-1994)/7),INDEX('WPP 2024 середина года'!$B:$U,MATCH($A29,'WPP 2024 середина года'!$A:$A,0),MATCH(D$1,'WPP 2024 середина года'!$B$1:$U$1,0)))))</f>
        <v>31587</v>
      </c>
      <c r="E29" s="7">
        <f>IF($A29&lt;=1951,INDEX('SALA 1974'!$B:$U,MATCH($A29,'SALA 1974'!$A:$A,0),MATCH(E$1,'SALA 1974'!$B$1:$U$1,0)),IF($A29&lt;=1994,1000*INDEX('SALA 2002'!$B:$U,MATCH($A29,'SALA 2002'!$A:$A,0),MATCH(E$1,'SALA 2002'!$B$1:$U$1,0)),IF($A29&lt;=2000,1000*INDEX('SALA 2002'!$B:$U,MATCH($A29,'SALA 2002'!$A:$A,0),MATCH(E$1,'SALA 2002'!$B$1:$U$1,0))*POWER(INDEX('WPP 2024 середина года'!$B:$U,MATCH($A29,'WPP 2024 середина года'!$A:$A,0),MATCH(E$1,'WPP 2024 середина года'!$B$1:$U$1,0))/(1000*INDEX('SALA 2002'!$B:$U,MATCH($A29,'SALA 2002'!$A:$A,0),MATCH(E$1,'SALA 2002'!$B$1:$U$1,0))),($A29-1994)/7),INDEX('WPP 2024 середина года'!$B:$U,MATCH($A29,'WPP 2024 середина года'!$A:$A,0),MATCH(E$1,'WPP 2024 середина года'!$B$1:$U$1,0)))))</f>
        <v>4188</v>
      </c>
      <c r="F29" s="7">
        <f>IF($A29&lt;=1947,INDEX('SALA 1974'!$B:$U,MATCH($A29,'SALA 1974'!$A:$A,0),MATCH(F$1,'SALA 1974'!$B$1:$U$1,0)),IF($A29&lt;=1994,1000*INDEX('SALA 2002'!$B:$U,MATCH($A29,'SALA 2002'!$A:$A,0),MATCH(F$1,'SALA 2002'!$B$1:$U$1,0)),IF($A29&lt;=2000,1000*INDEX('SALA 2002'!$B:$U,MATCH($A29,'SALA 2002'!$A:$A,0),MATCH(F$1,'SALA 2002'!$B$1:$U$1,0))*POWER(INDEX('WPP 2024 середина года'!$B:$U,MATCH($A29,'WPP 2024 середина года'!$A:$A,0),MATCH(F$1,'WPP 2024 середина года'!$B$1:$U$1,0))/(1000*INDEX('SALA 2002'!$B:$U,MATCH($A29,'SALA 2002'!$A:$A,0),MATCH(F$1,'SALA 2002'!$B$1:$U$1,0))),($A29-1994)/7),INDEX('WPP 2024 середина года'!$B:$U,MATCH($A29,'WPP 2024 середина года'!$A:$A,0),MATCH(F$1,'WPP 2024 середина года'!$B$1:$U$1,0)))))</f>
        <v>6996</v>
      </c>
      <c r="G29" s="7">
        <f>IF($A29&lt;=1951,INDEX('SALA 1974'!$B:$U,MATCH($A29,'SALA 1974'!$A:$A,0),MATCH(G$1,'SALA 1974'!$B$1:$U$1,0)),IF($A29&lt;=1994,1000*INDEX('SALA 2002'!$B:$U,MATCH($A29,'SALA 2002'!$A:$A,0),MATCH(G$1,'SALA 2002'!$B$1:$U$1,0)),IF($A29&lt;=2000,1000*INDEX('SALA 2002'!$B:$U,MATCH($A29,'SALA 2002'!$A:$A,0),MATCH(G$1,'SALA 2002'!$B$1:$U$1,0))*POWER(INDEX('WPP 2024 середина года'!$B:$U,MATCH($A29,'WPP 2024 середина года'!$A:$A,0),MATCH(G$1,'WPP 2024 середина года'!$B$1:$U$1,0))/(1000*INDEX('SALA 2002'!$B:$U,MATCH($A29,'SALA 2002'!$A:$A,0),MATCH(G$1,'SALA 2002'!$B$1:$U$1,0))),($A29-1994)/7),INDEX('WPP 2024 середина года'!$B:$U,MATCH($A29,'WPP 2024 середина года'!$A:$A,0),MATCH(G$1,'WPP 2024 середина года'!$B$1:$U$1,0)))))</f>
        <v>472</v>
      </c>
      <c r="H29" s="7">
        <f>IF($A29&lt;=1951,INDEX('SALA 1974'!$B:$U,MATCH($A29,'SALA 1974'!$A:$A,0),MATCH(H$1,'SALA 1974'!$B$1:$U$1,0)),IF($A29&lt;=1994,1000*INDEX('SALA 2002'!$B:$U,MATCH($A29,'SALA 2002'!$A:$A,0),MATCH(H$1,'SALA 2002'!$B$1:$U$1,0)),IF($A29&lt;=2000,1000*INDEX('SALA 2002'!$B:$U,MATCH($A29,'SALA 2002'!$A:$A,0),MATCH(H$1,'SALA 2002'!$B$1:$U$1,0))*POWER(INDEX('WPP 2024 середина года'!$B:$U,MATCH($A29,'WPP 2024 середина года'!$A:$A,0),MATCH(H$1,'WPP 2024 середина года'!$B$1:$U$1,0))/(1000*INDEX('SALA 2002'!$B:$U,MATCH($A29,'SALA 2002'!$A:$A,0),MATCH(H$1,'SALA 2002'!$B$1:$U$1,0))),($A29-1994)/7),INDEX('WPP 2024 середина года'!$B:$U,MATCH($A29,'WPP 2024 середина года'!$A:$A,0),MATCH(H$1,'WPP 2024 середина года'!$B$1:$U$1,0)))))</f>
        <v>3606</v>
      </c>
      <c r="I29" s="7">
        <f>IF($A29&lt;=1951,INDEX('SALA 1974'!$B:$U,MATCH($A29,'SALA 1974'!$A:$A,0),MATCH(I$1,'SALA 1974'!$B$1:$U$1,0)),IF($A29&lt;=1994,1000*INDEX('SALA 2002'!$B:$U,MATCH($A29,'SALA 2002'!$A:$A,0),MATCH(I$1,'SALA 2002'!$B$1:$U$1,0)),IF($A29&lt;=2000,1000*INDEX('SALA 2002'!$B:$U,MATCH($A29,'SALA 2002'!$A:$A,0),MATCH(I$1,'SALA 2002'!$B$1:$U$1,0))*POWER(INDEX('WPP 2024 середина года'!$B:$U,MATCH($A29,'WPP 2024 середина года'!$A:$A,0),MATCH(I$1,'WPP 2024 середина года'!$B$1:$U$1,0))/(1000*INDEX('SALA 2002'!$B:$U,MATCH($A29,'SALA 2002'!$A:$A,0),MATCH(I$1,'SALA 2002'!$B$1:$U$1,0))),($A29-1994)/7),INDEX('WPP 2024 середина года'!$B:$U,MATCH($A29,'WPP 2024 середина года'!$A:$A,0),MATCH(I$1,'WPP 2024 середина года'!$B$1:$U$1,0)))))</f>
        <v>1131</v>
      </c>
      <c r="J29" s="7">
        <f>IF($A29&lt;=1951,INDEX('SALA 1974'!$B:$U,MATCH($A29,'SALA 1974'!$A:$A,0),MATCH(J$1,'SALA 1974'!$B$1:$U$1,0)),IF($A29&lt;=1994,1000*INDEX('SALA 2002'!$B:$U,MATCH($A29,'SALA 2002'!$A:$A,0),MATCH(J$1,'SALA 2002'!$B$1:$U$1,0)),IF($A29&lt;=2000,1000*INDEX('SALA 2002'!$B:$U,MATCH($A29,'SALA 2002'!$A:$A,0),MATCH(J$1,'SALA 2002'!$B$1:$U$1,0))*POWER(INDEX('WPP 2024 середина года'!$B:$U,MATCH($A29,'WPP 2024 середина года'!$A:$A,0),MATCH(J$1,'WPP 2024 середина года'!$B$1:$U$1,0))/(1000*INDEX('SALA 2002'!$B:$U,MATCH($A29,'SALA 2002'!$A:$A,0),MATCH(J$1,'SALA 2002'!$B$1:$U$1,0))),($A29-1994)/7),INDEX('WPP 2024 середина года'!$B:$U,MATCH($A29,'WPP 2024 середина года'!$A:$A,0),MATCH(J$1,'WPP 2024 середина года'!$B$1:$U$1,0)))))</f>
        <v>1800</v>
      </c>
      <c r="K29" s="7">
        <f>IF($A29&lt;=1951,INDEX('SALA 1974'!$B:$U,MATCH($A29,'SALA 1974'!$A:$A,0),MATCH(K$1,'SALA 1974'!$B$1:$U$1,0)),IF($A29&lt;=1994,1000*INDEX('SALA 2002'!$B:$U,MATCH($A29,'SALA 2002'!$A:$A,0),MATCH(K$1,'SALA 2002'!$B$1:$U$1,0)),IF($A29&lt;=2000,1000*INDEX('SALA 2002'!$B:$U,MATCH($A29,'SALA 2002'!$A:$A,0),MATCH(K$1,'SALA 2002'!$B$1:$U$1,0))*POWER(INDEX('WPP 2024 середина года'!$B:$U,MATCH($A29,'WPP 2024 середина года'!$A:$A,0),MATCH(K$1,'WPP 2024 середина года'!$B$1:$U$1,0))/(1000*INDEX('SALA 2002'!$B:$U,MATCH($A29,'SALA 2002'!$A:$A,0),MATCH(K$1,'SALA 2002'!$B$1:$U$1,0))),($A29-1994)/7),INDEX('WPP 2024 середина года'!$B:$U,MATCH($A29,'WPP 2024 середина года'!$A:$A,0),MATCH(K$1,'WPP 2024 середина года'!$B$1:$U$1,0)))))</f>
        <v>1351</v>
      </c>
      <c r="L29" s="7">
        <f>IF($A29&lt;=1951,INDEX('SALA 1974'!$B:$U,MATCH($A29,'SALA 1974'!$A:$A,0),MATCH(L$1,'SALA 1974'!$B$1:$U$1,0)),IF($A29&lt;=1994,1000*INDEX('SALA 2002'!$B:$U,MATCH($A29,'SALA 2002'!$A:$A,0),MATCH(L$1,'SALA 2002'!$B$1:$U$1,0)),IF($A29&lt;=2000,1000*INDEX('SALA 2002'!$B:$U,MATCH($A29,'SALA 2002'!$A:$A,0),MATCH(L$1,'SALA 2002'!$B$1:$U$1,0))*POWER(INDEX('WPP 2024 середина года'!$B:$U,MATCH($A29,'WPP 2024 середина года'!$A:$A,0),MATCH(L$1,'WPP 2024 середина года'!$B$1:$U$1,0))/(1000*INDEX('SALA 2002'!$B:$U,MATCH($A29,'SALA 2002'!$A:$A,0),MATCH(L$1,'SALA 2002'!$B$1:$U$1,0))),($A29-1994)/7),INDEX('WPP 2024 середина года'!$B:$U,MATCH($A29,'WPP 2024 середина года'!$A:$A,0),MATCH(L$1,'WPP 2024 середина года'!$B$1:$U$1,0)))))</f>
        <v>1602</v>
      </c>
      <c r="M29" s="7">
        <f>IF($A29&lt;=1951,INDEX('SALA 1974'!$B:$U,MATCH($A29,'SALA 1974'!$A:$A,0),MATCH(M$1,'SALA 1974'!$B$1:$U$1,0)),IF($A29&lt;=1994,1000*INDEX('SALA 2002'!$B:$U,MATCH($A29,'SALA 2002'!$A:$A,0),MATCH(M$1,'SALA 2002'!$B$1:$U$1,0)),IF($A29&lt;=2000,1000*INDEX('SALA 2002'!$B:$U,MATCH($A29,'SALA 2002'!$A:$A,0),MATCH(M$1,'SALA 2002'!$B$1:$U$1,0))*POWER(INDEX('WPP 2024 середина года'!$B:$U,MATCH($A29,'WPP 2024 середина года'!$A:$A,0),MATCH(M$1,'WPP 2024 середина года'!$B$1:$U$1,0))/(1000*INDEX('SALA 2002'!$B:$U,MATCH($A29,'SALA 2002'!$A:$A,0),MATCH(M$1,'SALA 2002'!$B$1:$U$1,0))),($A29-1994)/7),INDEX('WPP 2024 середина года'!$B:$U,MATCH($A29,'WPP 2024 середина года'!$A:$A,0),MATCH(M$1,'WPP 2024 середина года'!$B$1:$U$1,0)))))</f>
        <v>2325</v>
      </c>
      <c r="N29" s="7">
        <f>IF($A29&lt;=1951,INDEX('SALA 1974'!$B:$U,MATCH($A29,'SALA 1974'!$A:$A,0),MATCH(N$1,'SALA 1974'!$B$1:$U$1,0)),IF($A29&lt;=1994,1000*INDEX('SALA 2002'!$B:$U,MATCH($A29,'SALA 2002'!$A:$A,0),MATCH(N$1,'SALA 2002'!$B$1:$U$1,0)),IF($A29&lt;=2000,1000*INDEX('SALA 2002'!$B:$U,MATCH($A29,'SALA 2002'!$A:$A,0),MATCH(N$1,'SALA 2002'!$B$1:$U$1,0))*POWER(INDEX('WPP 2024 середина года'!$B:$U,MATCH($A29,'WPP 2024 середина года'!$A:$A,0),MATCH(N$1,'WPP 2024 середина года'!$B$1:$U$1,0))/(1000*INDEX('SALA 2002'!$B:$U,MATCH($A29,'SALA 2002'!$A:$A,0),MATCH(N$1,'SALA 2002'!$B$1:$U$1,0))),($A29-1994)/7),INDEX('WPP 2024 середина года'!$B:$U,MATCH($A29,'WPP 2024 середина года'!$A:$A,0),MATCH(N$1,'WPP 2024 середина года'!$B$1:$U$1,0)))))</f>
        <v>893</v>
      </c>
      <c r="O29" s="7">
        <f>IF($A29&lt;=1951,INDEX('SALA 1974'!$B:$U,MATCH($A29,'SALA 1974'!$A:$A,0),MATCH(O$1,'SALA 1974'!$B$1:$U$1,0)),IF($A29&lt;=1994,1000*INDEX('SALA 2002'!$B:$U,MATCH($A29,'SALA 2002'!$A:$A,0),MATCH(O$1,'SALA 2002'!$B$1:$U$1,0)),IF($A29&lt;=2000,1000*INDEX('SALA 2002'!$B:$U,MATCH($A29,'SALA 2002'!$A:$A,0),MATCH(O$1,'SALA 2002'!$B$1:$U$1,0))*POWER(INDEX('WPP 2024 середина года'!$B:$U,MATCH($A29,'WPP 2024 середина года'!$A:$A,0),MATCH(O$1,'WPP 2024 середина года'!$B$1:$U$1,0))/(1000*INDEX('SALA 2002'!$B:$U,MATCH($A29,'SALA 2002'!$A:$A,0),MATCH(O$1,'SALA 2002'!$B$1:$U$1,0))),($A29-1994)/7),INDEX('WPP 2024 середина года'!$B:$U,MATCH($A29,'WPP 2024 середина года'!$A:$A,0),MATCH(O$1,'WPP 2024 середина года'!$B$1:$U$1,0)))))</f>
        <v>15738</v>
      </c>
      <c r="P29" s="7">
        <f>IF($A29&lt;=1951,INDEX('SALA 1974'!$B:$U,MATCH($A29,'SALA 1974'!$A:$A,0),MATCH(P$1,'SALA 1974'!$B$1:$U$1,0)),IF($A29&lt;=1994,1000*INDEX('SALA 2002'!$B:$U,MATCH($A29,'SALA 2002'!$A:$A,0),MATCH(P$1,'SALA 2002'!$B$1:$U$1,0)),IF($A29&lt;=2000,1000*INDEX('SALA 2002'!$B:$U,MATCH($A29,'SALA 2002'!$A:$A,0),MATCH(P$1,'SALA 2002'!$B$1:$U$1,0))*POWER(INDEX('WPP 2024 середина года'!$B:$U,MATCH($A29,'WPP 2024 середина года'!$A:$A,0),MATCH(P$1,'WPP 2024 середина года'!$B$1:$U$1,0))/(1000*INDEX('SALA 2002'!$B:$U,MATCH($A29,'SALA 2002'!$A:$A,0),MATCH(P$1,'SALA 2002'!$B$1:$U$1,0))),($A29-1994)/7),INDEX('WPP 2024 середина года'!$B:$U,MATCH($A29,'WPP 2024 середина года'!$A:$A,0),MATCH(P$1,'WPP 2024 середина года'!$B$1:$U$1,0)))))</f>
        <v>670</v>
      </c>
      <c r="Q29" s="7">
        <f>IF($A29&lt;=1951,INDEX('SALA 1974'!$B:$U,MATCH($A29,'SALA 1974'!$A:$A,0),MATCH(Q$1,'SALA 1974'!$B$1:$U$1,0)),IF($A29&lt;=1994,1000*INDEX('SALA 2002'!$B:$U,MATCH($A29,'SALA 2002'!$A:$A,0),MATCH(Q$1,'SALA 2002'!$B$1:$U$1,0)),IF($A29&lt;=2000,1000*INDEX('SALA 2002'!$B:$U,MATCH($A29,'SALA 2002'!$A:$A,0),MATCH(Q$1,'SALA 2002'!$B$1:$U$1,0))*POWER(INDEX('WPP 2024 середина года'!$B:$U,MATCH($A29,'WPP 2024 середина года'!$A:$A,0),MATCH(Q$1,'WPP 2024 середина года'!$B$1:$U$1,0))/(1000*INDEX('SALA 2002'!$B:$U,MATCH($A29,'SALA 2002'!$A:$A,0),MATCH(Q$1,'SALA 2002'!$B$1:$U$1,0))),($A29-1994)/7),INDEX('WPP 2024 середина года'!$B:$U,MATCH($A29,'WPP 2024 середина года'!$A:$A,0),MATCH(Q$1,'WPP 2024 середина года'!$B$1:$U$1,0)))))</f>
        <v>462</v>
      </c>
      <c r="R29" s="7">
        <f>IF($A29&lt;=1951,INDEX('SALA 1974'!$B:$U,MATCH($A29,'SALA 1974'!$A:$A,0),MATCH(R$1,'SALA 1974'!$B$1:$U$1,0)),IF($A29&lt;=1994,1000*INDEX('SALA 2002'!$B:$U,MATCH($A29,'SALA 2002'!$A:$A,0),MATCH(R$1,'SALA 2002'!$B$1:$U$1,0)),IF($A29&lt;=2000,1000*INDEX('SALA 2002'!$B:$U,MATCH($A29,'SALA 2002'!$A:$A,0),MATCH(R$1,'SALA 2002'!$B$1:$U$1,0))*POWER(INDEX('WPP 2024 середина года'!$B:$U,MATCH($A29,'WPP 2024 середина года'!$A:$A,0),MATCH(R$1,'WPP 2024 середина года'!$B$1:$U$1,0))/(1000*INDEX('SALA 2002'!$B:$U,MATCH($A29,'SALA 2002'!$A:$A,0),MATCH(R$1,'SALA 2002'!$B$1:$U$1,0))),($A29-1994)/7),INDEX('WPP 2024 середина года'!$B:$U,MATCH($A29,'WPP 2024 середина года'!$A:$A,0),MATCH(R$1,'WPP 2024 середина года'!$B$1:$U$1,0)))))</f>
        <v>822</v>
      </c>
      <c r="S29" s="7">
        <f>IF($A29&lt;=1951,INDEX('SALA 1974'!$B:$U,MATCH($A29,'SALA 1974'!$A:$A,0),MATCH(S$1,'SALA 1974'!$B$1:$U$1,0)),IF($A29&lt;=1994,1000*INDEX('SALA 2002'!$B:$U,MATCH($A29,'SALA 2002'!$A:$A,0),MATCH(S$1,'SALA 2002'!$B$1:$U$1,0)),IF($A29&lt;=2000,1000*INDEX('SALA 2002'!$B:$U,MATCH($A29,'SALA 2002'!$A:$A,0),MATCH(S$1,'SALA 2002'!$B$1:$U$1,0))*POWER(INDEX('WPP 2024 середина года'!$B:$U,MATCH($A29,'WPP 2024 середина года'!$A:$A,0),MATCH(S$1,'WPP 2024 середина года'!$B$1:$U$1,0))/(1000*INDEX('SALA 2002'!$B:$U,MATCH($A29,'SALA 2002'!$A:$A,0),MATCH(S$1,'SALA 2002'!$B$1:$U$1,0))),($A29-1994)/7),INDEX('WPP 2024 середина года'!$B:$U,MATCH($A29,'WPP 2024 середина года'!$A:$A,0),MATCH(S$1,'WPP 2024 середина года'!$B$1:$U$1,0)))))</f>
        <v>5399</v>
      </c>
      <c r="T29" s="7">
        <f>IF($A29&lt;=1951,INDEX('SALA 1974'!$B:$U,MATCH($A29,'SALA 1974'!$A:$A,0),MATCH(T$1,'SALA 1974'!$B$1:$U$1,0)),IF($A29&lt;=1994,1000*INDEX('SALA 2002'!$B:$U,MATCH($A29,'SALA 2002'!$A:$A,0),MATCH(T$1,'SALA 2002'!$B$1:$U$1,0)),IF($A29&lt;=2000,1000*INDEX('SALA 2002'!$B:$U,MATCH($A29,'SALA 2002'!$A:$A,0),MATCH(T$1,'SALA 2002'!$B$1:$U$1,0))*POWER(INDEX('WPP 2024 середина года'!$B:$U,MATCH($A29,'WPP 2024 середина года'!$A:$A,0),MATCH(T$1,'WPP 2024 середина года'!$B$1:$U$1,0))/(1000*INDEX('SALA 2002'!$B:$U,MATCH($A29,'SALA 2002'!$A:$A,0),MATCH(T$1,'SALA 2002'!$B$1:$U$1,0))),($A29-1994)/7),INDEX('WPP 2024 середина года'!$B:$U,MATCH($A29,'WPP 2024 середина года'!$A:$A,0),MATCH(T$1,'WPP 2024 середина года'!$B$1:$U$1,0)))))</f>
        <v>1636</v>
      </c>
      <c r="U29" s="7">
        <f>IF($A29&lt;=1951,INDEX('SALA 1974'!$B:$U,MATCH($A29,'SALA 1974'!$A:$A,0),MATCH(U$1,'SALA 1974'!$B$1:$U$1,0)),IF($A29&lt;=1994,1000*INDEX('SALA 2002'!$B:$U,MATCH($A29,'SALA 2002'!$A:$A,0),MATCH(U$1,'SALA 2002'!$B$1:$U$1,0)),IF($A29&lt;=2000,1000*INDEX('SALA 2002'!$B:$U,MATCH($A29,'SALA 2002'!$A:$A,0),MATCH(U$1,'SALA 2002'!$B$1:$U$1,0))*POWER(INDEX('WPP 2024 середина года'!$B:$U,MATCH($A29,'WPP 2024 середина года'!$A:$A,0),MATCH(U$1,'WPP 2024 середина года'!$B$1:$U$1,0))/(1000*INDEX('SALA 2002'!$B:$U,MATCH($A29,'SALA 2002'!$A:$A,0),MATCH(U$1,'SALA 2002'!$B$1:$U$1,0))),($A29-1994)/7),INDEX('WPP 2024 середина года'!$B:$U,MATCH($A29,'WPP 2024 середина года'!$A:$A,0),MATCH(U$1,'WPP 2024 середина года'!$B$1:$U$1,0)))))</f>
        <v>3012</v>
      </c>
    </row>
    <row r="30" spans="1:21" x14ac:dyDescent="0.25">
      <c r="A30" s="5">
        <f t="shared" si="0"/>
        <v>1928</v>
      </c>
      <c r="B30" s="7">
        <f>IF($A30&lt;=1951,INDEX('SALA 1974'!$B:$U,MATCH($A30,'SALA 1974'!$A:$A,0),MATCH(B$1,'SALA 1974'!$B$1:$U$1,0)),IF($A30&lt;=1994,1000*INDEX('SALA 2002'!$B:$U,MATCH($A30,'SALA 2002'!$A:$A,0),MATCH(B$1,'SALA 2002'!$B$1:$U$1,0)),IF($A30&lt;=2000,1000*INDEX('SALA 2002'!$B:$U,MATCH($A30,'SALA 2002'!$A:$A,0),MATCH(B$1,'SALA 2002'!$B$1:$U$1,0))*POWER(INDEX('WPP 2024 середина года'!$B:$U,MATCH($A30,'WPP 2024 середина года'!$A:$A,0),MATCH(B$1,'WPP 2024 середина года'!$B$1:$U$1,0))/(1000*INDEX('SALA 2002'!$B:$U,MATCH($A30,'SALA 2002'!$A:$A,0),MATCH(B$1,'SALA 2002'!$B$1:$U$1,0))),($A30-1994)/7),INDEX('WPP 2024 середина года'!$B:$U,MATCH($A30,'WPP 2024 середина года'!$A:$A,0),MATCH(B$1,'WPP 2024 середина года'!$B$1:$U$1,0)))))</f>
        <v>11438</v>
      </c>
      <c r="C30" s="7">
        <f>IF($A30&lt;=1951,INDEX('SALA 1974'!$B:$U,MATCH($A30,'SALA 1974'!$A:$A,0),MATCH(C$1,'SALA 1974'!$B$1:$U$1,0)),IF($A30&lt;=1994,1000*INDEX('SALA 2002'!$B:$U,MATCH($A30,'SALA 2002'!$A:$A,0),MATCH(C$1,'SALA 2002'!$B$1:$U$1,0)),IF($A30&lt;=2000,1000*INDEX('SALA 2002'!$B:$U,MATCH($A30,'SALA 2002'!$A:$A,0),MATCH(C$1,'SALA 2002'!$B$1:$U$1,0))*POWER(INDEX('WPP 2024 середина года'!$B:$U,MATCH($A30,'WPP 2024 середина года'!$A:$A,0),MATCH(C$1,'WPP 2024 середина года'!$B$1:$U$1,0))/(1000*INDEX('SALA 2002'!$B:$U,MATCH($A30,'SALA 2002'!$A:$A,0),MATCH(C$1,'SALA 2002'!$B$1:$U$1,0))),($A30-1994)/7),INDEX('WPP 2024 середина года'!$B:$U,MATCH($A30,'WPP 2024 середина года'!$A:$A,0),MATCH(C$1,'WPP 2024 середина года'!$B$1:$U$1,0)))))</f>
        <v>2343</v>
      </c>
      <c r="D30" s="7">
        <f>IF($A30&lt;=1951,INDEX('SALA 1974'!$B:$U,MATCH($A30,'SALA 1974'!$A:$A,0),MATCH(D$1,'SALA 1974'!$B$1:$U$1,0)),IF($A30&lt;=1994,1000*INDEX('SALA 2002'!$B:$U,MATCH($A30,'SALA 2002'!$A:$A,0),MATCH(D$1,'SALA 2002'!$B$1:$U$1,0)),IF($A30&lt;=2000,1000*INDEX('SALA 2002'!$B:$U,MATCH($A30,'SALA 2002'!$A:$A,0),MATCH(D$1,'SALA 2002'!$B$1:$U$1,0))*POWER(INDEX('WPP 2024 середина года'!$B:$U,MATCH($A30,'WPP 2024 середина года'!$A:$A,0),MATCH(D$1,'WPP 2024 середина года'!$B$1:$U$1,0))/(1000*INDEX('SALA 2002'!$B:$U,MATCH($A30,'SALA 2002'!$A:$A,0),MATCH(D$1,'SALA 2002'!$B$1:$U$1,0))),($A30-1994)/7),INDEX('WPP 2024 середина года'!$B:$U,MATCH($A30,'WPP 2024 середина года'!$A:$A,0),MATCH(D$1,'WPP 2024 середина года'!$B$1:$U$1,0)))))</f>
        <v>32234</v>
      </c>
      <c r="E30" s="7">
        <f>IF($A30&lt;=1951,INDEX('SALA 1974'!$B:$U,MATCH($A30,'SALA 1974'!$A:$A,0),MATCH(E$1,'SALA 1974'!$B$1:$U$1,0)),IF($A30&lt;=1994,1000*INDEX('SALA 2002'!$B:$U,MATCH($A30,'SALA 2002'!$A:$A,0),MATCH(E$1,'SALA 2002'!$B$1:$U$1,0)),IF($A30&lt;=2000,1000*INDEX('SALA 2002'!$B:$U,MATCH($A30,'SALA 2002'!$A:$A,0),MATCH(E$1,'SALA 2002'!$B$1:$U$1,0))*POWER(INDEX('WPP 2024 середина года'!$B:$U,MATCH($A30,'WPP 2024 середина года'!$A:$A,0),MATCH(E$1,'WPP 2024 середина года'!$B$1:$U$1,0))/(1000*INDEX('SALA 2002'!$B:$U,MATCH($A30,'SALA 2002'!$A:$A,0),MATCH(E$1,'SALA 2002'!$B$1:$U$1,0))),($A30-1994)/7),INDEX('WPP 2024 середина года'!$B:$U,MATCH($A30,'WPP 2024 середина года'!$A:$A,0),MATCH(E$1,'WPP 2024 середина года'!$B$1:$U$1,0)))))</f>
        <v>4246</v>
      </c>
      <c r="F30" s="7">
        <f>IF($A30&lt;=1947,INDEX('SALA 1974'!$B:$U,MATCH($A30,'SALA 1974'!$A:$A,0),MATCH(F$1,'SALA 1974'!$B$1:$U$1,0)),IF($A30&lt;=1994,1000*INDEX('SALA 2002'!$B:$U,MATCH($A30,'SALA 2002'!$A:$A,0),MATCH(F$1,'SALA 2002'!$B$1:$U$1,0)),IF($A30&lt;=2000,1000*INDEX('SALA 2002'!$B:$U,MATCH($A30,'SALA 2002'!$A:$A,0),MATCH(F$1,'SALA 2002'!$B$1:$U$1,0))*POWER(INDEX('WPP 2024 середина года'!$B:$U,MATCH($A30,'WPP 2024 середина года'!$A:$A,0),MATCH(F$1,'WPP 2024 середина года'!$B$1:$U$1,0))/(1000*INDEX('SALA 2002'!$B:$U,MATCH($A30,'SALA 2002'!$A:$A,0),MATCH(F$1,'SALA 2002'!$B$1:$U$1,0))),($A30-1994)/7),INDEX('WPP 2024 середина года'!$B:$U,MATCH($A30,'WPP 2024 середина года'!$A:$A,0),MATCH(F$1,'WPP 2024 середина года'!$B$1:$U$1,0)))))</f>
        <v>7136</v>
      </c>
      <c r="G30" s="7">
        <f>IF($A30&lt;=1951,INDEX('SALA 1974'!$B:$U,MATCH($A30,'SALA 1974'!$A:$A,0),MATCH(G$1,'SALA 1974'!$B$1:$U$1,0)),IF($A30&lt;=1994,1000*INDEX('SALA 2002'!$B:$U,MATCH($A30,'SALA 2002'!$A:$A,0),MATCH(G$1,'SALA 2002'!$B$1:$U$1,0)),IF($A30&lt;=2000,1000*INDEX('SALA 2002'!$B:$U,MATCH($A30,'SALA 2002'!$A:$A,0),MATCH(G$1,'SALA 2002'!$B$1:$U$1,0))*POWER(INDEX('WPP 2024 середина года'!$B:$U,MATCH($A30,'WPP 2024 середина года'!$A:$A,0),MATCH(G$1,'WPP 2024 середина года'!$B$1:$U$1,0))/(1000*INDEX('SALA 2002'!$B:$U,MATCH($A30,'SALA 2002'!$A:$A,0),MATCH(G$1,'SALA 2002'!$B$1:$U$1,0))),($A30-1994)/7),INDEX('WPP 2024 середина года'!$B:$U,MATCH($A30,'WPP 2024 середина года'!$A:$A,0),MATCH(G$1,'WPP 2024 середина года'!$B$1:$U$1,0)))))</f>
        <v>479</v>
      </c>
      <c r="H30" s="7">
        <f>IF($A30&lt;=1951,INDEX('SALA 1974'!$B:$U,MATCH($A30,'SALA 1974'!$A:$A,0),MATCH(H$1,'SALA 1974'!$B$1:$U$1,0)),IF($A30&lt;=1994,1000*INDEX('SALA 2002'!$B:$U,MATCH($A30,'SALA 2002'!$A:$A,0),MATCH(H$1,'SALA 2002'!$B$1:$U$1,0)),IF($A30&lt;=2000,1000*INDEX('SALA 2002'!$B:$U,MATCH($A30,'SALA 2002'!$A:$A,0),MATCH(H$1,'SALA 2002'!$B$1:$U$1,0))*POWER(INDEX('WPP 2024 середина года'!$B:$U,MATCH($A30,'WPP 2024 середина года'!$A:$A,0),MATCH(H$1,'WPP 2024 середина года'!$B$1:$U$1,0))/(1000*INDEX('SALA 2002'!$B:$U,MATCH($A30,'SALA 2002'!$A:$A,0),MATCH(H$1,'SALA 2002'!$B$1:$U$1,0))),($A30-1994)/7),INDEX('WPP 2024 середина года'!$B:$U,MATCH($A30,'WPP 2024 середина года'!$A:$A,0),MATCH(H$1,'WPP 2024 середина года'!$B$1:$U$1,0)))))</f>
        <v>3507</v>
      </c>
      <c r="I30" s="7">
        <f>IF($A30&lt;=1951,INDEX('SALA 1974'!$B:$U,MATCH($A30,'SALA 1974'!$A:$A,0),MATCH(I$1,'SALA 1974'!$B$1:$U$1,0)),IF($A30&lt;=1994,1000*INDEX('SALA 2002'!$B:$U,MATCH($A30,'SALA 2002'!$A:$A,0),MATCH(I$1,'SALA 2002'!$B$1:$U$1,0)),IF($A30&lt;=2000,1000*INDEX('SALA 2002'!$B:$U,MATCH($A30,'SALA 2002'!$A:$A,0),MATCH(I$1,'SALA 2002'!$B$1:$U$1,0))*POWER(INDEX('WPP 2024 середина года'!$B:$U,MATCH($A30,'WPP 2024 середина года'!$A:$A,0),MATCH(I$1,'WPP 2024 середина года'!$B$1:$U$1,0))/(1000*INDEX('SALA 2002'!$B:$U,MATCH($A30,'SALA 2002'!$A:$A,0),MATCH(I$1,'SALA 2002'!$B$1:$U$1,0))),($A30-1994)/7),INDEX('WPP 2024 середина года'!$B:$U,MATCH($A30,'WPP 2024 середина года'!$A:$A,0),MATCH(I$1,'WPP 2024 середина года'!$B$1:$U$1,0)))))</f>
        <v>1172</v>
      </c>
      <c r="J30" s="7">
        <f>IF($A30&lt;=1951,INDEX('SALA 1974'!$B:$U,MATCH($A30,'SALA 1974'!$A:$A,0),MATCH(J$1,'SALA 1974'!$B$1:$U$1,0)),IF($A30&lt;=1994,1000*INDEX('SALA 2002'!$B:$U,MATCH($A30,'SALA 2002'!$A:$A,0),MATCH(J$1,'SALA 2002'!$B$1:$U$1,0)),IF($A30&lt;=2000,1000*INDEX('SALA 2002'!$B:$U,MATCH($A30,'SALA 2002'!$A:$A,0),MATCH(J$1,'SALA 2002'!$B$1:$U$1,0))*POWER(INDEX('WPP 2024 середина года'!$B:$U,MATCH($A30,'WPP 2024 середина года'!$A:$A,0),MATCH(J$1,'WPP 2024 середина года'!$B$1:$U$1,0))/(1000*INDEX('SALA 2002'!$B:$U,MATCH($A30,'SALA 2002'!$A:$A,0),MATCH(J$1,'SALA 2002'!$B$1:$U$1,0))),($A30-1994)/7),INDEX('WPP 2024 середина года'!$B:$U,MATCH($A30,'WPP 2024 середина года'!$A:$A,0),MATCH(J$1,'WPP 2024 середина года'!$B$1:$U$1,0)))))</f>
        <v>1846</v>
      </c>
      <c r="K30" s="7">
        <f>IF($A30&lt;=1951,INDEX('SALA 1974'!$B:$U,MATCH($A30,'SALA 1974'!$A:$A,0),MATCH(K$1,'SALA 1974'!$B$1:$U$1,0)),IF($A30&lt;=1994,1000*INDEX('SALA 2002'!$B:$U,MATCH($A30,'SALA 2002'!$A:$A,0),MATCH(K$1,'SALA 2002'!$B$1:$U$1,0)),IF($A30&lt;=2000,1000*INDEX('SALA 2002'!$B:$U,MATCH($A30,'SALA 2002'!$A:$A,0),MATCH(K$1,'SALA 2002'!$B$1:$U$1,0))*POWER(INDEX('WPP 2024 середина года'!$B:$U,MATCH($A30,'WPP 2024 середина года'!$A:$A,0),MATCH(K$1,'WPP 2024 середина года'!$B$1:$U$1,0))/(1000*INDEX('SALA 2002'!$B:$U,MATCH($A30,'SALA 2002'!$A:$A,0),MATCH(K$1,'SALA 2002'!$B$1:$U$1,0))),($A30-1994)/7),INDEX('WPP 2024 середина года'!$B:$U,MATCH($A30,'WPP 2024 середина года'!$A:$A,0),MATCH(K$1,'WPP 2024 середина года'!$B$1:$U$1,0)))))</f>
        <v>1385</v>
      </c>
      <c r="L30" s="7">
        <f>IF($A30&lt;=1951,INDEX('SALA 1974'!$B:$U,MATCH($A30,'SALA 1974'!$A:$A,0),MATCH(L$1,'SALA 1974'!$B$1:$U$1,0)),IF($A30&lt;=1994,1000*INDEX('SALA 2002'!$B:$U,MATCH($A30,'SALA 2002'!$A:$A,0),MATCH(L$1,'SALA 2002'!$B$1:$U$1,0)),IF($A30&lt;=2000,1000*INDEX('SALA 2002'!$B:$U,MATCH($A30,'SALA 2002'!$A:$A,0),MATCH(L$1,'SALA 2002'!$B$1:$U$1,0))*POWER(INDEX('WPP 2024 середина года'!$B:$U,MATCH($A30,'WPP 2024 середина года'!$A:$A,0),MATCH(L$1,'WPP 2024 середина года'!$B$1:$U$1,0))/(1000*INDEX('SALA 2002'!$B:$U,MATCH($A30,'SALA 2002'!$A:$A,0),MATCH(L$1,'SALA 2002'!$B$1:$U$1,0))),($A30-1994)/7),INDEX('WPP 2024 середина года'!$B:$U,MATCH($A30,'WPP 2024 середина года'!$A:$A,0),MATCH(L$1,'WPP 2024 середина года'!$B$1:$U$1,0)))))</f>
        <v>1660</v>
      </c>
      <c r="M30" s="7">
        <f>IF($A30&lt;=1951,INDEX('SALA 1974'!$B:$U,MATCH($A30,'SALA 1974'!$A:$A,0),MATCH(M$1,'SALA 1974'!$B$1:$U$1,0)),IF($A30&lt;=1994,1000*INDEX('SALA 2002'!$B:$U,MATCH($A30,'SALA 2002'!$A:$A,0),MATCH(M$1,'SALA 2002'!$B$1:$U$1,0)),IF($A30&lt;=2000,1000*INDEX('SALA 2002'!$B:$U,MATCH($A30,'SALA 2002'!$A:$A,0),MATCH(M$1,'SALA 2002'!$B$1:$U$1,0))*POWER(INDEX('WPP 2024 середина года'!$B:$U,MATCH($A30,'WPP 2024 середина года'!$A:$A,0),MATCH(M$1,'WPP 2024 середина года'!$B$1:$U$1,0))/(1000*INDEX('SALA 2002'!$B:$U,MATCH($A30,'SALA 2002'!$A:$A,0),MATCH(M$1,'SALA 2002'!$B$1:$U$1,0))),($A30-1994)/7),INDEX('WPP 2024 середина года'!$B:$U,MATCH($A30,'WPP 2024 середина года'!$A:$A,0),MATCH(M$1,'WPP 2024 середина года'!$B$1:$U$1,0)))))</f>
        <v>2357</v>
      </c>
      <c r="N30" s="7">
        <f>IF($A30&lt;=1951,INDEX('SALA 1974'!$B:$U,MATCH($A30,'SALA 1974'!$A:$A,0),MATCH(N$1,'SALA 1974'!$B$1:$U$1,0)),IF($A30&lt;=1994,1000*INDEX('SALA 2002'!$B:$U,MATCH($A30,'SALA 2002'!$A:$A,0),MATCH(N$1,'SALA 2002'!$B$1:$U$1,0)),IF($A30&lt;=2000,1000*INDEX('SALA 2002'!$B:$U,MATCH($A30,'SALA 2002'!$A:$A,0),MATCH(N$1,'SALA 2002'!$B$1:$U$1,0))*POWER(INDEX('WPP 2024 середина года'!$B:$U,MATCH($A30,'WPP 2024 середина года'!$A:$A,0),MATCH(N$1,'WPP 2024 середина года'!$B$1:$U$1,0))/(1000*INDEX('SALA 2002'!$B:$U,MATCH($A30,'SALA 2002'!$A:$A,0),MATCH(N$1,'SALA 2002'!$B$1:$U$1,0))),($A30-1994)/7),INDEX('WPP 2024 середина года'!$B:$U,MATCH($A30,'WPP 2024 середина года'!$A:$A,0),MATCH(N$1,'WPP 2024 середина года'!$B$1:$U$1,0)))))</f>
        <v>911</v>
      </c>
      <c r="O30" s="7">
        <f>IF($A30&lt;=1951,INDEX('SALA 1974'!$B:$U,MATCH($A30,'SALA 1974'!$A:$A,0),MATCH(O$1,'SALA 1974'!$B$1:$U$1,0)),IF($A30&lt;=1994,1000*INDEX('SALA 2002'!$B:$U,MATCH($A30,'SALA 2002'!$A:$A,0),MATCH(O$1,'SALA 2002'!$B$1:$U$1,0)),IF($A30&lt;=2000,1000*INDEX('SALA 2002'!$B:$U,MATCH($A30,'SALA 2002'!$A:$A,0),MATCH(O$1,'SALA 2002'!$B$1:$U$1,0))*POWER(INDEX('WPP 2024 середина года'!$B:$U,MATCH($A30,'WPP 2024 середина года'!$A:$A,0),MATCH(O$1,'WPP 2024 середина года'!$B$1:$U$1,0))/(1000*INDEX('SALA 2002'!$B:$U,MATCH($A30,'SALA 2002'!$A:$A,0),MATCH(O$1,'SALA 2002'!$B$1:$U$1,0))),($A30-1994)/7),INDEX('WPP 2024 середина года'!$B:$U,MATCH($A30,'WPP 2024 середина года'!$A:$A,0),MATCH(O$1,'WPP 2024 середина года'!$B$1:$U$1,0)))))</f>
        <v>16012</v>
      </c>
      <c r="P30" s="7">
        <f>IF($A30&lt;=1951,INDEX('SALA 1974'!$B:$U,MATCH($A30,'SALA 1974'!$A:$A,0),MATCH(P$1,'SALA 1974'!$B$1:$U$1,0)),IF($A30&lt;=1994,1000*INDEX('SALA 2002'!$B:$U,MATCH($A30,'SALA 2002'!$A:$A,0),MATCH(P$1,'SALA 2002'!$B$1:$U$1,0)),IF($A30&lt;=2000,1000*INDEX('SALA 2002'!$B:$U,MATCH($A30,'SALA 2002'!$A:$A,0),MATCH(P$1,'SALA 2002'!$B$1:$U$1,0))*POWER(INDEX('WPP 2024 середина года'!$B:$U,MATCH($A30,'WPP 2024 середина года'!$A:$A,0),MATCH(P$1,'WPP 2024 середина года'!$B$1:$U$1,0))/(1000*INDEX('SALA 2002'!$B:$U,MATCH($A30,'SALA 2002'!$A:$A,0),MATCH(P$1,'SALA 2002'!$B$1:$U$1,0))),($A30-1994)/7),INDEX('WPP 2024 середина года'!$B:$U,MATCH($A30,'WPP 2024 середина года'!$A:$A,0),MATCH(P$1,'WPP 2024 середина года'!$B$1:$U$1,0)))))</f>
        <v>674</v>
      </c>
      <c r="Q30" s="7">
        <f>IF($A30&lt;=1951,INDEX('SALA 1974'!$B:$U,MATCH($A30,'SALA 1974'!$A:$A,0),MATCH(Q$1,'SALA 1974'!$B$1:$U$1,0)),IF($A30&lt;=1994,1000*INDEX('SALA 2002'!$B:$U,MATCH($A30,'SALA 2002'!$A:$A,0),MATCH(Q$1,'SALA 2002'!$B$1:$U$1,0)),IF($A30&lt;=2000,1000*INDEX('SALA 2002'!$B:$U,MATCH($A30,'SALA 2002'!$A:$A,0),MATCH(Q$1,'SALA 2002'!$B$1:$U$1,0))*POWER(INDEX('WPP 2024 середина года'!$B:$U,MATCH($A30,'WPP 2024 середина года'!$A:$A,0),MATCH(Q$1,'WPP 2024 середина года'!$B$1:$U$1,0))/(1000*INDEX('SALA 2002'!$B:$U,MATCH($A30,'SALA 2002'!$A:$A,0),MATCH(Q$1,'SALA 2002'!$B$1:$U$1,0))),($A30-1994)/7),INDEX('WPP 2024 середина года'!$B:$U,MATCH($A30,'WPP 2024 середина года'!$A:$A,0),MATCH(Q$1,'WPP 2024 середина года'!$B$1:$U$1,0)))))</f>
        <v>464</v>
      </c>
      <c r="R30" s="7">
        <f>IF($A30&lt;=1951,INDEX('SALA 1974'!$B:$U,MATCH($A30,'SALA 1974'!$A:$A,0),MATCH(R$1,'SALA 1974'!$B$1:$U$1,0)),IF($A30&lt;=1994,1000*INDEX('SALA 2002'!$B:$U,MATCH($A30,'SALA 2002'!$A:$A,0),MATCH(R$1,'SALA 2002'!$B$1:$U$1,0)),IF($A30&lt;=2000,1000*INDEX('SALA 2002'!$B:$U,MATCH($A30,'SALA 2002'!$A:$A,0),MATCH(R$1,'SALA 2002'!$B$1:$U$1,0))*POWER(INDEX('WPP 2024 середина года'!$B:$U,MATCH($A30,'WPP 2024 середина года'!$A:$A,0),MATCH(R$1,'WPP 2024 середина года'!$B$1:$U$1,0))/(1000*INDEX('SALA 2002'!$B:$U,MATCH($A30,'SALA 2002'!$A:$A,0),MATCH(R$1,'SALA 2002'!$B$1:$U$1,0))),($A30-1994)/7),INDEX('WPP 2024 середина года'!$B:$U,MATCH($A30,'WPP 2024 середина года'!$A:$A,0),MATCH(R$1,'WPP 2024 середина года'!$B$1:$U$1,0)))))</f>
        <v>841</v>
      </c>
      <c r="S30" s="7">
        <f>IF($A30&lt;=1951,INDEX('SALA 1974'!$B:$U,MATCH($A30,'SALA 1974'!$A:$A,0),MATCH(S$1,'SALA 1974'!$B$1:$U$1,0)),IF($A30&lt;=1994,1000*INDEX('SALA 2002'!$B:$U,MATCH($A30,'SALA 2002'!$A:$A,0),MATCH(S$1,'SALA 2002'!$B$1:$U$1,0)),IF($A30&lt;=2000,1000*INDEX('SALA 2002'!$B:$U,MATCH($A30,'SALA 2002'!$A:$A,0),MATCH(S$1,'SALA 2002'!$B$1:$U$1,0))*POWER(INDEX('WPP 2024 середина года'!$B:$U,MATCH($A30,'WPP 2024 середина года'!$A:$A,0),MATCH(S$1,'WPP 2024 середина года'!$B$1:$U$1,0))/(1000*INDEX('SALA 2002'!$B:$U,MATCH($A30,'SALA 2002'!$A:$A,0),MATCH(S$1,'SALA 2002'!$B$1:$U$1,0))),($A30-1994)/7),INDEX('WPP 2024 середина года'!$B:$U,MATCH($A30,'WPP 2024 середина года'!$A:$A,0),MATCH(S$1,'WPP 2024 середина года'!$B$1:$U$1,0)))))</f>
        <v>5482</v>
      </c>
      <c r="T30" s="7">
        <f>IF($A30&lt;=1951,INDEX('SALA 1974'!$B:$U,MATCH($A30,'SALA 1974'!$A:$A,0),MATCH(T$1,'SALA 1974'!$B$1:$U$1,0)),IF($A30&lt;=1994,1000*INDEX('SALA 2002'!$B:$U,MATCH($A30,'SALA 2002'!$A:$A,0),MATCH(T$1,'SALA 2002'!$B$1:$U$1,0)),IF($A30&lt;=2000,1000*INDEX('SALA 2002'!$B:$U,MATCH($A30,'SALA 2002'!$A:$A,0),MATCH(T$1,'SALA 2002'!$B$1:$U$1,0))*POWER(INDEX('WPP 2024 середина года'!$B:$U,MATCH($A30,'WPP 2024 середина года'!$A:$A,0),MATCH(T$1,'WPP 2024 середина года'!$B$1:$U$1,0))/(1000*INDEX('SALA 2002'!$B:$U,MATCH($A30,'SALA 2002'!$A:$A,0),MATCH(T$1,'SALA 2002'!$B$1:$U$1,0))),($A30-1994)/7),INDEX('WPP 2024 середина года'!$B:$U,MATCH($A30,'WPP 2024 середина года'!$A:$A,0),MATCH(T$1,'WPP 2024 середина года'!$B$1:$U$1,0)))))</f>
        <v>1669</v>
      </c>
      <c r="U30" s="7">
        <f>IF($A30&lt;=1951,INDEX('SALA 1974'!$B:$U,MATCH($A30,'SALA 1974'!$A:$A,0),MATCH(U$1,'SALA 1974'!$B$1:$U$1,0)),IF($A30&lt;=1994,1000*INDEX('SALA 2002'!$B:$U,MATCH($A30,'SALA 2002'!$A:$A,0),MATCH(U$1,'SALA 2002'!$B$1:$U$1,0)),IF($A30&lt;=2000,1000*INDEX('SALA 2002'!$B:$U,MATCH($A30,'SALA 2002'!$A:$A,0),MATCH(U$1,'SALA 2002'!$B$1:$U$1,0))*POWER(INDEX('WPP 2024 середина года'!$B:$U,MATCH($A30,'WPP 2024 середина года'!$A:$A,0),MATCH(U$1,'WPP 2024 середина года'!$B$1:$U$1,0))/(1000*INDEX('SALA 2002'!$B:$U,MATCH($A30,'SALA 2002'!$A:$A,0),MATCH(U$1,'SALA 2002'!$B$1:$U$1,0))),($A30-1994)/7),INDEX('WPP 2024 середина года'!$B:$U,MATCH($A30,'WPP 2024 середина года'!$A:$A,0),MATCH(U$1,'WPP 2024 середина года'!$B$1:$U$1,0)))))</f>
        <v>3047</v>
      </c>
    </row>
    <row r="31" spans="1:21" x14ac:dyDescent="0.25">
      <c r="A31" s="5">
        <f t="shared" si="0"/>
        <v>1929</v>
      </c>
      <c r="B31" s="7">
        <f>IF($A31&lt;=1951,INDEX('SALA 1974'!$B:$U,MATCH($A31,'SALA 1974'!$A:$A,0),MATCH(B$1,'SALA 1974'!$B$1:$U$1,0)),IF($A31&lt;=1994,1000*INDEX('SALA 2002'!$B:$U,MATCH($A31,'SALA 2002'!$A:$A,0),MATCH(B$1,'SALA 2002'!$B$1:$U$1,0)),IF($A31&lt;=2000,1000*INDEX('SALA 2002'!$B:$U,MATCH($A31,'SALA 2002'!$A:$A,0),MATCH(B$1,'SALA 2002'!$B$1:$U$1,0))*POWER(INDEX('WPP 2024 середина года'!$B:$U,MATCH($A31,'WPP 2024 середина года'!$A:$A,0),MATCH(B$1,'WPP 2024 середина года'!$B$1:$U$1,0))/(1000*INDEX('SALA 2002'!$B:$U,MATCH($A31,'SALA 2002'!$A:$A,0),MATCH(B$1,'SALA 2002'!$B$1:$U$1,0))),($A31-1994)/7),INDEX('WPP 2024 середина года'!$B:$U,MATCH($A31,'WPP 2024 середина года'!$A:$A,0),MATCH(B$1,'WPP 2024 середина года'!$B$1:$U$1,0)))))</f>
        <v>11746</v>
      </c>
      <c r="C31" s="7">
        <f>IF($A31&lt;=1951,INDEX('SALA 1974'!$B:$U,MATCH($A31,'SALA 1974'!$A:$A,0),MATCH(C$1,'SALA 1974'!$B$1:$U$1,0)),IF($A31&lt;=1994,1000*INDEX('SALA 2002'!$B:$U,MATCH($A31,'SALA 2002'!$A:$A,0),MATCH(C$1,'SALA 2002'!$B$1:$U$1,0)),IF($A31&lt;=2000,1000*INDEX('SALA 2002'!$B:$U,MATCH($A31,'SALA 2002'!$A:$A,0),MATCH(C$1,'SALA 2002'!$B$1:$U$1,0))*POWER(INDEX('WPP 2024 середина года'!$B:$U,MATCH($A31,'WPP 2024 середина года'!$A:$A,0),MATCH(C$1,'WPP 2024 середина года'!$B$1:$U$1,0))/(1000*INDEX('SALA 2002'!$B:$U,MATCH($A31,'SALA 2002'!$A:$A,0),MATCH(C$1,'SALA 2002'!$B$1:$U$1,0))),($A31-1994)/7),INDEX('WPP 2024 середина года'!$B:$U,MATCH($A31,'WPP 2024 середина года'!$A:$A,0),MATCH(C$1,'WPP 2024 середина года'!$B$1:$U$1,0)))))</f>
        <v>2370</v>
      </c>
      <c r="D31" s="7">
        <f>IF($A31&lt;=1951,INDEX('SALA 1974'!$B:$U,MATCH($A31,'SALA 1974'!$A:$A,0),MATCH(D$1,'SALA 1974'!$B$1:$U$1,0)),IF($A31&lt;=1994,1000*INDEX('SALA 2002'!$B:$U,MATCH($A31,'SALA 2002'!$A:$A,0),MATCH(D$1,'SALA 2002'!$B$1:$U$1,0)),IF($A31&lt;=2000,1000*INDEX('SALA 2002'!$B:$U,MATCH($A31,'SALA 2002'!$A:$A,0),MATCH(D$1,'SALA 2002'!$B$1:$U$1,0))*POWER(INDEX('WPP 2024 середина года'!$B:$U,MATCH($A31,'WPP 2024 середина года'!$A:$A,0),MATCH(D$1,'WPP 2024 середина года'!$B$1:$U$1,0))/(1000*INDEX('SALA 2002'!$B:$U,MATCH($A31,'SALA 2002'!$A:$A,0),MATCH(D$1,'SALA 2002'!$B$1:$U$1,0))),($A31-1994)/7),INDEX('WPP 2024 середина года'!$B:$U,MATCH($A31,'WPP 2024 середина года'!$A:$A,0),MATCH(D$1,'WPP 2024 середина года'!$B$1:$U$1,0)))))</f>
        <v>32894</v>
      </c>
      <c r="E31" s="7">
        <f>IF($A31&lt;=1951,INDEX('SALA 1974'!$B:$U,MATCH($A31,'SALA 1974'!$A:$A,0),MATCH(E$1,'SALA 1974'!$B$1:$U$1,0)),IF($A31&lt;=1994,1000*INDEX('SALA 2002'!$B:$U,MATCH($A31,'SALA 2002'!$A:$A,0),MATCH(E$1,'SALA 2002'!$B$1:$U$1,0)),IF($A31&lt;=2000,1000*INDEX('SALA 2002'!$B:$U,MATCH($A31,'SALA 2002'!$A:$A,0),MATCH(E$1,'SALA 2002'!$B$1:$U$1,0))*POWER(INDEX('WPP 2024 середина года'!$B:$U,MATCH($A31,'WPP 2024 середина года'!$A:$A,0),MATCH(E$1,'WPP 2024 середина года'!$B$1:$U$1,0))/(1000*INDEX('SALA 2002'!$B:$U,MATCH($A31,'SALA 2002'!$A:$A,0),MATCH(E$1,'SALA 2002'!$B$1:$U$1,0))),($A31-1994)/7),INDEX('WPP 2024 середина года'!$B:$U,MATCH($A31,'WPP 2024 середина года'!$A:$A,0),MATCH(E$1,'WPP 2024 середина года'!$B$1:$U$1,0)))))</f>
        <v>4305</v>
      </c>
      <c r="F31" s="7">
        <f>IF($A31&lt;=1947,INDEX('SALA 1974'!$B:$U,MATCH($A31,'SALA 1974'!$A:$A,0),MATCH(F$1,'SALA 1974'!$B$1:$U$1,0)),IF($A31&lt;=1994,1000*INDEX('SALA 2002'!$B:$U,MATCH($A31,'SALA 2002'!$A:$A,0),MATCH(F$1,'SALA 2002'!$B$1:$U$1,0)),IF($A31&lt;=2000,1000*INDEX('SALA 2002'!$B:$U,MATCH($A31,'SALA 2002'!$A:$A,0),MATCH(F$1,'SALA 2002'!$B$1:$U$1,0))*POWER(INDEX('WPP 2024 середина года'!$B:$U,MATCH($A31,'WPP 2024 середина года'!$A:$A,0),MATCH(F$1,'WPP 2024 середина года'!$B$1:$U$1,0))/(1000*INDEX('SALA 2002'!$B:$U,MATCH($A31,'SALA 2002'!$A:$A,0),MATCH(F$1,'SALA 2002'!$B$1:$U$1,0))),($A31-1994)/7),INDEX('WPP 2024 середина года'!$B:$U,MATCH($A31,'WPP 2024 середина года'!$A:$A,0),MATCH(F$1,'WPP 2024 середина года'!$B$1:$U$1,0)))))</f>
        <v>7279</v>
      </c>
      <c r="G31" s="7">
        <f>IF($A31&lt;=1951,INDEX('SALA 1974'!$B:$U,MATCH($A31,'SALA 1974'!$A:$A,0),MATCH(G$1,'SALA 1974'!$B$1:$U$1,0)),IF($A31&lt;=1994,1000*INDEX('SALA 2002'!$B:$U,MATCH($A31,'SALA 2002'!$A:$A,0),MATCH(G$1,'SALA 2002'!$B$1:$U$1,0)),IF($A31&lt;=2000,1000*INDEX('SALA 2002'!$B:$U,MATCH($A31,'SALA 2002'!$A:$A,0),MATCH(G$1,'SALA 2002'!$B$1:$U$1,0))*POWER(INDEX('WPP 2024 середина года'!$B:$U,MATCH($A31,'WPP 2024 середина года'!$A:$A,0),MATCH(G$1,'WPP 2024 середина года'!$B$1:$U$1,0))/(1000*INDEX('SALA 2002'!$B:$U,MATCH($A31,'SALA 2002'!$A:$A,0),MATCH(G$1,'SALA 2002'!$B$1:$U$1,0))),($A31-1994)/7),INDEX('WPP 2024 середина года'!$B:$U,MATCH($A31,'WPP 2024 середина года'!$A:$A,0),MATCH(G$1,'WPP 2024 середина года'!$B$1:$U$1,0)))))</f>
        <v>489</v>
      </c>
      <c r="H31" s="7">
        <f>IF($A31&lt;=1951,INDEX('SALA 1974'!$B:$U,MATCH($A31,'SALA 1974'!$A:$A,0),MATCH(H$1,'SALA 1974'!$B$1:$U$1,0)),IF($A31&lt;=1994,1000*INDEX('SALA 2002'!$B:$U,MATCH($A31,'SALA 2002'!$A:$A,0),MATCH(H$1,'SALA 2002'!$B$1:$U$1,0)),IF($A31&lt;=2000,1000*INDEX('SALA 2002'!$B:$U,MATCH($A31,'SALA 2002'!$A:$A,0),MATCH(H$1,'SALA 2002'!$B$1:$U$1,0))*POWER(INDEX('WPP 2024 середина года'!$B:$U,MATCH($A31,'WPP 2024 середина года'!$A:$A,0),MATCH(H$1,'WPP 2024 середина года'!$B$1:$U$1,0))/(1000*INDEX('SALA 2002'!$B:$U,MATCH($A31,'SALA 2002'!$A:$A,0),MATCH(H$1,'SALA 2002'!$B$1:$U$1,0))),($A31-1994)/7),INDEX('WPP 2024 середина года'!$B:$U,MATCH($A31,'WPP 2024 середина года'!$A:$A,0),MATCH(H$1,'WPP 2024 середина года'!$B$1:$U$1,0)))))</f>
        <v>3577</v>
      </c>
      <c r="I31" s="7">
        <f>IF($A31&lt;=1951,INDEX('SALA 1974'!$B:$U,MATCH($A31,'SALA 1974'!$A:$A,0),MATCH(I$1,'SALA 1974'!$B$1:$U$1,0)),IF($A31&lt;=1994,1000*INDEX('SALA 2002'!$B:$U,MATCH($A31,'SALA 2002'!$A:$A,0),MATCH(I$1,'SALA 2002'!$B$1:$U$1,0)),IF($A31&lt;=2000,1000*INDEX('SALA 2002'!$B:$U,MATCH($A31,'SALA 2002'!$A:$A,0),MATCH(I$1,'SALA 2002'!$B$1:$U$1,0))*POWER(INDEX('WPP 2024 середина года'!$B:$U,MATCH($A31,'WPP 2024 середина года'!$A:$A,0),MATCH(I$1,'WPP 2024 середина года'!$B$1:$U$1,0))/(1000*INDEX('SALA 2002'!$B:$U,MATCH($A31,'SALA 2002'!$A:$A,0),MATCH(I$1,'SALA 2002'!$B$1:$U$1,0))),($A31-1994)/7),INDEX('WPP 2024 середина года'!$B:$U,MATCH($A31,'WPP 2024 середина года'!$A:$A,0),MATCH(I$1,'WPP 2024 середина года'!$B$1:$U$1,0)))))</f>
        <v>1213</v>
      </c>
      <c r="J31" s="7">
        <f>IF($A31&lt;=1951,INDEX('SALA 1974'!$B:$U,MATCH($A31,'SALA 1974'!$A:$A,0),MATCH(J$1,'SALA 1974'!$B$1:$U$1,0)),IF($A31&lt;=1994,1000*INDEX('SALA 2002'!$B:$U,MATCH($A31,'SALA 2002'!$A:$A,0),MATCH(J$1,'SALA 2002'!$B$1:$U$1,0)),IF($A31&lt;=2000,1000*INDEX('SALA 2002'!$B:$U,MATCH($A31,'SALA 2002'!$A:$A,0),MATCH(J$1,'SALA 2002'!$B$1:$U$1,0))*POWER(INDEX('WPP 2024 середина года'!$B:$U,MATCH($A31,'WPP 2024 середина года'!$A:$A,0),MATCH(J$1,'WPP 2024 середина года'!$B$1:$U$1,0))/(1000*INDEX('SALA 2002'!$B:$U,MATCH($A31,'SALA 2002'!$A:$A,0),MATCH(J$1,'SALA 2002'!$B$1:$U$1,0))),($A31-1994)/7),INDEX('WPP 2024 середина года'!$B:$U,MATCH($A31,'WPP 2024 середина года'!$A:$A,0),MATCH(J$1,'WPP 2024 середина года'!$B$1:$U$1,0)))))</f>
        <v>1891</v>
      </c>
      <c r="K31" s="7">
        <f>IF($A31&lt;=1951,INDEX('SALA 1974'!$B:$U,MATCH($A31,'SALA 1974'!$A:$A,0),MATCH(K$1,'SALA 1974'!$B$1:$U$1,0)),IF($A31&lt;=1994,1000*INDEX('SALA 2002'!$B:$U,MATCH($A31,'SALA 2002'!$A:$A,0),MATCH(K$1,'SALA 2002'!$B$1:$U$1,0)),IF($A31&lt;=2000,1000*INDEX('SALA 2002'!$B:$U,MATCH($A31,'SALA 2002'!$A:$A,0),MATCH(K$1,'SALA 2002'!$B$1:$U$1,0))*POWER(INDEX('WPP 2024 середина года'!$B:$U,MATCH($A31,'WPP 2024 середина года'!$A:$A,0),MATCH(K$1,'WPP 2024 середина года'!$B$1:$U$1,0))/(1000*INDEX('SALA 2002'!$B:$U,MATCH($A31,'SALA 2002'!$A:$A,0),MATCH(K$1,'SALA 2002'!$B$1:$U$1,0))),($A31-1994)/7),INDEX('WPP 2024 середина года'!$B:$U,MATCH($A31,'WPP 2024 середина года'!$A:$A,0),MATCH(K$1,'WPP 2024 середина года'!$B$1:$U$1,0)))))</f>
        <v>1412</v>
      </c>
      <c r="L31" s="7">
        <f>IF($A31&lt;=1951,INDEX('SALA 1974'!$B:$U,MATCH($A31,'SALA 1974'!$A:$A,0),MATCH(L$1,'SALA 1974'!$B$1:$U$1,0)),IF($A31&lt;=1994,1000*INDEX('SALA 2002'!$B:$U,MATCH($A31,'SALA 2002'!$A:$A,0),MATCH(L$1,'SALA 2002'!$B$1:$U$1,0)),IF($A31&lt;=2000,1000*INDEX('SALA 2002'!$B:$U,MATCH($A31,'SALA 2002'!$A:$A,0),MATCH(L$1,'SALA 2002'!$B$1:$U$1,0))*POWER(INDEX('WPP 2024 середина года'!$B:$U,MATCH($A31,'WPP 2024 середина года'!$A:$A,0),MATCH(L$1,'WPP 2024 середина года'!$B$1:$U$1,0))/(1000*INDEX('SALA 2002'!$B:$U,MATCH($A31,'SALA 2002'!$A:$A,0),MATCH(L$1,'SALA 2002'!$B$1:$U$1,0))),($A31-1994)/7),INDEX('WPP 2024 середина года'!$B:$U,MATCH($A31,'WPP 2024 середина года'!$A:$A,0),MATCH(L$1,'WPP 2024 середина года'!$B$1:$U$1,0)))))</f>
        <v>1706</v>
      </c>
      <c r="M31" s="7">
        <f>IF($A31&lt;=1951,INDEX('SALA 1974'!$B:$U,MATCH($A31,'SALA 1974'!$A:$A,0),MATCH(M$1,'SALA 1974'!$B$1:$U$1,0)),IF($A31&lt;=1994,1000*INDEX('SALA 2002'!$B:$U,MATCH($A31,'SALA 2002'!$A:$A,0),MATCH(M$1,'SALA 2002'!$B$1:$U$1,0)),IF($A31&lt;=2000,1000*INDEX('SALA 2002'!$B:$U,MATCH($A31,'SALA 2002'!$A:$A,0),MATCH(M$1,'SALA 2002'!$B$1:$U$1,0))*POWER(INDEX('WPP 2024 середина года'!$B:$U,MATCH($A31,'WPP 2024 середина года'!$A:$A,0),MATCH(M$1,'WPP 2024 середина года'!$B$1:$U$1,0))/(1000*INDEX('SALA 2002'!$B:$U,MATCH($A31,'SALA 2002'!$A:$A,0),MATCH(M$1,'SALA 2002'!$B$1:$U$1,0))),($A31-1994)/7),INDEX('WPP 2024 середина года'!$B:$U,MATCH($A31,'WPP 2024 середина года'!$A:$A,0),MATCH(M$1,'WPP 2024 середина года'!$B$1:$U$1,0)))))</f>
        <v>2390</v>
      </c>
      <c r="N31" s="7">
        <f>IF($A31&lt;=1951,INDEX('SALA 1974'!$B:$U,MATCH($A31,'SALA 1974'!$A:$A,0),MATCH(N$1,'SALA 1974'!$B$1:$U$1,0)),IF($A31&lt;=1994,1000*INDEX('SALA 2002'!$B:$U,MATCH($A31,'SALA 2002'!$A:$A,0),MATCH(N$1,'SALA 2002'!$B$1:$U$1,0)),IF($A31&lt;=2000,1000*INDEX('SALA 2002'!$B:$U,MATCH($A31,'SALA 2002'!$A:$A,0),MATCH(N$1,'SALA 2002'!$B$1:$U$1,0))*POWER(INDEX('WPP 2024 середина года'!$B:$U,MATCH($A31,'WPP 2024 середина года'!$A:$A,0),MATCH(N$1,'WPP 2024 середина года'!$B$1:$U$1,0))/(1000*INDEX('SALA 2002'!$B:$U,MATCH($A31,'SALA 2002'!$A:$A,0),MATCH(N$1,'SALA 2002'!$B$1:$U$1,0))),($A31-1994)/7),INDEX('WPP 2024 середина года'!$B:$U,MATCH($A31,'WPP 2024 середина года'!$A:$A,0),MATCH(N$1,'WPP 2024 середина года'!$B$1:$U$1,0)))))</f>
        <v>928</v>
      </c>
      <c r="O31" s="7">
        <f>IF($A31&lt;=1951,INDEX('SALA 1974'!$B:$U,MATCH($A31,'SALA 1974'!$A:$A,0),MATCH(O$1,'SALA 1974'!$B$1:$U$1,0)),IF($A31&lt;=1994,1000*INDEX('SALA 2002'!$B:$U,MATCH($A31,'SALA 2002'!$A:$A,0),MATCH(O$1,'SALA 2002'!$B$1:$U$1,0)),IF($A31&lt;=2000,1000*INDEX('SALA 2002'!$B:$U,MATCH($A31,'SALA 2002'!$A:$A,0),MATCH(O$1,'SALA 2002'!$B$1:$U$1,0))*POWER(INDEX('WPP 2024 середина года'!$B:$U,MATCH($A31,'WPP 2024 середина года'!$A:$A,0),MATCH(O$1,'WPP 2024 середина года'!$B$1:$U$1,0))/(1000*INDEX('SALA 2002'!$B:$U,MATCH($A31,'SALA 2002'!$A:$A,0),MATCH(O$1,'SALA 2002'!$B$1:$U$1,0))),($A31-1994)/7),INDEX('WPP 2024 середина года'!$B:$U,MATCH($A31,'WPP 2024 середина года'!$A:$A,0),MATCH(O$1,'WPP 2024 середина года'!$B$1:$U$1,0)))))</f>
        <v>16926</v>
      </c>
      <c r="P31" s="7">
        <f>IF($A31&lt;=1951,INDEX('SALA 1974'!$B:$U,MATCH($A31,'SALA 1974'!$A:$A,0),MATCH(P$1,'SALA 1974'!$B$1:$U$1,0)),IF($A31&lt;=1994,1000*INDEX('SALA 2002'!$B:$U,MATCH($A31,'SALA 2002'!$A:$A,0),MATCH(P$1,'SALA 2002'!$B$1:$U$1,0)),IF($A31&lt;=2000,1000*INDEX('SALA 2002'!$B:$U,MATCH($A31,'SALA 2002'!$A:$A,0),MATCH(P$1,'SALA 2002'!$B$1:$U$1,0))*POWER(INDEX('WPP 2024 середина года'!$B:$U,MATCH($A31,'WPP 2024 середина года'!$A:$A,0),MATCH(P$1,'WPP 2024 середина года'!$B$1:$U$1,0))/(1000*INDEX('SALA 2002'!$B:$U,MATCH($A31,'SALA 2002'!$A:$A,0),MATCH(P$1,'SALA 2002'!$B$1:$U$1,0))),($A31-1994)/7),INDEX('WPP 2024 середина года'!$B:$U,MATCH($A31,'WPP 2024 середина года'!$A:$A,0),MATCH(P$1,'WPP 2024 середина года'!$B$1:$U$1,0)))))</f>
        <v>679</v>
      </c>
      <c r="Q31" s="7">
        <f>IF($A31&lt;=1951,INDEX('SALA 1974'!$B:$U,MATCH($A31,'SALA 1974'!$A:$A,0),MATCH(Q$1,'SALA 1974'!$B$1:$U$1,0)),IF($A31&lt;=1994,1000*INDEX('SALA 2002'!$B:$U,MATCH($A31,'SALA 2002'!$A:$A,0),MATCH(Q$1,'SALA 2002'!$B$1:$U$1,0)),IF($A31&lt;=2000,1000*INDEX('SALA 2002'!$B:$U,MATCH($A31,'SALA 2002'!$A:$A,0),MATCH(Q$1,'SALA 2002'!$B$1:$U$1,0))*POWER(INDEX('WPP 2024 середина года'!$B:$U,MATCH($A31,'WPP 2024 середина года'!$A:$A,0),MATCH(Q$1,'WPP 2024 середина года'!$B$1:$U$1,0))/(1000*INDEX('SALA 2002'!$B:$U,MATCH($A31,'SALA 2002'!$A:$A,0),MATCH(Q$1,'SALA 2002'!$B$1:$U$1,0))),($A31-1994)/7),INDEX('WPP 2024 середина года'!$B:$U,MATCH($A31,'WPP 2024 середина года'!$A:$A,0),MATCH(Q$1,'WPP 2024 середина года'!$B$1:$U$1,0)))))</f>
        <v>466</v>
      </c>
      <c r="R31" s="7">
        <f>IF($A31&lt;=1951,INDEX('SALA 1974'!$B:$U,MATCH($A31,'SALA 1974'!$A:$A,0),MATCH(R$1,'SALA 1974'!$B$1:$U$1,0)),IF($A31&lt;=1994,1000*INDEX('SALA 2002'!$B:$U,MATCH($A31,'SALA 2002'!$A:$A,0),MATCH(R$1,'SALA 2002'!$B$1:$U$1,0)),IF($A31&lt;=2000,1000*INDEX('SALA 2002'!$B:$U,MATCH($A31,'SALA 2002'!$A:$A,0),MATCH(R$1,'SALA 2002'!$B$1:$U$1,0))*POWER(INDEX('WPP 2024 середина года'!$B:$U,MATCH($A31,'WPP 2024 середина года'!$A:$A,0),MATCH(R$1,'WPP 2024 середина года'!$B$1:$U$1,0))/(1000*INDEX('SALA 2002'!$B:$U,MATCH($A31,'SALA 2002'!$A:$A,0),MATCH(R$1,'SALA 2002'!$B$1:$U$1,0))),($A31-1994)/7),INDEX('WPP 2024 середина года'!$B:$U,MATCH($A31,'WPP 2024 середина года'!$A:$A,0),MATCH(R$1,'WPP 2024 середина года'!$B$1:$U$1,0)))))</f>
        <v>860</v>
      </c>
      <c r="S31" s="7">
        <f>IF($A31&lt;=1951,INDEX('SALA 1974'!$B:$U,MATCH($A31,'SALA 1974'!$A:$A,0),MATCH(S$1,'SALA 1974'!$B$1:$U$1,0)),IF($A31&lt;=1994,1000*INDEX('SALA 2002'!$B:$U,MATCH($A31,'SALA 2002'!$A:$A,0),MATCH(S$1,'SALA 2002'!$B$1:$U$1,0)),IF($A31&lt;=2000,1000*INDEX('SALA 2002'!$B:$U,MATCH($A31,'SALA 2002'!$A:$A,0),MATCH(S$1,'SALA 2002'!$B$1:$U$1,0))*POWER(INDEX('WPP 2024 середина года'!$B:$U,MATCH($A31,'WPP 2024 середина года'!$A:$A,0),MATCH(S$1,'WPP 2024 середина года'!$B$1:$U$1,0))/(1000*INDEX('SALA 2002'!$B:$U,MATCH($A31,'SALA 2002'!$A:$A,0),MATCH(S$1,'SALA 2002'!$B$1:$U$1,0))),($A31-1994)/7),INDEX('WPP 2024 середина года'!$B:$U,MATCH($A31,'WPP 2024 середина года'!$A:$A,0),MATCH(S$1,'WPP 2024 середина года'!$B$1:$U$1,0)))))</f>
        <v>5567</v>
      </c>
      <c r="T31" s="7">
        <f>IF($A31&lt;=1951,INDEX('SALA 1974'!$B:$U,MATCH($A31,'SALA 1974'!$A:$A,0),MATCH(T$1,'SALA 1974'!$B$1:$U$1,0)),IF($A31&lt;=1994,1000*INDEX('SALA 2002'!$B:$U,MATCH($A31,'SALA 2002'!$A:$A,0),MATCH(T$1,'SALA 2002'!$B$1:$U$1,0)),IF($A31&lt;=2000,1000*INDEX('SALA 2002'!$B:$U,MATCH($A31,'SALA 2002'!$A:$A,0),MATCH(T$1,'SALA 2002'!$B$1:$U$1,0))*POWER(INDEX('WPP 2024 середина года'!$B:$U,MATCH($A31,'WPP 2024 середина года'!$A:$A,0),MATCH(T$1,'WPP 2024 середина года'!$B$1:$U$1,0))/(1000*INDEX('SALA 2002'!$B:$U,MATCH($A31,'SALA 2002'!$A:$A,0),MATCH(T$1,'SALA 2002'!$B$1:$U$1,0))),($A31-1994)/7),INDEX('WPP 2024 середина года'!$B:$U,MATCH($A31,'WPP 2024 середина года'!$A:$A,0),MATCH(T$1,'WPP 2024 середина года'!$B$1:$U$1,0)))))</f>
        <v>1701</v>
      </c>
      <c r="U31" s="7">
        <f>IF($A31&lt;=1951,INDEX('SALA 1974'!$B:$U,MATCH($A31,'SALA 1974'!$A:$A,0),MATCH(U$1,'SALA 1974'!$B$1:$U$1,0)),IF($A31&lt;=1994,1000*INDEX('SALA 2002'!$B:$U,MATCH($A31,'SALA 2002'!$A:$A,0),MATCH(U$1,'SALA 2002'!$B$1:$U$1,0)),IF($A31&lt;=2000,1000*INDEX('SALA 2002'!$B:$U,MATCH($A31,'SALA 2002'!$A:$A,0),MATCH(U$1,'SALA 2002'!$B$1:$U$1,0))*POWER(INDEX('WPP 2024 середина года'!$B:$U,MATCH($A31,'WPP 2024 середина года'!$A:$A,0),MATCH(U$1,'WPP 2024 середина года'!$B$1:$U$1,0))/(1000*INDEX('SALA 2002'!$B:$U,MATCH($A31,'SALA 2002'!$A:$A,0),MATCH(U$1,'SALA 2002'!$B$1:$U$1,0))),($A31-1994)/7),INDEX('WPP 2024 середина года'!$B:$U,MATCH($A31,'WPP 2024 середина года'!$A:$A,0),MATCH(U$1,'WPP 2024 середина года'!$B$1:$U$1,0)))))</f>
        <v>3082</v>
      </c>
    </row>
    <row r="32" spans="1:21" x14ac:dyDescent="0.25">
      <c r="A32" s="5">
        <f t="shared" si="0"/>
        <v>1930</v>
      </c>
      <c r="B32" s="7">
        <f>IF($A32&lt;=1951,INDEX('SALA 1974'!$B:$U,MATCH($A32,'SALA 1974'!$A:$A,0),MATCH(B$1,'SALA 1974'!$B$1:$U$1,0)),IF($A32&lt;=1994,1000*INDEX('SALA 2002'!$B:$U,MATCH($A32,'SALA 2002'!$A:$A,0),MATCH(B$1,'SALA 2002'!$B$1:$U$1,0)),IF($A32&lt;=2000,1000*INDEX('SALA 2002'!$B:$U,MATCH($A32,'SALA 2002'!$A:$A,0),MATCH(B$1,'SALA 2002'!$B$1:$U$1,0))*POWER(INDEX('WPP 2024 середина года'!$B:$U,MATCH($A32,'WPP 2024 середина года'!$A:$A,0),MATCH(B$1,'WPP 2024 середина года'!$B$1:$U$1,0))/(1000*INDEX('SALA 2002'!$B:$U,MATCH($A32,'SALA 2002'!$A:$A,0),MATCH(B$1,'SALA 2002'!$B$1:$U$1,0))),($A32-1994)/7),INDEX('WPP 2024 середина года'!$B:$U,MATCH($A32,'WPP 2024 середина года'!$A:$A,0),MATCH(B$1,'WPP 2024 середина года'!$B$1:$U$1,0)))))</f>
        <v>12047</v>
      </c>
      <c r="C32" s="7">
        <f>IF($A32&lt;=1951,INDEX('SALA 1974'!$B:$U,MATCH($A32,'SALA 1974'!$A:$A,0),MATCH(C$1,'SALA 1974'!$B$1:$U$1,0)),IF($A32&lt;=1994,1000*INDEX('SALA 2002'!$B:$U,MATCH($A32,'SALA 2002'!$A:$A,0),MATCH(C$1,'SALA 2002'!$B$1:$U$1,0)),IF($A32&lt;=2000,1000*INDEX('SALA 2002'!$B:$U,MATCH($A32,'SALA 2002'!$A:$A,0),MATCH(C$1,'SALA 2002'!$B$1:$U$1,0))*POWER(INDEX('WPP 2024 середина года'!$B:$U,MATCH($A32,'WPP 2024 середина года'!$A:$A,0),MATCH(C$1,'WPP 2024 середина года'!$B$1:$U$1,0))/(1000*INDEX('SALA 2002'!$B:$U,MATCH($A32,'SALA 2002'!$A:$A,0),MATCH(C$1,'SALA 2002'!$B$1:$U$1,0))),($A32-1994)/7),INDEX('WPP 2024 середина года'!$B:$U,MATCH($A32,'WPP 2024 середина года'!$A:$A,0),MATCH(C$1,'WPP 2024 середина года'!$B$1:$U$1,0)))))</f>
        <v>2397</v>
      </c>
      <c r="D32" s="7">
        <f>IF($A32&lt;=1951,INDEX('SALA 1974'!$B:$U,MATCH($A32,'SALA 1974'!$A:$A,0),MATCH(D$1,'SALA 1974'!$B$1:$U$1,0)),IF($A32&lt;=1994,1000*INDEX('SALA 2002'!$B:$U,MATCH($A32,'SALA 2002'!$A:$A,0),MATCH(D$1,'SALA 2002'!$B$1:$U$1,0)),IF($A32&lt;=2000,1000*INDEX('SALA 2002'!$B:$U,MATCH($A32,'SALA 2002'!$A:$A,0),MATCH(D$1,'SALA 2002'!$B$1:$U$1,0))*POWER(INDEX('WPP 2024 середина года'!$B:$U,MATCH($A32,'WPP 2024 середина года'!$A:$A,0),MATCH(D$1,'WPP 2024 середина года'!$B$1:$U$1,0))/(1000*INDEX('SALA 2002'!$B:$U,MATCH($A32,'SALA 2002'!$A:$A,0),MATCH(D$1,'SALA 2002'!$B$1:$U$1,0))),($A32-1994)/7),INDEX('WPP 2024 середина года'!$B:$U,MATCH($A32,'WPP 2024 середина года'!$A:$A,0),MATCH(D$1,'WPP 2024 середина года'!$B$1:$U$1,0)))))</f>
        <v>33568</v>
      </c>
      <c r="E32" s="7">
        <f>IF($A32&lt;=1951,INDEX('SALA 1974'!$B:$U,MATCH($A32,'SALA 1974'!$A:$A,0),MATCH(E$1,'SALA 1974'!$B$1:$U$1,0)),IF($A32&lt;=1994,1000*INDEX('SALA 2002'!$B:$U,MATCH($A32,'SALA 2002'!$A:$A,0),MATCH(E$1,'SALA 2002'!$B$1:$U$1,0)),IF($A32&lt;=2000,1000*INDEX('SALA 2002'!$B:$U,MATCH($A32,'SALA 2002'!$A:$A,0),MATCH(E$1,'SALA 2002'!$B$1:$U$1,0))*POWER(INDEX('WPP 2024 середина года'!$B:$U,MATCH($A32,'WPP 2024 середина года'!$A:$A,0),MATCH(E$1,'WPP 2024 середина года'!$B$1:$U$1,0))/(1000*INDEX('SALA 2002'!$B:$U,MATCH($A32,'SALA 2002'!$A:$A,0),MATCH(E$1,'SALA 2002'!$B$1:$U$1,0))),($A32-1994)/7),INDEX('WPP 2024 середина года'!$B:$U,MATCH($A32,'WPP 2024 середина года'!$A:$A,0),MATCH(E$1,'WPP 2024 середина года'!$B$1:$U$1,0)))))</f>
        <v>4365</v>
      </c>
      <c r="F32" s="7">
        <f>IF($A32&lt;=1947,INDEX('SALA 1974'!$B:$U,MATCH($A32,'SALA 1974'!$A:$A,0),MATCH(F$1,'SALA 1974'!$B$1:$U$1,0)),IF($A32&lt;=1994,1000*INDEX('SALA 2002'!$B:$U,MATCH($A32,'SALA 2002'!$A:$A,0),MATCH(F$1,'SALA 2002'!$B$1:$U$1,0)),IF($A32&lt;=2000,1000*INDEX('SALA 2002'!$B:$U,MATCH($A32,'SALA 2002'!$A:$A,0),MATCH(F$1,'SALA 2002'!$B$1:$U$1,0))*POWER(INDEX('WPP 2024 середина года'!$B:$U,MATCH($A32,'WPP 2024 середина года'!$A:$A,0),MATCH(F$1,'WPP 2024 середина года'!$B$1:$U$1,0))/(1000*INDEX('SALA 2002'!$B:$U,MATCH($A32,'SALA 2002'!$A:$A,0),MATCH(F$1,'SALA 2002'!$B$1:$U$1,0))),($A32-1994)/7),INDEX('WPP 2024 середина года'!$B:$U,MATCH($A32,'WPP 2024 середина года'!$A:$A,0),MATCH(F$1,'WPP 2024 середина года'!$B$1:$U$1,0)))))</f>
        <v>7425</v>
      </c>
      <c r="G32" s="7">
        <f>IF($A32&lt;=1951,INDEX('SALA 1974'!$B:$U,MATCH($A32,'SALA 1974'!$A:$A,0),MATCH(G$1,'SALA 1974'!$B$1:$U$1,0)),IF($A32&lt;=1994,1000*INDEX('SALA 2002'!$B:$U,MATCH($A32,'SALA 2002'!$A:$A,0),MATCH(G$1,'SALA 2002'!$B$1:$U$1,0)),IF($A32&lt;=2000,1000*INDEX('SALA 2002'!$B:$U,MATCH($A32,'SALA 2002'!$A:$A,0),MATCH(G$1,'SALA 2002'!$B$1:$U$1,0))*POWER(INDEX('WPP 2024 середина года'!$B:$U,MATCH($A32,'WPP 2024 середина года'!$A:$A,0),MATCH(G$1,'WPP 2024 середина года'!$B$1:$U$1,0))/(1000*INDEX('SALA 2002'!$B:$U,MATCH($A32,'SALA 2002'!$A:$A,0),MATCH(G$1,'SALA 2002'!$B$1:$U$1,0))),($A32-1994)/7),INDEX('WPP 2024 середина года'!$B:$U,MATCH($A32,'WPP 2024 середина года'!$A:$A,0),MATCH(G$1,'WPP 2024 середина года'!$B$1:$U$1,0)))))</f>
        <v>499</v>
      </c>
      <c r="H32" s="7">
        <f>IF($A32&lt;=1951,INDEX('SALA 1974'!$B:$U,MATCH($A32,'SALA 1974'!$A:$A,0),MATCH(H$1,'SALA 1974'!$B$1:$U$1,0)),IF($A32&lt;=1994,1000*INDEX('SALA 2002'!$B:$U,MATCH($A32,'SALA 2002'!$A:$A,0),MATCH(H$1,'SALA 2002'!$B$1:$U$1,0)),IF($A32&lt;=2000,1000*INDEX('SALA 2002'!$B:$U,MATCH($A32,'SALA 2002'!$A:$A,0),MATCH(H$1,'SALA 2002'!$B$1:$U$1,0))*POWER(INDEX('WPP 2024 середина года'!$B:$U,MATCH($A32,'WPP 2024 середина года'!$A:$A,0),MATCH(H$1,'WPP 2024 середина года'!$B$1:$U$1,0))/(1000*INDEX('SALA 2002'!$B:$U,MATCH($A32,'SALA 2002'!$A:$A,0),MATCH(H$1,'SALA 2002'!$B$1:$U$1,0))),($A32-1994)/7),INDEX('WPP 2024 середина года'!$B:$U,MATCH($A32,'WPP 2024 середина года'!$A:$A,0),MATCH(H$1,'WPP 2024 середина года'!$B$1:$U$1,0)))))</f>
        <v>3647</v>
      </c>
      <c r="I32" s="7">
        <f>IF($A32&lt;=1951,INDEX('SALA 1974'!$B:$U,MATCH($A32,'SALA 1974'!$A:$A,0),MATCH(I$1,'SALA 1974'!$B$1:$U$1,0)),IF($A32&lt;=1994,1000*INDEX('SALA 2002'!$B:$U,MATCH($A32,'SALA 2002'!$A:$A,0),MATCH(I$1,'SALA 2002'!$B$1:$U$1,0)),IF($A32&lt;=2000,1000*INDEX('SALA 2002'!$B:$U,MATCH($A32,'SALA 2002'!$A:$A,0),MATCH(I$1,'SALA 2002'!$B$1:$U$1,0))*POWER(INDEX('WPP 2024 середина года'!$B:$U,MATCH($A32,'WPP 2024 середина года'!$A:$A,0),MATCH(I$1,'WPP 2024 середина года'!$B$1:$U$1,0))/(1000*INDEX('SALA 2002'!$B:$U,MATCH($A32,'SALA 2002'!$A:$A,0),MATCH(I$1,'SALA 2002'!$B$1:$U$1,0))),($A32-1994)/7),INDEX('WPP 2024 середина года'!$B:$U,MATCH($A32,'WPP 2024 середина года'!$A:$A,0),MATCH(I$1,'WPP 2024 середина года'!$B$1:$U$1,0)))))</f>
        <v>1256</v>
      </c>
      <c r="J32" s="7">
        <f>IF($A32&lt;=1951,INDEX('SALA 1974'!$B:$U,MATCH($A32,'SALA 1974'!$A:$A,0),MATCH(J$1,'SALA 1974'!$B$1:$U$1,0)),IF($A32&lt;=1994,1000*INDEX('SALA 2002'!$B:$U,MATCH($A32,'SALA 2002'!$A:$A,0),MATCH(J$1,'SALA 2002'!$B$1:$U$1,0)),IF($A32&lt;=2000,1000*INDEX('SALA 2002'!$B:$U,MATCH($A32,'SALA 2002'!$A:$A,0),MATCH(J$1,'SALA 2002'!$B$1:$U$1,0))*POWER(INDEX('WPP 2024 середина года'!$B:$U,MATCH($A32,'WPP 2024 середина года'!$A:$A,0),MATCH(J$1,'WPP 2024 середина года'!$B$1:$U$1,0))/(1000*INDEX('SALA 2002'!$B:$U,MATCH($A32,'SALA 2002'!$A:$A,0),MATCH(J$1,'SALA 2002'!$B$1:$U$1,0))),($A32-1994)/7),INDEX('WPP 2024 середина года'!$B:$U,MATCH($A32,'WPP 2024 середина года'!$A:$A,0),MATCH(J$1,'WPP 2024 середина года'!$B$1:$U$1,0)))))</f>
        <v>1944</v>
      </c>
      <c r="K32" s="7">
        <f>IF($A32&lt;=1951,INDEX('SALA 1974'!$B:$U,MATCH($A32,'SALA 1974'!$A:$A,0),MATCH(K$1,'SALA 1974'!$B$1:$U$1,0)),IF($A32&lt;=1994,1000*INDEX('SALA 2002'!$B:$U,MATCH($A32,'SALA 2002'!$A:$A,0),MATCH(K$1,'SALA 2002'!$B$1:$U$1,0)),IF($A32&lt;=2000,1000*INDEX('SALA 2002'!$B:$U,MATCH($A32,'SALA 2002'!$A:$A,0),MATCH(K$1,'SALA 2002'!$B$1:$U$1,0))*POWER(INDEX('WPP 2024 середина года'!$B:$U,MATCH($A32,'WPP 2024 середина года'!$A:$A,0),MATCH(K$1,'WPP 2024 середина года'!$B$1:$U$1,0))/(1000*INDEX('SALA 2002'!$B:$U,MATCH($A32,'SALA 2002'!$A:$A,0),MATCH(K$1,'SALA 2002'!$B$1:$U$1,0))),($A32-1994)/7),INDEX('WPP 2024 середина года'!$B:$U,MATCH($A32,'WPP 2024 середина года'!$A:$A,0),MATCH(K$1,'WPP 2024 середина года'!$B$1:$U$1,0)))))</f>
        <v>1443</v>
      </c>
      <c r="L32" s="7">
        <f>IF($A32&lt;=1951,INDEX('SALA 1974'!$B:$U,MATCH($A32,'SALA 1974'!$A:$A,0),MATCH(L$1,'SALA 1974'!$B$1:$U$1,0)),IF($A32&lt;=1994,1000*INDEX('SALA 2002'!$B:$U,MATCH($A32,'SALA 2002'!$A:$A,0),MATCH(L$1,'SALA 2002'!$B$1:$U$1,0)),IF($A32&lt;=2000,1000*INDEX('SALA 2002'!$B:$U,MATCH($A32,'SALA 2002'!$A:$A,0),MATCH(L$1,'SALA 2002'!$B$1:$U$1,0))*POWER(INDEX('WPP 2024 середина года'!$B:$U,MATCH($A32,'WPP 2024 середина года'!$A:$A,0),MATCH(L$1,'WPP 2024 середина года'!$B$1:$U$1,0))/(1000*INDEX('SALA 2002'!$B:$U,MATCH($A32,'SALA 2002'!$A:$A,0),MATCH(L$1,'SALA 2002'!$B$1:$U$1,0))),($A32-1994)/7),INDEX('WPP 2024 середина года'!$B:$U,MATCH($A32,'WPP 2024 середина года'!$A:$A,0),MATCH(L$1,'WPP 2024 середина года'!$B$1:$U$1,0)))))</f>
        <v>1755</v>
      </c>
      <c r="M32" s="7">
        <f>IF($A32&lt;=1951,INDEX('SALA 1974'!$B:$U,MATCH($A32,'SALA 1974'!$A:$A,0),MATCH(M$1,'SALA 1974'!$B$1:$U$1,0)),IF($A32&lt;=1994,1000*INDEX('SALA 2002'!$B:$U,MATCH($A32,'SALA 2002'!$A:$A,0),MATCH(M$1,'SALA 2002'!$B$1:$U$1,0)),IF($A32&lt;=2000,1000*INDEX('SALA 2002'!$B:$U,MATCH($A32,'SALA 2002'!$A:$A,0),MATCH(M$1,'SALA 2002'!$B$1:$U$1,0))*POWER(INDEX('WPP 2024 середина года'!$B:$U,MATCH($A32,'WPP 2024 середина года'!$A:$A,0),MATCH(M$1,'WPP 2024 середина года'!$B$1:$U$1,0))/(1000*INDEX('SALA 2002'!$B:$U,MATCH($A32,'SALA 2002'!$A:$A,0),MATCH(M$1,'SALA 2002'!$B$1:$U$1,0))),($A32-1994)/7),INDEX('WPP 2024 середина года'!$B:$U,MATCH($A32,'WPP 2024 середина года'!$A:$A,0),MATCH(M$1,'WPP 2024 середина года'!$B$1:$U$1,0)))))</f>
        <v>2422</v>
      </c>
      <c r="N32" s="7">
        <f>IF($A32&lt;=1951,INDEX('SALA 1974'!$B:$U,MATCH($A32,'SALA 1974'!$A:$A,0),MATCH(N$1,'SALA 1974'!$B$1:$U$1,0)),IF($A32&lt;=1994,1000*INDEX('SALA 2002'!$B:$U,MATCH($A32,'SALA 2002'!$A:$A,0),MATCH(N$1,'SALA 2002'!$B$1:$U$1,0)),IF($A32&lt;=2000,1000*INDEX('SALA 2002'!$B:$U,MATCH($A32,'SALA 2002'!$A:$A,0),MATCH(N$1,'SALA 2002'!$B$1:$U$1,0))*POWER(INDEX('WPP 2024 середина года'!$B:$U,MATCH($A32,'WPP 2024 середина года'!$A:$A,0),MATCH(N$1,'WPP 2024 середина года'!$B$1:$U$1,0))/(1000*INDEX('SALA 2002'!$B:$U,MATCH($A32,'SALA 2002'!$A:$A,0),MATCH(N$1,'SALA 2002'!$B$1:$U$1,0))),($A32-1994)/7),INDEX('WPP 2024 середина года'!$B:$U,MATCH($A32,'WPP 2024 середина года'!$A:$A,0),MATCH(N$1,'WPP 2024 середина года'!$B$1:$U$1,0)))))</f>
        <v>948</v>
      </c>
      <c r="O32" s="7">
        <f>IF($A32&lt;=1951,INDEX('SALA 1974'!$B:$U,MATCH($A32,'SALA 1974'!$A:$A,0),MATCH(O$1,'SALA 1974'!$B$1:$U$1,0)),IF($A32&lt;=1994,1000*INDEX('SALA 2002'!$B:$U,MATCH($A32,'SALA 2002'!$A:$A,0),MATCH(O$1,'SALA 2002'!$B$1:$U$1,0)),IF($A32&lt;=2000,1000*INDEX('SALA 2002'!$B:$U,MATCH($A32,'SALA 2002'!$A:$A,0),MATCH(O$1,'SALA 2002'!$B$1:$U$1,0))*POWER(INDEX('WPP 2024 середина года'!$B:$U,MATCH($A32,'WPP 2024 середина года'!$A:$A,0),MATCH(O$1,'WPP 2024 середина года'!$B$1:$U$1,0))/(1000*INDEX('SALA 2002'!$B:$U,MATCH($A32,'SALA 2002'!$A:$A,0),MATCH(O$1,'SALA 2002'!$B$1:$U$1,0))),($A32-1994)/7),INDEX('WPP 2024 середина года'!$B:$U,MATCH($A32,'WPP 2024 середина года'!$A:$A,0),MATCH(O$1,'WPP 2024 середина года'!$B$1:$U$1,0)))))</f>
        <v>16553</v>
      </c>
      <c r="P32" s="7">
        <f>IF($A32&lt;=1951,INDEX('SALA 1974'!$B:$U,MATCH($A32,'SALA 1974'!$A:$A,0),MATCH(P$1,'SALA 1974'!$B$1:$U$1,0)),IF($A32&lt;=1994,1000*INDEX('SALA 2002'!$B:$U,MATCH($A32,'SALA 2002'!$A:$A,0),MATCH(P$1,'SALA 2002'!$B$1:$U$1,0)),IF($A32&lt;=2000,1000*INDEX('SALA 2002'!$B:$U,MATCH($A32,'SALA 2002'!$A:$A,0),MATCH(P$1,'SALA 2002'!$B$1:$U$1,0))*POWER(INDEX('WPP 2024 середина года'!$B:$U,MATCH($A32,'WPP 2024 середина года'!$A:$A,0),MATCH(P$1,'WPP 2024 середина года'!$B$1:$U$1,0))/(1000*INDEX('SALA 2002'!$B:$U,MATCH($A32,'SALA 2002'!$A:$A,0),MATCH(P$1,'SALA 2002'!$B$1:$U$1,0))),($A32-1994)/7),INDEX('WPP 2024 середина года'!$B:$U,MATCH($A32,'WPP 2024 середина года'!$A:$A,0),MATCH(P$1,'WPP 2024 середина года'!$B$1:$U$1,0)))))</f>
        <v>683</v>
      </c>
      <c r="Q32" s="7">
        <f>IF($A32&lt;=1951,INDEX('SALA 1974'!$B:$U,MATCH($A32,'SALA 1974'!$A:$A,0),MATCH(Q$1,'SALA 1974'!$B$1:$U$1,0)),IF($A32&lt;=1994,1000*INDEX('SALA 2002'!$B:$U,MATCH($A32,'SALA 2002'!$A:$A,0),MATCH(Q$1,'SALA 2002'!$B$1:$U$1,0)),IF($A32&lt;=2000,1000*INDEX('SALA 2002'!$B:$U,MATCH($A32,'SALA 2002'!$A:$A,0),MATCH(Q$1,'SALA 2002'!$B$1:$U$1,0))*POWER(INDEX('WPP 2024 середина года'!$B:$U,MATCH($A32,'WPP 2024 середина года'!$A:$A,0),MATCH(Q$1,'WPP 2024 середина года'!$B$1:$U$1,0))/(1000*INDEX('SALA 2002'!$B:$U,MATCH($A32,'SALA 2002'!$A:$A,0),MATCH(Q$1,'SALA 2002'!$B$1:$U$1,0))),($A32-1994)/7),INDEX('WPP 2024 середина года'!$B:$U,MATCH($A32,'WPP 2024 середина года'!$A:$A,0),MATCH(Q$1,'WPP 2024 середина года'!$B$1:$U$1,0)))))</f>
        <v>471</v>
      </c>
      <c r="R32" s="7">
        <f>IF($A32&lt;=1951,INDEX('SALA 1974'!$B:$U,MATCH($A32,'SALA 1974'!$A:$A,0),MATCH(R$1,'SALA 1974'!$B$1:$U$1,0)),IF($A32&lt;=1994,1000*INDEX('SALA 2002'!$B:$U,MATCH($A32,'SALA 2002'!$A:$A,0),MATCH(R$1,'SALA 2002'!$B$1:$U$1,0)),IF($A32&lt;=2000,1000*INDEX('SALA 2002'!$B:$U,MATCH($A32,'SALA 2002'!$A:$A,0),MATCH(R$1,'SALA 2002'!$B$1:$U$1,0))*POWER(INDEX('WPP 2024 середина года'!$B:$U,MATCH($A32,'WPP 2024 середина года'!$A:$A,0),MATCH(R$1,'WPP 2024 середина года'!$B$1:$U$1,0))/(1000*INDEX('SALA 2002'!$B:$U,MATCH($A32,'SALA 2002'!$A:$A,0),MATCH(R$1,'SALA 2002'!$B$1:$U$1,0))),($A32-1994)/7),INDEX('WPP 2024 середина года'!$B:$U,MATCH($A32,'WPP 2024 середина года'!$A:$A,0),MATCH(R$1,'WPP 2024 середина года'!$B$1:$U$1,0)))))</f>
        <v>880</v>
      </c>
      <c r="S32" s="7">
        <f>IF($A32&lt;=1951,INDEX('SALA 1974'!$B:$U,MATCH($A32,'SALA 1974'!$A:$A,0),MATCH(S$1,'SALA 1974'!$B$1:$U$1,0)),IF($A32&lt;=1994,1000*INDEX('SALA 2002'!$B:$U,MATCH($A32,'SALA 2002'!$A:$A,0),MATCH(S$1,'SALA 2002'!$B$1:$U$1,0)),IF($A32&lt;=2000,1000*INDEX('SALA 2002'!$B:$U,MATCH($A32,'SALA 2002'!$A:$A,0),MATCH(S$1,'SALA 2002'!$B$1:$U$1,0))*POWER(INDEX('WPP 2024 середина года'!$B:$U,MATCH($A32,'WPP 2024 середина года'!$A:$A,0),MATCH(S$1,'WPP 2024 середина года'!$B$1:$U$1,0))/(1000*INDEX('SALA 2002'!$B:$U,MATCH($A32,'SALA 2002'!$A:$A,0),MATCH(S$1,'SALA 2002'!$B$1:$U$1,0))),($A32-1994)/7),INDEX('WPP 2024 середина года'!$B:$U,MATCH($A32,'WPP 2024 середина года'!$A:$A,0),MATCH(S$1,'WPP 2024 середина года'!$B$1:$U$1,0)))))</f>
        <v>5651</v>
      </c>
      <c r="T32" s="7">
        <f>IF($A32&lt;=1951,INDEX('SALA 1974'!$B:$U,MATCH($A32,'SALA 1974'!$A:$A,0),MATCH(T$1,'SALA 1974'!$B$1:$U$1,0)),IF($A32&lt;=1994,1000*INDEX('SALA 2002'!$B:$U,MATCH($A32,'SALA 2002'!$A:$A,0),MATCH(T$1,'SALA 2002'!$B$1:$U$1,0)),IF($A32&lt;=2000,1000*INDEX('SALA 2002'!$B:$U,MATCH($A32,'SALA 2002'!$A:$A,0),MATCH(T$1,'SALA 2002'!$B$1:$U$1,0))*POWER(INDEX('WPP 2024 середина года'!$B:$U,MATCH($A32,'WPP 2024 середина года'!$A:$A,0),MATCH(T$1,'WPP 2024 середина года'!$B$1:$U$1,0))/(1000*INDEX('SALA 2002'!$B:$U,MATCH($A32,'SALA 2002'!$A:$A,0),MATCH(T$1,'SALA 2002'!$B$1:$U$1,0))),($A32-1994)/7),INDEX('WPP 2024 середина года'!$B:$U,MATCH($A32,'WPP 2024 середина года'!$A:$A,0),MATCH(T$1,'WPP 2024 середина года'!$B$1:$U$1,0)))))</f>
        <v>1734</v>
      </c>
      <c r="U32" s="7">
        <f>IF($A32&lt;=1951,INDEX('SALA 1974'!$B:$U,MATCH($A32,'SALA 1974'!$A:$A,0),MATCH(U$1,'SALA 1974'!$B$1:$U$1,0)),IF($A32&lt;=1994,1000*INDEX('SALA 2002'!$B:$U,MATCH($A32,'SALA 2002'!$A:$A,0),MATCH(U$1,'SALA 2002'!$B$1:$U$1,0)),IF($A32&lt;=2000,1000*INDEX('SALA 2002'!$B:$U,MATCH($A32,'SALA 2002'!$A:$A,0),MATCH(U$1,'SALA 2002'!$B$1:$U$1,0))*POWER(INDEX('WPP 2024 середина года'!$B:$U,MATCH($A32,'WPP 2024 середина года'!$A:$A,0),MATCH(U$1,'WPP 2024 середина года'!$B$1:$U$1,0))/(1000*INDEX('SALA 2002'!$B:$U,MATCH($A32,'SALA 2002'!$A:$A,0),MATCH(U$1,'SALA 2002'!$B$1:$U$1,0))),($A32-1994)/7),INDEX('WPP 2024 середина года'!$B:$U,MATCH($A32,'WPP 2024 середина года'!$A:$A,0),MATCH(U$1,'WPP 2024 середина года'!$B$1:$U$1,0)))))</f>
        <v>3118</v>
      </c>
    </row>
    <row r="33" spans="1:21" x14ac:dyDescent="0.25">
      <c r="A33" s="5">
        <f t="shared" si="0"/>
        <v>1931</v>
      </c>
      <c r="B33" s="7">
        <f>IF($A33&lt;=1951,INDEX('SALA 1974'!$B:$U,MATCH($A33,'SALA 1974'!$A:$A,0),MATCH(B$1,'SALA 1974'!$B$1:$U$1,0)),IF($A33&lt;=1994,1000*INDEX('SALA 2002'!$B:$U,MATCH($A33,'SALA 2002'!$A:$A,0),MATCH(B$1,'SALA 2002'!$B$1:$U$1,0)),IF($A33&lt;=2000,1000*INDEX('SALA 2002'!$B:$U,MATCH($A33,'SALA 2002'!$A:$A,0),MATCH(B$1,'SALA 2002'!$B$1:$U$1,0))*POWER(INDEX('WPP 2024 середина года'!$B:$U,MATCH($A33,'WPP 2024 середина года'!$A:$A,0),MATCH(B$1,'WPP 2024 середина года'!$B$1:$U$1,0))/(1000*INDEX('SALA 2002'!$B:$U,MATCH($A33,'SALA 2002'!$A:$A,0),MATCH(B$1,'SALA 2002'!$B$1:$U$1,0))),($A33-1994)/7),INDEX('WPP 2024 середина года'!$B:$U,MATCH($A33,'WPP 2024 середина года'!$A:$A,0),MATCH(B$1,'WPP 2024 середина года'!$B$1:$U$1,0)))))</f>
        <v>12287</v>
      </c>
      <c r="C33" s="7">
        <f>IF($A33&lt;=1951,INDEX('SALA 1974'!$B:$U,MATCH($A33,'SALA 1974'!$A:$A,0),MATCH(C$1,'SALA 1974'!$B$1:$U$1,0)),IF($A33&lt;=1994,1000*INDEX('SALA 2002'!$B:$U,MATCH($A33,'SALA 2002'!$A:$A,0),MATCH(C$1,'SALA 2002'!$B$1:$U$1,0)),IF($A33&lt;=2000,1000*INDEX('SALA 2002'!$B:$U,MATCH($A33,'SALA 2002'!$A:$A,0),MATCH(C$1,'SALA 2002'!$B$1:$U$1,0))*POWER(INDEX('WPP 2024 середина года'!$B:$U,MATCH($A33,'WPP 2024 середина года'!$A:$A,0),MATCH(C$1,'WPP 2024 середина года'!$B$1:$U$1,0))/(1000*INDEX('SALA 2002'!$B:$U,MATCH($A33,'SALA 2002'!$A:$A,0),MATCH(C$1,'SALA 2002'!$B$1:$U$1,0))),($A33-1994)/7),INDEX('WPP 2024 середина года'!$B:$U,MATCH($A33,'WPP 2024 середина года'!$A:$A,0),MATCH(C$1,'WPP 2024 середина года'!$B$1:$U$1,0)))))</f>
        <v>2425</v>
      </c>
      <c r="D33" s="7">
        <f>IF($A33&lt;=1951,INDEX('SALA 1974'!$B:$U,MATCH($A33,'SALA 1974'!$A:$A,0),MATCH(D$1,'SALA 1974'!$B$1:$U$1,0)),IF($A33&lt;=1994,1000*INDEX('SALA 2002'!$B:$U,MATCH($A33,'SALA 2002'!$A:$A,0),MATCH(D$1,'SALA 2002'!$B$1:$U$1,0)),IF($A33&lt;=2000,1000*INDEX('SALA 2002'!$B:$U,MATCH($A33,'SALA 2002'!$A:$A,0),MATCH(D$1,'SALA 2002'!$B$1:$U$1,0))*POWER(INDEX('WPP 2024 середина года'!$B:$U,MATCH($A33,'WPP 2024 середина года'!$A:$A,0),MATCH(D$1,'WPP 2024 середина года'!$B$1:$U$1,0))/(1000*INDEX('SALA 2002'!$B:$U,MATCH($A33,'SALA 2002'!$A:$A,0),MATCH(D$1,'SALA 2002'!$B$1:$U$1,0))),($A33-1994)/7),INDEX('WPP 2024 середина года'!$B:$U,MATCH($A33,'WPP 2024 середина года'!$A:$A,0),MATCH(D$1,'WPP 2024 середина года'!$B$1:$U$1,0)))))</f>
        <v>34256</v>
      </c>
      <c r="E33" s="7">
        <f>IF($A33&lt;=1951,INDEX('SALA 1974'!$B:$U,MATCH($A33,'SALA 1974'!$A:$A,0),MATCH(E$1,'SALA 1974'!$B$1:$U$1,0)),IF($A33&lt;=1994,1000*INDEX('SALA 2002'!$B:$U,MATCH($A33,'SALA 2002'!$A:$A,0),MATCH(E$1,'SALA 2002'!$B$1:$U$1,0)),IF($A33&lt;=2000,1000*INDEX('SALA 2002'!$B:$U,MATCH($A33,'SALA 2002'!$A:$A,0),MATCH(E$1,'SALA 2002'!$B$1:$U$1,0))*POWER(INDEX('WPP 2024 середина года'!$B:$U,MATCH($A33,'WPP 2024 середина года'!$A:$A,0),MATCH(E$1,'WPP 2024 середина года'!$B$1:$U$1,0))/(1000*INDEX('SALA 2002'!$B:$U,MATCH($A33,'SALA 2002'!$A:$A,0),MATCH(E$1,'SALA 2002'!$B$1:$U$1,0))),($A33-1994)/7),INDEX('WPP 2024 середина года'!$B:$U,MATCH($A33,'WPP 2024 середина года'!$A:$A,0),MATCH(E$1,'WPP 2024 середина года'!$B$1:$U$1,0)))))</f>
        <v>4429</v>
      </c>
      <c r="F33" s="7">
        <f>IF($A33&lt;=1947,INDEX('SALA 1974'!$B:$U,MATCH($A33,'SALA 1974'!$A:$A,0),MATCH(F$1,'SALA 1974'!$B$1:$U$1,0)),IF($A33&lt;=1994,1000*INDEX('SALA 2002'!$B:$U,MATCH($A33,'SALA 2002'!$A:$A,0),MATCH(F$1,'SALA 2002'!$B$1:$U$1,0)),IF($A33&lt;=2000,1000*INDEX('SALA 2002'!$B:$U,MATCH($A33,'SALA 2002'!$A:$A,0),MATCH(F$1,'SALA 2002'!$B$1:$U$1,0))*POWER(INDEX('WPP 2024 середина года'!$B:$U,MATCH($A33,'WPP 2024 середина года'!$A:$A,0),MATCH(F$1,'WPP 2024 середина года'!$B$1:$U$1,0))/(1000*INDEX('SALA 2002'!$B:$U,MATCH($A33,'SALA 2002'!$A:$A,0),MATCH(F$1,'SALA 2002'!$B$1:$U$1,0))),($A33-1994)/7),INDEX('WPP 2024 середина года'!$B:$U,MATCH($A33,'WPP 2024 середина года'!$A:$A,0),MATCH(F$1,'WPP 2024 середина года'!$B$1:$U$1,0)))))</f>
        <v>7574</v>
      </c>
      <c r="G33" s="7">
        <f>IF($A33&lt;=1951,INDEX('SALA 1974'!$B:$U,MATCH($A33,'SALA 1974'!$A:$A,0),MATCH(G$1,'SALA 1974'!$B$1:$U$1,0)),IF($A33&lt;=1994,1000*INDEX('SALA 2002'!$B:$U,MATCH($A33,'SALA 2002'!$A:$A,0),MATCH(G$1,'SALA 2002'!$B$1:$U$1,0)),IF($A33&lt;=2000,1000*INDEX('SALA 2002'!$B:$U,MATCH($A33,'SALA 2002'!$A:$A,0),MATCH(G$1,'SALA 2002'!$B$1:$U$1,0))*POWER(INDEX('WPP 2024 середина года'!$B:$U,MATCH($A33,'WPP 2024 середина года'!$A:$A,0),MATCH(G$1,'WPP 2024 середина года'!$B$1:$U$1,0))/(1000*INDEX('SALA 2002'!$B:$U,MATCH($A33,'SALA 2002'!$A:$A,0),MATCH(G$1,'SALA 2002'!$B$1:$U$1,0))),($A33-1994)/7),INDEX('WPP 2024 середина года'!$B:$U,MATCH($A33,'WPP 2024 середина года'!$A:$A,0),MATCH(G$1,'WPP 2024 середина года'!$B$1:$U$1,0)))))</f>
        <v>508</v>
      </c>
      <c r="H33" s="7">
        <f>IF($A33&lt;=1951,INDEX('SALA 1974'!$B:$U,MATCH($A33,'SALA 1974'!$A:$A,0),MATCH(H$1,'SALA 1974'!$B$1:$U$1,0)),IF($A33&lt;=1994,1000*INDEX('SALA 2002'!$B:$U,MATCH($A33,'SALA 2002'!$A:$A,0),MATCH(H$1,'SALA 2002'!$B$1:$U$1,0)),IF($A33&lt;=2000,1000*INDEX('SALA 2002'!$B:$U,MATCH($A33,'SALA 2002'!$A:$A,0),MATCH(H$1,'SALA 2002'!$B$1:$U$1,0))*POWER(INDEX('WPP 2024 середина года'!$B:$U,MATCH($A33,'WPP 2024 середина года'!$A:$A,0),MATCH(H$1,'WPP 2024 середина года'!$B$1:$U$1,0))/(1000*INDEX('SALA 2002'!$B:$U,MATCH($A33,'SALA 2002'!$A:$A,0),MATCH(H$1,'SALA 2002'!$B$1:$U$1,0))),($A33-1994)/7),INDEX('WPP 2024 середина года'!$B:$U,MATCH($A33,'WPP 2024 середина года'!$A:$A,0),MATCH(H$1,'WPP 2024 середина года'!$B$1:$U$1,0)))))</f>
        <v>3962</v>
      </c>
      <c r="I33" s="7">
        <f>IF($A33&lt;=1951,INDEX('SALA 1974'!$B:$U,MATCH($A33,'SALA 1974'!$A:$A,0),MATCH(I$1,'SALA 1974'!$B$1:$U$1,0)),IF($A33&lt;=1994,1000*INDEX('SALA 2002'!$B:$U,MATCH($A33,'SALA 2002'!$A:$A,0),MATCH(I$1,'SALA 2002'!$B$1:$U$1,0)),IF($A33&lt;=2000,1000*INDEX('SALA 2002'!$B:$U,MATCH($A33,'SALA 2002'!$A:$A,0),MATCH(I$1,'SALA 2002'!$B$1:$U$1,0))*POWER(INDEX('WPP 2024 середина года'!$B:$U,MATCH($A33,'WPP 2024 середина года'!$A:$A,0),MATCH(I$1,'WPP 2024 середина года'!$B$1:$U$1,0))/(1000*INDEX('SALA 2002'!$B:$U,MATCH($A33,'SALA 2002'!$A:$A,0),MATCH(I$1,'SALA 2002'!$B$1:$U$1,0))),($A33-1994)/7),INDEX('WPP 2024 середина года'!$B:$U,MATCH($A33,'WPP 2024 середина года'!$A:$A,0),MATCH(I$1,'WPP 2024 середина года'!$B$1:$U$1,0)))))</f>
        <v>1300</v>
      </c>
      <c r="J33" s="7">
        <f>IF($A33&lt;=1951,INDEX('SALA 1974'!$B:$U,MATCH($A33,'SALA 1974'!$A:$A,0),MATCH(J$1,'SALA 1974'!$B$1:$U$1,0)),IF($A33&lt;=1994,1000*INDEX('SALA 2002'!$B:$U,MATCH($A33,'SALA 2002'!$A:$A,0),MATCH(J$1,'SALA 2002'!$B$1:$U$1,0)),IF($A33&lt;=2000,1000*INDEX('SALA 2002'!$B:$U,MATCH($A33,'SALA 2002'!$A:$A,0),MATCH(J$1,'SALA 2002'!$B$1:$U$1,0))*POWER(INDEX('WPP 2024 середина года'!$B:$U,MATCH($A33,'WPP 2024 середина года'!$A:$A,0),MATCH(J$1,'WPP 2024 середина года'!$B$1:$U$1,0))/(1000*INDEX('SALA 2002'!$B:$U,MATCH($A33,'SALA 2002'!$A:$A,0),MATCH(J$1,'SALA 2002'!$B$1:$U$1,0))),($A33-1994)/7),INDEX('WPP 2024 середина года'!$B:$U,MATCH($A33,'WPP 2024 середина года'!$A:$A,0),MATCH(J$1,'WPP 2024 середина года'!$B$1:$U$1,0)))))</f>
        <v>1995</v>
      </c>
      <c r="K33" s="7">
        <f>IF($A33&lt;=1951,INDEX('SALA 1974'!$B:$U,MATCH($A33,'SALA 1974'!$A:$A,0),MATCH(K$1,'SALA 1974'!$B$1:$U$1,0)),IF($A33&lt;=1994,1000*INDEX('SALA 2002'!$B:$U,MATCH($A33,'SALA 2002'!$A:$A,0),MATCH(K$1,'SALA 2002'!$B$1:$U$1,0)),IF($A33&lt;=2000,1000*INDEX('SALA 2002'!$B:$U,MATCH($A33,'SALA 2002'!$A:$A,0),MATCH(K$1,'SALA 2002'!$B$1:$U$1,0))*POWER(INDEX('WPP 2024 середина года'!$B:$U,MATCH($A33,'WPP 2024 середина года'!$A:$A,0),MATCH(K$1,'WPP 2024 середина года'!$B$1:$U$1,0))/(1000*INDEX('SALA 2002'!$B:$U,MATCH($A33,'SALA 2002'!$A:$A,0),MATCH(K$1,'SALA 2002'!$B$1:$U$1,0))),($A33-1994)/7),INDEX('WPP 2024 середина года'!$B:$U,MATCH($A33,'WPP 2024 середина года'!$A:$A,0),MATCH(K$1,'WPP 2024 середина года'!$B$1:$U$1,0)))))</f>
        <v>1456</v>
      </c>
      <c r="L33" s="7">
        <f>IF($A33&lt;=1951,INDEX('SALA 1974'!$B:$U,MATCH($A33,'SALA 1974'!$A:$A,0),MATCH(L$1,'SALA 1974'!$B$1:$U$1,0)),IF($A33&lt;=1994,1000*INDEX('SALA 2002'!$B:$U,MATCH($A33,'SALA 2002'!$A:$A,0),MATCH(L$1,'SALA 2002'!$B$1:$U$1,0)),IF($A33&lt;=2000,1000*INDEX('SALA 2002'!$B:$U,MATCH($A33,'SALA 2002'!$A:$A,0),MATCH(L$1,'SALA 2002'!$B$1:$U$1,0))*POWER(INDEX('WPP 2024 середина года'!$B:$U,MATCH($A33,'WPP 2024 середина года'!$A:$A,0),MATCH(L$1,'WPP 2024 середина года'!$B$1:$U$1,0))/(1000*INDEX('SALA 2002'!$B:$U,MATCH($A33,'SALA 2002'!$A:$A,0),MATCH(L$1,'SALA 2002'!$B$1:$U$1,0))),($A33-1994)/7),INDEX('WPP 2024 середина года'!$B:$U,MATCH($A33,'WPP 2024 середина года'!$A:$A,0),MATCH(L$1,'WPP 2024 середина года'!$B$1:$U$1,0)))))</f>
        <v>1813</v>
      </c>
      <c r="M33" s="7">
        <f>IF($A33&lt;=1951,INDEX('SALA 1974'!$B:$U,MATCH($A33,'SALA 1974'!$A:$A,0),MATCH(M$1,'SALA 1974'!$B$1:$U$1,0)),IF($A33&lt;=1994,1000*INDEX('SALA 2002'!$B:$U,MATCH($A33,'SALA 2002'!$A:$A,0),MATCH(M$1,'SALA 2002'!$B$1:$U$1,0)),IF($A33&lt;=2000,1000*INDEX('SALA 2002'!$B:$U,MATCH($A33,'SALA 2002'!$A:$A,0),MATCH(M$1,'SALA 2002'!$B$1:$U$1,0))*POWER(INDEX('WPP 2024 середина года'!$B:$U,MATCH($A33,'WPP 2024 середина года'!$A:$A,0),MATCH(M$1,'WPP 2024 середина года'!$B$1:$U$1,0))/(1000*INDEX('SALA 2002'!$B:$U,MATCH($A33,'SALA 2002'!$A:$A,0),MATCH(M$1,'SALA 2002'!$B$1:$U$1,0))),($A33-1994)/7),INDEX('WPP 2024 середина года'!$B:$U,MATCH($A33,'WPP 2024 середина года'!$A:$A,0),MATCH(M$1,'WPP 2024 середина года'!$B$1:$U$1,0)))))</f>
        <v>2460</v>
      </c>
      <c r="N33" s="7">
        <f>IF($A33&lt;=1951,INDEX('SALA 1974'!$B:$U,MATCH($A33,'SALA 1974'!$A:$A,0),MATCH(N$1,'SALA 1974'!$B$1:$U$1,0)),IF($A33&lt;=1994,1000*INDEX('SALA 2002'!$B:$U,MATCH($A33,'SALA 2002'!$A:$A,0),MATCH(N$1,'SALA 2002'!$B$1:$U$1,0)),IF($A33&lt;=2000,1000*INDEX('SALA 2002'!$B:$U,MATCH($A33,'SALA 2002'!$A:$A,0),MATCH(N$1,'SALA 2002'!$B$1:$U$1,0))*POWER(INDEX('WPP 2024 середина года'!$B:$U,MATCH($A33,'WPP 2024 середина года'!$A:$A,0),MATCH(N$1,'WPP 2024 середина года'!$B$1:$U$1,0))/(1000*INDEX('SALA 2002'!$B:$U,MATCH($A33,'SALA 2002'!$A:$A,0),MATCH(N$1,'SALA 2002'!$B$1:$U$1,0))),($A33-1994)/7),INDEX('WPP 2024 середина года'!$B:$U,MATCH($A33,'WPP 2024 середина года'!$A:$A,0),MATCH(N$1,'WPP 2024 середина года'!$B$1:$U$1,0)))))</f>
        <v>968</v>
      </c>
      <c r="O33" s="7">
        <f>IF($A33&lt;=1951,INDEX('SALA 1974'!$B:$U,MATCH($A33,'SALA 1974'!$A:$A,0),MATCH(O$1,'SALA 1974'!$B$1:$U$1,0)),IF($A33&lt;=1994,1000*INDEX('SALA 2002'!$B:$U,MATCH($A33,'SALA 2002'!$A:$A,0),MATCH(O$1,'SALA 2002'!$B$1:$U$1,0)),IF($A33&lt;=2000,1000*INDEX('SALA 2002'!$B:$U,MATCH($A33,'SALA 2002'!$A:$A,0),MATCH(O$1,'SALA 2002'!$B$1:$U$1,0))*POWER(INDEX('WPP 2024 середина года'!$B:$U,MATCH($A33,'WPP 2024 середина года'!$A:$A,0),MATCH(O$1,'WPP 2024 середина года'!$B$1:$U$1,0))/(1000*INDEX('SALA 2002'!$B:$U,MATCH($A33,'SALA 2002'!$A:$A,0),MATCH(O$1,'SALA 2002'!$B$1:$U$1,0))),($A33-1994)/7),INDEX('WPP 2024 середина года'!$B:$U,MATCH($A33,'WPP 2024 середина года'!$A:$A,0),MATCH(O$1,'WPP 2024 середина года'!$B$1:$U$1,0)))))</f>
        <v>16876</v>
      </c>
      <c r="P33" s="7">
        <f>IF($A33&lt;=1951,INDEX('SALA 1974'!$B:$U,MATCH($A33,'SALA 1974'!$A:$A,0),MATCH(P$1,'SALA 1974'!$B$1:$U$1,0)),IF($A33&lt;=1994,1000*INDEX('SALA 2002'!$B:$U,MATCH($A33,'SALA 2002'!$A:$A,0),MATCH(P$1,'SALA 2002'!$B$1:$U$1,0)),IF($A33&lt;=2000,1000*INDEX('SALA 2002'!$B:$U,MATCH($A33,'SALA 2002'!$A:$A,0),MATCH(P$1,'SALA 2002'!$B$1:$U$1,0))*POWER(INDEX('WPP 2024 середина года'!$B:$U,MATCH($A33,'WPP 2024 середина года'!$A:$A,0),MATCH(P$1,'WPP 2024 середина года'!$B$1:$U$1,0))/(1000*INDEX('SALA 2002'!$B:$U,MATCH($A33,'SALA 2002'!$A:$A,0),MATCH(P$1,'SALA 2002'!$B$1:$U$1,0))),($A33-1994)/7),INDEX('WPP 2024 середина года'!$B:$U,MATCH($A33,'WPP 2024 середина года'!$A:$A,0),MATCH(P$1,'WPP 2024 середина года'!$B$1:$U$1,0)))))</f>
        <v>687</v>
      </c>
      <c r="Q33" s="7">
        <f>IF($A33&lt;=1951,INDEX('SALA 1974'!$B:$U,MATCH($A33,'SALA 1974'!$A:$A,0),MATCH(Q$1,'SALA 1974'!$B$1:$U$1,0)),IF($A33&lt;=1994,1000*INDEX('SALA 2002'!$B:$U,MATCH($A33,'SALA 2002'!$A:$A,0),MATCH(Q$1,'SALA 2002'!$B$1:$U$1,0)),IF($A33&lt;=2000,1000*INDEX('SALA 2002'!$B:$U,MATCH($A33,'SALA 2002'!$A:$A,0),MATCH(Q$1,'SALA 2002'!$B$1:$U$1,0))*POWER(INDEX('WPP 2024 середина года'!$B:$U,MATCH($A33,'WPP 2024 середина года'!$A:$A,0),MATCH(Q$1,'WPP 2024 середина года'!$B$1:$U$1,0))/(1000*INDEX('SALA 2002'!$B:$U,MATCH($A33,'SALA 2002'!$A:$A,0),MATCH(Q$1,'SALA 2002'!$B$1:$U$1,0))),($A33-1994)/7),INDEX('WPP 2024 середина года'!$B:$U,MATCH($A33,'WPP 2024 середина года'!$A:$A,0),MATCH(Q$1,'WPP 2024 середина года'!$B$1:$U$1,0)))))</f>
        <v>486</v>
      </c>
      <c r="R33" s="7">
        <f>IF($A33&lt;=1951,INDEX('SALA 1974'!$B:$U,MATCH($A33,'SALA 1974'!$A:$A,0),MATCH(R$1,'SALA 1974'!$B$1:$U$1,0)),IF($A33&lt;=1994,1000*INDEX('SALA 2002'!$B:$U,MATCH($A33,'SALA 2002'!$A:$A,0),MATCH(R$1,'SALA 2002'!$B$1:$U$1,0)),IF($A33&lt;=2000,1000*INDEX('SALA 2002'!$B:$U,MATCH($A33,'SALA 2002'!$A:$A,0),MATCH(R$1,'SALA 2002'!$B$1:$U$1,0))*POWER(INDEX('WPP 2024 середина года'!$B:$U,MATCH($A33,'WPP 2024 середина года'!$A:$A,0),MATCH(R$1,'WPP 2024 середина года'!$B$1:$U$1,0))/(1000*INDEX('SALA 2002'!$B:$U,MATCH($A33,'SALA 2002'!$A:$A,0),MATCH(R$1,'SALA 2002'!$B$1:$U$1,0))),($A33-1994)/7),INDEX('WPP 2024 середина года'!$B:$U,MATCH($A33,'WPP 2024 середина года'!$A:$A,0),MATCH(R$1,'WPP 2024 середина года'!$B$1:$U$1,0)))))</f>
        <v>901</v>
      </c>
      <c r="S33" s="7">
        <f>IF($A33&lt;=1951,INDEX('SALA 1974'!$B:$U,MATCH($A33,'SALA 1974'!$A:$A,0),MATCH(S$1,'SALA 1974'!$B$1:$U$1,0)),IF($A33&lt;=1994,1000*INDEX('SALA 2002'!$B:$U,MATCH($A33,'SALA 2002'!$A:$A,0),MATCH(S$1,'SALA 2002'!$B$1:$U$1,0)),IF($A33&lt;=2000,1000*INDEX('SALA 2002'!$B:$U,MATCH($A33,'SALA 2002'!$A:$A,0),MATCH(S$1,'SALA 2002'!$B$1:$U$1,0))*POWER(INDEX('WPP 2024 середина года'!$B:$U,MATCH($A33,'WPP 2024 середина года'!$A:$A,0),MATCH(S$1,'WPP 2024 середина года'!$B$1:$U$1,0))/(1000*INDEX('SALA 2002'!$B:$U,MATCH($A33,'SALA 2002'!$A:$A,0),MATCH(S$1,'SALA 2002'!$B$1:$U$1,0))),($A33-1994)/7),INDEX('WPP 2024 середина года'!$B:$U,MATCH($A33,'WPP 2024 середина года'!$A:$A,0),MATCH(S$1,'WPP 2024 середина года'!$B$1:$U$1,0)))))</f>
        <v>5748</v>
      </c>
      <c r="T33" s="7">
        <f>IF($A33&lt;=1951,INDEX('SALA 1974'!$B:$U,MATCH($A33,'SALA 1974'!$A:$A,0),MATCH(T$1,'SALA 1974'!$B$1:$U$1,0)),IF($A33&lt;=1994,1000*INDEX('SALA 2002'!$B:$U,MATCH($A33,'SALA 2002'!$A:$A,0),MATCH(T$1,'SALA 2002'!$B$1:$U$1,0)),IF($A33&lt;=2000,1000*INDEX('SALA 2002'!$B:$U,MATCH($A33,'SALA 2002'!$A:$A,0),MATCH(T$1,'SALA 2002'!$B$1:$U$1,0))*POWER(INDEX('WPP 2024 середина года'!$B:$U,MATCH($A33,'WPP 2024 середина года'!$A:$A,0),MATCH(T$1,'WPP 2024 середина года'!$B$1:$U$1,0))/(1000*INDEX('SALA 2002'!$B:$U,MATCH($A33,'SALA 2002'!$A:$A,0),MATCH(T$1,'SALA 2002'!$B$1:$U$1,0))),($A33-1994)/7),INDEX('WPP 2024 середина года'!$B:$U,MATCH($A33,'WPP 2024 середина года'!$A:$A,0),MATCH(T$1,'WPP 2024 середина года'!$B$1:$U$1,0)))))</f>
        <v>1761</v>
      </c>
      <c r="U33" s="7">
        <f>IF($A33&lt;=1951,INDEX('SALA 1974'!$B:$U,MATCH($A33,'SALA 1974'!$A:$A,0),MATCH(U$1,'SALA 1974'!$B$1:$U$1,0)),IF($A33&lt;=1994,1000*INDEX('SALA 2002'!$B:$U,MATCH($A33,'SALA 2002'!$A:$A,0),MATCH(U$1,'SALA 2002'!$B$1:$U$1,0)),IF($A33&lt;=2000,1000*INDEX('SALA 2002'!$B:$U,MATCH($A33,'SALA 2002'!$A:$A,0),MATCH(U$1,'SALA 2002'!$B$1:$U$1,0))*POWER(INDEX('WPP 2024 середина года'!$B:$U,MATCH($A33,'WPP 2024 середина года'!$A:$A,0),MATCH(U$1,'WPP 2024 середина года'!$B$1:$U$1,0))/(1000*INDEX('SALA 2002'!$B:$U,MATCH($A33,'SALA 2002'!$A:$A,0),MATCH(U$1,'SALA 2002'!$B$1:$U$1,0))),($A33-1994)/7),INDEX('WPP 2024 середина года'!$B:$U,MATCH($A33,'WPP 2024 середина года'!$A:$A,0),MATCH(U$1,'WPP 2024 середина года'!$B$1:$U$1,0)))))</f>
        <v>3154</v>
      </c>
    </row>
    <row r="34" spans="1:21" x14ac:dyDescent="0.25">
      <c r="A34" s="5">
        <f t="shared" si="0"/>
        <v>1932</v>
      </c>
      <c r="B34" s="7">
        <f>IF($A34&lt;=1951,INDEX('SALA 1974'!$B:$U,MATCH($A34,'SALA 1974'!$A:$A,0),MATCH(B$1,'SALA 1974'!$B$1:$U$1,0)),IF($A34&lt;=1994,1000*INDEX('SALA 2002'!$B:$U,MATCH($A34,'SALA 2002'!$A:$A,0),MATCH(B$1,'SALA 2002'!$B$1:$U$1,0)),IF($A34&lt;=2000,1000*INDEX('SALA 2002'!$B:$U,MATCH($A34,'SALA 2002'!$A:$A,0),MATCH(B$1,'SALA 2002'!$B$1:$U$1,0))*POWER(INDEX('WPP 2024 середина года'!$B:$U,MATCH($A34,'WPP 2024 середина года'!$A:$A,0),MATCH(B$1,'WPP 2024 середина года'!$B$1:$U$1,0))/(1000*INDEX('SALA 2002'!$B:$U,MATCH($A34,'SALA 2002'!$A:$A,0),MATCH(B$1,'SALA 2002'!$B$1:$U$1,0))),($A34-1994)/7),INDEX('WPP 2024 середина года'!$B:$U,MATCH($A34,'WPP 2024 середина года'!$A:$A,0),MATCH(B$1,'WPP 2024 середина года'!$B$1:$U$1,0)))))</f>
        <v>12517</v>
      </c>
      <c r="C34" s="7">
        <f>IF($A34&lt;=1951,INDEX('SALA 1974'!$B:$U,MATCH($A34,'SALA 1974'!$A:$A,0),MATCH(C$1,'SALA 1974'!$B$1:$U$1,0)),IF($A34&lt;=1994,1000*INDEX('SALA 2002'!$B:$U,MATCH($A34,'SALA 2002'!$A:$A,0),MATCH(C$1,'SALA 2002'!$B$1:$U$1,0)),IF($A34&lt;=2000,1000*INDEX('SALA 2002'!$B:$U,MATCH($A34,'SALA 2002'!$A:$A,0),MATCH(C$1,'SALA 2002'!$B$1:$U$1,0))*POWER(INDEX('WPP 2024 середина года'!$B:$U,MATCH($A34,'WPP 2024 середина года'!$A:$A,0),MATCH(C$1,'WPP 2024 середина года'!$B$1:$U$1,0))/(1000*INDEX('SALA 2002'!$B:$U,MATCH($A34,'SALA 2002'!$A:$A,0),MATCH(C$1,'SALA 2002'!$B$1:$U$1,0))),($A34-1994)/7),INDEX('WPP 2024 середина года'!$B:$U,MATCH($A34,'WPP 2024 середина года'!$A:$A,0),MATCH(C$1,'WPP 2024 середина года'!$B$1:$U$1,0)))))</f>
        <v>2453</v>
      </c>
      <c r="D34" s="7">
        <f>IF($A34&lt;=1951,INDEX('SALA 1974'!$B:$U,MATCH($A34,'SALA 1974'!$A:$A,0),MATCH(D$1,'SALA 1974'!$B$1:$U$1,0)),IF($A34&lt;=1994,1000*INDEX('SALA 2002'!$B:$U,MATCH($A34,'SALA 2002'!$A:$A,0),MATCH(D$1,'SALA 2002'!$B$1:$U$1,0)),IF($A34&lt;=2000,1000*INDEX('SALA 2002'!$B:$U,MATCH($A34,'SALA 2002'!$A:$A,0),MATCH(D$1,'SALA 2002'!$B$1:$U$1,0))*POWER(INDEX('WPP 2024 середина года'!$B:$U,MATCH($A34,'WPP 2024 середина года'!$A:$A,0),MATCH(D$1,'WPP 2024 середина года'!$B$1:$U$1,0))/(1000*INDEX('SALA 2002'!$B:$U,MATCH($A34,'SALA 2002'!$A:$A,0),MATCH(D$1,'SALA 2002'!$B$1:$U$1,0))),($A34-1994)/7),INDEX('WPP 2024 середина года'!$B:$U,MATCH($A34,'WPP 2024 середина года'!$A:$A,0),MATCH(D$1,'WPP 2024 середина года'!$B$1:$U$1,0)))))</f>
        <v>34957</v>
      </c>
      <c r="E34" s="7">
        <f>IF($A34&lt;=1951,INDEX('SALA 1974'!$B:$U,MATCH($A34,'SALA 1974'!$A:$A,0),MATCH(E$1,'SALA 1974'!$B$1:$U$1,0)),IF($A34&lt;=1994,1000*INDEX('SALA 2002'!$B:$U,MATCH($A34,'SALA 2002'!$A:$A,0),MATCH(E$1,'SALA 2002'!$B$1:$U$1,0)),IF($A34&lt;=2000,1000*INDEX('SALA 2002'!$B:$U,MATCH($A34,'SALA 2002'!$A:$A,0),MATCH(E$1,'SALA 2002'!$B$1:$U$1,0))*POWER(INDEX('WPP 2024 середина года'!$B:$U,MATCH($A34,'WPP 2024 середина года'!$A:$A,0),MATCH(E$1,'WPP 2024 середина года'!$B$1:$U$1,0))/(1000*INDEX('SALA 2002'!$B:$U,MATCH($A34,'SALA 2002'!$A:$A,0),MATCH(E$1,'SALA 2002'!$B$1:$U$1,0))),($A34-1994)/7),INDEX('WPP 2024 середина года'!$B:$U,MATCH($A34,'WPP 2024 середина года'!$A:$A,0),MATCH(E$1,'WPP 2024 середина года'!$B$1:$U$1,0)))))</f>
        <v>4495</v>
      </c>
      <c r="F34" s="7">
        <f>IF($A34&lt;=1947,INDEX('SALA 1974'!$B:$U,MATCH($A34,'SALA 1974'!$A:$A,0),MATCH(F$1,'SALA 1974'!$B$1:$U$1,0)),IF($A34&lt;=1994,1000*INDEX('SALA 2002'!$B:$U,MATCH($A34,'SALA 2002'!$A:$A,0),MATCH(F$1,'SALA 2002'!$B$1:$U$1,0)),IF($A34&lt;=2000,1000*INDEX('SALA 2002'!$B:$U,MATCH($A34,'SALA 2002'!$A:$A,0),MATCH(F$1,'SALA 2002'!$B$1:$U$1,0))*POWER(INDEX('WPP 2024 середина года'!$B:$U,MATCH($A34,'WPP 2024 середина года'!$A:$A,0),MATCH(F$1,'WPP 2024 середина года'!$B$1:$U$1,0))/(1000*INDEX('SALA 2002'!$B:$U,MATCH($A34,'SALA 2002'!$A:$A,0),MATCH(F$1,'SALA 2002'!$B$1:$U$1,0))),($A34-1994)/7),INDEX('WPP 2024 середина года'!$B:$U,MATCH($A34,'WPP 2024 середина года'!$A:$A,0),MATCH(F$1,'WPP 2024 середина года'!$B$1:$U$1,0)))))</f>
        <v>7726</v>
      </c>
      <c r="G34" s="7">
        <f>IF($A34&lt;=1951,INDEX('SALA 1974'!$B:$U,MATCH($A34,'SALA 1974'!$A:$A,0),MATCH(G$1,'SALA 1974'!$B$1:$U$1,0)),IF($A34&lt;=1994,1000*INDEX('SALA 2002'!$B:$U,MATCH($A34,'SALA 2002'!$A:$A,0),MATCH(G$1,'SALA 2002'!$B$1:$U$1,0)),IF($A34&lt;=2000,1000*INDEX('SALA 2002'!$B:$U,MATCH($A34,'SALA 2002'!$A:$A,0),MATCH(G$1,'SALA 2002'!$B$1:$U$1,0))*POWER(INDEX('WPP 2024 середина года'!$B:$U,MATCH($A34,'WPP 2024 середина года'!$A:$A,0),MATCH(G$1,'WPP 2024 середина года'!$B$1:$U$1,0))/(1000*INDEX('SALA 2002'!$B:$U,MATCH($A34,'SALA 2002'!$A:$A,0),MATCH(G$1,'SALA 2002'!$B$1:$U$1,0))),($A34-1994)/7),INDEX('WPP 2024 середина года'!$B:$U,MATCH($A34,'WPP 2024 середина года'!$A:$A,0),MATCH(G$1,'WPP 2024 середина года'!$B$1:$U$1,0)))))</f>
        <v>518</v>
      </c>
      <c r="H34" s="7">
        <f>IF($A34&lt;=1951,INDEX('SALA 1974'!$B:$U,MATCH($A34,'SALA 1974'!$A:$A,0),MATCH(H$1,'SALA 1974'!$B$1:$U$1,0)),IF($A34&lt;=1994,1000*INDEX('SALA 2002'!$B:$U,MATCH($A34,'SALA 2002'!$A:$A,0),MATCH(H$1,'SALA 2002'!$B$1:$U$1,0)),IF($A34&lt;=2000,1000*INDEX('SALA 2002'!$B:$U,MATCH($A34,'SALA 2002'!$A:$A,0),MATCH(H$1,'SALA 2002'!$B$1:$U$1,0))*POWER(INDEX('WPP 2024 середина года'!$B:$U,MATCH($A34,'WPP 2024 середина года'!$A:$A,0),MATCH(H$1,'WPP 2024 середина года'!$B$1:$U$1,0))/(1000*INDEX('SALA 2002'!$B:$U,MATCH($A34,'SALA 2002'!$A:$A,0),MATCH(H$1,'SALA 2002'!$B$1:$U$1,0))),($A34-1994)/7),INDEX('WPP 2024 середина года'!$B:$U,MATCH($A34,'WPP 2024 середина года'!$A:$A,0),MATCH(H$1,'WPP 2024 середина года'!$B$1:$U$1,0)))))</f>
        <v>3962</v>
      </c>
      <c r="I34" s="7">
        <f>IF($A34&lt;=1951,INDEX('SALA 1974'!$B:$U,MATCH($A34,'SALA 1974'!$A:$A,0),MATCH(I$1,'SALA 1974'!$B$1:$U$1,0)),IF($A34&lt;=1994,1000*INDEX('SALA 2002'!$B:$U,MATCH($A34,'SALA 2002'!$A:$A,0),MATCH(I$1,'SALA 2002'!$B$1:$U$1,0)),IF($A34&lt;=2000,1000*INDEX('SALA 2002'!$B:$U,MATCH($A34,'SALA 2002'!$A:$A,0),MATCH(I$1,'SALA 2002'!$B$1:$U$1,0))*POWER(INDEX('WPP 2024 середина года'!$B:$U,MATCH($A34,'WPP 2024 середина года'!$A:$A,0),MATCH(I$1,'WPP 2024 середина года'!$B$1:$U$1,0))/(1000*INDEX('SALA 2002'!$B:$U,MATCH($A34,'SALA 2002'!$A:$A,0),MATCH(I$1,'SALA 2002'!$B$1:$U$1,0))),($A34-1994)/7),INDEX('WPP 2024 середина года'!$B:$U,MATCH($A34,'WPP 2024 середина года'!$A:$A,0),MATCH(I$1,'WPP 2024 середина года'!$B$1:$U$1,0)))))</f>
        <v>1345</v>
      </c>
      <c r="J34" s="7">
        <f>IF($A34&lt;=1951,INDEX('SALA 1974'!$B:$U,MATCH($A34,'SALA 1974'!$A:$A,0),MATCH(J$1,'SALA 1974'!$B$1:$U$1,0)),IF($A34&lt;=1994,1000*INDEX('SALA 2002'!$B:$U,MATCH($A34,'SALA 2002'!$A:$A,0),MATCH(J$1,'SALA 2002'!$B$1:$U$1,0)),IF($A34&lt;=2000,1000*INDEX('SALA 2002'!$B:$U,MATCH($A34,'SALA 2002'!$A:$A,0),MATCH(J$1,'SALA 2002'!$B$1:$U$1,0))*POWER(INDEX('WPP 2024 середина года'!$B:$U,MATCH($A34,'WPP 2024 середина года'!$A:$A,0),MATCH(J$1,'WPP 2024 середина года'!$B$1:$U$1,0))/(1000*INDEX('SALA 2002'!$B:$U,MATCH($A34,'SALA 2002'!$A:$A,0),MATCH(J$1,'SALA 2002'!$B$1:$U$1,0))),($A34-1994)/7),INDEX('WPP 2024 середина года'!$B:$U,MATCH($A34,'WPP 2024 середина года'!$A:$A,0),MATCH(J$1,'WPP 2024 середина года'!$B$1:$U$1,0)))))</f>
        <v>2050</v>
      </c>
      <c r="K34" s="7">
        <f>IF($A34&lt;=1951,INDEX('SALA 1974'!$B:$U,MATCH($A34,'SALA 1974'!$A:$A,0),MATCH(K$1,'SALA 1974'!$B$1:$U$1,0)),IF($A34&lt;=1994,1000*INDEX('SALA 2002'!$B:$U,MATCH($A34,'SALA 2002'!$A:$A,0),MATCH(K$1,'SALA 2002'!$B$1:$U$1,0)),IF($A34&lt;=2000,1000*INDEX('SALA 2002'!$B:$U,MATCH($A34,'SALA 2002'!$A:$A,0),MATCH(K$1,'SALA 2002'!$B$1:$U$1,0))*POWER(INDEX('WPP 2024 середина года'!$B:$U,MATCH($A34,'WPP 2024 середина года'!$A:$A,0),MATCH(K$1,'WPP 2024 середина года'!$B$1:$U$1,0))/(1000*INDEX('SALA 2002'!$B:$U,MATCH($A34,'SALA 2002'!$A:$A,0),MATCH(K$1,'SALA 2002'!$B$1:$U$1,0))),($A34-1994)/7),INDEX('WPP 2024 середина года'!$B:$U,MATCH($A34,'WPP 2024 середина года'!$A:$A,0),MATCH(K$1,'WPP 2024 середина года'!$B$1:$U$1,0)))))</f>
        <v>1474</v>
      </c>
      <c r="L34" s="7">
        <f>IF($A34&lt;=1951,INDEX('SALA 1974'!$B:$U,MATCH($A34,'SALA 1974'!$A:$A,0),MATCH(L$1,'SALA 1974'!$B$1:$U$1,0)),IF($A34&lt;=1994,1000*INDEX('SALA 2002'!$B:$U,MATCH($A34,'SALA 2002'!$A:$A,0),MATCH(L$1,'SALA 2002'!$B$1:$U$1,0)),IF($A34&lt;=2000,1000*INDEX('SALA 2002'!$B:$U,MATCH($A34,'SALA 2002'!$A:$A,0),MATCH(L$1,'SALA 2002'!$B$1:$U$1,0))*POWER(INDEX('WPP 2024 середина года'!$B:$U,MATCH($A34,'WPP 2024 середина года'!$A:$A,0),MATCH(L$1,'WPP 2024 середина года'!$B$1:$U$1,0))/(1000*INDEX('SALA 2002'!$B:$U,MATCH($A34,'SALA 2002'!$A:$A,0),MATCH(L$1,'SALA 2002'!$B$1:$U$1,0))),($A34-1994)/7),INDEX('WPP 2024 середина года'!$B:$U,MATCH($A34,'WPP 2024 середина года'!$A:$A,0),MATCH(L$1,'WPP 2024 середина года'!$B$1:$U$1,0)))))</f>
        <v>1864</v>
      </c>
      <c r="M34" s="7">
        <f>IF($A34&lt;=1951,INDEX('SALA 1974'!$B:$U,MATCH($A34,'SALA 1974'!$A:$A,0),MATCH(M$1,'SALA 1974'!$B$1:$U$1,0)),IF($A34&lt;=1994,1000*INDEX('SALA 2002'!$B:$U,MATCH($A34,'SALA 2002'!$A:$A,0),MATCH(M$1,'SALA 2002'!$B$1:$U$1,0)),IF($A34&lt;=2000,1000*INDEX('SALA 2002'!$B:$U,MATCH($A34,'SALA 2002'!$A:$A,0),MATCH(M$1,'SALA 2002'!$B$1:$U$1,0))*POWER(INDEX('WPP 2024 середина года'!$B:$U,MATCH($A34,'WPP 2024 середина года'!$A:$A,0),MATCH(M$1,'WPP 2024 середина года'!$B$1:$U$1,0))/(1000*INDEX('SALA 2002'!$B:$U,MATCH($A34,'SALA 2002'!$A:$A,0),MATCH(M$1,'SALA 2002'!$B$1:$U$1,0))),($A34-1994)/7),INDEX('WPP 2024 середина года'!$B:$U,MATCH($A34,'WPP 2024 середина года'!$A:$A,0),MATCH(M$1,'WPP 2024 середина года'!$B$1:$U$1,0)))))</f>
        <v>2498</v>
      </c>
      <c r="N34" s="7">
        <f>IF($A34&lt;=1951,INDEX('SALA 1974'!$B:$U,MATCH($A34,'SALA 1974'!$A:$A,0),MATCH(N$1,'SALA 1974'!$B$1:$U$1,0)),IF($A34&lt;=1994,1000*INDEX('SALA 2002'!$B:$U,MATCH($A34,'SALA 2002'!$A:$A,0),MATCH(N$1,'SALA 2002'!$B$1:$U$1,0)),IF($A34&lt;=2000,1000*INDEX('SALA 2002'!$B:$U,MATCH($A34,'SALA 2002'!$A:$A,0),MATCH(N$1,'SALA 2002'!$B$1:$U$1,0))*POWER(INDEX('WPP 2024 середина года'!$B:$U,MATCH($A34,'WPP 2024 середина года'!$A:$A,0),MATCH(N$1,'WPP 2024 середина года'!$B$1:$U$1,0))/(1000*INDEX('SALA 2002'!$B:$U,MATCH($A34,'SALA 2002'!$A:$A,0),MATCH(N$1,'SALA 2002'!$B$1:$U$1,0))),($A34-1994)/7),INDEX('WPP 2024 середина года'!$B:$U,MATCH($A34,'WPP 2024 середина года'!$A:$A,0),MATCH(N$1,'WPP 2024 середина года'!$B$1:$U$1,0)))))</f>
        <v>989</v>
      </c>
      <c r="O34" s="7">
        <f>IF($A34&lt;=1951,INDEX('SALA 1974'!$B:$U,MATCH($A34,'SALA 1974'!$A:$A,0),MATCH(O$1,'SALA 1974'!$B$1:$U$1,0)),IF($A34&lt;=1994,1000*INDEX('SALA 2002'!$B:$U,MATCH($A34,'SALA 2002'!$A:$A,0),MATCH(O$1,'SALA 2002'!$B$1:$U$1,0)),IF($A34&lt;=2000,1000*INDEX('SALA 2002'!$B:$U,MATCH($A34,'SALA 2002'!$A:$A,0),MATCH(O$1,'SALA 2002'!$B$1:$U$1,0))*POWER(INDEX('WPP 2024 середина года'!$B:$U,MATCH($A34,'WPP 2024 середина года'!$A:$A,0),MATCH(O$1,'WPP 2024 середина года'!$B$1:$U$1,0))/(1000*INDEX('SALA 2002'!$B:$U,MATCH($A34,'SALA 2002'!$A:$A,0),MATCH(O$1,'SALA 2002'!$B$1:$U$1,0))),($A34-1994)/7),INDEX('WPP 2024 середина года'!$B:$U,MATCH($A34,'WPP 2024 середина года'!$A:$A,0),MATCH(O$1,'WPP 2024 середина года'!$B$1:$U$1,0)))))</f>
        <v>17170</v>
      </c>
      <c r="P34" s="7">
        <f>IF($A34&lt;=1951,INDEX('SALA 1974'!$B:$U,MATCH($A34,'SALA 1974'!$A:$A,0),MATCH(P$1,'SALA 1974'!$B$1:$U$1,0)),IF($A34&lt;=1994,1000*INDEX('SALA 2002'!$B:$U,MATCH($A34,'SALA 2002'!$A:$A,0),MATCH(P$1,'SALA 2002'!$B$1:$U$1,0)),IF($A34&lt;=2000,1000*INDEX('SALA 2002'!$B:$U,MATCH($A34,'SALA 2002'!$A:$A,0),MATCH(P$1,'SALA 2002'!$B$1:$U$1,0))*POWER(INDEX('WPP 2024 середина года'!$B:$U,MATCH($A34,'WPP 2024 середина года'!$A:$A,0),MATCH(P$1,'WPP 2024 середина года'!$B$1:$U$1,0))/(1000*INDEX('SALA 2002'!$B:$U,MATCH($A34,'SALA 2002'!$A:$A,0),MATCH(P$1,'SALA 2002'!$B$1:$U$1,0))),($A34-1994)/7),INDEX('WPP 2024 середина года'!$B:$U,MATCH($A34,'WPP 2024 середина года'!$A:$A,0),MATCH(P$1,'WPP 2024 середина года'!$B$1:$U$1,0)))))</f>
        <v>692</v>
      </c>
      <c r="Q34" s="7">
        <f>IF($A34&lt;=1951,INDEX('SALA 1974'!$B:$U,MATCH($A34,'SALA 1974'!$A:$A,0),MATCH(Q$1,'SALA 1974'!$B$1:$U$1,0)),IF($A34&lt;=1994,1000*INDEX('SALA 2002'!$B:$U,MATCH($A34,'SALA 2002'!$A:$A,0),MATCH(Q$1,'SALA 2002'!$B$1:$U$1,0)),IF($A34&lt;=2000,1000*INDEX('SALA 2002'!$B:$U,MATCH($A34,'SALA 2002'!$A:$A,0),MATCH(Q$1,'SALA 2002'!$B$1:$U$1,0))*POWER(INDEX('WPP 2024 середина года'!$B:$U,MATCH($A34,'WPP 2024 середина года'!$A:$A,0),MATCH(Q$1,'WPP 2024 середина года'!$B$1:$U$1,0))/(1000*INDEX('SALA 2002'!$B:$U,MATCH($A34,'SALA 2002'!$A:$A,0),MATCH(Q$1,'SALA 2002'!$B$1:$U$1,0))),($A34-1994)/7),INDEX('WPP 2024 середина года'!$B:$U,MATCH($A34,'WPP 2024 середина года'!$A:$A,0),MATCH(Q$1,'WPP 2024 середина года'!$B$1:$U$1,0)))))</f>
        <v>501</v>
      </c>
      <c r="R34" s="7">
        <f>IF($A34&lt;=1951,INDEX('SALA 1974'!$B:$U,MATCH($A34,'SALA 1974'!$A:$A,0),MATCH(R$1,'SALA 1974'!$B$1:$U$1,0)),IF($A34&lt;=1994,1000*INDEX('SALA 2002'!$B:$U,MATCH($A34,'SALA 2002'!$A:$A,0),MATCH(R$1,'SALA 2002'!$B$1:$U$1,0)),IF($A34&lt;=2000,1000*INDEX('SALA 2002'!$B:$U,MATCH($A34,'SALA 2002'!$A:$A,0),MATCH(R$1,'SALA 2002'!$B$1:$U$1,0))*POWER(INDEX('WPP 2024 середина года'!$B:$U,MATCH($A34,'WPP 2024 середина года'!$A:$A,0),MATCH(R$1,'WPP 2024 середина года'!$B$1:$U$1,0))/(1000*INDEX('SALA 2002'!$B:$U,MATCH($A34,'SALA 2002'!$A:$A,0),MATCH(R$1,'SALA 2002'!$B$1:$U$1,0))),($A34-1994)/7),INDEX('WPP 2024 середина года'!$B:$U,MATCH($A34,'WPP 2024 середина года'!$A:$A,0),MATCH(R$1,'WPP 2024 середина года'!$B$1:$U$1,0)))))</f>
        <v>922</v>
      </c>
      <c r="S34" s="7">
        <f>IF($A34&lt;=1951,INDEX('SALA 1974'!$B:$U,MATCH($A34,'SALA 1974'!$A:$A,0),MATCH(S$1,'SALA 1974'!$B$1:$U$1,0)),IF($A34&lt;=1994,1000*INDEX('SALA 2002'!$B:$U,MATCH($A34,'SALA 2002'!$A:$A,0),MATCH(S$1,'SALA 2002'!$B$1:$U$1,0)),IF($A34&lt;=2000,1000*INDEX('SALA 2002'!$B:$U,MATCH($A34,'SALA 2002'!$A:$A,0),MATCH(S$1,'SALA 2002'!$B$1:$U$1,0))*POWER(INDEX('WPP 2024 середина года'!$B:$U,MATCH($A34,'WPP 2024 середина года'!$A:$A,0),MATCH(S$1,'WPP 2024 середина года'!$B$1:$U$1,0))/(1000*INDEX('SALA 2002'!$B:$U,MATCH($A34,'SALA 2002'!$A:$A,0),MATCH(S$1,'SALA 2002'!$B$1:$U$1,0))),($A34-1994)/7),INDEX('WPP 2024 середина года'!$B:$U,MATCH($A34,'WPP 2024 середина года'!$A:$A,0),MATCH(S$1,'WPP 2024 середина года'!$B$1:$U$1,0)))))</f>
        <v>5844</v>
      </c>
      <c r="T34" s="7">
        <f>IF($A34&lt;=1951,INDEX('SALA 1974'!$B:$U,MATCH($A34,'SALA 1974'!$A:$A,0),MATCH(T$1,'SALA 1974'!$B$1:$U$1,0)),IF($A34&lt;=1994,1000*INDEX('SALA 2002'!$B:$U,MATCH($A34,'SALA 2002'!$A:$A,0),MATCH(T$1,'SALA 2002'!$B$1:$U$1,0)),IF($A34&lt;=2000,1000*INDEX('SALA 2002'!$B:$U,MATCH($A34,'SALA 2002'!$A:$A,0),MATCH(T$1,'SALA 2002'!$B$1:$U$1,0))*POWER(INDEX('WPP 2024 середина года'!$B:$U,MATCH($A34,'WPP 2024 середина года'!$A:$A,0),MATCH(T$1,'WPP 2024 середина года'!$B$1:$U$1,0))/(1000*INDEX('SALA 2002'!$B:$U,MATCH($A34,'SALA 2002'!$A:$A,0),MATCH(T$1,'SALA 2002'!$B$1:$U$1,0))),($A34-1994)/7),INDEX('WPP 2024 середина года'!$B:$U,MATCH($A34,'WPP 2024 середина года'!$A:$A,0),MATCH(T$1,'WPP 2024 середина года'!$B$1:$U$1,0)))))</f>
        <v>1788</v>
      </c>
      <c r="U34" s="7">
        <f>IF($A34&lt;=1951,INDEX('SALA 1974'!$B:$U,MATCH($A34,'SALA 1974'!$A:$A,0),MATCH(U$1,'SALA 1974'!$B$1:$U$1,0)),IF($A34&lt;=1994,1000*INDEX('SALA 2002'!$B:$U,MATCH($A34,'SALA 2002'!$A:$A,0),MATCH(U$1,'SALA 2002'!$B$1:$U$1,0)),IF($A34&lt;=2000,1000*INDEX('SALA 2002'!$B:$U,MATCH($A34,'SALA 2002'!$A:$A,0),MATCH(U$1,'SALA 2002'!$B$1:$U$1,0))*POWER(INDEX('WPP 2024 середина года'!$B:$U,MATCH($A34,'WPP 2024 середина года'!$A:$A,0),MATCH(U$1,'WPP 2024 середина года'!$B$1:$U$1,0))/(1000*INDEX('SALA 2002'!$B:$U,MATCH($A34,'SALA 2002'!$A:$A,0),MATCH(U$1,'SALA 2002'!$B$1:$U$1,0))),($A34-1994)/7),INDEX('WPP 2024 середина года'!$B:$U,MATCH($A34,'WPP 2024 середина года'!$A:$A,0),MATCH(U$1,'WPP 2024 середина года'!$B$1:$U$1,0)))))</f>
        <v>3191</v>
      </c>
    </row>
    <row r="35" spans="1:21" x14ac:dyDescent="0.25">
      <c r="A35" s="5">
        <f t="shared" si="0"/>
        <v>1933</v>
      </c>
      <c r="B35" s="7">
        <f>IF($A35&lt;=1951,INDEX('SALA 1974'!$B:$U,MATCH($A35,'SALA 1974'!$A:$A,0),MATCH(B$1,'SALA 1974'!$B$1:$U$1,0)),IF($A35&lt;=1994,1000*INDEX('SALA 2002'!$B:$U,MATCH($A35,'SALA 2002'!$A:$A,0),MATCH(B$1,'SALA 2002'!$B$1:$U$1,0)),IF($A35&lt;=2000,1000*INDEX('SALA 2002'!$B:$U,MATCH($A35,'SALA 2002'!$A:$A,0),MATCH(B$1,'SALA 2002'!$B$1:$U$1,0))*POWER(INDEX('WPP 2024 середина года'!$B:$U,MATCH($A35,'WPP 2024 середина года'!$A:$A,0),MATCH(B$1,'WPP 2024 середина года'!$B$1:$U$1,0))/(1000*INDEX('SALA 2002'!$B:$U,MATCH($A35,'SALA 2002'!$A:$A,0),MATCH(B$1,'SALA 2002'!$B$1:$U$1,0))),($A35-1994)/7),INDEX('WPP 2024 середина года'!$B:$U,MATCH($A35,'WPP 2024 середина года'!$A:$A,0),MATCH(B$1,'WPP 2024 середина года'!$B$1:$U$1,0)))))</f>
        <v>12729</v>
      </c>
      <c r="C35" s="7">
        <f>IF($A35&lt;=1951,INDEX('SALA 1974'!$B:$U,MATCH($A35,'SALA 1974'!$A:$A,0),MATCH(C$1,'SALA 1974'!$B$1:$U$1,0)),IF($A35&lt;=1994,1000*INDEX('SALA 2002'!$B:$U,MATCH($A35,'SALA 2002'!$A:$A,0),MATCH(C$1,'SALA 2002'!$B$1:$U$1,0)),IF($A35&lt;=2000,1000*INDEX('SALA 2002'!$B:$U,MATCH($A35,'SALA 2002'!$A:$A,0),MATCH(C$1,'SALA 2002'!$B$1:$U$1,0))*POWER(INDEX('WPP 2024 середина года'!$B:$U,MATCH($A35,'WPP 2024 середина года'!$A:$A,0),MATCH(C$1,'WPP 2024 середина года'!$B$1:$U$1,0))/(1000*INDEX('SALA 2002'!$B:$U,MATCH($A35,'SALA 2002'!$A:$A,0),MATCH(C$1,'SALA 2002'!$B$1:$U$1,0))),($A35-1994)/7),INDEX('WPP 2024 середина года'!$B:$U,MATCH($A35,'WPP 2024 середина года'!$A:$A,0),MATCH(C$1,'WPP 2024 середина года'!$B$1:$U$1,0)))))</f>
        <v>2482</v>
      </c>
      <c r="D35" s="7">
        <f>IF($A35&lt;=1951,INDEX('SALA 1974'!$B:$U,MATCH($A35,'SALA 1974'!$A:$A,0),MATCH(D$1,'SALA 1974'!$B$1:$U$1,0)),IF($A35&lt;=1994,1000*INDEX('SALA 2002'!$B:$U,MATCH($A35,'SALA 2002'!$A:$A,0),MATCH(D$1,'SALA 2002'!$B$1:$U$1,0)),IF($A35&lt;=2000,1000*INDEX('SALA 2002'!$B:$U,MATCH($A35,'SALA 2002'!$A:$A,0),MATCH(D$1,'SALA 2002'!$B$1:$U$1,0))*POWER(INDEX('WPP 2024 середина года'!$B:$U,MATCH($A35,'WPP 2024 середина года'!$A:$A,0),MATCH(D$1,'WPP 2024 середина года'!$B$1:$U$1,0))/(1000*INDEX('SALA 2002'!$B:$U,MATCH($A35,'SALA 2002'!$A:$A,0),MATCH(D$1,'SALA 2002'!$B$1:$U$1,0))),($A35-1994)/7),INDEX('WPP 2024 середина года'!$B:$U,MATCH($A35,'WPP 2024 середина года'!$A:$A,0),MATCH(D$1,'WPP 2024 середина года'!$B$1:$U$1,0)))))</f>
        <v>35673</v>
      </c>
      <c r="E35" s="7">
        <f>IF($A35&lt;=1951,INDEX('SALA 1974'!$B:$U,MATCH($A35,'SALA 1974'!$A:$A,0),MATCH(E$1,'SALA 1974'!$B$1:$U$1,0)),IF($A35&lt;=1994,1000*INDEX('SALA 2002'!$B:$U,MATCH($A35,'SALA 2002'!$A:$A,0),MATCH(E$1,'SALA 2002'!$B$1:$U$1,0)),IF($A35&lt;=2000,1000*INDEX('SALA 2002'!$B:$U,MATCH($A35,'SALA 2002'!$A:$A,0),MATCH(E$1,'SALA 2002'!$B$1:$U$1,0))*POWER(INDEX('WPP 2024 середина года'!$B:$U,MATCH($A35,'WPP 2024 середина года'!$A:$A,0),MATCH(E$1,'WPP 2024 середина года'!$B$1:$U$1,0))/(1000*INDEX('SALA 2002'!$B:$U,MATCH($A35,'SALA 2002'!$A:$A,0),MATCH(E$1,'SALA 2002'!$B$1:$U$1,0))),($A35-1994)/7),INDEX('WPP 2024 середина года'!$B:$U,MATCH($A35,'WPP 2024 середина года'!$A:$A,0),MATCH(E$1,'WPP 2024 середина года'!$B$1:$U$1,0)))))</f>
        <v>4563</v>
      </c>
      <c r="F35" s="7">
        <f>IF($A35&lt;=1947,INDEX('SALA 1974'!$B:$U,MATCH($A35,'SALA 1974'!$A:$A,0),MATCH(F$1,'SALA 1974'!$B$1:$U$1,0)),IF($A35&lt;=1994,1000*INDEX('SALA 2002'!$B:$U,MATCH($A35,'SALA 2002'!$A:$A,0),MATCH(F$1,'SALA 2002'!$B$1:$U$1,0)),IF($A35&lt;=2000,1000*INDEX('SALA 2002'!$B:$U,MATCH($A35,'SALA 2002'!$A:$A,0),MATCH(F$1,'SALA 2002'!$B$1:$U$1,0))*POWER(INDEX('WPP 2024 середина года'!$B:$U,MATCH($A35,'WPP 2024 середина года'!$A:$A,0),MATCH(F$1,'WPP 2024 середина года'!$B$1:$U$1,0))/(1000*INDEX('SALA 2002'!$B:$U,MATCH($A35,'SALA 2002'!$A:$A,0),MATCH(F$1,'SALA 2002'!$B$1:$U$1,0))),($A35-1994)/7),INDEX('WPP 2024 середина года'!$B:$U,MATCH($A35,'WPP 2024 середина года'!$A:$A,0),MATCH(F$1,'WPP 2024 середина года'!$B$1:$U$1,0)))))</f>
        <v>7880</v>
      </c>
      <c r="G35" s="7">
        <f>IF($A35&lt;=1951,INDEX('SALA 1974'!$B:$U,MATCH($A35,'SALA 1974'!$A:$A,0),MATCH(G$1,'SALA 1974'!$B$1:$U$1,0)),IF($A35&lt;=1994,1000*INDEX('SALA 2002'!$B:$U,MATCH($A35,'SALA 2002'!$A:$A,0),MATCH(G$1,'SALA 2002'!$B$1:$U$1,0)),IF($A35&lt;=2000,1000*INDEX('SALA 2002'!$B:$U,MATCH($A35,'SALA 2002'!$A:$A,0),MATCH(G$1,'SALA 2002'!$B$1:$U$1,0))*POWER(INDEX('WPP 2024 середина года'!$B:$U,MATCH($A35,'WPP 2024 середина года'!$A:$A,0),MATCH(G$1,'WPP 2024 середина года'!$B$1:$U$1,0))/(1000*INDEX('SALA 2002'!$B:$U,MATCH($A35,'SALA 2002'!$A:$A,0),MATCH(G$1,'SALA 2002'!$B$1:$U$1,0))),($A35-1994)/7),INDEX('WPP 2024 середина года'!$B:$U,MATCH($A35,'WPP 2024 середина года'!$A:$A,0),MATCH(G$1,'WPP 2024 середина года'!$B$1:$U$1,0)))))</f>
        <v>528</v>
      </c>
      <c r="H35" s="7">
        <f>IF($A35&lt;=1951,INDEX('SALA 1974'!$B:$U,MATCH($A35,'SALA 1974'!$A:$A,0),MATCH(H$1,'SALA 1974'!$B$1:$U$1,0)),IF($A35&lt;=1994,1000*INDEX('SALA 2002'!$B:$U,MATCH($A35,'SALA 2002'!$A:$A,0),MATCH(H$1,'SALA 2002'!$B$1:$U$1,0)),IF($A35&lt;=2000,1000*INDEX('SALA 2002'!$B:$U,MATCH($A35,'SALA 2002'!$A:$A,0),MATCH(H$1,'SALA 2002'!$B$1:$U$1,0))*POWER(INDEX('WPP 2024 середина года'!$B:$U,MATCH($A35,'WPP 2024 середина года'!$A:$A,0),MATCH(H$1,'WPP 2024 середина года'!$B$1:$U$1,0))/(1000*INDEX('SALA 2002'!$B:$U,MATCH($A35,'SALA 2002'!$A:$A,0),MATCH(H$1,'SALA 2002'!$B$1:$U$1,0))),($A35-1994)/7),INDEX('WPP 2024 середина года'!$B:$U,MATCH($A35,'WPP 2024 середина года'!$A:$A,0),MATCH(H$1,'WPP 2024 середина года'!$B$1:$U$1,0)))))</f>
        <v>3962</v>
      </c>
      <c r="I35" s="7">
        <f>IF($A35&lt;=1951,INDEX('SALA 1974'!$B:$U,MATCH($A35,'SALA 1974'!$A:$A,0),MATCH(I$1,'SALA 1974'!$B$1:$U$1,0)),IF($A35&lt;=1994,1000*INDEX('SALA 2002'!$B:$U,MATCH($A35,'SALA 2002'!$A:$A,0),MATCH(I$1,'SALA 2002'!$B$1:$U$1,0)),IF($A35&lt;=2000,1000*INDEX('SALA 2002'!$B:$U,MATCH($A35,'SALA 2002'!$A:$A,0),MATCH(I$1,'SALA 2002'!$B$1:$U$1,0))*POWER(INDEX('WPP 2024 середина года'!$B:$U,MATCH($A35,'WPP 2024 середина года'!$A:$A,0),MATCH(I$1,'WPP 2024 середина года'!$B$1:$U$1,0))/(1000*INDEX('SALA 2002'!$B:$U,MATCH($A35,'SALA 2002'!$A:$A,0),MATCH(I$1,'SALA 2002'!$B$1:$U$1,0))),($A35-1994)/7),INDEX('WPP 2024 середина года'!$B:$U,MATCH($A35,'WPP 2024 середина года'!$A:$A,0),MATCH(I$1,'WPP 2024 середина года'!$B$1:$U$1,0)))))</f>
        <v>1391</v>
      </c>
      <c r="J35" s="7">
        <f>IF($A35&lt;=1951,INDEX('SALA 1974'!$B:$U,MATCH($A35,'SALA 1974'!$A:$A,0),MATCH(J$1,'SALA 1974'!$B$1:$U$1,0)),IF($A35&lt;=1994,1000*INDEX('SALA 2002'!$B:$U,MATCH($A35,'SALA 2002'!$A:$A,0),MATCH(J$1,'SALA 2002'!$B$1:$U$1,0)),IF($A35&lt;=2000,1000*INDEX('SALA 2002'!$B:$U,MATCH($A35,'SALA 2002'!$A:$A,0),MATCH(J$1,'SALA 2002'!$B$1:$U$1,0))*POWER(INDEX('WPP 2024 середина года'!$B:$U,MATCH($A35,'WPP 2024 середина года'!$A:$A,0),MATCH(J$1,'WPP 2024 середина года'!$B$1:$U$1,0))/(1000*INDEX('SALA 2002'!$B:$U,MATCH($A35,'SALA 2002'!$A:$A,0),MATCH(J$1,'SALA 2002'!$B$1:$U$1,0))),($A35-1994)/7),INDEX('WPP 2024 середина года'!$B:$U,MATCH($A35,'WPP 2024 середина года'!$A:$A,0),MATCH(J$1,'WPP 2024 середина года'!$B$1:$U$1,0)))))</f>
        <v>2095</v>
      </c>
      <c r="K35" s="7">
        <f>IF($A35&lt;=1951,INDEX('SALA 1974'!$B:$U,MATCH($A35,'SALA 1974'!$A:$A,0),MATCH(K$1,'SALA 1974'!$B$1:$U$1,0)),IF($A35&lt;=1994,1000*INDEX('SALA 2002'!$B:$U,MATCH($A35,'SALA 2002'!$A:$A,0),MATCH(K$1,'SALA 2002'!$B$1:$U$1,0)),IF($A35&lt;=2000,1000*INDEX('SALA 2002'!$B:$U,MATCH($A35,'SALA 2002'!$A:$A,0),MATCH(K$1,'SALA 2002'!$B$1:$U$1,0))*POWER(INDEX('WPP 2024 середина года'!$B:$U,MATCH($A35,'WPP 2024 середина года'!$A:$A,0),MATCH(K$1,'WPP 2024 середина года'!$B$1:$U$1,0))/(1000*INDEX('SALA 2002'!$B:$U,MATCH($A35,'SALA 2002'!$A:$A,0),MATCH(K$1,'SALA 2002'!$B$1:$U$1,0))),($A35-1994)/7),INDEX('WPP 2024 середина года'!$B:$U,MATCH($A35,'WPP 2024 середина года'!$A:$A,0),MATCH(K$1,'WPP 2024 середина года'!$B$1:$U$1,0)))))</f>
        <v>1493</v>
      </c>
      <c r="L35" s="7">
        <f>IF($A35&lt;=1951,INDEX('SALA 1974'!$B:$U,MATCH($A35,'SALA 1974'!$A:$A,0),MATCH(L$1,'SALA 1974'!$B$1:$U$1,0)),IF($A35&lt;=1994,1000*INDEX('SALA 2002'!$B:$U,MATCH($A35,'SALA 2002'!$A:$A,0),MATCH(L$1,'SALA 2002'!$B$1:$U$1,0)),IF($A35&lt;=2000,1000*INDEX('SALA 2002'!$B:$U,MATCH($A35,'SALA 2002'!$A:$A,0),MATCH(L$1,'SALA 2002'!$B$1:$U$1,0))*POWER(INDEX('WPP 2024 середина года'!$B:$U,MATCH($A35,'WPP 2024 середина года'!$A:$A,0),MATCH(L$1,'WPP 2024 середина года'!$B$1:$U$1,0))/(1000*INDEX('SALA 2002'!$B:$U,MATCH($A35,'SALA 2002'!$A:$A,0),MATCH(L$1,'SALA 2002'!$B$1:$U$1,0))),($A35-1994)/7),INDEX('WPP 2024 середина года'!$B:$U,MATCH($A35,'WPP 2024 середина года'!$A:$A,0),MATCH(L$1,'WPP 2024 середина года'!$B$1:$U$1,0)))))</f>
        <v>1909</v>
      </c>
      <c r="M35" s="7">
        <f>IF($A35&lt;=1951,INDEX('SALA 1974'!$B:$U,MATCH($A35,'SALA 1974'!$A:$A,0),MATCH(M$1,'SALA 1974'!$B$1:$U$1,0)),IF($A35&lt;=1994,1000*INDEX('SALA 2002'!$B:$U,MATCH($A35,'SALA 2002'!$A:$A,0),MATCH(M$1,'SALA 2002'!$B$1:$U$1,0)),IF($A35&lt;=2000,1000*INDEX('SALA 2002'!$B:$U,MATCH($A35,'SALA 2002'!$A:$A,0),MATCH(M$1,'SALA 2002'!$B$1:$U$1,0))*POWER(INDEX('WPP 2024 середина года'!$B:$U,MATCH($A35,'WPP 2024 середина года'!$A:$A,0),MATCH(M$1,'WPP 2024 середина года'!$B$1:$U$1,0))/(1000*INDEX('SALA 2002'!$B:$U,MATCH($A35,'SALA 2002'!$A:$A,0),MATCH(M$1,'SALA 2002'!$B$1:$U$1,0))),($A35-1994)/7),INDEX('WPP 2024 середина года'!$B:$U,MATCH($A35,'WPP 2024 середина года'!$A:$A,0),MATCH(M$1,'WPP 2024 середина года'!$B$1:$U$1,0)))))</f>
        <v>2535</v>
      </c>
      <c r="N35" s="7">
        <f>IF($A35&lt;=1951,INDEX('SALA 1974'!$B:$U,MATCH($A35,'SALA 1974'!$A:$A,0),MATCH(N$1,'SALA 1974'!$B$1:$U$1,0)),IF($A35&lt;=1994,1000*INDEX('SALA 2002'!$B:$U,MATCH($A35,'SALA 2002'!$A:$A,0),MATCH(N$1,'SALA 2002'!$B$1:$U$1,0)),IF($A35&lt;=2000,1000*INDEX('SALA 2002'!$B:$U,MATCH($A35,'SALA 2002'!$A:$A,0),MATCH(N$1,'SALA 2002'!$B$1:$U$1,0))*POWER(INDEX('WPP 2024 середина года'!$B:$U,MATCH($A35,'WPP 2024 середина года'!$A:$A,0),MATCH(N$1,'WPP 2024 середина года'!$B$1:$U$1,0))/(1000*INDEX('SALA 2002'!$B:$U,MATCH($A35,'SALA 2002'!$A:$A,0),MATCH(N$1,'SALA 2002'!$B$1:$U$1,0))),($A35-1994)/7),INDEX('WPP 2024 середина года'!$B:$U,MATCH($A35,'WPP 2024 середина года'!$A:$A,0),MATCH(N$1,'WPP 2024 середина года'!$B$1:$U$1,0)))))</f>
        <v>1007</v>
      </c>
      <c r="O35" s="7">
        <f>IF($A35&lt;=1951,INDEX('SALA 1974'!$B:$U,MATCH($A35,'SALA 1974'!$A:$A,0),MATCH(O$1,'SALA 1974'!$B$1:$U$1,0)),IF($A35&lt;=1994,1000*INDEX('SALA 2002'!$B:$U,MATCH($A35,'SALA 2002'!$A:$A,0),MATCH(O$1,'SALA 2002'!$B$1:$U$1,0)),IF($A35&lt;=2000,1000*INDEX('SALA 2002'!$B:$U,MATCH($A35,'SALA 2002'!$A:$A,0),MATCH(O$1,'SALA 2002'!$B$1:$U$1,0))*POWER(INDEX('WPP 2024 середина года'!$B:$U,MATCH($A35,'WPP 2024 середина года'!$A:$A,0),MATCH(O$1,'WPP 2024 середина года'!$B$1:$U$1,0))/(1000*INDEX('SALA 2002'!$B:$U,MATCH($A35,'SALA 2002'!$A:$A,0),MATCH(O$1,'SALA 2002'!$B$1:$U$1,0))),($A35-1994)/7),INDEX('WPP 2024 середина года'!$B:$U,MATCH($A35,'WPP 2024 середина года'!$A:$A,0),MATCH(O$1,'WPP 2024 середина года'!$B$1:$U$1,0)))))</f>
        <v>17470</v>
      </c>
      <c r="P35" s="7">
        <f>IF($A35&lt;=1951,INDEX('SALA 1974'!$B:$U,MATCH($A35,'SALA 1974'!$A:$A,0),MATCH(P$1,'SALA 1974'!$B$1:$U$1,0)),IF($A35&lt;=1994,1000*INDEX('SALA 2002'!$B:$U,MATCH($A35,'SALA 2002'!$A:$A,0),MATCH(P$1,'SALA 2002'!$B$1:$U$1,0)),IF($A35&lt;=2000,1000*INDEX('SALA 2002'!$B:$U,MATCH($A35,'SALA 2002'!$A:$A,0),MATCH(P$1,'SALA 2002'!$B$1:$U$1,0))*POWER(INDEX('WPP 2024 середина года'!$B:$U,MATCH($A35,'WPP 2024 середина года'!$A:$A,0),MATCH(P$1,'WPP 2024 середина года'!$B$1:$U$1,0))/(1000*INDEX('SALA 2002'!$B:$U,MATCH($A35,'SALA 2002'!$A:$A,0),MATCH(P$1,'SALA 2002'!$B$1:$U$1,0))),($A35-1994)/7),INDEX('WPP 2024 середина года'!$B:$U,MATCH($A35,'WPP 2024 середина года'!$A:$A,0),MATCH(P$1,'WPP 2024 середина года'!$B$1:$U$1,0)))))</f>
        <v>697</v>
      </c>
      <c r="Q35" s="7">
        <f>IF($A35&lt;=1951,INDEX('SALA 1974'!$B:$U,MATCH($A35,'SALA 1974'!$A:$A,0),MATCH(Q$1,'SALA 1974'!$B$1:$U$1,0)),IF($A35&lt;=1994,1000*INDEX('SALA 2002'!$B:$U,MATCH($A35,'SALA 2002'!$A:$A,0),MATCH(Q$1,'SALA 2002'!$B$1:$U$1,0)),IF($A35&lt;=2000,1000*INDEX('SALA 2002'!$B:$U,MATCH($A35,'SALA 2002'!$A:$A,0),MATCH(Q$1,'SALA 2002'!$B$1:$U$1,0))*POWER(INDEX('WPP 2024 середина года'!$B:$U,MATCH($A35,'WPP 2024 середина года'!$A:$A,0),MATCH(Q$1,'WPP 2024 середина года'!$B$1:$U$1,0))/(1000*INDEX('SALA 2002'!$B:$U,MATCH($A35,'SALA 2002'!$A:$A,0),MATCH(Q$1,'SALA 2002'!$B$1:$U$1,0))),($A35-1994)/7),INDEX('WPP 2024 середина года'!$B:$U,MATCH($A35,'WPP 2024 середина года'!$A:$A,0),MATCH(Q$1,'WPP 2024 середина года'!$B$1:$U$1,0)))))</f>
        <v>516</v>
      </c>
      <c r="R35" s="7">
        <f>IF($A35&lt;=1951,INDEX('SALA 1974'!$B:$U,MATCH($A35,'SALA 1974'!$A:$A,0),MATCH(R$1,'SALA 1974'!$B$1:$U$1,0)),IF($A35&lt;=1994,1000*INDEX('SALA 2002'!$B:$U,MATCH($A35,'SALA 2002'!$A:$A,0),MATCH(R$1,'SALA 2002'!$B$1:$U$1,0)),IF($A35&lt;=2000,1000*INDEX('SALA 2002'!$B:$U,MATCH($A35,'SALA 2002'!$A:$A,0),MATCH(R$1,'SALA 2002'!$B$1:$U$1,0))*POWER(INDEX('WPP 2024 середина года'!$B:$U,MATCH($A35,'WPP 2024 середина года'!$A:$A,0),MATCH(R$1,'WPP 2024 середина года'!$B$1:$U$1,0))/(1000*INDEX('SALA 2002'!$B:$U,MATCH($A35,'SALA 2002'!$A:$A,0),MATCH(R$1,'SALA 2002'!$B$1:$U$1,0))),($A35-1994)/7),INDEX('WPP 2024 середина года'!$B:$U,MATCH($A35,'WPP 2024 середина года'!$A:$A,0),MATCH(R$1,'WPP 2024 середина года'!$B$1:$U$1,0)))))</f>
        <v>944</v>
      </c>
      <c r="S35" s="7">
        <f>IF($A35&lt;=1951,INDEX('SALA 1974'!$B:$U,MATCH($A35,'SALA 1974'!$A:$A,0),MATCH(S$1,'SALA 1974'!$B$1:$U$1,0)),IF($A35&lt;=1994,1000*INDEX('SALA 2002'!$B:$U,MATCH($A35,'SALA 2002'!$A:$A,0),MATCH(S$1,'SALA 2002'!$B$1:$U$1,0)),IF($A35&lt;=2000,1000*INDEX('SALA 2002'!$B:$U,MATCH($A35,'SALA 2002'!$A:$A,0),MATCH(S$1,'SALA 2002'!$B$1:$U$1,0))*POWER(INDEX('WPP 2024 середина года'!$B:$U,MATCH($A35,'WPP 2024 середина года'!$A:$A,0),MATCH(S$1,'WPP 2024 середина года'!$B$1:$U$1,0))/(1000*INDEX('SALA 2002'!$B:$U,MATCH($A35,'SALA 2002'!$A:$A,0),MATCH(S$1,'SALA 2002'!$B$1:$U$1,0))),($A35-1994)/7),INDEX('WPP 2024 середина года'!$B:$U,MATCH($A35,'WPP 2024 середина года'!$A:$A,0),MATCH(S$1,'WPP 2024 середина года'!$B$1:$U$1,0)))))</f>
        <v>5941</v>
      </c>
      <c r="T35" s="7">
        <f>IF($A35&lt;=1951,INDEX('SALA 1974'!$B:$U,MATCH($A35,'SALA 1974'!$A:$A,0),MATCH(T$1,'SALA 1974'!$B$1:$U$1,0)),IF($A35&lt;=1994,1000*INDEX('SALA 2002'!$B:$U,MATCH($A35,'SALA 2002'!$A:$A,0),MATCH(T$1,'SALA 2002'!$B$1:$U$1,0)),IF($A35&lt;=2000,1000*INDEX('SALA 2002'!$B:$U,MATCH($A35,'SALA 2002'!$A:$A,0),MATCH(T$1,'SALA 2002'!$B$1:$U$1,0))*POWER(INDEX('WPP 2024 середина года'!$B:$U,MATCH($A35,'WPP 2024 середина года'!$A:$A,0),MATCH(T$1,'WPP 2024 середина года'!$B$1:$U$1,0))/(1000*INDEX('SALA 2002'!$B:$U,MATCH($A35,'SALA 2002'!$A:$A,0),MATCH(T$1,'SALA 2002'!$B$1:$U$1,0))),($A35-1994)/7),INDEX('WPP 2024 середина года'!$B:$U,MATCH($A35,'WPP 2024 середина года'!$A:$A,0),MATCH(T$1,'WPP 2024 середина года'!$B$1:$U$1,0)))))</f>
        <v>1815</v>
      </c>
      <c r="U35" s="7">
        <f>IF($A35&lt;=1951,INDEX('SALA 1974'!$B:$U,MATCH($A35,'SALA 1974'!$A:$A,0),MATCH(U$1,'SALA 1974'!$B$1:$U$1,0)),IF($A35&lt;=1994,1000*INDEX('SALA 2002'!$B:$U,MATCH($A35,'SALA 2002'!$A:$A,0),MATCH(U$1,'SALA 2002'!$B$1:$U$1,0)),IF($A35&lt;=2000,1000*INDEX('SALA 2002'!$B:$U,MATCH($A35,'SALA 2002'!$A:$A,0),MATCH(U$1,'SALA 2002'!$B$1:$U$1,0))*POWER(INDEX('WPP 2024 середина года'!$B:$U,MATCH($A35,'WPP 2024 середина года'!$A:$A,0),MATCH(U$1,'WPP 2024 середина года'!$B$1:$U$1,0))/(1000*INDEX('SALA 2002'!$B:$U,MATCH($A35,'SALA 2002'!$A:$A,0),MATCH(U$1,'SALA 2002'!$B$1:$U$1,0))),($A35-1994)/7),INDEX('WPP 2024 середина года'!$B:$U,MATCH($A35,'WPP 2024 середина года'!$A:$A,0),MATCH(U$1,'WPP 2024 середина года'!$B$1:$U$1,0)))))</f>
        <v>3227</v>
      </c>
    </row>
    <row r="36" spans="1:21" x14ac:dyDescent="0.25">
      <c r="A36" s="5">
        <f t="shared" si="0"/>
        <v>1934</v>
      </c>
      <c r="B36" s="7">
        <f>IF($A36&lt;=1951,INDEX('SALA 1974'!$B:$U,MATCH($A36,'SALA 1974'!$A:$A,0),MATCH(B$1,'SALA 1974'!$B$1:$U$1,0)),IF($A36&lt;=1994,1000*INDEX('SALA 2002'!$B:$U,MATCH($A36,'SALA 2002'!$A:$A,0),MATCH(B$1,'SALA 2002'!$B$1:$U$1,0)),IF($A36&lt;=2000,1000*INDEX('SALA 2002'!$B:$U,MATCH($A36,'SALA 2002'!$A:$A,0),MATCH(B$1,'SALA 2002'!$B$1:$U$1,0))*POWER(INDEX('WPP 2024 середина года'!$B:$U,MATCH($A36,'WPP 2024 середина года'!$A:$A,0),MATCH(B$1,'WPP 2024 середина года'!$B$1:$U$1,0))/(1000*INDEX('SALA 2002'!$B:$U,MATCH($A36,'SALA 2002'!$A:$A,0),MATCH(B$1,'SALA 2002'!$B$1:$U$1,0))),($A36-1994)/7),INDEX('WPP 2024 середина года'!$B:$U,MATCH($A36,'WPP 2024 середина года'!$A:$A,0),MATCH(B$1,'WPP 2024 середина года'!$B$1:$U$1,0)))))</f>
        <v>12940</v>
      </c>
      <c r="C36" s="7">
        <f>IF($A36&lt;=1951,INDEX('SALA 1974'!$B:$U,MATCH($A36,'SALA 1974'!$A:$A,0),MATCH(C$1,'SALA 1974'!$B$1:$U$1,0)),IF($A36&lt;=1994,1000*INDEX('SALA 2002'!$B:$U,MATCH($A36,'SALA 2002'!$A:$A,0),MATCH(C$1,'SALA 2002'!$B$1:$U$1,0)),IF($A36&lt;=2000,1000*INDEX('SALA 2002'!$B:$U,MATCH($A36,'SALA 2002'!$A:$A,0),MATCH(C$1,'SALA 2002'!$B$1:$U$1,0))*POWER(INDEX('WPP 2024 середина года'!$B:$U,MATCH($A36,'WPP 2024 середина года'!$A:$A,0),MATCH(C$1,'WPP 2024 середина года'!$B$1:$U$1,0))/(1000*INDEX('SALA 2002'!$B:$U,MATCH($A36,'SALA 2002'!$A:$A,0),MATCH(C$1,'SALA 2002'!$B$1:$U$1,0))),($A36-1994)/7),INDEX('WPP 2024 середина года'!$B:$U,MATCH($A36,'WPP 2024 середина года'!$A:$A,0),MATCH(C$1,'WPP 2024 середина года'!$B$1:$U$1,0)))))</f>
        <v>2511</v>
      </c>
      <c r="D36" s="7">
        <f>IF($A36&lt;=1951,INDEX('SALA 1974'!$B:$U,MATCH($A36,'SALA 1974'!$A:$A,0),MATCH(D$1,'SALA 1974'!$B$1:$U$1,0)),IF($A36&lt;=1994,1000*INDEX('SALA 2002'!$B:$U,MATCH($A36,'SALA 2002'!$A:$A,0),MATCH(D$1,'SALA 2002'!$B$1:$U$1,0)),IF($A36&lt;=2000,1000*INDEX('SALA 2002'!$B:$U,MATCH($A36,'SALA 2002'!$A:$A,0),MATCH(D$1,'SALA 2002'!$B$1:$U$1,0))*POWER(INDEX('WPP 2024 середина года'!$B:$U,MATCH($A36,'WPP 2024 середина года'!$A:$A,0),MATCH(D$1,'WPP 2024 середина года'!$B$1:$U$1,0))/(1000*INDEX('SALA 2002'!$B:$U,MATCH($A36,'SALA 2002'!$A:$A,0),MATCH(D$1,'SALA 2002'!$B$1:$U$1,0))),($A36-1994)/7),INDEX('WPP 2024 середина года'!$B:$U,MATCH($A36,'WPP 2024 середина года'!$A:$A,0),MATCH(D$1,'WPP 2024 середина года'!$B$1:$U$1,0)))))</f>
        <v>36404</v>
      </c>
      <c r="E36" s="7">
        <f>IF($A36&lt;=1951,INDEX('SALA 1974'!$B:$U,MATCH($A36,'SALA 1974'!$A:$A,0),MATCH(E$1,'SALA 1974'!$B$1:$U$1,0)),IF($A36&lt;=1994,1000*INDEX('SALA 2002'!$B:$U,MATCH($A36,'SALA 2002'!$A:$A,0),MATCH(E$1,'SALA 2002'!$B$1:$U$1,0)),IF($A36&lt;=2000,1000*INDEX('SALA 2002'!$B:$U,MATCH($A36,'SALA 2002'!$A:$A,0),MATCH(E$1,'SALA 2002'!$B$1:$U$1,0))*POWER(INDEX('WPP 2024 середина года'!$B:$U,MATCH($A36,'WPP 2024 середина года'!$A:$A,0),MATCH(E$1,'WPP 2024 середина года'!$B$1:$U$1,0))/(1000*INDEX('SALA 2002'!$B:$U,MATCH($A36,'SALA 2002'!$A:$A,0),MATCH(E$1,'SALA 2002'!$B$1:$U$1,0))),($A36-1994)/7),INDEX('WPP 2024 середина года'!$B:$U,MATCH($A36,'WPP 2024 середина года'!$A:$A,0),MATCH(E$1,'WPP 2024 середина года'!$B$1:$U$1,0)))))</f>
        <v>4631</v>
      </c>
      <c r="F36" s="7">
        <f>IF($A36&lt;=1947,INDEX('SALA 1974'!$B:$U,MATCH($A36,'SALA 1974'!$A:$A,0),MATCH(F$1,'SALA 1974'!$B$1:$U$1,0)),IF($A36&lt;=1994,1000*INDEX('SALA 2002'!$B:$U,MATCH($A36,'SALA 2002'!$A:$A,0),MATCH(F$1,'SALA 2002'!$B$1:$U$1,0)),IF($A36&lt;=2000,1000*INDEX('SALA 2002'!$B:$U,MATCH($A36,'SALA 2002'!$A:$A,0),MATCH(F$1,'SALA 2002'!$B$1:$U$1,0))*POWER(INDEX('WPP 2024 середина года'!$B:$U,MATCH($A36,'WPP 2024 середина года'!$A:$A,0),MATCH(F$1,'WPP 2024 середина года'!$B$1:$U$1,0))/(1000*INDEX('SALA 2002'!$B:$U,MATCH($A36,'SALA 2002'!$A:$A,0),MATCH(F$1,'SALA 2002'!$B$1:$U$1,0))),($A36-1994)/7),INDEX('WPP 2024 середина года'!$B:$U,MATCH($A36,'WPP 2024 середина года'!$A:$A,0),MATCH(F$1,'WPP 2024 середина года'!$B$1:$U$1,0)))))</f>
        <v>8038</v>
      </c>
      <c r="G36" s="7">
        <f>IF($A36&lt;=1951,INDEX('SALA 1974'!$B:$U,MATCH($A36,'SALA 1974'!$A:$A,0),MATCH(G$1,'SALA 1974'!$B$1:$U$1,0)),IF($A36&lt;=1994,1000*INDEX('SALA 2002'!$B:$U,MATCH($A36,'SALA 2002'!$A:$A,0),MATCH(G$1,'SALA 2002'!$B$1:$U$1,0)),IF($A36&lt;=2000,1000*INDEX('SALA 2002'!$B:$U,MATCH($A36,'SALA 2002'!$A:$A,0),MATCH(G$1,'SALA 2002'!$B$1:$U$1,0))*POWER(INDEX('WPP 2024 середина года'!$B:$U,MATCH($A36,'WPP 2024 середина года'!$A:$A,0),MATCH(G$1,'WPP 2024 середина года'!$B$1:$U$1,0))/(1000*INDEX('SALA 2002'!$B:$U,MATCH($A36,'SALA 2002'!$A:$A,0),MATCH(G$1,'SALA 2002'!$B$1:$U$1,0))),($A36-1994)/7),INDEX('WPP 2024 середина года'!$B:$U,MATCH($A36,'WPP 2024 середина года'!$A:$A,0),MATCH(G$1,'WPP 2024 середина года'!$B$1:$U$1,0)))))</f>
        <v>540</v>
      </c>
      <c r="H36" s="7">
        <f>IF($A36&lt;=1951,INDEX('SALA 1974'!$B:$U,MATCH($A36,'SALA 1974'!$A:$A,0),MATCH(H$1,'SALA 1974'!$B$1:$U$1,0)),IF($A36&lt;=1994,1000*INDEX('SALA 2002'!$B:$U,MATCH($A36,'SALA 2002'!$A:$A,0),MATCH(H$1,'SALA 2002'!$B$1:$U$1,0)),IF($A36&lt;=2000,1000*INDEX('SALA 2002'!$B:$U,MATCH($A36,'SALA 2002'!$A:$A,0),MATCH(H$1,'SALA 2002'!$B$1:$U$1,0))*POWER(INDEX('WPP 2024 середина года'!$B:$U,MATCH($A36,'WPP 2024 середина года'!$A:$A,0),MATCH(H$1,'WPP 2024 середина года'!$B$1:$U$1,0))/(1000*INDEX('SALA 2002'!$B:$U,MATCH($A36,'SALA 2002'!$A:$A,0),MATCH(H$1,'SALA 2002'!$B$1:$U$1,0))),($A36-1994)/7),INDEX('WPP 2024 середина года'!$B:$U,MATCH($A36,'WPP 2024 середина года'!$A:$A,0),MATCH(H$1,'WPP 2024 середина года'!$B$1:$U$1,0)))))</f>
        <v>4039</v>
      </c>
      <c r="I36" s="7">
        <f>IF($A36&lt;=1951,INDEX('SALA 1974'!$B:$U,MATCH($A36,'SALA 1974'!$A:$A,0),MATCH(I$1,'SALA 1974'!$B$1:$U$1,0)),IF($A36&lt;=1994,1000*INDEX('SALA 2002'!$B:$U,MATCH($A36,'SALA 2002'!$A:$A,0),MATCH(I$1,'SALA 2002'!$B$1:$U$1,0)),IF($A36&lt;=2000,1000*INDEX('SALA 2002'!$B:$U,MATCH($A36,'SALA 2002'!$A:$A,0),MATCH(I$1,'SALA 2002'!$B$1:$U$1,0))*POWER(INDEX('WPP 2024 середина года'!$B:$U,MATCH($A36,'WPP 2024 середина года'!$A:$A,0),MATCH(I$1,'WPP 2024 середина года'!$B$1:$U$1,0))/(1000*INDEX('SALA 2002'!$B:$U,MATCH($A36,'SALA 2002'!$A:$A,0),MATCH(I$1,'SALA 2002'!$B$1:$U$1,0))),($A36-1994)/7),INDEX('WPP 2024 середина года'!$B:$U,MATCH($A36,'WPP 2024 середина года'!$A:$A,0),MATCH(I$1,'WPP 2024 середина года'!$B$1:$U$1,0)))))</f>
        <v>1438</v>
      </c>
      <c r="J36" s="7">
        <f>IF($A36&lt;=1951,INDEX('SALA 1974'!$B:$U,MATCH($A36,'SALA 1974'!$A:$A,0),MATCH(J$1,'SALA 1974'!$B$1:$U$1,0)),IF($A36&lt;=1994,1000*INDEX('SALA 2002'!$B:$U,MATCH($A36,'SALA 2002'!$A:$A,0),MATCH(J$1,'SALA 2002'!$B$1:$U$1,0)),IF($A36&lt;=2000,1000*INDEX('SALA 2002'!$B:$U,MATCH($A36,'SALA 2002'!$A:$A,0),MATCH(J$1,'SALA 2002'!$B$1:$U$1,0))*POWER(INDEX('WPP 2024 середина года'!$B:$U,MATCH($A36,'WPP 2024 середина года'!$A:$A,0),MATCH(J$1,'WPP 2024 середина года'!$B$1:$U$1,0))/(1000*INDEX('SALA 2002'!$B:$U,MATCH($A36,'SALA 2002'!$A:$A,0),MATCH(J$1,'SALA 2002'!$B$1:$U$1,0))),($A36-1994)/7),INDEX('WPP 2024 середина года'!$B:$U,MATCH($A36,'WPP 2024 середина года'!$A:$A,0),MATCH(J$1,'WPP 2024 середина года'!$B$1:$U$1,0)))))</f>
        <v>2140</v>
      </c>
      <c r="K36" s="7">
        <f>IF($A36&lt;=1951,INDEX('SALA 1974'!$B:$U,MATCH($A36,'SALA 1974'!$A:$A,0),MATCH(K$1,'SALA 1974'!$B$1:$U$1,0)),IF($A36&lt;=1994,1000*INDEX('SALA 2002'!$B:$U,MATCH($A36,'SALA 2002'!$A:$A,0),MATCH(K$1,'SALA 2002'!$B$1:$U$1,0)),IF($A36&lt;=2000,1000*INDEX('SALA 2002'!$B:$U,MATCH($A36,'SALA 2002'!$A:$A,0),MATCH(K$1,'SALA 2002'!$B$1:$U$1,0))*POWER(INDEX('WPP 2024 середина года'!$B:$U,MATCH($A36,'WPP 2024 середина года'!$A:$A,0),MATCH(K$1,'WPP 2024 середина года'!$B$1:$U$1,0))/(1000*INDEX('SALA 2002'!$B:$U,MATCH($A36,'SALA 2002'!$A:$A,0),MATCH(K$1,'SALA 2002'!$B$1:$U$1,0))),($A36-1994)/7),INDEX('WPP 2024 середина года'!$B:$U,MATCH($A36,'WPP 2024 середина года'!$A:$A,0),MATCH(K$1,'WPP 2024 середина года'!$B$1:$U$1,0)))))</f>
        <v>1512</v>
      </c>
      <c r="L36" s="7">
        <f>IF($A36&lt;=1951,INDEX('SALA 1974'!$B:$U,MATCH($A36,'SALA 1974'!$A:$A,0),MATCH(L$1,'SALA 1974'!$B$1:$U$1,0)),IF($A36&lt;=1994,1000*INDEX('SALA 2002'!$B:$U,MATCH($A36,'SALA 2002'!$A:$A,0),MATCH(L$1,'SALA 2002'!$B$1:$U$1,0)),IF($A36&lt;=2000,1000*INDEX('SALA 2002'!$B:$U,MATCH($A36,'SALA 2002'!$A:$A,0),MATCH(L$1,'SALA 2002'!$B$1:$U$1,0))*POWER(INDEX('WPP 2024 середина года'!$B:$U,MATCH($A36,'WPP 2024 середина года'!$A:$A,0),MATCH(L$1,'WPP 2024 середина года'!$B$1:$U$1,0))/(1000*INDEX('SALA 2002'!$B:$U,MATCH($A36,'SALA 2002'!$A:$A,0),MATCH(L$1,'SALA 2002'!$B$1:$U$1,0))),($A36-1994)/7),INDEX('WPP 2024 середина года'!$B:$U,MATCH($A36,'WPP 2024 середина года'!$A:$A,0),MATCH(L$1,'WPP 2024 середина года'!$B$1:$U$1,0)))))</f>
        <v>1943</v>
      </c>
      <c r="M36" s="7">
        <f>IF($A36&lt;=1951,INDEX('SALA 1974'!$B:$U,MATCH($A36,'SALA 1974'!$A:$A,0),MATCH(M$1,'SALA 1974'!$B$1:$U$1,0)),IF($A36&lt;=1994,1000*INDEX('SALA 2002'!$B:$U,MATCH($A36,'SALA 2002'!$A:$A,0),MATCH(M$1,'SALA 2002'!$B$1:$U$1,0)),IF($A36&lt;=2000,1000*INDEX('SALA 2002'!$B:$U,MATCH($A36,'SALA 2002'!$A:$A,0),MATCH(M$1,'SALA 2002'!$B$1:$U$1,0))*POWER(INDEX('WPP 2024 середина года'!$B:$U,MATCH($A36,'WPP 2024 середина года'!$A:$A,0),MATCH(M$1,'WPP 2024 середина года'!$B$1:$U$1,0))/(1000*INDEX('SALA 2002'!$B:$U,MATCH($A36,'SALA 2002'!$A:$A,0),MATCH(M$1,'SALA 2002'!$B$1:$U$1,0))),($A36-1994)/7),INDEX('WPP 2024 середина года'!$B:$U,MATCH($A36,'WPP 2024 середина года'!$A:$A,0),MATCH(M$1,'WPP 2024 середина года'!$B$1:$U$1,0)))))</f>
        <v>2573</v>
      </c>
      <c r="N36" s="7">
        <f>IF($A36&lt;=1951,INDEX('SALA 1974'!$B:$U,MATCH($A36,'SALA 1974'!$A:$A,0),MATCH(N$1,'SALA 1974'!$B$1:$U$1,0)),IF($A36&lt;=1994,1000*INDEX('SALA 2002'!$B:$U,MATCH($A36,'SALA 2002'!$A:$A,0),MATCH(N$1,'SALA 2002'!$B$1:$U$1,0)),IF($A36&lt;=2000,1000*INDEX('SALA 2002'!$B:$U,MATCH($A36,'SALA 2002'!$A:$A,0),MATCH(N$1,'SALA 2002'!$B$1:$U$1,0))*POWER(INDEX('WPP 2024 середина года'!$B:$U,MATCH($A36,'WPP 2024 середина года'!$A:$A,0),MATCH(N$1,'WPP 2024 середина года'!$B$1:$U$1,0))/(1000*INDEX('SALA 2002'!$B:$U,MATCH($A36,'SALA 2002'!$A:$A,0),MATCH(N$1,'SALA 2002'!$B$1:$U$1,0))),($A36-1994)/7),INDEX('WPP 2024 середина года'!$B:$U,MATCH($A36,'WPP 2024 середина года'!$A:$A,0),MATCH(N$1,'WPP 2024 середина года'!$B$1:$U$1,0)))))</f>
        <v>1023</v>
      </c>
      <c r="O36" s="7">
        <f>IF($A36&lt;=1951,INDEX('SALA 1974'!$B:$U,MATCH($A36,'SALA 1974'!$A:$A,0),MATCH(O$1,'SALA 1974'!$B$1:$U$1,0)),IF($A36&lt;=1994,1000*INDEX('SALA 2002'!$B:$U,MATCH($A36,'SALA 2002'!$A:$A,0),MATCH(O$1,'SALA 2002'!$B$1:$U$1,0)),IF($A36&lt;=2000,1000*INDEX('SALA 2002'!$B:$U,MATCH($A36,'SALA 2002'!$A:$A,0),MATCH(O$1,'SALA 2002'!$B$1:$U$1,0))*POWER(INDEX('WPP 2024 середина года'!$B:$U,MATCH($A36,'WPP 2024 середина года'!$A:$A,0),MATCH(O$1,'WPP 2024 середина года'!$B$1:$U$1,0))/(1000*INDEX('SALA 2002'!$B:$U,MATCH($A36,'SALA 2002'!$A:$A,0),MATCH(O$1,'SALA 2002'!$B$1:$U$1,0))),($A36-1994)/7),INDEX('WPP 2024 середина года'!$B:$U,MATCH($A36,'WPP 2024 середина года'!$A:$A,0),MATCH(O$1,'WPP 2024 середина года'!$B$1:$U$1,0)))))</f>
        <v>17777</v>
      </c>
      <c r="P36" s="7">
        <f>IF($A36&lt;=1951,INDEX('SALA 1974'!$B:$U,MATCH($A36,'SALA 1974'!$A:$A,0),MATCH(P$1,'SALA 1974'!$B$1:$U$1,0)),IF($A36&lt;=1994,1000*INDEX('SALA 2002'!$B:$U,MATCH($A36,'SALA 2002'!$A:$A,0),MATCH(P$1,'SALA 2002'!$B$1:$U$1,0)),IF($A36&lt;=2000,1000*INDEX('SALA 2002'!$B:$U,MATCH($A36,'SALA 2002'!$A:$A,0),MATCH(P$1,'SALA 2002'!$B$1:$U$1,0))*POWER(INDEX('WPP 2024 середина года'!$B:$U,MATCH($A36,'WPP 2024 середина года'!$A:$A,0),MATCH(P$1,'WPP 2024 середина года'!$B$1:$U$1,0))/(1000*INDEX('SALA 2002'!$B:$U,MATCH($A36,'SALA 2002'!$A:$A,0),MATCH(P$1,'SALA 2002'!$B$1:$U$1,0))),($A36-1994)/7),INDEX('WPP 2024 середина года'!$B:$U,MATCH($A36,'WPP 2024 середина года'!$A:$A,0),MATCH(P$1,'WPP 2024 середина года'!$B$1:$U$1,0)))))</f>
        <v>711</v>
      </c>
      <c r="Q36" s="7">
        <f>IF($A36&lt;=1951,INDEX('SALA 1974'!$B:$U,MATCH($A36,'SALA 1974'!$A:$A,0),MATCH(Q$1,'SALA 1974'!$B$1:$U$1,0)),IF($A36&lt;=1994,1000*INDEX('SALA 2002'!$B:$U,MATCH($A36,'SALA 2002'!$A:$A,0),MATCH(Q$1,'SALA 2002'!$B$1:$U$1,0)),IF($A36&lt;=2000,1000*INDEX('SALA 2002'!$B:$U,MATCH($A36,'SALA 2002'!$A:$A,0),MATCH(Q$1,'SALA 2002'!$B$1:$U$1,0))*POWER(INDEX('WPP 2024 середина года'!$B:$U,MATCH($A36,'WPP 2024 середина года'!$A:$A,0),MATCH(Q$1,'WPP 2024 середина года'!$B$1:$U$1,0))/(1000*INDEX('SALA 2002'!$B:$U,MATCH($A36,'SALA 2002'!$A:$A,0),MATCH(Q$1,'SALA 2002'!$B$1:$U$1,0))),($A36-1994)/7),INDEX('WPP 2024 середина года'!$B:$U,MATCH($A36,'WPP 2024 середина года'!$A:$A,0),MATCH(Q$1,'WPP 2024 середина года'!$B$1:$U$1,0)))))</f>
        <v>531</v>
      </c>
      <c r="R36" s="7">
        <f>IF($A36&lt;=1951,INDEX('SALA 1974'!$B:$U,MATCH($A36,'SALA 1974'!$A:$A,0),MATCH(R$1,'SALA 1974'!$B$1:$U$1,0)),IF($A36&lt;=1994,1000*INDEX('SALA 2002'!$B:$U,MATCH($A36,'SALA 2002'!$A:$A,0),MATCH(R$1,'SALA 2002'!$B$1:$U$1,0)),IF($A36&lt;=2000,1000*INDEX('SALA 2002'!$B:$U,MATCH($A36,'SALA 2002'!$A:$A,0),MATCH(R$1,'SALA 2002'!$B$1:$U$1,0))*POWER(INDEX('WPP 2024 середина года'!$B:$U,MATCH($A36,'WPP 2024 середина года'!$A:$A,0),MATCH(R$1,'WPP 2024 середина года'!$B$1:$U$1,0))/(1000*INDEX('SALA 2002'!$B:$U,MATCH($A36,'SALA 2002'!$A:$A,0),MATCH(R$1,'SALA 2002'!$B$1:$U$1,0))),($A36-1994)/7),INDEX('WPP 2024 середина года'!$B:$U,MATCH($A36,'WPP 2024 середина года'!$A:$A,0),MATCH(R$1,'WPP 2024 середина года'!$B$1:$U$1,0)))))</f>
        <v>966</v>
      </c>
      <c r="S36" s="7">
        <f>IF($A36&lt;=1951,INDEX('SALA 1974'!$B:$U,MATCH($A36,'SALA 1974'!$A:$A,0),MATCH(S$1,'SALA 1974'!$B$1:$U$1,0)),IF($A36&lt;=1994,1000*INDEX('SALA 2002'!$B:$U,MATCH($A36,'SALA 2002'!$A:$A,0),MATCH(S$1,'SALA 2002'!$B$1:$U$1,0)),IF($A36&lt;=2000,1000*INDEX('SALA 2002'!$B:$U,MATCH($A36,'SALA 2002'!$A:$A,0),MATCH(S$1,'SALA 2002'!$B$1:$U$1,0))*POWER(INDEX('WPP 2024 середина года'!$B:$U,MATCH($A36,'WPP 2024 середина года'!$A:$A,0),MATCH(S$1,'WPP 2024 середина года'!$B$1:$U$1,0))/(1000*INDEX('SALA 2002'!$B:$U,MATCH($A36,'SALA 2002'!$A:$A,0),MATCH(S$1,'SALA 2002'!$B$1:$U$1,0))),($A36-1994)/7),INDEX('WPP 2024 середина года'!$B:$U,MATCH($A36,'WPP 2024 середина года'!$A:$A,0),MATCH(S$1,'WPP 2024 середина года'!$B$1:$U$1,0)))))</f>
        <v>6037</v>
      </c>
      <c r="T36" s="7">
        <f>IF($A36&lt;=1951,INDEX('SALA 1974'!$B:$U,MATCH($A36,'SALA 1974'!$A:$A,0),MATCH(T$1,'SALA 1974'!$B$1:$U$1,0)),IF($A36&lt;=1994,1000*INDEX('SALA 2002'!$B:$U,MATCH($A36,'SALA 2002'!$A:$A,0),MATCH(T$1,'SALA 2002'!$B$1:$U$1,0)),IF($A36&lt;=2000,1000*INDEX('SALA 2002'!$B:$U,MATCH($A36,'SALA 2002'!$A:$A,0),MATCH(T$1,'SALA 2002'!$B$1:$U$1,0))*POWER(INDEX('WPP 2024 середина года'!$B:$U,MATCH($A36,'WPP 2024 середина года'!$A:$A,0),MATCH(T$1,'WPP 2024 середина года'!$B$1:$U$1,0))/(1000*INDEX('SALA 2002'!$B:$U,MATCH($A36,'SALA 2002'!$A:$A,0),MATCH(T$1,'SALA 2002'!$B$1:$U$1,0))),($A36-1994)/7),INDEX('WPP 2024 середина года'!$B:$U,MATCH($A36,'WPP 2024 середина года'!$A:$A,0),MATCH(T$1,'WPP 2024 середина года'!$B$1:$U$1,0)))))</f>
        <v>1842</v>
      </c>
      <c r="U36" s="7">
        <f>IF($A36&lt;=1951,INDEX('SALA 1974'!$B:$U,MATCH($A36,'SALA 1974'!$A:$A,0),MATCH(U$1,'SALA 1974'!$B$1:$U$1,0)),IF($A36&lt;=1994,1000*INDEX('SALA 2002'!$B:$U,MATCH($A36,'SALA 2002'!$A:$A,0),MATCH(U$1,'SALA 2002'!$B$1:$U$1,0)),IF($A36&lt;=2000,1000*INDEX('SALA 2002'!$B:$U,MATCH($A36,'SALA 2002'!$A:$A,0),MATCH(U$1,'SALA 2002'!$B$1:$U$1,0))*POWER(INDEX('WPP 2024 середина года'!$B:$U,MATCH($A36,'WPP 2024 середина года'!$A:$A,0),MATCH(U$1,'WPP 2024 середина года'!$B$1:$U$1,0))/(1000*INDEX('SALA 2002'!$B:$U,MATCH($A36,'SALA 2002'!$A:$A,0),MATCH(U$1,'SALA 2002'!$B$1:$U$1,0))),($A36-1994)/7),INDEX('WPP 2024 середина года'!$B:$U,MATCH($A36,'WPP 2024 середина года'!$A:$A,0),MATCH(U$1,'WPP 2024 середина года'!$B$1:$U$1,0)))))</f>
        <v>3264</v>
      </c>
    </row>
    <row r="37" spans="1:21" x14ac:dyDescent="0.25">
      <c r="A37" s="5">
        <f t="shared" si="0"/>
        <v>1935</v>
      </c>
      <c r="B37" s="7">
        <f>IF($A37&lt;=1951,INDEX('SALA 1974'!$B:$U,MATCH($A37,'SALA 1974'!$A:$A,0),MATCH(B$1,'SALA 1974'!$B$1:$U$1,0)),IF($A37&lt;=1994,1000*INDEX('SALA 2002'!$B:$U,MATCH($A37,'SALA 2002'!$A:$A,0),MATCH(B$1,'SALA 2002'!$B$1:$U$1,0)),IF($A37&lt;=2000,1000*INDEX('SALA 2002'!$B:$U,MATCH($A37,'SALA 2002'!$A:$A,0),MATCH(B$1,'SALA 2002'!$B$1:$U$1,0))*POWER(INDEX('WPP 2024 середина года'!$B:$U,MATCH($A37,'WPP 2024 середина года'!$A:$A,0),MATCH(B$1,'WPP 2024 середина года'!$B$1:$U$1,0))/(1000*INDEX('SALA 2002'!$B:$U,MATCH($A37,'SALA 2002'!$A:$A,0),MATCH(B$1,'SALA 2002'!$B$1:$U$1,0))),($A37-1994)/7),INDEX('WPP 2024 середина года'!$B:$U,MATCH($A37,'WPP 2024 середина года'!$A:$A,0),MATCH(B$1,'WPP 2024 середина года'!$B$1:$U$1,0)))))</f>
        <v>13148</v>
      </c>
      <c r="C37" s="7">
        <f>IF($A37&lt;=1951,INDEX('SALA 1974'!$B:$U,MATCH($A37,'SALA 1974'!$A:$A,0),MATCH(C$1,'SALA 1974'!$B$1:$U$1,0)),IF($A37&lt;=1994,1000*INDEX('SALA 2002'!$B:$U,MATCH($A37,'SALA 2002'!$A:$A,0),MATCH(C$1,'SALA 2002'!$B$1:$U$1,0)),IF($A37&lt;=2000,1000*INDEX('SALA 2002'!$B:$U,MATCH($A37,'SALA 2002'!$A:$A,0),MATCH(C$1,'SALA 2002'!$B$1:$U$1,0))*POWER(INDEX('WPP 2024 середина года'!$B:$U,MATCH($A37,'WPP 2024 середина года'!$A:$A,0),MATCH(C$1,'WPP 2024 середина года'!$B$1:$U$1,0))/(1000*INDEX('SALA 2002'!$B:$U,MATCH($A37,'SALA 2002'!$A:$A,0),MATCH(C$1,'SALA 2002'!$B$1:$U$1,0))),($A37-1994)/7),INDEX('WPP 2024 середина года'!$B:$U,MATCH($A37,'WPP 2024 середина года'!$A:$A,0),MATCH(C$1,'WPP 2024 середина года'!$B$1:$U$1,0)))))</f>
        <v>2540</v>
      </c>
      <c r="D37" s="7">
        <f>IF($A37&lt;=1951,INDEX('SALA 1974'!$B:$U,MATCH($A37,'SALA 1974'!$A:$A,0),MATCH(D$1,'SALA 1974'!$B$1:$U$1,0)),IF($A37&lt;=1994,1000*INDEX('SALA 2002'!$B:$U,MATCH($A37,'SALA 2002'!$A:$A,0),MATCH(D$1,'SALA 2002'!$B$1:$U$1,0)),IF($A37&lt;=2000,1000*INDEX('SALA 2002'!$B:$U,MATCH($A37,'SALA 2002'!$A:$A,0),MATCH(D$1,'SALA 2002'!$B$1:$U$1,0))*POWER(INDEX('WPP 2024 середина года'!$B:$U,MATCH($A37,'WPP 2024 середина года'!$A:$A,0),MATCH(D$1,'WPP 2024 середина года'!$B$1:$U$1,0))/(1000*INDEX('SALA 2002'!$B:$U,MATCH($A37,'SALA 2002'!$A:$A,0),MATCH(D$1,'SALA 2002'!$B$1:$U$1,0))),($A37-1994)/7),INDEX('WPP 2024 середина года'!$B:$U,MATCH($A37,'WPP 2024 середина года'!$A:$A,0),MATCH(D$1,'WPP 2024 середина года'!$B$1:$U$1,0)))))</f>
        <v>37150</v>
      </c>
      <c r="E37" s="7">
        <f>IF($A37&lt;=1951,INDEX('SALA 1974'!$B:$U,MATCH($A37,'SALA 1974'!$A:$A,0),MATCH(E$1,'SALA 1974'!$B$1:$U$1,0)),IF($A37&lt;=1994,1000*INDEX('SALA 2002'!$B:$U,MATCH($A37,'SALA 2002'!$A:$A,0),MATCH(E$1,'SALA 2002'!$B$1:$U$1,0)),IF($A37&lt;=2000,1000*INDEX('SALA 2002'!$B:$U,MATCH($A37,'SALA 2002'!$A:$A,0),MATCH(E$1,'SALA 2002'!$B$1:$U$1,0))*POWER(INDEX('WPP 2024 середина года'!$B:$U,MATCH($A37,'WPP 2024 середина года'!$A:$A,0),MATCH(E$1,'WPP 2024 середина года'!$B$1:$U$1,0))/(1000*INDEX('SALA 2002'!$B:$U,MATCH($A37,'SALA 2002'!$A:$A,0),MATCH(E$1,'SALA 2002'!$B$1:$U$1,0))),($A37-1994)/7),INDEX('WPP 2024 середина года'!$B:$U,MATCH($A37,'WPP 2024 середина года'!$A:$A,0),MATCH(E$1,'WPP 2024 середина года'!$B$1:$U$1,0)))))</f>
        <v>4700</v>
      </c>
      <c r="F37" s="7">
        <f>IF($A37&lt;=1947,INDEX('SALA 1974'!$B:$U,MATCH($A37,'SALA 1974'!$A:$A,0),MATCH(F$1,'SALA 1974'!$B$1:$U$1,0)),IF($A37&lt;=1994,1000*INDEX('SALA 2002'!$B:$U,MATCH($A37,'SALA 2002'!$A:$A,0),MATCH(F$1,'SALA 2002'!$B$1:$U$1,0)),IF($A37&lt;=2000,1000*INDEX('SALA 2002'!$B:$U,MATCH($A37,'SALA 2002'!$A:$A,0),MATCH(F$1,'SALA 2002'!$B$1:$U$1,0))*POWER(INDEX('WPP 2024 середина года'!$B:$U,MATCH($A37,'WPP 2024 середина года'!$A:$A,0),MATCH(F$1,'WPP 2024 середина года'!$B$1:$U$1,0))/(1000*INDEX('SALA 2002'!$B:$U,MATCH($A37,'SALA 2002'!$A:$A,0),MATCH(F$1,'SALA 2002'!$B$1:$U$1,0))),($A37-1994)/7),INDEX('WPP 2024 середина года'!$B:$U,MATCH($A37,'WPP 2024 середина года'!$A:$A,0),MATCH(F$1,'WPP 2024 середина года'!$B$1:$U$1,0)))))</f>
        <v>8199</v>
      </c>
      <c r="G37" s="7">
        <f>IF($A37&lt;=1951,INDEX('SALA 1974'!$B:$U,MATCH($A37,'SALA 1974'!$A:$A,0),MATCH(G$1,'SALA 1974'!$B$1:$U$1,0)),IF($A37&lt;=1994,1000*INDEX('SALA 2002'!$B:$U,MATCH($A37,'SALA 2002'!$A:$A,0),MATCH(G$1,'SALA 2002'!$B$1:$U$1,0)),IF($A37&lt;=2000,1000*INDEX('SALA 2002'!$B:$U,MATCH($A37,'SALA 2002'!$A:$A,0),MATCH(G$1,'SALA 2002'!$B$1:$U$1,0))*POWER(INDEX('WPP 2024 середина года'!$B:$U,MATCH($A37,'WPP 2024 середина года'!$A:$A,0),MATCH(G$1,'WPP 2024 середина года'!$B$1:$U$1,0))/(1000*INDEX('SALA 2002'!$B:$U,MATCH($A37,'SALA 2002'!$A:$A,0),MATCH(G$1,'SALA 2002'!$B$1:$U$1,0))),($A37-1994)/7),INDEX('WPP 2024 середина года'!$B:$U,MATCH($A37,'WPP 2024 середина года'!$A:$A,0),MATCH(G$1,'WPP 2024 середина года'!$B$1:$U$1,0)))))</f>
        <v>551</v>
      </c>
      <c r="H37" s="7">
        <f>IF($A37&lt;=1951,INDEX('SALA 1974'!$B:$U,MATCH($A37,'SALA 1974'!$A:$A,0),MATCH(H$1,'SALA 1974'!$B$1:$U$1,0)),IF($A37&lt;=1994,1000*INDEX('SALA 2002'!$B:$U,MATCH($A37,'SALA 2002'!$A:$A,0),MATCH(H$1,'SALA 2002'!$B$1:$U$1,0)),IF($A37&lt;=2000,1000*INDEX('SALA 2002'!$B:$U,MATCH($A37,'SALA 2002'!$A:$A,0),MATCH(H$1,'SALA 2002'!$B$1:$U$1,0))*POWER(INDEX('WPP 2024 середина года'!$B:$U,MATCH($A37,'WPP 2024 середина года'!$A:$A,0),MATCH(H$1,'WPP 2024 середина года'!$B$1:$U$1,0))/(1000*INDEX('SALA 2002'!$B:$U,MATCH($A37,'SALA 2002'!$A:$A,0),MATCH(H$1,'SALA 2002'!$B$1:$U$1,0))),($A37-1994)/7),INDEX('WPP 2024 середина года'!$B:$U,MATCH($A37,'WPP 2024 середина года'!$A:$A,0),MATCH(H$1,'WPP 2024 середина года'!$B$1:$U$1,0)))))</f>
        <v>4071</v>
      </c>
      <c r="I37" s="7">
        <f>IF($A37&lt;=1951,INDEX('SALA 1974'!$B:$U,MATCH($A37,'SALA 1974'!$A:$A,0),MATCH(I$1,'SALA 1974'!$B$1:$U$1,0)),IF($A37&lt;=1994,1000*INDEX('SALA 2002'!$B:$U,MATCH($A37,'SALA 2002'!$A:$A,0),MATCH(I$1,'SALA 2002'!$B$1:$U$1,0)),IF($A37&lt;=2000,1000*INDEX('SALA 2002'!$B:$U,MATCH($A37,'SALA 2002'!$A:$A,0),MATCH(I$1,'SALA 2002'!$B$1:$U$1,0))*POWER(INDEX('WPP 2024 середина года'!$B:$U,MATCH($A37,'WPP 2024 середина года'!$A:$A,0),MATCH(I$1,'WPP 2024 середина года'!$B$1:$U$1,0))/(1000*INDEX('SALA 2002'!$B:$U,MATCH($A37,'SALA 2002'!$A:$A,0),MATCH(I$1,'SALA 2002'!$B$1:$U$1,0))),($A37-1994)/7),INDEX('WPP 2024 середина года'!$B:$U,MATCH($A37,'WPP 2024 середина года'!$A:$A,0),MATCH(I$1,'WPP 2024 середина года'!$B$1:$U$1,0)))))</f>
        <v>1484</v>
      </c>
      <c r="J37" s="7">
        <f>IF($A37&lt;=1951,INDEX('SALA 1974'!$B:$U,MATCH($A37,'SALA 1974'!$A:$A,0),MATCH(J$1,'SALA 1974'!$B$1:$U$1,0)),IF($A37&lt;=1994,1000*INDEX('SALA 2002'!$B:$U,MATCH($A37,'SALA 2002'!$A:$A,0),MATCH(J$1,'SALA 2002'!$B$1:$U$1,0)),IF($A37&lt;=2000,1000*INDEX('SALA 2002'!$B:$U,MATCH($A37,'SALA 2002'!$A:$A,0),MATCH(J$1,'SALA 2002'!$B$1:$U$1,0))*POWER(INDEX('WPP 2024 середина года'!$B:$U,MATCH($A37,'WPP 2024 середина года'!$A:$A,0),MATCH(J$1,'WPP 2024 середина года'!$B$1:$U$1,0))/(1000*INDEX('SALA 2002'!$B:$U,MATCH($A37,'SALA 2002'!$A:$A,0),MATCH(J$1,'SALA 2002'!$B$1:$U$1,0))),($A37-1994)/7),INDEX('WPP 2024 середина года'!$B:$U,MATCH($A37,'WPP 2024 середина года'!$A:$A,0),MATCH(J$1,'WPP 2024 середина года'!$B$1:$U$1,0)))))</f>
        <v>2196</v>
      </c>
      <c r="K37" s="7">
        <f>IF($A37&lt;=1951,INDEX('SALA 1974'!$B:$U,MATCH($A37,'SALA 1974'!$A:$A,0),MATCH(K$1,'SALA 1974'!$B$1:$U$1,0)),IF($A37&lt;=1994,1000*INDEX('SALA 2002'!$B:$U,MATCH($A37,'SALA 2002'!$A:$A,0),MATCH(K$1,'SALA 2002'!$B$1:$U$1,0)),IF($A37&lt;=2000,1000*INDEX('SALA 2002'!$B:$U,MATCH($A37,'SALA 2002'!$A:$A,0),MATCH(K$1,'SALA 2002'!$B$1:$U$1,0))*POWER(INDEX('WPP 2024 середина года'!$B:$U,MATCH($A37,'WPP 2024 середина года'!$A:$A,0),MATCH(K$1,'WPP 2024 середина года'!$B$1:$U$1,0))/(1000*INDEX('SALA 2002'!$B:$U,MATCH($A37,'SALA 2002'!$A:$A,0),MATCH(K$1,'SALA 2002'!$B$1:$U$1,0))),($A37-1994)/7),INDEX('WPP 2024 середина года'!$B:$U,MATCH($A37,'WPP 2024 середина года'!$A:$A,0),MATCH(K$1,'WPP 2024 середина года'!$B$1:$U$1,0)))))</f>
        <v>1531</v>
      </c>
      <c r="L37" s="7">
        <f>IF($A37&lt;=1951,INDEX('SALA 1974'!$B:$U,MATCH($A37,'SALA 1974'!$A:$A,0),MATCH(L$1,'SALA 1974'!$B$1:$U$1,0)),IF($A37&lt;=1994,1000*INDEX('SALA 2002'!$B:$U,MATCH($A37,'SALA 2002'!$A:$A,0),MATCH(L$1,'SALA 2002'!$B$1:$U$1,0)),IF($A37&lt;=2000,1000*INDEX('SALA 2002'!$B:$U,MATCH($A37,'SALA 2002'!$A:$A,0),MATCH(L$1,'SALA 2002'!$B$1:$U$1,0))*POWER(INDEX('WPP 2024 середина года'!$B:$U,MATCH($A37,'WPP 2024 середина года'!$A:$A,0),MATCH(L$1,'WPP 2024 середина года'!$B$1:$U$1,0))/(1000*INDEX('SALA 2002'!$B:$U,MATCH($A37,'SALA 2002'!$A:$A,0),MATCH(L$1,'SALA 2002'!$B$1:$U$1,0))),($A37-1994)/7),INDEX('WPP 2024 середина года'!$B:$U,MATCH($A37,'WPP 2024 середина года'!$A:$A,0),MATCH(L$1,'WPP 2024 середина года'!$B$1:$U$1,0)))))</f>
        <v>1975</v>
      </c>
      <c r="M37" s="7">
        <f>IF($A37&lt;=1951,INDEX('SALA 1974'!$B:$U,MATCH($A37,'SALA 1974'!$A:$A,0),MATCH(M$1,'SALA 1974'!$B$1:$U$1,0)),IF($A37&lt;=1994,1000*INDEX('SALA 2002'!$B:$U,MATCH($A37,'SALA 2002'!$A:$A,0),MATCH(M$1,'SALA 2002'!$B$1:$U$1,0)),IF($A37&lt;=2000,1000*INDEX('SALA 2002'!$B:$U,MATCH($A37,'SALA 2002'!$A:$A,0),MATCH(M$1,'SALA 2002'!$B$1:$U$1,0))*POWER(INDEX('WPP 2024 середина года'!$B:$U,MATCH($A37,'WPP 2024 середина года'!$A:$A,0),MATCH(M$1,'WPP 2024 середина года'!$B$1:$U$1,0))/(1000*INDEX('SALA 2002'!$B:$U,MATCH($A37,'SALA 2002'!$A:$A,0),MATCH(M$1,'SALA 2002'!$B$1:$U$1,0))),($A37-1994)/7),INDEX('WPP 2024 середина года'!$B:$U,MATCH($A37,'WPP 2024 середина года'!$A:$A,0),MATCH(M$1,'WPP 2024 середина года'!$B$1:$U$1,0)))))</f>
        <v>2611</v>
      </c>
      <c r="N37" s="7">
        <f>IF($A37&lt;=1951,INDEX('SALA 1974'!$B:$U,MATCH($A37,'SALA 1974'!$A:$A,0),MATCH(N$1,'SALA 1974'!$B$1:$U$1,0)),IF($A37&lt;=1994,1000*INDEX('SALA 2002'!$B:$U,MATCH($A37,'SALA 2002'!$A:$A,0),MATCH(N$1,'SALA 2002'!$B$1:$U$1,0)),IF($A37&lt;=2000,1000*INDEX('SALA 2002'!$B:$U,MATCH($A37,'SALA 2002'!$A:$A,0),MATCH(N$1,'SALA 2002'!$B$1:$U$1,0))*POWER(INDEX('WPP 2024 середина года'!$B:$U,MATCH($A37,'WPP 2024 середина года'!$A:$A,0),MATCH(N$1,'WPP 2024 середина года'!$B$1:$U$1,0))/(1000*INDEX('SALA 2002'!$B:$U,MATCH($A37,'SALA 2002'!$A:$A,0),MATCH(N$1,'SALA 2002'!$B$1:$U$1,0))),($A37-1994)/7),INDEX('WPP 2024 середина года'!$B:$U,MATCH($A37,'WPP 2024 середина года'!$A:$A,0),MATCH(N$1,'WPP 2024 середина года'!$B$1:$U$1,0)))))</f>
        <v>1042</v>
      </c>
      <c r="O37" s="7">
        <f>IF($A37&lt;=1951,INDEX('SALA 1974'!$B:$U,MATCH($A37,'SALA 1974'!$A:$A,0),MATCH(O$1,'SALA 1974'!$B$1:$U$1,0)),IF($A37&lt;=1994,1000*INDEX('SALA 2002'!$B:$U,MATCH($A37,'SALA 2002'!$A:$A,0),MATCH(O$1,'SALA 2002'!$B$1:$U$1,0)),IF($A37&lt;=2000,1000*INDEX('SALA 2002'!$B:$U,MATCH($A37,'SALA 2002'!$A:$A,0),MATCH(O$1,'SALA 2002'!$B$1:$U$1,0))*POWER(INDEX('WPP 2024 середина года'!$B:$U,MATCH($A37,'WPP 2024 середина года'!$A:$A,0),MATCH(O$1,'WPP 2024 середина года'!$B$1:$U$1,0))/(1000*INDEX('SALA 2002'!$B:$U,MATCH($A37,'SALA 2002'!$A:$A,0),MATCH(O$1,'SALA 2002'!$B$1:$U$1,0))),($A37-1994)/7),INDEX('WPP 2024 середина года'!$B:$U,MATCH($A37,'WPP 2024 середина года'!$A:$A,0),MATCH(O$1,'WPP 2024 середина года'!$B$1:$U$1,0)))))</f>
        <v>18089</v>
      </c>
      <c r="P37" s="7">
        <f>IF($A37&lt;=1951,INDEX('SALA 1974'!$B:$U,MATCH($A37,'SALA 1974'!$A:$A,0),MATCH(P$1,'SALA 1974'!$B$1:$U$1,0)),IF($A37&lt;=1994,1000*INDEX('SALA 2002'!$B:$U,MATCH($A37,'SALA 2002'!$A:$A,0),MATCH(P$1,'SALA 2002'!$B$1:$U$1,0)),IF($A37&lt;=2000,1000*INDEX('SALA 2002'!$B:$U,MATCH($A37,'SALA 2002'!$A:$A,0),MATCH(P$1,'SALA 2002'!$B$1:$U$1,0))*POWER(INDEX('WPP 2024 середина года'!$B:$U,MATCH($A37,'WPP 2024 середина года'!$A:$A,0),MATCH(P$1,'WPP 2024 середина года'!$B$1:$U$1,0))/(1000*INDEX('SALA 2002'!$B:$U,MATCH($A37,'SALA 2002'!$A:$A,0),MATCH(P$1,'SALA 2002'!$B$1:$U$1,0))),($A37-1994)/7),INDEX('WPP 2024 середина года'!$B:$U,MATCH($A37,'WPP 2024 середина года'!$A:$A,0),MATCH(P$1,'WPP 2024 середина года'!$B$1:$U$1,0)))))</f>
        <v>728</v>
      </c>
      <c r="Q37" s="7">
        <f>IF($A37&lt;=1951,INDEX('SALA 1974'!$B:$U,MATCH($A37,'SALA 1974'!$A:$A,0),MATCH(Q$1,'SALA 1974'!$B$1:$U$1,0)),IF($A37&lt;=1994,1000*INDEX('SALA 2002'!$B:$U,MATCH($A37,'SALA 2002'!$A:$A,0),MATCH(Q$1,'SALA 2002'!$B$1:$U$1,0)),IF($A37&lt;=2000,1000*INDEX('SALA 2002'!$B:$U,MATCH($A37,'SALA 2002'!$A:$A,0),MATCH(Q$1,'SALA 2002'!$B$1:$U$1,0))*POWER(INDEX('WPP 2024 середина года'!$B:$U,MATCH($A37,'WPP 2024 середина года'!$A:$A,0),MATCH(Q$1,'WPP 2024 середина года'!$B$1:$U$1,0))/(1000*INDEX('SALA 2002'!$B:$U,MATCH($A37,'SALA 2002'!$A:$A,0),MATCH(Q$1,'SALA 2002'!$B$1:$U$1,0))),($A37-1994)/7),INDEX('WPP 2024 середина года'!$B:$U,MATCH($A37,'WPP 2024 середина года'!$A:$A,0),MATCH(Q$1,'WPP 2024 середина года'!$B$1:$U$1,0)))))</f>
        <v>546</v>
      </c>
      <c r="R37" s="7">
        <f>IF($A37&lt;=1951,INDEX('SALA 1974'!$B:$U,MATCH($A37,'SALA 1974'!$A:$A,0),MATCH(R$1,'SALA 1974'!$B$1:$U$1,0)),IF($A37&lt;=1994,1000*INDEX('SALA 2002'!$B:$U,MATCH($A37,'SALA 2002'!$A:$A,0),MATCH(R$1,'SALA 2002'!$B$1:$U$1,0)),IF($A37&lt;=2000,1000*INDEX('SALA 2002'!$B:$U,MATCH($A37,'SALA 2002'!$A:$A,0),MATCH(R$1,'SALA 2002'!$B$1:$U$1,0))*POWER(INDEX('WPP 2024 середина года'!$B:$U,MATCH($A37,'WPP 2024 середина года'!$A:$A,0),MATCH(R$1,'WPP 2024 середина года'!$B$1:$U$1,0))/(1000*INDEX('SALA 2002'!$B:$U,MATCH($A37,'SALA 2002'!$A:$A,0),MATCH(R$1,'SALA 2002'!$B$1:$U$1,0))),($A37-1994)/7),INDEX('WPP 2024 середина года'!$B:$U,MATCH($A37,'WPP 2024 середина года'!$A:$A,0),MATCH(R$1,'WPP 2024 середина года'!$B$1:$U$1,0)))))</f>
        <v>988</v>
      </c>
      <c r="S37" s="7">
        <f>IF($A37&lt;=1951,INDEX('SALA 1974'!$B:$U,MATCH($A37,'SALA 1974'!$A:$A,0),MATCH(S$1,'SALA 1974'!$B$1:$U$1,0)),IF($A37&lt;=1994,1000*INDEX('SALA 2002'!$B:$U,MATCH($A37,'SALA 2002'!$A:$A,0),MATCH(S$1,'SALA 2002'!$B$1:$U$1,0)),IF($A37&lt;=2000,1000*INDEX('SALA 2002'!$B:$U,MATCH($A37,'SALA 2002'!$A:$A,0),MATCH(S$1,'SALA 2002'!$B$1:$U$1,0))*POWER(INDEX('WPP 2024 середина года'!$B:$U,MATCH($A37,'WPP 2024 середина года'!$A:$A,0),MATCH(S$1,'WPP 2024 середина года'!$B$1:$U$1,0))/(1000*INDEX('SALA 2002'!$B:$U,MATCH($A37,'SALA 2002'!$A:$A,0),MATCH(S$1,'SALA 2002'!$B$1:$U$1,0))),($A37-1994)/7),INDEX('WPP 2024 середина года'!$B:$U,MATCH($A37,'WPP 2024 середина года'!$A:$A,0),MATCH(S$1,'WPP 2024 середина года'!$B$1:$U$1,0)))))</f>
        <v>6134</v>
      </c>
      <c r="T37" s="7">
        <f>IF($A37&lt;=1951,INDEX('SALA 1974'!$B:$U,MATCH($A37,'SALA 1974'!$A:$A,0),MATCH(T$1,'SALA 1974'!$B$1:$U$1,0)),IF($A37&lt;=1994,1000*INDEX('SALA 2002'!$B:$U,MATCH($A37,'SALA 2002'!$A:$A,0),MATCH(T$1,'SALA 2002'!$B$1:$U$1,0)),IF($A37&lt;=2000,1000*INDEX('SALA 2002'!$B:$U,MATCH($A37,'SALA 2002'!$A:$A,0),MATCH(T$1,'SALA 2002'!$B$1:$U$1,0))*POWER(INDEX('WPP 2024 середина года'!$B:$U,MATCH($A37,'WPP 2024 середина года'!$A:$A,0),MATCH(T$1,'WPP 2024 середина года'!$B$1:$U$1,0))/(1000*INDEX('SALA 2002'!$B:$U,MATCH($A37,'SALA 2002'!$A:$A,0),MATCH(T$1,'SALA 2002'!$B$1:$U$1,0))),($A37-1994)/7),INDEX('WPP 2024 середина года'!$B:$U,MATCH($A37,'WPP 2024 середина года'!$A:$A,0),MATCH(T$1,'WPP 2024 середина года'!$B$1:$U$1,0)))))</f>
        <v>1869</v>
      </c>
      <c r="U37" s="7">
        <f>IF($A37&lt;=1951,INDEX('SALA 1974'!$B:$U,MATCH($A37,'SALA 1974'!$A:$A,0),MATCH(U$1,'SALA 1974'!$B$1:$U$1,0)),IF($A37&lt;=1994,1000*INDEX('SALA 2002'!$B:$U,MATCH($A37,'SALA 2002'!$A:$A,0),MATCH(U$1,'SALA 2002'!$B$1:$U$1,0)),IF($A37&lt;=2000,1000*INDEX('SALA 2002'!$B:$U,MATCH($A37,'SALA 2002'!$A:$A,0),MATCH(U$1,'SALA 2002'!$B$1:$U$1,0))*POWER(INDEX('WPP 2024 середина года'!$B:$U,MATCH($A37,'WPP 2024 середина года'!$A:$A,0),MATCH(U$1,'WPP 2024 середина года'!$B$1:$U$1,0))/(1000*INDEX('SALA 2002'!$B:$U,MATCH($A37,'SALA 2002'!$A:$A,0),MATCH(U$1,'SALA 2002'!$B$1:$U$1,0))),($A37-1994)/7),INDEX('WPP 2024 середина года'!$B:$U,MATCH($A37,'WPP 2024 середина года'!$A:$A,0),MATCH(U$1,'WPP 2024 середина года'!$B$1:$U$1,0)))))</f>
        <v>3300</v>
      </c>
    </row>
    <row r="38" spans="1:21" x14ac:dyDescent="0.25">
      <c r="A38" s="5">
        <f t="shared" si="0"/>
        <v>1936</v>
      </c>
      <c r="B38" s="7">
        <f>IF($A38&lt;=1951,INDEX('SALA 1974'!$B:$U,MATCH($A38,'SALA 1974'!$A:$A,0),MATCH(B$1,'SALA 1974'!$B$1:$U$1,0)),IF($A38&lt;=1994,1000*INDEX('SALA 2002'!$B:$U,MATCH($A38,'SALA 2002'!$A:$A,0),MATCH(B$1,'SALA 2002'!$B$1:$U$1,0)),IF($A38&lt;=2000,1000*INDEX('SALA 2002'!$B:$U,MATCH($A38,'SALA 2002'!$A:$A,0),MATCH(B$1,'SALA 2002'!$B$1:$U$1,0))*POWER(INDEX('WPP 2024 середина года'!$B:$U,MATCH($A38,'WPP 2024 середина года'!$A:$A,0),MATCH(B$1,'WPP 2024 середина года'!$B$1:$U$1,0))/(1000*INDEX('SALA 2002'!$B:$U,MATCH($A38,'SALA 2002'!$A:$A,0),MATCH(B$1,'SALA 2002'!$B$1:$U$1,0))),($A38-1994)/7),INDEX('WPP 2024 середина года'!$B:$U,MATCH($A38,'WPP 2024 середина года'!$A:$A,0),MATCH(B$1,'WPP 2024 середина года'!$B$1:$U$1,0)))))</f>
        <v>13372</v>
      </c>
      <c r="C38" s="7">
        <f>IF($A38&lt;=1951,INDEX('SALA 1974'!$B:$U,MATCH($A38,'SALA 1974'!$A:$A,0),MATCH(C$1,'SALA 1974'!$B$1:$U$1,0)),IF($A38&lt;=1994,1000*INDEX('SALA 2002'!$B:$U,MATCH($A38,'SALA 2002'!$A:$A,0),MATCH(C$1,'SALA 2002'!$B$1:$U$1,0)),IF($A38&lt;=2000,1000*INDEX('SALA 2002'!$B:$U,MATCH($A38,'SALA 2002'!$A:$A,0),MATCH(C$1,'SALA 2002'!$B$1:$U$1,0))*POWER(INDEX('WPP 2024 середина года'!$B:$U,MATCH($A38,'WPP 2024 середина года'!$A:$A,0),MATCH(C$1,'WPP 2024 середина года'!$B$1:$U$1,0))/(1000*INDEX('SALA 2002'!$B:$U,MATCH($A38,'SALA 2002'!$A:$A,0),MATCH(C$1,'SALA 2002'!$B$1:$U$1,0))),($A38-1994)/7),INDEX('WPP 2024 середина года'!$B:$U,MATCH($A38,'WPP 2024 середина года'!$A:$A,0),MATCH(C$1,'WPP 2024 середина года'!$B$1:$U$1,0)))))</f>
        <v>2569</v>
      </c>
      <c r="D38" s="7">
        <f>IF($A38&lt;=1951,INDEX('SALA 1974'!$B:$U,MATCH($A38,'SALA 1974'!$A:$A,0),MATCH(D$1,'SALA 1974'!$B$1:$U$1,0)),IF($A38&lt;=1994,1000*INDEX('SALA 2002'!$B:$U,MATCH($A38,'SALA 2002'!$A:$A,0),MATCH(D$1,'SALA 2002'!$B$1:$U$1,0)),IF($A38&lt;=2000,1000*INDEX('SALA 2002'!$B:$U,MATCH($A38,'SALA 2002'!$A:$A,0),MATCH(D$1,'SALA 2002'!$B$1:$U$1,0))*POWER(INDEX('WPP 2024 середина года'!$B:$U,MATCH($A38,'WPP 2024 середина года'!$A:$A,0),MATCH(D$1,'WPP 2024 середина года'!$B$1:$U$1,0))/(1000*INDEX('SALA 2002'!$B:$U,MATCH($A38,'SALA 2002'!$A:$A,0),MATCH(D$1,'SALA 2002'!$B$1:$U$1,0))),($A38-1994)/7),INDEX('WPP 2024 середина года'!$B:$U,MATCH($A38,'WPP 2024 середина года'!$A:$A,0),MATCH(D$1,'WPP 2024 середина года'!$B$1:$U$1,0)))))</f>
        <v>37911</v>
      </c>
      <c r="E38" s="7">
        <f>IF($A38&lt;=1951,INDEX('SALA 1974'!$B:$U,MATCH($A38,'SALA 1974'!$A:$A,0),MATCH(E$1,'SALA 1974'!$B$1:$U$1,0)),IF($A38&lt;=1994,1000*INDEX('SALA 2002'!$B:$U,MATCH($A38,'SALA 2002'!$A:$A,0),MATCH(E$1,'SALA 2002'!$B$1:$U$1,0)),IF($A38&lt;=2000,1000*INDEX('SALA 2002'!$B:$U,MATCH($A38,'SALA 2002'!$A:$A,0),MATCH(E$1,'SALA 2002'!$B$1:$U$1,0))*POWER(INDEX('WPP 2024 середина года'!$B:$U,MATCH($A38,'WPP 2024 середина года'!$A:$A,0),MATCH(E$1,'WPP 2024 середина года'!$B$1:$U$1,0))/(1000*INDEX('SALA 2002'!$B:$U,MATCH($A38,'SALA 2002'!$A:$A,0),MATCH(E$1,'SALA 2002'!$B$1:$U$1,0))),($A38-1994)/7),INDEX('WPP 2024 середина года'!$B:$U,MATCH($A38,'WPP 2024 середина года'!$A:$A,0),MATCH(E$1,'WPP 2024 середина года'!$B$1:$U$1,0)))))</f>
        <v>4771</v>
      </c>
      <c r="F38" s="7">
        <f>IF($A38&lt;=1947,INDEX('SALA 1974'!$B:$U,MATCH($A38,'SALA 1974'!$A:$A,0),MATCH(F$1,'SALA 1974'!$B$1:$U$1,0)),IF($A38&lt;=1994,1000*INDEX('SALA 2002'!$B:$U,MATCH($A38,'SALA 2002'!$A:$A,0),MATCH(F$1,'SALA 2002'!$B$1:$U$1,0)),IF($A38&lt;=2000,1000*INDEX('SALA 2002'!$B:$U,MATCH($A38,'SALA 2002'!$A:$A,0),MATCH(F$1,'SALA 2002'!$B$1:$U$1,0))*POWER(INDEX('WPP 2024 середина года'!$B:$U,MATCH($A38,'WPP 2024 середина года'!$A:$A,0),MATCH(F$1,'WPP 2024 середина года'!$B$1:$U$1,0))/(1000*INDEX('SALA 2002'!$B:$U,MATCH($A38,'SALA 2002'!$A:$A,0),MATCH(F$1,'SALA 2002'!$B$1:$U$1,0))),($A38-1994)/7),INDEX('WPP 2024 середина года'!$B:$U,MATCH($A38,'WPP 2024 середина года'!$A:$A,0),MATCH(F$1,'WPP 2024 середина года'!$B$1:$U$1,0)))))</f>
        <v>8363</v>
      </c>
      <c r="G38" s="7">
        <f>IF($A38&lt;=1951,INDEX('SALA 1974'!$B:$U,MATCH($A38,'SALA 1974'!$A:$A,0),MATCH(G$1,'SALA 1974'!$B$1:$U$1,0)),IF($A38&lt;=1994,1000*INDEX('SALA 2002'!$B:$U,MATCH($A38,'SALA 2002'!$A:$A,0),MATCH(G$1,'SALA 2002'!$B$1:$U$1,0)),IF($A38&lt;=2000,1000*INDEX('SALA 2002'!$B:$U,MATCH($A38,'SALA 2002'!$A:$A,0),MATCH(G$1,'SALA 2002'!$B$1:$U$1,0))*POWER(INDEX('WPP 2024 середина года'!$B:$U,MATCH($A38,'WPP 2024 середина года'!$A:$A,0),MATCH(G$1,'WPP 2024 середина года'!$B$1:$U$1,0))/(1000*INDEX('SALA 2002'!$B:$U,MATCH($A38,'SALA 2002'!$A:$A,0),MATCH(G$1,'SALA 2002'!$B$1:$U$1,0))),($A38-1994)/7),INDEX('WPP 2024 середина года'!$B:$U,MATCH($A38,'WPP 2024 середина года'!$A:$A,0),MATCH(G$1,'WPP 2024 середина года'!$B$1:$U$1,0)))))</f>
        <v>563</v>
      </c>
      <c r="H38" s="7">
        <f>IF($A38&lt;=1951,INDEX('SALA 1974'!$B:$U,MATCH($A38,'SALA 1974'!$A:$A,0),MATCH(H$1,'SALA 1974'!$B$1:$U$1,0)),IF($A38&lt;=1994,1000*INDEX('SALA 2002'!$B:$U,MATCH($A38,'SALA 2002'!$A:$A,0),MATCH(H$1,'SALA 2002'!$B$1:$U$1,0)),IF($A38&lt;=2000,1000*INDEX('SALA 2002'!$B:$U,MATCH($A38,'SALA 2002'!$A:$A,0),MATCH(H$1,'SALA 2002'!$B$1:$U$1,0))*POWER(INDEX('WPP 2024 середина года'!$B:$U,MATCH($A38,'WPP 2024 середина года'!$A:$A,0),MATCH(H$1,'WPP 2024 середина года'!$B$1:$U$1,0))/(1000*INDEX('SALA 2002'!$B:$U,MATCH($A38,'SALA 2002'!$A:$A,0),MATCH(H$1,'SALA 2002'!$B$1:$U$1,0))),($A38-1994)/7),INDEX('WPP 2024 середина года'!$B:$U,MATCH($A38,'WPP 2024 середина года'!$A:$A,0),MATCH(H$1,'WPP 2024 середина года'!$B$1:$U$1,0)))))</f>
        <v>4109</v>
      </c>
      <c r="I38" s="7">
        <f>IF($A38&lt;=1951,INDEX('SALA 1974'!$B:$U,MATCH($A38,'SALA 1974'!$A:$A,0),MATCH(I$1,'SALA 1974'!$B$1:$U$1,0)),IF($A38&lt;=1994,1000*INDEX('SALA 2002'!$B:$U,MATCH($A38,'SALA 2002'!$A:$A,0),MATCH(I$1,'SALA 2002'!$B$1:$U$1,0)),IF($A38&lt;=2000,1000*INDEX('SALA 2002'!$B:$U,MATCH($A38,'SALA 2002'!$A:$A,0),MATCH(I$1,'SALA 2002'!$B$1:$U$1,0))*POWER(INDEX('WPP 2024 середина года'!$B:$U,MATCH($A38,'WPP 2024 середина года'!$A:$A,0),MATCH(I$1,'WPP 2024 середина года'!$B$1:$U$1,0))/(1000*INDEX('SALA 2002'!$B:$U,MATCH($A38,'SALA 2002'!$A:$A,0),MATCH(I$1,'SALA 2002'!$B$1:$U$1,0))),($A38-1994)/7),INDEX('WPP 2024 середина года'!$B:$U,MATCH($A38,'WPP 2024 середина года'!$A:$A,0),MATCH(I$1,'WPP 2024 середина года'!$B$1:$U$1,0)))))</f>
        <v>1520</v>
      </c>
      <c r="J38" s="7">
        <f>IF($A38&lt;=1951,INDEX('SALA 1974'!$B:$U,MATCH($A38,'SALA 1974'!$A:$A,0),MATCH(J$1,'SALA 1974'!$B$1:$U$1,0)),IF($A38&lt;=1994,1000*INDEX('SALA 2002'!$B:$U,MATCH($A38,'SALA 2002'!$A:$A,0),MATCH(J$1,'SALA 2002'!$B$1:$U$1,0)),IF($A38&lt;=2000,1000*INDEX('SALA 2002'!$B:$U,MATCH($A38,'SALA 2002'!$A:$A,0),MATCH(J$1,'SALA 2002'!$B$1:$U$1,0))*POWER(INDEX('WPP 2024 середина года'!$B:$U,MATCH($A38,'WPP 2024 середина года'!$A:$A,0),MATCH(J$1,'WPP 2024 середина года'!$B$1:$U$1,0))/(1000*INDEX('SALA 2002'!$B:$U,MATCH($A38,'SALA 2002'!$A:$A,0),MATCH(J$1,'SALA 2002'!$B$1:$U$1,0))),($A38-1994)/7),INDEX('WPP 2024 середина года'!$B:$U,MATCH($A38,'WPP 2024 середина года'!$A:$A,0),MATCH(J$1,'WPP 2024 середина года'!$B$1:$U$1,0)))))</f>
        <v>2249</v>
      </c>
      <c r="K38" s="7">
        <f>IF($A38&lt;=1951,INDEX('SALA 1974'!$B:$U,MATCH($A38,'SALA 1974'!$A:$A,0),MATCH(K$1,'SALA 1974'!$B$1:$U$1,0)),IF($A38&lt;=1994,1000*INDEX('SALA 2002'!$B:$U,MATCH($A38,'SALA 2002'!$A:$A,0),MATCH(K$1,'SALA 2002'!$B$1:$U$1,0)),IF($A38&lt;=2000,1000*INDEX('SALA 2002'!$B:$U,MATCH($A38,'SALA 2002'!$A:$A,0),MATCH(K$1,'SALA 2002'!$B$1:$U$1,0))*POWER(INDEX('WPP 2024 середина года'!$B:$U,MATCH($A38,'WPP 2024 середина года'!$A:$A,0),MATCH(K$1,'WPP 2024 середина года'!$B$1:$U$1,0))/(1000*INDEX('SALA 2002'!$B:$U,MATCH($A38,'SALA 2002'!$A:$A,0),MATCH(K$1,'SALA 2002'!$B$1:$U$1,0))),($A38-1994)/7),INDEX('WPP 2024 середина года'!$B:$U,MATCH($A38,'WPP 2024 середина года'!$A:$A,0),MATCH(K$1,'WPP 2024 середина года'!$B$1:$U$1,0)))))</f>
        <v>1551</v>
      </c>
      <c r="L38" s="7">
        <f>IF($A38&lt;=1951,INDEX('SALA 1974'!$B:$U,MATCH($A38,'SALA 1974'!$A:$A,0),MATCH(L$1,'SALA 1974'!$B$1:$U$1,0)),IF($A38&lt;=1994,1000*INDEX('SALA 2002'!$B:$U,MATCH($A38,'SALA 2002'!$A:$A,0),MATCH(L$1,'SALA 2002'!$B$1:$U$1,0)),IF($A38&lt;=2000,1000*INDEX('SALA 2002'!$B:$U,MATCH($A38,'SALA 2002'!$A:$A,0),MATCH(L$1,'SALA 2002'!$B$1:$U$1,0))*POWER(INDEX('WPP 2024 середина года'!$B:$U,MATCH($A38,'WPP 2024 середина года'!$A:$A,0),MATCH(L$1,'WPP 2024 середина года'!$B$1:$U$1,0))/(1000*INDEX('SALA 2002'!$B:$U,MATCH($A38,'SALA 2002'!$A:$A,0),MATCH(L$1,'SALA 2002'!$B$1:$U$1,0))),($A38-1994)/7),INDEX('WPP 2024 середина года'!$B:$U,MATCH($A38,'WPP 2024 середина года'!$A:$A,0),MATCH(L$1,'WPP 2024 середина года'!$B$1:$U$1,0)))))</f>
        <v>2023</v>
      </c>
      <c r="M38" s="7">
        <f>IF($A38&lt;=1951,INDEX('SALA 1974'!$B:$U,MATCH($A38,'SALA 1974'!$A:$A,0),MATCH(M$1,'SALA 1974'!$B$1:$U$1,0)),IF($A38&lt;=1994,1000*INDEX('SALA 2002'!$B:$U,MATCH($A38,'SALA 2002'!$A:$A,0),MATCH(M$1,'SALA 2002'!$B$1:$U$1,0)),IF($A38&lt;=2000,1000*INDEX('SALA 2002'!$B:$U,MATCH($A38,'SALA 2002'!$A:$A,0),MATCH(M$1,'SALA 2002'!$B$1:$U$1,0))*POWER(INDEX('WPP 2024 середина года'!$B:$U,MATCH($A38,'WPP 2024 середина года'!$A:$A,0),MATCH(M$1,'WPP 2024 середина года'!$B$1:$U$1,0))/(1000*INDEX('SALA 2002'!$B:$U,MATCH($A38,'SALA 2002'!$A:$A,0),MATCH(M$1,'SALA 2002'!$B$1:$U$1,0))),($A38-1994)/7),INDEX('WPP 2024 середина года'!$B:$U,MATCH($A38,'WPP 2024 середина года'!$A:$A,0),MATCH(M$1,'WPP 2024 середина года'!$B$1:$U$1,0)))))</f>
        <v>2654</v>
      </c>
      <c r="N38" s="7">
        <f>IF($A38&lt;=1951,INDEX('SALA 1974'!$B:$U,MATCH($A38,'SALA 1974'!$A:$A,0),MATCH(N$1,'SALA 1974'!$B$1:$U$1,0)),IF($A38&lt;=1994,1000*INDEX('SALA 2002'!$B:$U,MATCH($A38,'SALA 2002'!$A:$A,0),MATCH(N$1,'SALA 2002'!$B$1:$U$1,0)),IF($A38&lt;=2000,1000*INDEX('SALA 2002'!$B:$U,MATCH($A38,'SALA 2002'!$A:$A,0),MATCH(N$1,'SALA 2002'!$B$1:$U$1,0))*POWER(INDEX('WPP 2024 середина года'!$B:$U,MATCH($A38,'WPP 2024 середина года'!$A:$A,0),MATCH(N$1,'WPP 2024 середина года'!$B$1:$U$1,0))/(1000*INDEX('SALA 2002'!$B:$U,MATCH($A38,'SALA 2002'!$A:$A,0),MATCH(N$1,'SALA 2002'!$B$1:$U$1,0))),($A38-1994)/7),INDEX('WPP 2024 середина года'!$B:$U,MATCH($A38,'WPP 2024 середина года'!$A:$A,0),MATCH(N$1,'WPP 2024 середина года'!$B$1:$U$1,0)))))</f>
        <v>1058</v>
      </c>
      <c r="O38" s="7">
        <f>IF($A38&lt;=1951,INDEX('SALA 1974'!$B:$U,MATCH($A38,'SALA 1974'!$A:$A,0),MATCH(O$1,'SALA 1974'!$B$1:$U$1,0)),IF($A38&lt;=1994,1000*INDEX('SALA 2002'!$B:$U,MATCH($A38,'SALA 2002'!$A:$A,0),MATCH(O$1,'SALA 2002'!$B$1:$U$1,0)),IF($A38&lt;=2000,1000*INDEX('SALA 2002'!$B:$U,MATCH($A38,'SALA 2002'!$A:$A,0),MATCH(O$1,'SALA 2002'!$B$1:$U$1,0))*POWER(INDEX('WPP 2024 середина года'!$B:$U,MATCH($A38,'WPP 2024 середина года'!$A:$A,0),MATCH(O$1,'WPP 2024 середина года'!$B$1:$U$1,0))/(1000*INDEX('SALA 2002'!$B:$U,MATCH($A38,'SALA 2002'!$A:$A,0),MATCH(O$1,'SALA 2002'!$B$1:$U$1,0))),($A38-1994)/7),INDEX('WPP 2024 середина года'!$B:$U,MATCH($A38,'WPP 2024 середина года'!$A:$A,0),MATCH(O$1,'WPP 2024 середина года'!$B$1:$U$1,0)))))</f>
        <v>18410</v>
      </c>
      <c r="P38" s="7">
        <f>IF($A38&lt;=1951,INDEX('SALA 1974'!$B:$U,MATCH($A38,'SALA 1974'!$A:$A,0),MATCH(P$1,'SALA 1974'!$B$1:$U$1,0)),IF($A38&lt;=1994,1000*INDEX('SALA 2002'!$B:$U,MATCH($A38,'SALA 2002'!$A:$A,0),MATCH(P$1,'SALA 2002'!$B$1:$U$1,0)),IF($A38&lt;=2000,1000*INDEX('SALA 2002'!$B:$U,MATCH($A38,'SALA 2002'!$A:$A,0),MATCH(P$1,'SALA 2002'!$B$1:$U$1,0))*POWER(INDEX('WPP 2024 середина года'!$B:$U,MATCH($A38,'WPP 2024 середина года'!$A:$A,0),MATCH(P$1,'WPP 2024 середина года'!$B$1:$U$1,0))/(1000*INDEX('SALA 2002'!$B:$U,MATCH($A38,'SALA 2002'!$A:$A,0),MATCH(P$1,'SALA 2002'!$B$1:$U$1,0))),($A38-1994)/7),INDEX('WPP 2024 середина года'!$B:$U,MATCH($A38,'WPP 2024 середина года'!$A:$A,0),MATCH(P$1,'WPP 2024 середина года'!$B$1:$U$1,0)))))</f>
        <v>746</v>
      </c>
      <c r="Q38" s="7">
        <f>IF($A38&lt;=1951,INDEX('SALA 1974'!$B:$U,MATCH($A38,'SALA 1974'!$A:$A,0),MATCH(Q$1,'SALA 1974'!$B$1:$U$1,0)),IF($A38&lt;=1994,1000*INDEX('SALA 2002'!$B:$U,MATCH($A38,'SALA 2002'!$A:$A,0),MATCH(Q$1,'SALA 2002'!$B$1:$U$1,0)),IF($A38&lt;=2000,1000*INDEX('SALA 2002'!$B:$U,MATCH($A38,'SALA 2002'!$A:$A,0),MATCH(Q$1,'SALA 2002'!$B$1:$U$1,0))*POWER(INDEX('WPP 2024 середина года'!$B:$U,MATCH($A38,'WPP 2024 середина года'!$A:$A,0),MATCH(Q$1,'WPP 2024 середина года'!$B$1:$U$1,0))/(1000*INDEX('SALA 2002'!$B:$U,MATCH($A38,'SALA 2002'!$A:$A,0),MATCH(Q$1,'SALA 2002'!$B$1:$U$1,0))),($A38-1994)/7),INDEX('WPP 2024 середина года'!$B:$U,MATCH($A38,'WPP 2024 середина года'!$A:$A,0),MATCH(Q$1,'WPP 2024 середина года'!$B$1:$U$1,0)))))</f>
        <v>561</v>
      </c>
      <c r="R38" s="7">
        <f>IF($A38&lt;=1951,INDEX('SALA 1974'!$B:$U,MATCH($A38,'SALA 1974'!$A:$A,0),MATCH(R$1,'SALA 1974'!$B$1:$U$1,0)),IF($A38&lt;=1994,1000*INDEX('SALA 2002'!$B:$U,MATCH($A38,'SALA 2002'!$A:$A,0),MATCH(R$1,'SALA 2002'!$B$1:$U$1,0)),IF($A38&lt;=2000,1000*INDEX('SALA 2002'!$B:$U,MATCH($A38,'SALA 2002'!$A:$A,0),MATCH(R$1,'SALA 2002'!$B$1:$U$1,0))*POWER(INDEX('WPP 2024 середина года'!$B:$U,MATCH($A38,'WPP 2024 середина года'!$A:$A,0),MATCH(R$1,'WPP 2024 середина года'!$B$1:$U$1,0))/(1000*INDEX('SALA 2002'!$B:$U,MATCH($A38,'SALA 2002'!$A:$A,0),MATCH(R$1,'SALA 2002'!$B$1:$U$1,0))),($A38-1994)/7),INDEX('WPP 2024 середина года'!$B:$U,MATCH($A38,'WPP 2024 середина года'!$A:$A,0),MATCH(R$1,'WPP 2024 середина года'!$B$1:$U$1,0)))))</f>
        <v>1012</v>
      </c>
      <c r="S38" s="7">
        <f>IF($A38&lt;=1951,INDEX('SALA 1974'!$B:$U,MATCH($A38,'SALA 1974'!$A:$A,0),MATCH(S$1,'SALA 1974'!$B$1:$U$1,0)),IF($A38&lt;=1994,1000*INDEX('SALA 2002'!$B:$U,MATCH($A38,'SALA 2002'!$A:$A,0),MATCH(S$1,'SALA 2002'!$B$1:$U$1,0)),IF($A38&lt;=2000,1000*INDEX('SALA 2002'!$B:$U,MATCH($A38,'SALA 2002'!$A:$A,0),MATCH(S$1,'SALA 2002'!$B$1:$U$1,0))*POWER(INDEX('WPP 2024 середина года'!$B:$U,MATCH($A38,'WPP 2024 середина года'!$A:$A,0),MATCH(S$1,'WPP 2024 середина года'!$B$1:$U$1,0))/(1000*INDEX('SALA 2002'!$B:$U,MATCH($A38,'SALA 2002'!$A:$A,0),MATCH(S$1,'SALA 2002'!$B$1:$U$1,0))),($A38-1994)/7),INDEX('WPP 2024 середина года'!$B:$U,MATCH($A38,'WPP 2024 середина года'!$A:$A,0),MATCH(S$1,'WPP 2024 середина года'!$B$1:$U$1,0)))))</f>
        <v>6243</v>
      </c>
      <c r="T38" s="7">
        <f>IF($A38&lt;=1951,INDEX('SALA 1974'!$B:$U,MATCH($A38,'SALA 1974'!$A:$A,0),MATCH(T$1,'SALA 1974'!$B$1:$U$1,0)),IF($A38&lt;=1994,1000*INDEX('SALA 2002'!$B:$U,MATCH($A38,'SALA 2002'!$A:$A,0),MATCH(T$1,'SALA 2002'!$B$1:$U$1,0)),IF($A38&lt;=2000,1000*INDEX('SALA 2002'!$B:$U,MATCH($A38,'SALA 2002'!$A:$A,0),MATCH(T$1,'SALA 2002'!$B$1:$U$1,0))*POWER(INDEX('WPP 2024 середина года'!$B:$U,MATCH($A38,'WPP 2024 середина года'!$A:$A,0),MATCH(T$1,'WPP 2024 середина года'!$B$1:$U$1,0))/(1000*INDEX('SALA 2002'!$B:$U,MATCH($A38,'SALA 2002'!$A:$A,0),MATCH(T$1,'SALA 2002'!$B$1:$U$1,0))),($A38-1994)/7),INDEX('WPP 2024 середина года'!$B:$U,MATCH($A38,'WPP 2024 середина года'!$A:$A,0),MATCH(T$1,'WPP 2024 середина года'!$B$1:$U$1,0)))))</f>
        <v>1890</v>
      </c>
      <c r="U38" s="7">
        <f>IF($A38&lt;=1951,INDEX('SALA 1974'!$B:$U,MATCH($A38,'SALA 1974'!$A:$A,0),MATCH(U$1,'SALA 1974'!$B$1:$U$1,0)),IF($A38&lt;=1994,1000*INDEX('SALA 2002'!$B:$U,MATCH($A38,'SALA 2002'!$A:$A,0),MATCH(U$1,'SALA 2002'!$B$1:$U$1,0)),IF($A38&lt;=2000,1000*INDEX('SALA 2002'!$B:$U,MATCH($A38,'SALA 2002'!$A:$A,0),MATCH(U$1,'SALA 2002'!$B$1:$U$1,0))*POWER(INDEX('WPP 2024 середина года'!$B:$U,MATCH($A38,'WPP 2024 середина года'!$A:$A,0),MATCH(U$1,'WPP 2024 середина года'!$B$1:$U$1,0))/(1000*INDEX('SALA 2002'!$B:$U,MATCH($A38,'SALA 2002'!$A:$A,0),MATCH(U$1,'SALA 2002'!$B$1:$U$1,0))),($A38-1994)/7),INDEX('WPP 2024 середина года'!$B:$U,MATCH($A38,'WPP 2024 середина года'!$A:$A,0),MATCH(U$1,'WPP 2024 середина года'!$B$1:$U$1,0)))))</f>
        <v>3382</v>
      </c>
    </row>
    <row r="39" spans="1:21" x14ac:dyDescent="0.25">
      <c r="A39" s="5">
        <f t="shared" si="0"/>
        <v>1937</v>
      </c>
      <c r="B39" s="7">
        <f>IF($A39&lt;=1951,INDEX('SALA 1974'!$B:$U,MATCH($A39,'SALA 1974'!$A:$A,0),MATCH(B$1,'SALA 1974'!$B$1:$U$1,0)),IF($A39&lt;=1994,1000*INDEX('SALA 2002'!$B:$U,MATCH($A39,'SALA 2002'!$A:$A,0),MATCH(B$1,'SALA 2002'!$B$1:$U$1,0)),IF($A39&lt;=2000,1000*INDEX('SALA 2002'!$B:$U,MATCH($A39,'SALA 2002'!$A:$A,0),MATCH(B$1,'SALA 2002'!$B$1:$U$1,0))*POWER(INDEX('WPP 2024 середина года'!$B:$U,MATCH($A39,'WPP 2024 середина года'!$A:$A,0),MATCH(B$1,'WPP 2024 середина года'!$B$1:$U$1,0))/(1000*INDEX('SALA 2002'!$B:$U,MATCH($A39,'SALA 2002'!$A:$A,0),MATCH(B$1,'SALA 2002'!$B$1:$U$1,0))),($A39-1994)/7),INDEX('WPP 2024 середина года'!$B:$U,MATCH($A39,'WPP 2024 середина года'!$A:$A,0),MATCH(B$1,'WPP 2024 середина года'!$B$1:$U$1,0)))))</f>
        <v>13608</v>
      </c>
      <c r="C39" s="7">
        <f>IF($A39&lt;=1951,INDEX('SALA 1974'!$B:$U,MATCH($A39,'SALA 1974'!$A:$A,0),MATCH(C$1,'SALA 1974'!$B$1:$U$1,0)),IF($A39&lt;=1994,1000*INDEX('SALA 2002'!$B:$U,MATCH($A39,'SALA 2002'!$A:$A,0),MATCH(C$1,'SALA 2002'!$B$1:$U$1,0)),IF($A39&lt;=2000,1000*INDEX('SALA 2002'!$B:$U,MATCH($A39,'SALA 2002'!$A:$A,0),MATCH(C$1,'SALA 2002'!$B$1:$U$1,0))*POWER(INDEX('WPP 2024 середина года'!$B:$U,MATCH($A39,'WPP 2024 середина года'!$A:$A,0),MATCH(C$1,'WPP 2024 середина года'!$B$1:$U$1,0))/(1000*INDEX('SALA 2002'!$B:$U,MATCH($A39,'SALA 2002'!$A:$A,0),MATCH(C$1,'SALA 2002'!$B$1:$U$1,0))),($A39-1994)/7),INDEX('WPP 2024 середина года'!$B:$U,MATCH($A39,'WPP 2024 середина года'!$A:$A,0),MATCH(C$1,'WPP 2024 середина года'!$B$1:$U$1,0)))))</f>
        <v>2599</v>
      </c>
      <c r="D39" s="7">
        <f>IF($A39&lt;=1951,INDEX('SALA 1974'!$B:$U,MATCH($A39,'SALA 1974'!$A:$A,0),MATCH(D$1,'SALA 1974'!$B$1:$U$1,0)),IF($A39&lt;=1994,1000*INDEX('SALA 2002'!$B:$U,MATCH($A39,'SALA 2002'!$A:$A,0),MATCH(D$1,'SALA 2002'!$B$1:$U$1,0)),IF($A39&lt;=2000,1000*INDEX('SALA 2002'!$B:$U,MATCH($A39,'SALA 2002'!$A:$A,0),MATCH(D$1,'SALA 2002'!$B$1:$U$1,0))*POWER(INDEX('WPP 2024 середина года'!$B:$U,MATCH($A39,'WPP 2024 середина года'!$A:$A,0),MATCH(D$1,'WPP 2024 середина года'!$B$1:$U$1,0))/(1000*INDEX('SALA 2002'!$B:$U,MATCH($A39,'SALA 2002'!$A:$A,0),MATCH(D$1,'SALA 2002'!$B$1:$U$1,0))),($A39-1994)/7),INDEX('WPP 2024 середина года'!$B:$U,MATCH($A39,'WPP 2024 середина года'!$A:$A,0),MATCH(D$1,'WPP 2024 середина года'!$B$1:$U$1,0)))))</f>
        <v>38687</v>
      </c>
      <c r="E39" s="7">
        <f>IF($A39&lt;=1951,INDEX('SALA 1974'!$B:$U,MATCH($A39,'SALA 1974'!$A:$A,0),MATCH(E$1,'SALA 1974'!$B$1:$U$1,0)),IF($A39&lt;=1994,1000*INDEX('SALA 2002'!$B:$U,MATCH($A39,'SALA 2002'!$A:$A,0),MATCH(E$1,'SALA 2002'!$B$1:$U$1,0)),IF($A39&lt;=2000,1000*INDEX('SALA 2002'!$B:$U,MATCH($A39,'SALA 2002'!$A:$A,0),MATCH(E$1,'SALA 2002'!$B$1:$U$1,0))*POWER(INDEX('WPP 2024 середина года'!$B:$U,MATCH($A39,'WPP 2024 середина года'!$A:$A,0),MATCH(E$1,'WPP 2024 середина года'!$B$1:$U$1,0))/(1000*INDEX('SALA 2002'!$B:$U,MATCH($A39,'SALA 2002'!$A:$A,0),MATCH(E$1,'SALA 2002'!$B$1:$U$1,0))),($A39-1994)/7),INDEX('WPP 2024 середина года'!$B:$U,MATCH($A39,'WPP 2024 середина года'!$A:$A,0),MATCH(E$1,'WPP 2024 середина года'!$B$1:$U$1,0)))))</f>
        <v>4842</v>
      </c>
      <c r="F39" s="7">
        <f>IF($A39&lt;=1947,INDEX('SALA 1974'!$B:$U,MATCH($A39,'SALA 1974'!$A:$A,0),MATCH(F$1,'SALA 1974'!$B$1:$U$1,0)),IF($A39&lt;=1994,1000*INDEX('SALA 2002'!$B:$U,MATCH($A39,'SALA 2002'!$A:$A,0),MATCH(F$1,'SALA 2002'!$B$1:$U$1,0)),IF($A39&lt;=2000,1000*INDEX('SALA 2002'!$B:$U,MATCH($A39,'SALA 2002'!$A:$A,0),MATCH(F$1,'SALA 2002'!$B$1:$U$1,0))*POWER(INDEX('WPP 2024 середина года'!$B:$U,MATCH($A39,'WPP 2024 середина года'!$A:$A,0),MATCH(F$1,'WPP 2024 середина года'!$B$1:$U$1,0))/(1000*INDEX('SALA 2002'!$B:$U,MATCH($A39,'SALA 2002'!$A:$A,0),MATCH(F$1,'SALA 2002'!$B$1:$U$1,0))),($A39-1994)/7),INDEX('WPP 2024 середина года'!$B:$U,MATCH($A39,'WPP 2024 середина года'!$A:$A,0),MATCH(F$1,'WPP 2024 середина года'!$B$1:$U$1,0)))))</f>
        <v>8531</v>
      </c>
      <c r="G39" s="7">
        <f>IF($A39&lt;=1951,INDEX('SALA 1974'!$B:$U,MATCH($A39,'SALA 1974'!$A:$A,0),MATCH(G$1,'SALA 1974'!$B$1:$U$1,0)),IF($A39&lt;=1994,1000*INDEX('SALA 2002'!$B:$U,MATCH($A39,'SALA 2002'!$A:$A,0),MATCH(G$1,'SALA 2002'!$B$1:$U$1,0)),IF($A39&lt;=2000,1000*INDEX('SALA 2002'!$B:$U,MATCH($A39,'SALA 2002'!$A:$A,0),MATCH(G$1,'SALA 2002'!$B$1:$U$1,0))*POWER(INDEX('WPP 2024 середина года'!$B:$U,MATCH($A39,'WPP 2024 середина года'!$A:$A,0),MATCH(G$1,'WPP 2024 середина года'!$B$1:$U$1,0))/(1000*INDEX('SALA 2002'!$B:$U,MATCH($A39,'SALA 2002'!$A:$A,0),MATCH(G$1,'SALA 2002'!$B$1:$U$1,0))),($A39-1994)/7),INDEX('WPP 2024 середина года'!$B:$U,MATCH($A39,'WPP 2024 середина года'!$A:$A,0),MATCH(G$1,'WPP 2024 середина года'!$B$1:$U$1,0)))))</f>
        <v>576</v>
      </c>
      <c r="H39" s="7">
        <f>IF($A39&lt;=1951,INDEX('SALA 1974'!$B:$U,MATCH($A39,'SALA 1974'!$A:$A,0),MATCH(H$1,'SALA 1974'!$B$1:$U$1,0)),IF($A39&lt;=1994,1000*INDEX('SALA 2002'!$B:$U,MATCH($A39,'SALA 2002'!$A:$A,0),MATCH(H$1,'SALA 2002'!$B$1:$U$1,0)),IF($A39&lt;=2000,1000*INDEX('SALA 2002'!$B:$U,MATCH($A39,'SALA 2002'!$A:$A,0),MATCH(H$1,'SALA 2002'!$B$1:$U$1,0))*POWER(INDEX('WPP 2024 середина года'!$B:$U,MATCH($A39,'WPP 2024 середина года'!$A:$A,0),MATCH(H$1,'WPP 2024 середина года'!$B$1:$U$1,0))/(1000*INDEX('SALA 2002'!$B:$U,MATCH($A39,'SALA 2002'!$A:$A,0),MATCH(H$1,'SALA 2002'!$B$1:$U$1,0))),($A39-1994)/7),INDEX('WPP 2024 середина года'!$B:$U,MATCH($A39,'WPP 2024 середина года'!$A:$A,0),MATCH(H$1,'WPP 2024 середина года'!$B$1:$U$1,0)))))</f>
        <v>4165</v>
      </c>
      <c r="I39" s="7">
        <f>IF($A39&lt;=1951,INDEX('SALA 1974'!$B:$U,MATCH($A39,'SALA 1974'!$A:$A,0),MATCH(I$1,'SALA 1974'!$B$1:$U$1,0)),IF($A39&lt;=1994,1000*INDEX('SALA 2002'!$B:$U,MATCH($A39,'SALA 2002'!$A:$A,0),MATCH(I$1,'SALA 2002'!$B$1:$U$1,0)),IF($A39&lt;=2000,1000*INDEX('SALA 2002'!$B:$U,MATCH($A39,'SALA 2002'!$A:$A,0),MATCH(I$1,'SALA 2002'!$B$1:$U$1,0))*POWER(INDEX('WPP 2024 середина года'!$B:$U,MATCH($A39,'WPP 2024 середина года'!$A:$A,0),MATCH(I$1,'WPP 2024 середина года'!$B$1:$U$1,0))/(1000*INDEX('SALA 2002'!$B:$U,MATCH($A39,'SALA 2002'!$A:$A,0),MATCH(I$1,'SALA 2002'!$B$1:$U$1,0))),($A39-1994)/7),INDEX('WPP 2024 середина года'!$B:$U,MATCH($A39,'WPP 2024 середина года'!$A:$A,0),MATCH(I$1,'WPP 2024 середина года'!$B$1:$U$1,0)))))</f>
        <v>1558</v>
      </c>
      <c r="J39" s="7">
        <f>IF($A39&lt;=1951,INDEX('SALA 1974'!$B:$U,MATCH($A39,'SALA 1974'!$A:$A,0),MATCH(J$1,'SALA 1974'!$B$1:$U$1,0)),IF($A39&lt;=1994,1000*INDEX('SALA 2002'!$B:$U,MATCH($A39,'SALA 2002'!$A:$A,0),MATCH(J$1,'SALA 2002'!$B$1:$U$1,0)),IF($A39&lt;=2000,1000*INDEX('SALA 2002'!$B:$U,MATCH($A39,'SALA 2002'!$A:$A,0),MATCH(J$1,'SALA 2002'!$B$1:$U$1,0))*POWER(INDEX('WPP 2024 середина года'!$B:$U,MATCH($A39,'WPP 2024 середина года'!$A:$A,0),MATCH(J$1,'WPP 2024 середина года'!$B$1:$U$1,0))/(1000*INDEX('SALA 2002'!$B:$U,MATCH($A39,'SALA 2002'!$A:$A,0),MATCH(J$1,'SALA 2002'!$B$1:$U$1,0))),($A39-1994)/7),INDEX('WPP 2024 середина года'!$B:$U,MATCH($A39,'WPP 2024 середина года'!$A:$A,0),MATCH(J$1,'WPP 2024 середина года'!$B$1:$U$1,0)))))</f>
        <v>2298</v>
      </c>
      <c r="K39" s="7">
        <f>IF($A39&lt;=1951,INDEX('SALA 1974'!$B:$U,MATCH($A39,'SALA 1974'!$A:$A,0),MATCH(K$1,'SALA 1974'!$B$1:$U$1,0)),IF($A39&lt;=1994,1000*INDEX('SALA 2002'!$B:$U,MATCH($A39,'SALA 2002'!$A:$A,0),MATCH(K$1,'SALA 2002'!$B$1:$U$1,0)),IF($A39&lt;=2000,1000*INDEX('SALA 2002'!$B:$U,MATCH($A39,'SALA 2002'!$A:$A,0),MATCH(K$1,'SALA 2002'!$B$1:$U$1,0))*POWER(INDEX('WPP 2024 середина года'!$B:$U,MATCH($A39,'WPP 2024 середина года'!$A:$A,0),MATCH(K$1,'WPP 2024 середина года'!$B$1:$U$1,0))/(1000*INDEX('SALA 2002'!$B:$U,MATCH($A39,'SALA 2002'!$A:$A,0),MATCH(K$1,'SALA 2002'!$B$1:$U$1,0))),($A39-1994)/7),INDEX('WPP 2024 середина года'!$B:$U,MATCH($A39,'WPP 2024 середина года'!$A:$A,0),MATCH(K$1,'WPP 2024 середина года'!$B$1:$U$1,0)))))</f>
        <v>1571</v>
      </c>
      <c r="L39" s="7">
        <f>IF($A39&lt;=1951,INDEX('SALA 1974'!$B:$U,MATCH($A39,'SALA 1974'!$A:$A,0),MATCH(L$1,'SALA 1974'!$B$1:$U$1,0)),IF($A39&lt;=1994,1000*INDEX('SALA 2002'!$B:$U,MATCH($A39,'SALA 2002'!$A:$A,0),MATCH(L$1,'SALA 2002'!$B$1:$U$1,0)),IF($A39&lt;=2000,1000*INDEX('SALA 2002'!$B:$U,MATCH($A39,'SALA 2002'!$A:$A,0),MATCH(L$1,'SALA 2002'!$B$1:$U$1,0))*POWER(INDEX('WPP 2024 середина года'!$B:$U,MATCH($A39,'WPP 2024 середина года'!$A:$A,0),MATCH(L$1,'WPP 2024 середина года'!$B$1:$U$1,0))/(1000*INDEX('SALA 2002'!$B:$U,MATCH($A39,'SALA 2002'!$A:$A,0),MATCH(L$1,'SALA 2002'!$B$1:$U$1,0))),($A39-1994)/7),INDEX('WPP 2024 середина года'!$B:$U,MATCH($A39,'WPP 2024 середина года'!$A:$A,0),MATCH(L$1,'WPP 2024 середина года'!$B$1:$U$1,0)))))</f>
        <v>2066</v>
      </c>
      <c r="M39" s="7">
        <f>IF($A39&lt;=1951,INDEX('SALA 1974'!$B:$U,MATCH($A39,'SALA 1974'!$A:$A,0),MATCH(M$1,'SALA 1974'!$B$1:$U$1,0)),IF($A39&lt;=1994,1000*INDEX('SALA 2002'!$B:$U,MATCH($A39,'SALA 2002'!$A:$A,0),MATCH(M$1,'SALA 2002'!$B$1:$U$1,0)),IF($A39&lt;=2000,1000*INDEX('SALA 2002'!$B:$U,MATCH($A39,'SALA 2002'!$A:$A,0),MATCH(M$1,'SALA 2002'!$B$1:$U$1,0))*POWER(INDEX('WPP 2024 середина года'!$B:$U,MATCH($A39,'WPP 2024 середина года'!$A:$A,0),MATCH(M$1,'WPP 2024 середина года'!$B$1:$U$1,0))/(1000*INDEX('SALA 2002'!$B:$U,MATCH($A39,'SALA 2002'!$A:$A,0),MATCH(M$1,'SALA 2002'!$B$1:$U$1,0))),($A39-1994)/7),INDEX('WPP 2024 середина года'!$B:$U,MATCH($A39,'WPP 2024 середина года'!$A:$A,0),MATCH(M$1,'WPP 2024 середина года'!$B$1:$U$1,0)))))</f>
        <v>2697</v>
      </c>
      <c r="N39" s="7">
        <f>IF($A39&lt;=1951,INDEX('SALA 1974'!$B:$U,MATCH($A39,'SALA 1974'!$A:$A,0),MATCH(N$1,'SALA 1974'!$B$1:$U$1,0)),IF($A39&lt;=1994,1000*INDEX('SALA 2002'!$B:$U,MATCH($A39,'SALA 2002'!$A:$A,0),MATCH(N$1,'SALA 2002'!$B$1:$U$1,0)),IF($A39&lt;=2000,1000*INDEX('SALA 2002'!$B:$U,MATCH($A39,'SALA 2002'!$A:$A,0),MATCH(N$1,'SALA 2002'!$B$1:$U$1,0))*POWER(INDEX('WPP 2024 середина года'!$B:$U,MATCH($A39,'WPP 2024 середина года'!$A:$A,0),MATCH(N$1,'WPP 2024 середина года'!$B$1:$U$1,0))/(1000*INDEX('SALA 2002'!$B:$U,MATCH($A39,'SALA 2002'!$A:$A,0),MATCH(N$1,'SALA 2002'!$B$1:$U$1,0))),($A39-1994)/7),INDEX('WPP 2024 середина года'!$B:$U,MATCH($A39,'WPP 2024 середина года'!$A:$A,0),MATCH(N$1,'WPP 2024 середина года'!$B$1:$U$1,0)))))</f>
        <v>1076</v>
      </c>
      <c r="O39" s="7">
        <f>IF($A39&lt;=1951,INDEX('SALA 1974'!$B:$U,MATCH($A39,'SALA 1974'!$A:$A,0),MATCH(O$1,'SALA 1974'!$B$1:$U$1,0)),IF($A39&lt;=1994,1000*INDEX('SALA 2002'!$B:$U,MATCH($A39,'SALA 2002'!$A:$A,0),MATCH(O$1,'SALA 2002'!$B$1:$U$1,0)),IF($A39&lt;=2000,1000*INDEX('SALA 2002'!$B:$U,MATCH($A39,'SALA 2002'!$A:$A,0),MATCH(O$1,'SALA 2002'!$B$1:$U$1,0))*POWER(INDEX('WPP 2024 середина года'!$B:$U,MATCH($A39,'WPP 2024 середина года'!$A:$A,0),MATCH(O$1,'WPP 2024 середина года'!$B$1:$U$1,0))/(1000*INDEX('SALA 2002'!$B:$U,MATCH($A39,'SALA 2002'!$A:$A,0),MATCH(O$1,'SALA 2002'!$B$1:$U$1,0))),($A39-1994)/7),INDEX('WPP 2024 середина года'!$B:$U,MATCH($A39,'WPP 2024 середина года'!$A:$A,0),MATCH(O$1,'WPP 2024 середина года'!$B$1:$U$1,0)))))</f>
        <v>18764</v>
      </c>
      <c r="P39" s="7">
        <f>IF($A39&lt;=1951,INDEX('SALA 1974'!$B:$U,MATCH($A39,'SALA 1974'!$A:$A,0),MATCH(P$1,'SALA 1974'!$B$1:$U$1,0)),IF($A39&lt;=1994,1000*INDEX('SALA 2002'!$B:$U,MATCH($A39,'SALA 2002'!$A:$A,0),MATCH(P$1,'SALA 2002'!$B$1:$U$1,0)),IF($A39&lt;=2000,1000*INDEX('SALA 2002'!$B:$U,MATCH($A39,'SALA 2002'!$A:$A,0),MATCH(P$1,'SALA 2002'!$B$1:$U$1,0))*POWER(INDEX('WPP 2024 середина года'!$B:$U,MATCH($A39,'WPP 2024 середина года'!$A:$A,0),MATCH(P$1,'WPP 2024 середина года'!$B$1:$U$1,0))/(1000*INDEX('SALA 2002'!$B:$U,MATCH($A39,'SALA 2002'!$A:$A,0),MATCH(P$1,'SALA 2002'!$B$1:$U$1,0))),($A39-1994)/7),INDEX('WPP 2024 середина года'!$B:$U,MATCH($A39,'WPP 2024 середина года'!$A:$A,0),MATCH(P$1,'WPP 2024 середина года'!$B$1:$U$1,0)))))</f>
        <v>765</v>
      </c>
      <c r="Q39" s="7">
        <f>IF($A39&lt;=1951,INDEX('SALA 1974'!$B:$U,MATCH($A39,'SALA 1974'!$A:$A,0),MATCH(Q$1,'SALA 1974'!$B$1:$U$1,0)),IF($A39&lt;=1994,1000*INDEX('SALA 2002'!$B:$U,MATCH($A39,'SALA 2002'!$A:$A,0),MATCH(Q$1,'SALA 2002'!$B$1:$U$1,0)),IF($A39&lt;=2000,1000*INDEX('SALA 2002'!$B:$U,MATCH($A39,'SALA 2002'!$A:$A,0),MATCH(Q$1,'SALA 2002'!$B$1:$U$1,0))*POWER(INDEX('WPP 2024 середина года'!$B:$U,MATCH($A39,'WPP 2024 середина года'!$A:$A,0),MATCH(Q$1,'WPP 2024 середина года'!$B$1:$U$1,0))/(1000*INDEX('SALA 2002'!$B:$U,MATCH($A39,'SALA 2002'!$A:$A,0),MATCH(Q$1,'SALA 2002'!$B$1:$U$1,0))),($A39-1994)/7),INDEX('WPP 2024 середина года'!$B:$U,MATCH($A39,'WPP 2024 середина года'!$A:$A,0),MATCH(Q$1,'WPP 2024 середина года'!$B$1:$U$1,0)))))</f>
        <v>575</v>
      </c>
      <c r="R39" s="7">
        <f>IF($A39&lt;=1951,INDEX('SALA 1974'!$B:$U,MATCH($A39,'SALA 1974'!$A:$A,0),MATCH(R$1,'SALA 1974'!$B$1:$U$1,0)),IF($A39&lt;=1994,1000*INDEX('SALA 2002'!$B:$U,MATCH($A39,'SALA 2002'!$A:$A,0),MATCH(R$1,'SALA 2002'!$B$1:$U$1,0)),IF($A39&lt;=2000,1000*INDEX('SALA 2002'!$B:$U,MATCH($A39,'SALA 2002'!$A:$A,0),MATCH(R$1,'SALA 2002'!$B$1:$U$1,0))*POWER(INDEX('WPP 2024 середина года'!$B:$U,MATCH($A39,'WPP 2024 середина года'!$A:$A,0),MATCH(R$1,'WPP 2024 середина года'!$B$1:$U$1,0))/(1000*INDEX('SALA 2002'!$B:$U,MATCH($A39,'SALA 2002'!$A:$A,0),MATCH(R$1,'SALA 2002'!$B$1:$U$1,0))),($A39-1994)/7),INDEX('WPP 2024 середина года'!$B:$U,MATCH($A39,'WPP 2024 середина года'!$A:$A,0),MATCH(R$1,'WPP 2024 середина года'!$B$1:$U$1,0)))))</f>
        <v>1036</v>
      </c>
      <c r="S39" s="7">
        <f>IF($A39&lt;=1951,INDEX('SALA 1974'!$B:$U,MATCH($A39,'SALA 1974'!$A:$A,0),MATCH(S$1,'SALA 1974'!$B$1:$U$1,0)),IF($A39&lt;=1994,1000*INDEX('SALA 2002'!$B:$U,MATCH($A39,'SALA 2002'!$A:$A,0),MATCH(S$1,'SALA 2002'!$B$1:$U$1,0)),IF($A39&lt;=2000,1000*INDEX('SALA 2002'!$B:$U,MATCH($A39,'SALA 2002'!$A:$A,0),MATCH(S$1,'SALA 2002'!$B$1:$U$1,0))*POWER(INDEX('WPP 2024 середина года'!$B:$U,MATCH($A39,'WPP 2024 середина года'!$A:$A,0),MATCH(S$1,'WPP 2024 середина года'!$B$1:$U$1,0))/(1000*INDEX('SALA 2002'!$B:$U,MATCH($A39,'SALA 2002'!$A:$A,0),MATCH(S$1,'SALA 2002'!$B$1:$U$1,0))),($A39-1994)/7),INDEX('WPP 2024 середина года'!$B:$U,MATCH($A39,'WPP 2024 середина года'!$A:$A,0),MATCH(S$1,'WPP 2024 середина года'!$B$1:$U$1,0)))))</f>
        <v>6353</v>
      </c>
      <c r="T39" s="7">
        <f>IF($A39&lt;=1951,INDEX('SALA 1974'!$B:$U,MATCH($A39,'SALA 1974'!$A:$A,0),MATCH(T$1,'SALA 1974'!$B$1:$U$1,0)),IF($A39&lt;=1994,1000*INDEX('SALA 2002'!$B:$U,MATCH($A39,'SALA 2002'!$A:$A,0),MATCH(T$1,'SALA 2002'!$B$1:$U$1,0)),IF($A39&lt;=2000,1000*INDEX('SALA 2002'!$B:$U,MATCH($A39,'SALA 2002'!$A:$A,0),MATCH(T$1,'SALA 2002'!$B$1:$U$1,0))*POWER(INDEX('WPP 2024 середина года'!$B:$U,MATCH($A39,'WPP 2024 середина года'!$A:$A,0),MATCH(T$1,'WPP 2024 середина года'!$B$1:$U$1,0))/(1000*INDEX('SALA 2002'!$B:$U,MATCH($A39,'SALA 2002'!$A:$A,0),MATCH(T$1,'SALA 2002'!$B$1:$U$1,0))),($A39-1994)/7),INDEX('WPP 2024 середина года'!$B:$U,MATCH($A39,'WPP 2024 середина года'!$A:$A,0),MATCH(T$1,'WPP 2024 середина года'!$B$1:$U$1,0)))))</f>
        <v>1911</v>
      </c>
      <c r="U39" s="7">
        <f>IF($A39&lt;=1951,INDEX('SALA 1974'!$B:$U,MATCH($A39,'SALA 1974'!$A:$A,0),MATCH(U$1,'SALA 1974'!$B$1:$U$1,0)),IF($A39&lt;=1994,1000*INDEX('SALA 2002'!$B:$U,MATCH($A39,'SALA 2002'!$A:$A,0),MATCH(U$1,'SALA 2002'!$B$1:$U$1,0)),IF($A39&lt;=2000,1000*INDEX('SALA 2002'!$B:$U,MATCH($A39,'SALA 2002'!$A:$A,0),MATCH(U$1,'SALA 2002'!$B$1:$U$1,0))*POWER(INDEX('WPP 2024 середина года'!$B:$U,MATCH($A39,'WPP 2024 середина года'!$A:$A,0),MATCH(U$1,'WPP 2024 середина года'!$B$1:$U$1,0))/(1000*INDEX('SALA 2002'!$B:$U,MATCH($A39,'SALA 2002'!$A:$A,0),MATCH(U$1,'SALA 2002'!$B$1:$U$1,0))),($A39-1994)/7),INDEX('WPP 2024 середина года'!$B:$U,MATCH($A39,'WPP 2024 середина года'!$A:$A,0),MATCH(U$1,'WPP 2024 середина года'!$B$1:$U$1,0)))))</f>
        <v>3464</v>
      </c>
    </row>
    <row r="40" spans="1:21" x14ac:dyDescent="0.25">
      <c r="A40" s="5">
        <f t="shared" si="0"/>
        <v>1938</v>
      </c>
      <c r="B40" s="7">
        <f>IF($A40&lt;=1951,INDEX('SALA 1974'!$B:$U,MATCH($A40,'SALA 1974'!$A:$A,0),MATCH(B$1,'SALA 1974'!$B$1:$U$1,0)),IF($A40&lt;=1994,1000*INDEX('SALA 2002'!$B:$U,MATCH($A40,'SALA 2002'!$A:$A,0),MATCH(B$1,'SALA 2002'!$B$1:$U$1,0)),IF($A40&lt;=2000,1000*INDEX('SALA 2002'!$B:$U,MATCH($A40,'SALA 2002'!$A:$A,0),MATCH(B$1,'SALA 2002'!$B$1:$U$1,0))*POWER(INDEX('WPP 2024 середина года'!$B:$U,MATCH($A40,'WPP 2024 середина года'!$A:$A,0),MATCH(B$1,'WPP 2024 середина года'!$B$1:$U$1,0))/(1000*INDEX('SALA 2002'!$B:$U,MATCH($A40,'SALA 2002'!$A:$A,0),MATCH(B$1,'SALA 2002'!$B$1:$U$1,0))),($A40-1994)/7),INDEX('WPP 2024 середина года'!$B:$U,MATCH($A40,'WPP 2024 середина года'!$A:$A,0),MATCH(B$1,'WPP 2024 середина года'!$B$1:$U$1,0)))))</f>
        <v>13841</v>
      </c>
      <c r="C40" s="7">
        <f>IF($A40&lt;=1951,INDEX('SALA 1974'!$B:$U,MATCH($A40,'SALA 1974'!$A:$A,0),MATCH(C$1,'SALA 1974'!$B$1:$U$1,0)),IF($A40&lt;=1994,1000*INDEX('SALA 2002'!$B:$U,MATCH($A40,'SALA 2002'!$A:$A,0),MATCH(C$1,'SALA 2002'!$B$1:$U$1,0)),IF($A40&lt;=2000,1000*INDEX('SALA 2002'!$B:$U,MATCH($A40,'SALA 2002'!$A:$A,0),MATCH(C$1,'SALA 2002'!$B$1:$U$1,0))*POWER(INDEX('WPP 2024 середина года'!$B:$U,MATCH($A40,'WPP 2024 середина года'!$A:$A,0),MATCH(C$1,'WPP 2024 середина года'!$B$1:$U$1,0))/(1000*INDEX('SALA 2002'!$B:$U,MATCH($A40,'SALA 2002'!$A:$A,0),MATCH(C$1,'SALA 2002'!$B$1:$U$1,0))),($A40-1994)/7),INDEX('WPP 2024 середина года'!$B:$U,MATCH($A40,'WPP 2024 середина года'!$A:$A,0),MATCH(C$1,'WPP 2024 середина года'!$B$1:$U$1,0)))))</f>
        <v>2629</v>
      </c>
      <c r="D40" s="7">
        <f>IF($A40&lt;=1951,INDEX('SALA 1974'!$B:$U,MATCH($A40,'SALA 1974'!$A:$A,0),MATCH(D$1,'SALA 1974'!$B$1:$U$1,0)),IF($A40&lt;=1994,1000*INDEX('SALA 2002'!$B:$U,MATCH($A40,'SALA 2002'!$A:$A,0),MATCH(D$1,'SALA 2002'!$B$1:$U$1,0)),IF($A40&lt;=2000,1000*INDEX('SALA 2002'!$B:$U,MATCH($A40,'SALA 2002'!$A:$A,0),MATCH(D$1,'SALA 2002'!$B$1:$U$1,0))*POWER(INDEX('WPP 2024 середина года'!$B:$U,MATCH($A40,'WPP 2024 середина года'!$A:$A,0),MATCH(D$1,'WPP 2024 середина года'!$B$1:$U$1,0))/(1000*INDEX('SALA 2002'!$B:$U,MATCH($A40,'SALA 2002'!$A:$A,0),MATCH(D$1,'SALA 2002'!$B$1:$U$1,0))),($A40-1994)/7),INDEX('WPP 2024 середина года'!$B:$U,MATCH($A40,'WPP 2024 середина года'!$A:$A,0),MATCH(D$1,'WPP 2024 середина года'!$B$1:$U$1,0)))))</f>
        <v>39480</v>
      </c>
      <c r="E40" s="7">
        <f>IF($A40&lt;=1951,INDEX('SALA 1974'!$B:$U,MATCH($A40,'SALA 1974'!$A:$A,0),MATCH(E$1,'SALA 1974'!$B$1:$U$1,0)),IF($A40&lt;=1994,1000*INDEX('SALA 2002'!$B:$U,MATCH($A40,'SALA 2002'!$A:$A,0),MATCH(E$1,'SALA 2002'!$B$1:$U$1,0)),IF($A40&lt;=2000,1000*INDEX('SALA 2002'!$B:$U,MATCH($A40,'SALA 2002'!$A:$A,0),MATCH(E$1,'SALA 2002'!$B$1:$U$1,0))*POWER(INDEX('WPP 2024 середина года'!$B:$U,MATCH($A40,'WPP 2024 середина года'!$A:$A,0),MATCH(E$1,'WPP 2024 середина года'!$B$1:$U$1,0))/(1000*INDEX('SALA 2002'!$B:$U,MATCH($A40,'SALA 2002'!$A:$A,0),MATCH(E$1,'SALA 2002'!$B$1:$U$1,0))),($A40-1994)/7),INDEX('WPP 2024 середина года'!$B:$U,MATCH($A40,'WPP 2024 середина года'!$A:$A,0),MATCH(E$1,'WPP 2024 середина года'!$B$1:$U$1,0)))))</f>
        <v>4914</v>
      </c>
      <c r="F40" s="7">
        <f>IF($A40&lt;=1947,INDEX('SALA 1974'!$B:$U,MATCH($A40,'SALA 1974'!$A:$A,0),MATCH(F$1,'SALA 1974'!$B$1:$U$1,0)),IF($A40&lt;=1994,1000*INDEX('SALA 2002'!$B:$U,MATCH($A40,'SALA 2002'!$A:$A,0),MATCH(F$1,'SALA 2002'!$B$1:$U$1,0)),IF($A40&lt;=2000,1000*INDEX('SALA 2002'!$B:$U,MATCH($A40,'SALA 2002'!$A:$A,0),MATCH(F$1,'SALA 2002'!$B$1:$U$1,0))*POWER(INDEX('WPP 2024 середина года'!$B:$U,MATCH($A40,'WPP 2024 середина года'!$A:$A,0),MATCH(F$1,'WPP 2024 середина года'!$B$1:$U$1,0))/(1000*INDEX('SALA 2002'!$B:$U,MATCH($A40,'SALA 2002'!$A:$A,0),MATCH(F$1,'SALA 2002'!$B$1:$U$1,0))),($A40-1994)/7),INDEX('WPP 2024 середина года'!$B:$U,MATCH($A40,'WPP 2024 середина года'!$A:$A,0),MATCH(F$1,'WPP 2024 середина года'!$B$1:$U$1,0)))))</f>
        <v>8702</v>
      </c>
      <c r="G40" s="7">
        <f>IF($A40&lt;=1951,INDEX('SALA 1974'!$B:$U,MATCH($A40,'SALA 1974'!$A:$A,0),MATCH(G$1,'SALA 1974'!$B$1:$U$1,0)),IF($A40&lt;=1994,1000*INDEX('SALA 2002'!$B:$U,MATCH($A40,'SALA 2002'!$A:$A,0),MATCH(G$1,'SALA 2002'!$B$1:$U$1,0)),IF($A40&lt;=2000,1000*INDEX('SALA 2002'!$B:$U,MATCH($A40,'SALA 2002'!$A:$A,0),MATCH(G$1,'SALA 2002'!$B$1:$U$1,0))*POWER(INDEX('WPP 2024 середина года'!$B:$U,MATCH($A40,'WPP 2024 середина года'!$A:$A,0),MATCH(G$1,'WPP 2024 середина года'!$B$1:$U$1,0))/(1000*INDEX('SALA 2002'!$B:$U,MATCH($A40,'SALA 2002'!$A:$A,0),MATCH(G$1,'SALA 2002'!$B$1:$U$1,0))),($A40-1994)/7),INDEX('WPP 2024 середина года'!$B:$U,MATCH($A40,'WPP 2024 середина года'!$A:$A,0),MATCH(G$1,'WPP 2024 середина года'!$B$1:$U$1,0)))))</f>
        <v>590</v>
      </c>
      <c r="H40" s="7">
        <f>IF($A40&lt;=1951,INDEX('SALA 1974'!$B:$U,MATCH($A40,'SALA 1974'!$A:$A,0),MATCH(H$1,'SALA 1974'!$B$1:$U$1,0)),IF($A40&lt;=1994,1000*INDEX('SALA 2002'!$B:$U,MATCH($A40,'SALA 2002'!$A:$A,0),MATCH(H$1,'SALA 2002'!$B$1:$U$1,0)),IF($A40&lt;=2000,1000*INDEX('SALA 2002'!$B:$U,MATCH($A40,'SALA 2002'!$A:$A,0),MATCH(H$1,'SALA 2002'!$B$1:$U$1,0))*POWER(INDEX('WPP 2024 середина года'!$B:$U,MATCH($A40,'WPP 2024 середина года'!$A:$A,0),MATCH(H$1,'WPP 2024 середина года'!$B$1:$U$1,0))/(1000*INDEX('SALA 2002'!$B:$U,MATCH($A40,'SALA 2002'!$A:$A,0),MATCH(H$1,'SALA 2002'!$B$1:$U$1,0))),($A40-1994)/7),INDEX('WPP 2024 середина года'!$B:$U,MATCH($A40,'WPP 2024 середина года'!$A:$A,0),MATCH(H$1,'WPP 2024 середина года'!$B$1:$U$1,0)))))</f>
        <v>4228</v>
      </c>
      <c r="I40" s="7">
        <f>IF($A40&lt;=1951,INDEX('SALA 1974'!$B:$U,MATCH($A40,'SALA 1974'!$A:$A,0),MATCH(I$1,'SALA 1974'!$B$1:$U$1,0)),IF($A40&lt;=1994,1000*INDEX('SALA 2002'!$B:$U,MATCH($A40,'SALA 2002'!$A:$A,0),MATCH(I$1,'SALA 2002'!$B$1:$U$1,0)),IF($A40&lt;=2000,1000*INDEX('SALA 2002'!$B:$U,MATCH($A40,'SALA 2002'!$A:$A,0),MATCH(I$1,'SALA 2002'!$B$1:$U$1,0))*POWER(INDEX('WPP 2024 середина года'!$B:$U,MATCH($A40,'WPP 2024 середина года'!$A:$A,0),MATCH(I$1,'WPP 2024 середина года'!$B$1:$U$1,0))/(1000*INDEX('SALA 2002'!$B:$U,MATCH($A40,'SALA 2002'!$A:$A,0),MATCH(I$1,'SALA 2002'!$B$1:$U$1,0))),($A40-1994)/7),INDEX('WPP 2024 середина года'!$B:$U,MATCH($A40,'WPP 2024 середина года'!$A:$A,0),MATCH(I$1,'WPP 2024 середина года'!$B$1:$U$1,0)))))</f>
        <v>1596</v>
      </c>
      <c r="J40" s="7">
        <f>IF($A40&lt;=1951,INDEX('SALA 1974'!$B:$U,MATCH($A40,'SALA 1974'!$A:$A,0),MATCH(J$1,'SALA 1974'!$B$1:$U$1,0)),IF($A40&lt;=1994,1000*INDEX('SALA 2002'!$B:$U,MATCH($A40,'SALA 2002'!$A:$A,0),MATCH(J$1,'SALA 2002'!$B$1:$U$1,0)),IF($A40&lt;=2000,1000*INDEX('SALA 2002'!$B:$U,MATCH($A40,'SALA 2002'!$A:$A,0),MATCH(J$1,'SALA 2002'!$B$1:$U$1,0))*POWER(INDEX('WPP 2024 середина года'!$B:$U,MATCH($A40,'WPP 2024 середина года'!$A:$A,0),MATCH(J$1,'WPP 2024 середина года'!$B$1:$U$1,0))/(1000*INDEX('SALA 2002'!$B:$U,MATCH($A40,'SALA 2002'!$A:$A,0),MATCH(J$1,'SALA 2002'!$B$1:$U$1,0))),($A40-1994)/7),INDEX('WPP 2024 середина года'!$B:$U,MATCH($A40,'WPP 2024 середина года'!$A:$A,0),MATCH(J$1,'WPP 2024 середина года'!$B$1:$U$1,0)))))</f>
        <v>2355</v>
      </c>
      <c r="K40" s="7">
        <f>IF($A40&lt;=1951,INDEX('SALA 1974'!$B:$U,MATCH($A40,'SALA 1974'!$A:$A,0),MATCH(K$1,'SALA 1974'!$B$1:$U$1,0)),IF($A40&lt;=1994,1000*INDEX('SALA 2002'!$B:$U,MATCH($A40,'SALA 2002'!$A:$A,0),MATCH(K$1,'SALA 2002'!$B$1:$U$1,0)),IF($A40&lt;=2000,1000*INDEX('SALA 2002'!$B:$U,MATCH($A40,'SALA 2002'!$A:$A,0),MATCH(K$1,'SALA 2002'!$B$1:$U$1,0))*POWER(INDEX('WPP 2024 середина года'!$B:$U,MATCH($A40,'WPP 2024 середина года'!$A:$A,0),MATCH(K$1,'WPP 2024 середина года'!$B$1:$U$1,0))/(1000*INDEX('SALA 2002'!$B:$U,MATCH($A40,'SALA 2002'!$A:$A,0),MATCH(K$1,'SALA 2002'!$B$1:$U$1,0))),($A40-1994)/7),INDEX('WPP 2024 середина года'!$B:$U,MATCH($A40,'WPP 2024 середина года'!$A:$A,0),MATCH(K$1,'WPP 2024 середина года'!$B$1:$U$1,0)))))</f>
        <v>1591</v>
      </c>
      <c r="L40" s="7">
        <f>IF($A40&lt;=1951,INDEX('SALA 1974'!$B:$U,MATCH($A40,'SALA 1974'!$A:$A,0),MATCH(L$1,'SALA 1974'!$B$1:$U$1,0)),IF($A40&lt;=1994,1000*INDEX('SALA 2002'!$B:$U,MATCH($A40,'SALA 2002'!$A:$A,0),MATCH(L$1,'SALA 2002'!$B$1:$U$1,0)),IF($A40&lt;=2000,1000*INDEX('SALA 2002'!$B:$U,MATCH($A40,'SALA 2002'!$A:$A,0),MATCH(L$1,'SALA 2002'!$B$1:$U$1,0))*POWER(INDEX('WPP 2024 середина года'!$B:$U,MATCH($A40,'WPP 2024 середина года'!$A:$A,0),MATCH(L$1,'WPP 2024 середина года'!$B$1:$U$1,0))/(1000*INDEX('SALA 2002'!$B:$U,MATCH($A40,'SALA 2002'!$A:$A,0),MATCH(L$1,'SALA 2002'!$B$1:$U$1,0))),($A40-1994)/7),INDEX('WPP 2024 середина года'!$B:$U,MATCH($A40,'WPP 2024 середина года'!$A:$A,0),MATCH(L$1,'WPP 2024 середина года'!$B$1:$U$1,0)))))</f>
        <v>2113</v>
      </c>
      <c r="M40" s="7">
        <f>IF($A40&lt;=1951,INDEX('SALA 1974'!$B:$U,MATCH($A40,'SALA 1974'!$A:$A,0),MATCH(M$1,'SALA 1974'!$B$1:$U$1,0)),IF($A40&lt;=1994,1000*INDEX('SALA 2002'!$B:$U,MATCH($A40,'SALA 2002'!$A:$A,0),MATCH(M$1,'SALA 2002'!$B$1:$U$1,0)),IF($A40&lt;=2000,1000*INDEX('SALA 2002'!$B:$U,MATCH($A40,'SALA 2002'!$A:$A,0),MATCH(M$1,'SALA 2002'!$B$1:$U$1,0))*POWER(INDEX('WPP 2024 середина года'!$B:$U,MATCH($A40,'WPP 2024 середина года'!$A:$A,0),MATCH(M$1,'WPP 2024 середина года'!$B$1:$U$1,0))/(1000*INDEX('SALA 2002'!$B:$U,MATCH($A40,'SALA 2002'!$A:$A,0),MATCH(M$1,'SALA 2002'!$B$1:$U$1,0))),($A40-1994)/7),INDEX('WPP 2024 середина года'!$B:$U,MATCH($A40,'WPP 2024 середина года'!$A:$A,0),MATCH(M$1,'WPP 2024 середина года'!$B$1:$U$1,0)))))</f>
        <v>2741</v>
      </c>
      <c r="N40" s="7">
        <f>IF($A40&lt;=1951,INDEX('SALA 1974'!$B:$U,MATCH($A40,'SALA 1974'!$A:$A,0),MATCH(N$1,'SALA 1974'!$B$1:$U$1,0)),IF($A40&lt;=1994,1000*INDEX('SALA 2002'!$B:$U,MATCH($A40,'SALA 2002'!$A:$A,0),MATCH(N$1,'SALA 2002'!$B$1:$U$1,0)),IF($A40&lt;=2000,1000*INDEX('SALA 2002'!$B:$U,MATCH($A40,'SALA 2002'!$A:$A,0),MATCH(N$1,'SALA 2002'!$B$1:$U$1,0))*POWER(INDEX('WPP 2024 середина года'!$B:$U,MATCH($A40,'WPP 2024 середина года'!$A:$A,0),MATCH(N$1,'WPP 2024 середина года'!$B$1:$U$1,0))/(1000*INDEX('SALA 2002'!$B:$U,MATCH($A40,'SALA 2002'!$A:$A,0),MATCH(N$1,'SALA 2002'!$B$1:$U$1,0))),($A40-1994)/7),INDEX('WPP 2024 середина года'!$B:$U,MATCH($A40,'WPP 2024 середина года'!$A:$A,0),MATCH(N$1,'WPP 2024 середина года'!$B$1:$U$1,0)))))</f>
        <v>1098</v>
      </c>
      <c r="O40" s="7">
        <f>IF($A40&lt;=1951,INDEX('SALA 1974'!$B:$U,MATCH($A40,'SALA 1974'!$A:$A,0),MATCH(O$1,'SALA 1974'!$B$1:$U$1,0)),IF($A40&lt;=1994,1000*INDEX('SALA 2002'!$B:$U,MATCH($A40,'SALA 2002'!$A:$A,0),MATCH(O$1,'SALA 2002'!$B$1:$U$1,0)),IF($A40&lt;=2000,1000*INDEX('SALA 2002'!$B:$U,MATCH($A40,'SALA 2002'!$A:$A,0),MATCH(O$1,'SALA 2002'!$B$1:$U$1,0))*POWER(INDEX('WPP 2024 середина года'!$B:$U,MATCH($A40,'WPP 2024 середина года'!$A:$A,0),MATCH(O$1,'WPP 2024 середина года'!$B$1:$U$1,0))/(1000*INDEX('SALA 2002'!$B:$U,MATCH($A40,'SALA 2002'!$A:$A,0),MATCH(O$1,'SALA 2002'!$B$1:$U$1,0))),($A40-1994)/7),INDEX('WPP 2024 середина года'!$B:$U,MATCH($A40,'WPP 2024 середина года'!$A:$A,0),MATCH(O$1,'WPP 2024 середина года'!$B$1:$U$1,0)))))</f>
        <v>19071</v>
      </c>
      <c r="P40" s="7">
        <f>IF($A40&lt;=1951,INDEX('SALA 1974'!$B:$U,MATCH($A40,'SALA 1974'!$A:$A,0),MATCH(P$1,'SALA 1974'!$B$1:$U$1,0)),IF($A40&lt;=1994,1000*INDEX('SALA 2002'!$B:$U,MATCH($A40,'SALA 2002'!$A:$A,0),MATCH(P$1,'SALA 2002'!$B$1:$U$1,0)),IF($A40&lt;=2000,1000*INDEX('SALA 2002'!$B:$U,MATCH($A40,'SALA 2002'!$A:$A,0),MATCH(P$1,'SALA 2002'!$B$1:$U$1,0))*POWER(INDEX('WPP 2024 середина года'!$B:$U,MATCH($A40,'WPP 2024 середина года'!$A:$A,0),MATCH(P$1,'WPP 2024 середина года'!$B$1:$U$1,0))/(1000*INDEX('SALA 2002'!$B:$U,MATCH($A40,'SALA 2002'!$A:$A,0),MATCH(P$1,'SALA 2002'!$B$1:$U$1,0))),($A40-1994)/7),INDEX('WPP 2024 середина года'!$B:$U,MATCH($A40,'WPP 2024 середина года'!$A:$A,0),MATCH(P$1,'WPP 2024 середина года'!$B$1:$U$1,0)))))</f>
        <v>785</v>
      </c>
      <c r="Q40" s="7">
        <f>IF($A40&lt;=1951,INDEX('SALA 1974'!$B:$U,MATCH($A40,'SALA 1974'!$A:$A,0),MATCH(Q$1,'SALA 1974'!$B$1:$U$1,0)),IF($A40&lt;=1994,1000*INDEX('SALA 2002'!$B:$U,MATCH($A40,'SALA 2002'!$A:$A,0),MATCH(Q$1,'SALA 2002'!$B$1:$U$1,0)),IF($A40&lt;=2000,1000*INDEX('SALA 2002'!$B:$U,MATCH($A40,'SALA 2002'!$A:$A,0),MATCH(Q$1,'SALA 2002'!$B$1:$U$1,0))*POWER(INDEX('WPP 2024 середина года'!$B:$U,MATCH($A40,'WPP 2024 середина года'!$A:$A,0),MATCH(Q$1,'WPP 2024 середина года'!$B$1:$U$1,0))/(1000*INDEX('SALA 2002'!$B:$U,MATCH($A40,'SALA 2002'!$A:$A,0),MATCH(Q$1,'SALA 2002'!$B$1:$U$1,0))),($A40-1994)/7),INDEX('WPP 2024 середина года'!$B:$U,MATCH($A40,'WPP 2024 середина года'!$A:$A,0),MATCH(Q$1,'WPP 2024 середина года'!$B$1:$U$1,0)))))</f>
        <v>590</v>
      </c>
      <c r="R40" s="7">
        <f>IF($A40&lt;=1951,INDEX('SALA 1974'!$B:$U,MATCH($A40,'SALA 1974'!$A:$A,0),MATCH(R$1,'SALA 1974'!$B$1:$U$1,0)),IF($A40&lt;=1994,1000*INDEX('SALA 2002'!$B:$U,MATCH($A40,'SALA 2002'!$A:$A,0),MATCH(R$1,'SALA 2002'!$B$1:$U$1,0)),IF($A40&lt;=2000,1000*INDEX('SALA 2002'!$B:$U,MATCH($A40,'SALA 2002'!$A:$A,0),MATCH(R$1,'SALA 2002'!$B$1:$U$1,0))*POWER(INDEX('WPP 2024 середина года'!$B:$U,MATCH($A40,'WPP 2024 середина года'!$A:$A,0),MATCH(R$1,'WPP 2024 середина года'!$B$1:$U$1,0))/(1000*INDEX('SALA 2002'!$B:$U,MATCH($A40,'SALA 2002'!$A:$A,0),MATCH(R$1,'SALA 2002'!$B$1:$U$1,0))),($A40-1994)/7),INDEX('WPP 2024 середина года'!$B:$U,MATCH($A40,'WPP 2024 середина года'!$A:$A,0),MATCH(R$1,'WPP 2024 середина года'!$B$1:$U$1,0)))))</f>
        <v>1061</v>
      </c>
      <c r="S40" s="7">
        <f>IF($A40&lt;=1951,INDEX('SALA 1974'!$B:$U,MATCH($A40,'SALA 1974'!$A:$A,0),MATCH(S$1,'SALA 1974'!$B$1:$U$1,0)),IF($A40&lt;=1994,1000*INDEX('SALA 2002'!$B:$U,MATCH($A40,'SALA 2002'!$A:$A,0),MATCH(S$1,'SALA 2002'!$B$1:$U$1,0)),IF($A40&lt;=2000,1000*INDEX('SALA 2002'!$B:$U,MATCH($A40,'SALA 2002'!$A:$A,0),MATCH(S$1,'SALA 2002'!$B$1:$U$1,0))*POWER(INDEX('WPP 2024 середина года'!$B:$U,MATCH($A40,'WPP 2024 середина года'!$A:$A,0),MATCH(S$1,'WPP 2024 середина года'!$B$1:$U$1,0))/(1000*INDEX('SALA 2002'!$B:$U,MATCH($A40,'SALA 2002'!$A:$A,0),MATCH(S$1,'SALA 2002'!$B$1:$U$1,0))),($A40-1994)/7),INDEX('WPP 2024 середина года'!$B:$U,MATCH($A40,'WPP 2024 середина года'!$A:$A,0),MATCH(S$1,'WPP 2024 середина года'!$B$1:$U$1,0)))))</f>
        <v>6462</v>
      </c>
      <c r="T40" s="7">
        <f>IF($A40&lt;=1951,INDEX('SALA 1974'!$B:$U,MATCH($A40,'SALA 1974'!$A:$A,0),MATCH(T$1,'SALA 1974'!$B$1:$U$1,0)),IF($A40&lt;=1994,1000*INDEX('SALA 2002'!$B:$U,MATCH($A40,'SALA 2002'!$A:$A,0),MATCH(T$1,'SALA 2002'!$B$1:$U$1,0)),IF($A40&lt;=2000,1000*INDEX('SALA 2002'!$B:$U,MATCH($A40,'SALA 2002'!$A:$A,0),MATCH(T$1,'SALA 2002'!$B$1:$U$1,0))*POWER(INDEX('WPP 2024 середина года'!$B:$U,MATCH($A40,'WPP 2024 середина года'!$A:$A,0),MATCH(T$1,'WPP 2024 середина года'!$B$1:$U$1,0))/(1000*INDEX('SALA 2002'!$B:$U,MATCH($A40,'SALA 2002'!$A:$A,0),MATCH(T$1,'SALA 2002'!$B$1:$U$1,0))),($A40-1994)/7),INDEX('WPP 2024 середина года'!$B:$U,MATCH($A40,'WPP 2024 середина года'!$A:$A,0),MATCH(T$1,'WPP 2024 середина года'!$B$1:$U$1,0)))))</f>
        <v>1932</v>
      </c>
      <c r="U40" s="7">
        <f>IF($A40&lt;=1951,INDEX('SALA 1974'!$B:$U,MATCH($A40,'SALA 1974'!$A:$A,0),MATCH(U$1,'SALA 1974'!$B$1:$U$1,0)),IF($A40&lt;=1994,1000*INDEX('SALA 2002'!$B:$U,MATCH($A40,'SALA 2002'!$A:$A,0),MATCH(U$1,'SALA 2002'!$B$1:$U$1,0)),IF($A40&lt;=2000,1000*INDEX('SALA 2002'!$B:$U,MATCH($A40,'SALA 2002'!$A:$A,0),MATCH(U$1,'SALA 2002'!$B$1:$U$1,0))*POWER(INDEX('WPP 2024 середина года'!$B:$U,MATCH($A40,'WPP 2024 середина года'!$A:$A,0),MATCH(U$1,'WPP 2024 середина года'!$B$1:$U$1,0))/(1000*INDEX('SALA 2002'!$B:$U,MATCH($A40,'SALA 2002'!$A:$A,0),MATCH(U$1,'SALA 2002'!$B$1:$U$1,0))),($A40-1994)/7),INDEX('WPP 2024 середина года'!$B:$U,MATCH($A40,'WPP 2024 середина года'!$A:$A,0),MATCH(U$1,'WPP 2024 середина года'!$B$1:$U$1,0)))))</f>
        <v>3546</v>
      </c>
    </row>
    <row r="41" spans="1:21" x14ac:dyDescent="0.25">
      <c r="A41" s="5">
        <f t="shared" si="0"/>
        <v>1939</v>
      </c>
      <c r="B41" s="7">
        <f>IF($A41&lt;=1951,INDEX('SALA 1974'!$B:$U,MATCH($A41,'SALA 1974'!$A:$A,0),MATCH(B$1,'SALA 1974'!$B$1:$U$1,0)),IF($A41&lt;=1994,1000*INDEX('SALA 2002'!$B:$U,MATCH($A41,'SALA 2002'!$A:$A,0),MATCH(B$1,'SALA 2002'!$B$1:$U$1,0)),IF($A41&lt;=2000,1000*INDEX('SALA 2002'!$B:$U,MATCH($A41,'SALA 2002'!$A:$A,0),MATCH(B$1,'SALA 2002'!$B$1:$U$1,0))*POWER(INDEX('WPP 2024 середина года'!$B:$U,MATCH($A41,'WPP 2024 середина года'!$A:$A,0),MATCH(B$1,'WPP 2024 середина года'!$B$1:$U$1,0))/(1000*INDEX('SALA 2002'!$B:$U,MATCH($A41,'SALA 2002'!$A:$A,0),MATCH(B$1,'SALA 2002'!$B$1:$U$1,0))),($A41-1994)/7),INDEX('WPP 2024 середина года'!$B:$U,MATCH($A41,'WPP 2024 середина года'!$A:$A,0),MATCH(B$1,'WPP 2024 середина года'!$B$1:$U$1,0)))))</f>
        <v>14055</v>
      </c>
      <c r="C41" s="7">
        <f>IF($A41&lt;=1951,INDEX('SALA 1974'!$B:$U,MATCH($A41,'SALA 1974'!$A:$A,0),MATCH(C$1,'SALA 1974'!$B$1:$U$1,0)),IF($A41&lt;=1994,1000*INDEX('SALA 2002'!$B:$U,MATCH($A41,'SALA 2002'!$A:$A,0),MATCH(C$1,'SALA 2002'!$B$1:$U$1,0)),IF($A41&lt;=2000,1000*INDEX('SALA 2002'!$B:$U,MATCH($A41,'SALA 2002'!$A:$A,0),MATCH(C$1,'SALA 2002'!$B$1:$U$1,0))*POWER(INDEX('WPP 2024 середина года'!$B:$U,MATCH($A41,'WPP 2024 середина года'!$A:$A,0),MATCH(C$1,'WPP 2024 середина года'!$B$1:$U$1,0))/(1000*INDEX('SALA 2002'!$B:$U,MATCH($A41,'SALA 2002'!$A:$A,0),MATCH(C$1,'SALA 2002'!$B$1:$U$1,0))),($A41-1994)/7),INDEX('WPP 2024 середина года'!$B:$U,MATCH($A41,'WPP 2024 середина года'!$A:$A,0),MATCH(C$1,'WPP 2024 середина года'!$B$1:$U$1,0)))))</f>
        <v>2659</v>
      </c>
      <c r="D41" s="7">
        <f>IF($A41&lt;=1951,INDEX('SALA 1974'!$B:$U,MATCH($A41,'SALA 1974'!$A:$A,0),MATCH(D$1,'SALA 1974'!$B$1:$U$1,0)),IF($A41&lt;=1994,1000*INDEX('SALA 2002'!$B:$U,MATCH($A41,'SALA 2002'!$A:$A,0),MATCH(D$1,'SALA 2002'!$B$1:$U$1,0)),IF($A41&lt;=2000,1000*INDEX('SALA 2002'!$B:$U,MATCH($A41,'SALA 2002'!$A:$A,0),MATCH(D$1,'SALA 2002'!$B$1:$U$1,0))*POWER(INDEX('WPP 2024 середина года'!$B:$U,MATCH($A41,'WPP 2024 середина года'!$A:$A,0),MATCH(D$1,'WPP 2024 середина года'!$B$1:$U$1,0))/(1000*INDEX('SALA 2002'!$B:$U,MATCH($A41,'SALA 2002'!$A:$A,0),MATCH(D$1,'SALA 2002'!$B$1:$U$1,0))),($A41-1994)/7),INDEX('WPP 2024 середина года'!$B:$U,MATCH($A41,'WPP 2024 середина года'!$A:$A,0),MATCH(D$1,'WPP 2024 середина года'!$B$1:$U$1,0)))))</f>
        <v>40289</v>
      </c>
      <c r="E41" s="7">
        <f>IF($A41&lt;=1951,INDEX('SALA 1974'!$B:$U,MATCH($A41,'SALA 1974'!$A:$A,0),MATCH(E$1,'SALA 1974'!$B$1:$U$1,0)),IF($A41&lt;=1994,1000*INDEX('SALA 2002'!$B:$U,MATCH($A41,'SALA 2002'!$A:$A,0),MATCH(E$1,'SALA 2002'!$B$1:$U$1,0)),IF($A41&lt;=2000,1000*INDEX('SALA 2002'!$B:$U,MATCH($A41,'SALA 2002'!$A:$A,0),MATCH(E$1,'SALA 2002'!$B$1:$U$1,0))*POWER(INDEX('WPP 2024 середина года'!$B:$U,MATCH($A41,'WPP 2024 середина года'!$A:$A,0),MATCH(E$1,'WPP 2024 середина года'!$B$1:$U$1,0))/(1000*INDEX('SALA 2002'!$B:$U,MATCH($A41,'SALA 2002'!$A:$A,0),MATCH(E$1,'SALA 2002'!$B$1:$U$1,0))),($A41-1994)/7),INDEX('WPP 2024 середина года'!$B:$U,MATCH($A41,'WPP 2024 середина года'!$A:$A,0),MATCH(E$1,'WPP 2024 середина года'!$B$1:$U$1,0)))))</f>
        <v>4988</v>
      </c>
      <c r="F41" s="7">
        <f>IF($A41&lt;=1947,INDEX('SALA 1974'!$B:$U,MATCH($A41,'SALA 1974'!$A:$A,0),MATCH(F$1,'SALA 1974'!$B$1:$U$1,0)),IF($A41&lt;=1994,1000*INDEX('SALA 2002'!$B:$U,MATCH($A41,'SALA 2002'!$A:$A,0),MATCH(F$1,'SALA 2002'!$B$1:$U$1,0)),IF($A41&lt;=2000,1000*INDEX('SALA 2002'!$B:$U,MATCH($A41,'SALA 2002'!$A:$A,0),MATCH(F$1,'SALA 2002'!$B$1:$U$1,0))*POWER(INDEX('WPP 2024 середина года'!$B:$U,MATCH($A41,'WPP 2024 середина года'!$A:$A,0),MATCH(F$1,'WPP 2024 середина года'!$B$1:$U$1,0))/(1000*INDEX('SALA 2002'!$B:$U,MATCH($A41,'SALA 2002'!$A:$A,0),MATCH(F$1,'SALA 2002'!$B$1:$U$1,0))),($A41-1994)/7),INDEX('WPP 2024 середина года'!$B:$U,MATCH($A41,'WPP 2024 середина года'!$A:$A,0),MATCH(F$1,'WPP 2024 середина года'!$B$1:$U$1,0)))))</f>
        <v>8896</v>
      </c>
      <c r="G41" s="7">
        <f>IF($A41&lt;=1951,INDEX('SALA 1974'!$B:$U,MATCH($A41,'SALA 1974'!$A:$A,0),MATCH(G$1,'SALA 1974'!$B$1:$U$1,0)),IF($A41&lt;=1994,1000*INDEX('SALA 2002'!$B:$U,MATCH($A41,'SALA 2002'!$A:$A,0),MATCH(G$1,'SALA 2002'!$B$1:$U$1,0)),IF($A41&lt;=2000,1000*INDEX('SALA 2002'!$B:$U,MATCH($A41,'SALA 2002'!$A:$A,0),MATCH(G$1,'SALA 2002'!$B$1:$U$1,0))*POWER(INDEX('WPP 2024 середина года'!$B:$U,MATCH($A41,'WPP 2024 середина года'!$A:$A,0),MATCH(G$1,'WPP 2024 середина года'!$B$1:$U$1,0))/(1000*INDEX('SALA 2002'!$B:$U,MATCH($A41,'SALA 2002'!$A:$A,0),MATCH(G$1,'SALA 2002'!$B$1:$U$1,0))),($A41-1994)/7),INDEX('WPP 2024 середина года'!$B:$U,MATCH($A41,'WPP 2024 середина года'!$A:$A,0),MATCH(G$1,'WPP 2024 середина года'!$B$1:$U$1,0)))))</f>
        <v>605</v>
      </c>
      <c r="H41" s="7">
        <f>IF($A41&lt;=1951,INDEX('SALA 1974'!$B:$U,MATCH($A41,'SALA 1974'!$A:$A,0),MATCH(H$1,'SALA 1974'!$B$1:$U$1,0)),IF($A41&lt;=1994,1000*INDEX('SALA 2002'!$B:$U,MATCH($A41,'SALA 2002'!$A:$A,0),MATCH(H$1,'SALA 2002'!$B$1:$U$1,0)),IF($A41&lt;=2000,1000*INDEX('SALA 2002'!$B:$U,MATCH($A41,'SALA 2002'!$A:$A,0),MATCH(H$1,'SALA 2002'!$B$1:$U$1,0))*POWER(INDEX('WPP 2024 середина года'!$B:$U,MATCH($A41,'WPP 2024 середина года'!$A:$A,0),MATCH(H$1,'WPP 2024 середина года'!$B$1:$U$1,0))/(1000*INDEX('SALA 2002'!$B:$U,MATCH($A41,'SALA 2002'!$A:$A,0),MATCH(H$1,'SALA 2002'!$B$1:$U$1,0))),($A41-1994)/7),INDEX('WPP 2024 середина года'!$B:$U,MATCH($A41,'WPP 2024 середина года'!$A:$A,0),MATCH(H$1,'WPP 2024 середина года'!$B$1:$U$1,0)))))</f>
        <v>4253</v>
      </c>
      <c r="I41" s="7">
        <f>IF($A41&lt;=1951,INDEX('SALA 1974'!$B:$U,MATCH($A41,'SALA 1974'!$A:$A,0),MATCH(I$1,'SALA 1974'!$B$1:$U$1,0)),IF($A41&lt;=1994,1000*INDEX('SALA 2002'!$B:$U,MATCH($A41,'SALA 2002'!$A:$A,0),MATCH(I$1,'SALA 2002'!$B$1:$U$1,0)),IF($A41&lt;=2000,1000*INDEX('SALA 2002'!$B:$U,MATCH($A41,'SALA 2002'!$A:$A,0),MATCH(I$1,'SALA 2002'!$B$1:$U$1,0))*POWER(INDEX('WPP 2024 середина года'!$B:$U,MATCH($A41,'WPP 2024 середина года'!$A:$A,0),MATCH(I$1,'WPP 2024 середина года'!$B$1:$U$1,0))/(1000*INDEX('SALA 2002'!$B:$U,MATCH($A41,'SALA 2002'!$A:$A,0),MATCH(I$1,'SALA 2002'!$B$1:$U$1,0))),($A41-1994)/7),INDEX('WPP 2024 середина года'!$B:$U,MATCH($A41,'WPP 2024 середина года'!$A:$A,0),MATCH(I$1,'WPP 2024 середина года'!$B$1:$U$1,0)))))</f>
        <v>1634</v>
      </c>
      <c r="J41" s="7">
        <f>IF($A41&lt;=1951,INDEX('SALA 1974'!$B:$U,MATCH($A41,'SALA 1974'!$A:$A,0),MATCH(J$1,'SALA 1974'!$B$1:$U$1,0)),IF($A41&lt;=1994,1000*INDEX('SALA 2002'!$B:$U,MATCH($A41,'SALA 2002'!$A:$A,0),MATCH(J$1,'SALA 2002'!$B$1:$U$1,0)),IF($A41&lt;=2000,1000*INDEX('SALA 2002'!$B:$U,MATCH($A41,'SALA 2002'!$A:$A,0),MATCH(J$1,'SALA 2002'!$B$1:$U$1,0))*POWER(INDEX('WPP 2024 середина года'!$B:$U,MATCH($A41,'WPP 2024 середина года'!$A:$A,0),MATCH(J$1,'WPP 2024 середина года'!$B$1:$U$1,0))/(1000*INDEX('SALA 2002'!$B:$U,MATCH($A41,'SALA 2002'!$A:$A,0),MATCH(J$1,'SALA 2002'!$B$1:$U$1,0))),($A41-1994)/7),INDEX('WPP 2024 середина года'!$B:$U,MATCH($A41,'WPP 2024 середина года'!$A:$A,0),MATCH(J$1,'WPP 2024 середина года'!$B$1:$U$1,0)))))</f>
        <v>2412</v>
      </c>
      <c r="K41" s="7">
        <f>IF($A41&lt;=1951,INDEX('SALA 1974'!$B:$U,MATCH($A41,'SALA 1974'!$A:$A,0),MATCH(K$1,'SALA 1974'!$B$1:$U$1,0)),IF($A41&lt;=1994,1000*INDEX('SALA 2002'!$B:$U,MATCH($A41,'SALA 2002'!$A:$A,0),MATCH(K$1,'SALA 2002'!$B$1:$U$1,0)),IF($A41&lt;=2000,1000*INDEX('SALA 2002'!$B:$U,MATCH($A41,'SALA 2002'!$A:$A,0),MATCH(K$1,'SALA 2002'!$B$1:$U$1,0))*POWER(INDEX('WPP 2024 середина года'!$B:$U,MATCH($A41,'WPP 2024 середина года'!$A:$A,0),MATCH(K$1,'WPP 2024 середина года'!$B$1:$U$1,0))/(1000*INDEX('SALA 2002'!$B:$U,MATCH($A41,'SALA 2002'!$A:$A,0),MATCH(K$1,'SALA 2002'!$B$1:$U$1,0))),($A41-1994)/7),INDEX('WPP 2024 середина года'!$B:$U,MATCH($A41,'WPP 2024 середина года'!$A:$A,0),MATCH(K$1,'WPP 2024 середина года'!$B$1:$U$1,0)))))</f>
        <v>1612</v>
      </c>
      <c r="L41" s="7">
        <f>IF($A41&lt;=1951,INDEX('SALA 1974'!$B:$U,MATCH($A41,'SALA 1974'!$A:$A,0),MATCH(L$1,'SALA 1974'!$B$1:$U$1,0)),IF($A41&lt;=1994,1000*INDEX('SALA 2002'!$B:$U,MATCH($A41,'SALA 2002'!$A:$A,0),MATCH(L$1,'SALA 2002'!$B$1:$U$1,0)),IF($A41&lt;=2000,1000*INDEX('SALA 2002'!$B:$U,MATCH($A41,'SALA 2002'!$A:$A,0),MATCH(L$1,'SALA 2002'!$B$1:$U$1,0))*POWER(INDEX('WPP 2024 середина года'!$B:$U,MATCH($A41,'WPP 2024 середина года'!$A:$A,0),MATCH(L$1,'WPP 2024 середина года'!$B$1:$U$1,0))/(1000*INDEX('SALA 2002'!$B:$U,MATCH($A41,'SALA 2002'!$A:$A,0),MATCH(L$1,'SALA 2002'!$B$1:$U$1,0))),($A41-1994)/7),INDEX('WPP 2024 середина года'!$B:$U,MATCH($A41,'WPP 2024 середина года'!$A:$A,0),MATCH(L$1,'WPP 2024 середина года'!$B$1:$U$1,0)))))</f>
        <v>2150</v>
      </c>
      <c r="M41" s="7">
        <f>IF($A41&lt;=1951,INDEX('SALA 1974'!$B:$U,MATCH($A41,'SALA 1974'!$A:$A,0),MATCH(M$1,'SALA 1974'!$B$1:$U$1,0)),IF($A41&lt;=1994,1000*INDEX('SALA 2002'!$B:$U,MATCH($A41,'SALA 2002'!$A:$A,0),MATCH(M$1,'SALA 2002'!$B$1:$U$1,0)),IF($A41&lt;=2000,1000*INDEX('SALA 2002'!$B:$U,MATCH($A41,'SALA 2002'!$A:$A,0),MATCH(M$1,'SALA 2002'!$B$1:$U$1,0))*POWER(INDEX('WPP 2024 середина года'!$B:$U,MATCH($A41,'WPP 2024 середина года'!$A:$A,0),MATCH(M$1,'WPP 2024 середина года'!$B$1:$U$1,0))/(1000*INDEX('SALA 2002'!$B:$U,MATCH($A41,'SALA 2002'!$A:$A,0),MATCH(M$1,'SALA 2002'!$B$1:$U$1,0))),($A41-1994)/7),INDEX('WPP 2024 середина года'!$B:$U,MATCH($A41,'WPP 2024 середина года'!$A:$A,0),MATCH(M$1,'WPP 2024 середина года'!$B$1:$U$1,0)))))</f>
        <v>2784</v>
      </c>
      <c r="N41" s="7">
        <f>IF($A41&lt;=1951,INDEX('SALA 1974'!$B:$U,MATCH($A41,'SALA 1974'!$A:$A,0),MATCH(N$1,'SALA 1974'!$B$1:$U$1,0)),IF($A41&lt;=1994,1000*INDEX('SALA 2002'!$B:$U,MATCH($A41,'SALA 2002'!$A:$A,0),MATCH(N$1,'SALA 2002'!$B$1:$U$1,0)),IF($A41&lt;=2000,1000*INDEX('SALA 2002'!$B:$U,MATCH($A41,'SALA 2002'!$A:$A,0),MATCH(N$1,'SALA 2002'!$B$1:$U$1,0))*POWER(INDEX('WPP 2024 середина года'!$B:$U,MATCH($A41,'WPP 2024 середина года'!$A:$A,0),MATCH(N$1,'WPP 2024 середина года'!$B$1:$U$1,0))/(1000*INDEX('SALA 2002'!$B:$U,MATCH($A41,'SALA 2002'!$A:$A,0),MATCH(N$1,'SALA 2002'!$B$1:$U$1,0))),($A41-1994)/7),INDEX('WPP 2024 середина года'!$B:$U,MATCH($A41,'WPP 2024 середина года'!$A:$A,0),MATCH(N$1,'WPP 2024 середина года'!$B$1:$U$1,0)))))</f>
        <v>1122</v>
      </c>
      <c r="O41" s="7">
        <f>IF($A41&lt;=1951,INDEX('SALA 1974'!$B:$U,MATCH($A41,'SALA 1974'!$A:$A,0),MATCH(O$1,'SALA 1974'!$B$1:$U$1,0)),IF($A41&lt;=1994,1000*INDEX('SALA 2002'!$B:$U,MATCH($A41,'SALA 2002'!$A:$A,0),MATCH(O$1,'SALA 2002'!$B$1:$U$1,0)),IF($A41&lt;=2000,1000*INDEX('SALA 2002'!$B:$U,MATCH($A41,'SALA 2002'!$A:$A,0),MATCH(O$1,'SALA 2002'!$B$1:$U$1,0))*POWER(INDEX('WPP 2024 середина года'!$B:$U,MATCH($A41,'WPP 2024 середина года'!$A:$A,0),MATCH(O$1,'WPP 2024 середина года'!$B$1:$U$1,0))/(1000*INDEX('SALA 2002'!$B:$U,MATCH($A41,'SALA 2002'!$A:$A,0),MATCH(O$1,'SALA 2002'!$B$1:$U$1,0))),($A41-1994)/7),INDEX('WPP 2024 середина года'!$B:$U,MATCH($A41,'WPP 2024 середина года'!$A:$A,0),MATCH(O$1,'WPP 2024 середина года'!$B$1:$U$1,0)))))</f>
        <v>19413</v>
      </c>
      <c r="P41" s="7">
        <f>IF($A41&lt;=1951,INDEX('SALA 1974'!$B:$U,MATCH($A41,'SALA 1974'!$A:$A,0),MATCH(P$1,'SALA 1974'!$B$1:$U$1,0)),IF($A41&lt;=1994,1000*INDEX('SALA 2002'!$B:$U,MATCH($A41,'SALA 2002'!$A:$A,0),MATCH(P$1,'SALA 2002'!$B$1:$U$1,0)),IF($A41&lt;=2000,1000*INDEX('SALA 2002'!$B:$U,MATCH($A41,'SALA 2002'!$A:$A,0),MATCH(P$1,'SALA 2002'!$B$1:$U$1,0))*POWER(INDEX('WPP 2024 середина года'!$B:$U,MATCH($A41,'WPP 2024 середина года'!$A:$A,0),MATCH(P$1,'WPP 2024 середина года'!$B$1:$U$1,0))/(1000*INDEX('SALA 2002'!$B:$U,MATCH($A41,'SALA 2002'!$A:$A,0),MATCH(P$1,'SALA 2002'!$B$1:$U$1,0))),($A41-1994)/7),INDEX('WPP 2024 середина года'!$B:$U,MATCH($A41,'WPP 2024 середина года'!$A:$A,0),MATCH(P$1,'WPP 2024 середина года'!$B$1:$U$1,0)))))</f>
        <v>806</v>
      </c>
      <c r="Q41" s="7">
        <f>IF($A41&lt;=1951,INDEX('SALA 1974'!$B:$U,MATCH($A41,'SALA 1974'!$A:$A,0),MATCH(Q$1,'SALA 1974'!$B$1:$U$1,0)),IF($A41&lt;=1994,1000*INDEX('SALA 2002'!$B:$U,MATCH($A41,'SALA 2002'!$A:$A,0),MATCH(Q$1,'SALA 2002'!$B$1:$U$1,0)),IF($A41&lt;=2000,1000*INDEX('SALA 2002'!$B:$U,MATCH($A41,'SALA 2002'!$A:$A,0),MATCH(Q$1,'SALA 2002'!$B$1:$U$1,0))*POWER(INDEX('WPP 2024 середина года'!$B:$U,MATCH($A41,'WPP 2024 середина года'!$A:$A,0),MATCH(Q$1,'WPP 2024 середина года'!$B$1:$U$1,0))/(1000*INDEX('SALA 2002'!$B:$U,MATCH($A41,'SALA 2002'!$A:$A,0),MATCH(Q$1,'SALA 2002'!$B$1:$U$1,0))),($A41-1994)/7),INDEX('WPP 2024 середина года'!$B:$U,MATCH($A41,'WPP 2024 середина года'!$A:$A,0),MATCH(Q$1,'WPP 2024 середина года'!$B$1:$U$1,0)))))</f>
        <v>605</v>
      </c>
      <c r="R41" s="7">
        <f>IF($A41&lt;=1951,INDEX('SALA 1974'!$B:$U,MATCH($A41,'SALA 1974'!$A:$A,0),MATCH(R$1,'SALA 1974'!$B$1:$U$1,0)),IF($A41&lt;=1994,1000*INDEX('SALA 2002'!$B:$U,MATCH($A41,'SALA 2002'!$A:$A,0),MATCH(R$1,'SALA 2002'!$B$1:$U$1,0)),IF($A41&lt;=2000,1000*INDEX('SALA 2002'!$B:$U,MATCH($A41,'SALA 2002'!$A:$A,0),MATCH(R$1,'SALA 2002'!$B$1:$U$1,0))*POWER(INDEX('WPP 2024 середина года'!$B:$U,MATCH($A41,'WPP 2024 середина года'!$A:$A,0),MATCH(R$1,'WPP 2024 середина года'!$B$1:$U$1,0))/(1000*INDEX('SALA 2002'!$B:$U,MATCH($A41,'SALA 2002'!$A:$A,0),MATCH(R$1,'SALA 2002'!$B$1:$U$1,0))),($A41-1994)/7),INDEX('WPP 2024 середина года'!$B:$U,MATCH($A41,'WPP 2024 середина года'!$A:$A,0),MATCH(R$1,'WPP 2024 середина года'!$B$1:$U$1,0)))))</f>
        <v>1086</v>
      </c>
      <c r="S41" s="7">
        <f>IF($A41&lt;=1951,INDEX('SALA 1974'!$B:$U,MATCH($A41,'SALA 1974'!$A:$A,0),MATCH(S$1,'SALA 1974'!$B$1:$U$1,0)),IF($A41&lt;=1994,1000*INDEX('SALA 2002'!$B:$U,MATCH($A41,'SALA 2002'!$A:$A,0),MATCH(S$1,'SALA 2002'!$B$1:$U$1,0)),IF($A41&lt;=2000,1000*INDEX('SALA 2002'!$B:$U,MATCH($A41,'SALA 2002'!$A:$A,0),MATCH(S$1,'SALA 2002'!$B$1:$U$1,0))*POWER(INDEX('WPP 2024 середина года'!$B:$U,MATCH($A41,'WPP 2024 середина года'!$A:$A,0),MATCH(S$1,'WPP 2024 середина года'!$B$1:$U$1,0))/(1000*INDEX('SALA 2002'!$B:$U,MATCH($A41,'SALA 2002'!$A:$A,0),MATCH(S$1,'SALA 2002'!$B$1:$U$1,0))),($A41-1994)/7),INDEX('WPP 2024 середина года'!$B:$U,MATCH($A41,'WPP 2024 середина года'!$A:$A,0),MATCH(S$1,'WPP 2024 середина года'!$B$1:$U$1,0)))))</f>
        <v>6572</v>
      </c>
      <c r="T41" s="7">
        <f>IF($A41&lt;=1951,INDEX('SALA 1974'!$B:$U,MATCH($A41,'SALA 1974'!$A:$A,0),MATCH(T$1,'SALA 1974'!$B$1:$U$1,0)),IF($A41&lt;=1994,1000*INDEX('SALA 2002'!$B:$U,MATCH($A41,'SALA 2002'!$A:$A,0),MATCH(T$1,'SALA 2002'!$B$1:$U$1,0)),IF($A41&lt;=2000,1000*INDEX('SALA 2002'!$B:$U,MATCH($A41,'SALA 2002'!$A:$A,0),MATCH(T$1,'SALA 2002'!$B$1:$U$1,0))*POWER(INDEX('WPP 2024 середина года'!$B:$U,MATCH($A41,'WPP 2024 середина года'!$A:$A,0),MATCH(T$1,'WPP 2024 середина года'!$B$1:$U$1,0))/(1000*INDEX('SALA 2002'!$B:$U,MATCH($A41,'SALA 2002'!$A:$A,0),MATCH(T$1,'SALA 2002'!$B$1:$U$1,0))),($A41-1994)/7),INDEX('WPP 2024 середина года'!$B:$U,MATCH($A41,'WPP 2024 середина года'!$A:$A,0),MATCH(T$1,'WPP 2024 середина года'!$B$1:$U$1,0)))))</f>
        <v>1953</v>
      </c>
      <c r="U41" s="7">
        <f>IF($A41&lt;=1951,INDEX('SALA 1974'!$B:$U,MATCH($A41,'SALA 1974'!$A:$A,0),MATCH(U$1,'SALA 1974'!$B$1:$U$1,0)),IF($A41&lt;=1994,1000*INDEX('SALA 2002'!$B:$U,MATCH($A41,'SALA 2002'!$A:$A,0),MATCH(U$1,'SALA 2002'!$B$1:$U$1,0)),IF($A41&lt;=2000,1000*INDEX('SALA 2002'!$B:$U,MATCH($A41,'SALA 2002'!$A:$A,0),MATCH(U$1,'SALA 2002'!$B$1:$U$1,0))*POWER(INDEX('WPP 2024 середина года'!$B:$U,MATCH($A41,'WPP 2024 середина года'!$A:$A,0),MATCH(U$1,'WPP 2024 середина года'!$B$1:$U$1,0))/(1000*INDEX('SALA 2002'!$B:$U,MATCH($A41,'SALA 2002'!$A:$A,0),MATCH(U$1,'SALA 2002'!$B$1:$U$1,0))),($A41-1994)/7),INDEX('WPP 2024 середина года'!$B:$U,MATCH($A41,'WPP 2024 середина года'!$A:$A,0),MATCH(U$1,'WPP 2024 середина года'!$B$1:$U$1,0)))))</f>
        <v>3628</v>
      </c>
    </row>
    <row r="42" spans="1:21" x14ac:dyDescent="0.25">
      <c r="A42" s="5">
        <f t="shared" si="0"/>
        <v>1940</v>
      </c>
      <c r="B42" s="7">
        <f>IF($A42&lt;=1951,INDEX('SALA 1974'!$B:$U,MATCH($A42,'SALA 1974'!$A:$A,0),MATCH(B$1,'SALA 1974'!$B$1:$U$1,0)),IF($A42&lt;=1994,1000*INDEX('SALA 2002'!$B:$U,MATCH($A42,'SALA 2002'!$A:$A,0),MATCH(B$1,'SALA 2002'!$B$1:$U$1,0)),IF($A42&lt;=2000,1000*INDEX('SALA 2002'!$B:$U,MATCH($A42,'SALA 2002'!$A:$A,0),MATCH(B$1,'SALA 2002'!$B$1:$U$1,0))*POWER(INDEX('WPP 2024 середина года'!$B:$U,MATCH($A42,'WPP 2024 середина года'!$A:$A,0),MATCH(B$1,'WPP 2024 середина года'!$B$1:$U$1,0))/(1000*INDEX('SALA 2002'!$B:$U,MATCH($A42,'SALA 2002'!$A:$A,0),MATCH(B$1,'SALA 2002'!$B$1:$U$1,0))),($A42-1994)/7),INDEX('WPP 2024 середина года'!$B:$U,MATCH($A42,'WPP 2024 середина года'!$A:$A,0),MATCH(B$1,'WPP 2024 середина года'!$B$1:$U$1,0)))))</f>
        <v>14169</v>
      </c>
      <c r="C42" s="7">
        <f>IF($A42&lt;=1951,INDEX('SALA 1974'!$B:$U,MATCH($A42,'SALA 1974'!$A:$A,0),MATCH(C$1,'SALA 1974'!$B$1:$U$1,0)),IF($A42&lt;=1994,1000*INDEX('SALA 2002'!$B:$U,MATCH($A42,'SALA 2002'!$A:$A,0),MATCH(C$1,'SALA 2002'!$B$1:$U$1,0)),IF($A42&lt;=2000,1000*INDEX('SALA 2002'!$B:$U,MATCH($A42,'SALA 2002'!$A:$A,0),MATCH(C$1,'SALA 2002'!$B$1:$U$1,0))*POWER(INDEX('WPP 2024 середина года'!$B:$U,MATCH($A42,'WPP 2024 середина года'!$A:$A,0),MATCH(C$1,'WPP 2024 середина года'!$B$1:$U$1,0))/(1000*INDEX('SALA 2002'!$B:$U,MATCH($A42,'SALA 2002'!$A:$A,0),MATCH(C$1,'SALA 2002'!$B$1:$U$1,0))),($A42-1994)/7),INDEX('WPP 2024 середина года'!$B:$U,MATCH($A42,'WPP 2024 середина года'!$A:$A,0),MATCH(C$1,'WPP 2024 середина года'!$B$1:$U$1,0)))))</f>
        <v>2690</v>
      </c>
      <c r="D42" s="7">
        <f>IF($A42&lt;=1951,INDEX('SALA 1974'!$B:$U,MATCH($A42,'SALA 1974'!$A:$A,0),MATCH(D$1,'SALA 1974'!$B$1:$U$1,0)),IF($A42&lt;=1994,1000*INDEX('SALA 2002'!$B:$U,MATCH($A42,'SALA 2002'!$A:$A,0),MATCH(D$1,'SALA 2002'!$B$1:$U$1,0)),IF($A42&lt;=2000,1000*INDEX('SALA 2002'!$B:$U,MATCH($A42,'SALA 2002'!$A:$A,0),MATCH(D$1,'SALA 2002'!$B$1:$U$1,0))*POWER(INDEX('WPP 2024 середина года'!$B:$U,MATCH($A42,'WPP 2024 середина года'!$A:$A,0),MATCH(D$1,'WPP 2024 середина года'!$B$1:$U$1,0))/(1000*INDEX('SALA 2002'!$B:$U,MATCH($A42,'SALA 2002'!$A:$A,0),MATCH(D$1,'SALA 2002'!$B$1:$U$1,0))),($A42-1994)/7),INDEX('WPP 2024 середина года'!$B:$U,MATCH($A42,'WPP 2024 середина года'!$A:$A,0),MATCH(D$1,'WPP 2024 середина года'!$B$1:$U$1,0)))))</f>
        <v>41114</v>
      </c>
      <c r="E42" s="7">
        <f>IF($A42&lt;=1951,INDEX('SALA 1974'!$B:$U,MATCH($A42,'SALA 1974'!$A:$A,0),MATCH(E$1,'SALA 1974'!$B$1:$U$1,0)),IF($A42&lt;=1994,1000*INDEX('SALA 2002'!$B:$U,MATCH($A42,'SALA 2002'!$A:$A,0),MATCH(E$1,'SALA 2002'!$B$1:$U$1,0)),IF($A42&lt;=2000,1000*INDEX('SALA 2002'!$B:$U,MATCH($A42,'SALA 2002'!$A:$A,0),MATCH(E$1,'SALA 2002'!$B$1:$U$1,0))*POWER(INDEX('WPP 2024 середина года'!$B:$U,MATCH($A42,'WPP 2024 середина года'!$A:$A,0),MATCH(E$1,'WPP 2024 середина года'!$B$1:$U$1,0))/(1000*INDEX('SALA 2002'!$B:$U,MATCH($A42,'SALA 2002'!$A:$A,0),MATCH(E$1,'SALA 2002'!$B$1:$U$1,0))),($A42-1994)/7),INDEX('WPP 2024 середина года'!$B:$U,MATCH($A42,'WPP 2024 середина года'!$A:$A,0),MATCH(E$1,'WPP 2024 середина года'!$B$1:$U$1,0)))))</f>
        <v>5063</v>
      </c>
      <c r="F42" s="7">
        <f>IF($A42&lt;=1947,INDEX('SALA 1974'!$B:$U,MATCH($A42,'SALA 1974'!$A:$A,0),MATCH(F$1,'SALA 1974'!$B$1:$U$1,0)),IF($A42&lt;=1994,1000*INDEX('SALA 2002'!$B:$U,MATCH($A42,'SALA 2002'!$A:$A,0),MATCH(F$1,'SALA 2002'!$B$1:$U$1,0)),IF($A42&lt;=2000,1000*INDEX('SALA 2002'!$B:$U,MATCH($A42,'SALA 2002'!$A:$A,0),MATCH(F$1,'SALA 2002'!$B$1:$U$1,0))*POWER(INDEX('WPP 2024 середина года'!$B:$U,MATCH($A42,'WPP 2024 середина года'!$A:$A,0),MATCH(F$1,'WPP 2024 середина года'!$B$1:$U$1,0))/(1000*INDEX('SALA 2002'!$B:$U,MATCH($A42,'SALA 2002'!$A:$A,0),MATCH(F$1,'SALA 2002'!$B$1:$U$1,0))),($A42-1994)/7),INDEX('WPP 2024 середина года'!$B:$U,MATCH($A42,'WPP 2024 середина года'!$A:$A,0),MATCH(F$1,'WPP 2024 середина года'!$B$1:$U$1,0)))))</f>
        <v>9097</v>
      </c>
      <c r="G42" s="7">
        <f>IF($A42&lt;=1951,INDEX('SALA 1974'!$B:$U,MATCH($A42,'SALA 1974'!$A:$A,0),MATCH(G$1,'SALA 1974'!$B$1:$U$1,0)),IF($A42&lt;=1994,1000*INDEX('SALA 2002'!$B:$U,MATCH($A42,'SALA 2002'!$A:$A,0),MATCH(G$1,'SALA 2002'!$B$1:$U$1,0)),IF($A42&lt;=2000,1000*INDEX('SALA 2002'!$B:$U,MATCH($A42,'SALA 2002'!$A:$A,0),MATCH(G$1,'SALA 2002'!$B$1:$U$1,0))*POWER(INDEX('WPP 2024 середина года'!$B:$U,MATCH($A42,'WPP 2024 середина года'!$A:$A,0),MATCH(G$1,'WPP 2024 середина года'!$B$1:$U$1,0))/(1000*INDEX('SALA 2002'!$B:$U,MATCH($A42,'SALA 2002'!$A:$A,0),MATCH(G$1,'SALA 2002'!$B$1:$U$1,0))),($A42-1994)/7),INDEX('WPP 2024 середина года'!$B:$U,MATCH($A42,'WPP 2024 середина года'!$A:$A,0),MATCH(G$1,'WPP 2024 середина года'!$B$1:$U$1,0)))))</f>
        <v>619</v>
      </c>
      <c r="H42" s="7">
        <f>IF($A42&lt;=1951,INDEX('SALA 1974'!$B:$U,MATCH($A42,'SALA 1974'!$A:$A,0),MATCH(H$1,'SALA 1974'!$B$1:$U$1,0)),IF($A42&lt;=1994,1000*INDEX('SALA 2002'!$B:$U,MATCH($A42,'SALA 2002'!$A:$A,0),MATCH(H$1,'SALA 2002'!$B$1:$U$1,0)),IF($A42&lt;=2000,1000*INDEX('SALA 2002'!$B:$U,MATCH($A42,'SALA 2002'!$A:$A,0),MATCH(H$1,'SALA 2002'!$B$1:$U$1,0))*POWER(INDEX('WPP 2024 середина года'!$B:$U,MATCH($A42,'WPP 2024 середина года'!$A:$A,0),MATCH(H$1,'WPP 2024 середина года'!$B$1:$U$1,0))/(1000*INDEX('SALA 2002'!$B:$U,MATCH($A42,'SALA 2002'!$A:$A,0),MATCH(H$1,'SALA 2002'!$B$1:$U$1,0))),($A42-1994)/7),INDEX('WPP 2024 середина года'!$B:$U,MATCH($A42,'WPP 2024 середина года'!$A:$A,0),MATCH(H$1,'WPP 2024 середина года'!$B$1:$U$1,0)))))</f>
        <v>4291</v>
      </c>
      <c r="I42" s="7">
        <f>IF($A42&lt;=1951,INDEX('SALA 1974'!$B:$U,MATCH($A42,'SALA 1974'!$A:$A,0),MATCH(I$1,'SALA 1974'!$B$1:$U$1,0)),IF($A42&lt;=1994,1000*INDEX('SALA 2002'!$B:$U,MATCH($A42,'SALA 2002'!$A:$A,0),MATCH(I$1,'SALA 2002'!$B$1:$U$1,0)),IF($A42&lt;=2000,1000*INDEX('SALA 2002'!$B:$U,MATCH($A42,'SALA 2002'!$A:$A,0),MATCH(I$1,'SALA 2002'!$B$1:$U$1,0))*POWER(INDEX('WPP 2024 середина года'!$B:$U,MATCH($A42,'WPP 2024 середина года'!$A:$A,0),MATCH(I$1,'WPP 2024 середина года'!$B$1:$U$1,0))/(1000*INDEX('SALA 2002'!$B:$U,MATCH($A42,'SALA 2002'!$A:$A,0),MATCH(I$1,'SALA 2002'!$B$1:$U$1,0))),($A42-1994)/7),INDEX('WPP 2024 середина года'!$B:$U,MATCH($A42,'WPP 2024 середина года'!$A:$A,0),MATCH(I$1,'WPP 2024 середина года'!$B$1:$U$1,0)))))</f>
        <v>1759</v>
      </c>
      <c r="J42" s="7">
        <f>IF($A42&lt;=1951,INDEX('SALA 1974'!$B:$U,MATCH($A42,'SALA 1974'!$A:$A,0),MATCH(J$1,'SALA 1974'!$B$1:$U$1,0)),IF($A42&lt;=1994,1000*INDEX('SALA 2002'!$B:$U,MATCH($A42,'SALA 2002'!$A:$A,0),MATCH(J$1,'SALA 2002'!$B$1:$U$1,0)),IF($A42&lt;=2000,1000*INDEX('SALA 2002'!$B:$U,MATCH($A42,'SALA 2002'!$A:$A,0),MATCH(J$1,'SALA 2002'!$B$1:$U$1,0))*POWER(INDEX('WPP 2024 середина года'!$B:$U,MATCH($A42,'WPP 2024 середина года'!$A:$A,0),MATCH(J$1,'WPP 2024 середина года'!$B$1:$U$1,0))/(1000*INDEX('SALA 2002'!$B:$U,MATCH($A42,'SALA 2002'!$A:$A,0),MATCH(J$1,'SALA 2002'!$B$1:$U$1,0))),($A42-1994)/7),INDEX('WPP 2024 середина года'!$B:$U,MATCH($A42,'WPP 2024 середина года'!$A:$A,0),MATCH(J$1,'WPP 2024 середина года'!$B$1:$U$1,0)))))</f>
        <v>2466</v>
      </c>
      <c r="K42" s="7">
        <f>IF($A42&lt;=1951,INDEX('SALA 1974'!$B:$U,MATCH($A42,'SALA 1974'!$A:$A,0),MATCH(K$1,'SALA 1974'!$B$1:$U$1,0)),IF($A42&lt;=1994,1000*INDEX('SALA 2002'!$B:$U,MATCH($A42,'SALA 2002'!$A:$A,0),MATCH(K$1,'SALA 2002'!$B$1:$U$1,0)),IF($A42&lt;=2000,1000*INDEX('SALA 2002'!$B:$U,MATCH($A42,'SALA 2002'!$A:$A,0),MATCH(K$1,'SALA 2002'!$B$1:$U$1,0))*POWER(INDEX('WPP 2024 середина года'!$B:$U,MATCH($A42,'WPP 2024 середина года'!$A:$A,0),MATCH(K$1,'WPP 2024 середина года'!$B$1:$U$1,0))/(1000*INDEX('SALA 2002'!$B:$U,MATCH($A42,'SALA 2002'!$A:$A,0),MATCH(K$1,'SALA 2002'!$B$1:$U$1,0))),($A42-1994)/7),INDEX('WPP 2024 середина года'!$B:$U,MATCH($A42,'WPP 2024 середина года'!$A:$A,0),MATCH(K$1,'WPP 2024 середина года'!$B$1:$U$1,0)))))</f>
        <v>1633</v>
      </c>
      <c r="L42" s="7">
        <f>IF($A42&lt;=1951,INDEX('SALA 1974'!$B:$U,MATCH($A42,'SALA 1974'!$A:$A,0),MATCH(L$1,'SALA 1974'!$B$1:$U$1,0)),IF($A42&lt;=1994,1000*INDEX('SALA 2002'!$B:$U,MATCH($A42,'SALA 2002'!$A:$A,0),MATCH(L$1,'SALA 2002'!$B$1:$U$1,0)),IF($A42&lt;=2000,1000*INDEX('SALA 2002'!$B:$U,MATCH($A42,'SALA 2002'!$A:$A,0),MATCH(L$1,'SALA 2002'!$B$1:$U$1,0))*POWER(INDEX('WPP 2024 середина года'!$B:$U,MATCH($A42,'WPP 2024 середина года'!$A:$A,0),MATCH(L$1,'WPP 2024 середина года'!$B$1:$U$1,0))/(1000*INDEX('SALA 2002'!$B:$U,MATCH($A42,'SALA 2002'!$A:$A,0),MATCH(L$1,'SALA 2002'!$B$1:$U$1,0))),($A42-1994)/7),INDEX('WPP 2024 середина года'!$B:$U,MATCH($A42,'WPP 2024 середина года'!$A:$A,0),MATCH(L$1,'WPP 2024 середина года'!$B$1:$U$1,0)))))</f>
        <v>2201</v>
      </c>
      <c r="M42" s="7">
        <f>IF($A42&lt;=1951,INDEX('SALA 1974'!$B:$U,MATCH($A42,'SALA 1974'!$A:$A,0),MATCH(M$1,'SALA 1974'!$B$1:$U$1,0)),IF($A42&lt;=1994,1000*INDEX('SALA 2002'!$B:$U,MATCH($A42,'SALA 2002'!$A:$A,0),MATCH(M$1,'SALA 2002'!$B$1:$U$1,0)),IF($A42&lt;=2000,1000*INDEX('SALA 2002'!$B:$U,MATCH($A42,'SALA 2002'!$A:$A,0),MATCH(M$1,'SALA 2002'!$B$1:$U$1,0))*POWER(INDEX('WPP 2024 середина года'!$B:$U,MATCH($A42,'WPP 2024 середина года'!$A:$A,0),MATCH(M$1,'WPP 2024 середина года'!$B$1:$U$1,0))/(1000*INDEX('SALA 2002'!$B:$U,MATCH($A42,'SALA 2002'!$A:$A,0),MATCH(M$1,'SALA 2002'!$B$1:$U$1,0))),($A42-1994)/7),INDEX('WPP 2024 середина года'!$B:$U,MATCH($A42,'WPP 2024 середина года'!$A:$A,0),MATCH(M$1,'WPP 2024 середина года'!$B$1:$U$1,0)))))</f>
        <v>2827</v>
      </c>
      <c r="N42" s="7">
        <f>IF($A42&lt;=1951,INDEX('SALA 1974'!$B:$U,MATCH($A42,'SALA 1974'!$A:$A,0),MATCH(N$1,'SALA 1974'!$B$1:$U$1,0)),IF($A42&lt;=1994,1000*INDEX('SALA 2002'!$B:$U,MATCH($A42,'SALA 2002'!$A:$A,0),MATCH(N$1,'SALA 2002'!$B$1:$U$1,0)),IF($A42&lt;=2000,1000*INDEX('SALA 2002'!$B:$U,MATCH($A42,'SALA 2002'!$A:$A,0),MATCH(N$1,'SALA 2002'!$B$1:$U$1,0))*POWER(INDEX('WPP 2024 середина года'!$B:$U,MATCH($A42,'WPP 2024 середина года'!$A:$A,0),MATCH(N$1,'WPP 2024 середина года'!$B$1:$U$1,0))/(1000*INDEX('SALA 2002'!$B:$U,MATCH($A42,'SALA 2002'!$A:$A,0),MATCH(N$1,'SALA 2002'!$B$1:$U$1,0))),($A42-1994)/7),INDEX('WPP 2024 середина года'!$B:$U,MATCH($A42,'WPP 2024 середина года'!$A:$A,0),MATCH(N$1,'WPP 2024 середина года'!$B$1:$U$1,0)))))</f>
        <v>1146</v>
      </c>
      <c r="O42" s="7">
        <f>IF($A42&lt;=1951,INDEX('SALA 1974'!$B:$U,MATCH($A42,'SALA 1974'!$A:$A,0),MATCH(O$1,'SALA 1974'!$B$1:$U$1,0)),IF($A42&lt;=1994,1000*INDEX('SALA 2002'!$B:$U,MATCH($A42,'SALA 2002'!$A:$A,0),MATCH(O$1,'SALA 2002'!$B$1:$U$1,0)),IF($A42&lt;=2000,1000*INDEX('SALA 2002'!$B:$U,MATCH($A42,'SALA 2002'!$A:$A,0),MATCH(O$1,'SALA 2002'!$B$1:$U$1,0))*POWER(INDEX('WPP 2024 середина года'!$B:$U,MATCH($A42,'WPP 2024 середина года'!$A:$A,0),MATCH(O$1,'WPP 2024 середина года'!$B$1:$U$1,0))/(1000*INDEX('SALA 2002'!$B:$U,MATCH($A42,'SALA 2002'!$A:$A,0),MATCH(O$1,'SALA 2002'!$B$1:$U$1,0))),($A42-1994)/7),INDEX('WPP 2024 середина года'!$B:$U,MATCH($A42,'WPP 2024 середина года'!$A:$A,0),MATCH(O$1,'WPP 2024 середина года'!$B$1:$U$1,0)))))</f>
        <v>19654</v>
      </c>
      <c r="P42" s="7">
        <f>IF($A42&lt;=1951,INDEX('SALA 1974'!$B:$U,MATCH($A42,'SALA 1974'!$A:$A,0),MATCH(P$1,'SALA 1974'!$B$1:$U$1,0)),IF($A42&lt;=1994,1000*INDEX('SALA 2002'!$B:$U,MATCH($A42,'SALA 2002'!$A:$A,0),MATCH(P$1,'SALA 2002'!$B$1:$U$1,0)),IF($A42&lt;=2000,1000*INDEX('SALA 2002'!$B:$U,MATCH($A42,'SALA 2002'!$A:$A,0),MATCH(P$1,'SALA 2002'!$B$1:$U$1,0))*POWER(INDEX('WPP 2024 середина года'!$B:$U,MATCH($A42,'WPP 2024 середина года'!$A:$A,0),MATCH(P$1,'WPP 2024 середина года'!$B$1:$U$1,0))/(1000*INDEX('SALA 2002'!$B:$U,MATCH($A42,'SALA 2002'!$A:$A,0),MATCH(P$1,'SALA 2002'!$B$1:$U$1,0))),($A42-1994)/7),INDEX('WPP 2024 середина года'!$B:$U,MATCH($A42,'WPP 2024 середина года'!$A:$A,0),MATCH(P$1,'WPP 2024 середина года'!$B$1:$U$1,0)))))</f>
        <v>825</v>
      </c>
      <c r="Q42" s="7">
        <f>IF($A42&lt;=1951,INDEX('SALA 1974'!$B:$U,MATCH($A42,'SALA 1974'!$A:$A,0),MATCH(Q$1,'SALA 1974'!$B$1:$U$1,0)),IF($A42&lt;=1994,1000*INDEX('SALA 2002'!$B:$U,MATCH($A42,'SALA 2002'!$A:$A,0),MATCH(Q$1,'SALA 2002'!$B$1:$U$1,0)),IF($A42&lt;=2000,1000*INDEX('SALA 2002'!$B:$U,MATCH($A42,'SALA 2002'!$A:$A,0),MATCH(Q$1,'SALA 2002'!$B$1:$U$1,0))*POWER(INDEX('WPP 2024 середина года'!$B:$U,MATCH($A42,'WPP 2024 середина года'!$A:$A,0),MATCH(Q$1,'WPP 2024 середина года'!$B$1:$U$1,0))/(1000*INDEX('SALA 2002'!$B:$U,MATCH($A42,'SALA 2002'!$A:$A,0),MATCH(Q$1,'SALA 2002'!$B$1:$U$1,0))),($A42-1994)/7),INDEX('WPP 2024 середина года'!$B:$U,MATCH($A42,'WPP 2024 середина года'!$A:$A,0),MATCH(Q$1,'WPP 2024 середина года'!$B$1:$U$1,0)))))</f>
        <v>620</v>
      </c>
      <c r="R42" s="7">
        <f>IF($A42&lt;=1951,INDEX('SALA 1974'!$B:$U,MATCH($A42,'SALA 1974'!$A:$A,0),MATCH(R$1,'SALA 1974'!$B$1:$U$1,0)),IF($A42&lt;=1994,1000*INDEX('SALA 2002'!$B:$U,MATCH($A42,'SALA 2002'!$A:$A,0),MATCH(R$1,'SALA 2002'!$B$1:$U$1,0)),IF($A42&lt;=2000,1000*INDEX('SALA 2002'!$B:$U,MATCH($A42,'SALA 2002'!$A:$A,0),MATCH(R$1,'SALA 2002'!$B$1:$U$1,0))*POWER(INDEX('WPP 2024 середина года'!$B:$U,MATCH($A42,'WPP 2024 середина года'!$A:$A,0),MATCH(R$1,'WPP 2024 середина года'!$B$1:$U$1,0))/(1000*INDEX('SALA 2002'!$B:$U,MATCH($A42,'SALA 2002'!$A:$A,0),MATCH(R$1,'SALA 2002'!$B$1:$U$1,0))),($A42-1994)/7),INDEX('WPP 2024 середина года'!$B:$U,MATCH($A42,'WPP 2024 середина года'!$A:$A,0),MATCH(R$1,'WPP 2024 середина года'!$B$1:$U$1,0)))))</f>
        <v>1111</v>
      </c>
      <c r="S42" s="7">
        <f>IF($A42&lt;=1951,INDEX('SALA 1974'!$B:$U,MATCH($A42,'SALA 1974'!$A:$A,0),MATCH(S$1,'SALA 1974'!$B$1:$U$1,0)),IF($A42&lt;=1994,1000*INDEX('SALA 2002'!$B:$U,MATCH($A42,'SALA 2002'!$A:$A,0),MATCH(S$1,'SALA 2002'!$B$1:$U$1,0)),IF($A42&lt;=2000,1000*INDEX('SALA 2002'!$B:$U,MATCH($A42,'SALA 2002'!$A:$A,0),MATCH(S$1,'SALA 2002'!$B$1:$U$1,0))*POWER(INDEX('WPP 2024 середина года'!$B:$U,MATCH($A42,'WPP 2024 середина года'!$A:$A,0),MATCH(S$1,'WPP 2024 середина года'!$B$1:$U$1,0))/(1000*INDEX('SALA 2002'!$B:$U,MATCH($A42,'SALA 2002'!$A:$A,0),MATCH(S$1,'SALA 2002'!$B$1:$U$1,0))),($A42-1994)/7),INDEX('WPP 2024 середина года'!$B:$U,MATCH($A42,'WPP 2024 середина года'!$A:$A,0),MATCH(S$1,'WPP 2024 середина года'!$B$1:$U$1,0)))))</f>
        <v>6681</v>
      </c>
      <c r="T42" s="7">
        <f>IF($A42&lt;=1951,INDEX('SALA 1974'!$B:$U,MATCH($A42,'SALA 1974'!$A:$A,0),MATCH(T$1,'SALA 1974'!$B$1:$U$1,0)),IF($A42&lt;=1994,1000*INDEX('SALA 2002'!$B:$U,MATCH($A42,'SALA 2002'!$A:$A,0),MATCH(T$1,'SALA 2002'!$B$1:$U$1,0)),IF($A42&lt;=2000,1000*INDEX('SALA 2002'!$B:$U,MATCH($A42,'SALA 2002'!$A:$A,0),MATCH(T$1,'SALA 2002'!$B$1:$U$1,0))*POWER(INDEX('WPP 2024 середина года'!$B:$U,MATCH($A42,'WPP 2024 середина года'!$A:$A,0),MATCH(T$1,'WPP 2024 середина года'!$B$1:$U$1,0))/(1000*INDEX('SALA 2002'!$B:$U,MATCH($A42,'SALA 2002'!$A:$A,0),MATCH(T$1,'SALA 2002'!$B$1:$U$1,0))),($A42-1994)/7),INDEX('WPP 2024 середина года'!$B:$U,MATCH($A42,'WPP 2024 середина года'!$A:$A,0),MATCH(T$1,'WPP 2024 середина года'!$B$1:$U$1,0)))))</f>
        <v>1974</v>
      </c>
      <c r="U42" s="7">
        <f>IF($A42&lt;=1951,INDEX('SALA 1974'!$B:$U,MATCH($A42,'SALA 1974'!$A:$A,0),MATCH(U$1,'SALA 1974'!$B$1:$U$1,0)),IF($A42&lt;=1994,1000*INDEX('SALA 2002'!$B:$U,MATCH($A42,'SALA 2002'!$A:$A,0),MATCH(U$1,'SALA 2002'!$B$1:$U$1,0)),IF($A42&lt;=2000,1000*INDEX('SALA 2002'!$B:$U,MATCH($A42,'SALA 2002'!$A:$A,0),MATCH(U$1,'SALA 2002'!$B$1:$U$1,0))*POWER(INDEX('WPP 2024 середина года'!$B:$U,MATCH($A42,'WPP 2024 середина года'!$A:$A,0),MATCH(U$1,'WPP 2024 середина года'!$B$1:$U$1,0))/(1000*INDEX('SALA 2002'!$B:$U,MATCH($A42,'SALA 2002'!$A:$A,0),MATCH(U$1,'SALA 2002'!$B$1:$U$1,0))),($A42-1994)/7),INDEX('WPP 2024 середина года'!$B:$U,MATCH($A42,'WPP 2024 середина года'!$A:$A,0),MATCH(U$1,'WPP 2024 середина года'!$B$1:$U$1,0)))))</f>
        <v>3710</v>
      </c>
    </row>
    <row r="43" spans="1:21" x14ac:dyDescent="0.25">
      <c r="A43" s="5">
        <f t="shared" si="0"/>
        <v>1941</v>
      </c>
      <c r="B43" s="7">
        <f>IF($A43&lt;=1951,INDEX('SALA 1974'!$B:$U,MATCH($A43,'SALA 1974'!$A:$A,0),MATCH(B$1,'SALA 1974'!$B$1:$U$1,0)),IF($A43&lt;=1994,1000*INDEX('SALA 2002'!$B:$U,MATCH($A43,'SALA 2002'!$A:$A,0),MATCH(B$1,'SALA 2002'!$B$1:$U$1,0)),IF($A43&lt;=2000,1000*INDEX('SALA 2002'!$B:$U,MATCH($A43,'SALA 2002'!$A:$A,0),MATCH(B$1,'SALA 2002'!$B$1:$U$1,0))*POWER(INDEX('WPP 2024 середина года'!$B:$U,MATCH($A43,'WPP 2024 середина года'!$A:$A,0),MATCH(B$1,'WPP 2024 середина года'!$B$1:$U$1,0))/(1000*INDEX('SALA 2002'!$B:$U,MATCH($A43,'SALA 2002'!$A:$A,0),MATCH(B$1,'SALA 2002'!$B$1:$U$1,0))),($A43-1994)/7),INDEX('WPP 2024 середина года'!$B:$U,MATCH($A43,'WPP 2024 середина года'!$A:$A,0),MATCH(B$1,'WPP 2024 середина года'!$B$1:$U$1,0)))))</f>
        <v>14401</v>
      </c>
      <c r="C43" s="7">
        <f>IF($A43&lt;=1951,INDEX('SALA 1974'!$B:$U,MATCH($A43,'SALA 1974'!$A:$A,0),MATCH(C$1,'SALA 1974'!$B$1:$U$1,0)),IF($A43&lt;=1994,1000*INDEX('SALA 2002'!$B:$U,MATCH($A43,'SALA 2002'!$A:$A,0),MATCH(C$1,'SALA 2002'!$B$1:$U$1,0)),IF($A43&lt;=2000,1000*INDEX('SALA 2002'!$B:$U,MATCH($A43,'SALA 2002'!$A:$A,0),MATCH(C$1,'SALA 2002'!$B$1:$U$1,0))*POWER(INDEX('WPP 2024 середина года'!$B:$U,MATCH($A43,'WPP 2024 середина года'!$A:$A,0),MATCH(C$1,'WPP 2024 середина года'!$B$1:$U$1,0))/(1000*INDEX('SALA 2002'!$B:$U,MATCH($A43,'SALA 2002'!$A:$A,0),MATCH(C$1,'SALA 2002'!$B$1:$U$1,0))),($A43-1994)/7),INDEX('WPP 2024 середина года'!$B:$U,MATCH($A43,'WPP 2024 середина года'!$A:$A,0),MATCH(C$1,'WPP 2024 середина года'!$B$1:$U$1,0)))))</f>
        <v>2721</v>
      </c>
      <c r="D43" s="7">
        <f>IF($A43&lt;=1951,INDEX('SALA 1974'!$B:$U,MATCH($A43,'SALA 1974'!$A:$A,0),MATCH(D$1,'SALA 1974'!$B$1:$U$1,0)),IF($A43&lt;=1994,1000*INDEX('SALA 2002'!$B:$U,MATCH($A43,'SALA 2002'!$A:$A,0),MATCH(D$1,'SALA 2002'!$B$1:$U$1,0)),IF($A43&lt;=2000,1000*INDEX('SALA 2002'!$B:$U,MATCH($A43,'SALA 2002'!$A:$A,0),MATCH(D$1,'SALA 2002'!$B$1:$U$1,0))*POWER(INDEX('WPP 2024 середина года'!$B:$U,MATCH($A43,'WPP 2024 середина года'!$A:$A,0),MATCH(D$1,'WPP 2024 середина года'!$B$1:$U$1,0))/(1000*INDEX('SALA 2002'!$B:$U,MATCH($A43,'SALA 2002'!$A:$A,0),MATCH(D$1,'SALA 2002'!$B$1:$U$1,0))),($A43-1994)/7),INDEX('WPP 2024 середина года'!$B:$U,MATCH($A43,'WPP 2024 середина года'!$A:$A,0),MATCH(D$1,'WPP 2024 середина года'!$B$1:$U$1,0)))))</f>
        <v>42069</v>
      </c>
      <c r="E43" s="7">
        <f>IF($A43&lt;=1951,INDEX('SALA 1974'!$B:$U,MATCH($A43,'SALA 1974'!$A:$A,0),MATCH(E$1,'SALA 1974'!$B$1:$U$1,0)),IF($A43&lt;=1994,1000*INDEX('SALA 2002'!$B:$U,MATCH($A43,'SALA 2002'!$A:$A,0),MATCH(E$1,'SALA 2002'!$B$1:$U$1,0)),IF($A43&lt;=2000,1000*INDEX('SALA 2002'!$B:$U,MATCH($A43,'SALA 2002'!$A:$A,0),MATCH(E$1,'SALA 2002'!$B$1:$U$1,0))*POWER(INDEX('WPP 2024 середина года'!$B:$U,MATCH($A43,'WPP 2024 середина года'!$A:$A,0),MATCH(E$1,'WPP 2024 середина года'!$B$1:$U$1,0))/(1000*INDEX('SALA 2002'!$B:$U,MATCH($A43,'SALA 2002'!$A:$A,0),MATCH(E$1,'SALA 2002'!$B$1:$U$1,0))),($A43-1994)/7),INDEX('WPP 2024 середина года'!$B:$U,MATCH($A43,'WPP 2024 середина года'!$A:$A,0),MATCH(E$1,'WPP 2024 середина года'!$B$1:$U$1,0)))))</f>
        <v>5149</v>
      </c>
      <c r="F43" s="7">
        <f>IF($A43&lt;=1947,INDEX('SALA 1974'!$B:$U,MATCH($A43,'SALA 1974'!$A:$A,0),MATCH(F$1,'SALA 1974'!$B$1:$U$1,0)),IF($A43&lt;=1994,1000*INDEX('SALA 2002'!$B:$U,MATCH($A43,'SALA 2002'!$A:$A,0),MATCH(F$1,'SALA 2002'!$B$1:$U$1,0)),IF($A43&lt;=2000,1000*INDEX('SALA 2002'!$B:$U,MATCH($A43,'SALA 2002'!$A:$A,0),MATCH(F$1,'SALA 2002'!$B$1:$U$1,0))*POWER(INDEX('WPP 2024 середина года'!$B:$U,MATCH($A43,'WPP 2024 середина года'!$A:$A,0),MATCH(F$1,'WPP 2024 середина года'!$B$1:$U$1,0))/(1000*INDEX('SALA 2002'!$B:$U,MATCH($A43,'SALA 2002'!$A:$A,0),MATCH(F$1,'SALA 2002'!$B$1:$U$1,0))),($A43-1994)/7),INDEX('WPP 2024 середина года'!$B:$U,MATCH($A43,'WPP 2024 середина года'!$A:$A,0),MATCH(F$1,'WPP 2024 середина года'!$B$1:$U$1,0)))))</f>
        <v>9315</v>
      </c>
      <c r="G43" s="7">
        <f>IF($A43&lt;=1951,INDEX('SALA 1974'!$B:$U,MATCH($A43,'SALA 1974'!$A:$A,0),MATCH(G$1,'SALA 1974'!$B$1:$U$1,0)),IF($A43&lt;=1994,1000*INDEX('SALA 2002'!$B:$U,MATCH($A43,'SALA 2002'!$A:$A,0),MATCH(G$1,'SALA 2002'!$B$1:$U$1,0)),IF($A43&lt;=2000,1000*INDEX('SALA 2002'!$B:$U,MATCH($A43,'SALA 2002'!$A:$A,0),MATCH(G$1,'SALA 2002'!$B$1:$U$1,0))*POWER(INDEX('WPP 2024 середина года'!$B:$U,MATCH($A43,'WPP 2024 середина года'!$A:$A,0),MATCH(G$1,'WPP 2024 середина года'!$B$1:$U$1,0))/(1000*INDEX('SALA 2002'!$B:$U,MATCH($A43,'SALA 2002'!$A:$A,0),MATCH(G$1,'SALA 2002'!$B$1:$U$1,0))),($A43-1994)/7),INDEX('WPP 2024 середина года'!$B:$U,MATCH($A43,'WPP 2024 середина года'!$A:$A,0),MATCH(G$1,'WPP 2024 середина года'!$B$1:$U$1,0)))))</f>
        <v>633</v>
      </c>
      <c r="H43" s="7">
        <f>IF($A43&lt;=1951,INDEX('SALA 1974'!$B:$U,MATCH($A43,'SALA 1974'!$A:$A,0),MATCH(H$1,'SALA 1974'!$B$1:$U$1,0)),IF($A43&lt;=1994,1000*INDEX('SALA 2002'!$B:$U,MATCH($A43,'SALA 2002'!$A:$A,0),MATCH(H$1,'SALA 2002'!$B$1:$U$1,0)),IF($A43&lt;=2000,1000*INDEX('SALA 2002'!$B:$U,MATCH($A43,'SALA 2002'!$A:$A,0),MATCH(H$1,'SALA 2002'!$B$1:$U$1,0))*POWER(INDEX('WPP 2024 середина года'!$B:$U,MATCH($A43,'WPP 2024 середина года'!$A:$A,0),MATCH(H$1,'WPP 2024 середина года'!$B$1:$U$1,0))/(1000*INDEX('SALA 2002'!$B:$U,MATCH($A43,'SALA 2002'!$A:$A,0),MATCH(H$1,'SALA 2002'!$B$1:$U$1,0))),($A43-1994)/7),INDEX('WPP 2024 середина года'!$B:$U,MATCH($A43,'WPP 2024 середина года'!$A:$A,0),MATCH(H$1,'WPP 2024 середина года'!$B$1:$U$1,0)))))</f>
        <v>4326</v>
      </c>
      <c r="I43" s="7">
        <f>IF($A43&lt;=1951,INDEX('SALA 1974'!$B:$U,MATCH($A43,'SALA 1974'!$A:$A,0),MATCH(I$1,'SALA 1974'!$B$1:$U$1,0)),IF($A43&lt;=1994,1000*INDEX('SALA 2002'!$B:$U,MATCH($A43,'SALA 2002'!$A:$A,0),MATCH(I$1,'SALA 2002'!$B$1:$U$1,0)),IF($A43&lt;=2000,1000*INDEX('SALA 2002'!$B:$U,MATCH($A43,'SALA 2002'!$A:$A,0),MATCH(I$1,'SALA 2002'!$B$1:$U$1,0))*POWER(INDEX('WPP 2024 середина года'!$B:$U,MATCH($A43,'WPP 2024 середина года'!$A:$A,0),MATCH(I$1,'WPP 2024 середина года'!$B$1:$U$1,0))/(1000*INDEX('SALA 2002'!$B:$U,MATCH($A43,'SALA 2002'!$A:$A,0),MATCH(I$1,'SALA 2002'!$B$1:$U$1,0))),($A43-1994)/7),INDEX('WPP 2024 середина года'!$B:$U,MATCH($A43,'WPP 2024 середина года'!$A:$A,0),MATCH(I$1,'WPP 2024 середина года'!$B$1:$U$1,0)))))</f>
        <v>1801</v>
      </c>
      <c r="J43" s="7">
        <f>IF($A43&lt;=1951,INDEX('SALA 1974'!$B:$U,MATCH($A43,'SALA 1974'!$A:$A,0),MATCH(J$1,'SALA 1974'!$B$1:$U$1,0)),IF($A43&lt;=1994,1000*INDEX('SALA 2002'!$B:$U,MATCH($A43,'SALA 2002'!$A:$A,0),MATCH(J$1,'SALA 2002'!$B$1:$U$1,0)),IF($A43&lt;=2000,1000*INDEX('SALA 2002'!$B:$U,MATCH($A43,'SALA 2002'!$A:$A,0),MATCH(J$1,'SALA 2002'!$B$1:$U$1,0))*POWER(INDEX('WPP 2024 середина года'!$B:$U,MATCH($A43,'WPP 2024 середина года'!$A:$A,0),MATCH(J$1,'WPP 2024 середина года'!$B$1:$U$1,0))/(1000*INDEX('SALA 2002'!$B:$U,MATCH($A43,'SALA 2002'!$A:$A,0),MATCH(J$1,'SALA 2002'!$B$1:$U$1,0))),($A43-1994)/7),INDEX('WPP 2024 середина года'!$B:$U,MATCH($A43,'WPP 2024 середина года'!$A:$A,0),MATCH(J$1,'WPP 2024 середина года'!$B$1:$U$1,0)))))</f>
        <v>2521</v>
      </c>
      <c r="K43" s="7">
        <f>IF($A43&lt;=1951,INDEX('SALA 1974'!$B:$U,MATCH($A43,'SALA 1974'!$A:$A,0),MATCH(K$1,'SALA 1974'!$B$1:$U$1,0)),IF($A43&lt;=1994,1000*INDEX('SALA 2002'!$B:$U,MATCH($A43,'SALA 2002'!$A:$A,0),MATCH(K$1,'SALA 2002'!$B$1:$U$1,0)),IF($A43&lt;=2000,1000*INDEX('SALA 2002'!$B:$U,MATCH($A43,'SALA 2002'!$A:$A,0),MATCH(K$1,'SALA 2002'!$B$1:$U$1,0))*POWER(INDEX('WPP 2024 середина года'!$B:$U,MATCH($A43,'WPP 2024 середина года'!$A:$A,0),MATCH(K$1,'WPP 2024 середина года'!$B$1:$U$1,0))/(1000*INDEX('SALA 2002'!$B:$U,MATCH($A43,'SALA 2002'!$A:$A,0),MATCH(K$1,'SALA 2002'!$B$1:$U$1,0))),($A43-1994)/7),INDEX('WPP 2024 середина года'!$B:$U,MATCH($A43,'WPP 2024 середина года'!$A:$A,0),MATCH(K$1,'WPP 2024 середина года'!$B$1:$U$1,0)))))</f>
        <v>1654</v>
      </c>
      <c r="L43" s="7">
        <f>IF($A43&lt;=1951,INDEX('SALA 1974'!$B:$U,MATCH($A43,'SALA 1974'!$A:$A,0),MATCH(L$1,'SALA 1974'!$B$1:$U$1,0)),IF($A43&lt;=1994,1000*INDEX('SALA 2002'!$B:$U,MATCH($A43,'SALA 2002'!$A:$A,0),MATCH(L$1,'SALA 2002'!$B$1:$U$1,0)),IF($A43&lt;=2000,1000*INDEX('SALA 2002'!$B:$U,MATCH($A43,'SALA 2002'!$A:$A,0),MATCH(L$1,'SALA 2002'!$B$1:$U$1,0))*POWER(INDEX('WPP 2024 середина года'!$B:$U,MATCH($A43,'WPP 2024 середина года'!$A:$A,0),MATCH(L$1,'WPP 2024 середина года'!$B$1:$U$1,0))/(1000*INDEX('SALA 2002'!$B:$U,MATCH($A43,'SALA 2002'!$A:$A,0),MATCH(L$1,'SALA 2002'!$B$1:$U$1,0))),($A43-1994)/7),INDEX('WPP 2024 середина года'!$B:$U,MATCH($A43,'WPP 2024 середина года'!$A:$A,0),MATCH(L$1,'WPP 2024 середина года'!$B$1:$U$1,0)))))</f>
        <v>2252</v>
      </c>
      <c r="M43" s="7">
        <f>IF($A43&lt;=1951,INDEX('SALA 1974'!$B:$U,MATCH($A43,'SALA 1974'!$A:$A,0),MATCH(M$1,'SALA 1974'!$B$1:$U$1,0)),IF($A43&lt;=1994,1000*INDEX('SALA 2002'!$B:$U,MATCH($A43,'SALA 2002'!$A:$A,0),MATCH(M$1,'SALA 2002'!$B$1:$U$1,0)),IF($A43&lt;=2000,1000*INDEX('SALA 2002'!$B:$U,MATCH($A43,'SALA 2002'!$A:$A,0),MATCH(M$1,'SALA 2002'!$B$1:$U$1,0))*POWER(INDEX('WPP 2024 середина года'!$B:$U,MATCH($A43,'WPP 2024 середина года'!$A:$A,0),MATCH(M$1,'WPP 2024 середина года'!$B$1:$U$1,0))/(1000*INDEX('SALA 2002'!$B:$U,MATCH($A43,'SALA 2002'!$A:$A,0),MATCH(M$1,'SALA 2002'!$B$1:$U$1,0))),($A43-1994)/7),INDEX('WPP 2024 середина года'!$B:$U,MATCH($A43,'WPP 2024 середина года'!$A:$A,0),MATCH(M$1,'WPP 2024 середина года'!$B$1:$U$1,0)))))</f>
        <v>2876</v>
      </c>
      <c r="N43" s="7">
        <f>IF($A43&lt;=1951,INDEX('SALA 1974'!$B:$U,MATCH($A43,'SALA 1974'!$A:$A,0),MATCH(N$1,'SALA 1974'!$B$1:$U$1,0)),IF($A43&lt;=1994,1000*INDEX('SALA 2002'!$B:$U,MATCH($A43,'SALA 2002'!$A:$A,0),MATCH(N$1,'SALA 2002'!$B$1:$U$1,0)),IF($A43&lt;=2000,1000*INDEX('SALA 2002'!$B:$U,MATCH($A43,'SALA 2002'!$A:$A,0),MATCH(N$1,'SALA 2002'!$B$1:$U$1,0))*POWER(INDEX('WPP 2024 середина года'!$B:$U,MATCH($A43,'WPP 2024 середина года'!$A:$A,0),MATCH(N$1,'WPP 2024 середина года'!$B$1:$U$1,0))/(1000*INDEX('SALA 2002'!$B:$U,MATCH($A43,'SALA 2002'!$A:$A,0),MATCH(N$1,'SALA 2002'!$B$1:$U$1,0))),($A43-1994)/7),INDEX('WPP 2024 середина года'!$B:$U,MATCH($A43,'WPP 2024 середина года'!$A:$A,0),MATCH(N$1,'WPP 2024 середина года'!$B$1:$U$1,0)))))</f>
        <v>1171</v>
      </c>
      <c r="O43" s="7">
        <f>IF($A43&lt;=1951,INDEX('SALA 1974'!$B:$U,MATCH($A43,'SALA 1974'!$A:$A,0),MATCH(O$1,'SALA 1974'!$B$1:$U$1,0)),IF($A43&lt;=1994,1000*INDEX('SALA 2002'!$B:$U,MATCH($A43,'SALA 2002'!$A:$A,0),MATCH(O$1,'SALA 2002'!$B$1:$U$1,0)),IF($A43&lt;=2000,1000*INDEX('SALA 2002'!$B:$U,MATCH($A43,'SALA 2002'!$A:$A,0),MATCH(O$1,'SALA 2002'!$B$1:$U$1,0))*POWER(INDEX('WPP 2024 середина года'!$B:$U,MATCH($A43,'WPP 2024 середина года'!$A:$A,0),MATCH(O$1,'WPP 2024 середина года'!$B$1:$U$1,0))/(1000*INDEX('SALA 2002'!$B:$U,MATCH($A43,'SALA 2002'!$A:$A,0),MATCH(O$1,'SALA 2002'!$B$1:$U$1,0))),($A43-1994)/7),INDEX('WPP 2024 середина года'!$B:$U,MATCH($A43,'WPP 2024 середина года'!$A:$A,0),MATCH(O$1,'WPP 2024 середина года'!$B$1:$U$1,0)))))</f>
        <v>20208</v>
      </c>
      <c r="P43" s="7">
        <f>IF($A43&lt;=1951,INDEX('SALA 1974'!$B:$U,MATCH($A43,'SALA 1974'!$A:$A,0),MATCH(P$1,'SALA 1974'!$B$1:$U$1,0)),IF($A43&lt;=1994,1000*INDEX('SALA 2002'!$B:$U,MATCH($A43,'SALA 2002'!$A:$A,0),MATCH(P$1,'SALA 2002'!$B$1:$U$1,0)),IF($A43&lt;=2000,1000*INDEX('SALA 2002'!$B:$U,MATCH($A43,'SALA 2002'!$A:$A,0),MATCH(P$1,'SALA 2002'!$B$1:$U$1,0))*POWER(INDEX('WPP 2024 середина года'!$B:$U,MATCH($A43,'WPP 2024 середина года'!$A:$A,0),MATCH(P$1,'WPP 2024 середина года'!$B$1:$U$1,0))/(1000*INDEX('SALA 2002'!$B:$U,MATCH($A43,'SALA 2002'!$A:$A,0),MATCH(P$1,'SALA 2002'!$B$1:$U$1,0))),($A43-1994)/7),INDEX('WPP 2024 середина года'!$B:$U,MATCH($A43,'WPP 2024 середина года'!$A:$A,0),MATCH(P$1,'WPP 2024 середина года'!$B$1:$U$1,0)))))</f>
        <v>844</v>
      </c>
      <c r="Q43" s="7">
        <f>IF($A43&lt;=1951,INDEX('SALA 1974'!$B:$U,MATCH($A43,'SALA 1974'!$A:$A,0),MATCH(Q$1,'SALA 1974'!$B$1:$U$1,0)),IF($A43&lt;=1994,1000*INDEX('SALA 2002'!$B:$U,MATCH($A43,'SALA 2002'!$A:$A,0),MATCH(Q$1,'SALA 2002'!$B$1:$U$1,0)),IF($A43&lt;=2000,1000*INDEX('SALA 2002'!$B:$U,MATCH($A43,'SALA 2002'!$A:$A,0),MATCH(Q$1,'SALA 2002'!$B$1:$U$1,0))*POWER(INDEX('WPP 2024 середина года'!$B:$U,MATCH($A43,'WPP 2024 середина года'!$A:$A,0),MATCH(Q$1,'WPP 2024 середина года'!$B$1:$U$1,0))/(1000*INDEX('SALA 2002'!$B:$U,MATCH($A43,'SALA 2002'!$A:$A,0),MATCH(Q$1,'SALA 2002'!$B$1:$U$1,0))),($A43-1994)/7),INDEX('WPP 2024 середина года'!$B:$U,MATCH($A43,'WPP 2024 середина года'!$A:$A,0),MATCH(Q$1,'WPP 2024 середина года'!$B$1:$U$1,0)))))</f>
        <v>636</v>
      </c>
      <c r="R43" s="7">
        <f>IF($A43&lt;=1951,INDEX('SALA 1974'!$B:$U,MATCH($A43,'SALA 1974'!$A:$A,0),MATCH(R$1,'SALA 1974'!$B$1:$U$1,0)),IF($A43&lt;=1994,1000*INDEX('SALA 2002'!$B:$U,MATCH($A43,'SALA 2002'!$A:$A,0),MATCH(R$1,'SALA 2002'!$B$1:$U$1,0)),IF($A43&lt;=2000,1000*INDEX('SALA 2002'!$B:$U,MATCH($A43,'SALA 2002'!$A:$A,0),MATCH(R$1,'SALA 2002'!$B$1:$U$1,0))*POWER(INDEX('WPP 2024 середина года'!$B:$U,MATCH($A43,'WPP 2024 середина года'!$A:$A,0),MATCH(R$1,'WPP 2024 середина года'!$B$1:$U$1,0))/(1000*INDEX('SALA 2002'!$B:$U,MATCH($A43,'SALA 2002'!$A:$A,0),MATCH(R$1,'SALA 2002'!$B$1:$U$1,0))),($A43-1994)/7),INDEX('WPP 2024 середина года'!$B:$U,MATCH($A43,'WPP 2024 середина года'!$A:$A,0),MATCH(R$1,'WPP 2024 середина года'!$B$1:$U$1,0)))))</f>
        <v>1137</v>
      </c>
      <c r="S43" s="7">
        <f>IF($A43&lt;=1951,INDEX('SALA 1974'!$B:$U,MATCH($A43,'SALA 1974'!$A:$A,0),MATCH(S$1,'SALA 1974'!$B$1:$U$1,0)),IF($A43&lt;=1994,1000*INDEX('SALA 2002'!$B:$U,MATCH($A43,'SALA 2002'!$A:$A,0),MATCH(S$1,'SALA 2002'!$B$1:$U$1,0)),IF($A43&lt;=2000,1000*INDEX('SALA 2002'!$B:$U,MATCH($A43,'SALA 2002'!$A:$A,0),MATCH(S$1,'SALA 2002'!$B$1:$U$1,0))*POWER(INDEX('WPP 2024 середина года'!$B:$U,MATCH($A43,'WPP 2024 середина года'!$A:$A,0),MATCH(S$1,'WPP 2024 середина года'!$B$1:$U$1,0))/(1000*INDEX('SALA 2002'!$B:$U,MATCH($A43,'SALA 2002'!$A:$A,0),MATCH(S$1,'SALA 2002'!$B$1:$U$1,0))),($A43-1994)/7),INDEX('WPP 2024 середина года'!$B:$U,MATCH($A43,'WPP 2024 середина года'!$A:$A,0),MATCH(S$1,'WPP 2024 середина года'!$B$1:$U$1,0)))))</f>
        <v>6797</v>
      </c>
      <c r="T43" s="7">
        <f>IF($A43&lt;=1951,INDEX('SALA 1974'!$B:$U,MATCH($A43,'SALA 1974'!$A:$A,0),MATCH(T$1,'SALA 1974'!$B$1:$U$1,0)),IF($A43&lt;=1994,1000*INDEX('SALA 2002'!$B:$U,MATCH($A43,'SALA 2002'!$A:$A,0),MATCH(T$1,'SALA 2002'!$B$1:$U$1,0)),IF($A43&lt;=2000,1000*INDEX('SALA 2002'!$B:$U,MATCH($A43,'SALA 2002'!$A:$A,0),MATCH(T$1,'SALA 2002'!$B$1:$U$1,0))*POWER(INDEX('WPP 2024 середина года'!$B:$U,MATCH($A43,'WPP 2024 середина года'!$A:$A,0),MATCH(T$1,'WPP 2024 середина года'!$B$1:$U$1,0))/(1000*INDEX('SALA 2002'!$B:$U,MATCH($A43,'SALA 2002'!$A:$A,0),MATCH(T$1,'SALA 2002'!$B$1:$U$1,0))),($A43-1994)/7),INDEX('WPP 2024 середина года'!$B:$U,MATCH($A43,'WPP 2024 середина года'!$A:$A,0),MATCH(T$1,'WPP 2024 середина года'!$B$1:$U$1,0)))))</f>
        <v>1994</v>
      </c>
      <c r="U43" s="7">
        <f>IF($A43&lt;=1951,INDEX('SALA 1974'!$B:$U,MATCH($A43,'SALA 1974'!$A:$A,0),MATCH(U$1,'SALA 1974'!$B$1:$U$1,0)),IF($A43&lt;=1994,1000*INDEX('SALA 2002'!$B:$U,MATCH($A43,'SALA 2002'!$A:$A,0),MATCH(U$1,'SALA 2002'!$B$1:$U$1,0)),IF($A43&lt;=2000,1000*INDEX('SALA 2002'!$B:$U,MATCH($A43,'SALA 2002'!$A:$A,0),MATCH(U$1,'SALA 2002'!$B$1:$U$1,0))*POWER(INDEX('WPP 2024 середина года'!$B:$U,MATCH($A43,'WPP 2024 середина года'!$A:$A,0),MATCH(U$1,'WPP 2024 середина года'!$B$1:$U$1,0))/(1000*INDEX('SALA 2002'!$B:$U,MATCH($A43,'SALA 2002'!$A:$A,0),MATCH(U$1,'SALA 2002'!$B$1:$U$1,0))),($A43-1994)/7),INDEX('WPP 2024 середина года'!$B:$U,MATCH($A43,'WPP 2024 середина года'!$A:$A,0),MATCH(U$1,'WPP 2024 середина года'!$B$1:$U$1,0)))))</f>
        <v>3803</v>
      </c>
    </row>
    <row r="44" spans="1:21" x14ac:dyDescent="0.25">
      <c r="A44" s="5">
        <f t="shared" si="0"/>
        <v>1942</v>
      </c>
      <c r="B44" s="7">
        <f>IF($A44&lt;=1951,INDEX('SALA 1974'!$B:$U,MATCH($A44,'SALA 1974'!$A:$A,0),MATCH(B$1,'SALA 1974'!$B$1:$U$1,0)),IF($A44&lt;=1994,1000*INDEX('SALA 2002'!$B:$U,MATCH($A44,'SALA 2002'!$A:$A,0),MATCH(B$1,'SALA 2002'!$B$1:$U$1,0)),IF($A44&lt;=2000,1000*INDEX('SALA 2002'!$B:$U,MATCH($A44,'SALA 2002'!$A:$A,0),MATCH(B$1,'SALA 2002'!$B$1:$U$1,0))*POWER(INDEX('WPP 2024 середина года'!$B:$U,MATCH($A44,'WPP 2024 середина года'!$A:$A,0),MATCH(B$1,'WPP 2024 середина года'!$B$1:$U$1,0))/(1000*INDEX('SALA 2002'!$B:$U,MATCH($A44,'SALA 2002'!$A:$A,0),MATCH(B$1,'SALA 2002'!$B$1:$U$1,0))),($A44-1994)/7),INDEX('WPP 2024 середина года'!$B:$U,MATCH($A44,'WPP 2024 середина года'!$A:$A,0),MATCH(B$1,'WPP 2024 середина года'!$B$1:$U$1,0)))))</f>
        <v>14637</v>
      </c>
      <c r="C44" s="7">
        <f>IF($A44&lt;=1951,INDEX('SALA 1974'!$B:$U,MATCH($A44,'SALA 1974'!$A:$A,0),MATCH(C$1,'SALA 1974'!$B$1:$U$1,0)),IF($A44&lt;=1994,1000*INDEX('SALA 2002'!$B:$U,MATCH($A44,'SALA 2002'!$A:$A,0),MATCH(C$1,'SALA 2002'!$B$1:$U$1,0)),IF($A44&lt;=2000,1000*INDEX('SALA 2002'!$B:$U,MATCH($A44,'SALA 2002'!$A:$A,0),MATCH(C$1,'SALA 2002'!$B$1:$U$1,0))*POWER(INDEX('WPP 2024 середина года'!$B:$U,MATCH($A44,'WPP 2024 середина года'!$A:$A,0),MATCH(C$1,'WPP 2024 середина года'!$B$1:$U$1,0))/(1000*INDEX('SALA 2002'!$B:$U,MATCH($A44,'SALA 2002'!$A:$A,0),MATCH(C$1,'SALA 2002'!$B$1:$U$1,0))),($A44-1994)/7),INDEX('WPP 2024 середина года'!$B:$U,MATCH($A44,'WPP 2024 середина года'!$A:$A,0),MATCH(C$1,'WPP 2024 середина года'!$B$1:$U$1,0)))))</f>
        <v>2753</v>
      </c>
      <c r="D44" s="7">
        <f>IF($A44&lt;=1951,INDEX('SALA 1974'!$B:$U,MATCH($A44,'SALA 1974'!$A:$A,0),MATCH(D$1,'SALA 1974'!$B$1:$U$1,0)),IF($A44&lt;=1994,1000*INDEX('SALA 2002'!$B:$U,MATCH($A44,'SALA 2002'!$A:$A,0),MATCH(D$1,'SALA 2002'!$B$1:$U$1,0)),IF($A44&lt;=2000,1000*INDEX('SALA 2002'!$B:$U,MATCH($A44,'SALA 2002'!$A:$A,0),MATCH(D$1,'SALA 2002'!$B$1:$U$1,0))*POWER(INDEX('WPP 2024 середина года'!$B:$U,MATCH($A44,'WPP 2024 середина года'!$A:$A,0),MATCH(D$1,'WPP 2024 середина года'!$B$1:$U$1,0))/(1000*INDEX('SALA 2002'!$B:$U,MATCH($A44,'SALA 2002'!$A:$A,0),MATCH(D$1,'SALA 2002'!$B$1:$U$1,0))),($A44-1994)/7),INDEX('WPP 2024 середина года'!$B:$U,MATCH($A44,'WPP 2024 середина года'!$A:$A,0),MATCH(D$1,'WPP 2024 середина года'!$B$1:$U$1,0)))))</f>
        <v>43062</v>
      </c>
      <c r="E44" s="7">
        <f>IF($A44&lt;=1951,INDEX('SALA 1974'!$B:$U,MATCH($A44,'SALA 1974'!$A:$A,0),MATCH(E$1,'SALA 1974'!$B$1:$U$1,0)),IF($A44&lt;=1994,1000*INDEX('SALA 2002'!$B:$U,MATCH($A44,'SALA 2002'!$A:$A,0),MATCH(E$1,'SALA 2002'!$B$1:$U$1,0)),IF($A44&lt;=2000,1000*INDEX('SALA 2002'!$B:$U,MATCH($A44,'SALA 2002'!$A:$A,0),MATCH(E$1,'SALA 2002'!$B$1:$U$1,0))*POWER(INDEX('WPP 2024 середина года'!$B:$U,MATCH($A44,'WPP 2024 середина года'!$A:$A,0),MATCH(E$1,'WPP 2024 середина года'!$B$1:$U$1,0))/(1000*INDEX('SALA 2002'!$B:$U,MATCH($A44,'SALA 2002'!$A:$A,0),MATCH(E$1,'SALA 2002'!$B$1:$U$1,0))),($A44-1994)/7),INDEX('WPP 2024 середина года'!$B:$U,MATCH($A44,'WPP 2024 середина года'!$A:$A,0),MATCH(E$1,'WPP 2024 середина года'!$B$1:$U$1,0)))))</f>
        <v>5244</v>
      </c>
      <c r="F44" s="7">
        <f>IF($A44&lt;=1947,INDEX('SALA 1974'!$B:$U,MATCH($A44,'SALA 1974'!$A:$A,0),MATCH(F$1,'SALA 1974'!$B$1:$U$1,0)),IF($A44&lt;=1994,1000*INDEX('SALA 2002'!$B:$U,MATCH($A44,'SALA 2002'!$A:$A,0),MATCH(F$1,'SALA 2002'!$B$1:$U$1,0)),IF($A44&lt;=2000,1000*INDEX('SALA 2002'!$B:$U,MATCH($A44,'SALA 2002'!$A:$A,0),MATCH(F$1,'SALA 2002'!$B$1:$U$1,0))*POWER(INDEX('WPP 2024 середина года'!$B:$U,MATCH($A44,'WPP 2024 середина года'!$A:$A,0),MATCH(F$1,'WPP 2024 середина года'!$B$1:$U$1,0))/(1000*INDEX('SALA 2002'!$B:$U,MATCH($A44,'SALA 2002'!$A:$A,0),MATCH(F$1,'SALA 2002'!$B$1:$U$1,0))),($A44-1994)/7),INDEX('WPP 2024 середина года'!$B:$U,MATCH($A44,'WPP 2024 середина года'!$A:$A,0),MATCH(F$1,'WPP 2024 середина года'!$B$1:$U$1,0)))))</f>
        <v>9540</v>
      </c>
      <c r="G44" s="7">
        <f>IF($A44&lt;=1951,INDEX('SALA 1974'!$B:$U,MATCH($A44,'SALA 1974'!$A:$A,0),MATCH(G$1,'SALA 1974'!$B$1:$U$1,0)),IF($A44&lt;=1994,1000*INDEX('SALA 2002'!$B:$U,MATCH($A44,'SALA 2002'!$A:$A,0),MATCH(G$1,'SALA 2002'!$B$1:$U$1,0)),IF($A44&lt;=2000,1000*INDEX('SALA 2002'!$B:$U,MATCH($A44,'SALA 2002'!$A:$A,0),MATCH(G$1,'SALA 2002'!$B$1:$U$1,0))*POWER(INDEX('WPP 2024 середина года'!$B:$U,MATCH($A44,'WPP 2024 середина года'!$A:$A,0),MATCH(G$1,'WPP 2024 середина года'!$B$1:$U$1,0))/(1000*INDEX('SALA 2002'!$B:$U,MATCH($A44,'SALA 2002'!$A:$A,0),MATCH(G$1,'SALA 2002'!$B$1:$U$1,0))),($A44-1994)/7),INDEX('WPP 2024 середина года'!$B:$U,MATCH($A44,'WPP 2024 середина года'!$A:$A,0),MATCH(G$1,'WPP 2024 середина года'!$B$1:$U$1,0)))))</f>
        <v>647</v>
      </c>
      <c r="H44" s="7">
        <f>IF($A44&lt;=1951,INDEX('SALA 1974'!$B:$U,MATCH($A44,'SALA 1974'!$A:$A,0),MATCH(H$1,'SALA 1974'!$B$1:$U$1,0)),IF($A44&lt;=1994,1000*INDEX('SALA 2002'!$B:$U,MATCH($A44,'SALA 2002'!$A:$A,0),MATCH(H$1,'SALA 2002'!$B$1:$U$1,0)),IF($A44&lt;=2000,1000*INDEX('SALA 2002'!$B:$U,MATCH($A44,'SALA 2002'!$A:$A,0),MATCH(H$1,'SALA 2002'!$B$1:$U$1,0))*POWER(INDEX('WPP 2024 середина года'!$B:$U,MATCH($A44,'WPP 2024 середина года'!$A:$A,0),MATCH(H$1,'WPP 2024 середина года'!$B$1:$U$1,0))/(1000*INDEX('SALA 2002'!$B:$U,MATCH($A44,'SALA 2002'!$A:$A,0),MATCH(H$1,'SALA 2002'!$B$1:$U$1,0))),($A44-1994)/7),INDEX('WPP 2024 середина года'!$B:$U,MATCH($A44,'WPP 2024 середина года'!$A:$A,0),MATCH(H$1,'WPP 2024 середина года'!$B$1:$U$1,0)))))</f>
        <v>4372</v>
      </c>
      <c r="I44" s="7">
        <f>IF($A44&lt;=1951,INDEX('SALA 1974'!$B:$U,MATCH($A44,'SALA 1974'!$A:$A,0),MATCH(I$1,'SALA 1974'!$B$1:$U$1,0)),IF($A44&lt;=1994,1000*INDEX('SALA 2002'!$B:$U,MATCH($A44,'SALA 2002'!$A:$A,0),MATCH(I$1,'SALA 2002'!$B$1:$U$1,0)),IF($A44&lt;=2000,1000*INDEX('SALA 2002'!$B:$U,MATCH($A44,'SALA 2002'!$A:$A,0),MATCH(I$1,'SALA 2002'!$B$1:$U$1,0))*POWER(INDEX('WPP 2024 середина года'!$B:$U,MATCH($A44,'WPP 2024 середина года'!$A:$A,0),MATCH(I$1,'WPP 2024 середина года'!$B$1:$U$1,0))/(1000*INDEX('SALA 2002'!$B:$U,MATCH($A44,'SALA 2002'!$A:$A,0),MATCH(I$1,'SALA 2002'!$B$1:$U$1,0))),($A44-1994)/7),INDEX('WPP 2024 середина года'!$B:$U,MATCH($A44,'WPP 2024 середина года'!$A:$A,0),MATCH(I$1,'WPP 2024 середина года'!$B$1:$U$1,0)))))</f>
        <v>1844</v>
      </c>
      <c r="J44" s="7">
        <f>IF($A44&lt;=1951,INDEX('SALA 1974'!$B:$U,MATCH($A44,'SALA 1974'!$A:$A,0),MATCH(J$1,'SALA 1974'!$B$1:$U$1,0)),IF($A44&lt;=1994,1000*INDEX('SALA 2002'!$B:$U,MATCH($A44,'SALA 2002'!$A:$A,0),MATCH(J$1,'SALA 2002'!$B$1:$U$1,0)),IF($A44&lt;=2000,1000*INDEX('SALA 2002'!$B:$U,MATCH($A44,'SALA 2002'!$A:$A,0),MATCH(J$1,'SALA 2002'!$B$1:$U$1,0))*POWER(INDEX('WPP 2024 середина года'!$B:$U,MATCH($A44,'WPP 2024 середина года'!$A:$A,0),MATCH(J$1,'WPP 2024 середина года'!$B$1:$U$1,0))/(1000*INDEX('SALA 2002'!$B:$U,MATCH($A44,'SALA 2002'!$A:$A,0),MATCH(J$1,'SALA 2002'!$B$1:$U$1,0))),($A44-1994)/7),INDEX('WPP 2024 середина года'!$B:$U,MATCH($A44,'WPP 2024 середина года'!$A:$A,0),MATCH(J$1,'WPP 2024 середина года'!$B$1:$U$1,0)))))</f>
        <v>2575</v>
      </c>
      <c r="K44" s="7">
        <f>IF($A44&lt;=1951,INDEX('SALA 1974'!$B:$U,MATCH($A44,'SALA 1974'!$A:$A,0),MATCH(K$1,'SALA 1974'!$B$1:$U$1,0)),IF($A44&lt;=1994,1000*INDEX('SALA 2002'!$B:$U,MATCH($A44,'SALA 2002'!$A:$A,0),MATCH(K$1,'SALA 2002'!$B$1:$U$1,0)),IF($A44&lt;=2000,1000*INDEX('SALA 2002'!$B:$U,MATCH($A44,'SALA 2002'!$A:$A,0),MATCH(K$1,'SALA 2002'!$B$1:$U$1,0))*POWER(INDEX('WPP 2024 середина года'!$B:$U,MATCH($A44,'WPP 2024 середина года'!$A:$A,0),MATCH(K$1,'WPP 2024 середина года'!$B$1:$U$1,0))/(1000*INDEX('SALA 2002'!$B:$U,MATCH($A44,'SALA 2002'!$A:$A,0),MATCH(K$1,'SALA 2002'!$B$1:$U$1,0))),($A44-1994)/7),INDEX('WPP 2024 середина года'!$B:$U,MATCH($A44,'WPP 2024 середина года'!$A:$A,0),MATCH(K$1,'WPP 2024 середина года'!$B$1:$U$1,0)))))</f>
        <v>1675</v>
      </c>
      <c r="L44" s="7">
        <f>IF($A44&lt;=1951,INDEX('SALA 1974'!$B:$U,MATCH($A44,'SALA 1974'!$A:$A,0),MATCH(L$1,'SALA 1974'!$B$1:$U$1,0)),IF($A44&lt;=1994,1000*INDEX('SALA 2002'!$B:$U,MATCH($A44,'SALA 2002'!$A:$A,0),MATCH(L$1,'SALA 2002'!$B$1:$U$1,0)),IF($A44&lt;=2000,1000*INDEX('SALA 2002'!$B:$U,MATCH($A44,'SALA 2002'!$A:$A,0),MATCH(L$1,'SALA 2002'!$B$1:$U$1,0))*POWER(INDEX('WPP 2024 середина года'!$B:$U,MATCH($A44,'WPP 2024 середина года'!$A:$A,0),MATCH(L$1,'WPP 2024 середина года'!$B$1:$U$1,0))/(1000*INDEX('SALA 2002'!$B:$U,MATCH($A44,'SALA 2002'!$A:$A,0),MATCH(L$1,'SALA 2002'!$B$1:$U$1,0))),($A44-1994)/7),INDEX('WPP 2024 середина года'!$B:$U,MATCH($A44,'WPP 2024 середина года'!$A:$A,0),MATCH(L$1,'WPP 2024 середина года'!$B$1:$U$1,0)))))</f>
        <v>2300</v>
      </c>
      <c r="M44" s="7">
        <f>IF($A44&lt;=1951,INDEX('SALA 1974'!$B:$U,MATCH($A44,'SALA 1974'!$A:$A,0),MATCH(M$1,'SALA 1974'!$B$1:$U$1,0)),IF($A44&lt;=1994,1000*INDEX('SALA 2002'!$B:$U,MATCH($A44,'SALA 2002'!$A:$A,0),MATCH(M$1,'SALA 2002'!$B$1:$U$1,0)),IF($A44&lt;=2000,1000*INDEX('SALA 2002'!$B:$U,MATCH($A44,'SALA 2002'!$A:$A,0),MATCH(M$1,'SALA 2002'!$B$1:$U$1,0))*POWER(INDEX('WPP 2024 середина года'!$B:$U,MATCH($A44,'WPP 2024 середина года'!$A:$A,0),MATCH(M$1,'WPP 2024 середина года'!$B$1:$U$1,0))/(1000*INDEX('SALA 2002'!$B:$U,MATCH($A44,'SALA 2002'!$A:$A,0),MATCH(M$1,'SALA 2002'!$B$1:$U$1,0))),($A44-1994)/7),INDEX('WPP 2024 середина года'!$B:$U,MATCH($A44,'WPP 2024 середина года'!$A:$A,0),MATCH(M$1,'WPP 2024 середина года'!$B$1:$U$1,0)))))</f>
        <v>2936</v>
      </c>
      <c r="N44" s="7">
        <f>IF($A44&lt;=1951,INDEX('SALA 1974'!$B:$U,MATCH($A44,'SALA 1974'!$A:$A,0),MATCH(N$1,'SALA 1974'!$B$1:$U$1,0)),IF($A44&lt;=1994,1000*INDEX('SALA 2002'!$B:$U,MATCH($A44,'SALA 2002'!$A:$A,0),MATCH(N$1,'SALA 2002'!$B$1:$U$1,0)),IF($A44&lt;=2000,1000*INDEX('SALA 2002'!$B:$U,MATCH($A44,'SALA 2002'!$A:$A,0),MATCH(N$1,'SALA 2002'!$B$1:$U$1,0))*POWER(INDEX('WPP 2024 середина года'!$B:$U,MATCH($A44,'WPP 2024 середина года'!$A:$A,0),MATCH(N$1,'WPP 2024 середина года'!$B$1:$U$1,0))/(1000*INDEX('SALA 2002'!$B:$U,MATCH($A44,'SALA 2002'!$A:$A,0),MATCH(N$1,'SALA 2002'!$B$1:$U$1,0))),($A44-1994)/7),INDEX('WPP 2024 середина года'!$B:$U,MATCH($A44,'WPP 2024 середина года'!$A:$A,0),MATCH(N$1,'WPP 2024 середина года'!$B$1:$U$1,0)))))</f>
        <v>1195</v>
      </c>
      <c r="O44" s="7">
        <f>IF($A44&lt;=1951,INDEX('SALA 1974'!$B:$U,MATCH($A44,'SALA 1974'!$A:$A,0),MATCH(O$1,'SALA 1974'!$B$1:$U$1,0)),IF($A44&lt;=1994,1000*INDEX('SALA 2002'!$B:$U,MATCH($A44,'SALA 2002'!$A:$A,0),MATCH(O$1,'SALA 2002'!$B$1:$U$1,0)),IF($A44&lt;=2000,1000*INDEX('SALA 2002'!$B:$U,MATCH($A44,'SALA 2002'!$A:$A,0),MATCH(O$1,'SALA 2002'!$B$1:$U$1,0))*POWER(INDEX('WPP 2024 середина года'!$B:$U,MATCH($A44,'WPP 2024 середина года'!$A:$A,0),MATCH(O$1,'WPP 2024 середина года'!$B$1:$U$1,0))/(1000*INDEX('SALA 2002'!$B:$U,MATCH($A44,'SALA 2002'!$A:$A,0),MATCH(O$1,'SALA 2002'!$B$1:$U$1,0))),($A44-1994)/7),INDEX('WPP 2024 середина года'!$B:$U,MATCH($A44,'WPP 2024 середина года'!$A:$A,0),MATCH(O$1,'WPP 2024 середина года'!$B$1:$U$1,0)))))</f>
        <v>20657</v>
      </c>
      <c r="P44" s="7">
        <f>IF($A44&lt;=1951,INDEX('SALA 1974'!$B:$U,MATCH($A44,'SALA 1974'!$A:$A,0),MATCH(P$1,'SALA 1974'!$B$1:$U$1,0)),IF($A44&lt;=1994,1000*INDEX('SALA 2002'!$B:$U,MATCH($A44,'SALA 2002'!$A:$A,0),MATCH(P$1,'SALA 2002'!$B$1:$U$1,0)),IF($A44&lt;=2000,1000*INDEX('SALA 2002'!$B:$U,MATCH($A44,'SALA 2002'!$A:$A,0),MATCH(P$1,'SALA 2002'!$B$1:$U$1,0))*POWER(INDEX('WPP 2024 середина года'!$B:$U,MATCH($A44,'WPP 2024 середина года'!$A:$A,0),MATCH(P$1,'WPP 2024 середина года'!$B$1:$U$1,0))/(1000*INDEX('SALA 2002'!$B:$U,MATCH($A44,'SALA 2002'!$A:$A,0),MATCH(P$1,'SALA 2002'!$B$1:$U$1,0))),($A44-1994)/7),INDEX('WPP 2024 середина года'!$B:$U,MATCH($A44,'WPP 2024 середина года'!$A:$A,0),MATCH(P$1,'WPP 2024 середина года'!$B$1:$U$1,0)))))</f>
        <v>863</v>
      </c>
      <c r="Q44" s="7">
        <f>IF($A44&lt;=1951,INDEX('SALA 1974'!$B:$U,MATCH($A44,'SALA 1974'!$A:$A,0),MATCH(Q$1,'SALA 1974'!$B$1:$U$1,0)),IF($A44&lt;=1994,1000*INDEX('SALA 2002'!$B:$U,MATCH($A44,'SALA 2002'!$A:$A,0),MATCH(Q$1,'SALA 2002'!$B$1:$U$1,0)),IF($A44&lt;=2000,1000*INDEX('SALA 2002'!$B:$U,MATCH($A44,'SALA 2002'!$A:$A,0),MATCH(Q$1,'SALA 2002'!$B$1:$U$1,0))*POWER(INDEX('WPP 2024 середина года'!$B:$U,MATCH($A44,'WPP 2024 середина года'!$A:$A,0),MATCH(Q$1,'WPP 2024 середина года'!$B$1:$U$1,0))/(1000*INDEX('SALA 2002'!$B:$U,MATCH($A44,'SALA 2002'!$A:$A,0),MATCH(Q$1,'SALA 2002'!$B$1:$U$1,0))),($A44-1994)/7),INDEX('WPP 2024 середина года'!$B:$U,MATCH($A44,'WPP 2024 середина года'!$A:$A,0),MATCH(Q$1,'WPP 2024 середина года'!$B$1:$U$1,0)))))</f>
        <v>651</v>
      </c>
      <c r="R44" s="7">
        <f>IF($A44&lt;=1951,INDEX('SALA 1974'!$B:$U,MATCH($A44,'SALA 1974'!$A:$A,0),MATCH(R$1,'SALA 1974'!$B$1:$U$1,0)),IF($A44&lt;=1994,1000*INDEX('SALA 2002'!$B:$U,MATCH($A44,'SALA 2002'!$A:$A,0),MATCH(R$1,'SALA 2002'!$B$1:$U$1,0)),IF($A44&lt;=2000,1000*INDEX('SALA 2002'!$B:$U,MATCH($A44,'SALA 2002'!$A:$A,0),MATCH(R$1,'SALA 2002'!$B$1:$U$1,0))*POWER(INDEX('WPP 2024 середина года'!$B:$U,MATCH($A44,'WPP 2024 середина года'!$A:$A,0),MATCH(R$1,'WPP 2024 середина года'!$B$1:$U$1,0))/(1000*INDEX('SALA 2002'!$B:$U,MATCH($A44,'SALA 2002'!$A:$A,0),MATCH(R$1,'SALA 2002'!$B$1:$U$1,0))),($A44-1994)/7),INDEX('WPP 2024 середина года'!$B:$U,MATCH($A44,'WPP 2024 середина года'!$A:$A,0),MATCH(R$1,'WPP 2024 середина года'!$B$1:$U$1,0)))))</f>
        <v>1164</v>
      </c>
      <c r="S44" s="7">
        <f>IF($A44&lt;=1951,INDEX('SALA 1974'!$B:$U,MATCH($A44,'SALA 1974'!$A:$A,0),MATCH(S$1,'SALA 1974'!$B$1:$U$1,0)),IF($A44&lt;=1994,1000*INDEX('SALA 2002'!$B:$U,MATCH($A44,'SALA 2002'!$A:$A,0),MATCH(S$1,'SALA 2002'!$B$1:$U$1,0)),IF($A44&lt;=2000,1000*INDEX('SALA 2002'!$B:$U,MATCH($A44,'SALA 2002'!$A:$A,0),MATCH(S$1,'SALA 2002'!$B$1:$U$1,0))*POWER(INDEX('WPP 2024 середина года'!$B:$U,MATCH($A44,'WPP 2024 середина года'!$A:$A,0),MATCH(S$1,'WPP 2024 середина года'!$B$1:$U$1,0))/(1000*INDEX('SALA 2002'!$B:$U,MATCH($A44,'SALA 2002'!$A:$A,0),MATCH(S$1,'SALA 2002'!$B$1:$U$1,0))),($A44-1994)/7),INDEX('WPP 2024 середина года'!$B:$U,MATCH($A44,'WPP 2024 середина года'!$A:$A,0),MATCH(S$1,'WPP 2024 середина года'!$B$1:$U$1,0)))))</f>
        <v>6915</v>
      </c>
      <c r="T44" s="7">
        <f>IF($A44&lt;=1951,INDEX('SALA 1974'!$B:$U,MATCH($A44,'SALA 1974'!$A:$A,0),MATCH(T$1,'SALA 1974'!$B$1:$U$1,0)),IF($A44&lt;=1994,1000*INDEX('SALA 2002'!$B:$U,MATCH($A44,'SALA 2002'!$A:$A,0),MATCH(T$1,'SALA 2002'!$B$1:$U$1,0)),IF($A44&lt;=2000,1000*INDEX('SALA 2002'!$B:$U,MATCH($A44,'SALA 2002'!$A:$A,0),MATCH(T$1,'SALA 2002'!$B$1:$U$1,0))*POWER(INDEX('WPP 2024 середина года'!$B:$U,MATCH($A44,'WPP 2024 середина года'!$A:$A,0),MATCH(T$1,'WPP 2024 середина года'!$B$1:$U$1,0))/(1000*INDEX('SALA 2002'!$B:$U,MATCH($A44,'SALA 2002'!$A:$A,0),MATCH(T$1,'SALA 2002'!$B$1:$U$1,0))),($A44-1994)/7),INDEX('WPP 2024 середина года'!$B:$U,MATCH($A44,'WPP 2024 середина года'!$A:$A,0),MATCH(T$1,'WPP 2024 середина года'!$B$1:$U$1,0)))))</f>
        <v>2014</v>
      </c>
      <c r="U44" s="7">
        <f>IF($A44&lt;=1951,INDEX('SALA 1974'!$B:$U,MATCH($A44,'SALA 1974'!$A:$A,0),MATCH(U$1,'SALA 1974'!$B$1:$U$1,0)),IF($A44&lt;=1994,1000*INDEX('SALA 2002'!$B:$U,MATCH($A44,'SALA 2002'!$A:$A,0),MATCH(U$1,'SALA 2002'!$B$1:$U$1,0)),IF($A44&lt;=2000,1000*INDEX('SALA 2002'!$B:$U,MATCH($A44,'SALA 2002'!$A:$A,0),MATCH(U$1,'SALA 2002'!$B$1:$U$1,0))*POWER(INDEX('WPP 2024 середина года'!$B:$U,MATCH($A44,'WPP 2024 середина года'!$A:$A,0),MATCH(U$1,'WPP 2024 середина года'!$B$1:$U$1,0))/(1000*INDEX('SALA 2002'!$B:$U,MATCH($A44,'SALA 2002'!$A:$A,0),MATCH(U$1,'SALA 2002'!$B$1:$U$1,0))),($A44-1994)/7),INDEX('WPP 2024 середина года'!$B:$U,MATCH($A44,'WPP 2024 середина года'!$A:$A,0),MATCH(U$1,'WPP 2024 середина года'!$B$1:$U$1,0)))))</f>
        <v>3914</v>
      </c>
    </row>
    <row r="45" spans="1:21" x14ac:dyDescent="0.25">
      <c r="A45" s="5">
        <f t="shared" si="0"/>
        <v>1943</v>
      </c>
      <c r="B45" s="7">
        <f>IF($A45&lt;=1951,INDEX('SALA 1974'!$B:$U,MATCH($A45,'SALA 1974'!$A:$A,0),MATCH(B$1,'SALA 1974'!$B$1:$U$1,0)),IF($A45&lt;=1994,1000*INDEX('SALA 2002'!$B:$U,MATCH($A45,'SALA 2002'!$A:$A,0),MATCH(B$1,'SALA 2002'!$B$1:$U$1,0)),IF($A45&lt;=2000,1000*INDEX('SALA 2002'!$B:$U,MATCH($A45,'SALA 2002'!$A:$A,0),MATCH(B$1,'SALA 2002'!$B$1:$U$1,0))*POWER(INDEX('WPP 2024 середина года'!$B:$U,MATCH($A45,'WPP 2024 середина года'!$A:$A,0),MATCH(B$1,'WPP 2024 середина года'!$B$1:$U$1,0))/(1000*INDEX('SALA 2002'!$B:$U,MATCH($A45,'SALA 2002'!$A:$A,0),MATCH(B$1,'SALA 2002'!$B$1:$U$1,0))),($A45-1994)/7),INDEX('WPP 2024 середина года'!$B:$U,MATCH($A45,'WPP 2024 середина года'!$A:$A,0),MATCH(B$1,'WPP 2024 середина года'!$B$1:$U$1,0)))))</f>
        <v>14877</v>
      </c>
      <c r="C45" s="7">
        <f>IF($A45&lt;=1951,INDEX('SALA 1974'!$B:$U,MATCH($A45,'SALA 1974'!$A:$A,0),MATCH(C$1,'SALA 1974'!$B$1:$U$1,0)),IF($A45&lt;=1994,1000*INDEX('SALA 2002'!$B:$U,MATCH($A45,'SALA 2002'!$A:$A,0),MATCH(C$1,'SALA 2002'!$B$1:$U$1,0)),IF($A45&lt;=2000,1000*INDEX('SALA 2002'!$B:$U,MATCH($A45,'SALA 2002'!$A:$A,0),MATCH(C$1,'SALA 2002'!$B$1:$U$1,0))*POWER(INDEX('WPP 2024 середина года'!$B:$U,MATCH($A45,'WPP 2024 середина года'!$A:$A,0),MATCH(C$1,'WPP 2024 середина года'!$B$1:$U$1,0))/(1000*INDEX('SALA 2002'!$B:$U,MATCH($A45,'SALA 2002'!$A:$A,0),MATCH(C$1,'SALA 2002'!$B$1:$U$1,0))),($A45-1994)/7),INDEX('WPP 2024 середина года'!$B:$U,MATCH($A45,'WPP 2024 середина года'!$A:$A,0),MATCH(C$1,'WPP 2024 середина года'!$B$1:$U$1,0)))))</f>
        <v>2785</v>
      </c>
      <c r="D45" s="7">
        <f>IF($A45&lt;=1951,INDEX('SALA 1974'!$B:$U,MATCH($A45,'SALA 1974'!$A:$A,0),MATCH(D$1,'SALA 1974'!$B$1:$U$1,0)),IF($A45&lt;=1994,1000*INDEX('SALA 2002'!$B:$U,MATCH($A45,'SALA 2002'!$A:$A,0),MATCH(D$1,'SALA 2002'!$B$1:$U$1,0)),IF($A45&lt;=2000,1000*INDEX('SALA 2002'!$B:$U,MATCH($A45,'SALA 2002'!$A:$A,0),MATCH(D$1,'SALA 2002'!$B$1:$U$1,0))*POWER(INDEX('WPP 2024 середина года'!$B:$U,MATCH($A45,'WPP 2024 середина года'!$A:$A,0),MATCH(D$1,'WPP 2024 середина года'!$B$1:$U$1,0))/(1000*INDEX('SALA 2002'!$B:$U,MATCH($A45,'SALA 2002'!$A:$A,0),MATCH(D$1,'SALA 2002'!$B$1:$U$1,0))),($A45-1994)/7),INDEX('WPP 2024 середина года'!$B:$U,MATCH($A45,'WPP 2024 середина года'!$A:$A,0),MATCH(D$1,'WPP 2024 середина года'!$B$1:$U$1,0)))))</f>
        <v>43992</v>
      </c>
      <c r="E45" s="7">
        <f>IF($A45&lt;=1951,INDEX('SALA 1974'!$B:$U,MATCH($A45,'SALA 1974'!$A:$A,0),MATCH(E$1,'SALA 1974'!$B$1:$U$1,0)),IF($A45&lt;=1994,1000*INDEX('SALA 2002'!$B:$U,MATCH($A45,'SALA 2002'!$A:$A,0),MATCH(E$1,'SALA 2002'!$B$1:$U$1,0)),IF($A45&lt;=2000,1000*INDEX('SALA 2002'!$B:$U,MATCH($A45,'SALA 2002'!$A:$A,0),MATCH(E$1,'SALA 2002'!$B$1:$U$1,0))*POWER(INDEX('WPP 2024 середина года'!$B:$U,MATCH($A45,'WPP 2024 середина года'!$A:$A,0),MATCH(E$1,'WPP 2024 середина года'!$B$1:$U$1,0))/(1000*INDEX('SALA 2002'!$B:$U,MATCH($A45,'SALA 2002'!$A:$A,0),MATCH(E$1,'SALA 2002'!$B$1:$U$1,0))),($A45-1994)/7),INDEX('WPP 2024 середина года'!$B:$U,MATCH($A45,'WPP 2024 середина года'!$A:$A,0),MATCH(E$1,'WPP 2024 середина года'!$B$1:$U$1,0)))))</f>
        <v>5341</v>
      </c>
      <c r="F45" s="7">
        <f>IF($A45&lt;=1947,INDEX('SALA 1974'!$B:$U,MATCH($A45,'SALA 1974'!$A:$A,0),MATCH(F$1,'SALA 1974'!$B$1:$U$1,0)),IF($A45&lt;=1994,1000*INDEX('SALA 2002'!$B:$U,MATCH($A45,'SALA 2002'!$A:$A,0),MATCH(F$1,'SALA 2002'!$B$1:$U$1,0)),IF($A45&lt;=2000,1000*INDEX('SALA 2002'!$B:$U,MATCH($A45,'SALA 2002'!$A:$A,0),MATCH(F$1,'SALA 2002'!$B$1:$U$1,0))*POWER(INDEX('WPP 2024 середина года'!$B:$U,MATCH($A45,'WPP 2024 середина года'!$A:$A,0),MATCH(F$1,'WPP 2024 середина года'!$B$1:$U$1,0))/(1000*INDEX('SALA 2002'!$B:$U,MATCH($A45,'SALA 2002'!$A:$A,0),MATCH(F$1,'SALA 2002'!$B$1:$U$1,0))),($A45-1994)/7),INDEX('WPP 2024 середина года'!$B:$U,MATCH($A45,'WPP 2024 середина года'!$A:$A,0),MATCH(F$1,'WPP 2024 середина года'!$B$1:$U$1,0)))))</f>
        <v>9774</v>
      </c>
      <c r="G45" s="7">
        <f>IF($A45&lt;=1951,INDEX('SALA 1974'!$B:$U,MATCH($A45,'SALA 1974'!$A:$A,0),MATCH(G$1,'SALA 1974'!$B$1:$U$1,0)),IF($A45&lt;=1994,1000*INDEX('SALA 2002'!$B:$U,MATCH($A45,'SALA 2002'!$A:$A,0),MATCH(G$1,'SALA 2002'!$B$1:$U$1,0)),IF($A45&lt;=2000,1000*INDEX('SALA 2002'!$B:$U,MATCH($A45,'SALA 2002'!$A:$A,0),MATCH(G$1,'SALA 2002'!$B$1:$U$1,0))*POWER(INDEX('WPP 2024 середина года'!$B:$U,MATCH($A45,'WPP 2024 середина года'!$A:$A,0),MATCH(G$1,'WPP 2024 середина года'!$B$1:$U$1,0))/(1000*INDEX('SALA 2002'!$B:$U,MATCH($A45,'SALA 2002'!$A:$A,0),MATCH(G$1,'SALA 2002'!$B$1:$U$1,0))),($A45-1994)/7),INDEX('WPP 2024 середина года'!$B:$U,MATCH($A45,'WPP 2024 середина года'!$A:$A,0),MATCH(G$1,'WPP 2024 середина года'!$B$1:$U$1,0)))))</f>
        <v>661</v>
      </c>
      <c r="H45" s="7">
        <f>IF($A45&lt;=1951,INDEX('SALA 1974'!$B:$U,MATCH($A45,'SALA 1974'!$A:$A,0),MATCH(H$1,'SALA 1974'!$B$1:$U$1,0)),IF($A45&lt;=1994,1000*INDEX('SALA 2002'!$B:$U,MATCH($A45,'SALA 2002'!$A:$A,0),MATCH(H$1,'SALA 2002'!$B$1:$U$1,0)),IF($A45&lt;=2000,1000*INDEX('SALA 2002'!$B:$U,MATCH($A45,'SALA 2002'!$A:$A,0),MATCH(H$1,'SALA 2002'!$B$1:$U$1,0))*POWER(INDEX('WPP 2024 середина года'!$B:$U,MATCH($A45,'WPP 2024 середина года'!$A:$A,0),MATCH(H$1,'WPP 2024 середина года'!$B$1:$U$1,0))/(1000*INDEX('SALA 2002'!$B:$U,MATCH($A45,'SALA 2002'!$A:$A,0),MATCH(H$1,'SALA 2002'!$B$1:$U$1,0))),($A45-1994)/7),INDEX('WPP 2024 середина года'!$B:$U,MATCH($A45,'WPP 2024 середина года'!$A:$A,0),MATCH(H$1,'WPP 2024 середина года'!$B$1:$U$1,0)))))</f>
        <v>4779</v>
      </c>
      <c r="I45" s="7">
        <f>IF($A45&lt;=1951,INDEX('SALA 1974'!$B:$U,MATCH($A45,'SALA 1974'!$A:$A,0),MATCH(I$1,'SALA 1974'!$B$1:$U$1,0)),IF($A45&lt;=1994,1000*INDEX('SALA 2002'!$B:$U,MATCH($A45,'SALA 2002'!$A:$A,0),MATCH(I$1,'SALA 2002'!$B$1:$U$1,0)),IF($A45&lt;=2000,1000*INDEX('SALA 2002'!$B:$U,MATCH($A45,'SALA 2002'!$A:$A,0),MATCH(I$1,'SALA 2002'!$B$1:$U$1,0))*POWER(INDEX('WPP 2024 середина года'!$B:$U,MATCH($A45,'WPP 2024 середина года'!$A:$A,0),MATCH(I$1,'WPP 2024 середина года'!$B$1:$U$1,0))/(1000*INDEX('SALA 2002'!$B:$U,MATCH($A45,'SALA 2002'!$A:$A,0),MATCH(I$1,'SALA 2002'!$B$1:$U$1,0))),($A45-1994)/7),INDEX('WPP 2024 середина года'!$B:$U,MATCH($A45,'WPP 2024 середина года'!$A:$A,0),MATCH(I$1,'WPP 2024 середина года'!$B$1:$U$1,0)))))</f>
        <v>1889</v>
      </c>
      <c r="J45" s="7">
        <f>IF($A45&lt;=1951,INDEX('SALA 1974'!$B:$U,MATCH($A45,'SALA 1974'!$A:$A,0),MATCH(J$1,'SALA 1974'!$B$1:$U$1,0)),IF($A45&lt;=1994,1000*INDEX('SALA 2002'!$B:$U,MATCH($A45,'SALA 2002'!$A:$A,0),MATCH(J$1,'SALA 2002'!$B$1:$U$1,0)),IF($A45&lt;=2000,1000*INDEX('SALA 2002'!$B:$U,MATCH($A45,'SALA 2002'!$A:$A,0),MATCH(J$1,'SALA 2002'!$B$1:$U$1,0))*POWER(INDEX('WPP 2024 середина года'!$B:$U,MATCH($A45,'WPP 2024 середина года'!$A:$A,0),MATCH(J$1,'WPP 2024 середина года'!$B$1:$U$1,0))/(1000*INDEX('SALA 2002'!$B:$U,MATCH($A45,'SALA 2002'!$A:$A,0),MATCH(J$1,'SALA 2002'!$B$1:$U$1,0))),($A45-1994)/7),INDEX('WPP 2024 середина года'!$B:$U,MATCH($A45,'WPP 2024 середина года'!$A:$A,0),MATCH(J$1,'WPP 2024 середина года'!$B$1:$U$1,0)))))</f>
        <v>2641</v>
      </c>
      <c r="K45" s="7">
        <f>IF($A45&lt;=1951,INDEX('SALA 1974'!$B:$U,MATCH($A45,'SALA 1974'!$A:$A,0),MATCH(K$1,'SALA 1974'!$B$1:$U$1,0)),IF($A45&lt;=1994,1000*INDEX('SALA 2002'!$B:$U,MATCH($A45,'SALA 2002'!$A:$A,0),MATCH(K$1,'SALA 2002'!$B$1:$U$1,0)),IF($A45&lt;=2000,1000*INDEX('SALA 2002'!$B:$U,MATCH($A45,'SALA 2002'!$A:$A,0),MATCH(K$1,'SALA 2002'!$B$1:$U$1,0))*POWER(INDEX('WPP 2024 середина года'!$B:$U,MATCH($A45,'WPP 2024 середина года'!$A:$A,0),MATCH(K$1,'WPP 2024 середина года'!$B$1:$U$1,0))/(1000*INDEX('SALA 2002'!$B:$U,MATCH($A45,'SALA 2002'!$A:$A,0),MATCH(K$1,'SALA 2002'!$B$1:$U$1,0))),($A45-1994)/7),INDEX('WPP 2024 середина года'!$B:$U,MATCH($A45,'WPP 2024 середина года'!$A:$A,0),MATCH(K$1,'WPP 2024 середина года'!$B$1:$U$1,0)))))</f>
        <v>1691</v>
      </c>
      <c r="L45" s="7">
        <f>IF($A45&lt;=1951,INDEX('SALA 1974'!$B:$U,MATCH($A45,'SALA 1974'!$A:$A,0),MATCH(L$1,'SALA 1974'!$B$1:$U$1,0)),IF($A45&lt;=1994,1000*INDEX('SALA 2002'!$B:$U,MATCH($A45,'SALA 2002'!$A:$A,0),MATCH(L$1,'SALA 2002'!$B$1:$U$1,0)),IF($A45&lt;=2000,1000*INDEX('SALA 2002'!$B:$U,MATCH($A45,'SALA 2002'!$A:$A,0),MATCH(L$1,'SALA 2002'!$B$1:$U$1,0))*POWER(INDEX('WPP 2024 середина года'!$B:$U,MATCH($A45,'WPP 2024 середина года'!$A:$A,0),MATCH(L$1,'WPP 2024 середина года'!$B$1:$U$1,0))/(1000*INDEX('SALA 2002'!$B:$U,MATCH($A45,'SALA 2002'!$A:$A,0),MATCH(L$1,'SALA 2002'!$B$1:$U$1,0))),($A45-1994)/7),INDEX('WPP 2024 середина года'!$B:$U,MATCH($A45,'WPP 2024 середина года'!$A:$A,0),MATCH(L$1,'WPP 2024 середина года'!$B$1:$U$1,0)))))</f>
        <v>2339</v>
      </c>
      <c r="M45" s="7">
        <f>IF($A45&lt;=1951,INDEX('SALA 1974'!$B:$U,MATCH($A45,'SALA 1974'!$A:$A,0),MATCH(M$1,'SALA 1974'!$B$1:$U$1,0)),IF($A45&lt;=1994,1000*INDEX('SALA 2002'!$B:$U,MATCH($A45,'SALA 2002'!$A:$A,0),MATCH(M$1,'SALA 2002'!$B$1:$U$1,0)),IF($A45&lt;=2000,1000*INDEX('SALA 2002'!$B:$U,MATCH($A45,'SALA 2002'!$A:$A,0),MATCH(M$1,'SALA 2002'!$B$1:$U$1,0))*POWER(INDEX('WPP 2024 середина года'!$B:$U,MATCH($A45,'WPP 2024 середина года'!$A:$A,0),MATCH(M$1,'WPP 2024 середина года'!$B$1:$U$1,0))/(1000*INDEX('SALA 2002'!$B:$U,MATCH($A45,'SALA 2002'!$A:$A,0),MATCH(M$1,'SALA 2002'!$B$1:$U$1,0))),($A45-1994)/7),INDEX('WPP 2024 середина года'!$B:$U,MATCH($A45,'WPP 2024 середина года'!$A:$A,0),MATCH(M$1,'WPP 2024 середина года'!$B$1:$U$1,0)))))</f>
        <v>2979</v>
      </c>
      <c r="N45" s="7">
        <f>IF($A45&lt;=1951,INDEX('SALA 1974'!$B:$U,MATCH($A45,'SALA 1974'!$A:$A,0),MATCH(N$1,'SALA 1974'!$B$1:$U$1,0)),IF($A45&lt;=1994,1000*INDEX('SALA 2002'!$B:$U,MATCH($A45,'SALA 2002'!$A:$A,0),MATCH(N$1,'SALA 2002'!$B$1:$U$1,0)),IF($A45&lt;=2000,1000*INDEX('SALA 2002'!$B:$U,MATCH($A45,'SALA 2002'!$A:$A,0),MATCH(N$1,'SALA 2002'!$B$1:$U$1,0))*POWER(INDEX('WPP 2024 середина года'!$B:$U,MATCH($A45,'WPP 2024 середина года'!$A:$A,0),MATCH(N$1,'WPP 2024 середина года'!$B$1:$U$1,0))/(1000*INDEX('SALA 2002'!$B:$U,MATCH($A45,'SALA 2002'!$A:$A,0),MATCH(N$1,'SALA 2002'!$B$1:$U$1,0))),($A45-1994)/7),INDEX('WPP 2024 середина года'!$B:$U,MATCH($A45,'WPP 2024 середина года'!$A:$A,0),MATCH(N$1,'WPP 2024 середина года'!$B$1:$U$1,0)))))</f>
        <v>1213</v>
      </c>
      <c r="O45" s="7">
        <f>IF($A45&lt;=1951,INDEX('SALA 1974'!$B:$U,MATCH($A45,'SALA 1974'!$A:$A,0),MATCH(O$1,'SALA 1974'!$B$1:$U$1,0)),IF($A45&lt;=1994,1000*INDEX('SALA 2002'!$B:$U,MATCH($A45,'SALA 2002'!$A:$A,0),MATCH(O$1,'SALA 2002'!$B$1:$U$1,0)),IF($A45&lt;=2000,1000*INDEX('SALA 2002'!$B:$U,MATCH($A45,'SALA 2002'!$A:$A,0),MATCH(O$1,'SALA 2002'!$B$1:$U$1,0))*POWER(INDEX('WPP 2024 середина года'!$B:$U,MATCH($A45,'WPP 2024 середина года'!$A:$A,0),MATCH(O$1,'WPP 2024 середина года'!$B$1:$U$1,0))/(1000*INDEX('SALA 2002'!$B:$U,MATCH($A45,'SALA 2002'!$A:$A,0),MATCH(O$1,'SALA 2002'!$B$1:$U$1,0))),($A45-1994)/7),INDEX('WPP 2024 середина года'!$B:$U,MATCH($A45,'WPP 2024 середина года'!$A:$A,0),MATCH(O$1,'WPP 2024 середина года'!$B$1:$U$1,0)))))</f>
        <v>21165</v>
      </c>
      <c r="P45" s="7">
        <f>IF($A45&lt;=1951,INDEX('SALA 1974'!$B:$U,MATCH($A45,'SALA 1974'!$A:$A,0),MATCH(P$1,'SALA 1974'!$B$1:$U$1,0)),IF($A45&lt;=1994,1000*INDEX('SALA 2002'!$B:$U,MATCH($A45,'SALA 2002'!$A:$A,0),MATCH(P$1,'SALA 2002'!$B$1:$U$1,0)),IF($A45&lt;=2000,1000*INDEX('SALA 2002'!$B:$U,MATCH($A45,'SALA 2002'!$A:$A,0),MATCH(P$1,'SALA 2002'!$B$1:$U$1,0))*POWER(INDEX('WPP 2024 середина года'!$B:$U,MATCH($A45,'WPP 2024 середина года'!$A:$A,0),MATCH(P$1,'WPP 2024 середина года'!$B$1:$U$1,0))/(1000*INDEX('SALA 2002'!$B:$U,MATCH($A45,'SALA 2002'!$A:$A,0),MATCH(P$1,'SALA 2002'!$B$1:$U$1,0))),($A45-1994)/7),INDEX('WPP 2024 середина года'!$B:$U,MATCH($A45,'WPP 2024 середина года'!$A:$A,0),MATCH(P$1,'WPP 2024 середина года'!$B$1:$U$1,0)))))</f>
        <v>880</v>
      </c>
      <c r="Q45" s="7">
        <f>IF($A45&lt;=1951,INDEX('SALA 1974'!$B:$U,MATCH($A45,'SALA 1974'!$A:$A,0),MATCH(Q$1,'SALA 1974'!$B$1:$U$1,0)),IF($A45&lt;=1994,1000*INDEX('SALA 2002'!$B:$U,MATCH($A45,'SALA 2002'!$A:$A,0),MATCH(Q$1,'SALA 2002'!$B$1:$U$1,0)),IF($A45&lt;=2000,1000*INDEX('SALA 2002'!$B:$U,MATCH($A45,'SALA 2002'!$A:$A,0),MATCH(Q$1,'SALA 2002'!$B$1:$U$1,0))*POWER(INDEX('WPP 2024 середина года'!$B:$U,MATCH($A45,'WPP 2024 середина года'!$A:$A,0),MATCH(Q$1,'WPP 2024 середина года'!$B$1:$U$1,0))/(1000*INDEX('SALA 2002'!$B:$U,MATCH($A45,'SALA 2002'!$A:$A,0),MATCH(Q$1,'SALA 2002'!$B$1:$U$1,0))),($A45-1994)/7),INDEX('WPP 2024 середина года'!$B:$U,MATCH($A45,'WPP 2024 середина года'!$A:$A,0),MATCH(Q$1,'WPP 2024 середина года'!$B$1:$U$1,0)))))</f>
        <v>669</v>
      </c>
      <c r="R45" s="7">
        <f>IF($A45&lt;=1951,INDEX('SALA 1974'!$B:$U,MATCH($A45,'SALA 1974'!$A:$A,0),MATCH(R$1,'SALA 1974'!$B$1:$U$1,0)),IF($A45&lt;=1994,1000*INDEX('SALA 2002'!$B:$U,MATCH($A45,'SALA 2002'!$A:$A,0),MATCH(R$1,'SALA 2002'!$B$1:$U$1,0)),IF($A45&lt;=2000,1000*INDEX('SALA 2002'!$B:$U,MATCH($A45,'SALA 2002'!$A:$A,0),MATCH(R$1,'SALA 2002'!$B$1:$U$1,0))*POWER(INDEX('WPP 2024 середина года'!$B:$U,MATCH($A45,'WPP 2024 середина года'!$A:$A,0),MATCH(R$1,'WPP 2024 середина года'!$B$1:$U$1,0))/(1000*INDEX('SALA 2002'!$B:$U,MATCH($A45,'SALA 2002'!$A:$A,0),MATCH(R$1,'SALA 2002'!$B$1:$U$1,0))),($A45-1994)/7),INDEX('WPP 2024 середина года'!$B:$U,MATCH($A45,'WPP 2024 середина года'!$A:$A,0),MATCH(R$1,'WPP 2024 середина года'!$B$1:$U$1,0)))))</f>
        <v>1191</v>
      </c>
      <c r="S45" s="7">
        <f>IF($A45&lt;=1951,INDEX('SALA 1974'!$B:$U,MATCH($A45,'SALA 1974'!$A:$A,0),MATCH(S$1,'SALA 1974'!$B$1:$U$1,0)),IF($A45&lt;=1994,1000*INDEX('SALA 2002'!$B:$U,MATCH($A45,'SALA 2002'!$A:$A,0),MATCH(S$1,'SALA 2002'!$B$1:$U$1,0)),IF($A45&lt;=2000,1000*INDEX('SALA 2002'!$B:$U,MATCH($A45,'SALA 2002'!$A:$A,0),MATCH(S$1,'SALA 2002'!$B$1:$U$1,0))*POWER(INDEX('WPP 2024 середина года'!$B:$U,MATCH($A45,'WPP 2024 середина года'!$A:$A,0),MATCH(S$1,'WPP 2024 середина года'!$B$1:$U$1,0))/(1000*INDEX('SALA 2002'!$B:$U,MATCH($A45,'SALA 2002'!$A:$A,0),MATCH(S$1,'SALA 2002'!$B$1:$U$1,0))),($A45-1994)/7),INDEX('WPP 2024 середина года'!$B:$U,MATCH($A45,'WPP 2024 середина года'!$A:$A,0),MATCH(S$1,'WPP 2024 середина года'!$B$1:$U$1,0)))))</f>
        <v>7035</v>
      </c>
      <c r="T45" s="7">
        <f>IF($A45&lt;=1951,INDEX('SALA 1974'!$B:$U,MATCH($A45,'SALA 1974'!$A:$A,0),MATCH(T$1,'SALA 1974'!$B$1:$U$1,0)),IF($A45&lt;=1994,1000*INDEX('SALA 2002'!$B:$U,MATCH($A45,'SALA 2002'!$A:$A,0),MATCH(T$1,'SALA 2002'!$B$1:$U$1,0)),IF($A45&lt;=2000,1000*INDEX('SALA 2002'!$B:$U,MATCH($A45,'SALA 2002'!$A:$A,0),MATCH(T$1,'SALA 2002'!$B$1:$U$1,0))*POWER(INDEX('WPP 2024 середина года'!$B:$U,MATCH($A45,'WPP 2024 середина года'!$A:$A,0),MATCH(T$1,'WPP 2024 середина года'!$B$1:$U$1,0))/(1000*INDEX('SALA 2002'!$B:$U,MATCH($A45,'SALA 2002'!$A:$A,0),MATCH(T$1,'SALA 2002'!$B$1:$U$1,0))),($A45-1994)/7),INDEX('WPP 2024 середина года'!$B:$U,MATCH($A45,'WPP 2024 середина года'!$A:$A,0),MATCH(T$1,'WPP 2024 середина года'!$B$1:$U$1,0)))))</f>
        <v>2034</v>
      </c>
      <c r="U45" s="7">
        <f>IF($A45&lt;=1951,INDEX('SALA 1974'!$B:$U,MATCH($A45,'SALA 1974'!$A:$A,0),MATCH(U$1,'SALA 1974'!$B$1:$U$1,0)),IF($A45&lt;=1994,1000*INDEX('SALA 2002'!$B:$U,MATCH($A45,'SALA 2002'!$A:$A,0),MATCH(U$1,'SALA 2002'!$B$1:$U$1,0)),IF($A45&lt;=2000,1000*INDEX('SALA 2002'!$B:$U,MATCH($A45,'SALA 2002'!$A:$A,0),MATCH(U$1,'SALA 2002'!$B$1:$U$1,0))*POWER(INDEX('WPP 2024 середина года'!$B:$U,MATCH($A45,'WPP 2024 середина года'!$A:$A,0),MATCH(U$1,'WPP 2024 середина года'!$B$1:$U$1,0))/(1000*INDEX('SALA 2002'!$B:$U,MATCH($A45,'SALA 2002'!$A:$A,0),MATCH(U$1,'SALA 2002'!$B$1:$U$1,0))),($A45-1994)/7),INDEX('WPP 2024 середина года'!$B:$U,MATCH($A45,'WPP 2024 середина года'!$A:$A,0),MATCH(U$1,'WPP 2024 середина года'!$B$1:$U$1,0)))))</f>
        <v>4028</v>
      </c>
    </row>
    <row r="46" spans="1:21" x14ac:dyDescent="0.25">
      <c r="A46" s="5">
        <f t="shared" si="0"/>
        <v>1944</v>
      </c>
      <c r="B46" s="7">
        <f>IF($A46&lt;=1951,INDEX('SALA 1974'!$B:$U,MATCH($A46,'SALA 1974'!$A:$A,0),MATCH(B$1,'SALA 1974'!$B$1:$U$1,0)),IF($A46&lt;=1994,1000*INDEX('SALA 2002'!$B:$U,MATCH($A46,'SALA 2002'!$A:$A,0),MATCH(B$1,'SALA 2002'!$B$1:$U$1,0)),IF($A46&lt;=2000,1000*INDEX('SALA 2002'!$B:$U,MATCH($A46,'SALA 2002'!$A:$A,0),MATCH(B$1,'SALA 2002'!$B$1:$U$1,0))*POWER(INDEX('WPP 2024 середина года'!$B:$U,MATCH($A46,'WPP 2024 середина года'!$A:$A,0),MATCH(B$1,'WPP 2024 середина года'!$B$1:$U$1,0))/(1000*INDEX('SALA 2002'!$B:$U,MATCH($A46,'SALA 2002'!$A:$A,0),MATCH(B$1,'SALA 2002'!$B$1:$U$1,0))),($A46-1994)/7),INDEX('WPP 2024 середина года'!$B:$U,MATCH($A46,'WPP 2024 середина года'!$A:$A,0),MATCH(B$1,'WPP 2024 середина года'!$B$1:$U$1,0)))))</f>
        <v>15130</v>
      </c>
      <c r="C46" s="7">
        <f>IF($A46&lt;=1951,INDEX('SALA 1974'!$B:$U,MATCH($A46,'SALA 1974'!$A:$A,0),MATCH(C$1,'SALA 1974'!$B$1:$U$1,0)),IF($A46&lt;=1994,1000*INDEX('SALA 2002'!$B:$U,MATCH($A46,'SALA 2002'!$A:$A,0),MATCH(C$1,'SALA 2002'!$B$1:$U$1,0)),IF($A46&lt;=2000,1000*INDEX('SALA 2002'!$B:$U,MATCH($A46,'SALA 2002'!$A:$A,0),MATCH(C$1,'SALA 2002'!$B$1:$U$1,0))*POWER(INDEX('WPP 2024 середина года'!$B:$U,MATCH($A46,'WPP 2024 середина года'!$A:$A,0),MATCH(C$1,'WPP 2024 середина года'!$B$1:$U$1,0))/(1000*INDEX('SALA 2002'!$B:$U,MATCH($A46,'SALA 2002'!$A:$A,0),MATCH(C$1,'SALA 2002'!$B$1:$U$1,0))),($A46-1994)/7),INDEX('WPP 2024 середина года'!$B:$U,MATCH($A46,'WPP 2024 середина года'!$A:$A,0),MATCH(C$1,'WPP 2024 середина года'!$B$1:$U$1,0)))))</f>
        <v>2817</v>
      </c>
      <c r="D46" s="7">
        <f>IF($A46&lt;=1951,INDEX('SALA 1974'!$B:$U,MATCH($A46,'SALA 1974'!$A:$A,0),MATCH(D$1,'SALA 1974'!$B$1:$U$1,0)),IF($A46&lt;=1994,1000*INDEX('SALA 2002'!$B:$U,MATCH($A46,'SALA 2002'!$A:$A,0),MATCH(D$1,'SALA 2002'!$B$1:$U$1,0)),IF($A46&lt;=2000,1000*INDEX('SALA 2002'!$B:$U,MATCH($A46,'SALA 2002'!$A:$A,0),MATCH(D$1,'SALA 2002'!$B$1:$U$1,0))*POWER(INDEX('WPP 2024 середина года'!$B:$U,MATCH($A46,'WPP 2024 середина года'!$A:$A,0),MATCH(D$1,'WPP 2024 середина года'!$B$1:$U$1,0))/(1000*INDEX('SALA 2002'!$B:$U,MATCH($A46,'SALA 2002'!$A:$A,0),MATCH(D$1,'SALA 2002'!$B$1:$U$1,0))),($A46-1994)/7),INDEX('WPP 2024 середина года'!$B:$U,MATCH($A46,'WPP 2024 середина года'!$A:$A,0),MATCH(D$1,'WPP 2024 середина года'!$B$1:$U$1,0)))))</f>
        <v>44842</v>
      </c>
      <c r="E46" s="7">
        <f>IF($A46&lt;=1951,INDEX('SALA 1974'!$B:$U,MATCH($A46,'SALA 1974'!$A:$A,0),MATCH(E$1,'SALA 1974'!$B$1:$U$1,0)),IF($A46&lt;=1994,1000*INDEX('SALA 2002'!$B:$U,MATCH($A46,'SALA 2002'!$A:$A,0),MATCH(E$1,'SALA 2002'!$B$1:$U$1,0)),IF($A46&lt;=2000,1000*INDEX('SALA 2002'!$B:$U,MATCH($A46,'SALA 2002'!$A:$A,0),MATCH(E$1,'SALA 2002'!$B$1:$U$1,0))*POWER(INDEX('WPP 2024 середина года'!$B:$U,MATCH($A46,'WPP 2024 середина года'!$A:$A,0),MATCH(E$1,'WPP 2024 середина года'!$B$1:$U$1,0))/(1000*INDEX('SALA 2002'!$B:$U,MATCH($A46,'SALA 2002'!$A:$A,0),MATCH(E$1,'SALA 2002'!$B$1:$U$1,0))),($A46-1994)/7),INDEX('WPP 2024 середина года'!$B:$U,MATCH($A46,'WPP 2024 середина года'!$A:$A,0),MATCH(E$1,'WPP 2024 середина года'!$B$1:$U$1,0)))))</f>
        <v>5440</v>
      </c>
      <c r="F46" s="7">
        <f>IF($A46&lt;=1947,INDEX('SALA 1974'!$B:$U,MATCH($A46,'SALA 1974'!$A:$A,0),MATCH(F$1,'SALA 1974'!$B$1:$U$1,0)),IF($A46&lt;=1994,1000*INDEX('SALA 2002'!$B:$U,MATCH($A46,'SALA 2002'!$A:$A,0),MATCH(F$1,'SALA 2002'!$B$1:$U$1,0)),IF($A46&lt;=2000,1000*INDEX('SALA 2002'!$B:$U,MATCH($A46,'SALA 2002'!$A:$A,0),MATCH(F$1,'SALA 2002'!$B$1:$U$1,0))*POWER(INDEX('WPP 2024 середина года'!$B:$U,MATCH($A46,'WPP 2024 середина года'!$A:$A,0),MATCH(F$1,'WPP 2024 середина года'!$B$1:$U$1,0))/(1000*INDEX('SALA 2002'!$B:$U,MATCH($A46,'SALA 2002'!$A:$A,0),MATCH(F$1,'SALA 2002'!$B$1:$U$1,0))),($A46-1994)/7),INDEX('WPP 2024 середина года'!$B:$U,MATCH($A46,'WPP 2024 середина года'!$A:$A,0),MATCH(F$1,'WPP 2024 середина года'!$B$1:$U$1,0)))))</f>
        <v>10016</v>
      </c>
      <c r="G46" s="7">
        <f>IF($A46&lt;=1951,INDEX('SALA 1974'!$B:$U,MATCH($A46,'SALA 1974'!$A:$A,0),MATCH(G$1,'SALA 1974'!$B$1:$U$1,0)),IF($A46&lt;=1994,1000*INDEX('SALA 2002'!$B:$U,MATCH($A46,'SALA 2002'!$A:$A,0),MATCH(G$1,'SALA 2002'!$B$1:$U$1,0)),IF($A46&lt;=2000,1000*INDEX('SALA 2002'!$B:$U,MATCH($A46,'SALA 2002'!$A:$A,0),MATCH(G$1,'SALA 2002'!$B$1:$U$1,0))*POWER(INDEX('WPP 2024 середина года'!$B:$U,MATCH($A46,'WPP 2024 середина года'!$A:$A,0),MATCH(G$1,'WPP 2024 середина года'!$B$1:$U$1,0))/(1000*INDEX('SALA 2002'!$B:$U,MATCH($A46,'SALA 2002'!$A:$A,0),MATCH(G$1,'SALA 2002'!$B$1:$U$1,0))),($A46-1994)/7),INDEX('WPP 2024 середина года'!$B:$U,MATCH($A46,'WPP 2024 середина года'!$A:$A,0),MATCH(G$1,'WPP 2024 середина года'!$B$1:$U$1,0)))))</f>
        <v>677</v>
      </c>
      <c r="H46" s="7">
        <f>IF($A46&lt;=1951,INDEX('SALA 1974'!$B:$U,MATCH($A46,'SALA 1974'!$A:$A,0),MATCH(H$1,'SALA 1974'!$B$1:$U$1,0)),IF($A46&lt;=1994,1000*INDEX('SALA 2002'!$B:$U,MATCH($A46,'SALA 2002'!$A:$A,0),MATCH(H$1,'SALA 2002'!$B$1:$U$1,0)),IF($A46&lt;=2000,1000*INDEX('SALA 2002'!$B:$U,MATCH($A46,'SALA 2002'!$A:$A,0),MATCH(H$1,'SALA 2002'!$B$1:$U$1,0))*POWER(INDEX('WPP 2024 середина года'!$B:$U,MATCH($A46,'WPP 2024 середина года'!$A:$A,0),MATCH(H$1,'WPP 2024 середина года'!$B$1:$U$1,0))/(1000*INDEX('SALA 2002'!$B:$U,MATCH($A46,'SALA 2002'!$A:$A,0),MATCH(H$1,'SALA 2002'!$B$1:$U$1,0))),($A46-1994)/7),INDEX('WPP 2024 середина года'!$B:$U,MATCH($A46,'WPP 2024 середина года'!$A:$A,0),MATCH(H$1,'WPP 2024 середина года'!$B$1:$U$1,0)))))</f>
        <v>4849</v>
      </c>
      <c r="I46" s="7">
        <f>IF($A46&lt;=1951,INDEX('SALA 1974'!$B:$U,MATCH($A46,'SALA 1974'!$A:$A,0),MATCH(I$1,'SALA 1974'!$B$1:$U$1,0)),IF($A46&lt;=1994,1000*INDEX('SALA 2002'!$B:$U,MATCH($A46,'SALA 2002'!$A:$A,0),MATCH(I$1,'SALA 2002'!$B$1:$U$1,0)),IF($A46&lt;=2000,1000*INDEX('SALA 2002'!$B:$U,MATCH($A46,'SALA 2002'!$A:$A,0),MATCH(I$1,'SALA 2002'!$B$1:$U$1,0))*POWER(INDEX('WPP 2024 середина года'!$B:$U,MATCH($A46,'WPP 2024 середина года'!$A:$A,0),MATCH(I$1,'WPP 2024 середина года'!$B$1:$U$1,0))/(1000*INDEX('SALA 2002'!$B:$U,MATCH($A46,'SALA 2002'!$A:$A,0),MATCH(I$1,'SALA 2002'!$B$1:$U$1,0))),($A46-1994)/7),INDEX('WPP 2024 середина года'!$B:$U,MATCH($A46,'WPP 2024 середина года'!$A:$A,0),MATCH(I$1,'WPP 2024 середина года'!$B$1:$U$1,0)))))</f>
        <v>1934</v>
      </c>
      <c r="J46" s="7">
        <f>IF($A46&lt;=1951,INDEX('SALA 1974'!$B:$U,MATCH($A46,'SALA 1974'!$A:$A,0),MATCH(J$1,'SALA 1974'!$B$1:$U$1,0)),IF($A46&lt;=1994,1000*INDEX('SALA 2002'!$B:$U,MATCH($A46,'SALA 2002'!$A:$A,0),MATCH(J$1,'SALA 2002'!$B$1:$U$1,0)),IF($A46&lt;=2000,1000*INDEX('SALA 2002'!$B:$U,MATCH($A46,'SALA 2002'!$A:$A,0),MATCH(J$1,'SALA 2002'!$B$1:$U$1,0))*POWER(INDEX('WPP 2024 середина года'!$B:$U,MATCH($A46,'WPP 2024 середина года'!$A:$A,0),MATCH(J$1,'WPP 2024 середина года'!$B$1:$U$1,0))/(1000*INDEX('SALA 2002'!$B:$U,MATCH($A46,'SALA 2002'!$A:$A,0),MATCH(J$1,'SALA 2002'!$B$1:$U$1,0))),($A46-1994)/7),INDEX('WPP 2024 середина года'!$B:$U,MATCH($A46,'WPP 2024 середина года'!$A:$A,0),MATCH(J$1,'WPP 2024 середина года'!$B$1:$U$1,0)))))</f>
        <v>2712</v>
      </c>
      <c r="K46" s="7">
        <f>IF($A46&lt;=1951,INDEX('SALA 1974'!$B:$U,MATCH($A46,'SALA 1974'!$A:$A,0),MATCH(K$1,'SALA 1974'!$B$1:$U$1,0)),IF($A46&lt;=1994,1000*INDEX('SALA 2002'!$B:$U,MATCH($A46,'SALA 2002'!$A:$A,0),MATCH(K$1,'SALA 2002'!$B$1:$U$1,0)),IF($A46&lt;=2000,1000*INDEX('SALA 2002'!$B:$U,MATCH($A46,'SALA 2002'!$A:$A,0),MATCH(K$1,'SALA 2002'!$B$1:$U$1,0))*POWER(INDEX('WPP 2024 середина года'!$B:$U,MATCH($A46,'WPP 2024 середина года'!$A:$A,0),MATCH(K$1,'WPP 2024 середина года'!$B$1:$U$1,0))/(1000*INDEX('SALA 2002'!$B:$U,MATCH($A46,'SALA 2002'!$A:$A,0),MATCH(K$1,'SALA 2002'!$B$1:$U$1,0))),($A46-1994)/7),INDEX('WPP 2024 середина года'!$B:$U,MATCH($A46,'WPP 2024 середина года'!$A:$A,0),MATCH(K$1,'WPP 2024 середина года'!$B$1:$U$1,0)))))</f>
        <v>1719</v>
      </c>
      <c r="L46" s="7">
        <f>IF($A46&lt;=1951,INDEX('SALA 1974'!$B:$U,MATCH($A46,'SALA 1974'!$A:$A,0),MATCH(L$1,'SALA 1974'!$B$1:$U$1,0)),IF($A46&lt;=1994,1000*INDEX('SALA 2002'!$B:$U,MATCH($A46,'SALA 2002'!$A:$A,0),MATCH(L$1,'SALA 2002'!$B$1:$U$1,0)),IF($A46&lt;=2000,1000*INDEX('SALA 2002'!$B:$U,MATCH($A46,'SALA 2002'!$A:$A,0),MATCH(L$1,'SALA 2002'!$B$1:$U$1,0))*POWER(INDEX('WPP 2024 середина года'!$B:$U,MATCH($A46,'WPP 2024 середина года'!$A:$A,0),MATCH(L$1,'WPP 2024 середина года'!$B$1:$U$1,0))/(1000*INDEX('SALA 2002'!$B:$U,MATCH($A46,'SALA 2002'!$A:$A,0),MATCH(L$1,'SALA 2002'!$B$1:$U$1,0))),($A46-1994)/7),INDEX('WPP 2024 середина года'!$B:$U,MATCH($A46,'WPP 2024 середина года'!$A:$A,0),MATCH(L$1,'WPP 2024 середина года'!$B$1:$U$1,0)))))</f>
        <v>2384</v>
      </c>
      <c r="M46" s="7">
        <f>IF($A46&lt;=1951,INDEX('SALA 1974'!$B:$U,MATCH($A46,'SALA 1974'!$A:$A,0),MATCH(M$1,'SALA 1974'!$B$1:$U$1,0)),IF($A46&lt;=1994,1000*INDEX('SALA 2002'!$B:$U,MATCH($A46,'SALA 2002'!$A:$A,0),MATCH(M$1,'SALA 2002'!$B$1:$U$1,0)),IF($A46&lt;=2000,1000*INDEX('SALA 2002'!$B:$U,MATCH($A46,'SALA 2002'!$A:$A,0),MATCH(M$1,'SALA 2002'!$B$1:$U$1,0))*POWER(INDEX('WPP 2024 середина года'!$B:$U,MATCH($A46,'WPP 2024 середина года'!$A:$A,0),MATCH(M$1,'WPP 2024 середина года'!$B$1:$U$1,0))/(1000*INDEX('SALA 2002'!$B:$U,MATCH($A46,'SALA 2002'!$A:$A,0),MATCH(M$1,'SALA 2002'!$B$1:$U$1,0))),($A46-1994)/7),INDEX('WPP 2024 середина года'!$B:$U,MATCH($A46,'WPP 2024 середина года'!$A:$A,0),MATCH(M$1,'WPP 2024 середина года'!$B$1:$U$1,0)))))</f>
        <v>3032</v>
      </c>
      <c r="N46" s="7">
        <f>IF($A46&lt;=1951,INDEX('SALA 1974'!$B:$U,MATCH($A46,'SALA 1974'!$A:$A,0),MATCH(N$1,'SALA 1974'!$B$1:$U$1,0)),IF($A46&lt;=1994,1000*INDEX('SALA 2002'!$B:$U,MATCH($A46,'SALA 2002'!$A:$A,0),MATCH(N$1,'SALA 2002'!$B$1:$U$1,0)),IF($A46&lt;=2000,1000*INDEX('SALA 2002'!$B:$U,MATCH($A46,'SALA 2002'!$A:$A,0),MATCH(N$1,'SALA 2002'!$B$1:$U$1,0))*POWER(INDEX('WPP 2024 середина года'!$B:$U,MATCH($A46,'WPP 2024 середина года'!$A:$A,0),MATCH(N$1,'WPP 2024 середина года'!$B$1:$U$1,0))/(1000*INDEX('SALA 2002'!$B:$U,MATCH($A46,'SALA 2002'!$A:$A,0),MATCH(N$1,'SALA 2002'!$B$1:$U$1,0))),($A46-1994)/7),INDEX('WPP 2024 середина года'!$B:$U,MATCH($A46,'WPP 2024 середина года'!$A:$A,0),MATCH(N$1,'WPP 2024 середина года'!$B$1:$U$1,0)))))</f>
        <v>1237</v>
      </c>
      <c r="O46" s="7">
        <f>IF($A46&lt;=1951,INDEX('SALA 1974'!$B:$U,MATCH($A46,'SALA 1974'!$A:$A,0),MATCH(O$1,'SALA 1974'!$B$1:$U$1,0)),IF($A46&lt;=1994,1000*INDEX('SALA 2002'!$B:$U,MATCH($A46,'SALA 2002'!$A:$A,0),MATCH(O$1,'SALA 2002'!$B$1:$U$1,0)),IF($A46&lt;=2000,1000*INDEX('SALA 2002'!$B:$U,MATCH($A46,'SALA 2002'!$A:$A,0),MATCH(O$1,'SALA 2002'!$B$1:$U$1,0))*POWER(INDEX('WPP 2024 середина года'!$B:$U,MATCH($A46,'WPP 2024 середина года'!$A:$A,0),MATCH(O$1,'WPP 2024 середина года'!$B$1:$U$1,0))/(1000*INDEX('SALA 2002'!$B:$U,MATCH($A46,'SALA 2002'!$A:$A,0),MATCH(O$1,'SALA 2002'!$B$1:$U$1,0))),($A46-1994)/7),INDEX('WPP 2024 середина года'!$B:$U,MATCH($A46,'WPP 2024 середина года'!$A:$A,0),MATCH(O$1,'WPP 2024 середина года'!$B$1:$U$1,0)))))</f>
        <v>21674</v>
      </c>
      <c r="P46" s="7">
        <f>IF($A46&lt;=1951,INDEX('SALA 1974'!$B:$U,MATCH($A46,'SALA 1974'!$A:$A,0),MATCH(P$1,'SALA 1974'!$B$1:$U$1,0)),IF($A46&lt;=1994,1000*INDEX('SALA 2002'!$B:$U,MATCH($A46,'SALA 2002'!$A:$A,0),MATCH(P$1,'SALA 2002'!$B$1:$U$1,0)),IF($A46&lt;=2000,1000*INDEX('SALA 2002'!$B:$U,MATCH($A46,'SALA 2002'!$A:$A,0),MATCH(P$1,'SALA 2002'!$B$1:$U$1,0))*POWER(INDEX('WPP 2024 середина года'!$B:$U,MATCH($A46,'WPP 2024 середина года'!$A:$A,0),MATCH(P$1,'WPP 2024 середина года'!$B$1:$U$1,0))/(1000*INDEX('SALA 2002'!$B:$U,MATCH($A46,'SALA 2002'!$A:$A,0),MATCH(P$1,'SALA 2002'!$B$1:$U$1,0))),($A46-1994)/7),INDEX('WPP 2024 середина года'!$B:$U,MATCH($A46,'WPP 2024 середина года'!$A:$A,0),MATCH(P$1,'WPP 2024 середина года'!$B$1:$U$1,0)))))</f>
        <v>900</v>
      </c>
      <c r="Q46" s="7">
        <f>IF($A46&lt;=1951,INDEX('SALA 1974'!$B:$U,MATCH($A46,'SALA 1974'!$A:$A,0),MATCH(Q$1,'SALA 1974'!$B$1:$U$1,0)),IF($A46&lt;=1994,1000*INDEX('SALA 2002'!$B:$U,MATCH($A46,'SALA 2002'!$A:$A,0),MATCH(Q$1,'SALA 2002'!$B$1:$U$1,0)),IF($A46&lt;=2000,1000*INDEX('SALA 2002'!$B:$U,MATCH($A46,'SALA 2002'!$A:$A,0),MATCH(Q$1,'SALA 2002'!$B$1:$U$1,0))*POWER(INDEX('WPP 2024 середина года'!$B:$U,MATCH($A46,'WPP 2024 середина года'!$A:$A,0),MATCH(Q$1,'WPP 2024 середина года'!$B$1:$U$1,0))/(1000*INDEX('SALA 2002'!$B:$U,MATCH($A46,'SALA 2002'!$A:$A,0),MATCH(Q$1,'SALA 2002'!$B$1:$U$1,0))),($A46-1994)/7),INDEX('WPP 2024 середина года'!$B:$U,MATCH($A46,'WPP 2024 середина года'!$A:$A,0),MATCH(Q$1,'WPP 2024 середина года'!$B$1:$U$1,0)))))</f>
        <v>685</v>
      </c>
      <c r="R46" s="7">
        <f>IF($A46&lt;=1951,INDEX('SALA 1974'!$B:$U,MATCH($A46,'SALA 1974'!$A:$A,0),MATCH(R$1,'SALA 1974'!$B$1:$U$1,0)),IF($A46&lt;=1994,1000*INDEX('SALA 2002'!$B:$U,MATCH($A46,'SALA 2002'!$A:$A,0),MATCH(R$1,'SALA 2002'!$B$1:$U$1,0)),IF($A46&lt;=2000,1000*INDEX('SALA 2002'!$B:$U,MATCH($A46,'SALA 2002'!$A:$A,0),MATCH(R$1,'SALA 2002'!$B$1:$U$1,0))*POWER(INDEX('WPP 2024 середина года'!$B:$U,MATCH($A46,'WPP 2024 середина года'!$A:$A,0),MATCH(R$1,'WPP 2024 середина года'!$B$1:$U$1,0))/(1000*INDEX('SALA 2002'!$B:$U,MATCH($A46,'SALA 2002'!$A:$A,0),MATCH(R$1,'SALA 2002'!$B$1:$U$1,0))),($A46-1994)/7),INDEX('WPP 2024 середина года'!$B:$U,MATCH($A46,'WPP 2024 середина года'!$A:$A,0),MATCH(R$1,'WPP 2024 середина года'!$B$1:$U$1,0)))))</f>
        <v>1219</v>
      </c>
      <c r="S46" s="7">
        <f>IF($A46&lt;=1951,INDEX('SALA 1974'!$B:$U,MATCH($A46,'SALA 1974'!$A:$A,0),MATCH(S$1,'SALA 1974'!$B$1:$U$1,0)),IF($A46&lt;=1994,1000*INDEX('SALA 2002'!$B:$U,MATCH($A46,'SALA 2002'!$A:$A,0),MATCH(S$1,'SALA 2002'!$B$1:$U$1,0)),IF($A46&lt;=2000,1000*INDEX('SALA 2002'!$B:$U,MATCH($A46,'SALA 2002'!$A:$A,0),MATCH(S$1,'SALA 2002'!$B$1:$U$1,0))*POWER(INDEX('WPP 2024 середина года'!$B:$U,MATCH($A46,'WPP 2024 середина года'!$A:$A,0),MATCH(S$1,'WPP 2024 середина года'!$B$1:$U$1,0))/(1000*INDEX('SALA 2002'!$B:$U,MATCH($A46,'SALA 2002'!$A:$A,0),MATCH(S$1,'SALA 2002'!$B$1:$U$1,0))),($A46-1994)/7),INDEX('WPP 2024 середина года'!$B:$U,MATCH($A46,'WPP 2024 середина года'!$A:$A,0),MATCH(S$1,'WPP 2024 середина года'!$B$1:$U$1,0)))))</f>
        <v>7159</v>
      </c>
      <c r="T46" s="7">
        <f>IF($A46&lt;=1951,INDEX('SALA 1974'!$B:$U,MATCH($A46,'SALA 1974'!$A:$A,0),MATCH(T$1,'SALA 1974'!$B$1:$U$1,0)),IF($A46&lt;=1994,1000*INDEX('SALA 2002'!$B:$U,MATCH($A46,'SALA 2002'!$A:$A,0),MATCH(T$1,'SALA 2002'!$B$1:$U$1,0)),IF($A46&lt;=2000,1000*INDEX('SALA 2002'!$B:$U,MATCH($A46,'SALA 2002'!$A:$A,0),MATCH(T$1,'SALA 2002'!$B$1:$U$1,0))*POWER(INDEX('WPP 2024 середина года'!$B:$U,MATCH($A46,'WPP 2024 середина года'!$A:$A,0),MATCH(T$1,'WPP 2024 середина года'!$B$1:$U$1,0))/(1000*INDEX('SALA 2002'!$B:$U,MATCH($A46,'SALA 2002'!$A:$A,0),MATCH(T$1,'SALA 2002'!$B$1:$U$1,0))),($A46-1994)/7),INDEX('WPP 2024 середина года'!$B:$U,MATCH($A46,'WPP 2024 середина года'!$A:$A,0),MATCH(T$1,'WPP 2024 середина года'!$B$1:$U$1,0)))))</f>
        <v>2055</v>
      </c>
      <c r="U46" s="7">
        <f>IF($A46&lt;=1951,INDEX('SALA 1974'!$B:$U,MATCH($A46,'SALA 1974'!$A:$A,0),MATCH(U$1,'SALA 1974'!$B$1:$U$1,0)),IF($A46&lt;=1994,1000*INDEX('SALA 2002'!$B:$U,MATCH($A46,'SALA 2002'!$A:$A,0),MATCH(U$1,'SALA 2002'!$B$1:$U$1,0)),IF($A46&lt;=2000,1000*INDEX('SALA 2002'!$B:$U,MATCH($A46,'SALA 2002'!$A:$A,0),MATCH(U$1,'SALA 2002'!$B$1:$U$1,0))*POWER(INDEX('WPP 2024 середина года'!$B:$U,MATCH($A46,'WPP 2024 середина года'!$A:$A,0),MATCH(U$1,'WPP 2024 середина года'!$B$1:$U$1,0))/(1000*INDEX('SALA 2002'!$B:$U,MATCH($A46,'SALA 2002'!$A:$A,0),MATCH(U$1,'SALA 2002'!$B$1:$U$1,0))),($A46-1994)/7),INDEX('WPP 2024 середина года'!$B:$U,MATCH($A46,'WPP 2024 середина года'!$A:$A,0),MATCH(U$1,'WPP 2024 середина года'!$B$1:$U$1,0)))))</f>
        <v>4146</v>
      </c>
    </row>
    <row r="47" spans="1:21" x14ac:dyDescent="0.25">
      <c r="A47" s="5">
        <f t="shared" si="0"/>
        <v>1945</v>
      </c>
      <c r="B47" s="7">
        <f>IF($A47&lt;=1951,INDEX('SALA 1974'!$B:$U,MATCH($A47,'SALA 1974'!$A:$A,0),MATCH(B$1,'SALA 1974'!$B$1:$U$1,0)),IF($A47&lt;=1994,1000*INDEX('SALA 2002'!$B:$U,MATCH($A47,'SALA 2002'!$A:$A,0),MATCH(B$1,'SALA 2002'!$B$1:$U$1,0)),IF($A47&lt;=2000,1000*INDEX('SALA 2002'!$B:$U,MATCH($A47,'SALA 2002'!$A:$A,0),MATCH(B$1,'SALA 2002'!$B$1:$U$1,0))*POWER(INDEX('WPP 2024 середина года'!$B:$U,MATCH($A47,'WPP 2024 середина года'!$A:$A,0),MATCH(B$1,'WPP 2024 середина года'!$B$1:$U$1,0))/(1000*INDEX('SALA 2002'!$B:$U,MATCH($A47,'SALA 2002'!$A:$A,0),MATCH(B$1,'SALA 2002'!$B$1:$U$1,0))),($A47-1994)/7),INDEX('WPP 2024 середина года'!$B:$U,MATCH($A47,'WPP 2024 середина года'!$A:$A,0),MATCH(B$1,'WPP 2024 середина года'!$B$1:$U$1,0)))))</f>
        <v>15390</v>
      </c>
      <c r="C47" s="7">
        <f>IF($A47&lt;=1951,INDEX('SALA 1974'!$B:$U,MATCH($A47,'SALA 1974'!$A:$A,0),MATCH(C$1,'SALA 1974'!$B$1:$U$1,0)),IF($A47&lt;=1994,1000*INDEX('SALA 2002'!$B:$U,MATCH($A47,'SALA 2002'!$A:$A,0),MATCH(C$1,'SALA 2002'!$B$1:$U$1,0)),IF($A47&lt;=2000,1000*INDEX('SALA 2002'!$B:$U,MATCH($A47,'SALA 2002'!$A:$A,0),MATCH(C$1,'SALA 2002'!$B$1:$U$1,0))*POWER(INDEX('WPP 2024 середина года'!$B:$U,MATCH($A47,'WPP 2024 середина года'!$A:$A,0),MATCH(C$1,'WPP 2024 середина года'!$B$1:$U$1,0))/(1000*INDEX('SALA 2002'!$B:$U,MATCH($A47,'SALA 2002'!$A:$A,0),MATCH(C$1,'SALA 2002'!$B$1:$U$1,0))),($A47-1994)/7),INDEX('WPP 2024 середина года'!$B:$U,MATCH($A47,'WPP 2024 середина года'!$A:$A,0),MATCH(C$1,'WPP 2024 середина года'!$B$1:$U$1,0)))))</f>
        <v>2850</v>
      </c>
      <c r="D47" s="7">
        <f>IF($A47&lt;=1951,INDEX('SALA 1974'!$B:$U,MATCH($A47,'SALA 1974'!$A:$A,0),MATCH(D$1,'SALA 1974'!$B$1:$U$1,0)),IF($A47&lt;=1994,1000*INDEX('SALA 2002'!$B:$U,MATCH($A47,'SALA 2002'!$A:$A,0),MATCH(D$1,'SALA 2002'!$B$1:$U$1,0)),IF($A47&lt;=2000,1000*INDEX('SALA 2002'!$B:$U,MATCH($A47,'SALA 2002'!$A:$A,0),MATCH(D$1,'SALA 2002'!$B$1:$U$1,0))*POWER(INDEX('WPP 2024 середина года'!$B:$U,MATCH($A47,'WPP 2024 середина года'!$A:$A,0),MATCH(D$1,'WPP 2024 середина года'!$B$1:$U$1,0))/(1000*INDEX('SALA 2002'!$B:$U,MATCH($A47,'SALA 2002'!$A:$A,0),MATCH(D$1,'SALA 2002'!$B$1:$U$1,0))),($A47-1994)/7),INDEX('WPP 2024 середина года'!$B:$U,MATCH($A47,'WPP 2024 середина года'!$A:$A,0),MATCH(D$1,'WPP 2024 середина года'!$B$1:$U$1,0)))))</f>
        <v>45860</v>
      </c>
      <c r="E47" s="7">
        <f>IF($A47&lt;=1951,INDEX('SALA 1974'!$B:$U,MATCH($A47,'SALA 1974'!$A:$A,0),MATCH(E$1,'SALA 1974'!$B$1:$U$1,0)),IF($A47&lt;=1994,1000*INDEX('SALA 2002'!$B:$U,MATCH($A47,'SALA 2002'!$A:$A,0),MATCH(E$1,'SALA 2002'!$B$1:$U$1,0)),IF($A47&lt;=2000,1000*INDEX('SALA 2002'!$B:$U,MATCH($A47,'SALA 2002'!$A:$A,0),MATCH(E$1,'SALA 2002'!$B$1:$U$1,0))*POWER(INDEX('WPP 2024 середина года'!$B:$U,MATCH($A47,'WPP 2024 середина года'!$A:$A,0),MATCH(E$1,'WPP 2024 середина года'!$B$1:$U$1,0))/(1000*INDEX('SALA 2002'!$B:$U,MATCH($A47,'SALA 2002'!$A:$A,0),MATCH(E$1,'SALA 2002'!$B$1:$U$1,0))),($A47-1994)/7),INDEX('WPP 2024 середина года'!$B:$U,MATCH($A47,'WPP 2024 середина года'!$A:$A,0),MATCH(E$1,'WPP 2024 середина года'!$B$1:$U$1,0)))))</f>
        <v>5541</v>
      </c>
      <c r="F47" s="7">
        <f>IF($A47&lt;=1947,INDEX('SALA 1974'!$B:$U,MATCH($A47,'SALA 1974'!$A:$A,0),MATCH(F$1,'SALA 1974'!$B$1:$U$1,0)),IF($A47&lt;=1994,1000*INDEX('SALA 2002'!$B:$U,MATCH($A47,'SALA 2002'!$A:$A,0),MATCH(F$1,'SALA 2002'!$B$1:$U$1,0)),IF($A47&lt;=2000,1000*INDEX('SALA 2002'!$B:$U,MATCH($A47,'SALA 2002'!$A:$A,0),MATCH(F$1,'SALA 2002'!$B$1:$U$1,0))*POWER(INDEX('WPP 2024 середина года'!$B:$U,MATCH($A47,'WPP 2024 середина года'!$A:$A,0),MATCH(F$1,'WPP 2024 середина года'!$B$1:$U$1,0))/(1000*INDEX('SALA 2002'!$B:$U,MATCH($A47,'SALA 2002'!$A:$A,0),MATCH(F$1,'SALA 2002'!$B$1:$U$1,0))),($A47-1994)/7),INDEX('WPP 2024 середина года'!$B:$U,MATCH($A47,'WPP 2024 середина года'!$A:$A,0),MATCH(F$1,'WPP 2024 середина года'!$B$1:$U$1,0)))))</f>
        <v>10267</v>
      </c>
      <c r="G47" s="7">
        <f>IF($A47&lt;=1951,INDEX('SALA 1974'!$B:$U,MATCH($A47,'SALA 1974'!$A:$A,0),MATCH(G$1,'SALA 1974'!$B$1:$U$1,0)),IF($A47&lt;=1994,1000*INDEX('SALA 2002'!$B:$U,MATCH($A47,'SALA 2002'!$A:$A,0),MATCH(G$1,'SALA 2002'!$B$1:$U$1,0)),IF($A47&lt;=2000,1000*INDEX('SALA 2002'!$B:$U,MATCH($A47,'SALA 2002'!$A:$A,0),MATCH(G$1,'SALA 2002'!$B$1:$U$1,0))*POWER(INDEX('WPP 2024 середина года'!$B:$U,MATCH($A47,'WPP 2024 середина года'!$A:$A,0),MATCH(G$1,'WPP 2024 середина года'!$B$1:$U$1,0))/(1000*INDEX('SALA 2002'!$B:$U,MATCH($A47,'SALA 2002'!$A:$A,0),MATCH(G$1,'SALA 2002'!$B$1:$U$1,0))),($A47-1994)/7),INDEX('WPP 2024 середина года'!$B:$U,MATCH($A47,'WPP 2024 середина года'!$A:$A,0),MATCH(G$1,'WPP 2024 середина года'!$B$1:$U$1,0)))))</f>
        <v>695</v>
      </c>
      <c r="H47" s="7">
        <f>IF($A47&lt;=1951,INDEX('SALA 1974'!$B:$U,MATCH($A47,'SALA 1974'!$A:$A,0),MATCH(H$1,'SALA 1974'!$B$1:$U$1,0)),IF($A47&lt;=1994,1000*INDEX('SALA 2002'!$B:$U,MATCH($A47,'SALA 2002'!$A:$A,0),MATCH(H$1,'SALA 2002'!$B$1:$U$1,0)),IF($A47&lt;=2000,1000*INDEX('SALA 2002'!$B:$U,MATCH($A47,'SALA 2002'!$A:$A,0),MATCH(H$1,'SALA 2002'!$B$1:$U$1,0))*POWER(INDEX('WPP 2024 середина года'!$B:$U,MATCH($A47,'WPP 2024 середина года'!$A:$A,0),MATCH(H$1,'WPP 2024 середина года'!$B$1:$U$1,0))/(1000*INDEX('SALA 2002'!$B:$U,MATCH($A47,'SALA 2002'!$A:$A,0),MATCH(H$1,'SALA 2002'!$B$1:$U$1,0))),($A47-1994)/7),INDEX('WPP 2024 середина года'!$B:$U,MATCH($A47,'WPP 2024 середина года'!$A:$A,0),MATCH(H$1,'WPP 2024 середина года'!$B$1:$U$1,0)))))</f>
        <v>4932</v>
      </c>
      <c r="I47" s="7">
        <f>IF($A47&lt;=1951,INDEX('SALA 1974'!$B:$U,MATCH($A47,'SALA 1974'!$A:$A,0),MATCH(I$1,'SALA 1974'!$B$1:$U$1,0)),IF($A47&lt;=1994,1000*INDEX('SALA 2002'!$B:$U,MATCH($A47,'SALA 2002'!$A:$A,0),MATCH(I$1,'SALA 2002'!$B$1:$U$1,0)),IF($A47&lt;=2000,1000*INDEX('SALA 2002'!$B:$U,MATCH($A47,'SALA 2002'!$A:$A,0),MATCH(I$1,'SALA 2002'!$B$1:$U$1,0))*POWER(INDEX('WPP 2024 середина года'!$B:$U,MATCH($A47,'WPP 2024 середина года'!$A:$A,0),MATCH(I$1,'WPP 2024 середина года'!$B$1:$U$1,0))/(1000*INDEX('SALA 2002'!$B:$U,MATCH($A47,'SALA 2002'!$A:$A,0),MATCH(I$1,'SALA 2002'!$B$1:$U$1,0))),($A47-1994)/7),INDEX('WPP 2024 середина года'!$B:$U,MATCH($A47,'WPP 2024 середина года'!$A:$A,0),MATCH(I$1,'WPP 2024 середина года'!$B$1:$U$1,0)))))</f>
        <v>1982</v>
      </c>
      <c r="J47" s="7">
        <f>IF($A47&lt;=1951,INDEX('SALA 1974'!$B:$U,MATCH($A47,'SALA 1974'!$A:$A,0),MATCH(J$1,'SALA 1974'!$B$1:$U$1,0)),IF($A47&lt;=1994,1000*INDEX('SALA 2002'!$B:$U,MATCH($A47,'SALA 2002'!$A:$A,0),MATCH(J$1,'SALA 2002'!$B$1:$U$1,0)),IF($A47&lt;=2000,1000*INDEX('SALA 2002'!$B:$U,MATCH($A47,'SALA 2002'!$A:$A,0),MATCH(J$1,'SALA 2002'!$B$1:$U$1,0))*POWER(INDEX('WPP 2024 середина года'!$B:$U,MATCH($A47,'WPP 2024 середина года'!$A:$A,0),MATCH(J$1,'WPP 2024 середина года'!$B$1:$U$1,0))/(1000*INDEX('SALA 2002'!$B:$U,MATCH($A47,'SALA 2002'!$A:$A,0),MATCH(J$1,'SALA 2002'!$B$1:$U$1,0))),($A47-1994)/7),INDEX('WPP 2024 середина года'!$B:$U,MATCH($A47,'WPP 2024 середина года'!$A:$A,0),MATCH(J$1,'WPP 2024 середина года'!$B$1:$U$1,0)))))</f>
        <v>2781</v>
      </c>
      <c r="K47" s="7">
        <f>IF($A47&lt;=1951,INDEX('SALA 1974'!$B:$U,MATCH($A47,'SALA 1974'!$A:$A,0),MATCH(K$1,'SALA 1974'!$B$1:$U$1,0)),IF($A47&lt;=1994,1000*INDEX('SALA 2002'!$B:$U,MATCH($A47,'SALA 2002'!$A:$A,0),MATCH(K$1,'SALA 2002'!$B$1:$U$1,0)),IF($A47&lt;=2000,1000*INDEX('SALA 2002'!$B:$U,MATCH($A47,'SALA 2002'!$A:$A,0),MATCH(K$1,'SALA 2002'!$B$1:$U$1,0))*POWER(INDEX('WPP 2024 середина года'!$B:$U,MATCH($A47,'WPP 2024 середина года'!$A:$A,0),MATCH(K$1,'WPP 2024 середина года'!$B$1:$U$1,0))/(1000*INDEX('SALA 2002'!$B:$U,MATCH($A47,'SALA 2002'!$A:$A,0),MATCH(K$1,'SALA 2002'!$B$1:$U$1,0))),($A47-1994)/7),INDEX('WPP 2024 середина года'!$B:$U,MATCH($A47,'WPP 2024 середина года'!$A:$A,0),MATCH(K$1,'WPP 2024 середина года'!$B$1:$U$1,0)))))</f>
        <v>1742</v>
      </c>
      <c r="L47" s="7">
        <f>IF($A47&lt;=1951,INDEX('SALA 1974'!$B:$U,MATCH($A47,'SALA 1974'!$A:$A,0),MATCH(L$1,'SALA 1974'!$B$1:$U$1,0)),IF($A47&lt;=1994,1000*INDEX('SALA 2002'!$B:$U,MATCH($A47,'SALA 2002'!$A:$A,0),MATCH(L$1,'SALA 2002'!$B$1:$U$1,0)),IF($A47&lt;=2000,1000*INDEX('SALA 2002'!$B:$U,MATCH($A47,'SALA 2002'!$A:$A,0),MATCH(L$1,'SALA 2002'!$B$1:$U$1,0))*POWER(INDEX('WPP 2024 середина года'!$B:$U,MATCH($A47,'WPP 2024 середина года'!$A:$A,0),MATCH(L$1,'WPP 2024 середина года'!$B$1:$U$1,0))/(1000*INDEX('SALA 2002'!$B:$U,MATCH($A47,'SALA 2002'!$A:$A,0),MATCH(L$1,'SALA 2002'!$B$1:$U$1,0))),($A47-1994)/7),INDEX('WPP 2024 середина года'!$B:$U,MATCH($A47,'WPP 2024 середина года'!$A:$A,0),MATCH(L$1,'WPP 2024 середина года'!$B$1:$U$1,0)))))</f>
        <v>2438</v>
      </c>
      <c r="M47" s="7">
        <f>IF($A47&lt;=1951,INDEX('SALA 1974'!$B:$U,MATCH($A47,'SALA 1974'!$A:$A,0),MATCH(M$1,'SALA 1974'!$B$1:$U$1,0)),IF($A47&lt;=1994,1000*INDEX('SALA 2002'!$B:$U,MATCH($A47,'SALA 2002'!$A:$A,0),MATCH(M$1,'SALA 2002'!$B$1:$U$1,0)),IF($A47&lt;=2000,1000*INDEX('SALA 2002'!$B:$U,MATCH($A47,'SALA 2002'!$A:$A,0),MATCH(M$1,'SALA 2002'!$B$1:$U$1,0))*POWER(INDEX('WPP 2024 середина года'!$B:$U,MATCH($A47,'WPP 2024 середина года'!$A:$A,0),MATCH(M$1,'WPP 2024 середина года'!$B$1:$U$1,0))/(1000*INDEX('SALA 2002'!$B:$U,MATCH($A47,'SALA 2002'!$A:$A,0),MATCH(M$1,'SALA 2002'!$B$1:$U$1,0))),($A47-1994)/7),INDEX('WPP 2024 середина года'!$B:$U,MATCH($A47,'WPP 2024 середина года'!$A:$A,0),MATCH(M$1,'WPP 2024 середина года'!$B$1:$U$1,0)))))</f>
        <v>3087</v>
      </c>
      <c r="N47" s="7">
        <f>IF($A47&lt;=1951,INDEX('SALA 1974'!$B:$U,MATCH($A47,'SALA 1974'!$A:$A,0),MATCH(N$1,'SALA 1974'!$B$1:$U$1,0)),IF($A47&lt;=1994,1000*INDEX('SALA 2002'!$B:$U,MATCH($A47,'SALA 2002'!$A:$A,0),MATCH(N$1,'SALA 2002'!$B$1:$U$1,0)),IF($A47&lt;=2000,1000*INDEX('SALA 2002'!$B:$U,MATCH($A47,'SALA 2002'!$A:$A,0),MATCH(N$1,'SALA 2002'!$B$1:$U$1,0))*POWER(INDEX('WPP 2024 середина года'!$B:$U,MATCH($A47,'WPP 2024 середина года'!$A:$A,0),MATCH(N$1,'WPP 2024 середина года'!$B$1:$U$1,0))/(1000*INDEX('SALA 2002'!$B:$U,MATCH($A47,'SALA 2002'!$A:$A,0),MATCH(N$1,'SALA 2002'!$B$1:$U$1,0))),($A47-1994)/7),INDEX('WPP 2024 середина года'!$B:$U,MATCH($A47,'WPP 2024 середина года'!$A:$A,0),MATCH(N$1,'WPP 2024 середина года'!$B$1:$U$1,0)))))</f>
        <v>1261</v>
      </c>
      <c r="O47" s="7">
        <f>IF($A47&lt;=1951,INDEX('SALA 1974'!$B:$U,MATCH($A47,'SALA 1974'!$A:$A,0),MATCH(O$1,'SALA 1974'!$B$1:$U$1,0)),IF($A47&lt;=1994,1000*INDEX('SALA 2002'!$B:$U,MATCH($A47,'SALA 2002'!$A:$A,0),MATCH(O$1,'SALA 2002'!$B$1:$U$1,0)),IF($A47&lt;=2000,1000*INDEX('SALA 2002'!$B:$U,MATCH($A47,'SALA 2002'!$A:$A,0),MATCH(O$1,'SALA 2002'!$B$1:$U$1,0))*POWER(INDEX('WPP 2024 середина года'!$B:$U,MATCH($A47,'WPP 2024 середина года'!$A:$A,0),MATCH(O$1,'WPP 2024 середина года'!$B$1:$U$1,0))/(1000*INDEX('SALA 2002'!$B:$U,MATCH($A47,'SALA 2002'!$A:$A,0),MATCH(O$1,'SALA 2002'!$B$1:$U$1,0))),($A47-1994)/7),INDEX('WPP 2024 середина года'!$B:$U,MATCH($A47,'WPP 2024 середина года'!$A:$A,0),MATCH(O$1,'WPP 2024 середина года'!$B$1:$U$1,0)))))</f>
        <v>22233</v>
      </c>
      <c r="P47" s="7">
        <f>IF($A47&lt;=1951,INDEX('SALA 1974'!$B:$U,MATCH($A47,'SALA 1974'!$A:$A,0),MATCH(P$1,'SALA 1974'!$B$1:$U$1,0)),IF($A47&lt;=1994,1000*INDEX('SALA 2002'!$B:$U,MATCH($A47,'SALA 2002'!$A:$A,0),MATCH(P$1,'SALA 2002'!$B$1:$U$1,0)),IF($A47&lt;=2000,1000*INDEX('SALA 2002'!$B:$U,MATCH($A47,'SALA 2002'!$A:$A,0),MATCH(P$1,'SALA 2002'!$B$1:$U$1,0))*POWER(INDEX('WPP 2024 середина года'!$B:$U,MATCH($A47,'WPP 2024 середина года'!$A:$A,0),MATCH(P$1,'WPP 2024 середина года'!$B$1:$U$1,0))/(1000*INDEX('SALA 2002'!$B:$U,MATCH($A47,'SALA 2002'!$A:$A,0),MATCH(P$1,'SALA 2002'!$B$1:$U$1,0))),($A47-1994)/7),INDEX('WPP 2024 середина года'!$B:$U,MATCH($A47,'WPP 2024 середина года'!$A:$A,0),MATCH(P$1,'WPP 2024 середина года'!$B$1:$U$1,0)))))</f>
        <v>923</v>
      </c>
      <c r="Q47" s="7">
        <f>IF($A47&lt;=1951,INDEX('SALA 1974'!$B:$U,MATCH($A47,'SALA 1974'!$A:$A,0),MATCH(Q$1,'SALA 1974'!$B$1:$U$1,0)),IF($A47&lt;=1994,1000*INDEX('SALA 2002'!$B:$U,MATCH($A47,'SALA 2002'!$A:$A,0),MATCH(Q$1,'SALA 2002'!$B$1:$U$1,0)),IF($A47&lt;=2000,1000*INDEX('SALA 2002'!$B:$U,MATCH($A47,'SALA 2002'!$A:$A,0),MATCH(Q$1,'SALA 2002'!$B$1:$U$1,0))*POWER(INDEX('WPP 2024 середина года'!$B:$U,MATCH($A47,'WPP 2024 середина года'!$A:$A,0),MATCH(Q$1,'WPP 2024 середина года'!$B$1:$U$1,0))/(1000*INDEX('SALA 2002'!$B:$U,MATCH($A47,'SALA 2002'!$A:$A,0),MATCH(Q$1,'SALA 2002'!$B$1:$U$1,0))),($A47-1994)/7),INDEX('WPP 2024 середина года'!$B:$U,MATCH($A47,'WPP 2024 середина года'!$A:$A,0),MATCH(Q$1,'WPP 2024 середина года'!$B$1:$U$1,0)))))</f>
        <v>703</v>
      </c>
      <c r="R47" s="7">
        <f>IF($A47&lt;=1951,INDEX('SALA 1974'!$B:$U,MATCH($A47,'SALA 1974'!$A:$A,0),MATCH(R$1,'SALA 1974'!$B$1:$U$1,0)),IF($A47&lt;=1994,1000*INDEX('SALA 2002'!$B:$U,MATCH($A47,'SALA 2002'!$A:$A,0),MATCH(R$1,'SALA 2002'!$B$1:$U$1,0)),IF($A47&lt;=2000,1000*INDEX('SALA 2002'!$B:$U,MATCH($A47,'SALA 2002'!$A:$A,0),MATCH(R$1,'SALA 2002'!$B$1:$U$1,0))*POWER(INDEX('WPP 2024 середина года'!$B:$U,MATCH($A47,'WPP 2024 середина года'!$A:$A,0),MATCH(R$1,'WPP 2024 середина года'!$B$1:$U$1,0))/(1000*INDEX('SALA 2002'!$B:$U,MATCH($A47,'SALA 2002'!$A:$A,0),MATCH(R$1,'SALA 2002'!$B$1:$U$1,0))),($A47-1994)/7),INDEX('WPP 2024 середина года'!$B:$U,MATCH($A47,'WPP 2024 середина года'!$A:$A,0),MATCH(R$1,'WPP 2024 середина года'!$B$1:$U$1,0)))))</f>
        <v>1247</v>
      </c>
      <c r="S47" s="7">
        <f>IF($A47&lt;=1951,INDEX('SALA 1974'!$B:$U,MATCH($A47,'SALA 1974'!$A:$A,0),MATCH(S$1,'SALA 1974'!$B$1:$U$1,0)),IF($A47&lt;=1994,1000*INDEX('SALA 2002'!$B:$U,MATCH($A47,'SALA 2002'!$A:$A,0),MATCH(S$1,'SALA 2002'!$B$1:$U$1,0)),IF($A47&lt;=2000,1000*INDEX('SALA 2002'!$B:$U,MATCH($A47,'SALA 2002'!$A:$A,0),MATCH(S$1,'SALA 2002'!$B$1:$U$1,0))*POWER(INDEX('WPP 2024 середина года'!$B:$U,MATCH($A47,'WPP 2024 середина года'!$A:$A,0),MATCH(S$1,'WPP 2024 середина года'!$B$1:$U$1,0))/(1000*INDEX('SALA 2002'!$B:$U,MATCH($A47,'SALA 2002'!$A:$A,0),MATCH(S$1,'SALA 2002'!$B$1:$U$1,0))),($A47-1994)/7),INDEX('WPP 2024 середина года'!$B:$U,MATCH($A47,'WPP 2024 середина года'!$A:$A,0),MATCH(S$1,'WPP 2024 середина года'!$B$1:$U$1,0)))))</f>
        <v>7285</v>
      </c>
      <c r="T47" s="7">
        <f>IF($A47&lt;=1951,INDEX('SALA 1974'!$B:$U,MATCH($A47,'SALA 1974'!$A:$A,0),MATCH(T$1,'SALA 1974'!$B$1:$U$1,0)),IF($A47&lt;=1994,1000*INDEX('SALA 2002'!$B:$U,MATCH($A47,'SALA 2002'!$A:$A,0),MATCH(T$1,'SALA 2002'!$B$1:$U$1,0)),IF($A47&lt;=2000,1000*INDEX('SALA 2002'!$B:$U,MATCH($A47,'SALA 2002'!$A:$A,0),MATCH(T$1,'SALA 2002'!$B$1:$U$1,0))*POWER(INDEX('WPP 2024 середина года'!$B:$U,MATCH($A47,'WPP 2024 середина года'!$A:$A,0),MATCH(T$1,'WPP 2024 середина года'!$B$1:$U$1,0))/(1000*INDEX('SALA 2002'!$B:$U,MATCH($A47,'SALA 2002'!$A:$A,0),MATCH(T$1,'SALA 2002'!$B$1:$U$1,0))),($A47-1994)/7),INDEX('WPP 2024 середина года'!$B:$U,MATCH($A47,'WPP 2024 середина года'!$A:$A,0),MATCH(T$1,'WPP 2024 середина года'!$B$1:$U$1,0)))))</f>
        <v>2076</v>
      </c>
      <c r="U47" s="7">
        <f>IF($A47&lt;=1951,INDEX('SALA 1974'!$B:$U,MATCH($A47,'SALA 1974'!$A:$A,0),MATCH(U$1,'SALA 1974'!$B$1:$U$1,0)),IF($A47&lt;=1994,1000*INDEX('SALA 2002'!$B:$U,MATCH($A47,'SALA 2002'!$A:$A,0),MATCH(U$1,'SALA 2002'!$B$1:$U$1,0)),IF($A47&lt;=2000,1000*INDEX('SALA 2002'!$B:$U,MATCH($A47,'SALA 2002'!$A:$A,0),MATCH(U$1,'SALA 2002'!$B$1:$U$1,0))*POWER(INDEX('WPP 2024 середина года'!$B:$U,MATCH($A47,'WPP 2024 середина года'!$A:$A,0),MATCH(U$1,'WPP 2024 середина года'!$B$1:$U$1,0))/(1000*INDEX('SALA 2002'!$B:$U,MATCH($A47,'SALA 2002'!$A:$A,0),MATCH(U$1,'SALA 2002'!$B$1:$U$1,0))),($A47-1994)/7),INDEX('WPP 2024 середина года'!$B:$U,MATCH($A47,'WPP 2024 середина года'!$A:$A,0),MATCH(U$1,'WPP 2024 середина года'!$B$1:$U$1,0)))))</f>
        <v>4267</v>
      </c>
    </row>
    <row r="48" spans="1:21" x14ac:dyDescent="0.25">
      <c r="A48" s="5">
        <f t="shared" si="0"/>
        <v>1946</v>
      </c>
      <c r="B48" s="7">
        <f>IF($A48&lt;=1951,INDEX('SALA 1974'!$B:$U,MATCH($A48,'SALA 1974'!$A:$A,0),MATCH(B$1,'SALA 1974'!$B$1:$U$1,0)),IF($A48&lt;=1994,1000*INDEX('SALA 2002'!$B:$U,MATCH($A48,'SALA 2002'!$A:$A,0),MATCH(B$1,'SALA 2002'!$B$1:$U$1,0)),IF($A48&lt;=2000,1000*INDEX('SALA 2002'!$B:$U,MATCH($A48,'SALA 2002'!$A:$A,0),MATCH(B$1,'SALA 2002'!$B$1:$U$1,0))*POWER(INDEX('WPP 2024 середина года'!$B:$U,MATCH($A48,'WPP 2024 середина года'!$A:$A,0),MATCH(B$1,'WPP 2024 середина года'!$B$1:$U$1,0))/(1000*INDEX('SALA 2002'!$B:$U,MATCH($A48,'SALA 2002'!$A:$A,0),MATCH(B$1,'SALA 2002'!$B$1:$U$1,0))),($A48-1994)/7),INDEX('WPP 2024 середина года'!$B:$U,MATCH($A48,'WPP 2024 середина года'!$A:$A,0),MATCH(B$1,'WPP 2024 середина года'!$B$1:$U$1,0)))))</f>
        <v>15654</v>
      </c>
      <c r="C48" s="7">
        <f>IF($A48&lt;=1951,INDEX('SALA 1974'!$B:$U,MATCH($A48,'SALA 1974'!$A:$A,0),MATCH(C$1,'SALA 1974'!$B$1:$U$1,0)),IF($A48&lt;=1994,1000*INDEX('SALA 2002'!$B:$U,MATCH($A48,'SALA 2002'!$A:$A,0),MATCH(C$1,'SALA 2002'!$B$1:$U$1,0)),IF($A48&lt;=2000,1000*INDEX('SALA 2002'!$B:$U,MATCH($A48,'SALA 2002'!$A:$A,0),MATCH(C$1,'SALA 2002'!$B$1:$U$1,0))*POWER(INDEX('WPP 2024 середина года'!$B:$U,MATCH($A48,'WPP 2024 середина года'!$A:$A,0),MATCH(C$1,'WPP 2024 середина года'!$B$1:$U$1,0))/(1000*INDEX('SALA 2002'!$B:$U,MATCH($A48,'SALA 2002'!$A:$A,0),MATCH(C$1,'SALA 2002'!$B$1:$U$1,0))),($A48-1994)/7),INDEX('WPP 2024 середина года'!$B:$U,MATCH($A48,'WPP 2024 середина года'!$A:$A,0),MATCH(C$1,'WPP 2024 середина года'!$B$1:$U$1,0)))))</f>
        <v>2883</v>
      </c>
      <c r="D48" s="7">
        <f>IF($A48&lt;=1951,INDEX('SALA 1974'!$B:$U,MATCH($A48,'SALA 1974'!$A:$A,0),MATCH(D$1,'SALA 1974'!$B$1:$U$1,0)),IF($A48&lt;=1994,1000*INDEX('SALA 2002'!$B:$U,MATCH($A48,'SALA 2002'!$A:$A,0),MATCH(D$1,'SALA 2002'!$B$1:$U$1,0)),IF($A48&lt;=2000,1000*INDEX('SALA 2002'!$B:$U,MATCH($A48,'SALA 2002'!$A:$A,0),MATCH(D$1,'SALA 2002'!$B$1:$U$1,0))*POWER(INDEX('WPP 2024 середина года'!$B:$U,MATCH($A48,'WPP 2024 середина года'!$A:$A,0),MATCH(D$1,'WPP 2024 середина года'!$B$1:$U$1,0))/(1000*INDEX('SALA 2002'!$B:$U,MATCH($A48,'SALA 2002'!$A:$A,0),MATCH(D$1,'SALA 2002'!$B$1:$U$1,0))),($A48-1994)/7),INDEX('WPP 2024 середина года'!$B:$U,MATCH($A48,'WPP 2024 середина года'!$A:$A,0),MATCH(D$1,'WPP 2024 середина года'!$B$1:$U$1,0)))))</f>
        <v>46975</v>
      </c>
      <c r="E48" s="7">
        <f>IF($A48&lt;=1951,INDEX('SALA 1974'!$B:$U,MATCH($A48,'SALA 1974'!$A:$A,0),MATCH(E$1,'SALA 1974'!$B$1:$U$1,0)),IF($A48&lt;=1994,1000*INDEX('SALA 2002'!$B:$U,MATCH($A48,'SALA 2002'!$A:$A,0),MATCH(E$1,'SALA 2002'!$B$1:$U$1,0)),IF($A48&lt;=2000,1000*INDEX('SALA 2002'!$B:$U,MATCH($A48,'SALA 2002'!$A:$A,0),MATCH(E$1,'SALA 2002'!$B$1:$U$1,0))*POWER(INDEX('WPP 2024 середина года'!$B:$U,MATCH($A48,'WPP 2024 середина года'!$A:$A,0),MATCH(E$1,'WPP 2024 середина года'!$B$1:$U$1,0))/(1000*INDEX('SALA 2002'!$B:$U,MATCH($A48,'SALA 2002'!$A:$A,0),MATCH(E$1,'SALA 2002'!$B$1:$U$1,0))),($A48-1994)/7),INDEX('WPP 2024 середина года'!$B:$U,MATCH($A48,'WPP 2024 середина года'!$A:$A,0),MATCH(E$1,'WPP 2024 середина года'!$B$1:$U$1,0)))))</f>
        <v>5643</v>
      </c>
      <c r="F48" s="7">
        <f>IF($A48&lt;=1947,INDEX('SALA 1974'!$B:$U,MATCH($A48,'SALA 1974'!$A:$A,0),MATCH(F$1,'SALA 1974'!$B$1:$U$1,0)),IF($A48&lt;=1994,1000*INDEX('SALA 2002'!$B:$U,MATCH($A48,'SALA 2002'!$A:$A,0),MATCH(F$1,'SALA 2002'!$B$1:$U$1,0)),IF($A48&lt;=2000,1000*INDEX('SALA 2002'!$B:$U,MATCH($A48,'SALA 2002'!$A:$A,0),MATCH(F$1,'SALA 2002'!$B$1:$U$1,0))*POWER(INDEX('WPP 2024 середина года'!$B:$U,MATCH($A48,'WPP 2024 середина года'!$A:$A,0),MATCH(F$1,'WPP 2024 середина года'!$B$1:$U$1,0))/(1000*INDEX('SALA 2002'!$B:$U,MATCH($A48,'SALA 2002'!$A:$A,0),MATCH(F$1,'SALA 2002'!$B$1:$U$1,0))),($A48-1994)/7),INDEX('WPP 2024 середина года'!$B:$U,MATCH($A48,'WPP 2024 середина года'!$A:$A,0),MATCH(F$1,'WPP 2024 середина года'!$B$1:$U$1,0)))))</f>
        <v>10528</v>
      </c>
      <c r="G48" s="7">
        <f>IF($A48&lt;=1951,INDEX('SALA 1974'!$B:$U,MATCH($A48,'SALA 1974'!$A:$A,0),MATCH(G$1,'SALA 1974'!$B$1:$U$1,0)),IF($A48&lt;=1994,1000*INDEX('SALA 2002'!$B:$U,MATCH($A48,'SALA 2002'!$A:$A,0),MATCH(G$1,'SALA 2002'!$B$1:$U$1,0)),IF($A48&lt;=2000,1000*INDEX('SALA 2002'!$B:$U,MATCH($A48,'SALA 2002'!$A:$A,0),MATCH(G$1,'SALA 2002'!$B$1:$U$1,0))*POWER(INDEX('WPP 2024 середина года'!$B:$U,MATCH($A48,'WPP 2024 середина года'!$A:$A,0),MATCH(G$1,'WPP 2024 середина года'!$B$1:$U$1,0))/(1000*INDEX('SALA 2002'!$B:$U,MATCH($A48,'SALA 2002'!$A:$A,0),MATCH(G$1,'SALA 2002'!$B$1:$U$1,0))),($A48-1994)/7),INDEX('WPP 2024 середина года'!$B:$U,MATCH($A48,'WPP 2024 середина года'!$A:$A,0),MATCH(G$1,'WPP 2024 середина года'!$B$1:$U$1,0)))))</f>
        <v>709</v>
      </c>
      <c r="H48" s="7">
        <f>IF($A48&lt;=1951,INDEX('SALA 1974'!$B:$U,MATCH($A48,'SALA 1974'!$A:$A,0),MATCH(H$1,'SALA 1974'!$B$1:$U$1,0)),IF($A48&lt;=1994,1000*INDEX('SALA 2002'!$B:$U,MATCH($A48,'SALA 2002'!$A:$A,0),MATCH(H$1,'SALA 2002'!$B$1:$U$1,0)),IF($A48&lt;=2000,1000*INDEX('SALA 2002'!$B:$U,MATCH($A48,'SALA 2002'!$A:$A,0),MATCH(H$1,'SALA 2002'!$B$1:$U$1,0))*POWER(INDEX('WPP 2024 середина года'!$B:$U,MATCH($A48,'WPP 2024 середина года'!$A:$A,0),MATCH(H$1,'WPP 2024 середина года'!$B$1:$U$1,0))/(1000*INDEX('SALA 2002'!$B:$U,MATCH($A48,'SALA 2002'!$A:$A,0),MATCH(H$1,'SALA 2002'!$B$1:$U$1,0))),($A48-1994)/7),INDEX('WPP 2024 середина года'!$B:$U,MATCH($A48,'WPP 2024 середина года'!$A:$A,0),MATCH(H$1,'WPP 2024 середина года'!$B$1:$U$1,0)))))</f>
        <v>5039</v>
      </c>
      <c r="I48" s="7">
        <f>IF($A48&lt;=1951,INDEX('SALA 1974'!$B:$U,MATCH($A48,'SALA 1974'!$A:$A,0),MATCH(I$1,'SALA 1974'!$B$1:$U$1,0)),IF($A48&lt;=1994,1000*INDEX('SALA 2002'!$B:$U,MATCH($A48,'SALA 2002'!$A:$A,0),MATCH(I$1,'SALA 2002'!$B$1:$U$1,0)),IF($A48&lt;=2000,1000*INDEX('SALA 2002'!$B:$U,MATCH($A48,'SALA 2002'!$A:$A,0),MATCH(I$1,'SALA 2002'!$B$1:$U$1,0))*POWER(INDEX('WPP 2024 середина года'!$B:$U,MATCH($A48,'WPP 2024 середина года'!$A:$A,0),MATCH(I$1,'WPP 2024 середина года'!$B$1:$U$1,0))/(1000*INDEX('SALA 2002'!$B:$U,MATCH($A48,'SALA 2002'!$A:$A,0),MATCH(I$1,'SALA 2002'!$B$1:$U$1,0))),($A48-1994)/7),INDEX('WPP 2024 середина года'!$B:$U,MATCH($A48,'WPP 2024 середина года'!$A:$A,0),MATCH(I$1,'WPP 2024 середина года'!$B$1:$U$1,0)))))</f>
        <v>2030</v>
      </c>
      <c r="J48" s="7">
        <f>IF($A48&lt;=1951,INDEX('SALA 1974'!$B:$U,MATCH($A48,'SALA 1974'!$A:$A,0),MATCH(J$1,'SALA 1974'!$B$1:$U$1,0)),IF($A48&lt;=1994,1000*INDEX('SALA 2002'!$B:$U,MATCH($A48,'SALA 2002'!$A:$A,0),MATCH(J$1,'SALA 2002'!$B$1:$U$1,0)),IF($A48&lt;=2000,1000*INDEX('SALA 2002'!$B:$U,MATCH($A48,'SALA 2002'!$A:$A,0),MATCH(J$1,'SALA 2002'!$B$1:$U$1,0))*POWER(INDEX('WPP 2024 середина года'!$B:$U,MATCH($A48,'WPP 2024 середина года'!$A:$A,0),MATCH(J$1,'WPP 2024 середина года'!$B$1:$U$1,0))/(1000*INDEX('SALA 2002'!$B:$U,MATCH($A48,'SALA 2002'!$A:$A,0),MATCH(J$1,'SALA 2002'!$B$1:$U$1,0))),($A48-1994)/7),INDEX('WPP 2024 середина года'!$B:$U,MATCH($A48,'WPP 2024 середина года'!$A:$A,0),MATCH(J$1,'WPP 2024 середина года'!$B$1:$U$1,0)))))</f>
        <v>2853</v>
      </c>
      <c r="K48" s="7">
        <f>IF($A48&lt;=1951,INDEX('SALA 1974'!$B:$U,MATCH($A48,'SALA 1974'!$A:$A,0),MATCH(K$1,'SALA 1974'!$B$1:$U$1,0)),IF($A48&lt;=1994,1000*INDEX('SALA 2002'!$B:$U,MATCH($A48,'SALA 2002'!$A:$A,0),MATCH(K$1,'SALA 2002'!$B$1:$U$1,0)),IF($A48&lt;=2000,1000*INDEX('SALA 2002'!$B:$U,MATCH($A48,'SALA 2002'!$A:$A,0),MATCH(K$1,'SALA 2002'!$B$1:$U$1,0))*POWER(INDEX('WPP 2024 середина года'!$B:$U,MATCH($A48,'WPP 2024 середина года'!$A:$A,0),MATCH(K$1,'WPP 2024 середина года'!$B$1:$U$1,0))/(1000*INDEX('SALA 2002'!$B:$U,MATCH($A48,'SALA 2002'!$A:$A,0),MATCH(K$1,'SALA 2002'!$B$1:$U$1,0))),($A48-1994)/7),INDEX('WPP 2024 середина года'!$B:$U,MATCH($A48,'WPP 2024 середина года'!$A:$A,0),MATCH(K$1,'WPP 2024 середина года'!$B$1:$U$1,0)))))</f>
        <v>1764</v>
      </c>
      <c r="L48" s="7">
        <f>IF($A48&lt;=1951,INDEX('SALA 1974'!$B:$U,MATCH($A48,'SALA 1974'!$A:$A,0),MATCH(L$1,'SALA 1974'!$B$1:$U$1,0)),IF($A48&lt;=1994,1000*INDEX('SALA 2002'!$B:$U,MATCH($A48,'SALA 2002'!$A:$A,0),MATCH(L$1,'SALA 2002'!$B$1:$U$1,0)),IF($A48&lt;=2000,1000*INDEX('SALA 2002'!$B:$U,MATCH($A48,'SALA 2002'!$A:$A,0),MATCH(L$1,'SALA 2002'!$B$1:$U$1,0))*POWER(INDEX('WPP 2024 середина года'!$B:$U,MATCH($A48,'WPP 2024 середина года'!$A:$A,0),MATCH(L$1,'WPP 2024 середина года'!$B$1:$U$1,0))/(1000*INDEX('SALA 2002'!$B:$U,MATCH($A48,'SALA 2002'!$A:$A,0),MATCH(L$1,'SALA 2002'!$B$1:$U$1,0))),($A48-1994)/7),INDEX('WPP 2024 середина года'!$B:$U,MATCH($A48,'WPP 2024 середина года'!$A:$A,0),MATCH(L$1,'WPP 2024 середина года'!$B$1:$U$1,0)))))</f>
        <v>2498</v>
      </c>
      <c r="M48" s="7">
        <f>IF($A48&lt;=1951,INDEX('SALA 1974'!$B:$U,MATCH($A48,'SALA 1974'!$A:$A,0),MATCH(M$1,'SALA 1974'!$B$1:$U$1,0)),IF($A48&lt;=1994,1000*INDEX('SALA 2002'!$B:$U,MATCH($A48,'SALA 2002'!$A:$A,0),MATCH(M$1,'SALA 2002'!$B$1:$U$1,0)),IF($A48&lt;=2000,1000*INDEX('SALA 2002'!$B:$U,MATCH($A48,'SALA 2002'!$A:$A,0),MATCH(M$1,'SALA 2002'!$B$1:$U$1,0))*POWER(INDEX('WPP 2024 середина года'!$B:$U,MATCH($A48,'WPP 2024 середина года'!$A:$A,0),MATCH(M$1,'WPP 2024 середина года'!$B$1:$U$1,0))/(1000*INDEX('SALA 2002'!$B:$U,MATCH($A48,'SALA 2002'!$A:$A,0),MATCH(M$1,'SALA 2002'!$B$1:$U$1,0))),($A48-1994)/7),INDEX('WPP 2024 середина года'!$B:$U,MATCH($A48,'WPP 2024 середина года'!$A:$A,0),MATCH(M$1,'WPP 2024 середина года'!$B$1:$U$1,0)))))</f>
        <v>3143</v>
      </c>
      <c r="N48" s="7">
        <f>IF($A48&lt;=1951,INDEX('SALA 1974'!$B:$U,MATCH($A48,'SALA 1974'!$A:$A,0),MATCH(N$1,'SALA 1974'!$B$1:$U$1,0)),IF($A48&lt;=1994,1000*INDEX('SALA 2002'!$B:$U,MATCH($A48,'SALA 2002'!$A:$A,0),MATCH(N$1,'SALA 2002'!$B$1:$U$1,0)),IF($A48&lt;=2000,1000*INDEX('SALA 2002'!$B:$U,MATCH($A48,'SALA 2002'!$A:$A,0),MATCH(N$1,'SALA 2002'!$B$1:$U$1,0))*POWER(INDEX('WPP 2024 середина года'!$B:$U,MATCH($A48,'WPP 2024 середина года'!$A:$A,0),MATCH(N$1,'WPP 2024 середина года'!$B$1:$U$1,0))/(1000*INDEX('SALA 2002'!$B:$U,MATCH($A48,'SALA 2002'!$A:$A,0),MATCH(N$1,'SALA 2002'!$B$1:$U$1,0))),($A48-1994)/7),INDEX('WPP 2024 середина года'!$B:$U,MATCH($A48,'WPP 2024 середина года'!$A:$A,0),MATCH(N$1,'WPP 2024 середина года'!$B$1:$U$1,0)))))</f>
        <v>1287</v>
      </c>
      <c r="O48" s="7">
        <f>IF($A48&lt;=1951,INDEX('SALA 1974'!$B:$U,MATCH($A48,'SALA 1974'!$A:$A,0),MATCH(O$1,'SALA 1974'!$B$1:$U$1,0)),IF($A48&lt;=1994,1000*INDEX('SALA 2002'!$B:$U,MATCH($A48,'SALA 2002'!$A:$A,0),MATCH(O$1,'SALA 2002'!$B$1:$U$1,0)),IF($A48&lt;=2000,1000*INDEX('SALA 2002'!$B:$U,MATCH($A48,'SALA 2002'!$A:$A,0),MATCH(O$1,'SALA 2002'!$B$1:$U$1,0))*POWER(INDEX('WPP 2024 середина года'!$B:$U,MATCH($A48,'WPP 2024 середина года'!$A:$A,0),MATCH(O$1,'WPP 2024 середина года'!$B$1:$U$1,0))/(1000*INDEX('SALA 2002'!$B:$U,MATCH($A48,'SALA 2002'!$A:$A,0),MATCH(O$1,'SALA 2002'!$B$1:$U$1,0))),($A48-1994)/7),INDEX('WPP 2024 середина года'!$B:$U,MATCH($A48,'WPP 2024 середина года'!$A:$A,0),MATCH(O$1,'WPP 2024 середина года'!$B$1:$U$1,0)))))</f>
        <v>22779</v>
      </c>
      <c r="P48" s="7">
        <f>IF($A48&lt;=1951,INDEX('SALA 1974'!$B:$U,MATCH($A48,'SALA 1974'!$A:$A,0),MATCH(P$1,'SALA 1974'!$B$1:$U$1,0)),IF($A48&lt;=1994,1000*INDEX('SALA 2002'!$B:$U,MATCH($A48,'SALA 2002'!$A:$A,0),MATCH(P$1,'SALA 2002'!$B$1:$U$1,0)),IF($A48&lt;=2000,1000*INDEX('SALA 2002'!$B:$U,MATCH($A48,'SALA 2002'!$A:$A,0),MATCH(P$1,'SALA 2002'!$B$1:$U$1,0))*POWER(INDEX('WPP 2024 середина года'!$B:$U,MATCH($A48,'WPP 2024 середина года'!$A:$A,0),MATCH(P$1,'WPP 2024 середина года'!$B$1:$U$1,0))/(1000*INDEX('SALA 2002'!$B:$U,MATCH($A48,'SALA 2002'!$A:$A,0),MATCH(P$1,'SALA 2002'!$B$1:$U$1,0))),($A48-1994)/7),INDEX('WPP 2024 середина года'!$B:$U,MATCH($A48,'WPP 2024 середина года'!$A:$A,0),MATCH(P$1,'WPP 2024 середина года'!$B$1:$U$1,0)))))</f>
        <v>949</v>
      </c>
      <c r="Q48" s="7">
        <f>IF($A48&lt;=1951,INDEX('SALA 1974'!$B:$U,MATCH($A48,'SALA 1974'!$A:$A,0),MATCH(Q$1,'SALA 1974'!$B$1:$U$1,0)),IF($A48&lt;=1994,1000*INDEX('SALA 2002'!$B:$U,MATCH($A48,'SALA 2002'!$A:$A,0),MATCH(Q$1,'SALA 2002'!$B$1:$U$1,0)),IF($A48&lt;=2000,1000*INDEX('SALA 2002'!$B:$U,MATCH($A48,'SALA 2002'!$A:$A,0),MATCH(Q$1,'SALA 2002'!$B$1:$U$1,0))*POWER(INDEX('WPP 2024 середина года'!$B:$U,MATCH($A48,'WPP 2024 середина года'!$A:$A,0),MATCH(Q$1,'WPP 2024 середина года'!$B$1:$U$1,0))/(1000*INDEX('SALA 2002'!$B:$U,MATCH($A48,'SALA 2002'!$A:$A,0),MATCH(Q$1,'SALA 2002'!$B$1:$U$1,0))),($A48-1994)/7),INDEX('WPP 2024 середина года'!$B:$U,MATCH($A48,'WPP 2024 середина года'!$A:$A,0),MATCH(Q$1,'WPP 2024 середина года'!$B$1:$U$1,0)))))</f>
        <v>721</v>
      </c>
      <c r="R48" s="7">
        <f>IF($A48&lt;=1951,INDEX('SALA 1974'!$B:$U,MATCH($A48,'SALA 1974'!$A:$A,0),MATCH(R$1,'SALA 1974'!$B$1:$U$1,0)),IF($A48&lt;=1994,1000*INDEX('SALA 2002'!$B:$U,MATCH($A48,'SALA 2002'!$A:$A,0),MATCH(R$1,'SALA 2002'!$B$1:$U$1,0)),IF($A48&lt;=2000,1000*INDEX('SALA 2002'!$B:$U,MATCH($A48,'SALA 2002'!$A:$A,0),MATCH(R$1,'SALA 2002'!$B$1:$U$1,0))*POWER(INDEX('WPP 2024 середина года'!$B:$U,MATCH($A48,'WPP 2024 середина года'!$A:$A,0),MATCH(R$1,'WPP 2024 середина года'!$B$1:$U$1,0))/(1000*INDEX('SALA 2002'!$B:$U,MATCH($A48,'SALA 2002'!$A:$A,0),MATCH(R$1,'SALA 2002'!$B$1:$U$1,0))),($A48-1994)/7),INDEX('WPP 2024 середина года'!$B:$U,MATCH($A48,'WPP 2024 середина года'!$A:$A,0),MATCH(R$1,'WPP 2024 середина года'!$B$1:$U$1,0)))))</f>
        <v>1275</v>
      </c>
      <c r="S48" s="7">
        <f>IF($A48&lt;=1951,INDEX('SALA 1974'!$B:$U,MATCH($A48,'SALA 1974'!$A:$A,0),MATCH(S$1,'SALA 1974'!$B$1:$U$1,0)),IF($A48&lt;=1994,1000*INDEX('SALA 2002'!$B:$U,MATCH($A48,'SALA 2002'!$A:$A,0),MATCH(S$1,'SALA 2002'!$B$1:$U$1,0)),IF($A48&lt;=2000,1000*INDEX('SALA 2002'!$B:$U,MATCH($A48,'SALA 2002'!$A:$A,0),MATCH(S$1,'SALA 2002'!$B$1:$U$1,0))*POWER(INDEX('WPP 2024 середина года'!$B:$U,MATCH($A48,'WPP 2024 середина года'!$A:$A,0),MATCH(S$1,'WPP 2024 середина года'!$B$1:$U$1,0))/(1000*INDEX('SALA 2002'!$B:$U,MATCH($A48,'SALA 2002'!$A:$A,0),MATCH(S$1,'SALA 2002'!$B$1:$U$1,0))),($A48-1994)/7),INDEX('WPP 2024 середина года'!$B:$U,MATCH($A48,'WPP 2024 середина года'!$A:$A,0),MATCH(S$1,'WPP 2024 середина года'!$B$1:$U$1,0)))))</f>
        <v>7415</v>
      </c>
      <c r="T48" s="7">
        <f>IF($A48&lt;=1951,INDEX('SALA 1974'!$B:$U,MATCH($A48,'SALA 1974'!$A:$A,0),MATCH(T$1,'SALA 1974'!$B$1:$U$1,0)),IF($A48&lt;=1994,1000*INDEX('SALA 2002'!$B:$U,MATCH($A48,'SALA 2002'!$A:$A,0),MATCH(T$1,'SALA 2002'!$B$1:$U$1,0)),IF($A48&lt;=2000,1000*INDEX('SALA 2002'!$B:$U,MATCH($A48,'SALA 2002'!$A:$A,0),MATCH(T$1,'SALA 2002'!$B$1:$U$1,0))*POWER(INDEX('WPP 2024 середина года'!$B:$U,MATCH($A48,'WPP 2024 середина года'!$A:$A,0),MATCH(T$1,'WPP 2024 середина года'!$B$1:$U$1,0))/(1000*INDEX('SALA 2002'!$B:$U,MATCH($A48,'SALA 2002'!$A:$A,0),MATCH(T$1,'SALA 2002'!$B$1:$U$1,0))),($A48-1994)/7),INDEX('WPP 2024 середина года'!$B:$U,MATCH($A48,'WPP 2024 середина года'!$A:$A,0),MATCH(T$1,'WPP 2024 середина года'!$B$1:$U$1,0)))))</f>
        <v>2098</v>
      </c>
      <c r="U48" s="7">
        <f>IF($A48&lt;=1951,INDEX('SALA 1974'!$B:$U,MATCH($A48,'SALA 1974'!$A:$A,0),MATCH(U$1,'SALA 1974'!$B$1:$U$1,0)),IF($A48&lt;=1994,1000*INDEX('SALA 2002'!$B:$U,MATCH($A48,'SALA 2002'!$A:$A,0),MATCH(U$1,'SALA 2002'!$B$1:$U$1,0)),IF($A48&lt;=2000,1000*INDEX('SALA 2002'!$B:$U,MATCH($A48,'SALA 2002'!$A:$A,0),MATCH(U$1,'SALA 2002'!$B$1:$U$1,0))*POWER(INDEX('WPP 2024 середина года'!$B:$U,MATCH($A48,'WPP 2024 середина года'!$A:$A,0),MATCH(U$1,'WPP 2024 середина года'!$B$1:$U$1,0))/(1000*INDEX('SALA 2002'!$B:$U,MATCH($A48,'SALA 2002'!$A:$A,0),MATCH(U$1,'SALA 2002'!$B$1:$U$1,0))),($A48-1994)/7),INDEX('WPP 2024 середина года'!$B:$U,MATCH($A48,'WPP 2024 середина года'!$A:$A,0),MATCH(U$1,'WPP 2024 середина года'!$B$1:$U$1,0)))))</f>
        <v>4391</v>
      </c>
    </row>
    <row r="49" spans="1:21" x14ac:dyDescent="0.25">
      <c r="A49" s="5">
        <f t="shared" si="0"/>
        <v>1947</v>
      </c>
      <c r="B49" s="7">
        <f>IF($A49&lt;=1951,INDEX('SALA 1974'!$B:$U,MATCH($A49,'SALA 1974'!$A:$A,0),MATCH(B$1,'SALA 1974'!$B$1:$U$1,0)),IF($A49&lt;=1994,1000*INDEX('SALA 2002'!$B:$U,MATCH($A49,'SALA 2002'!$A:$A,0),MATCH(B$1,'SALA 2002'!$B$1:$U$1,0)),IF($A49&lt;=2000,1000*INDEX('SALA 2002'!$B:$U,MATCH($A49,'SALA 2002'!$A:$A,0),MATCH(B$1,'SALA 2002'!$B$1:$U$1,0))*POWER(INDEX('WPP 2024 середина года'!$B:$U,MATCH($A49,'WPP 2024 середина года'!$A:$A,0),MATCH(B$1,'WPP 2024 середина года'!$B$1:$U$1,0))/(1000*INDEX('SALA 2002'!$B:$U,MATCH($A49,'SALA 2002'!$A:$A,0),MATCH(B$1,'SALA 2002'!$B$1:$U$1,0))),($A49-1994)/7),INDEX('WPP 2024 середина года'!$B:$U,MATCH($A49,'WPP 2024 середина года'!$A:$A,0),MATCH(B$1,'WPP 2024 середина года'!$B$1:$U$1,0)))))</f>
        <v>15928</v>
      </c>
      <c r="C49" s="7">
        <f>IF($A49&lt;=1951,INDEX('SALA 1974'!$B:$U,MATCH($A49,'SALA 1974'!$A:$A,0),MATCH(C$1,'SALA 1974'!$B$1:$U$1,0)),IF($A49&lt;=1994,1000*INDEX('SALA 2002'!$B:$U,MATCH($A49,'SALA 2002'!$A:$A,0),MATCH(C$1,'SALA 2002'!$B$1:$U$1,0)),IF($A49&lt;=2000,1000*INDEX('SALA 2002'!$B:$U,MATCH($A49,'SALA 2002'!$A:$A,0),MATCH(C$1,'SALA 2002'!$B$1:$U$1,0))*POWER(INDEX('WPP 2024 середина года'!$B:$U,MATCH($A49,'WPP 2024 середина года'!$A:$A,0),MATCH(C$1,'WPP 2024 середина года'!$B$1:$U$1,0))/(1000*INDEX('SALA 2002'!$B:$U,MATCH($A49,'SALA 2002'!$A:$A,0),MATCH(C$1,'SALA 2002'!$B$1:$U$1,0))),($A49-1994)/7),INDEX('WPP 2024 середина года'!$B:$U,MATCH($A49,'WPP 2024 середина года'!$A:$A,0),MATCH(C$1,'WPP 2024 середина года'!$B$1:$U$1,0)))))</f>
        <v>2916</v>
      </c>
      <c r="D49" s="7">
        <f>IF($A49&lt;=1951,INDEX('SALA 1974'!$B:$U,MATCH($A49,'SALA 1974'!$A:$A,0),MATCH(D$1,'SALA 1974'!$B$1:$U$1,0)),IF($A49&lt;=1994,1000*INDEX('SALA 2002'!$B:$U,MATCH($A49,'SALA 2002'!$A:$A,0),MATCH(D$1,'SALA 2002'!$B$1:$U$1,0)),IF($A49&lt;=2000,1000*INDEX('SALA 2002'!$B:$U,MATCH($A49,'SALA 2002'!$A:$A,0),MATCH(D$1,'SALA 2002'!$B$1:$U$1,0))*POWER(INDEX('WPP 2024 середина года'!$B:$U,MATCH($A49,'WPP 2024 середина года'!$A:$A,0),MATCH(D$1,'WPP 2024 середина года'!$B$1:$U$1,0))/(1000*INDEX('SALA 2002'!$B:$U,MATCH($A49,'SALA 2002'!$A:$A,0),MATCH(D$1,'SALA 2002'!$B$1:$U$1,0))),($A49-1994)/7),INDEX('WPP 2024 середина года'!$B:$U,MATCH($A49,'WPP 2024 середина года'!$A:$A,0),MATCH(D$1,'WPP 2024 середина года'!$B$1:$U$1,0)))))</f>
        <v>48161</v>
      </c>
      <c r="E49" s="7">
        <f>IF($A49&lt;=1951,INDEX('SALA 1974'!$B:$U,MATCH($A49,'SALA 1974'!$A:$A,0),MATCH(E$1,'SALA 1974'!$B$1:$U$1,0)),IF($A49&lt;=1994,1000*INDEX('SALA 2002'!$B:$U,MATCH($A49,'SALA 2002'!$A:$A,0),MATCH(E$1,'SALA 2002'!$B$1:$U$1,0)),IF($A49&lt;=2000,1000*INDEX('SALA 2002'!$B:$U,MATCH($A49,'SALA 2002'!$A:$A,0),MATCH(E$1,'SALA 2002'!$B$1:$U$1,0))*POWER(INDEX('WPP 2024 середина года'!$B:$U,MATCH($A49,'WPP 2024 середина года'!$A:$A,0),MATCH(E$1,'WPP 2024 середина года'!$B$1:$U$1,0))/(1000*INDEX('SALA 2002'!$B:$U,MATCH($A49,'SALA 2002'!$A:$A,0),MATCH(E$1,'SALA 2002'!$B$1:$U$1,0))),($A49-1994)/7),INDEX('WPP 2024 середина года'!$B:$U,MATCH($A49,'WPP 2024 середина года'!$A:$A,0),MATCH(E$1,'WPP 2024 середина года'!$B$1:$U$1,0)))))</f>
        <v>5748</v>
      </c>
      <c r="F49" s="7">
        <f>IF($A49&lt;=1947,INDEX('SALA 1974'!$B:$U,MATCH($A49,'SALA 1974'!$A:$A,0),MATCH(F$1,'SALA 1974'!$B$1:$U$1,0)),IF($A49&lt;=1994,1000*INDEX('SALA 2002'!$B:$U,MATCH($A49,'SALA 2002'!$A:$A,0),MATCH(F$1,'SALA 2002'!$B$1:$U$1,0)),IF($A49&lt;=2000,1000*INDEX('SALA 2002'!$B:$U,MATCH($A49,'SALA 2002'!$A:$A,0),MATCH(F$1,'SALA 2002'!$B$1:$U$1,0))*POWER(INDEX('WPP 2024 середина года'!$B:$U,MATCH($A49,'WPP 2024 середина года'!$A:$A,0),MATCH(F$1,'WPP 2024 середина года'!$B$1:$U$1,0))/(1000*INDEX('SALA 2002'!$B:$U,MATCH($A49,'SALA 2002'!$A:$A,0),MATCH(F$1,'SALA 2002'!$B$1:$U$1,0))),($A49-1994)/7),INDEX('WPP 2024 середина года'!$B:$U,MATCH($A49,'WPP 2024 середина года'!$A:$A,0),MATCH(F$1,'WPP 2024 середина года'!$B$1:$U$1,0)))))</f>
        <v>10800</v>
      </c>
      <c r="G49" s="7">
        <f>IF($A49&lt;=1951,INDEX('SALA 1974'!$B:$U,MATCH($A49,'SALA 1974'!$A:$A,0),MATCH(G$1,'SALA 1974'!$B$1:$U$1,0)),IF($A49&lt;=1994,1000*INDEX('SALA 2002'!$B:$U,MATCH($A49,'SALA 2002'!$A:$A,0),MATCH(G$1,'SALA 2002'!$B$1:$U$1,0)),IF($A49&lt;=2000,1000*INDEX('SALA 2002'!$B:$U,MATCH($A49,'SALA 2002'!$A:$A,0),MATCH(G$1,'SALA 2002'!$B$1:$U$1,0))*POWER(INDEX('WPP 2024 середина года'!$B:$U,MATCH($A49,'WPP 2024 середина года'!$A:$A,0),MATCH(G$1,'WPP 2024 середина года'!$B$1:$U$1,0))/(1000*INDEX('SALA 2002'!$B:$U,MATCH($A49,'SALA 2002'!$A:$A,0),MATCH(G$1,'SALA 2002'!$B$1:$U$1,0))),($A49-1994)/7),INDEX('WPP 2024 середина года'!$B:$U,MATCH($A49,'WPP 2024 середина года'!$A:$A,0),MATCH(G$1,'WPP 2024 середина года'!$B$1:$U$1,0)))))</f>
        <v>726</v>
      </c>
      <c r="H49" s="7">
        <f>IF($A49&lt;=1951,INDEX('SALA 1974'!$B:$U,MATCH($A49,'SALA 1974'!$A:$A,0),MATCH(H$1,'SALA 1974'!$B$1:$U$1,0)),IF($A49&lt;=1994,1000*INDEX('SALA 2002'!$B:$U,MATCH($A49,'SALA 2002'!$A:$A,0),MATCH(H$1,'SALA 2002'!$B$1:$U$1,0)),IF($A49&lt;=2000,1000*INDEX('SALA 2002'!$B:$U,MATCH($A49,'SALA 2002'!$A:$A,0),MATCH(H$1,'SALA 2002'!$B$1:$U$1,0))*POWER(INDEX('WPP 2024 середина года'!$B:$U,MATCH($A49,'WPP 2024 середина года'!$A:$A,0),MATCH(H$1,'WPP 2024 середина года'!$B$1:$U$1,0))/(1000*INDEX('SALA 2002'!$B:$U,MATCH($A49,'SALA 2002'!$A:$A,0),MATCH(H$1,'SALA 2002'!$B$1:$U$1,0))),($A49-1994)/7),INDEX('WPP 2024 середина года'!$B:$U,MATCH($A49,'WPP 2024 середина года'!$A:$A,0),MATCH(H$1,'WPP 2024 середина года'!$B$1:$U$1,0)))))</f>
        <v>5152</v>
      </c>
      <c r="I49" s="7">
        <f>IF($A49&lt;=1951,INDEX('SALA 1974'!$B:$U,MATCH($A49,'SALA 1974'!$A:$A,0),MATCH(I$1,'SALA 1974'!$B$1:$U$1,0)),IF($A49&lt;=1994,1000*INDEX('SALA 2002'!$B:$U,MATCH($A49,'SALA 2002'!$A:$A,0),MATCH(I$1,'SALA 2002'!$B$1:$U$1,0)),IF($A49&lt;=2000,1000*INDEX('SALA 2002'!$B:$U,MATCH($A49,'SALA 2002'!$A:$A,0),MATCH(I$1,'SALA 2002'!$B$1:$U$1,0))*POWER(INDEX('WPP 2024 середина года'!$B:$U,MATCH($A49,'WPP 2024 середина года'!$A:$A,0),MATCH(I$1,'WPP 2024 середина года'!$B$1:$U$1,0))/(1000*INDEX('SALA 2002'!$B:$U,MATCH($A49,'SALA 2002'!$A:$A,0),MATCH(I$1,'SALA 2002'!$B$1:$U$1,0))),($A49-1994)/7),INDEX('WPP 2024 середина года'!$B:$U,MATCH($A49,'WPP 2024 середина года'!$A:$A,0),MATCH(I$1,'WPP 2024 середина года'!$B$1:$U$1,0)))))</f>
        <v>2080</v>
      </c>
      <c r="J49" s="7">
        <f>IF($A49&lt;=1951,INDEX('SALA 1974'!$B:$U,MATCH($A49,'SALA 1974'!$A:$A,0),MATCH(J$1,'SALA 1974'!$B$1:$U$1,0)),IF($A49&lt;=1994,1000*INDEX('SALA 2002'!$B:$U,MATCH($A49,'SALA 2002'!$A:$A,0),MATCH(J$1,'SALA 2002'!$B$1:$U$1,0)),IF($A49&lt;=2000,1000*INDEX('SALA 2002'!$B:$U,MATCH($A49,'SALA 2002'!$A:$A,0),MATCH(J$1,'SALA 2002'!$B$1:$U$1,0))*POWER(INDEX('WPP 2024 середина года'!$B:$U,MATCH($A49,'WPP 2024 середина года'!$A:$A,0),MATCH(J$1,'WPP 2024 середина года'!$B$1:$U$1,0))/(1000*INDEX('SALA 2002'!$B:$U,MATCH($A49,'SALA 2002'!$A:$A,0),MATCH(J$1,'SALA 2002'!$B$1:$U$1,0))),($A49-1994)/7),INDEX('WPP 2024 середина года'!$B:$U,MATCH($A49,'WPP 2024 середина года'!$A:$A,0),MATCH(J$1,'WPP 2024 середина года'!$B$1:$U$1,0)))))</f>
        <v>2936</v>
      </c>
      <c r="K49" s="7">
        <f>IF($A49&lt;=1951,INDEX('SALA 1974'!$B:$U,MATCH($A49,'SALA 1974'!$A:$A,0),MATCH(K$1,'SALA 1974'!$B$1:$U$1,0)),IF($A49&lt;=1994,1000*INDEX('SALA 2002'!$B:$U,MATCH($A49,'SALA 2002'!$A:$A,0),MATCH(K$1,'SALA 2002'!$B$1:$U$1,0)),IF($A49&lt;=2000,1000*INDEX('SALA 2002'!$B:$U,MATCH($A49,'SALA 2002'!$A:$A,0),MATCH(K$1,'SALA 2002'!$B$1:$U$1,0))*POWER(INDEX('WPP 2024 середина года'!$B:$U,MATCH($A49,'WPP 2024 середина года'!$A:$A,0),MATCH(K$1,'WPP 2024 середина года'!$B$1:$U$1,0))/(1000*INDEX('SALA 2002'!$B:$U,MATCH($A49,'SALA 2002'!$A:$A,0),MATCH(K$1,'SALA 2002'!$B$1:$U$1,0))),($A49-1994)/7),INDEX('WPP 2024 середина года'!$B:$U,MATCH($A49,'WPP 2024 середина года'!$A:$A,0),MATCH(K$1,'WPP 2024 середина года'!$B$1:$U$1,0)))))</f>
        <v>1788</v>
      </c>
      <c r="L49" s="7">
        <f>IF($A49&lt;=1951,INDEX('SALA 1974'!$B:$U,MATCH($A49,'SALA 1974'!$A:$A,0),MATCH(L$1,'SALA 1974'!$B$1:$U$1,0)),IF($A49&lt;=1994,1000*INDEX('SALA 2002'!$B:$U,MATCH($A49,'SALA 2002'!$A:$A,0),MATCH(L$1,'SALA 2002'!$B$1:$U$1,0)),IF($A49&lt;=2000,1000*INDEX('SALA 2002'!$B:$U,MATCH($A49,'SALA 2002'!$A:$A,0),MATCH(L$1,'SALA 2002'!$B$1:$U$1,0))*POWER(INDEX('WPP 2024 середина года'!$B:$U,MATCH($A49,'WPP 2024 середина года'!$A:$A,0),MATCH(L$1,'WPP 2024 середина года'!$B$1:$U$1,0))/(1000*INDEX('SALA 2002'!$B:$U,MATCH($A49,'SALA 2002'!$A:$A,0),MATCH(L$1,'SALA 2002'!$B$1:$U$1,0))),($A49-1994)/7),INDEX('WPP 2024 середина года'!$B:$U,MATCH($A49,'WPP 2024 середина года'!$A:$A,0),MATCH(L$1,'WPP 2024 середина года'!$B$1:$U$1,0)))))</f>
        <v>2566</v>
      </c>
      <c r="M49" s="7">
        <f>IF($A49&lt;=1951,INDEX('SALA 1974'!$B:$U,MATCH($A49,'SALA 1974'!$A:$A,0),MATCH(M$1,'SALA 1974'!$B$1:$U$1,0)),IF($A49&lt;=1994,1000*INDEX('SALA 2002'!$B:$U,MATCH($A49,'SALA 2002'!$A:$A,0),MATCH(M$1,'SALA 2002'!$B$1:$U$1,0)),IF($A49&lt;=2000,1000*INDEX('SALA 2002'!$B:$U,MATCH($A49,'SALA 2002'!$A:$A,0),MATCH(M$1,'SALA 2002'!$B$1:$U$1,0))*POWER(INDEX('WPP 2024 середина года'!$B:$U,MATCH($A49,'WPP 2024 середина года'!$A:$A,0),MATCH(M$1,'WPP 2024 середина года'!$B$1:$U$1,0))/(1000*INDEX('SALA 2002'!$B:$U,MATCH($A49,'SALA 2002'!$A:$A,0),MATCH(M$1,'SALA 2002'!$B$1:$U$1,0))),($A49-1994)/7),INDEX('WPP 2024 середина года'!$B:$U,MATCH($A49,'WPP 2024 середина года'!$A:$A,0),MATCH(M$1,'WPP 2024 середина года'!$B$1:$U$1,0)))))</f>
        <v>3200</v>
      </c>
      <c r="N49" s="7">
        <f>IF($A49&lt;=1951,INDEX('SALA 1974'!$B:$U,MATCH($A49,'SALA 1974'!$A:$A,0),MATCH(N$1,'SALA 1974'!$B$1:$U$1,0)),IF($A49&lt;=1994,1000*INDEX('SALA 2002'!$B:$U,MATCH($A49,'SALA 2002'!$A:$A,0),MATCH(N$1,'SALA 2002'!$B$1:$U$1,0)),IF($A49&lt;=2000,1000*INDEX('SALA 2002'!$B:$U,MATCH($A49,'SALA 2002'!$A:$A,0),MATCH(N$1,'SALA 2002'!$B$1:$U$1,0))*POWER(INDEX('WPP 2024 середина года'!$B:$U,MATCH($A49,'WPP 2024 середина года'!$A:$A,0),MATCH(N$1,'WPP 2024 середина года'!$B$1:$U$1,0))/(1000*INDEX('SALA 2002'!$B:$U,MATCH($A49,'SALA 2002'!$A:$A,0),MATCH(N$1,'SALA 2002'!$B$1:$U$1,0))),($A49-1994)/7),INDEX('WPP 2024 середина года'!$B:$U,MATCH($A49,'WPP 2024 середина года'!$A:$A,0),MATCH(N$1,'WPP 2024 середина года'!$B$1:$U$1,0)))))</f>
        <v>1320</v>
      </c>
      <c r="O49" s="7">
        <f>IF($A49&lt;=1951,INDEX('SALA 1974'!$B:$U,MATCH($A49,'SALA 1974'!$A:$A,0),MATCH(O$1,'SALA 1974'!$B$1:$U$1,0)),IF($A49&lt;=1994,1000*INDEX('SALA 2002'!$B:$U,MATCH($A49,'SALA 2002'!$A:$A,0),MATCH(O$1,'SALA 2002'!$B$1:$U$1,0)),IF($A49&lt;=2000,1000*INDEX('SALA 2002'!$B:$U,MATCH($A49,'SALA 2002'!$A:$A,0),MATCH(O$1,'SALA 2002'!$B$1:$U$1,0))*POWER(INDEX('WPP 2024 середина года'!$B:$U,MATCH($A49,'WPP 2024 середина года'!$A:$A,0),MATCH(O$1,'WPP 2024 середина года'!$B$1:$U$1,0))/(1000*INDEX('SALA 2002'!$B:$U,MATCH($A49,'SALA 2002'!$A:$A,0),MATCH(O$1,'SALA 2002'!$B$1:$U$1,0))),($A49-1994)/7),INDEX('WPP 2024 середина года'!$B:$U,MATCH($A49,'WPP 2024 середина года'!$A:$A,0),MATCH(O$1,'WPP 2024 середина года'!$B$1:$U$1,0)))))</f>
        <v>23440</v>
      </c>
      <c r="P49" s="7">
        <f>IF($A49&lt;=1951,INDEX('SALA 1974'!$B:$U,MATCH($A49,'SALA 1974'!$A:$A,0),MATCH(P$1,'SALA 1974'!$B$1:$U$1,0)),IF($A49&lt;=1994,1000*INDEX('SALA 2002'!$B:$U,MATCH($A49,'SALA 2002'!$A:$A,0),MATCH(P$1,'SALA 2002'!$B$1:$U$1,0)),IF($A49&lt;=2000,1000*INDEX('SALA 2002'!$B:$U,MATCH($A49,'SALA 2002'!$A:$A,0),MATCH(P$1,'SALA 2002'!$B$1:$U$1,0))*POWER(INDEX('WPP 2024 середина года'!$B:$U,MATCH($A49,'WPP 2024 середина года'!$A:$A,0),MATCH(P$1,'WPP 2024 середина года'!$B$1:$U$1,0))/(1000*INDEX('SALA 2002'!$B:$U,MATCH($A49,'SALA 2002'!$A:$A,0),MATCH(P$1,'SALA 2002'!$B$1:$U$1,0))),($A49-1994)/7),INDEX('WPP 2024 середина года'!$B:$U,MATCH($A49,'WPP 2024 середина года'!$A:$A,0),MATCH(P$1,'WPP 2024 середина года'!$B$1:$U$1,0)))))</f>
        <v>977</v>
      </c>
      <c r="Q49" s="7">
        <f>IF($A49&lt;=1951,INDEX('SALA 1974'!$B:$U,MATCH($A49,'SALA 1974'!$A:$A,0),MATCH(Q$1,'SALA 1974'!$B$1:$U$1,0)),IF($A49&lt;=1994,1000*INDEX('SALA 2002'!$B:$U,MATCH($A49,'SALA 2002'!$A:$A,0),MATCH(Q$1,'SALA 2002'!$B$1:$U$1,0)),IF($A49&lt;=2000,1000*INDEX('SALA 2002'!$B:$U,MATCH($A49,'SALA 2002'!$A:$A,0),MATCH(Q$1,'SALA 2002'!$B$1:$U$1,0))*POWER(INDEX('WPP 2024 середина года'!$B:$U,MATCH($A49,'WPP 2024 середина года'!$A:$A,0),MATCH(Q$1,'WPP 2024 середина года'!$B$1:$U$1,0))/(1000*INDEX('SALA 2002'!$B:$U,MATCH($A49,'SALA 2002'!$A:$A,0),MATCH(Q$1,'SALA 2002'!$B$1:$U$1,0))),($A49-1994)/7),INDEX('WPP 2024 середина года'!$B:$U,MATCH($A49,'WPP 2024 середина года'!$A:$A,0),MATCH(Q$1,'WPP 2024 середина года'!$B$1:$U$1,0)))))</f>
        <v>739</v>
      </c>
      <c r="R49" s="7">
        <f>IF($A49&lt;=1951,INDEX('SALA 1974'!$B:$U,MATCH($A49,'SALA 1974'!$A:$A,0),MATCH(R$1,'SALA 1974'!$B$1:$U$1,0)),IF($A49&lt;=1994,1000*INDEX('SALA 2002'!$B:$U,MATCH($A49,'SALA 2002'!$A:$A,0),MATCH(R$1,'SALA 2002'!$B$1:$U$1,0)),IF($A49&lt;=2000,1000*INDEX('SALA 2002'!$B:$U,MATCH($A49,'SALA 2002'!$A:$A,0),MATCH(R$1,'SALA 2002'!$B$1:$U$1,0))*POWER(INDEX('WPP 2024 середина года'!$B:$U,MATCH($A49,'WPP 2024 середина года'!$A:$A,0),MATCH(R$1,'WPP 2024 середина года'!$B$1:$U$1,0))/(1000*INDEX('SALA 2002'!$B:$U,MATCH($A49,'SALA 2002'!$A:$A,0),MATCH(R$1,'SALA 2002'!$B$1:$U$1,0))),($A49-1994)/7),INDEX('WPP 2024 середина года'!$B:$U,MATCH($A49,'WPP 2024 середина года'!$A:$A,0),MATCH(R$1,'WPP 2024 середина года'!$B$1:$U$1,0)))))</f>
        <v>1305</v>
      </c>
      <c r="S49" s="7">
        <f>IF($A49&lt;=1951,INDEX('SALA 1974'!$B:$U,MATCH($A49,'SALA 1974'!$A:$A,0),MATCH(S$1,'SALA 1974'!$B$1:$U$1,0)),IF($A49&lt;=1994,1000*INDEX('SALA 2002'!$B:$U,MATCH($A49,'SALA 2002'!$A:$A,0),MATCH(S$1,'SALA 2002'!$B$1:$U$1,0)),IF($A49&lt;=2000,1000*INDEX('SALA 2002'!$B:$U,MATCH($A49,'SALA 2002'!$A:$A,0),MATCH(S$1,'SALA 2002'!$B$1:$U$1,0))*POWER(INDEX('WPP 2024 середина года'!$B:$U,MATCH($A49,'WPP 2024 середина года'!$A:$A,0),MATCH(S$1,'WPP 2024 середина года'!$B$1:$U$1,0))/(1000*INDEX('SALA 2002'!$B:$U,MATCH($A49,'SALA 2002'!$A:$A,0),MATCH(S$1,'SALA 2002'!$B$1:$U$1,0))),($A49-1994)/7),INDEX('WPP 2024 середина года'!$B:$U,MATCH($A49,'WPP 2024 середина года'!$A:$A,0),MATCH(S$1,'WPP 2024 середина года'!$B$1:$U$1,0)))))</f>
        <v>7547</v>
      </c>
      <c r="T49" s="7">
        <f>IF($A49&lt;=1951,INDEX('SALA 1974'!$B:$U,MATCH($A49,'SALA 1974'!$A:$A,0),MATCH(T$1,'SALA 1974'!$B$1:$U$1,0)),IF($A49&lt;=1994,1000*INDEX('SALA 2002'!$B:$U,MATCH($A49,'SALA 2002'!$A:$A,0),MATCH(T$1,'SALA 2002'!$B$1:$U$1,0)),IF($A49&lt;=2000,1000*INDEX('SALA 2002'!$B:$U,MATCH($A49,'SALA 2002'!$A:$A,0),MATCH(T$1,'SALA 2002'!$B$1:$U$1,0))*POWER(INDEX('WPP 2024 середина года'!$B:$U,MATCH($A49,'WPP 2024 середина года'!$A:$A,0),MATCH(T$1,'WPP 2024 середина года'!$B$1:$U$1,0))/(1000*INDEX('SALA 2002'!$B:$U,MATCH($A49,'SALA 2002'!$A:$A,0),MATCH(T$1,'SALA 2002'!$B$1:$U$1,0))),($A49-1994)/7),INDEX('WPP 2024 середина года'!$B:$U,MATCH($A49,'WPP 2024 середина года'!$A:$A,0),MATCH(T$1,'WPP 2024 середина года'!$B$1:$U$1,0)))))</f>
        <v>2121</v>
      </c>
      <c r="U49" s="7">
        <f>IF($A49&lt;=1951,INDEX('SALA 1974'!$B:$U,MATCH($A49,'SALA 1974'!$A:$A,0),MATCH(U$1,'SALA 1974'!$B$1:$U$1,0)),IF($A49&lt;=1994,1000*INDEX('SALA 2002'!$B:$U,MATCH($A49,'SALA 2002'!$A:$A,0),MATCH(U$1,'SALA 2002'!$B$1:$U$1,0)),IF($A49&lt;=2000,1000*INDEX('SALA 2002'!$B:$U,MATCH($A49,'SALA 2002'!$A:$A,0),MATCH(U$1,'SALA 2002'!$B$1:$U$1,0))*POWER(INDEX('WPP 2024 середина года'!$B:$U,MATCH($A49,'WPP 2024 середина года'!$A:$A,0),MATCH(U$1,'WPP 2024 середина года'!$B$1:$U$1,0))/(1000*INDEX('SALA 2002'!$B:$U,MATCH($A49,'SALA 2002'!$A:$A,0),MATCH(U$1,'SALA 2002'!$B$1:$U$1,0))),($A49-1994)/7),INDEX('WPP 2024 середина года'!$B:$U,MATCH($A49,'WPP 2024 середина года'!$A:$A,0),MATCH(U$1,'WPP 2024 середина года'!$B$1:$U$1,0)))))</f>
        <v>4548</v>
      </c>
    </row>
    <row r="50" spans="1:21" x14ac:dyDescent="0.25">
      <c r="A50" s="5">
        <f t="shared" si="0"/>
        <v>1948</v>
      </c>
      <c r="B50" s="7">
        <f>IF($A50&lt;=1951,INDEX('SALA 1974'!$B:$U,MATCH($A50,'SALA 1974'!$A:$A,0),MATCH(B$1,'SALA 1974'!$B$1:$U$1,0)),IF($A50&lt;=1994,1000*INDEX('SALA 2002'!$B:$U,MATCH($A50,'SALA 2002'!$A:$A,0),MATCH(B$1,'SALA 2002'!$B$1:$U$1,0)),IF($A50&lt;=2000,1000*INDEX('SALA 2002'!$B:$U,MATCH($A50,'SALA 2002'!$A:$A,0),MATCH(B$1,'SALA 2002'!$B$1:$U$1,0))*POWER(INDEX('WPP 2024 середина года'!$B:$U,MATCH($A50,'WPP 2024 середина года'!$A:$A,0),MATCH(B$1,'WPP 2024 середина года'!$B$1:$U$1,0))/(1000*INDEX('SALA 2002'!$B:$U,MATCH($A50,'SALA 2002'!$A:$A,0),MATCH(B$1,'SALA 2002'!$B$1:$U$1,0))),($A50-1994)/7),INDEX('WPP 2024 середина года'!$B:$U,MATCH($A50,'WPP 2024 середина года'!$A:$A,0),MATCH(B$1,'WPP 2024 середина года'!$B$1:$U$1,0)))))</f>
        <v>16269</v>
      </c>
      <c r="C50" s="7">
        <f>IF($A50&lt;=1951,INDEX('SALA 1974'!$B:$U,MATCH($A50,'SALA 1974'!$A:$A,0),MATCH(C$1,'SALA 1974'!$B$1:$U$1,0)),IF($A50&lt;=1994,1000*INDEX('SALA 2002'!$B:$U,MATCH($A50,'SALA 2002'!$A:$A,0),MATCH(C$1,'SALA 2002'!$B$1:$U$1,0)),IF($A50&lt;=2000,1000*INDEX('SALA 2002'!$B:$U,MATCH($A50,'SALA 2002'!$A:$A,0),MATCH(C$1,'SALA 2002'!$B$1:$U$1,0))*POWER(INDEX('WPP 2024 середина года'!$B:$U,MATCH($A50,'WPP 2024 середина года'!$A:$A,0),MATCH(C$1,'WPP 2024 середина года'!$B$1:$U$1,0))/(1000*INDEX('SALA 2002'!$B:$U,MATCH($A50,'SALA 2002'!$A:$A,0),MATCH(C$1,'SALA 2002'!$B$1:$U$1,0))),($A50-1994)/7),INDEX('WPP 2024 середина года'!$B:$U,MATCH($A50,'WPP 2024 середина года'!$A:$A,0),MATCH(C$1,'WPP 2024 середина года'!$B$1:$U$1,0)))))</f>
        <v>2950</v>
      </c>
      <c r="D50" s="7">
        <f>IF($A50&lt;=1951,INDEX('SALA 1974'!$B:$U,MATCH($A50,'SALA 1974'!$A:$A,0),MATCH(D$1,'SALA 1974'!$B$1:$U$1,0)),IF($A50&lt;=1994,1000*INDEX('SALA 2002'!$B:$U,MATCH($A50,'SALA 2002'!$A:$A,0),MATCH(D$1,'SALA 2002'!$B$1:$U$1,0)),IF($A50&lt;=2000,1000*INDEX('SALA 2002'!$B:$U,MATCH($A50,'SALA 2002'!$A:$A,0),MATCH(D$1,'SALA 2002'!$B$1:$U$1,0))*POWER(INDEX('WPP 2024 середина года'!$B:$U,MATCH($A50,'WPP 2024 середина года'!$A:$A,0),MATCH(D$1,'WPP 2024 середина года'!$B$1:$U$1,0))/(1000*INDEX('SALA 2002'!$B:$U,MATCH($A50,'SALA 2002'!$A:$A,0),MATCH(D$1,'SALA 2002'!$B$1:$U$1,0))),($A50-1994)/7),INDEX('WPP 2024 середина года'!$B:$U,MATCH($A50,'WPP 2024 середина года'!$A:$A,0),MATCH(D$1,'WPP 2024 середина года'!$B$1:$U$1,0)))))</f>
        <v>49422</v>
      </c>
      <c r="E50" s="7">
        <f>IF($A50&lt;=1951,INDEX('SALA 1974'!$B:$U,MATCH($A50,'SALA 1974'!$A:$A,0),MATCH(E$1,'SALA 1974'!$B$1:$U$1,0)),IF($A50&lt;=1994,1000*INDEX('SALA 2002'!$B:$U,MATCH($A50,'SALA 2002'!$A:$A,0),MATCH(E$1,'SALA 2002'!$B$1:$U$1,0)),IF($A50&lt;=2000,1000*INDEX('SALA 2002'!$B:$U,MATCH($A50,'SALA 2002'!$A:$A,0),MATCH(E$1,'SALA 2002'!$B$1:$U$1,0))*POWER(INDEX('WPP 2024 середина года'!$B:$U,MATCH($A50,'WPP 2024 середина года'!$A:$A,0),MATCH(E$1,'WPP 2024 середина года'!$B$1:$U$1,0))/(1000*INDEX('SALA 2002'!$B:$U,MATCH($A50,'SALA 2002'!$A:$A,0),MATCH(E$1,'SALA 2002'!$B$1:$U$1,0))),($A50-1994)/7),INDEX('WPP 2024 середина года'!$B:$U,MATCH($A50,'WPP 2024 середина года'!$A:$A,0),MATCH(E$1,'WPP 2024 середина года'!$B$1:$U$1,0)))))</f>
        <v>5854</v>
      </c>
      <c r="F50" s="7">
        <f>IF($A50&lt;=1947,INDEX('SALA 1974'!$B:$U,MATCH($A50,'SALA 1974'!$A:$A,0),MATCH(F$1,'SALA 1974'!$B$1:$U$1,0)),IF($A50&lt;=1994,1000*INDEX('SALA 2002'!$B:$U,MATCH($A50,'SALA 2002'!$A:$A,0),MATCH(F$1,'SALA 2002'!$B$1:$U$1,0)),IF($A50&lt;=2000,1000*INDEX('SALA 2002'!$B:$U,MATCH($A50,'SALA 2002'!$A:$A,0),MATCH(F$1,'SALA 2002'!$B$1:$U$1,0))*POWER(INDEX('WPP 2024 середина года'!$B:$U,MATCH($A50,'WPP 2024 середина года'!$A:$A,0),MATCH(F$1,'WPP 2024 середина года'!$B$1:$U$1,0))/(1000*INDEX('SALA 2002'!$B:$U,MATCH($A50,'SALA 2002'!$A:$A,0),MATCH(F$1,'SALA 2002'!$B$1:$U$1,0))),($A50-1994)/7),INDEX('WPP 2024 середина года'!$B:$U,MATCH($A50,'WPP 2024 середина года'!$A:$A,0),MATCH(F$1,'WPP 2024 середина года'!$B$1:$U$1,0)))))</f>
        <v>10850</v>
      </c>
      <c r="G50" s="7">
        <f>IF($A50&lt;=1951,INDEX('SALA 1974'!$B:$U,MATCH($A50,'SALA 1974'!$A:$A,0),MATCH(G$1,'SALA 1974'!$B$1:$U$1,0)),IF($A50&lt;=1994,1000*INDEX('SALA 2002'!$B:$U,MATCH($A50,'SALA 2002'!$A:$A,0),MATCH(G$1,'SALA 2002'!$B$1:$U$1,0)),IF($A50&lt;=2000,1000*INDEX('SALA 2002'!$B:$U,MATCH($A50,'SALA 2002'!$A:$A,0),MATCH(G$1,'SALA 2002'!$B$1:$U$1,0))*POWER(INDEX('WPP 2024 середина года'!$B:$U,MATCH($A50,'WPP 2024 середина года'!$A:$A,0),MATCH(G$1,'WPP 2024 середина года'!$B$1:$U$1,0))/(1000*INDEX('SALA 2002'!$B:$U,MATCH($A50,'SALA 2002'!$A:$A,0),MATCH(G$1,'SALA 2002'!$B$1:$U$1,0))),($A50-1994)/7),INDEX('WPP 2024 середина года'!$B:$U,MATCH($A50,'WPP 2024 середина года'!$A:$A,0),MATCH(G$1,'WPP 2024 середина года'!$B$1:$U$1,0)))))</f>
        <v>746</v>
      </c>
      <c r="H50" s="7">
        <f>IF($A50&lt;=1951,INDEX('SALA 1974'!$B:$U,MATCH($A50,'SALA 1974'!$A:$A,0),MATCH(H$1,'SALA 1974'!$B$1:$U$1,0)),IF($A50&lt;=1994,1000*INDEX('SALA 2002'!$B:$U,MATCH($A50,'SALA 2002'!$A:$A,0),MATCH(H$1,'SALA 2002'!$B$1:$U$1,0)),IF($A50&lt;=2000,1000*INDEX('SALA 2002'!$B:$U,MATCH($A50,'SALA 2002'!$A:$A,0),MATCH(H$1,'SALA 2002'!$B$1:$U$1,0))*POWER(INDEX('WPP 2024 середина года'!$B:$U,MATCH($A50,'WPP 2024 середина года'!$A:$A,0),MATCH(H$1,'WPP 2024 середина года'!$B$1:$U$1,0))/(1000*INDEX('SALA 2002'!$B:$U,MATCH($A50,'SALA 2002'!$A:$A,0),MATCH(H$1,'SALA 2002'!$B$1:$U$1,0))),($A50-1994)/7),INDEX('WPP 2024 середина года'!$B:$U,MATCH($A50,'WPP 2024 середина года'!$A:$A,0),MATCH(H$1,'WPP 2024 середина года'!$B$1:$U$1,0)))))</f>
        <v>5268</v>
      </c>
      <c r="I50" s="7">
        <f>IF($A50&lt;=1951,INDEX('SALA 1974'!$B:$U,MATCH($A50,'SALA 1974'!$A:$A,0),MATCH(I$1,'SALA 1974'!$B$1:$U$1,0)),IF($A50&lt;=1994,1000*INDEX('SALA 2002'!$B:$U,MATCH($A50,'SALA 2002'!$A:$A,0),MATCH(I$1,'SALA 2002'!$B$1:$U$1,0)),IF($A50&lt;=2000,1000*INDEX('SALA 2002'!$B:$U,MATCH($A50,'SALA 2002'!$A:$A,0),MATCH(I$1,'SALA 2002'!$B$1:$U$1,0))*POWER(INDEX('WPP 2024 середина года'!$B:$U,MATCH($A50,'WPP 2024 середина года'!$A:$A,0),MATCH(I$1,'WPP 2024 середина года'!$B$1:$U$1,0))/(1000*INDEX('SALA 2002'!$B:$U,MATCH($A50,'SALA 2002'!$A:$A,0),MATCH(I$1,'SALA 2002'!$B$1:$U$1,0))),($A50-1994)/7),INDEX('WPP 2024 середина года'!$B:$U,MATCH($A50,'WPP 2024 середина года'!$A:$A,0),MATCH(I$1,'WPP 2024 середина года'!$B$1:$U$1,0)))))</f>
        <v>2131</v>
      </c>
      <c r="J50" s="7">
        <f>IF($A50&lt;=1951,INDEX('SALA 1974'!$B:$U,MATCH($A50,'SALA 1974'!$A:$A,0),MATCH(J$1,'SALA 1974'!$B$1:$U$1,0)),IF($A50&lt;=1994,1000*INDEX('SALA 2002'!$B:$U,MATCH($A50,'SALA 2002'!$A:$A,0),MATCH(J$1,'SALA 2002'!$B$1:$U$1,0)),IF($A50&lt;=2000,1000*INDEX('SALA 2002'!$B:$U,MATCH($A50,'SALA 2002'!$A:$A,0),MATCH(J$1,'SALA 2002'!$B$1:$U$1,0))*POWER(INDEX('WPP 2024 середина года'!$B:$U,MATCH($A50,'WPP 2024 середина года'!$A:$A,0),MATCH(J$1,'WPP 2024 середина года'!$B$1:$U$1,0))/(1000*INDEX('SALA 2002'!$B:$U,MATCH($A50,'SALA 2002'!$A:$A,0),MATCH(J$1,'SALA 2002'!$B$1:$U$1,0))),($A50-1994)/7),INDEX('WPP 2024 середина года'!$B:$U,MATCH($A50,'WPP 2024 середина года'!$A:$A,0),MATCH(J$1,'WPP 2024 середина года'!$B$1:$U$1,0)))))</f>
        <v>3017</v>
      </c>
      <c r="K50" s="7">
        <f>IF($A50&lt;=1951,INDEX('SALA 1974'!$B:$U,MATCH($A50,'SALA 1974'!$A:$A,0),MATCH(K$1,'SALA 1974'!$B$1:$U$1,0)),IF($A50&lt;=1994,1000*INDEX('SALA 2002'!$B:$U,MATCH($A50,'SALA 2002'!$A:$A,0),MATCH(K$1,'SALA 2002'!$B$1:$U$1,0)),IF($A50&lt;=2000,1000*INDEX('SALA 2002'!$B:$U,MATCH($A50,'SALA 2002'!$A:$A,0),MATCH(K$1,'SALA 2002'!$B$1:$U$1,0))*POWER(INDEX('WPP 2024 середина года'!$B:$U,MATCH($A50,'WPP 2024 середина года'!$A:$A,0),MATCH(K$1,'WPP 2024 середина года'!$B$1:$U$1,0))/(1000*INDEX('SALA 2002'!$B:$U,MATCH($A50,'SALA 2002'!$A:$A,0),MATCH(K$1,'SALA 2002'!$B$1:$U$1,0))),($A50-1994)/7),INDEX('WPP 2024 середина года'!$B:$U,MATCH($A50,'WPP 2024 середина года'!$A:$A,0),MATCH(K$1,'WPP 2024 середина года'!$B$1:$U$1,0)))))</f>
        <v>1811</v>
      </c>
      <c r="L50" s="7">
        <f>IF($A50&lt;=1951,INDEX('SALA 1974'!$B:$U,MATCH($A50,'SALA 1974'!$A:$A,0),MATCH(L$1,'SALA 1974'!$B$1:$U$1,0)),IF($A50&lt;=1994,1000*INDEX('SALA 2002'!$B:$U,MATCH($A50,'SALA 2002'!$A:$A,0),MATCH(L$1,'SALA 2002'!$B$1:$U$1,0)),IF($A50&lt;=2000,1000*INDEX('SALA 2002'!$B:$U,MATCH($A50,'SALA 2002'!$A:$A,0),MATCH(L$1,'SALA 2002'!$B$1:$U$1,0))*POWER(INDEX('WPP 2024 середина года'!$B:$U,MATCH($A50,'WPP 2024 середина года'!$A:$A,0),MATCH(L$1,'WPP 2024 середина года'!$B$1:$U$1,0))/(1000*INDEX('SALA 2002'!$B:$U,MATCH($A50,'SALA 2002'!$A:$A,0),MATCH(L$1,'SALA 2002'!$B$1:$U$1,0))),($A50-1994)/7),INDEX('WPP 2024 середина года'!$B:$U,MATCH($A50,'WPP 2024 середина года'!$A:$A,0),MATCH(L$1,'WPP 2024 середина года'!$B$1:$U$1,0)))))</f>
        <v>2641</v>
      </c>
      <c r="M50" s="7">
        <f>IF($A50&lt;=1951,INDEX('SALA 1974'!$B:$U,MATCH($A50,'SALA 1974'!$A:$A,0),MATCH(M$1,'SALA 1974'!$B$1:$U$1,0)),IF($A50&lt;=1994,1000*INDEX('SALA 2002'!$B:$U,MATCH($A50,'SALA 2002'!$A:$A,0),MATCH(M$1,'SALA 2002'!$B$1:$U$1,0)),IF($A50&lt;=2000,1000*INDEX('SALA 2002'!$B:$U,MATCH($A50,'SALA 2002'!$A:$A,0),MATCH(M$1,'SALA 2002'!$B$1:$U$1,0))*POWER(INDEX('WPP 2024 середина года'!$B:$U,MATCH($A50,'WPP 2024 середина года'!$A:$A,0),MATCH(M$1,'WPP 2024 середина года'!$B$1:$U$1,0))/(1000*INDEX('SALA 2002'!$B:$U,MATCH($A50,'SALA 2002'!$A:$A,0),MATCH(M$1,'SALA 2002'!$B$1:$U$1,0))),($A50-1994)/7),INDEX('WPP 2024 середина года'!$B:$U,MATCH($A50,'WPP 2024 середина года'!$A:$A,0),MATCH(M$1,'WPP 2024 середина года'!$B$1:$U$1,0)))))</f>
        <v>3258</v>
      </c>
      <c r="N50" s="7">
        <f>IF($A50&lt;=1951,INDEX('SALA 1974'!$B:$U,MATCH($A50,'SALA 1974'!$A:$A,0),MATCH(N$1,'SALA 1974'!$B$1:$U$1,0)),IF($A50&lt;=1994,1000*INDEX('SALA 2002'!$B:$U,MATCH($A50,'SALA 2002'!$A:$A,0),MATCH(N$1,'SALA 2002'!$B$1:$U$1,0)),IF($A50&lt;=2000,1000*INDEX('SALA 2002'!$B:$U,MATCH($A50,'SALA 2002'!$A:$A,0),MATCH(N$1,'SALA 2002'!$B$1:$U$1,0))*POWER(INDEX('WPP 2024 середина года'!$B:$U,MATCH($A50,'WPP 2024 середина года'!$A:$A,0),MATCH(N$1,'WPP 2024 середина года'!$B$1:$U$1,0))/(1000*INDEX('SALA 2002'!$B:$U,MATCH($A50,'SALA 2002'!$A:$A,0),MATCH(N$1,'SALA 2002'!$B$1:$U$1,0))),($A50-1994)/7),INDEX('WPP 2024 середина года'!$B:$U,MATCH($A50,'WPP 2024 середина года'!$A:$A,0),MATCH(N$1,'WPP 2024 середина года'!$B$1:$U$1,0)))))</f>
        <v>1353</v>
      </c>
      <c r="O50" s="7">
        <f>IF($A50&lt;=1951,INDEX('SALA 1974'!$B:$U,MATCH($A50,'SALA 1974'!$A:$A,0),MATCH(O$1,'SALA 1974'!$B$1:$U$1,0)),IF($A50&lt;=1994,1000*INDEX('SALA 2002'!$B:$U,MATCH($A50,'SALA 2002'!$A:$A,0),MATCH(O$1,'SALA 2002'!$B$1:$U$1,0)),IF($A50&lt;=2000,1000*INDEX('SALA 2002'!$B:$U,MATCH($A50,'SALA 2002'!$A:$A,0),MATCH(O$1,'SALA 2002'!$B$1:$U$1,0))*POWER(INDEX('WPP 2024 середина года'!$B:$U,MATCH($A50,'WPP 2024 середина года'!$A:$A,0),MATCH(O$1,'WPP 2024 середина года'!$B$1:$U$1,0))/(1000*INDEX('SALA 2002'!$B:$U,MATCH($A50,'SALA 2002'!$A:$A,0),MATCH(O$1,'SALA 2002'!$B$1:$U$1,0))),($A50-1994)/7),INDEX('WPP 2024 середина года'!$B:$U,MATCH($A50,'WPP 2024 середина года'!$A:$A,0),MATCH(O$1,'WPP 2024 середина года'!$B$1:$U$1,0)))))</f>
        <v>24129</v>
      </c>
      <c r="P50" s="7">
        <f>IF($A50&lt;=1951,INDEX('SALA 1974'!$B:$U,MATCH($A50,'SALA 1974'!$A:$A,0),MATCH(P$1,'SALA 1974'!$B$1:$U$1,0)),IF($A50&lt;=1994,1000*INDEX('SALA 2002'!$B:$U,MATCH($A50,'SALA 2002'!$A:$A,0),MATCH(P$1,'SALA 2002'!$B$1:$U$1,0)),IF($A50&lt;=2000,1000*INDEX('SALA 2002'!$B:$U,MATCH($A50,'SALA 2002'!$A:$A,0),MATCH(P$1,'SALA 2002'!$B$1:$U$1,0))*POWER(INDEX('WPP 2024 середина года'!$B:$U,MATCH($A50,'WPP 2024 середина года'!$A:$A,0),MATCH(P$1,'WPP 2024 середина года'!$B$1:$U$1,0))/(1000*INDEX('SALA 2002'!$B:$U,MATCH($A50,'SALA 2002'!$A:$A,0),MATCH(P$1,'SALA 2002'!$B$1:$U$1,0))),($A50-1994)/7),INDEX('WPP 2024 середина года'!$B:$U,MATCH($A50,'WPP 2024 середина года'!$A:$A,0),MATCH(P$1,'WPP 2024 середина года'!$B$1:$U$1,0)))))</f>
        <v>1001</v>
      </c>
      <c r="Q50" s="7">
        <f>IF($A50&lt;=1951,INDEX('SALA 1974'!$B:$U,MATCH($A50,'SALA 1974'!$A:$A,0),MATCH(Q$1,'SALA 1974'!$B$1:$U$1,0)),IF($A50&lt;=1994,1000*INDEX('SALA 2002'!$B:$U,MATCH($A50,'SALA 2002'!$A:$A,0),MATCH(Q$1,'SALA 2002'!$B$1:$U$1,0)),IF($A50&lt;=2000,1000*INDEX('SALA 2002'!$B:$U,MATCH($A50,'SALA 2002'!$A:$A,0),MATCH(Q$1,'SALA 2002'!$B$1:$U$1,0))*POWER(INDEX('WPP 2024 середина года'!$B:$U,MATCH($A50,'WPP 2024 середина года'!$A:$A,0),MATCH(Q$1,'WPP 2024 середина года'!$B$1:$U$1,0))/(1000*INDEX('SALA 2002'!$B:$U,MATCH($A50,'SALA 2002'!$A:$A,0),MATCH(Q$1,'SALA 2002'!$B$1:$U$1,0))),($A50-1994)/7),INDEX('WPP 2024 середина года'!$B:$U,MATCH($A50,'WPP 2024 середина года'!$A:$A,0),MATCH(Q$1,'WPP 2024 середина года'!$B$1:$U$1,0)))))</f>
        <v>758</v>
      </c>
      <c r="R50" s="7">
        <f>IF($A50&lt;=1951,INDEX('SALA 1974'!$B:$U,MATCH($A50,'SALA 1974'!$A:$A,0),MATCH(R$1,'SALA 1974'!$B$1:$U$1,0)),IF($A50&lt;=1994,1000*INDEX('SALA 2002'!$B:$U,MATCH($A50,'SALA 2002'!$A:$A,0),MATCH(R$1,'SALA 2002'!$B$1:$U$1,0)),IF($A50&lt;=2000,1000*INDEX('SALA 2002'!$B:$U,MATCH($A50,'SALA 2002'!$A:$A,0),MATCH(R$1,'SALA 2002'!$B$1:$U$1,0))*POWER(INDEX('WPP 2024 середина года'!$B:$U,MATCH($A50,'WPP 2024 середина года'!$A:$A,0),MATCH(R$1,'WPP 2024 середина года'!$B$1:$U$1,0))/(1000*INDEX('SALA 2002'!$B:$U,MATCH($A50,'SALA 2002'!$A:$A,0),MATCH(R$1,'SALA 2002'!$B$1:$U$1,0))),($A50-1994)/7),INDEX('WPP 2024 середина года'!$B:$U,MATCH($A50,'WPP 2024 середина года'!$A:$A,0),MATCH(R$1,'WPP 2024 середина года'!$B$1:$U$1,0)))))</f>
        <v>1335</v>
      </c>
      <c r="S50" s="7">
        <f>IF($A50&lt;=1951,INDEX('SALA 1974'!$B:$U,MATCH($A50,'SALA 1974'!$A:$A,0),MATCH(S$1,'SALA 1974'!$B$1:$U$1,0)),IF($A50&lt;=1994,1000*INDEX('SALA 2002'!$B:$U,MATCH($A50,'SALA 2002'!$A:$A,0),MATCH(S$1,'SALA 2002'!$B$1:$U$1,0)),IF($A50&lt;=2000,1000*INDEX('SALA 2002'!$B:$U,MATCH($A50,'SALA 2002'!$A:$A,0),MATCH(S$1,'SALA 2002'!$B$1:$U$1,0))*POWER(INDEX('WPP 2024 середина года'!$B:$U,MATCH($A50,'WPP 2024 середина года'!$A:$A,0),MATCH(S$1,'WPP 2024 середина года'!$B$1:$U$1,0))/(1000*INDEX('SALA 2002'!$B:$U,MATCH($A50,'SALA 2002'!$A:$A,0),MATCH(S$1,'SALA 2002'!$B$1:$U$1,0))),($A50-1994)/7),INDEX('WPP 2024 середина года'!$B:$U,MATCH($A50,'WPP 2024 середина года'!$A:$A,0),MATCH(S$1,'WPP 2024 середина года'!$B$1:$U$1,0)))))</f>
        <v>7682</v>
      </c>
      <c r="T50" s="7">
        <f>IF($A50&lt;=1951,INDEX('SALA 1974'!$B:$U,MATCH($A50,'SALA 1974'!$A:$A,0),MATCH(T$1,'SALA 1974'!$B$1:$U$1,0)),IF($A50&lt;=1994,1000*INDEX('SALA 2002'!$B:$U,MATCH($A50,'SALA 2002'!$A:$A,0),MATCH(T$1,'SALA 2002'!$B$1:$U$1,0)),IF($A50&lt;=2000,1000*INDEX('SALA 2002'!$B:$U,MATCH($A50,'SALA 2002'!$A:$A,0),MATCH(T$1,'SALA 2002'!$B$1:$U$1,0))*POWER(INDEX('WPP 2024 середина года'!$B:$U,MATCH($A50,'WPP 2024 середина года'!$A:$A,0),MATCH(T$1,'WPP 2024 середина года'!$B$1:$U$1,0))/(1000*INDEX('SALA 2002'!$B:$U,MATCH($A50,'SALA 2002'!$A:$A,0),MATCH(T$1,'SALA 2002'!$B$1:$U$1,0))),($A50-1994)/7),INDEX('WPP 2024 середина года'!$B:$U,MATCH($A50,'WPP 2024 середина года'!$A:$A,0),MATCH(T$1,'WPP 2024 середина года'!$B$1:$U$1,0)))))</f>
        <v>2144</v>
      </c>
      <c r="U50" s="7">
        <f>IF($A50&lt;=1951,INDEX('SALA 1974'!$B:$U,MATCH($A50,'SALA 1974'!$A:$A,0),MATCH(U$1,'SALA 1974'!$B$1:$U$1,0)),IF($A50&lt;=1994,1000*INDEX('SALA 2002'!$B:$U,MATCH($A50,'SALA 2002'!$A:$A,0),MATCH(U$1,'SALA 2002'!$B$1:$U$1,0)),IF($A50&lt;=2000,1000*INDEX('SALA 2002'!$B:$U,MATCH($A50,'SALA 2002'!$A:$A,0),MATCH(U$1,'SALA 2002'!$B$1:$U$1,0))*POWER(INDEX('WPP 2024 середина года'!$B:$U,MATCH($A50,'WPP 2024 середина года'!$A:$A,0),MATCH(U$1,'WPP 2024 середина года'!$B$1:$U$1,0))/(1000*INDEX('SALA 2002'!$B:$U,MATCH($A50,'SALA 2002'!$A:$A,0),MATCH(U$1,'SALA 2002'!$B$1:$U$1,0))),($A50-1994)/7),INDEX('WPP 2024 середина года'!$B:$U,MATCH($A50,'WPP 2024 середина года'!$A:$A,0),MATCH(U$1,'WPP 2024 середина года'!$B$1:$U$1,0)))))</f>
        <v>4686</v>
      </c>
    </row>
    <row r="51" spans="1:21" x14ac:dyDescent="0.25">
      <c r="A51" s="5">
        <f t="shared" si="0"/>
        <v>1949</v>
      </c>
      <c r="B51" s="7">
        <f>IF($A51&lt;=1951,INDEX('SALA 1974'!$B:$U,MATCH($A51,'SALA 1974'!$A:$A,0),MATCH(B$1,'SALA 1974'!$B$1:$U$1,0)),IF($A51&lt;=1994,1000*INDEX('SALA 2002'!$B:$U,MATCH($A51,'SALA 2002'!$A:$A,0),MATCH(B$1,'SALA 2002'!$B$1:$U$1,0)),IF($A51&lt;=2000,1000*INDEX('SALA 2002'!$B:$U,MATCH($A51,'SALA 2002'!$A:$A,0),MATCH(B$1,'SALA 2002'!$B$1:$U$1,0))*POWER(INDEX('WPP 2024 середина года'!$B:$U,MATCH($A51,'WPP 2024 середина года'!$A:$A,0),MATCH(B$1,'WPP 2024 середина года'!$B$1:$U$1,0))/(1000*INDEX('SALA 2002'!$B:$U,MATCH($A51,'SALA 2002'!$A:$A,0),MATCH(B$1,'SALA 2002'!$B$1:$U$1,0))),($A51-1994)/7),INDEX('WPP 2024 середина года'!$B:$U,MATCH($A51,'WPP 2024 середина года'!$A:$A,0),MATCH(B$1,'WPP 2024 середина года'!$B$1:$U$1,0)))))</f>
        <v>16656</v>
      </c>
      <c r="C51" s="7">
        <f>IF($A51&lt;=1951,INDEX('SALA 1974'!$B:$U,MATCH($A51,'SALA 1974'!$A:$A,0),MATCH(C$1,'SALA 1974'!$B$1:$U$1,0)),IF($A51&lt;=1994,1000*INDEX('SALA 2002'!$B:$U,MATCH($A51,'SALA 2002'!$A:$A,0),MATCH(C$1,'SALA 2002'!$B$1:$U$1,0)),IF($A51&lt;=2000,1000*INDEX('SALA 2002'!$B:$U,MATCH($A51,'SALA 2002'!$A:$A,0),MATCH(C$1,'SALA 2002'!$B$1:$U$1,0))*POWER(INDEX('WPP 2024 середина года'!$B:$U,MATCH($A51,'WPP 2024 середина года'!$A:$A,0),MATCH(C$1,'WPP 2024 середина года'!$B$1:$U$1,0))/(1000*INDEX('SALA 2002'!$B:$U,MATCH($A51,'SALA 2002'!$A:$A,0),MATCH(C$1,'SALA 2002'!$B$1:$U$1,0))),($A51-1994)/7),INDEX('WPP 2024 середина года'!$B:$U,MATCH($A51,'WPP 2024 середина года'!$A:$A,0),MATCH(C$1,'WPP 2024 середина года'!$B$1:$U$1,0)))))</f>
        <v>2955</v>
      </c>
      <c r="D51" s="7">
        <f>IF($A51&lt;=1951,INDEX('SALA 1974'!$B:$U,MATCH($A51,'SALA 1974'!$A:$A,0),MATCH(D$1,'SALA 1974'!$B$1:$U$1,0)),IF($A51&lt;=1994,1000*INDEX('SALA 2002'!$B:$U,MATCH($A51,'SALA 2002'!$A:$A,0),MATCH(D$1,'SALA 2002'!$B$1:$U$1,0)),IF($A51&lt;=2000,1000*INDEX('SALA 2002'!$B:$U,MATCH($A51,'SALA 2002'!$A:$A,0),MATCH(D$1,'SALA 2002'!$B$1:$U$1,0))*POWER(INDEX('WPP 2024 середина года'!$B:$U,MATCH($A51,'WPP 2024 середина года'!$A:$A,0),MATCH(D$1,'WPP 2024 середина года'!$B$1:$U$1,0))/(1000*INDEX('SALA 2002'!$B:$U,MATCH($A51,'SALA 2002'!$A:$A,0),MATCH(D$1,'SALA 2002'!$B$1:$U$1,0))),($A51-1994)/7),INDEX('WPP 2024 середина года'!$B:$U,MATCH($A51,'WPP 2024 середина года'!$A:$A,0),MATCH(D$1,'WPP 2024 середина года'!$B$1:$U$1,0)))))</f>
        <v>50759</v>
      </c>
      <c r="E51" s="7">
        <f>IF($A51&lt;=1951,INDEX('SALA 1974'!$B:$U,MATCH($A51,'SALA 1974'!$A:$A,0),MATCH(E$1,'SALA 1974'!$B$1:$U$1,0)),IF($A51&lt;=1994,1000*INDEX('SALA 2002'!$B:$U,MATCH($A51,'SALA 2002'!$A:$A,0),MATCH(E$1,'SALA 2002'!$B$1:$U$1,0)),IF($A51&lt;=2000,1000*INDEX('SALA 2002'!$B:$U,MATCH($A51,'SALA 2002'!$A:$A,0),MATCH(E$1,'SALA 2002'!$B$1:$U$1,0))*POWER(INDEX('WPP 2024 середина года'!$B:$U,MATCH($A51,'WPP 2024 середина года'!$A:$A,0),MATCH(E$1,'WPP 2024 середина года'!$B$1:$U$1,0))/(1000*INDEX('SALA 2002'!$B:$U,MATCH($A51,'SALA 2002'!$A:$A,0),MATCH(E$1,'SALA 2002'!$B$1:$U$1,0))),($A51-1994)/7),INDEX('WPP 2024 середина года'!$B:$U,MATCH($A51,'WPP 2024 середина года'!$A:$A,0),MATCH(E$1,'WPP 2024 середина года'!$B$1:$U$1,0)))))</f>
        <v>5962</v>
      </c>
      <c r="F51" s="7">
        <f>IF($A51&lt;=1947,INDEX('SALA 1974'!$B:$U,MATCH($A51,'SALA 1974'!$A:$A,0),MATCH(F$1,'SALA 1974'!$B$1:$U$1,0)),IF($A51&lt;=1994,1000*INDEX('SALA 2002'!$B:$U,MATCH($A51,'SALA 2002'!$A:$A,0),MATCH(F$1,'SALA 2002'!$B$1:$U$1,0)),IF($A51&lt;=2000,1000*INDEX('SALA 2002'!$B:$U,MATCH($A51,'SALA 2002'!$A:$A,0),MATCH(F$1,'SALA 2002'!$B$1:$U$1,0))*POWER(INDEX('WPP 2024 середина года'!$B:$U,MATCH($A51,'WPP 2024 середина года'!$A:$A,0),MATCH(F$1,'WPP 2024 середина года'!$B$1:$U$1,0))/(1000*INDEX('SALA 2002'!$B:$U,MATCH($A51,'SALA 2002'!$A:$A,0),MATCH(F$1,'SALA 2002'!$B$1:$U$1,0))),($A51-1994)/7),INDEX('WPP 2024 середина года'!$B:$U,MATCH($A51,'WPP 2024 середина года'!$A:$A,0),MATCH(F$1,'WPP 2024 середина года'!$B$1:$U$1,0)))))</f>
        <v>11090</v>
      </c>
      <c r="G51" s="7">
        <f>IF($A51&lt;=1951,INDEX('SALA 1974'!$B:$U,MATCH($A51,'SALA 1974'!$A:$A,0),MATCH(G$1,'SALA 1974'!$B$1:$U$1,0)),IF($A51&lt;=1994,1000*INDEX('SALA 2002'!$B:$U,MATCH($A51,'SALA 2002'!$A:$A,0),MATCH(G$1,'SALA 2002'!$B$1:$U$1,0)),IF($A51&lt;=2000,1000*INDEX('SALA 2002'!$B:$U,MATCH($A51,'SALA 2002'!$A:$A,0),MATCH(G$1,'SALA 2002'!$B$1:$U$1,0))*POWER(INDEX('WPP 2024 середина года'!$B:$U,MATCH($A51,'WPP 2024 середина года'!$A:$A,0),MATCH(G$1,'WPP 2024 середина года'!$B$1:$U$1,0))/(1000*INDEX('SALA 2002'!$B:$U,MATCH($A51,'SALA 2002'!$A:$A,0),MATCH(G$1,'SALA 2002'!$B$1:$U$1,0))),($A51-1994)/7),INDEX('WPP 2024 середина года'!$B:$U,MATCH($A51,'WPP 2024 середина года'!$A:$A,0),MATCH(G$1,'WPP 2024 середина года'!$B$1:$U$1,0)))))</f>
        <v>771</v>
      </c>
      <c r="H51" s="7">
        <f>IF($A51&lt;=1951,INDEX('SALA 1974'!$B:$U,MATCH($A51,'SALA 1974'!$A:$A,0),MATCH(H$1,'SALA 1974'!$B$1:$U$1,0)),IF($A51&lt;=1994,1000*INDEX('SALA 2002'!$B:$U,MATCH($A51,'SALA 2002'!$A:$A,0),MATCH(H$1,'SALA 2002'!$B$1:$U$1,0)),IF($A51&lt;=2000,1000*INDEX('SALA 2002'!$B:$U,MATCH($A51,'SALA 2002'!$A:$A,0),MATCH(H$1,'SALA 2002'!$B$1:$U$1,0))*POWER(INDEX('WPP 2024 середина года'!$B:$U,MATCH($A51,'WPP 2024 середина года'!$A:$A,0),MATCH(H$1,'WPP 2024 середина года'!$B$1:$U$1,0))/(1000*INDEX('SALA 2002'!$B:$U,MATCH($A51,'SALA 2002'!$A:$A,0),MATCH(H$1,'SALA 2002'!$B$1:$U$1,0))),($A51-1994)/7),INDEX('WPP 2024 середина года'!$B:$U,MATCH($A51,'WPP 2024 середина года'!$A:$A,0),MATCH(H$1,'WPP 2024 середина года'!$B$1:$U$1,0)))))</f>
        <v>5386</v>
      </c>
      <c r="I51" s="7">
        <f>IF($A51&lt;=1951,INDEX('SALA 1974'!$B:$U,MATCH($A51,'SALA 1974'!$A:$A,0),MATCH(I$1,'SALA 1974'!$B$1:$U$1,0)),IF($A51&lt;=1994,1000*INDEX('SALA 2002'!$B:$U,MATCH($A51,'SALA 2002'!$A:$A,0),MATCH(I$1,'SALA 2002'!$B$1:$U$1,0)),IF($A51&lt;=2000,1000*INDEX('SALA 2002'!$B:$U,MATCH($A51,'SALA 2002'!$A:$A,0),MATCH(I$1,'SALA 2002'!$B$1:$U$1,0))*POWER(INDEX('WPP 2024 середина года'!$B:$U,MATCH($A51,'WPP 2024 середина года'!$A:$A,0),MATCH(I$1,'WPP 2024 середина года'!$B$1:$U$1,0))/(1000*INDEX('SALA 2002'!$B:$U,MATCH($A51,'SALA 2002'!$A:$A,0),MATCH(I$1,'SALA 2002'!$B$1:$U$1,0))),($A51-1994)/7),INDEX('WPP 2024 середина года'!$B:$U,MATCH($A51,'WPP 2024 середина года'!$A:$A,0),MATCH(I$1,'WPP 2024 середина года'!$B$1:$U$1,0)))))</f>
        <v>2185</v>
      </c>
      <c r="J51" s="7">
        <f>IF($A51&lt;=1951,INDEX('SALA 1974'!$B:$U,MATCH($A51,'SALA 1974'!$A:$A,0),MATCH(J$1,'SALA 1974'!$B$1:$U$1,0)),IF($A51&lt;=1994,1000*INDEX('SALA 2002'!$B:$U,MATCH($A51,'SALA 2002'!$A:$A,0),MATCH(J$1,'SALA 2002'!$B$1:$U$1,0)),IF($A51&lt;=2000,1000*INDEX('SALA 2002'!$B:$U,MATCH($A51,'SALA 2002'!$A:$A,0),MATCH(J$1,'SALA 2002'!$B$1:$U$1,0))*POWER(INDEX('WPP 2024 середина года'!$B:$U,MATCH($A51,'WPP 2024 середина года'!$A:$A,0),MATCH(J$1,'WPP 2024 середина года'!$B$1:$U$1,0))/(1000*INDEX('SALA 2002'!$B:$U,MATCH($A51,'SALA 2002'!$A:$A,0),MATCH(J$1,'SALA 2002'!$B$1:$U$1,0))),($A51-1994)/7),INDEX('WPP 2024 середина года'!$B:$U,MATCH($A51,'WPP 2024 середина года'!$A:$A,0),MATCH(J$1,'WPP 2024 середина года'!$B$1:$U$1,0)))))</f>
        <v>3104</v>
      </c>
      <c r="K51" s="7">
        <f>IF($A51&lt;=1951,INDEX('SALA 1974'!$B:$U,MATCH($A51,'SALA 1974'!$A:$A,0),MATCH(K$1,'SALA 1974'!$B$1:$U$1,0)),IF($A51&lt;=1994,1000*INDEX('SALA 2002'!$B:$U,MATCH($A51,'SALA 2002'!$A:$A,0),MATCH(K$1,'SALA 2002'!$B$1:$U$1,0)),IF($A51&lt;=2000,1000*INDEX('SALA 2002'!$B:$U,MATCH($A51,'SALA 2002'!$A:$A,0),MATCH(K$1,'SALA 2002'!$B$1:$U$1,0))*POWER(INDEX('WPP 2024 середина года'!$B:$U,MATCH($A51,'WPP 2024 середина года'!$A:$A,0),MATCH(K$1,'WPP 2024 середина года'!$B$1:$U$1,0))/(1000*INDEX('SALA 2002'!$B:$U,MATCH($A51,'SALA 2002'!$A:$A,0),MATCH(K$1,'SALA 2002'!$B$1:$U$1,0))),($A51-1994)/7),INDEX('WPP 2024 середина года'!$B:$U,MATCH($A51,'WPP 2024 середина года'!$A:$A,0),MATCH(K$1,'WPP 2024 середина года'!$B$1:$U$1,0)))))</f>
        <v>1835</v>
      </c>
      <c r="L51" s="7">
        <f>IF($A51&lt;=1951,INDEX('SALA 1974'!$B:$U,MATCH($A51,'SALA 1974'!$A:$A,0),MATCH(L$1,'SALA 1974'!$B$1:$U$1,0)),IF($A51&lt;=1994,1000*INDEX('SALA 2002'!$B:$U,MATCH($A51,'SALA 2002'!$A:$A,0),MATCH(L$1,'SALA 2002'!$B$1:$U$1,0)),IF($A51&lt;=2000,1000*INDEX('SALA 2002'!$B:$U,MATCH($A51,'SALA 2002'!$A:$A,0),MATCH(L$1,'SALA 2002'!$B$1:$U$1,0))*POWER(INDEX('WPP 2024 середина года'!$B:$U,MATCH($A51,'WPP 2024 середина года'!$A:$A,0),MATCH(L$1,'WPP 2024 середина года'!$B$1:$U$1,0))/(1000*INDEX('SALA 2002'!$B:$U,MATCH($A51,'SALA 2002'!$A:$A,0),MATCH(L$1,'SALA 2002'!$B$1:$U$1,0))),($A51-1994)/7),INDEX('WPP 2024 середина года'!$B:$U,MATCH($A51,'WPP 2024 середина года'!$A:$A,0),MATCH(L$1,'WPP 2024 середина года'!$B$1:$U$1,0)))))</f>
        <v>2724</v>
      </c>
      <c r="M51" s="7">
        <f>IF($A51&lt;=1951,INDEX('SALA 1974'!$B:$U,MATCH($A51,'SALA 1974'!$A:$A,0),MATCH(M$1,'SALA 1974'!$B$1:$U$1,0)),IF($A51&lt;=1994,1000*INDEX('SALA 2002'!$B:$U,MATCH($A51,'SALA 2002'!$A:$A,0),MATCH(M$1,'SALA 2002'!$B$1:$U$1,0)),IF($A51&lt;=2000,1000*INDEX('SALA 2002'!$B:$U,MATCH($A51,'SALA 2002'!$A:$A,0),MATCH(M$1,'SALA 2002'!$B$1:$U$1,0))*POWER(INDEX('WPP 2024 середина года'!$B:$U,MATCH($A51,'WPP 2024 середина года'!$A:$A,0),MATCH(M$1,'WPP 2024 середина года'!$B$1:$U$1,0))/(1000*INDEX('SALA 2002'!$B:$U,MATCH($A51,'SALA 2002'!$A:$A,0),MATCH(M$1,'SALA 2002'!$B$1:$U$1,0))),($A51-1994)/7),INDEX('WPP 2024 середина года'!$B:$U,MATCH($A51,'WPP 2024 середина года'!$A:$A,0),MATCH(M$1,'WPP 2024 середина года'!$B$1:$U$1,0)))))</f>
        <v>3318</v>
      </c>
      <c r="N51" s="7">
        <f>IF($A51&lt;=1951,INDEX('SALA 1974'!$B:$U,MATCH($A51,'SALA 1974'!$A:$A,0),MATCH(N$1,'SALA 1974'!$B$1:$U$1,0)),IF($A51&lt;=1994,1000*INDEX('SALA 2002'!$B:$U,MATCH($A51,'SALA 2002'!$A:$A,0),MATCH(N$1,'SALA 2002'!$B$1:$U$1,0)),IF($A51&lt;=2000,1000*INDEX('SALA 2002'!$B:$U,MATCH($A51,'SALA 2002'!$A:$A,0),MATCH(N$1,'SALA 2002'!$B$1:$U$1,0))*POWER(INDEX('WPP 2024 середина года'!$B:$U,MATCH($A51,'WPP 2024 середина года'!$A:$A,0),MATCH(N$1,'WPP 2024 середина года'!$B$1:$U$1,0))/(1000*INDEX('SALA 2002'!$B:$U,MATCH($A51,'SALA 2002'!$A:$A,0),MATCH(N$1,'SALA 2002'!$B$1:$U$1,0))),($A51-1994)/7),INDEX('WPP 2024 середина года'!$B:$U,MATCH($A51,'WPP 2024 середина года'!$A:$A,0),MATCH(N$1,'WPP 2024 середина года'!$B$1:$U$1,0)))))</f>
        <v>1389</v>
      </c>
      <c r="O51" s="7">
        <f>IF($A51&lt;=1951,INDEX('SALA 1974'!$B:$U,MATCH($A51,'SALA 1974'!$A:$A,0),MATCH(O$1,'SALA 1974'!$B$1:$U$1,0)),IF($A51&lt;=1994,1000*INDEX('SALA 2002'!$B:$U,MATCH($A51,'SALA 2002'!$A:$A,0),MATCH(O$1,'SALA 2002'!$B$1:$U$1,0)),IF($A51&lt;=2000,1000*INDEX('SALA 2002'!$B:$U,MATCH($A51,'SALA 2002'!$A:$A,0),MATCH(O$1,'SALA 2002'!$B$1:$U$1,0))*POWER(INDEX('WPP 2024 середина года'!$B:$U,MATCH($A51,'WPP 2024 середина года'!$A:$A,0),MATCH(O$1,'WPP 2024 середина года'!$B$1:$U$1,0))/(1000*INDEX('SALA 2002'!$B:$U,MATCH($A51,'SALA 2002'!$A:$A,0),MATCH(O$1,'SALA 2002'!$B$1:$U$1,0))),($A51-1994)/7),INDEX('WPP 2024 середина года'!$B:$U,MATCH($A51,'WPP 2024 середина года'!$A:$A,0),MATCH(O$1,'WPP 2024 середина года'!$B$1:$U$1,0)))))</f>
        <v>24825</v>
      </c>
      <c r="P51" s="7">
        <f>IF($A51&lt;=1951,INDEX('SALA 1974'!$B:$U,MATCH($A51,'SALA 1974'!$A:$A,0),MATCH(P$1,'SALA 1974'!$B$1:$U$1,0)),IF($A51&lt;=1994,1000*INDEX('SALA 2002'!$B:$U,MATCH($A51,'SALA 2002'!$A:$A,0),MATCH(P$1,'SALA 2002'!$B$1:$U$1,0)),IF($A51&lt;=2000,1000*INDEX('SALA 2002'!$B:$U,MATCH($A51,'SALA 2002'!$A:$A,0),MATCH(P$1,'SALA 2002'!$B$1:$U$1,0))*POWER(INDEX('WPP 2024 середина года'!$B:$U,MATCH($A51,'WPP 2024 середина года'!$A:$A,0),MATCH(P$1,'WPP 2024 середина года'!$B$1:$U$1,0))/(1000*INDEX('SALA 2002'!$B:$U,MATCH($A51,'SALA 2002'!$A:$A,0),MATCH(P$1,'SALA 2002'!$B$1:$U$1,0))),($A51-1994)/7),INDEX('WPP 2024 середина года'!$B:$U,MATCH($A51,'WPP 2024 середина года'!$A:$A,0),MATCH(P$1,'WPP 2024 середина года'!$B$1:$U$1,0)))))</f>
        <v>1028</v>
      </c>
      <c r="Q51" s="7">
        <f>IF($A51&lt;=1951,INDEX('SALA 1974'!$B:$U,MATCH($A51,'SALA 1974'!$A:$A,0),MATCH(Q$1,'SALA 1974'!$B$1:$U$1,0)),IF($A51&lt;=1994,1000*INDEX('SALA 2002'!$B:$U,MATCH($A51,'SALA 2002'!$A:$A,0),MATCH(Q$1,'SALA 2002'!$B$1:$U$1,0)),IF($A51&lt;=2000,1000*INDEX('SALA 2002'!$B:$U,MATCH($A51,'SALA 2002'!$A:$A,0),MATCH(Q$1,'SALA 2002'!$B$1:$U$1,0))*POWER(INDEX('WPP 2024 середина года'!$B:$U,MATCH($A51,'WPP 2024 середина года'!$A:$A,0),MATCH(Q$1,'WPP 2024 середина года'!$B$1:$U$1,0))/(1000*INDEX('SALA 2002'!$B:$U,MATCH($A51,'SALA 2002'!$A:$A,0),MATCH(Q$1,'SALA 2002'!$B$1:$U$1,0))),($A51-1994)/7),INDEX('WPP 2024 середина года'!$B:$U,MATCH($A51,'WPP 2024 середина года'!$A:$A,0),MATCH(Q$1,'WPP 2024 середина года'!$B$1:$U$1,0)))))</f>
        <v>777</v>
      </c>
      <c r="R51" s="7">
        <f>IF($A51&lt;=1951,INDEX('SALA 1974'!$B:$U,MATCH($A51,'SALA 1974'!$A:$A,0),MATCH(R$1,'SALA 1974'!$B$1:$U$1,0)),IF($A51&lt;=1994,1000*INDEX('SALA 2002'!$B:$U,MATCH($A51,'SALA 2002'!$A:$A,0),MATCH(R$1,'SALA 2002'!$B$1:$U$1,0)),IF($A51&lt;=2000,1000*INDEX('SALA 2002'!$B:$U,MATCH($A51,'SALA 2002'!$A:$A,0),MATCH(R$1,'SALA 2002'!$B$1:$U$1,0))*POWER(INDEX('WPP 2024 середина года'!$B:$U,MATCH($A51,'WPP 2024 середина года'!$A:$A,0),MATCH(R$1,'WPP 2024 середина года'!$B$1:$U$1,0))/(1000*INDEX('SALA 2002'!$B:$U,MATCH($A51,'SALA 2002'!$A:$A,0),MATCH(R$1,'SALA 2002'!$B$1:$U$1,0))),($A51-1994)/7),INDEX('WPP 2024 середина года'!$B:$U,MATCH($A51,'WPP 2024 середина года'!$A:$A,0),MATCH(R$1,'WPP 2024 середина года'!$B$1:$U$1,0)))))</f>
        <v>1366</v>
      </c>
      <c r="S51" s="7">
        <f>IF($A51&lt;=1951,INDEX('SALA 1974'!$B:$U,MATCH($A51,'SALA 1974'!$A:$A,0),MATCH(S$1,'SALA 1974'!$B$1:$U$1,0)),IF($A51&lt;=1994,1000*INDEX('SALA 2002'!$B:$U,MATCH($A51,'SALA 2002'!$A:$A,0),MATCH(S$1,'SALA 2002'!$B$1:$U$1,0)),IF($A51&lt;=2000,1000*INDEX('SALA 2002'!$B:$U,MATCH($A51,'SALA 2002'!$A:$A,0),MATCH(S$1,'SALA 2002'!$B$1:$U$1,0))*POWER(INDEX('WPP 2024 середина года'!$B:$U,MATCH($A51,'WPP 2024 середина года'!$A:$A,0),MATCH(S$1,'WPP 2024 середина года'!$B$1:$U$1,0))/(1000*INDEX('SALA 2002'!$B:$U,MATCH($A51,'SALA 2002'!$A:$A,0),MATCH(S$1,'SALA 2002'!$B$1:$U$1,0))),($A51-1994)/7),INDEX('WPP 2024 середина года'!$B:$U,MATCH($A51,'WPP 2024 середина года'!$A:$A,0),MATCH(S$1,'WPP 2024 середина года'!$B$1:$U$1,0)))))</f>
        <v>7822</v>
      </c>
      <c r="T51" s="7">
        <f>IF($A51&lt;=1951,INDEX('SALA 1974'!$B:$U,MATCH($A51,'SALA 1974'!$A:$A,0),MATCH(T$1,'SALA 1974'!$B$1:$U$1,0)),IF($A51&lt;=1994,1000*INDEX('SALA 2002'!$B:$U,MATCH($A51,'SALA 2002'!$A:$A,0),MATCH(T$1,'SALA 2002'!$B$1:$U$1,0)),IF($A51&lt;=2000,1000*INDEX('SALA 2002'!$B:$U,MATCH($A51,'SALA 2002'!$A:$A,0),MATCH(T$1,'SALA 2002'!$B$1:$U$1,0))*POWER(INDEX('WPP 2024 середина года'!$B:$U,MATCH($A51,'WPP 2024 середина года'!$A:$A,0),MATCH(T$1,'WPP 2024 середина года'!$B$1:$U$1,0))/(1000*INDEX('SALA 2002'!$B:$U,MATCH($A51,'SALA 2002'!$A:$A,0),MATCH(T$1,'SALA 2002'!$B$1:$U$1,0))),($A51-1994)/7),INDEX('WPP 2024 середина года'!$B:$U,MATCH($A51,'WPP 2024 середина года'!$A:$A,0),MATCH(T$1,'WPP 2024 середина года'!$B$1:$U$1,0)))))</f>
        <v>2169</v>
      </c>
      <c r="U51" s="7">
        <f>IF($A51&lt;=1951,INDEX('SALA 1974'!$B:$U,MATCH($A51,'SALA 1974'!$A:$A,0),MATCH(U$1,'SALA 1974'!$B$1:$U$1,0)),IF($A51&lt;=1994,1000*INDEX('SALA 2002'!$B:$U,MATCH($A51,'SALA 2002'!$A:$A,0),MATCH(U$1,'SALA 2002'!$B$1:$U$1,0)),IF($A51&lt;=2000,1000*INDEX('SALA 2002'!$B:$U,MATCH($A51,'SALA 2002'!$A:$A,0),MATCH(U$1,'SALA 2002'!$B$1:$U$1,0))*POWER(INDEX('WPP 2024 середина года'!$B:$U,MATCH($A51,'WPP 2024 середина года'!$A:$A,0),MATCH(U$1,'WPP 2024 середина года'!$B$1:$U$1,0))/(1000*INDEX('SALA 2002'!$B:$U,MATCH($A51,'SALA 2002'!$A:$A,0),MATCH(U$1,'SALA 2002'!$B$1:$U$1,0))),($A51-1994)/7),INDEX('WPP 2024 середина года'!$B:$U,MATCH($A51,'WPP 2024 середина года'!$A:$A,0),MATCH(U$1,'WPP 2024 середина года'!$B$1:$U$1,0)))))</f>
        <v>4828</v>
      </c>
    </row>
    <row r="52" spans="1:21" x14ac:dyDescent="0.25">
      <c r="A52" s="5">
        <f t="shared" si="0"/>
        <v>1950</v>
      </c>
      <c r="B52" s="7">
        <f>IF($A52&lt;=1951,INDEX('SALA 1974'!$B:$U,MATCH($A52,'SALA 1974'!$A:$A,0),MATCH(B$1,'SALA 1974'!$B$1:$U$1,0)),IF($A52&lt;=1994,1000*INDEX('SALA 2002'!$B:$U,MATCH($A52,'SALA 2002'!$A:$A,0),MATCH(B$1,'SALA 2002'!$B$1:$U$1,0)),IF($A52&lt;=2000,1000*INDEX('SALA 2002'!$B:$U,MATCH($A52,'SALA 2002'!$A:$A,0),MATCH(B$1,'SALA 2002'!$B$1:$U$1,0))*POWER(INDEX('WPP 2024 середина года'!$B:$U,MATCH($A52,'WPP 2024 середина года'!$A:$A,0),MATCH(B$1,'WPP 2024 середина года'!$B$1:$U$1,0))/(1000*INDEX('SALA 2002'!$B:$U,MATCH($A52,'SALA 2002'!$A:$A,0),MATCH(B$1,'SALA 2002'!$B$1:$U$1,0))),($A52-1994)/7),INDEX('WPP 2024 середина года'!$B:$U,MATCH($A52,'WPP 2024 середина года'!$A:$A,0),MATCH(B$1,'WPP 2024 середина года'!$B$1:$U$1,0)))))</f>
        <v>17070</v>
      </c>
      <c r="C52" s="7">
        <f>IF($A52&lt;=1951,INDEX('SALA 1974'!$B:$U,MATCH($A52,'SALA 1974'!$A:$A,0),MATCH(C$1,'SALA 1974'!$B$1:$U$1,0)),IF($A52&lt;=1994,1000*INDEX('SALA 2002'!$B:$U,MATCH($A52,'SALA 2002'!$A:$A,0),MATCH(C$1,'SALA 2002'!$B$1:$U$1,0)),IF($A52&lt;=2000,1000*INDEX('SALA 2002'!$B:$U,MATCH($A52,'SALA 2002'!$A:$A,0),MATCH(C$1,'SALA 2002'!$B$1:$U$1,0))*POWER(INDEX('WPP 2024 середина года'!$B:$U,MATCH($A52,'WPP 2024 середина года'!$A:$A,0),MATCH(C$1,'WPP 2024 середина года'!$B$1:$U$1,0))/(1000*INDEX('SALA 2002'!$B:$U,MATCH($A52,'SALA 2002'!$A:$A,0),MATCH(C$1,'SALA 2002'!$B$1:$U$1,0))),($A52-1994)/7),INDEX('WPP 2024 середина года'!$B:$U,MATCH($A52,'WPP 2024 середина года'!$A:$A,0),MATCH(C$1,'WPP 2024 середина года'!$B$1:$U$1,0)))))</f>
        <v>3013</v>
      </c>
      <c r="D52" s="7">
        <f>IF($A52&lt;=1951,INDEX('SALA 1974'!$B:$U,MATCH($A52,'SALA 1974'!$A:$A,0),MATCH(D$1,'SALA 1974'!$B$1:$U$1,0)),IF($A52&lt;=1994,1000*INDEX('SALA 2002'!$B:$U,MATCH($A52,'SALA 2002'!$A:$A,0),MATCH(D$1,'SALA 2002'!$B$1:$U$1,0)),IF($A52&lt;=2000,1000*INDEX('SALA 2002'!$B:$U,MATCH($A52,'SALA 2002'!$A:$A,0),MATCH(D$1,'SALA 2002'!$B$1:$U$1,0))*POWER(INDEX('WPP 2024 середина года'!$B:$U,MATCH($A52,'WPP 2024 середина года'!$A:$A,0),MATCH(D$1,'WPP 2024 середина года'!$B$1:$U$1,0))/(1000*INDEX('SALA 2002'!$B:$U,MATCH($A52,'SALA 2002'!$A:$A,0),MATCH(D$1,'SALA 2002'!$B$1:$U$1,0))),($A52-1994)/7),INDEX('WPP 2024 середина года'!$B:$U,MATCH($A52,'WPP 2024 середина года'!$A:$A,0),MATCH(D$1,'WPP 2024 середина года'!$B$1:$U$1,0)))))</f>
        <v>52178</v>
      </c>
      <c r="E52" s="7">
        <f>IF($A52&lt;=1951,INDEX('SALA 1974'!$B:$U,MATCH($A52,'SALA 1974'!$A:$A,0),MATCH(E$1,'SALA 1974'!$B$1:$U$1,0)),IF($A52&lt;=1994,1000*INDEX('SALA 2002'!$B:$U,MATCH($A52,'SALA 2002'!$A:$A,0),MATCH(E$1,'SALA 2002'!$B$1:$U$1,0)),IF($A52&lt;=2000,1000*INDEX('SALA 2002'!$B:$U,MATCH($A52,'SALA 2002'!$A:$A,0),MATCH(E$1,'SALA 2002'!$B$1:$U$1,0))*POWER(INDEX('WPP 2024 середина года'!$B:$U,MATCH($A52,'WPP 2024 середина года'!$A:$A,0),MATCH(E$1,'WPP 2024 середина года'!$B$1:$U$1,0))/(1000*INDEX('SALA 2002'!$B:$U,MATCH($A52,'SALA 2002'!$A:$A,0),MATCH(E$1,'SALA 2002'!$B$1:$U$1,0))),($A52-1994)/7),INDEX('WPP 2024 середина года'!$B:$U,MATCH($A52,'WPP 2024 середина года'!$A:$A,0),MATCH(E$1,'WPP 2024 середина года'!$B$1:$U$1,0)))))</f>
        <v>6073</v>
      </c>
      <c r="F52" s="7">
        <f>IF($A52&lt;=1947,INDEX('SALA 1974'!$B:$U,MATCH($A52,'SALA 1974'!$A:$A,0),MATCH(F$1,'SALA 1974'!$B$1:$U$1,0)),IF($A52&lt;=1994,1000*INDEX('SALA 2002'!$B:$U,MATCH($A52,'SALA 2002'!$A:$A,0),MATCH(F$1,'SALA 2002'!$B$1:$U$1,0)),IF($A52&lt;=2000,1000*INDEX('SALA 2002'!$B:$U,MATCH($A52,'SALA 2002'!$A:$A,0),MATCH(F$1,'SALA 2002'!$B$1:$U$1,0))*POWER(INDEX('WPP 2024 середина года'!$B:$U,MATCH($A52,'WPP 2024 середина года'!$A:$A,0),MATCH(F$1,'WPP 2024 середина года'!$B$1:$U$1,0))/(1000*INDEX('SALA 2002'!$B:$U,MATCH($A52,'SALA 2002'!$A:$A,0),MATCH(F$1,'SALA 2002'!$B$1:$U$1,0))),($A52-1994)/7),INDEX('WPP 2024 середина года'!$B:$U,MATCH($A52,'WPP 2024 середина года'!$A:$A,0),MATCH(F$1,'WPP 2024 середина года'!$B$1:$U$1,0)))))</f>
        <v>11330</v>
      </c>
      <c r="G52" s="7">
        <f>IF($A52&lt;=1951,INDEX('SALA 1974'!$B:$U,MATCH($A52,'SALA 1974'!$A:$A,0),MATCH(G$1,'SALA 1974'!$B$1:$U$1,0)),IF($A52&lt;=1994,1000*INDEX('SALA 2002'!$B:$U,MATCH($A52,'SALA 2002'!$A:$A,0),MATCH(G$1,'SALA 2002'!$B$1:$U$1,0)),IF($A52&lt;=2000,1000*INDEX('SALA 2002'!$B:$U,MATCH($A52,'SALA 2002'!$A:$A,0),MATCH(G$1,'SALA 2002'!$B$1:$U$1,0))*POWER(INDEX('WPP 2024 середина года'!$B:$U,MATCH($A52,'WPP 2024 середина года'!$A:$A,0),MATCH(G$1,'WPP 2024 середина года'!$B$1:$U$1,0))/(1000*INDEX('SALA 2002'!$B:$U,MATCH($A52,'SALA 2002'!$A:$A,0),MATCH(G$1,'SALA 2002'!$B$1:$U$1,0))),($A52-1994)/7),INDEX('WPP 2024 середина года'!$B:$U,MATCH($A52,'WPP 2024 середина года'!$A:$A,0),MATCH(G$1,'WPP 2024 середина года'!$B$1:$U$1,0)))))</f>
        <v>801</v>
      </c>
      <c r="H52" s="7">
        <f>IF($A52&lt;=1951,INDEX('SALA 1974'!$B:$U,MATCH($A52,'SALA 1974'!$A:$A,0),MATCH(H$1,'SALA 1974'!$B$1:$U$1,0)),IF($A52&lt;=1994,1000*INDEX('SALA 2002'!$B:$U,MATCH($A52,'SALA 2002'!$A:$A,0),MATCH(H$1,'SALA 2002'!$B$1:$U$1,0)),IF($A52&lt;=2000,1000*INDEX('SALA 2002'!$B:$U,MATCH($A52,'SALA 2002'!$A:$A,0),MATCH(H$1,'SALA 2002'!$B$1:$U$1,0))*POWER(INDEX('WPP 2024 середина года'!$B:$U,MATCH($A52,'WPP 2024 середина года'!$A:$A,0),MATCH(H$1,'WPP 2024 середина года'!$B$1:$U$1,0))/(1000*INDEX('SALA 2002'!$B:$U,MATCH($A52,'SALA 2002'!$A:$A,0),MATCH(H$1,'SALA 2002'!$B$1:$U$1,0))),($A52-1994)/7),INDEX('WPP 2024 середина года'!$B:$U,MATCH($A52,'WPP 2024 середина года'!$A:$A,0),MATCH(H$1,'WPP 2024 середина года'!$B$1:$U$1,0)))))</f>
        <v>5508</v>
      </c>
      <c r="I52" s="7">
        <f>IF($A52&lt;=1951,INDEX('SALA 1974'!$B:$U,MATCH($A52,'SALA 1974'!$A:$A,0),MATCH(I$1,'SALA 1974'!$B$1:$U$1,0)),IF($A52&lt;=1994,1000*INDEX('SALA 2002'!$B:$U,MATCH($A52,'SALA 2002'!$A:$A,0),MATCH(I$1,'SALA 2002'!$B$1:$U$1,0)),IF($A52&lt;=2000,1000*INDEX('SALA 2002'!$B:$U,MATCH($A52,'SALA 2002'!$A:$A,0),MATCH(I$1,'SALA 2002'!$B$1:$U$1,0))*POWER(INDEX('WPP 2024 середина года'!$B:$U,MATCH($A52,'WPP 2024 середина года'!$A:$A,0),MATCH(I$1,'WPP 2024 середина года'!$B$1:$U$1,0))/(1000*INDEX('SALA 2002'!$B:$U,MATCH($A52,'SALA 2002'!$A:$A,0),MATCH(I$1,'SALA 2002'!$B$1:$U$1,0))),($A52-1994)/7),INDEX('WPP 2024 середина года'!$B:$U,MATCH($A52,'WPP 2024 середина года'!$A:$A,0),MATCH(I$1,'WPP 2024 середина года'!$B$1:$U$1,0)))))</f>
        <v>2243</v>
      </c>
      <c r="J52" s="7">
        <f>IF($A52&lt;=1951,INDEX('SALA 1974'!$B:$U,MATCH($A52,'SALA 1974'!$A:$A,0),MATCH(J$1,'SALA 1974'!$B$1:$U$1,0)),IF($A52&lt;=1994,1000*INDEX('SALA 2002'!$B:$U,MATCH($A52,'SALA 2002'!$A:$A,0),MATCH(J$1,'SALA 2002'!$B$1:$U$1,0)),IF($A52&lt;=2000,1000*INDEX('SALA 2002'!$B:$U,MATCH($A52,'SALA 2002'!$A:$A,0),MATCH(J$1,'SALA 2002'!$B$1:$U$1,0))*POWER(INDEX('WPP 2024 середина года'!$B:$U,MATCH($A52,'WPP 2024 середина года'!$A:$A,0),MATCH(J$1,'WPP 2024 середина года'!$B$1:$U$1,0))/(1000*INDEX('SALA 2002'!$B:$U,MATCH($A52,'SALA 2002'!$A:$A,0),MATCH(J$1,'SALA 2002'!$B$1:$U$1,0))),($A52-1994)/7),INDEX('WPP 2024 середина года'!$B:$U,MATCH($A52,'WPP 2024 середина года'!$A:$A,0),MATCH(J$1,'WPP 2024 середина года'!$B$1:$U$1,0)))))</f>
        <v>3197</v>
      </c>
      <c r="K52" s="7">
        <f>IF($A52&lt;=1951,INDEX('SALA 1974'!$B:$U,MATCH($A52,'SALA 1974'!$A:$A,0),MATCH(K$1,'SALA 1974'!$B$1:$U$1,0)),IF($A52&lt;=1994,1000*INDEX('SALA 2002'!$B:$U,MATCH($A52,'SALA 2002'!$A:$A,0),MATCH(K$1,'SALA 2002'!$B$1:$U$1,0)),IF($A52&lt;=2000,1000*INDEX('SALA 2002'!$B:$U,MATCH($A52,'SALA 2002'!$A:$A,0),MATCH(K$1,'SALA 2002'!$B$1:$U$1,0))*POWER(INDEX('WPP 2024 середина года'!$B:$U,MATCH($A52,'WPP 2024 середина года'!$A:$A,0),MATCH(K$1,'WPP 2024 середина года'!$B$1:$U$1,0))/(1000*INDEX('SALA 2002'!$B:$U,MATCH($A52,'SALA 2002'!$A:$A,0),MATCH(K$1,'SALA 2002'!$B$1:$U$1,0))),($A52-1994)/7),INDEX('WPP 2024 середина года'!$B:$U,MATCH($A52,'WPP 2024 середина года'!$A:$A,0),MATCH(K$1,'WPP 2024 середина года'!$B$1:$U$1,0)))))</f>
        <v>1868</v>
      </c>
      <c r="L52" s="7">
        <f>IF($A52&lt;=1951,INDEX('SALA 1974'!$B:$U,MATCH($A52,'SALA 1974'!$A:$A,0),MATCH(L$1,'SALA 1974'!$B$1:$U$1,0)),IF($A52&lt;=1994,1000*INDEX('SALA 2002'!$B:$U,MATCH($A52,'SALA 2002'!$A:$A,0),MATCH(L$1,'SALA 2002'!$B$1:$U$1,0)),IF($A52&lt;=2000,1000*INDEX('SALA 2002'!$B:$U,MATCH($A52,'SALA 2002'!$A:$A,0),MATCH(L$1,'SALA 2002'!$B$1:$U$1,0))*POWER(INDEX('WPP 2024 середина года'!$B:$U,MATCH($A52,'WPP 2024 середина года'!$A:$A,0),MATCH(L$1,'WPP 2024 середина года'!$B$1:$U$1,0))/(1000*INDEX('SALA 2002'!$B:$U,MATCH($A52,'SALA 2002'!$A:$A,0),MATCH(L$1,'SALA 2002'!$B$1:$U$1,0))),($A52-1994)/7),INDEX('WPP 2024 середина года'!$B:$U,MATCH($A52,'WPP 2024 середина года'!$A:$A,0),MATCH(L$1,'WPP 2024 середина года'!$B$1:$U$1,0)))))</f>
        <v>2805</v>
      </c>
      <c r="M52" s="7">
        <f>IF($A52&lt;=1951,INDEX('SALA 1974'!$B:$U,MATCH($A52,'SALA 1974'!$A:$A,0),MATCH(M$1,'SALA 1974'!$B$1:$U$1,0)),IF($A52&lt;=1994,1000*INDEX('SALA 2002'!$B:$U,MATCH($A52,'SALA 2002'!$A:$A,0),MATCH(M$1,'SALA 2002'!$B$1:$U$1,0)),IF($A52&lt;=2000,1000*INDEX('SALA 2002'!$B:$U,MATCH($A52,'SALA 2002'!$A:$A,0),MATCH(M$1,'SALA 2002'!$B$1:$U$1,0))*POWER(INDEX('WPP 2024 середина года'!$B:$U,MATCH($A52,'WPP 2024 середина года'!$A:$A,0),MATCH(M$1,'WPP 2024 середина года'!$B$1:$U$1,0))/(1000*INDEX('SALA 2002'!$B:$U,MATCH($A52,'SALA 2002'!$A:$A,0),MATCH(M$1,'SALA 2002'!$B$1:$U$1,0))),($A52-1994)/7),INDEX('WPP 2024 середина года'!$B:$U,MATCH($A52,'WPP 2024 середина года'!$A:$A,0),MATCH(M$1,'WPP 2024 середина года'!$B$1:$U$1,0)))))</f>
        <v>3380</v>
      </c>
      <c r="N52" s="7">
        <f>IF($A52&lt;=1951,INDEX('SALA 1974'!$B:$U,MATCH($A52,'SALA 1974'!$A:$A,0),MATCH(N$1,'SALA 1974'!$B$1:$U$1,0)),IF($A52&lt;=1994,1000*INDEX('SALA 2002'!$B:$U,MATCH($A52,'SALA 2002'!$A:$A,0),MATCH(N$1,'SALA 2002'!$B$1:$U$1,0)),IF($A52&lt;=2000,1000*INDEX('SALA 2002'!$B:$U,MATCH($A52,'SALA 2002'!$A:$A,0),MATCH(N$1,'SALA 2002'!$B$1:$U$1,0))*POWER(INDEX('WPP 2024 середина года'!$B:$U,MATCH($A52,'WPP 2024 середина года'!$A:$A,0),MATCH(N$1,'WPP 2024 середина года'!$B$1:$U$1,0))/(1000*INDEX('SALA 2002'!$B:$U,MATCH($A52,'SALA 2002'!$A:$A,0),MATCH(N$1,'SALA 2002'!$B$1:$U$1,0))),($A52-1994)/7),INDEX('WPP 2024 середина года'!$B:$U,MATCH($A52,'WPP 2024 середина года'!$A:$A,0),MATCH(N$1,'WPP 2024 середина года'!$B$1:$U$1,0)))))</f>
        <v>1428</v>
      </c>
      <c r="O52" s="7">
        <f>IF($A52&lt;=1951,INDEX('SALA 1974'!$B:$U,MATCH($A52,'SALA 1974'!$A:$A,0),MATCH(O$1,'SALA 1974'!$B$1:$U$1,0)),IF($A52&lt;=1994,1000*INDEX('SALA 2002'!$B:$U,MATCH($A52,'SALA 2002'!$A:$A,0),MATCH(O$1,'SALA 2002'!$B$1:$U$1,0)),IF($A52&lt;=2000,1000*INDEX('SALA 2002'!$B:$U,MATCH($A52,'SALA 2002'!$A:$A,0),MATCH(O$1,'SALA 2002'!$B$1:$U$1,0))*POWER(INDEX('WPP 2024 середина года'!$B:$U,MATCH($A52,'WPP 2024 середина года'!$A:$A,0),MATCH(O$1,'WPP 2024 середина года'!$B$1:$U$1,0))/(1000*INDEX('SALA 2002'!$B:$U,MATCH($A52,'SALA 2002'!$A:$A,0),MATCH(O$1,'SALA 2002'!$B$1:$U$1,0))),($A52-1994)/7),INDEX('WPP 2024 середина года'!$B:$U,MATCH($A52,'WPP 2024 середина года'!$A:$A,0),MATCH(O$1,'WPP 2024 середина года'!$B$1:$U$1,0)))))</f>
        <v>25791</v>
      </c>
      <c r="P52" s="7">
        <f>IF($A52&lt;=1951,INDEX('SALA 1974'!$B:$U,MATCH($A52,'SALA 1974'!$A:$A,0),MATCH(P$1,'SALA 1974'!$B$1:$U$1,0)),IF($A52&lt;=1994,1000*INDEX('SALA 2002'!$B:$U,MATCH($A52,'SALA 2002'!$A:$A,0),MATCH(P$1,'SALA 2002'!$B$1:$U$1,0)),IF($A52&lt;=2000,1000*INDEX('SALA 2002'!$B:$U,MATCH($A52,'SALA 2002'!$A:$A,0),MATCH(P$1,'SALA 2002'!$B$1:$U$1,0))*POWER(INDEX('WPP 2024 середина года'!$B:$U,MATCH($A52,'WPP 2024 середина года'!$A:$A,0),MATCH(P$1,'WPP 2024 середина года'!$B$1:$U$1,0))/(1000*INDEX('SALA 2002'!$B:$U,MATCH($A52,'SALA 2002'!$A:$A,0),MATCH(P$1,'SALA 2002'!$B$1:$U$1,0))),($A52-1994)/7),INDEX('WPP 2024 середина года'!$B:$U,MATCH($A52,'WPP 2024 середина года'!$A:$A,0),MATCH(P$1,'WPP 2024 середина года'!$B$1:$U$1,0)))))</f>
        <v>1060</v>
      </c>
      <c r="Q52" s="7">
        <f>IF($A52&lt;=1951,INDEX('SALA 1974'!$B:$U,MATCH($A52,'SALA 1974'!$A:$A,0),MATCH(Q$1,'SALA 1974'!$B$1:$U$1,0)),IF($A52&lt;=1994,1000*INDEX('SALA 2002'!$B:$U,MATCH($A52,'SALA 2002'!$A:$A,0),MATCH(Q$1,'SALA 2002'!$B$1:$U$1,0)),IF($A52&lt;=2000,1000*INDEX('SALA 2002'!$B:$U,MATCH($A52,'SALA 2002'!$A:$A,0),MATCH(Q$1,'SALA 2002'!$B$1:$U$1,0))*POWER(INDEX('WPP 2024 середина года'!$B:$U,MATCH($A52,'WPP 2024 середина года'!$A:$A,0),MATCH(Q$1,'WPP 2024 середина года'!$B$1:$U$1,0))/(1000*INDEX('SALA 2002'!$B:$U,MATCH($A52,'SALA 2002'!$A:$A,0),MATCH(Q$1,'SALA 2002'!$B$1:$U$1,0))),($A52-1994)/7),INDEX('WPP 2024 середина года'!$B:$U,MATCH($A52,'WPP 2024 середина года'!$A:$A,0),MATCH(Q$1,'WPP 2024 середина года'!$B$1:$U$1,0)))))</f>
        <v>797</v>
      </c>
      <c r="R52" s="7">
        <f>IF($A52&lt;=1951,INDEX('SALA 1974'!$B:$U,MATCH($A52,'SALA 1974'!$A:$A,0),MATCH(R$1,'SALA 1974'!$B$1:$U$1,0)),IF($A52&lt;=1994,1000*INDEX('SALA 2002'!$B:$U,MATCH($A52,'SALA 2002'!$A:$A,0),MATCH(R$1,'SALA 2002'!$B$1:$U$1,0)),IF($A52&lt;=2000,1000*INDEX('SALA 2002'!$B:$U,MATCH($A52,'SALA 2002'!$A:$A,0),MATCH(R$1,'SALA 2002'!$B$1:$U$1,0))*POWER(INDEX('WPP 2024 середина года'!$B:$U,MATCH($A52,'WPP 2024 середина года'!$A:$A,0),MATCH(R$1,'WPP 2024 середина года'!$B$1:$U$1,0))/(1000*INDEX('SALA 2002'!$B:$U,MATCH($A52,'SALA 2002'!$A:$A,0),MATCH(R$1,'SALA 2002'!$B$1:$U$1,0))),($A52-1994)/7),INDEX('WPP 2024 середина года'!$B:$U,MATCH($A52,'WPP 2024 середина года'!$A:$A,0),MATCH(R$1,'WPP 2024 середина года'!$B$1:$U$1,0)))))</f>
        <v>1397</v>
      </c>
      <c r="S52" s="7">
        <f>IF($A52&lt;=1951,INDEX('SALA 1974'!$B:$U,MATCH($A52,'SALA 1974'!$A:$A,0),MATCH(S$1,'SALA 1974'!$B$1:$U$1,0)),IF($A52&lt;=1994,1000*INDEX('SALA 2002'!$B:$U,MATCH($A52,'SALA 2002'!$A:$A,0),MATCH(S$1,'SALA 2002'!$B$1:$U$1,0)),IF($A52&lt;=2000,1000*INDEX('SALA 2002'!$B:$U,MATCH($A52,'SALA 2002'!$A:$A,0),MATCH(S$1,'SALA 2002'!$B$1:$U$1,0))*POWER(INDEX('WPP 2024 середина года'!$B:$U,MATCH($A52,'WPP 2024 середина года'!$A:$A,0),MATCH(S$1,'WPP 2024 середина года'!$B$1:$U$1,0))/(1000*INDEX('SALA 2002'!$B:$U,MATCH($A52,'SALA 2002'!$A:$A,0),MATCH(S$1,'SALA 2002'!$B$1:$U$1,0))),($A52-1994)/7),INDEX('WPP 2024 середина года'!$B:$U,MATCH($A52,'WPP 2024 середина года'!$A:$A,0),MATCH(S$1,'WPP 2024 середина года'!$B$1:$U$1,0)))))</f>
        <v>7969</v>
      </c>
      <c r="T52" s="7">
        <f>IF($A52&lt;=1951,INDEX('SALA 1974'!$B:$U,MATCH($A52,'SALA 1974'!$A:$A,0),MATCH(T$1,'SALA 1974'!$B$1:$U$1,0)),IF($A52&lt;=1994,1000*INDEX('SALA 2002'!$B:$U,MATCH($A52,'SALA 2002'!$A:$A,0),MATCH(T$1,'SALA 2002'!$B$1:$U$1,0)),IF($A52&lt;=2000,1000*INDEX('SALA 2002'!$B:$U,MATCH($A52,'SALA 2002'!$A:$A,0),MATCH(T$1,'SALA 2002'!$B$1:$U$1,0))*POWER(INDEX('WPP 2024 середина года'!$B:$U,MATCH($A52,'WPP 2024 середина года'!$A:$A,0),MATCH(T$1,'WPP 2024 середина года'!$B$1:$U$1,0))/(1000*INDEX('SALA 2002'!$B:$U,MATCH($A52,'SALA 2002'!$A:$A,0),MATCH(T$1,'SALA 2002'!$B$1:$U$1,0))),($A52-1994)/7),INDEX('WPP 2024 середина года'!$B:$U,MATCH($A52,'WPP 2024 середина года'!$A:$A,0),MATCH(T$1,'WPP 2024 середина года'!$B$1:$U$1,0)))))</f>
        <v>2195</v>
      </c>
      <c r="U52" s="7">
        <f>IF($A52&lt;=1951,INDEX('SALA 1974'!$B:$U,MATCH($A52,'SALA 1974'!$A:$A,0),MATCH(U$1,'SALA 1974'!$B$1:$U$1,0)),IF($A52&lt;=1994,1000*INDEX('SALA 2002'!$B:$U,MATCH($A52,'SALA 2002'!$A:$A,0),MATCH(U$1,'SALA 2002'!$B$1:$U$1,0)),IF($A52&lt;=2000,1000*INDEX('SALA 2002'!$B:$U,MATCH($A52,'SALA 2002'!$A:$A,0),MATCH(U$1,'SALA 2002'!$B$1:$U$1,0))*POWER(INDEX('WPP 2024 середина года'!$B:$U,MATCH($A52,'WPP 2024 середина года'!$A:$A,0),MATCH(U$1,'WPP 2024 середина года'!$B$1:$U$1,0))/(1000*INDEX('SALA 2002'!$B:$U,MATCH($A52,'SALA 2002'!$A:$A,0),MATCH(U$1,'SALA 2002'!$B$1:$U$1,0))),($A52-1994)/7),INDEX('WPP 2024 середина года'!$B:$U,MATCH($A52,'WPP 2024 середина года'!$A:$A,0),MATCH(U$1,'WPP 2024 середина года'!$B$1:$U$1,0)))))</f>
        <v>4974</v>
      </c>
    </row>
    <row r="53" spans="1:21" x14ac:dyDescent="0.25">
      <c r="A53" s="5">
        <f t="shared" si="0"/>
        <v>1951</v>
      </c>
      <c r="B53" s="7">
        <f>IF($A53&lt;=1951,INDEX('SALA 1974'!$B:$U,MATCH($A53,'SALA 1974'!$A:$A,0),MATCH(B$1,'SALA 1974'!$B$1:$U$1,0)),IF($A53&lt;=1994,1000*INDEX('SALA 2002'!$B:$U,MATCH($A53,'SALA 2002'!$A:$A,0),MATCH(B$1,'SALA 2002'!$B$1:$U$1,0)),IF($A53&lt;=2000,1000*INDEX('SALA 2002'!$B:$U,MATCH($A53,'SALA 2002'!$A:$A,0),MATCH(B$1,'SALA 2002'!$B$1:$U$1,0))*POWER(INDEX('WPP 2024 середина года'!$B:$U,MATCH($A53,'WPP 2024 середина года'!$A:$A,0),MATCH(B$1,'WPP 2024 середина года'!$B$1:$U$1,0))/(1000*INDEX('SALA 2002'!$B:$U,MATCH($A53,'SALA 2002'!$A:$A,0),MATCH(B$1,'SALA 2002'!$B$1:$U$1,0))),($A53-1994)/7),INDEX('WPP 2024 середина года'!$B:$U,MATCH($A53,'WPP 2024 середина года'!$A:$A,0),MATCH(B$1,'WPP 2024 середина года'!$B$1:$U$1,0)))))</f>
        <v>17481</v>
      </c>
      <c r="C53" s="7">
        <f>IF($A53&lt;=1951,INDEX('SALA 1974'!$B:$U,MATCH($A53,'SALA 1974'!$A:$A,0),MATCH(C$1,'SALA 1974'!$B$1:$U$1,0)),IF($A53&lt;=1994,1000*INDEX('SALA 2002'!$B:$U,MATCH($A53,'SALA 2002'!$A:$A,0),MATCH(C$1,'SALA 2002'!$B$1:$U$1,0)),IF($A53&lt;=2000,1000*INDEX('SALA 2002'!$B:$U,MATCH($A53,'SALA 2002'!$A:$A,0),MATCH(C$1,'SALA 2002'!$B$1:$U$1,0))*POWER(INDEX('WPP 2024 середина года'!$B:$U,MATCH($A53,'WPP 2024 середина года'!$A:$A,0),MATCH(C$1,'WPP 2024 середина года'!$B$1:$U$1,0))/(1000*INDEX('SALA 2002'!$B:$U,MATCH($A53,'SALA 2002'!$A:$A,0),MATCH(C$1,'SALA 2002'!$B$1:$U$1,0))),($A53-1994)/7),INDEX('WPP 2024 середина года'!$B:$U,MATCH($A53,'WPP 2024 середина года'!$A:$A,0),MATCH(C$1,'WPP 2024 середина года'!$B$1:$U$1,0)))))</f>
        <v>3072</v>
      </c>
      <c r="D53" s="7">
        <f>IF($A53&lt;=1951,INDEX('SALA 1974'!$B:$U,MATCH($A53,'SALA 1974'!$A:$A,0),MATCH(D$1,'SALA 1974'!$B$1:$U$1,0)),IF($A53&lt;=1994,1000*INDEX('SALA 2002'!$B:$U,MATCH($A53,'SALA 2002'!$A:$A,0),MATCH(D$1,'SALA 2002'!$B$1:$U$1,0)),IF($A53&lt;=2000,1000*INDEX('SALA 2002'!$B:$U,MATCH($A53,'SALA 2002'!$A:$A,0),MATCH(D$1,'SALA 2002'!$B$1:$U$1,0))*POWER(INDEX('WPP 2024 середина года'!$B:$U,MATCH($A53,'WPP 2024 середина года'!$A:$A,0),MATCH(D$1,'WPP 2024 середина года'!$B$1:$U$1,0))/(1000*INDEX('SALA 2002'!$B:$U,MATCH($A53,'SALA 2002'!$A:$A,0),MATCH(D$1,'SALA 2002'!$B$1:$U$1,0))),($A53-1994)/7),INDEX('WPP 2024 середина года'!$B:$U,MATCH($A53,'WPP 2024 середина года'!$A:$A,0),MATCH(D$1,'WPP 2024 середина года'!$B$1:$U$1,0)))))</f>
        <v>53682</v>
      </c>
      <c r="E53" s="7">
        <f>IF($A53&lt;=1951,INDEX('SALA 1974'!$B:$U,MATCH($A53,'SALA 1974'!$A:$A,0),MATCH(E$1,'SALA 1974'!$B$1:$U$1,0)),IF($A53&lt;=1994,1000*INDEX('SALA 2002'!$B:$U,MATCH($A53,'SALA 2002'!$A:$A,0),MATCH(E$1,'SALA 2002'!$B$1:$U$1,0)),IF($A53&lt;=2000,1000*INDEX('SALA 2002'!$B:$U,MATCH($A53,'SALA 2002'!$A:$A,0),MATCH(E$1,'SALA 2002'!$B$1:$U$1,0))*POWER(INDEX('WPP 2024 середина года'!$B:$U,MATCH($A53,'WPP 2024 середина года'!$A:$A,0),MATCH(E$1,'WPP 2024 середина года'!$B$1:$U$1,0))/(1000*INDEX('SALA 2002'!$B:$U,MATCH($A53,'SALA 2002'!$A:$A,0),MATCH(E$1,'SALA 2002'!$B$1:$U$1,0))),($A53-1994)/7),INDEX('WPP 2024 середина года'!$B:$U,MATCH($A53,'WPP 2024 середина года'!$A:$A,0),MATCH(E$1,'WPP 2024 середина года'!$B$1:$U$1,0)))))</f>
        <v>6211</v>
      </c>
      <c r="F53" s="7">
        <f>IF($A53&lt;=1947,INDEX('SALA 1974'!$B:$U,MATCH($A53,'SALA 1974'!$A:$A,0),MATCH(F$1,'SALA 1974'!$B$1:$U$1,0)),IF($A53&lt;=1994,1000*INDEX('SALA 2002'!$B:$U,MATCH($A53,'SALA 2002'!$A:$A,0),MATCH(F$1,'SALA 2002'!$B$1:$U$1,0)),IF($A53&lt;=2000,1000*INDEX('SALA 2002'!$B:$U,MATCH($A53,'SALA 2002'!$A:$A,0),MATCH(F$1,'SALA 2002'!$B$1:$U$1,0))*POWER(INDEX('WPP 2024 середина года'!$B:$U,MATCH($A53,'WPP 2024 середина года'!$A:$A,0),MATCH(F$1,'WPP 2024 середина года'!$B$1:$U$1,0))/(1000*INDEX('SALA 2002'!$B:$U,MATCH($A53,'SALA 2002'!$A:$A,0),MATCH(F$1,'SALA 2002'!$B$1:$U$1,0))),($A53-1994)/7),INDEX('WPP 2024 середина года'!$B:$U,MATCH($A53,'WPP 2024 середина года'!$A:$A,0),MATCH(F$1,'WPP 2024 середина года'!$B$1:$U$1,0)))))</f>
        <v>11620</v>
      </c>
      <c r="G53" s="7">
        <f>IF($A53&lt;=1951,INDEX('SALA 1974'!$B:$U,MATCH($A53,'SALA 1974'!$A:$A,0),MATCH(G$1,'SALA 1974'!$B$1:$U$1,0)),IF($A53&lt;=1994,1000*INDEX('SALA 2002'!$B:$U,MATCH($A53,'SALA 2002'!$A:$A,0),MATCH(G$1,'SALA 2002'!$B$1:$U$1,0)),IF($A53&lt;=2000,1000*INDEX('SALA 2002'!$B:$U,MATCH($A53,'SALA 2002'!$A:$A,0),MATCH(G$1,'SALA 2002'!$B$1:$U$1,0))*POWER(INDEX('WPP 2024 середина года'!$B:$U,MATCH($A53,'WPP 2024 середина года'!$A:$A,0),MATCH(G$1,'WPP 2024 середина года'!$B$1:$U$1,0))/(1000*INDEX('SALA 2002'!$B:$U,MATCH($A53,'SALA 2002'!$A:$A,0),MATCH(G$1,'SALA 2002'!$B$1:$U$1,0))),($A53-1994)/7),INDEX('WPP 2024 середина года'!$B:$U,MATCH($A53,'WPP 2024 середина года'!$A:$A,0),MATCH(G$1,'WPP 2024 середина года'!$B$1:$U$1,0)))))</f>
        <v>834</v>
      </c>
      <c r="H53" s="7">
        <f>IF($A53&lt;=1951,INDEX('SALA 1974'!$B:$U,MATCH($A53,'SALA 1974'!$A:$A,0),MATCH(H$1,'SALA 1974'!$B$1:$U$1,0)),IF($A53&lt;=1994,1000*INDEX('SALA 2002'!$B:$U,MATCH($A53,'SALA 2002'!$A:$A,0),MATCH(H$1,'SALA 2002'!$B$1:$U$1,0)),IF($A53&lt;=2000,1000*INDEX('SALA 2002'!$B:$U,MATCH($A53,'SALA 2002'!$A:$A,0),MATCH(H$1,'SALA 2002'!$B$1:$U$1,0))*POWER(INDEX('WPP 2024 середина года'!$B:$U,MATCH($A53,'WPP 2024 середина года'!$A:$A,0),MATCH(H$1,'WPP 2024 середина года'!$B$1:$U$1,0))/(1000*INDEX('SALA 2002'!$B:$U,MATCH($A53,'SALA 2002'!$A:$A,0),MATCH(H$1,'SALA 2002'!$B$1:$U$1,0))),($A53-1994)/7),INDEX('WPP 2024 середина года'!$B:$U,MATCH($A53,'WPP 2024 середина года'!$A:$A,0),MATCH(H$1,'WPP 2024 середина года'!$B$1:$U$1,0)))))</f>
        <v>5621</v>
      </c>
      <c r="I53" s="7">
        <f>IF($A53&lt;=1951,INDEX('SALA 1974'!$B:$U,MATCH($A53,'SALA 1974'!$A:$A,0),MATCH(I$1,'SALA 1974'!$B$1:$U$1,0)),IF($A53&lt;=1994,1000*INDEX('SALA 2002'!$B:$U,MATCH($A53,'SALA 2002'!$A:$A,0),MATCH(I$1,'SALA 2002'!$B$1:$U$1,0)),IF($A53&lt;=2000,1000*INDEX('SALA 2002'!$B:$U,MATCH($A53,'SALA 2002'!$A:$A,0),MATCH(I$1,'SALA 2002'!$B$1:$U$1,0))*POWER(INDEX('WPP 2024 середина года'!$B:$U,MATCH($A53,'WPP 2024 середина года'!$A:$A,0),MATCH(I$1,'WPP 2024 середина года'!$B$1:$U$1,0))/(1000*INDEX('SALA 2002'!$B:$U,MATCH($A53,'SALA 2002'!$A:$A,0),MATCH(I$1,'SALA 2002'!$B$1:$U$1,0))),($A53-1994)/7),INDEX('WPP 2024 середина года'!$B:$U,MATCH($A53,'WPP 2024 середина года'!$A:$A,0),MATCH(I$1,'WPP 2024 середина года'!$B$1:$U$1,0)))))</f>
        <v>2305</v>
      </c>
      <c r="J53" s="7">
        <f>IF($A53&lt;=1951,INDEX('SALA 1974'!$B:$U,MATCH($A53,'SALA 1974'!$A:$A,0),MATCH(J$1,'SALA 1974'!$B$1:$U$1,0)),IF($A53&lt;=1994,1000*INDEX('SALA 2002'!$B:$U,MATCH($A53,'SALA 2002'!$A:$A,0),MATCH(J$1,'SALA 2002'!$B$1:$U$1,0)),IF($A53&lt;=2000,1000*INDEX('SALA 2002'!$B:$U,MATCH($A53,'SALA 2002'!$A:$A,0),MATCH(J$1,'SALA 2002'!$B$1:$U$1,0))*POWER(INDEX('WPP 2024 середина года'!$B:$U,MATCH($A53,'WPP 2024 середина года'!$A:$A,0),MATCH(J$1,'WPP 2024 середина года'!$B$1:$U$1,0))/(1000*INDEX('SALA 2002'!$B:$U,MATCH($A53,'SALA 2002'!$A:$A,0),MATCH(J$1,'SALA 2002'!$B$1:$U$1,0))),($A53-1994)/7),INDEX('WPP 2024 середина года'!$B:$U,MATCH($A53,'WPP 2024 середина года'!$A:$A,0),MATCH(J$1,'WPP 2024 середина года'!$B$1:$U$1,0)))))</f>
        <v>3252</v>
      </c>
      <c r="K53" s="7">
        <f>IF($A53&lt;=1951,INDEX('SALA 1974'!$B:$U,MATCH($A53,'SALA 1974'!$A:$A,0),MATCH(K$1,'SALA 1974'!$B$1:$U$1,0)),IF($A53&lt;=1994,1000*INDEX('SALA 2002'!$B:$U,MATCH($A53,'SALA 2002'!$A:$A,0),MATCH(K$1,'SALA 2002'!$B$1:$U$1,0)),IF($A53&lt;=2000,1000*INDEX('SALA 2002'!$B:$U,MATCH($A53,'SALA 2002'!$A:$A,0),MATCH(K$1,'SALA 2002'!$B$1:$U$1,0))*POWER(INDEX('WPP 2024 середина года'!$B:$U,MATCH($A53,'WPP 2024 середина года'!$A:$A,0),MATCH(K$1,'WPP 2024 середина года'!$B$1:$U$1,0))/(1000*INDEX('SALA 2002'!$B:$U,MATCH($A53,'SALA 2002'!$A:$A,0),MATCH(K$1,'SALA 2002'!$B$1:$U$1,0))),($A53-1994)/7),INDEX('WPP 2024 середина года'!$B:$U,MATCH($A53,'WPP 2024 середина года'!$A:$A,0),MATCH(K$1,'WPP 2024 середина года'!$B$1:$U$1,0)))))</f>
        <v>1902</v>
      </c>
      <c r="L53" s="7">
        <f>IF($A53&lt;=1951,INDEX('SALA 1974'!$B:$U,MATCH($A53,'SALA 1974'!$A:$A,0),MATCH(L$1,'SALA 1974'!$B$1:$U$1,0)),IF($A53&lt;=1994,1000*INDEX('SALA 2002'!$B:$U,MATCH($A53,'SALA 2002'!$A:$A,0),MATCH(L$1,'SALA 2002'!$B$1:$U$1,0)),IF($A53&lt;=2000,1000*INDEX('SALA 2002'!$B:$U,MATCH($A53,'SALA 2002'!$A:$A,0),MATCH(L$1,'SALA 2002'!$B$1:$U$1,0))*POWER(INDEX('WPP 2024 середина года'!$B:$U,MATCH($A53,'WPP 2024 середина года'!$A:$A,0),MATCH(L$1,'WPP 2024 середина года'!$B$1:$U$1,0))/(1000*INDEX('SALA 2002'!$B:$U,MATCH($A53,'SALA 2002'!$A:$A,0),MATCH(L$1,'SALA 2002'!$B$1:$U$1,0))),($A53-1994)/7),INDEX('WPP 2024 середина года'!$B:$U,MATCH($A53,'WPP 2024 середина года'!$A:$A,0),MATCH(L$1,'WPP 2024 середина года'!$B$1:$U$1,0)))))</f>
        <v>2892</v>
      </c>
      <c r="M53" s="7">
        <f>IF($A53&lt;=1951,INDEX('SALA 1974'!$B:$U,MATCH($A53,'SALA 1974'!$A:$A,0),MATCH(M$1,'SALA 1974'!$B$1:$U$1,0)),IF($A53&lt;=1994,1000*INDEX('SALA 2002'!$B:$U,MATCH($A53,'SALA 2002'!$A:$A,0),MATCH(M$1,'SALA 2002'!$B$1:$U$1,0)),IF($A53&lt;=2000,1000*INDEX('SALA 2002'!$B:$U,MATCH($A53,'SALA 2002'!$A:$A,0),MATCH(M$1,'SALA 2002'!$B$1:$U$1,0))*POWER(INDEX('WPP 2024 середина года'!$B:$U,MATCH($A53,'WPP 2024 середина года'!$A:$A,0),MATCH(M$1,'WPP 2024 середина года'!$B$1:$U$1,0))/(1000*INDEX('SALA 2002'!$B:$U,MATCH($A53,'SALA 2002'!$A:$A,0),MATCH(M$1,'SALA 2002'!$B$1:$U$1,0))),($A53-1994)/7),INDEX('WPP 2024 середина года'!$B:$U,MATCH($A53,'WPP 2024 середина года'!$A:$A,0),MATCH(M$1,'WPP 2024 середина года'!$B$1:$U$1,0)))))</f>
        <v>3444</v>
      </c>
      <c r="N53" s="7">
        <f>IF($A53&lt;=1951,INDEX('SALA 1974'!$B:$U,MATCH($A53,'SALA 1974'!$A:$A,0),MATCH(N$1,'SALA 1974'!$B$1:$U$1,0)),IF($A53&lt;=1994,1000*INDEX('SALA 2002'!$B:$U,MATCH($A53,'SALA 2002'!$A:$A,0),MATCH(N$1,'SALA 2002'!$B$1:$U$1,0)),IF($A53&lt;=2000,1000*INDEX('SALA 2002'!$B:$U,MATCH($A53,'SALA 2002'!$A:$A,0),MATCH(N$1,'SALA 2002'!$B$1:$U$1,0))*POWER(INDEX('WPP 2024 середина года'!$B:$U,MATCH($A53,'WPP 2024 середина года'!$A:$A,0),MATCH(N$1,'WPP 2024 середина года'!$B$1:$U$1,0))/(1000*INDEX('SALA 2002'!$B:$U,MATCH($A53,'SALA 2002'!$A:$A,0),MATCH(N$1,'SALA 2002'!$B$1:$U$1,0))),($A53-1994)/7),INDEX('WPP 2024 середина года'!$B:$U,MATCH($A53,'WPP 2024 середина года'!$A:$A,0),MATCH(N$1,'WPP 2024 середина года'!$B$1:$U$1,0)))))</f>
        <v>1470</v>
      </c>
      <c r="O53" s="7">
        <f>IF($A53&lt;=1951,INDEX('SALA 1974'!$B:$U,MATCH($A53,'SALA 1974'!$A:$A,0),MATCH(O$1,'SALA 1974'!$B$1:$U$1,0)),IF($A53&lt;=1994,1000*INDEX('SALA 2002'!$B:$U,MATCH($A53,'SALA 2002'!$A:$A,0),MATCH(O$1,'SALA 2002'!$B$1:$U$1,0)),IF($A53&lt;=2000,1000*INDEX('SALA 2002'!$B:$U,MATCH($A53,'SALA 2002'!$A:$A,0),MATCH(O$1,'SALA 2002'!$B$1:$U$1,0))*POWER(INDEX('WPP 2024 середина года'!$B:$U,MATCH($A53,'WPP 2024 середина года'!$A:$A,0),MATCH(O$1,'WPP 2024 середина года'!$B$1:$U$1,0))/(1000*INDEX('SALA 2002'!$B:$U,MATCH($A53,'SALA 2002'!$A:$A,0),MATCH(O$1,'SALA 2002'!$B$1:$U$1,0))),($A53-1994)/7),INDEX('WPP 2024 середина года'!$B:$U,MATCH($A53,'WPP 2024 середина года'!$A:$A,0),MATCH(O$1,'WPP 2024 середина года'!$B$1:$U$1,0)))))</f>
        <v>25585</v>
      </c>
      <c r="P53" s="7">
        <f>IF($A53&lt;=1951,INDEX('SALA 1974'!$B:$U,MATCH($A53,'SALA 1974'!$A:$A,0),MATCH(P$1,'SALA 1974'!$B$1:$U$1,0)),IF($A53&lt;=1994,1000*INDEX('SALA 2002'!$B:$U,MATCH($A53,'SALA 2002'!$A:$A,0),MATCH(P$1,'SALA 2002'!$B$1:$U$1,0)),IF($A53&lt;=2000,1000*INDEX('SALA 2002'!$B:$U,MATCH($A53,'SALA 2002'!$A:$A,0),MATCH(P$1,'SALA 2002'!$B$1:$U$1,0))*POWER(INDEX('WPP 2024 середина года'!$B:$U,MATCH($A53,'WPP 2024 середина года'!$A:$A,0),MATCH(P$1,'WPP 2024 середина года'!$B$1:$U$1,0))/(1000*INDEX('SALA 2002'!$B:$U,MATCH($A53,'SALA 2002'!$A:$A,0),MATCH(P$1,'SALA 2002'!$B$1:$U$1,0))),($A53-1994)/7),INDEX('WPP 2024 середина года'!$B:$U,MATCH($A53,'WPP 2024 середина года'!$A:$A,0),MATCH(P$1,'WPP 2024 середина года'!$B$1:$U$1,0)))))</f>
        <v>1093</v>
      </c>
      <c r="Q53" s="7">
        <f>IF($A53&lt;=1951,INDEX('SALA 1974'!$B:$U,MATCH($A53,'SALA 1974'!$A:$A,0),MATCH(Q$1,'SALA 1974'!$B$1:$U$1,0)),IF($A53&lt;=1994,1000*INDEX('SALA 2002'!$B:$U,MATCH($A53,'SALA 2002'!$A:$A,0),MATCH(Q$1,'SALA 2002'!$B$1:$U$1,0)),IF($A53&lt;=2000,1000*INDEX('SALA 2002'!$B:$U,MATCH($A53,'SALA 2002'!$A:$A,0),MATCH(Q$1,'SALA 2002'!$B$1:$U$1,0))*POWER(INDEX('WPP 2024 середина года'!$B:$U,MATCH($A53,'WPP 2024 середина года'!$A:$A,0),MATCH(Q$1,'WPP 2024 середина года'!$B$1:$U$1,0))/(1000*INDEX('SALA 2002'!$B:$U,MATCH($A53,'SALA 2002'!$A:$A,0),MATCH(Q$1,'SALA 2002'!$B$1:$U$1,0))),($A53-1994)/7),INDEX('WPP 2024 середина года'!$B:$U,MATCH($A53,'WPP 2024 середина года'!$A:$A,0),MATCH(Q$1,'WPP 2024 середина года'!$B$1:$U$1,0)))))</f>
        <v>817</v>
      </c>
      <c r="R53" s="7">
        <f>IF($A53&lt;=1951,INDEX('SALA 1974'!$B:$U,MATCH($A53,'SALA 1974'!$A:$A,0),MATCH(R$1,'SALA 1974'!$B$1:$U$1,0)),IF($A53&lt;=1994,1000*INDEX('SALA 2002'!$B:$U,MATCH($A53,'SALA 2002'!$A:$A,0),MATCH(R$1,'SALA 2002'!$B$1:$U$1,0)),IF($A53&lt;=2000,1000*INDEX('SALA 2002'!$B:$U,MATCH($A53,'SALA 2002'!$A:$A,0),MATCH(R$1,'SALA 2002'!$B$1:$U$1,0))*POWER(INDEX('WPP 2024 середина года'!$B:$U,MATCH($A53,'WPP 2024 середина года'!$A:$A,0),MATCH(R$1,'WPP 2024 середина года'!$B$1:$U$1,0))/(1000*INDEX('SALA 2002'!$B:$U,MATCH($A53,'SALA 2002'!$A:$A,0),MATCH(R$1,'SALA 2002'!$B$1:$U$1,0))),($A53-1994)/7),INDEX('WPP 2024 середина года'!$B:$U,MATCH($A53,'WPP 2024 середина года'!$A:$A,0),MATCH(R$1,'WPP 2024 середина года'!$B$1:$U$1,0)))))</f>
        <v>1429</v>
      </c>
      <c r="S53" s="7">
        <f>IF($A53&lt;=1951,INDEX('SALA 1974'!$B:$U,MATCH($A53,'SALA 1974'!$A:$A,0),MATCH(S$1,'SALA 1974'!$B$1:$U$1,0)),IF($A53&lt;=1994,1000*INDEX('SALA 2002'!$B:$U,MATCH($A53,'SALA 2002'!$A:$A,0),MATCH(S$1,'SALA 2002'!$B$1:$U$1,0)),IF($A53&lt;=2000,1000*INDEX('SALA 2002'!$B:$U,MATCH($A53,'SALA 2002'!$A:$A,0),MATCH(S$1,'SALA 2002'!$B$1:$U$1,0))*POWER(INDEX('WPP 2024 середина года'!$B:$U,MATCH($A53,'WPP 2024 середина года'!$A:$A,0),MATCH(S$1,'WPP 2024 середина года'!$B$1:$U$1,0))/(1000*INDEX('SALA 2002'!$B:$U,MATCH($A53,'SALA 2002'!$A:$A,0),MATCH(S$1,'SALA 2002'!$B$1:$U$1,0))),($A53-1994)/7),INDEX('WPP 2024 середина года'!$B:$U,MATCH($A53,'WPP 2024 середина года'!$A:$A,0),MATCH(S$1,'WPP 2024 середина года'!$B$1:$U$1,0)))))</f>
        <v>8118</v>
      </c>
      <c r="T53" s="7">
        <f>IF($A53&lt;=1951,INDEX('SALA 1974'!$B:$U,MATCH($A53,'SALA 1974'!$A:$A,0),MATCH(T$1,'SALA 1974'!$B$1:$U$1,0)),IF($A53&lt;=1994,1000*INDEX('SALA 2002'!$B:$U,MATCH($A53,'SALA 2002'!$A:$A,0),MATCH(T$1,'SALA 2002'!$B$1:$U$1,0)),IF($A53&lt;=2000,1000*INDEX('SALA 2002'!$B:$U,MATCH($A53,'SALA 2002'!$A:$A,0),MATCH(T$1,'SALA 2002'!$B$1:$U$1,0))*POWER(INDEX('WPP 2024 середина года'!$B:$U,MATCH($A53,'WPP 2024 середина года'!$A:$A,0),MATCH(T$1,'WPP 2024 середина года'!$B$1:$U$1,0))/(1000*INDEX('SALA 2002'!$B:$U,MATCH($A53,'SALA 2002'!$A:$A,0),MATCH(T$1,'SALA 2002'!$B$1:$U$1,0))),($A53-1994)/7),INDEX('WPP 2024 середина года'!$B:$U,MATCH($A53,'WPP 2024 середина года'!$A:$A,0),MATCH(T$1,'WPP 2024 середина года'!$B$1:$U$1,0)))))</f>
        <v>2224</v>
      </c>
      <c r="U53" s="7">
        <f>IF($A53&lt;=1951,INDEX('SALA 1974'!$B:$U,MATCH($A53,'SALA 1974'!$A:$A,0),MATCH(U$1,'SALA 1974'!$B$1:$U$1,0)),IF($A53&lt;=1994,1000*INDEX('SALA 2002'!$B:$U,MATCH($A53,'SALA 2002'!$A:$A,0),MATCH(U$1,'SALA 2002'!$B$1:$U$1,0)),IF($A53&lt;=2000,1000*INDEX('SALA 2002'!$B:$U,MATCH($A53,'SALA 2002'!$A:$A,0),MATCH(U$1,'SALA 2002'!$B$1:$U$1,0))*POWER(INDEX('WPP 2024 середина года'!$B:$U,MATCH($A53,'WPP 2024 середина года'!$A:$A,0),MATCH(U$1,'WPP 2024 середина года'!$B$1:$U$1,0))/(1000*INDEX('SALA 2002'!$B:$U,MATCH($A53,'SALA 2002'!$A:$A,0),MATCH(U$1,'SALA 2002'!$B$1:$U$1,0))),($A53-1994)/7),INDEX('WPP 2024 середина года'!$B:$U,MATCH($A53,'WPP 2024 середина года'!$A:$A,0),MATCH(U$1,'WPP 2024 середина года'!$B$1:$U$1,0)))))</f>
        <v>5139</v>
      </c>
    </row>
    <row r="54" spans="1:21" x14ac:dyDescent="0.25">
      <c r="A54" s="5">
        <f t="shared" si="0"/>
        <v>1952</v>
      </c>
      <c r="B54" s="7">
        <f>IF($A54&lt;=1951,INDEX('SALA 1974'!$B:$U,MATCH($A54,'SALA 1974'!$A:$A,0),MATCH(B$1,'SALA 1974'!$B$1:$U$1,0)),IF($A54&lt;=1994,1000*INDEX('SALA 2002'!$B:$U,MATCH($A54,'SALA 2002'!$A:$A,0),MATCH(B$1,'SALA 2002'!$B$1:$U$1,0)),IF($A54&lt;=2000,1000*INDEX('SALA 2002'!$B:$U,MATCH($A54,'SALA 2002'!$A:$A,0),MATCH(B$1,'SALA 2002'!$B$1:$U$1,0))*POWER(INDEX('WPP 2024 середина года'!$B:$U,MATCH($A54,'WPP 2024 середина года'!$A:$A,0),MATCH(B$1,'WPP 2024 середина года'!$B$1:$U$1,0))/(1000*INDEX('SALA 2002'!$B:$U,MATCH($A54,'SALA 2002'!$A:$A,0),MATCH(B$1,'SALA 2002'!$B$1:$U$1,0))),($A54-1994)/7),INDEX('WPP 2024 середина года'!$B:$U,MATCH($A54,'WPP 2024 середина года'!$A:$A,0),MATCH(B$1,'WPP 2024 середина года'!$B$1:$U$1,0)))))</f>
        <v>17700</v>
      </c>
      <c r="C54" s="7">
        <f>IF($A54&lt;=1951,INDEX('SALA 1974'!$B:$U,MATCH($A54,'SALA 1974'!$A:$A,0),MATCH(C$1,'SALA 1974'!$B$1:$U$1,0)),IF($A54&lt;=1994,1000*INDEX('SALA 2002'!$B:$U,MATCH($A54,'SALA 2002'!$A:$A,0),MATCH(C$1,'SALA 2002'!$B$1:$U$1,0)),IF($A54&lt;=2000,1000*INDEX('SALA 2002'!$B:$U,MATCH($A54,'SALA 2002'!$A:$A,0),MATCH(C$1,'SALA 2002'!$B$1:$U$1,0))*POWER(INDEX('WPP 2024 середина года'!$B:$U,MATCH($A54,'WPP 2024 середина года'!$A:$A,0),MATCH(C$1,'WPP 2024 середина года'!$B$1:$U$1,0))/(1000*INDEX('SALA 2002'!$B:$U,MATCH($A54,'SALA 2002'!$A:$A,0),MATCH(C$1,'SALA 2002'!$B$1:$U$1,0))),($A54-1994)/7),INDEX('WPP 2024 середина года'!$B:$U,MATCH($A54,'WPP 2024 середина года'!$A:$A,0),MATCH(C$1,'WPP 2024 середина года'!$B$1:$U$1,0)))))</f>
        <v>3130</v>
      </c>
      <c r="D54" s="7">
        <f>IF($A54&lt;=1951,INDEX('SALA 1974'!$B:$U,MATCH($A54,'SALA 1974'!$A:$A,0),MATCH(D$1,'SALA 1974'!$B$1:$U$1,0)),IF($A54&lt;=1994,1000*INDEX('SALA 2002'!$B:$U,MATCH($A54,'SALA 2002'!$A:$A,0),MATCH(D$1,'SALA 2002'!$B$1:$U$1,0)),IF($A54&lt;=2000,1000*INDEX('SALA 2002'!$B:$U,MATCH($A54,'SALA 2002'!$A:$A,0),MATCH(D$1,'SALA 2002'!$B$1:$U$1,0))*POWER(INDEX('WPP 2024 середина года'!$B:$U,MATCH($A54,'WPP 2024 середина года'!$A:$A,0),MATCH(D$1,'WPP 2024 середина года'!$B$1:$U$1,0))/(1000*INDEX('SALA 2002'!$B:$U,MATCH($A54,'SALA 2002'!$A:$A,0),MATCH(D$1,'SALA 2002'!$B$1:$U$1,0))),($A54-1994)/7),INDEX('WPP 2024 середина года'!$B:$U,MATCH($A54,'WPP 2024 середина года'!$A:$A,0),MATCH(D$1,'WPP 2024 середина года'!$B$1:$U$1,0)))))</f>
        <v>55100</v>
      </c>
      <c r="E54" s="7">
        <f>IF($A54&lt;=1951,INDEX('SALA 1974'!$B:$U,MATCH($A54,'SALA 1974'!$A:$A,0),MATCH(E$1,'SALA 1974'!$B$1:$U$1,0)),IF($A54&lt;=1994,1000*INDEX('SALA 2002'!$B:$U,MATCH($A54,'SALA 2002'!$A:$A,0),MATCH(E$1,'SALA 2002'!$B$1:$U$1,0)),IF($A54&lt;=2000,1000*INDEX('SALA 2002'!$B:$U,MATCH($A54,'SALA 2002'!$A:$A,0),MATCH(E$1,'SALA 2002'!$B$1:$U$1,0))*POWER(INDEX('WPP 2024 середина года'!$B:$U,MATCH($A54,'WPP 2024 середина года'!$A:$A,0),MATCH(E$1,'WPP 2024 середина года'!$B$1:$U$1,0))/(1000*INDEX('SALA 2002'!$B:$U,MATCH($A54,'SALA 2002'!$A:$A,0),MATCH(E$1,'SALA 2002'!$B$1:$U$1,0))),($A54-1994)/7),INDEX('WPP 2024 середина года'!$B:$U,MATCH($A54,'WPP 2024 середина года'!$A:$A,0),MATCH(E$1,'WPP 2024 середина года'!$B$1:$U$1,0)))))</f>
        <v>6300</v>
      </c>
      <c r="F54" s="7">
        <f>IF($A54&lt;=1947,INDEX('SALA 1974'!$B:$U,MATCH($A54,'SALA 1974'!$A:$A,0),MATCH(F$1,'SALA 1974'!$B$1:$U$1,0)),IF($A54&lt;=1994,1000*INDEX('SALA 2002'!$B:$U,MATCH($A54,'SALA 2002'!$A:$A,0),MATCH(F$1,'SALA 2002'!$B$1:$U$1,0)),IF($A54&lt;=2000,1000*INDEX('SALA 2002'!$B:$U,MATCH($A54,'SALA 2002'!$A:$A,0),MATCH(F$1,'SALA 2002'!$B$1:$U$1,0))*POWER(INDEX('WPP 2024 середина года'!$B:$U,MATCH($A54,'WPP 2024 середина года'!$A:$A,0),MATCH(F$1,'WPP 2024 середина года'!$B$1:$U$1,0))/(1000*INDEX('SALA 2002'!$B:$U,MATCH($A54,'SALA 2002'!$A:$A,0),MATCH(F$1,'SALA 2002'!$B$1:$U$1,0))),($A54-1994)/7),INDEX('WPP 2024 середина года'!$B:$U,MATCH($A54,'WPP 2024 середина года'!$A:$A,0),MATCH(F$1,'WPP 2024 середина года'!$B$1:$U$1,0)))))</f>
        <v>11810</v>
      </c>
      <c r="G54" s="7">
        <f>IF($A54&lt;=1951,INDEX('SALA 1974'!$B:$U,MATCH($A54,'SALA 1974'!$A:$A,0),MATCH(G$1,'SALA 1974'!$B$1:$U$1,0)),IF($A54&lt;=1994,1000*INDEX('SALA 2002'!$B:$U,MATCH($A54,'SALA 2002'!$A:$A,0),MATCH(G$1,'SALA 2002'!$B$1:$U$1,0)),IF($A54&lt;=2000,1000*INDEX('SALA 2002'!$B:$U,MATCH($A54,'SALA 2002'!$A:$A,0),MATCH(G$1,'SALA 2002'!$B$1:$U$1,0))*POWER(INDEX('WPP 2024 середина года'!$B:$U,MATCH($A54,'WPP 2024 середина года'!$A:$A,0),MATCH(G$1,'WPP 2024 середина года'!$B$1:$U$1,0))/(1000*INDEX('SALA 2002'!$B:$U,MATCH($A54,'SALA 2002'!$A:$A,0),MATCH(G$1,'SALA 2002'!$B$1:$U$1,0))),($A54-1994)/7),INDEX('WPP 2024 середина года'!$B:$U,MATCH($A54,'WPP 2024 середина года'!$A:$A,0),MATCH(G$1,'WPP 2024 середина года'!$B$1:$U$1,0)))))</f>
        <v>920</v>
      </c>
      <c r="H54" s="7">
        <f>IF($A54&lt;=1951,INDEX('SALA 1974'!$B:$U,MATCH($A54,'SALA 1974'!$A:$A,0),MATCH(H$1,'SALA 1974'!$B$1:$U$1,0)),IF($A54&lt;=1994,1000*INDEX('SALA 2002'!$B:$U,MATCH($A54,'SALA 2002'!$A:$A,0),MATCH(H$1,'SALA 2002'!$B$1:$U$1,0)),IF($A54&lt;=2000,1000*INDEX('SALA 2002'!$B:$U,MATCH($A54,'SALA 2002'!$A:$A,0),MATCH(H$1,'SALA 2002'!$B$1:$U$1,0))*POWER(INDEX('WPP 2024 середина года'!$B:$U,MATCH($A54,'WPP 2024 середина года'!$A:$A,0),MATCH(H$1,'WPP 2024 середина года'!$B$1:$U$1,0))/(1000*INDEX('SALA 2002'!$B:$U,MATCH($A54,'SALA 2002'!$A:$A,0),MATCH(H$1,'SALA 2002'!$B$1:$U$1,0))),($A54-1994)/7),INDEX('WPP 2024 середина года'!$B:$U,MATCH($A54,'WPP 2024 середина года'!$A:$A,0),MATCH(H$1,'WPP 2024 середина года'!$B$1:$U$1,0)))))</f>
        <v>5730</v>
      </c>
      <c r="I54" s="7">
        <f>IF($A54&lt;=1951,INDEX('SALA 1974'!$B:$U,MATCH($A54,'SALA 1974'!$A:$A,0),MATCH(I$1,'SALA 1974'!$B$1:$U$1,0)),IF($A54&lt;=1994,1000*INDEX('SALA 2002'!$B:$U,MATCH($A54,'SALA 2002'!$A:$A,0),MATCH(I$1,'SALA 2002'!$B$1:$U$1,0)),IF($A54&lt;=2000,1000*INDEX('SALA 2002'!$B:$U,MATCH($A54,'SALA 2002'!$A:$A,0),MATCH(I$1,'SALA 2002'!$B$1:$U$1,0))*POWER(INDEX('WPP 2024 середина года'!$B:$U,MATCH($A54,'WPP 2024 середина года'!$A:$A,0),MATCH(I$1,'WPP 2024 середина года'!$B$1:$U$1,0))/(1000*INDEX('SALA 2002'!$B:$U,MATCH($A54,'SALA 2002'!$A:$A,0),MATCH(I$1,'SALA 2002'!$B$1:$U$1,0))),($A54-1994)/7),INDEX('WPP 2024 середина года'!$B:$U,MATCH($A54,'WPP 2024 середина года'!$A:$A,0),MATCH(I$1,'WPP 2024 середина года'!$B$1:$U$1,0)))))</f>
        <v>2290</v>
      </c>
      <c r="J54" s="7">
        <f>IF($A54&lt;=1951,INDEX('SALA 1974'!$B:$U,MATCH($A54,'SALA 1974'!$A:$A,0),MATCH(J$1,'SALA 1974'!$B$1:$U$1,0)),IF($A54&lt;=1994,1000*INDEX('SALA 2002'!$B:$U,MATCH($A54,'SALA 2002'!$A:$A,0),MATCH(J$1,'SALA 2002'!$B$1:$U$1,0)),IF($A54&lt;=2000,1000*INDEX('SALA 2002'!$B:$U,MATCH($A54,'SALA 2002'!$A:$A,0),MATCH(J$1,'SALA 2002'!$B$1:$U$1,0))*POWER(INDEX('WPP 2024 середина года'!$B:$U,MATCH($A54,'WPP 2024 середина года'!$A:$A,0),MATCH(J$1,'WPP 2024 середина года'!$B$1:$U$1,0))/(1000*INDEX('SALA 2002'!$B:$U,MATCH($A54,'SALA 2002'!$A:$A,0),MATCH(J$1,'SALA 2002'!$B$1:$U$1,0))),($A54-1994)/7),INDEX('WPP 2024 середина года'!$B:$U,MATCH($A54,'WPP 2024 середина года'!$A:$A,0),MATCH(J$1,'WPP 2024 середина года'!$B$1:$U$1,0)))))</f>
        <v>3430</v>
      </c>
      <c r="K54" s="7">
        <f>IF($A54&lt;=1951,INDEX('SALA 1974'!$B:$U,MATCH($A54,'SALA 1974'!$A:$A,0),MATCH(K$1,'SALA 1974'!$B$1:$U$1,0)),IF($A54&lt;=1994,1000*INDEX('SALA 2002'!$B:$U,MATCH($A54,'SALA 2002'!$A:$A,0),MATCH(K$1,'SALA 2002'!$B$1:$U$1,0)),IF($A54&lt;=2000,1000*INDEX('SALA 2002'!$B:$U,MATCH($A54,'SALA 2002'!$A:$A,0),MATCH(K$1,'SALA 2002'!$B$1:$U$1,0))*POWER(INDEX('WPP 2024 середина года'!$B:$U,MATCH($A54,'WPP 2024 середина года'!$A:$A,0),MATCH(K$1,'WPP 2024 середина года'!$B$1:$U$1,0))/(1000*INDEX('SALA 2002'!$B:$U,MATCH($A54,'SALA 2002'!$A:$A,0),MATCH(K$1,'SALA 2002'!$B$1:$U$1,0))),($A54-1994)/7),INDEX('WPP 2024 середина года'!$B:$U,MATCH($A54,'WPP 2024 середина года'!$A:$A,0),MATCH(K$1,'WPP 2024 середина года'!$B$1:$U$1,0)))))</f>
        <v>1970</v>
      </c>
      <c r="L54" s="7">
        <f>IF($A54&lt;=1951,INDEX('SALA 1974'!$B:$U,MATCH($A54,'SALA 1974'!$A:$A,0),MATCH(L$1,'SALA 1974'!$B$1:$U$1,0)),IF($A54&lt;=1994,1000*INDEX('SALA 2002'!$B:$U,MATCH($A54,'SALA 2002'!$A:$A,0),MATCH(L$1,'SALA 2002'!$B$1:$U$1,0)),IF($A54&lt;=2000,1000*INDEX('SALA 2002'!$B:$U,MATCH($A54,'SALA 2002'!$A:$A,0),MATCH(L$1,'SALA 2002'!$B$1:$U$1,0))*POWER(INDEX('WPP 2024 середина года'!$B:$U,MATCH($A54,'WPP 2024 середина года'!$A:$A,0),MATCH(L$1,'WPP 2024 середина года'!$B$1:$U$1,0))/(1000*INDEX('SALA 2002'!$B:$U,MATCH($A54,'SALA 2002'!$A:$A,0),MATCH(L$1,'SALA 2002'!$B$1:$U$1,0))),($A54-1994)/7),INDEX('WPP 2024 середина года'!$B:$U,MATCH($A54,'WPP 2024 середина года'!$A:$A,0),MATCH(L$1,'WPP 2024 середина года'!$B$1:$U$1,0)))))</f>
        <v>2980</v>
      </c>
      <c r="M54" s="7">
        <f>IF($A54&lt;=1951,INDEX('SALA 1974'!$B:$U,MATCH($A54,'SALA 1974'!$A:$A,0),MATCH(M$1,'SALA 1974'!$B$1:$U$1,0)),IF($A54&lt;=1994,1000*INDEX('SALA 2002'!$B:$U,MATCH($A54,'SALA 2002'!$A:$A,0),MATCH(M$1,'SALA 2002'!$B$1:$U$1,0)),IF($A54&lt;=2000,1000*INDEX('SALA 2002'!$B:$U,MATCH($A54,'SALA 2002'!$A:$A,0),MATCH(M$1,'SALA 2002'!$B$1:$U$1,0))*POWER(INDEX('WPP 2024 середина года'!$B:$U,MATCH($A54,'WPP 2024 середина года'!$A:$A,0),MATCH(M$1,'WPP 2024 середина года'!$B$1:$U$1,0))/(1000*INDEX('SALA 2002'!$B:$U,MATCH($A54,'SALA 2002'!$A:$A,0),MATCH(M$1,'SALA 2002'!$B$1:$U$1,0))),($A54-1994)/7),INDEX('WPP 2024 середина года'!$B:$U,MATCH($A54,'WPP 2024 середина года'!$A:$A,0),MATCH(M$1,'WPP 2024 середина года'!$B$1:$U$1,0)))))</f>
        <v>3510</v>
      </c>
      <c r="N54" s="7">
        <f>IF($A54&lt;=1951,INDEX('SALA 1974'!$B:$U,MATCH($A54,'SALA 1974'!$A:$A,0),MATCH(N$1,'SALA 1974'!$B$1:$U$1,0)),IF($A54&lt;=1994,1000*INDEX('SALA 2002'!$B:$U,MATCH($A54,'SALA 2002'!$A:$A,0),MATCH(N$1,'SALA 2002'!$B$1:$U$1,0)),IF($A54&lt;=2000,1000*INDEX('SALA 2002'!$B:$U,MATCH($A54,'SALA 2002'!$A:$A,0),MATCH(N$1,'SALA 2002'!$B$1:$U$1,0))*POWER(INDEX('WPP 2024 середина года'!$B:$U,MATCH($A54,'WPP 2024 середина года'!$A:$A,0),MATCH(N$1,'WPP 2024 середина года'!$B$1:$U$1,0))/(1000*INDEX('SALA 2002'!$B:$U,MATCH($A54,'SALA 2002'!$A:$A,0),MATCH(N$1,'SALA 2002'!$B$1:$U$1,0))),($A54-1994)/7),INDEX('WPP 2024 середина года'!$B:$U,MATCH($A54,'WPP 2024 середина года'!$A:$A,0),MATCH(N$1,'WPP 2024 середина года'!$B$1:$U$1,0)))))</f>
        <v>1530</v>
      </c>
      <c r="O54" s="7">
        <f>IF($A54&lt;=1951,INDEX('SALA 1974'!$B:$U,MATCH($A54,'SALA 1974'!$A:$A,0),MATCH(O$1,'SALA 1974'!$B$1:$U$1,0)),IF($A54&lt;=1994,1000*INDEX('SALA 2002'!$B:$U,MATCH($A54,'SALA 2002'!$A:$A,0),MATCH(O$1,'SALA 2002'!$B$1:$U$1,0)),IF($A54&lt;=2000,1000*INDEX('SALA 2002'!$B:$U,MATCH($A54,'SALA 2002'!$A:$A,0),MATCH(O$1,'SALA 2002'!$B$1:$U$1,0))*POWER(INDEX('WPP 2024 середина года'!$B:$U,MATCH($A54,'WPP 2024 середина года'!$A:$A,0),MATCH(O$1,'WPP 2024 середина года'!$B$1:$U$1,0))/(1000*INDEX('SALA 2002'!$B:$U,MATCH($A54,'SALA 2002'!$A:$A,0),MATCH(O$1,'SALA 2002'!$B$1:$U$1,0))),($A54-1994)/7),INDEX('WPP 2024 середина года'!$B:$U,MATCH($A54,'WPP 2024 середина года'!$A:$A,0),MATCH(O$1,'WPP 2024 середина года'!$B$1:$U$1,0)))))</f>
        <v>27850</v>
      </c>
      <c r="P54" s="7">
        <f>IF($A54&lt;=1951,INDEX('SALA 1974'!$B:$U,MATCH($A54,'SALA 1974'!$A:$A,0),MATCH(P$1,'SALA 1974'!$B$1:$U$1,0)),IF($A54&lt;=1994,1000*INDEX('SALA 2002'!$B:$U,MATCH($A54,'SALA 2002'!$A:$A,0),MATCH(P$1,'SALA 2002'!$B$1:$U$1,0)),IF($A54&lt;=2000,1000*INDEX('SALA 2002'!$B:$U,MATCH($A54,'SALA 2002'!$A:$A,0),MATCH(P$1,'SALA 2002'!$B$1:$U$1,0))*POWER(INDEX('WPP 2024 середина года'!$B:$U,MATCH($A54,'WPP 2024 середина года'!$A:$A,0),MATCH(P$1,'WPP 2024 середина года'!$B$1:$U$1,0))/(1000*INDEX('SALA 2002'!$B:$U,MATCH($A54,'SALA 2002'!$A:$A,0),MATCH(P$1,'SALA 2002'!$B$1:$U$1,0))),($A54-1994)/7),INDEX('WPP 2024 середина года'!$B:$U,MATCH($A54,'WPP 2024 середина года'!$A:$A,0),MATCH(P$1,'WPP 2024 середина года'!$B$1:$U$1,0)))))</f>
        <v>1120</v>
      </c>
      <c r="Q54" s="7">
        <f>IF($A54&lt;=1951,INDEX('SALA 1974'!$B:$U,MATCH($A54,'SALA 1974'!$A:$A,0),MATCH(Q$1,'SALA 1974'!$B$1:$U$1,0)),IF($A54&lt;=1994,1000*INDEX('SALA 2002'!$B:$U,MATCH($A54,'SALA 2002'!$A:$A,0),MATCH(Q$1,'SALA 2002'!$B$1:$U$1,0)),IF($A54&lt;=2000,1000*INDEX('SALA 2002'!$B:$U,MATCH($A54,'SALA 2002'!$A:$A,0),MATCH(Q$1,'SALA 2002'!$B$1:$U$1,0))*POWER(INDEX('WPP 2024 середина года'!$B:$U,MATCH($A54,'WPP 2024 середина года'!$A:$A,0),MATCH(Q$1,'WPP 2024 середина года'!$B$1:$U$1,0))/(1000*INDEX('SALA 2002'!$B:$U,MATCH($A54,'SALA 2002'!$A:$A,0),MATCH(Q$1,'SALA 2002'!$B$1:$U$1,0))),($A54-1994)/7),INDEX('WPP 2024 середина года'!$B:$U,MATCH($A54,'WPP 2024 середина года'!$A:$A,0),MATCH(Q$1,'WPP 2024 середина года'!$B$1:$U$1,0)))))</f>
        <v>840</v>
      </c>
      <c r="R54" s="7">
        <f>IF($A54&lt;=1951,INDEX('SALA 1974'!$B:$U,MATCH($A54,'SALA 1974'!$A:$A,0),MATCH(R$1,'SALA 1974'!$B$1:$U$1,0)),IF($A54&lt;=1994,1000*INDEX('SALA 2002'!$B:$U,MATCH($A54,'SALA 2002'!$A:$A,0),MATCH(R$1,'SALA 2002'!$B$1:$U$1,0)),IF($A54&lt;=2000,1000*INDEX('SALA 2002'!$B:$U,MATCH($A54,'SALA 2002'!$A:$A,0),MATCH(R$1,'SALA 2002'!$B$1:$U$1,0))*POWER(INDEX('WPP 2024 середина года'!$B:$U,MATCH($A54,'WPP 2024 середина года'!$A:$A,0),MATCH(R$1,'WPP 2024 середина года'!$B$1:$U$1,0))/(1000*INDEX('SALA 2002'!$B:$U,MATCH($A54,'SALA 2002'!$A:$A,0),MATCH(R$1,'SALA 2002'!$B$1:$U$1,0))),($A54-1994)/7),INDEX('WPP 2024 середина года'!$B:$U,MATCH($A54,'WPP 2024 середина года'!$A:$A,0),MATCH(R$1,'WPP 2024 середина года'!$B$1:$U$1,0)))))</f>
        <v>1460</v>
      </c>
      <c r="S54" s="7">
        <f>IF($A54&lt;=1951,INDEX('SALA 1974'!$B:$U,MATCH($A54,'SALA 1974'!$A:$A,0),MATCH(S$1,'SALA 1974'!$B$1:$U$1,0)),IF($A54&lt;=1994,1000*INDEX('SALA 2002'!$B:$U,MATCH($A54,'SALA 2002'!$A:$A,0),MATCH(S$1,'SALA 2002'!$B$1:$U$1,0)),IF($A54&lt;=2000,1000*INDEX('SALA 2002'!$B:$U,MATCH($A54,'SALA 2002'!$A:$A,0),MATCH(S$1,'SALA 2002'!$B$1:$U$1,0))*POWER(INDEX('WPP 2024 середина года'!$B:$U,MATCH($A54,'WPP 2024 середина года'!$A:$A,0),MATCH(S$1,'WPP 2024 середина года'!$B$1:$U$1,0))/(1000*INDEX('SALA 2002'!$B:$U,MATCH($A54,'SALA 2002'!$A:$A,0),MATCH(S$1,'SALA 2002'!$B$1:$U$1,0))),($A54-1994)/7),INDEX('WPP 2024 середина года'!$B:$U,MATCH($A54,'WPP 2024 середина года'!$A:$A,0),MATCH(S$1,'WPP 2024 середина года'!$B$1:$U$1,0)))))</f>
        <v>8270</v>
      </c>
      <c r="T54" s="7">
        <f>IF($A54&lt;=1951,INDEX('SALA 1974'!$B:$U,MATCH($A54,'SALA 1974'!$A:$A,0),MATCH(T$1,'SALA 1974'!$B$1:$U$1,0)),IF($A54&lt;=1994,1000*INDEX('SALA 2002'!$B:$U,MATCH($A54,'SALA 2002'!$A:$A,0),MATCH(T$1,'SALA 2002'!$B$1:$U$1,0)),IF($A54&lt;=2000,1000*INDEX('SALA 2002'!$B:$U,MATCH($A54,'SALA 2002'!$A:$A,0),MATCH(T$1,'SALA 2002'!$B$1:$U$1,0))*POWER(INDEX('WPP 2024 середина года'!$B:$U,MATCH($A54,'WPP 2024 середина года'!$A:$A,0),MATCH(T$1,'WPP 2024 середина года'!$B$1:$U$1,0))/(1000*INDEX('SALA 2002'!$B:$U,MATCH($A54,'SALA 2002'!$A:$A,0),MATCH(T$1,'SALA 2002'!$B$1:$U$1,0))),($A54-1994)/7),INDEX('WPP 2024 середина года'!$B:$U,MATCH($A54,'WPP 2024 середина года'!$A:$A,0),MATCH(T$1,'WPP 2024 середина года'!$B$1:$U$1,0)))))</f>
        <v>2260</v>
      </c>
      <c r="U54" s="7">
        <f>IF($A54&lt;=1951,INDEX('SALA 1974'!$B:$U,MATCH($A54,'SALA 1974'!$A:$A,0),MATCH(U$1,'SALA 1974'!$B$1:$U$1,0)),IF($A54&lt;=1994,1000*INDEX('SALA 2002'!$B:$U,MATCH($A54,'SALA 2002'!$A:$A,0),MATCH(U$1,'SALA 2002'!$B$1:$U$1,0)),IF($A54&lt;=2000,1000*INDEX('SALA 2002'!$B:$U,MATCH($A54,'SALA 2002'!$A:$A,0),MATCH(U$1,'SALA 2002'!$B$1:$U$1,0))*POWER(INDEX('WPP 2024 середина года'!$B:$U,MATCH($A54,'WPP 2024 середина года'!$A:$A,0),MATCH(U$1,'WPP 2024 середина года'!$B$1:$U$1,0))/(1000*INDEX('SALA 2002'!$B:$U,MATCH($A54,'SALA 2002'!$A:$A,0),MATCH(U$1,'SALA 2002'!$B$1:$U$1,0))),($A54-1994)/7),INDEX('WPP 2024 середина года'!$B:$U,MATCH($A54,'WPP 2024 середина года'!$A:$A,0),MATCH(U$1,'WPP 2024 середина года'!$B$1:$U$1,0)))))</f>
        <v>5390</v>
      </c>
    </row>
    <row r="55" spans="1:21" x14ac:dyDescent="0.25">
      <c r="A55" s="5">
        <f t="shared" si="0"/>
        <v>1953</v>
      </c>
      <c r="B55" s="7">
        <f>IF($A55&lt;=1951,INDEX('SALA 1974'!$B:$U,MATCH($A55,'SALA 1974'!$A:$A,0),MATCH(B$1,'SALA 1974'!$B$1:$U$1,0)),IF($A55&lt;=1994,1000*INDEX('SALA 2002'!$B:$U,MATCH($A55,'SALA 2002'!$A:$A,0),MATCH(B$1,'SALA 2002'!$B$1:$U$1,0)),IF($A55&lt;=2000,1000*INDEX('SALA 2002'!$B:$U,MATCH($A55,'SALA 2002'!$A:$A,0),MATCH(B$1,'SALA 2002'!$B$1:$U$1,0))*POWER(INDEX('WPP 2024 середина года'!$B:$U,MATCH($A55,'WPP 2024 середина года'!$A:$A,0),MATCH(B$1,'WPP 2024 середина года'!$B$1:$U$1,0))/(1000*INDEX('SALA 2002'!$B:$U,MATCH($A55,'SALA 2002'!$A:$A,0),MATCH(B$1,'SALA 2002'!$B$1:$U$1,0))),($A55-1994)/7),INDEX('WPP 2024 середина года'!$B:$U,MATCH($A55,'WPP 2024 середина года'!$A:$A,0),MATCH(B$1,'WPP 2024 середина года'!$B$1:$U$1,0)))))</f>
        <v>17960</v>
      </c>
      <c r="C55" s="7">
        <f>IF($A55&lt;=1951,INDEX('SALA 1974'!$B:$U,MATCH($A55,'SALA 1974'!$A:$A,0),MATCH(C$1,'SALA 1974'!$B$1:$U$1,0)),IF($A55&lt;=1994,1000*INDEX('SALA 2002'!$B:$U,MATCH($A55,'SALA 2002'!$A:$A,0),MATCH(C$1,'SALA 2002'!$B$1:$U$1,0)),IF($A55&lt;=2000,1000*INDEX('SALA 2002'!$B:$U,MATCH($A55,'SALA 2002'!$A:$A,0),MATCH(C$1,'SALA 2002'!$B$1:$U$1,0))*POWER(INDEX('WPP 2024 середина года'!$B:$U,MATCH($A55,'WPP 2024 середина года'!$A:$A,0),MATCH(C$1,'WPP 2024 середина года'!$B$1:$U$1,0))/(1000*INDEX('SALA 2002'!$B:$U,MATCH($A55,'SALA 2002'!$A:$A,0),MATCH(C$1,'SALA 2002'!$B$1:$U$1,0))),($A55-1994)/7),INDEX('WPP 2024 середина года'!$B:$U,MATCH($A55,'WPP 2024 середина года'!$A:$A,0),MATCH(C$1,'WPP 2024 середина года'!$B$1:$U$1,0)))))</f>
        <v>3190</v>
      </c>
      <c r="D55" s="7">
        <f>IF($A55&lt;=1951,INDEX('SALA 1974'!$B:$U,MATCH($A55,'SALA 1974'!$A:$A,0),MATCH(D$1,'SALA 1974'!$B$1:$U$1,0)),IF($A55&lt;=1994,1000*INDEX('SALA 2002'!$B:$U,MATCH($A55,'SALA 2002'!$A:$A,0),MATCH(D$1,'SALA 2002'!$B$1:$U$1,0)),IF($A55&lt;=2000,1000*INDEX('SALA 2002'!$B:$U,MATCH($A55,'SALA 2002'!$A:$A,0),MATCH(D$1,'SALA 2002'!$B$1:$U$1,0))*POWER(INDEX('WPP 2024 середина года'!$B:$U,MATCH($A55,'WPP 2024 середина года'!$A:$A,0),MATCH(D$1,'WPP 2024 середина года'!$B$1:$U$1,0))/(1000*INDEX('SALA 2002'!$B:$U,MATCH($A55,'SALA 2002'!$A:$A,0),MATCH(D$1,'SALA 2002'!$B$1:$U$1,0))),($A55-1994)/7),INDEX('WPP 2024 середина года'!$B:$U,MATCH($A55,'WPP 2024 середина года'!$A:$A,0),MATCH(D$1,'WPP 2024 середина года'!$B$1:$U$1,0)))))</f>
        <v>56740</v>
      </c>
      <c r="E55" s="7">
        <f>IF($A55&lt;=1951,INDEX('SALA 1974'!$B:$U,MATCH($A55,'SALA 1974'!$A:$A,0),MATCH(E$1,'SALA 1974'!$B$1:$U$1,0)),IF($A55&lt;=1994,1000*INDEX('SALA 2002'!$B:$U,MATCH($A55,'SALA 2002'!$A:$A,0),MATCH(E$1,'SALA 2002'!$B$1:$U$1,0)),IF($A55&lt;=2000,1000*INDEX('SALA 2002'!$B:$U,MATCH($A55,'SALA 2002'!$A:$A,0),MATCH(E$1,'SALA 2002'!$B$1:$U$1,0))*POWER(INDEX('WPP 2024 середина года'!$B:$U,MATCH($A55,'WPP 2024 середина года'!$A:$A,0),MATCH(E$1,'WPP 2024 середина года'!$B$1:$U$1,0))/(1000*INDEX('SALA 2002'!$B:$U,MATCH($A55,'SALA 2002'!$A:$A,0),MATCH(E$1,'SALA 2002'!$B$1:$U$1,0))),($A55-1994)/7),INDEX('WPP 2024 середина года'!$B:$U,MATCH($A55,'WPP 2024 середина года'!$A:$A,0),MATCH(E$1,'WPP 2024 середина года'!$B$1:$U$1,0)))))</f>
        <v>6460</v>
      </c>
      <c r="F55" s="7">
        <f>IF($A55&lt;=1947,INDEX('SALA 1974'!$B:$U,MATCH($A55,'SALA 1974'!$A:$A,0),MATCH(F$1,'SALA 1974'!$B$1:$U$1,0)),IF($A55&lt;=1994,1000*INDEX('SALA 2002'!$B:$U,MATCH($A55,'SALA 2002'!$A:$A,0),MATCH(F$1,'SALA 2002'!$B$1:$U$1,0)),IF($A55&lt;=2000,1000*INDEX('SALA 2002'!$B:$U,MATCH($A55,'SALA 2002'!$A:$A,0),MATCH(F$1,'SALA 2002'!$B$1:$U$1,0))*POWER(INDEX('WPP 2024 середина года'!$B:$U,MATCH($A55,'WPP 2024 середина года'!$A:$A,0),MATCH(F$1,'WPP 2024 середина года'!$B$1:$U$1,0))/(1000*INDEX('SALA 2002'!$B:$U,MATCH($A55,'SALA 2002'!$A:$A,0),MATCH(F$1,'SALA 2002'!$B$1:$U$1,0))),($A55-1994)/7),INDEX('WPP 2024 середина года'!$B:$U,MATCH($A55,'WPP 2024 середина года'!$A:$A,0),MATCH(F$1,'WPP 2024 середина года'!$B$1:$U$1,0)))))</f>
        <v>12070</v>
      </c>
      <c r="G55" s="7">
        <f>IF($A55&lt;=1951,INDEX('SALA 1974'!$B:$U,MATCH($A55,'SALA 1974'!$A:$A,0),MATCH(G$1,'SALA 1974'!$B$1:$U$1,0)),IF($A55&lt;=1994,1000*INDEX('SALA 2002'!$B:$U,MATCH($A55,'SALA 2002'!$A:$A,0),MATCH(G$1,'SALA 2002'!$B$1:$U$1,0)),IF($A55&lt;=2000,1000*INDEX('SALA 2002'!$B:$U,MATCH($A55,'SALA 2002'!$A:$A,0),MATCH(G$1,'SALA 2002'!$B$1:$U$1,0))*POWER(INDEX('WPP 2024 середина года'!$B:$U,MATCH($A55,'WPP 2024 середина года'!$A:$A,0),MATCH(G$1,'WPP 2024 середина года'!$B$1:$U$1,0))/(1000*INDEX('SALA 2002'!$B:$U,MATCH($A55,'SALA 2002'!$A:$A,0),MATCH(G$1,'SALA 2002'!$B$1:$U$1,0))),($A55-1994)/7),INDEX('WPP 2024 середина года'!$B:$U,MATCH($A55,'WPP 2024 середина года'!$A:$A,0),MATCH(G$1,'WPP 2024 середина года'!$B$1:$U$1,0)))))</f>
        <v>950</v>
      </c>
      <c r="H55" s="7">
        <f>IF($A55&lt;=1951,INDEX('SALA 1974'!$B:$U,MATCH($A55,'SALA 1974'!$A:$A,0),MATCH(H$1,'SALA 1974'!$B$1:$U$1,0)),IF($A55&lt;=1994,1000*INDEX('SALA 2002'!$B:$U,MATCH($A55,'SALA 2002'!$A:$A,0),MATCH(H$1,'SALA 2002'!$B$1:$U$1,0)),IF($A55&lt;=2000,1000*INDEX('SALA 2002'!$B:$U,MATCH($A55,'SALA 2002'!$A:$A,0),MATCH(H$1,'SALA 2002'!$B$1:$U$1,0))*POWER(INDEX('WPP 2024 середина года'!$B:$U,MATCH($A55,'WPP 2024 середина года'!$A:$A,0),MATCH(H$1,'WPP 2024 середина года'!$B$1:$U$1,0))/(1000*INDEX('SALA 2002'!$B:$U,MATCH($A55,'SALA 2002'!$A:$A,0),MATCH(H$1,'SALA 2002'!$B$1:$U$1,0))),($A55-1994)/7),INDEX('WPP 2024 середина года'!$B:$U,MATCH($A55,'WPP 2024 середина года'!$A:$A,0),MATCH(H$1,'WPP 2024 середина года'!$B$1:$U$1,0)))))</f>
        <v>6040</v>
      </c>
      <c r="I55" s="7">
        <f>IF($A55&lt;=1951,INDEX('SALA 1974'!$B:$U,MATCH($A55,'SALA 1974'!$A:$A,0),MATCH(I$1,'SALA 1974'!$B$1:$U$1,0)),IF($A55&lt;=1994,1000*INDEX('SALA 2002'!$B:$U,MATCH($A55,'SALA 2002'!$A:$A,0),MATCH(I$1,'SALA 2002'!$B$1:$U$1,0)),IF($A55&lt;=2000,1000*INDEX('SALA 2002'!$B:$U,MATCH($A55,'SALA 2002'!$A:$A,0),MATCH(I$1,'SALA 2002'!$B$1:$U$1,0))*POWER(INDEX('WPP 2024 середина года'!$B:$U,MATCH($A55,'WPP 2024 середина года'!$A:$A,0),MATCH(I$1,'WPP 2024 середина года'!$B$1:$U$1,0))/(1000*INDEX('SALA 2002'!$B:$U,MATCH($A55,'SALA 2002'!$A:$A,0),MATCH(I$1,'SALA 2002'!$B$1:$U$1,0))),($A55-1994)/7),INDEX('WPP 2024 середина года'!$B:$U,MATCH($A55,'WPP 2024 середина года'!$A:$A,0),MATCH(I$1,'WPP 2024 середина года'!$B$1:$U$1,0)))))</f>
        <v>2370</v>
      </c>
      <c r="J55" s="7">
        <f>IF($A55&lt;=1951,INDEX('SALA 1974'!$B:$U,MATCH($A55,'SALA 1974'!$A:$A,0),MATCH(J$1,'SALA 1974'!$B$1:$U$1,0)),IF($A55&lt;=1994,1000*INDEX('SALA 2002'!$B:$U,MATCH($A55,'SALA 2002'!$A:$A,0),MATCH(J$1,'SALA 2002'!$B$1:$U$1,0)),IF($A55&lt;=2000,1000*INDEX('SALA 2002'!$B:$U,MATCH($A55,'SALA 2002'!$A:$A,0),MATCH(J$1,'SALA 2002'!$B$1:$U$1,0))*POWER(INDEX('WPP 2024 середина года'!$B:$U,MATCH($A55,'WPP 2024 середина года'!$A:$A,0),MATCH(J$1,'WPP 2024 середина года'!$B$1:$U$1,0))/(1000*INDEX('SALA 2002'!$B:$U,MATCH($A55,'SALA 2002'!$A:$A,0),MATCH(J$1,'SALA 2002'!$B$1:$U$1,0))),($A55-1994)/7),INDEX('WPP 2024 середина года'!$B:$U,MATCH($A55,'WPP 2024 середина года'!$A:$A,0),MATCH(J$1,'WPP 2024 середина года'!$B$1:$U$1,0)))))</f>
        <v>3530</v>
      </c>
      <c r="K55" s="7">
        <f>IF($A55&lt;=1951,INDEX('SALA 1974'!$B:$U,MATCH($A55,'SALA 1974'!$A:$A,0),MATCH(K$1,'SALA 1974'!$B$1:$U$1,0)),IF($A55&lt;=1994,1000*INDEX('SALA 2002'!$B:$U,MATCH($A55,'SALA 2002'!$A:$A,0),MATCH(K$1,'SALA 2002'!$B$1:$U$1,0)),IF($A55&lt;=2000,1000*INDEX('SALA 2002'!$B:$U,MATCH($A55,'SALA 2002'!$A:$A,0),MATCH(K$1,'SALA 2002'!$B$1:$U$1,0))*POWER(INDEX('WPP 2024 середина года'!$B:$U,MATCH($A55,'WPP 2024 середина года'!$A:$A,0),MATCH(K$1,'WPP 2024 середина года'!$B$1:$U$1,0))/(1000*INDEX('SALA 2002'!$B:$U,MATCH($A55,'SALA 2002'!$A:$A,0),MATCH(K$1,'SALA 2002'!$B$1:$U$1,0))),($A55-1994)/7),INDEX('WPP 2024 середина года'!$B:$U,MATCH($A55,'WPP 2024 середина года'!$A:$A,0),MATCH(K$1,'WPP 2024 середина года'!$B$1:$U$1,0)))))</f>
        <v>2020</v>
      </c>
      <c r="L55" s="7">
        <f>IF($A55&lt;=1951,INDEX('SALA 1974'!$B:$U,MATCH($A55,'SALA 1974'!$A:$A,0),MATCH(L$1,'SALA 1974'!$B$1:$U$1,0)),IF($A55&lt;=1994,1000*INDEX('SALA 2002'!$B:$U,MATCH($A55,'SALA 2002'!$A:$A,0),MATCH(L$1,'SALA 2002'!$B$1:$U$1,0)),IF($A55&lt;=2000,1000*INDEX('SALA 2002'!$B:$U,MATCH($A55,'SALA 2002'!$A:$A,0),MATCH(L$1,'SALA 2002'!$B$1:$U$1,0))*POWER(INDEX('WPP 2024 середина года'!$B:$U,MATCH($A55,'WPP 2024 середина года'!$A:$A,0),MATCH(L$1,'WPP 2024 середина года'!$B$1:$U$1,0))/(1000*INDEX('SALA 2002'!$B:$U,MATCH($A55,'SALA 2002'!$A:$A,0),MATCH(L$1,'SALA 2002'!$B$1:$U$1,0))),($A55-1994)/7),INDEX('WPP 2024 середина года'!$B:$U,MATCH($A55,'WPP 2024 середина года'!$A:$A,0),MATCH(L$1,'WPP 2024 середина года'!$B$1:$U$1,0)))))</f>
        <v>3070</v>
      </c>
      <c r="M55" s="7">
        <f>IF($A55&lt;=1951,INDEX('SALA 1974'!$B:$U,MATCH($A55,'SALA 1974'!$A:$A,0),MATCH(M$1,'SALA 1974'!$B$1:$U$1,0)),IF($A55&lt;=1994,1000*INDEX('SALA 2002'!$B:$U,MATCH($A55,'SALA 2002'!$A:$A,0),MATCH(M$1,'SALA 2002'!$B$1:$U$1,0)),IF($A55&lt;=2000,1000*INDEX('SALA 2002'!$B:$U,MATCH($A55,'SALA 2002'!$A:$A,0),MATCH(M$1,'SALA 2002'!$B$1:$U$1,0))*POWER(INDEX('WPP 2024 середина года'!$B:$U,MATCH($A55,'WPP 2024 середина года'!$A:$A,0),MATCH(M$1,'WPP 2024 середина года'!$B$1:$U$1,0))/(1000*INDEX('SALA 2002'!$B:$U,MATCH($A55,'SALA 2002'!$A:$A,0),MATCH(M$1,'SALA 2002'!$B$1:$U$1,0))),($A55-1994)/7),INDEX('WPP 2024 середина года'!$B:$U,MATCH($A55,'WPP 2024 середина года'!$A:$A,0),MATCH(M$1,'WPP 2024 середина года'!$B$1:$U$1,0)))))</f>
        <v>3580</v>
      </c>
      <c r="N55" s="7">
        <f>IF($A55&lt;=1951,INDEX('SALA 1974'!$B:$U,MATCH($A55,'SALA 1974'!$A:$A,0),MATCH(N$1,'SALA 1974'!$B$1:$U$1,0)),IF($A55&lt;=1994,1000*INDEX('SALA 2002'!$B:$U,MATCH($A55,'SALA 2002'!$A:$A,0),MATCH(N$1,'SALA 2002'!$B$1:$U$1,0)),IF($A55&lt;=2000,1000*INDEX('SALA 2002'!$B:$U,MATCH($A55,'SALA 2002'!$A:$A,0),MATCH(N$1,'SALA 2002'!$B$1:$U$1,0))*POWER(INDEX('WPP 2024 середина года'!$B:$U,MATCH($A55,'WPP 2024 середина года'!$A:$A,0),MATCH(N$1,'WPP 2024 середина года'!$B$1:$U$1,0))/(1000*INDEX('SALA 2002'!$B:$U,MATCH($A55,'SALA 2002'!$A:$A,0),MATCH(N$1,'SALA 2002'!$B$1:$U$1,0))),($A55-1994)/7),INDEX('WPP 2024 середина года'!$B:$U,MATCH($A55,'WPP 2024 середина года'!$A:$A,0),MATCH(N$1,'WPP 2024 середина года'!$B$1:$U$1,0)))))</f>
        <v>1570</v>
      </c>
      <c r="O55" s="7">
        <f>IF($A55&lt;=1951,INDEX('SALA 1974'!$B:$U,MATCH($A55,'SALA 1974'!$A:$A,0),MATCH(O$1,'SALA 1974'!$B$1:$U$1,0)),IF($A55&lt;=1994,1000*INDEX('SALA 2002'!$B:$U,MATCH($A55,'SALA 2002'!$A:$A,0),MATCH(O$1,'SALA 2002'!$B$1:$U$1,0)),IF($A55&lt;=2000,1000*INDEX('SALA 2002'!$B:$U,MATCH($A55,'SALA 2002'!$A:$A,0),MATCH(O$1,'SALA 2002'!$B$1:$U$1,0))*POWER(INDEX('WPP 2024 середина года'!$B:$U,MATCH($A55,'WPP 2024 середина года'!$A:$A,0),MATCH(O$1,'WPP 2024 середина года'!$B$1:$U$1,0))/(1000*INDEX('SALA 2002'!$B:$U,MATCH($A55,'SALA 2002'!$A:$A,0),MATCH(O$1,'SALA 2002'!$B$1:$U$1,0))),($A55-1994)/7),INDEX('WPP 2024 середина года'!$B:$U,MATCH($A55,'WPP 2024 середина года'!$A:$A,0),MATCH(O$1,'WPP 2024 середина года'!$B$1:$U$1,0)))))</f>
        <v>28700</v>
      </c>
      <c r="P55" s="7">
        <f>IF($A55&lt;=1951,INDEX('SALA 1974'!$B:$U,MATCH($A55,'SALA 1974'!$A:$A,0),MATCH(P$1,'SALA 1974'!$B$1:$U$1,0)),IF($A55&lt;=1994,1000*INDEX('SALA 2002'!$B:$U,MATCH($A55,'SALA 2002'!$A:$A,0),MATCH(P$1,'SALA 2002'!$B$1:$U$1,0)),IF($A55&lt;=2000,1000*INDEX('SALA 2002'!$B:$U,MATCH($A55,'SALA 2002'!$A:$A,0),MATCH(P$1,'SALA 2002'!$B$1:$U$1,0))*POWER(INDEX('WPP 2024 середина года'!$B:$U,MATCH($A55,'WPP 2024 середина года'!$A:$A,0),MATCH(P$1,'WPP 2024 середина года'!$B$1:$U$1,0))/(1000*INDEX('SALA 2002'!$B:$U,MATCH($A55,'SALA 2002'!$A:$A,0),MATCH(P$1,'SALA 2002'!$B$1:$U$1,0))),($A55-1994)/7),INDEX('WPP 2024 середина года'!$B:$U,MATCH($A55,'WPP 2024 середина года'!$A:$A,0),MATCH(P$1,'WPP 2024 середина года'!$B$1:$U$1,0)))))</f>
        <v>1150</v>
      </c>
      <c r="Q55" s="7">
        <f>IF($A55&lt;=1951,INDEX('SALA 1974'!$B:$U,MATCH($A55,'SALA 1974'!$A:$A,0),MATCH(Q$1,'SALA 1974'!$B$1:$U$1,0)),IF($A55&lt;=1994,1000*INDEX('SALA 2002'!$B:$U,MATCH($A55,'SALA 2002'!$A:$A,0),MATCH(Q$1,'SALA 2002'!$B$1:$U$1,0)),IF($A55&lt;=2000,1000*INDEX('SALA 2002'!$B:$U,MATCH($A55,'SALA 2002'!$A:$A,0),MATCH(Q$1,'SALA 2002'!$B$1:$U$1,0))*POWER(INDEX('WPP 2024 середина года'!$B:$U,MATCH($A55,'WPP 2024 середина года'!$A:$A,0),MATCH(Q$1,'WPP 2024 середина года'!$B$1:$U$1,0))/(1000*INDEX('SALA 2002'!$B:$U,MATCH($A55,'SALA 2002'!$A:$A,0),MATCH(Q$1,'SALA 2002'!$B$1:$U$1,0))),($A55-1994)/7),INDEX('WPP 2024 середина года'!$B:$U,MATCH($A55,'WPP 2024 середина года'!$A:$A,0),MATCH(Q$1,'WPP 2024 середина года'!$B$1:$U$1,0)))))</f>
        <v>870</v>
      </c>
      <c r="R55" s="7">
        <f>IF($A55&lt;=1951,INDEX('SALA 1974'!$B:$U,MATCH($A55,'SALA 1974'!$A:$A,0),MATCH(R$1,'SALA 1974'!$B$1:$U$1,0)),IF($A55&lt;=1994,1000*INDEX('SALA 2002'!$B:$U,MATCH($A55,'SALA 2002'!$A:$A,0),MATCH(R$1,'SALA 2002'!$B$1:$U$1,0)),IF($A55&lt;=2000,1000*INDEX('SALA 2002'!$B:$U,MATCH($A55,'SALA 2002'!$A:$A,0),MATCH(R$1,'SALA 2002'!$B$1:$U$1,0))*POWER(INDEX('WPP 2024 середина года'!$B:$U,MATCH($A55,'WPP 2024 середина года'!$A:$A,0),MATCH(R$1,'WPP 2024 середина года'!$B$1:$U$1,0))/(1000*INDEX('SALA 2002'!$B:$U,MATCH($A55,'SALA 2002'!$A:$A,0),MATCH(R$1,'SALA 2002'!$B$1:$U$1,0))),($A55-1994)/7),INDEX('WPP 2024 середина года'!$B:$U,MATCH($A55,'WPP 2024 середина года'!$A:$A,0),MATCH(R$1,'WPP 2024 середина года'!$B$1:$U$1,0)))))</f>
        <v>1500</v>
      </c>
      <c r="S55" s="7">
        <f>IF($A55&lt;=1951,INDEX('SALA 1974'!$B:$U,MATCH($A55,'SALA 1974'!$A:$A,0),MATCH(S$1,'SALA 1974'!$B$1:$U$1,0)),IF($A55&lt;=1994,1000*INDEX('SALA 2002'!$B:$U,MATCH($A55,'SALA 2002'!$A:$A,0),MATCH(S$1,'SALA 2002'!$B$1:$U$1,0)),IF($A55&lt;=2000,1000*INDEX('SALA 2002'!$B:$U,MATCH($A55,'SALA 2002'!$A:$A,0),MATCH(S$1,'SALA 2002'!$B$1:$U$1,0))*POWER(INDEX('WPP 2024 середина года'!$B:$U,MATCH($A55,'WPP 2024 середина года'!$A:$A,0),MATCH(S$1,'WPP 2024 середина года'!$B$1:$U$1,0))/(1000*INDEX('SALA 2002'!$B:$U,MATCH($A55,'SALA 2002'!$A:$A,0),MATCH(S$1,'SALA 2002'!$B$1:$U$1,0))),($A55-1994)/7),INDEX('WPP 2024 середина года'!$B:$U,MATCH($A55,'WPP 2024 середина года'!$A:$A,0),MATCH(S$1,'WPP 2024 середина года'!$B$1:$U$1,0)))))</f>
        <v>8430</v>
      </c>
      <c r="T55" s="7">
        <f>IF($A55&lt;=1951,INDEX('SALA 1974'!$B:$U,MATCH($A55,'SALA 1974'!$A:$A,0),MATCH(T$1,'SALA 1974'!$B$1:$U$1,0)),IF($A55&lt;=1994,1000*INDEX('SALA 2002'!$B:$U,MATCH($A55,'SALA 2002'!$A:$A,0),MATCH(T$1,'SALA 2002'!$B$1:$U$1,0)),IF($A55&lt;=2000,1000*INDEX('SALA 2002'!$B:$U,MATCH($A55,'SALA 2002'!$A:$A,0),MATCH(T$1,'SALA 2002'!$B$1:$U$1,0))*POWER(INDEX('WPP 2024 середина года'!$B:$U,MATCH($A55,'WPP 2024 середина года'!$A:$A,0),MATCH(T$1,'WPP 2024 середина года'!$B$1:$U$1,0))/(1000*INDEX('SALA 2002'!$B:$U,MATCH($A55,'SALA 2002'!$A:$A,0),MATCH(T$1,'SALA 2002'!$B$1:$U$1,0))),($A55-1994)/7),INDEX('WPP 2024 середина года'!$B:$U,MATCH($A55,'WPP 2024 середина года'!$A:$A,0),MATCH(T$1,'WPP 2024 середина года'!$B$1:$U$1,0)))))</f>
        <v>2300</v>
      </c>
      <c r="U55" s="7">
        <f>IF($A55&lt;=1951,INDEX('SALA 1974'!$B:$U,MATCH($A55,'SALA 1974'!$A:$A,0),MATCH(U$1,'SALA 1974'!$B$1:$U$1,0)),IF($A55&lt;=1994,1000*INDEX('SALA 2002'!$B:$U,MATCH($A55,'SALA 2002'!$A:$A,0),MATCH(U$1,'SALA 2002'!$B$1:$U$1,0)),IF($A55&lt;=2000,1000*INDEX('SALA 2002'!$B:$U,MATCH($A55,'SALA 2002'!$A:$A,0),MATCH(U$1,'SALA 2002'!$B$1:$U$1,0))*POWER(INDEX('WPP 2024 середина года'!$B:$U,MATCH($A55,'WPP 2024 середина года'!$A:$A,0),MATCH(U$1,'WPP 2024 середина года'!$B$1:$U$1,0))/(1000*INDEX('SALA 2002'!$B:$U,MATCH($A55,'SALA 2002'!$A:$A,0),MATCH(U$1,'SALA 2002'!$B$1:$U$1,0))),($A55-1994)/7),INDEX('WPP 2024 середина года'!$B:$U,MATCH($A55,'WPP 2024 середина года'!$A:$A,0),MATCH(U$1,'WPP 2024 середина года'!$B$1:$U$1,0)))))</f>
        <v>5620</v>
      </c>
    </row>
    <row r="56" spans="1:21" x14ac:dyDescent="0.25">
      <c r="A56" s="5">
        <f t="shared" si="0"/>
        <v>1954</v>
      </c>
      <c r="B56" s="7">
        <f>IF($A56&lt;=1951,INDEX('SALA 1974'!$B:$U,MATCH($A56,'SALA 1974'!$A:$A,0),MATCH(B$1,'SALA 1974'!$B$1:$U$1,0)),IF($A56&lt;=1994,1000*INDEX('SALA 2002'!$B:$U,MATCH($A56,'SALA 2002'!$A:$A,0),MATCH(B$1,'SALA 2002'!$B$1:$U$1,0)),IF($A56&lt;=2000,1000*INDEX('SALA 2002'!$B:$U,MATCH($A56,'SALA 2002'!$A:$A,0),MATCH(B$1,'SALA 2002'!$B$1:$U$1,0))*POWER(INDEX('WPP 2024 середина года'!$B:$U,MATCH($A56,'WPP 2024 середина года'!$A:$A,0),MATCH(B$1,'WPP 2024 середина года'!$B$1:$U$1,0))/(1000*INDEX('SALA 2002'!$B:$U,MATCH($A56,'SALA 2002'!$A:$A,0),MATCH(B$1,'SALA 2002'!$B$1:$U$1,0))),($A56-1994)/7),INDEX('WPP 2024 середина года'!$B:$U,MATCH($A56,'WPP 2024 середина года'!$A:$A,0),MATCH(B$1,'WPP 2024 середина года'!$B$1:$U$1,0)))))</f>
        <v>18240</v>
      </c>
      <c r="C56" s="7">
        <f>IF($A56&lt;=1951,INDEX('SALA 1974'!$B:$U,MATCH($A56,'SALA 1974'!$A:$A,0),MATCH(C$1,'SALA 1974'!$B$1:$U$1,0)),IF($A56&lt;=1994,1000*INDEX('SALA 2002'!$B:$U,MATCH($A56,'SALA 2002'!$A:$A,0),MATCH(C$1,'SALA 2002'!$B$1:$U$1,0)),IF($A56&lt;=2000,1000*INDEX('SALA 2002'!$B:$U,MATCH($A56,'SALA 2002'!$A:$A,0),MATCH(C$1,'SALA 2002'!$B$1:$U$1,0))*POWER(INDEX('WPP 2024 середина года'!$B:$U,MATCH($A56,'WPP 2024 середина года'!$A:$A,0),MATCH(C$1,'WPP 2024 середина года'!$B$1:$U$1,0))/(1000*INDEX('SALA 2002'!$B:$U,MATCH($A56,'SALA 2002'!$A:$A,0),MATCH(C$1,'SALA 2002'!$B$1:$U$1,0))),($A56-1994)/7),INDEX('WPP 2024 середина года'!$B:$U,MATCH($A56,'WPP 2024 середина года'!$A:$A,0),MATCH(C$1,'WPP 2024 середина года'!$B$1:$U$1,0)))))</f>
        <v>3260</v>
      </c>
      <c r="D56" s="7">
        <f>IF($A56&lt;=1951,INDEX('SALA 1974'!$B:$U,MATCH($A56,'SALA 1974'!$A:$A,0),MATCH(D$1,'SALA 1974'!$B$1:$U$1,0)),IF($A56&lt;=1994,1000*INDEX('SALA 2002'!$B:$U,MATCH($A56,'SALA 2002'!$A:$A,0),MATCH(D$1,'SALA 2002'!$B$1:$U$1,0)),IF($A56&lt;=2000,1000*INDEX('SALA 2002'!$B:$U,MATCH($A56,'SALA 2002'!$A:$A,0),MATCH(D$1,'SALA 2002'!$B$1:$U$1,0))*POWER(INDEX('WPP 2024 середина года'!$B:$U,MATCH($A56,'WPP 2024 середина года'!$A:$A,0),MATCH(D$1,'WPP 2024 середина года'!$B$1:$U$1,0))/(1000*INDEX('SALA 2002'!$B:$U,MATCH($A56,'SALA 2002'!$A:$A,0),MATCH(D$1,'SALA 2002'!$B$1:$U$1,0))),($A56-1994)/7),INDEX('WPP 2024 середина года'!$B:$U,MATCH($A56,'WPP 2024 середина года'!$A:$A,0),MATCH(D$1,'WPP 2024 середина года'!$B$1:$U$1,0)))))</f>
        <v>58440</v>
      </c>
      <c r="E56" s="7">
        <f>IF($A56&lt;=1951,INDEX('SALA 1974'!$B:$U,MATCH($A56,'SALA 1974'!$A:$A,0),MATCH(E$1,'SALA 1974'!$B$1:$U$1,0)),IF($A56&lt;=1994,1000*INDEX('SALA 2002'!$B:$U,MATCH($A56,'SALA 2002'!$A:$A,0),MATCH(E$1,'SALA 2002'!$B$1:$U$1,0)),IF($A56&lt;=2000,1000*INDEX('SALA 2002'!$B:$U,MATCH($A56,'SALA 2002'!$A:$A,0),MATCH(E$1,'SALA 2002'!$B$1:$U$1,0))*POWER(INDEX('WPP 2024 середина года'!$B:$U,MATCH($A56,'WPP 2024 середина года'!$A:$A,0),MATCH(E$1,'WPP 2024 середина года'!$B$1:$U$1,0))/(1000*INDEX('SALA 2002'!$B:$U,MATCH($A56,'SALA 2002'!$A:$A,0),MATCH(E$1,'SALA 2002'!$B$1:$U$1,0))),($A56-1994)/7),INDEX('WPP 2024 середина года'!$B:$U,MATCH($A56,'WPP 2024 середина года'!$A:$A,0),MATCH(E$1,'WPP 2024 середина года'!$B$1:$U$1,0)))))</f>
        <v>6620</v>
      </c>
      <c r="F56" s="7">
        <f>IF($A56&lt;=1947,INDEX('SALA 1974'!$B:$U,MATCH($A56,'SALA 1974'!$A:$A,0),MATCH(F$1,'SALA 1974'!$B$1:$U$1,0)),IF($A56&lt;=1994,1000*INDEX('SALA 2002'!$B:$U,MATCH($A56,'SALA 2002'!$A:$A,0),MATCH(F$1,'SALA 2002'!$B$1:$U$1,0)),IF($A56&lt;=2000,1000*INDEX('SALA 2002'!$B:$U,MATCH($A56,'SALA 2002'!$A:$A,0),MATCH(F$1,'SALA 2002'!$B$1:$U$1,0))*POWER(INDEX('WPP 2024 середина года'!$B:$U,MATCH($A56,'WPP 2024 середина года'!$A:$A,0),MATCH(F$1,'WPP 2024 середина года'!$B$1:$U$1,0))/(1000*INDEX('SALA 2002'!$B:$U,MATCH($A56,'SALA 2002'!$A:$A,0),MATCH(F$1,'SALA 2002'!$B$1:$U$1,0))),($A56-1994)/7),INDEX('WPP 2024 середина года'!$B:$U,MATCH($A56,'WPP 2024 середина года'!$A:$A,0),MATCH(F$1,'WPP 2024 середина года'!$B$1:$U$1,0)))))</f>
        <v>12340</v>
      </c>
      <c r="G56" s="7">
        <f>IF($A56&lt;=1951,INDEX('SALA 1974'!$B:$U,MATCH($A56,'SALA 1974'!$A:$A,0),MATCH(G$1,'SALA 1974'!$B$1:$U$1,0)),IF($A56&lt;=1994,1000*INDEX('SALA 2002'!$B:$U,MATCH($A56,'SALA 2002'!$A:$A,0),MATCH(G$1,'SALA 2002'!$B$1:$U$1,0)),IF($A56&lt;=2000,1000*INDEX('SALA 2002'!$B:$U,MATCH($A56,'SALA 2002'!$A:$A,0),MATCH(G$1,'SALA 2002'!$B$1:$U$1,0))*POWER(INDEX('WPP 2024 середина года'!$B:$U,MATCH($A56,'WPP 2024 середина года'!$A:$A,0),MATCH(G$1,'WPP 2024 середина года'!$B$1:$U$1,0))/(1000*INDEX('SALA 2002'!$B:$U,MATCH($A56,'SALA 2002'!$A:$A,0),MATCH(G$1,'SALA 2002'!$B$1:$U$1,0))),($A56-1994)/7),INDEX('WPP 2024 середина года'!$B:$U,MATCH($A56,'WPP 2024 середина года'!$A:$A,0),MATCH(G$1,'WPP 2024 середина года'!$B$1:$U$1,0)))))</f>
        <v>990</v>
      </c>
      <c r="H56" s="7">
        <f>IF($A56&lt;=1951,INDEX('SALA 1974'!$B:$U,MATCH($A56,'SALA 1974'!$A:$A,0),MATCH(H$1,'SALA 1974'!$B$1:$U$1,0)),IF($A56&lt;=1994,1000*INDEX('SALA 2002'!$B:$U,MATCH($A56,'SALA 2002'!$A:$A,0),MATCH(H$1,'SALA 2002'!$B$1:$U$1,0)),IF($A56&lt;=2000,1000*INDEX('SALA 2002'!$B:$U,MATCH($A56,'SALA 2002'!$A:$A,0),MATCH(H$1,'SALA 2002'!$B$1:$U$1,0))*POWER(INDEX('WPP 2024 середина года'!$B:$U,MATCH($A56,'WPP 2024 середина года'!$A:$A,0),MATCH(H$1,'WPP 2024 середина года'!$B$1:$U$1,0))/(1000*INDEX('SALA 2002'!$B:$U,MATCH($A56,'SALA 2002'!$A:$A,0),MATCH(H$1,'SALA 2002'!$B$1:$U$1,0))),($A56-1994)/7),INDEX('WPP 2024 середина года'!$B:$U,MATCH($A56,'WPP 2024 середина года'!$A:$A,0),MATCH(H$1,'WPP 2024 середина года'!$B$1:$U$1,0)))))</f>
        <v>6160</v>
      </c>
      <c r="I56" s="7">
        <f>IF($A56&lt;=1951,INDEX('SALA 1974'!$B:$U,MATCH($A56,'SALA 1974'!$A:$A,0),MATCH(I$1,'SALA 1974'!$B$1:$U$1,0)),IF($A56&lt;=1994,1000*INDEX('SALA 2002'!$B:$U,MATCH($A56,'SALA 2002'!$A:$A,0),MATCH(I$1,'SALA 2002'!$B$1:$U$1,0)),IF($A56&lt;=2000,1000*INDEX('SALA 2002'!$B:$U,MATCH($A56,'SALA 2002'!$A:$A,0),MATCH(I$1,'SALA 2002'!$B$1:$U$1,0))*POWER(INDEX('WPP 2024 середина года'!$B:$U,MATCH($A56,'WPP 2024 середина года'!$A:$A,0),MATCH(I$1,'WPP 2024 середина года'!$B$1:$U$1,0))/(1000*INDEX('SALA 2002'!$B:$U,MATCH($A56,'SALA 2002'!$A:$A,0),MATCH(I$1,'SALA 2002'!$B$1:$U$1,0))),($A56-1994)/7),INDEX('WPP 2024 середина года'!$B:$U,MATCH($A56,'WPP 2024 середина года'!$A:$A,0),MATCH(I$1,'WPP 2024 середина года'!$B$1:$U$1,0)))))</f>
        <v>2450</v>
      </c>
      <c r="J56" s="7">
        <f>IF($A56&lt;=1951,INDEX('SALA 1974'!$B:$U,MATCH($A56,'SALA 1974'!$A:$A,0),MATCH(J$1,'SALA 1974'!$B$1:$U$1,0)),IF($A56&lt;=1994,1000*INDEX('SALA 2002'!$B:$U,MATCH($A56,'SALA 2002'!$A:$A,0),MATCH(J$1,'SALA 2002'!$B$1:$U$1,0)),IF($A56&lt;=2000,1000*INDEX('SALA 2002'!$B:$U,MATCH($A56,'SALA 2002'!$A:$A,0),MATCH(J$1,'SALA 2002'!$B$1:$U$1,0))*POWER(INDEX('WPP 2024 середина года'!$B:$U,MATCH($A56,'WPP 2024 середина года'!$A:$A,0),MATCH(J$1,'WPP 2024 середина года'!$B$1:$U$1,0))/(1000*INDEX('SALA 2002'!$B:$U,MATCH($A56,'SALA 2002'!$A:$A,0),MATCH(J$1,'SALA 2002'!$B$1:$U$1,0))),($A56-1994)/7),INDEX('WPP 2024 середина года'!$B:$U,MATCH($A56,'WPP 2024 середина года'!$A:$A,0),MATCH(J$1,'WPP 2024 середина года'!$B$1:$U$1,0)))))</f>
        <v>3640</v>
      </c>
      <c r="K56" s="7">
        <f>IF($A56&lt;=1951,INDEX('SALA 1974'!$B:$U,MATCH($A56,'SALA 1974'!$A:$A,0),MATCH(K$1,'SALA 1974'!$B$1:$U$1,0)),IF($A56&lt;=1994,1000*INDEX('SALA 2002'!$B:$U,MATCH($A56,'SALA 2002'!$A:$A,0),MATCH(K$1,'SALA 2002'!$B$1:$U$1,0)),IF($A56&lt;=2000,1000*INDEX('SALA 2002'!$B:$U,MATCH($A56,'SALA 2002'!$A:$A,0),MATCH(K$1,'SALA 2002'!$B$1:$U$1,0))*POWER(INDEX('WPP 2024 середина года'!$B:$U,MATCH($A56,'WPP 2024 середина года'!$A:$A,0),MATCH(K$1,'WPP 2024 середина года'!$B$1:$U$1,0))/(1000*INDEX('SALA 2002'!$B:$U,MATCH($A56,'SALA 2002'!$A:$A,0),MATCH(K$1,'SALA 2002'!$B$1:$U$1,0))),($A56-1994)/7),INDEX('WPP 2024 середина года'!$B:$U,MATCH($A56,'WPP 2024 середина года'!$A:$A,0),MATCH(K$1,'WPP 2024 середина года'!$B$1:$U$1,0)))))</f>
        <v>2080</v>
      </c>
      <c r="L56" s="7">
        <f>IF($A56&lt;=1951,INDEX('SALA 1974'!$B:$U,MATCH($A56,'SALA 1974'!$A:$A,0),MATCH(L$1,'SALA 1974'!$B$1:$U$1,0)),IF($A56&lt;=1994,1000*INDEX('SALA 2002'!$B:$U,MATCH($A56,'SALA 2002'!$A:$A,0),MATCH(L$1,'SALA 2002'!$B$1:$U$1,0)),IF($A56&lt;=2000,1000*INDEX('SALA 2002'!$B:$U,MATCH($A56,'SALA 2002'!$A:$A,0),MATCH(L$1,'SALA 2002'!$B$1:$U$1,0))*POWER(INDEX('WPP 2024 середина года'!$B:$U,MATCH($A56,'WPP 2024 середина года'!$A:$A,0),MATCH(L$1,'WPP 2024 середина года'!$B$1:$U$1,0))/(1000*INDEX('SALA 2002'!$B:$U,MATCH($A56,'SALA 2002'!$A:$A,0),MATCH(L$1,'SALA 2002'!$B$1:$U$1,0))),($A56-1994)/7),INDEX('WPP 2024 середина года'!$B:$U,MATCH($A56,'WPP 2024 середина года'!$A:$A,0),MATCH(L$1,'WPP 2024 середина года'!$B$1:$U$1,0)))))</f>
        <v>3180</v>
      </c>
      <c r="M56" s="7">
        <f>IF($A56&lt;=1951,INDEX('SALA 1974'!$B:$U,MATCH($A56,'SALA 1974'!$A:$A,0),MATCH(M$1,'SALA 1974'!$B$1:$U$1,0)),IF($A56&lt;=1994,1000*INDEX('SALA 2002'!$B:$U,MATCH($A56,'SALA 2002'!$A:$A,0),MATCH(M$1,'SALA 2002'!$B$1:$U$1,0)),IF($A56&lt;=2000,1000*INDEX('SALA 2002'!$B:$U,MATCH($A56,'SALA 2002'!$A:$A,0),MATCH(M$1,'SALA 2002'!$B$1:$U$1,0))*POWER(INDEX('WPP 2024 середина года'!$B:$U,MATCH($A56,'WPP 2024 середина года'!$A:$A,0),MATCH(M$1,'WPP 2024 середина года'!$B$1:$U$1,0))/(1000*INDEX('SALA 2002'!$B:$U,MATCH($A56,'SALA 2002'!$A:$A,0),MATCH(M$1,'SALA 2002'!$B$1:$U$1,0))),($A56-1994)/7),INDEX('WPP 2024 середина года'!$B:$U,MATCH($A56,'WPP 2024 середина года'!$A:$A,0),MATCH(M$1,'WPP 2024 середина года'!$B$1:$U$1,0)))))</f>
        <v>3650</v>
      </c>
      <c r="N56" s="7">
        <f>IF($A56&lt;=1951,INDEX('SALA 1974'!$B:$U,MATCH($A56,'SALA 1974'!$A:$A,0),MATCH(N$1,'SALA 1974'!$B$1:$U$1,0)),IF($A56&lt;=1994,1000*INDEX('SALA 2002'!$B:$U,MATCH($A56,'SALA 2002'!$A:$A,0),MATCH(N$1,'SALA 2002'!$B$1:$U$1,0)),IF($A56&lt;=2000,1000*INDEX('SALA 2002'!$B:$U,MATCH($A56,'SALA 2002'!$A:$A,0),MATCH(N$1,'SALA 2002'!$B$1:$U$1,0))*POWER(INDEX('WPP 2024 середина года'!$B:$U,MATCH($A56,'WPP 2024 середина года'!$A:$A,0),MATCH(N$1,'WPP 2024 середина года'!$B$1:$U$1,0))/(1000*INDEX('SALA 2002'!$B:$U,MATCH($A56,'SALA 2002'!$A:$A,0),MATCH(N$1,'SALA 2002'!$B$1:$U$1,0))),($A56-1994)/7),INDEX('WPP 2024 середина года'!$B:$U,MATCH($A56,'WPP 2024 середина года'!$A:$A,0),MATCH(N$1,'WPP 2024 середина года'!$B$1:$U$1,0)))))</f>
        <v>1620</v>
      </c>
      <c r="O56" s="7">
        <f>IF($A56&lt;=1951,INDEX('SALA 1974'!$B:$U,MATCH($A56,'SALA 1974'!$A:$A,0),MATCH(O$1,'SALA 1974'!$B$1:$U$1,0)),IF($A56&lt;=1994,1000*INDEX('SALA 2002'!$B:$U,MATCH($A56,'SALA 2002'!$A:$A,0),MATCH(O$1,'SALA 2002'!$B$1:$U$1,0)),IF($A56&lt;=2000,1000*INDEX('SALA 2002'!$B:$U,MATCH($A56,'SALA 2002'!$A:$A,0),MATCH(O$1,'SALA 2002'!$B$1:$U$1,0))*POWER(INDEX('WPP 2024 середина года'!$B:$U,MATCH($A56,'WPP 2024 середина года'!$A:$A,0),MATCH(O$1,'WPP 2024 середина года'!$B$1:$U$1,0))/(1000*INDEX('SALA 2002'!$B:$U,MATCH($A56,'SALA 2002'!$A:$A,0),MATCH(O$1,'SALA 2002'!$B$1:$U$1,0))),($A56-1994)/7),INDEX('WPP 2024 середина года'!$B:$U,MATCH($A56,'WPP 2024 середина года'!$A:$A,0),MATCH(O$1,'WPP 2024 середина года'!$B$1:$U$1,0)))))</f>
        <v>29610</v>
      </c>
      <c r="P56" s="7">
        <f>IF($A56&lt;=1951,INDEX('SALA 1974'!$B:$U,MATCH($A56,'SALA 1974'!$A:$A,0),MATCH(P$1,'SALA 1974'!$B$1:$U$1,0)),IF($A56&lt;=1994,1000*INDEX('SALA 2002'!$B:$U,MATCH($A56,'SALA 2002'!$A:$A,0),MATCH(P$1,'SALA 2002'!$B$1:$U$1,0)),IF($A56&lt;=2000,1000*INDEX('SALA 2002'!$B:$U,MATCH($A56,'SALA 2002'!$A:$A,0),MATCH(P$1,'SALA 2002'!$B$1:$U$1,0))*POWER(INDEX('WPP 2024 середина года'!$B:$U,MATCH($A56,'WPP 2024 середина года'!$A:$A,0),MATCH(P$1,'WPP 2024 середина года'!$B$1:$U$1,0))/(1000*INDEX('SALA 2002'!$B:$U,MATCH($A56,'SALA 2002'!$A:$A,0),MATCH(P$1,'SALA 2002'!$B$1:$U$1,0))),($A56-1994)/7),INDEX('WPP 2024 середина года'!$B:$U,MATCH($A56,'WPP 2024 середина года'!$A:$A,0),MATCH(P$1,'WPP 2024 середина года'!$B$1:$U$1,0)))))</f>
        <v>1180</v>
      </c>
      <c r="Q56" s="7">
        <f>IF($A56&lt;=1951,INDEX('SALA 1974'!$B:$U,MATCH($A56,'SALA 1974'!$A:$A,0),MATCH(Q$1,'SALA 1974'!$B$1:$U$1,0)),IF($A56&lt;=1994,1000*INDEX('SALA 2002'!$B:$U,MATCH($A56,'SALA 2002'!$A:$A,0),MATCH(Q$1,'SALA 2002'!$B$1:$U$1,0)),IF($A56&lt;=2000,1000*INDEX('SALA 2002'!$B:$U,MATCH($A56,'SALA 2002'!$A:$A,0),MATCH(Q$1,'SALA 2002'!$B$1:$U$1,0))*POWER(INDEX('WPP 2024 середина года'!$B:$U,MATCH($A56,'WPP 2024 середина года'!$A:$A,0),MATCH(Q$1,'WPP 2024 середина года'!$B$1:$U$1,0))/(1000*INDEX('SALA 2002'!$B:$U,MATCH($A56,'SALA 2002'!$A:$A,0),MATCH(Q$1,'SALA 2002'!$B$1:$U$1,0))),($A56-1994)/7),INDEX('WPP 2024 середина года'!$B:$U,MATCH($A56,'WPP 2024 середина года'!$A:$A,0),MATCH(Q$1,'WPP 2024 середина года'!$B$1:$U$1,0)))))</f>
        <v>890</v>
      </c>
      <c r="R56" s="7">
        <f>IF($A56&lt;=1951,INDEX('SALA 1974'!$B:$U,MATCH($A56,'SALA 1974'!$A:$A,0),MATCH(R$1,'SALA 1974'!$B$1:$U$1,0)),IF($A56&lt;=1994,1000*INDEX('SALA 2002'!$B:$U,MATCH($A56,'SALA 2002'!$A:$A,0),MATCH(R$1,'SALA 2002'!$B$1:$U$1,0)),IF($A56&lt;=2000,1000*INDEX('SALA 2002'!$B:$U,MATCH($A56,'SALA 2002'!$A:$A,0),MATCH(R$1,'SALA 2002'!$B$1:$U$1,0))*POWER(INDEX('WPP 2024 середина года'!$B:$U,MATCH($A56,'WPP 2024 середина года'!$A:$A,0),MATCH(R$1,'WPP 2024 середина года'!$B$1:$U$1,0))/(1000*INDEX('SALA 2002'!$B:$U,MATCH($A56,'SALA 2002'!$A:$A,0),MATCH(R$1,'SALA 2002'!$B$1:$U$1,0))),($A56-1994)/7),INDEX('WPP 2024 середина года'!$B:$U,MATCH($A56,'WPP 2024 середина года'!$A:$A,0),MATCH(R$1,'WPP 2024 середина года'!$B$1:$U$1,0)))))</f>
        <v>1530</v>
      </c>
      <c r="S56" s="7">
        <f>IF($A56&lt;=1951,INDEX('SALA 1974'!$B:$U,MATCH($A56,'SALA 1974'!$A:$A,0),MATCH(S$1,'SALA 1974'!$B$1:$U$1,0)),IF($A56&lt;=1994,1000*INDEX('SALA 2002'!$B:$U,MATCH($A56,'SALA 2002'!$A:$A,0),MATCH(S$1,'SALA 2002'!$B$1:$U$1,0)),IF($A56&lt;=2000,1000*INDEX('SALA 2002'!$B:$U,MATCH($A56,'SALA 2002'!$A:$A,0),MATCH(S$1,'SALA 2002'!$B$1:$U$1,0))*POWER(INDEX('WPP 2024 середина года'!$B:$U,MATCH($A56,'WPP 2024 середина года'!$A:$A,0),MATCH(S$1,'WPP 2024 середина года'!$B$1:$U$1,0))/(1000*INDEX('SALA 2002'!$B:$U,MATCH($A56,'SALA 2002'!$A:$A,0),MATCH(S$1,'SALA 2002'!$B$1:$U$1,0))),($A56-1994)/7),INDEX('WPP 2024 середина года'!$B:$U,MATCH($A56,'WPP 2024 середина года'!$A:$A,0),MATCH(S$1,'WPP 2024 середина года'!$B$1:$U$1,0)))))</f>
        <v>8600</v>
      </c>
      <c r="T56" s="7">
        <f>IF($A56&lt;=1951,INDEX('SALA 1974'!$B:$U,MATCH($A56,'SALA 1974'!$A:$A,0),MATCH(T$1,'SALA 1974'!$B$1:$U$1,0)),IF($A56&lt;=1994,1000*INDEX('SALA 2002'!$B:$U,MATCH($A56,'SALA 2002'!$A:$A,0),MATCH(T$1,'SALA 2002'!$B$1:$U$1,0)),IF($A56&lt;=2000,1000*INDEX('SALA 2002'!$B:$U,MATCH($A56,'SALA 2002'!$A:$A,0),MATCH(T$1,'SALA 2002'!$B$1:$U$1,0))*POWER(INDEX('WPP 2024 середина года'!$B:$U,MATCH($A56,'WPP 2024 середина года'!$A:$A,0),MATCH(T$1,'WPP 2024 середина года'!$B$1:$U$1,0))/(1000*INDEX('SALA 2002'!$B:$U,MATCH($A56,'SALA 2002'!$A:$A,0),MATCH(T$1,'SALA 2002'!$B$1:$U$1,0))),($A56-1994)/7),INDEX('WPP 2024 середина года'!$B:$U,MATCH($A56,'WPP 2024 середина года'!$A:$A,0),MATCH(T$1,'WPP 2024 середина года'!$B$1:$U$1,0)))))</f>
        <v>2330</v>
      </c>
      <c r="U56" s="7">
        <f>IF($A56&lt;=1951,INDEX('SALA 1974'!$B:$U,MATCH($A56,'SALA 1974'!$A:$A,0),MATCH(U$1,'SALA 1974'!$B$1:$U$1,0)),IF($A56&lt;=1994,1000*INDEX('SALA 2002'!$B:$U,MATCH($A56,'SALA 2002'!$A:$A,0),MATCH(U$1,'SALA 2002'!$B$1:$U$1,0)),IF($A56&lt;=2000,1000*INDEX('SALA 2002'!$B:$U,MATCH($A56,'SALA 2002'!$A:$A,0),MATCH(U$1,'SALA 2002'!$B$1:$U$1,0))*POWER(INDEX('WPP 2024 середина года'!$B:$U,MATCH($A56,'WPP 2024 середина года'!$A:$A,0),MATCH(U$1,'WPP 2024 середина года'!$B$1:$U$1,0))/(1000*INDEX('SALA 2002'!$B:$U,MATCH($A56,'SALA 2002'!$A:$A,0),MATCH(U$1,'SALA 2002'!$B$1:$U$1,0))),($A56-1994)/7),INDEX('WPP 2024 середина года'!$B:$U,MATCH($A56,'WPP 2024 середина года'!$A:$A,0),MATCH(U$1,'WPP 2024 середина года'!$B$1:$U$1,0)))))</f>
        <v>5850</v>
      </c>
    </row>
    <row r="57" spans="1:21" x14ac:dyDescent="0.25">
      <c r="A57" s="5">
        <f t="shared" si="0"/>
        <v>1955</v>
      </c>
      <c r="B57" s="7">
        <f>IF($A57&lt;=1951,INDEX('SALA 1974'!$B:$U,MATCH($A57,'SALA 1974'!$A:$A,0),MATCH(B$1,'SALA 1974'!$B$1:$U$1,0)),IF($A57&lt;=1994,1000*INDEX('SALA 2002'!$B:$U,MATCH($A57,'SALA 2002'!$A:$A,0),MATCH(B$1,'SALA 2002'!$B$1:$U$1,0)),IF($A57&lt;=2000,1000*INDEX('SALA 2002'!$B:$U,MATCH($A57,'SALA 2002'!$A:$A,0),MATCH(B$1,'SALA 2002'!$B$1:$U$1,0))*POWER(INDEX('WPP 2024 середина года'!$B:$U,MATCH($A57,'WPP 2024 середина года'!$A:$A,0),MATCH(B$1,'WPP 2024 середина года'!$B$1:$U$1,0))/(1000*INDEX('SALA 2002'!$B:$U,MATCH($A57,'SALA 2002'!$A:$A,0),MATCH(B$1,'SALA 2002'!$B$1:$U$1,0))),($A57-1994)/7),INDEX('WPP 2024 середина года'!$B:$U,MATCH($A57,'WPP 2024 середина года'!$A:$A,0),MATCH(B$1,'WPP 2024 середина года'!$B$1:$U$1,0)))))</f>
        <v>18530</v>
      </c>
      <c r="C57" s="7">
        <f>IF($A57&lt;=1951,INDEX('SALA 1974'!$B:$U,MATCH($A57,'SALA 1974'!$A:$A,0),MATCH(C$1,'SALA 1974'!$B$1:$U$1,0)),IF($A57&lt;=1994,1000*INDEX('SALA 2002'!$B:$U,MATCH($A57,'SALA 2002'!$A:$A,0),MATCH(C$1,'SALA 2002'!$B$1:$U$1,0)),IF($A57&lt;=2000,1000*INDEX('SALA 2002'!$B:$U,MATCH($A57,'SALA 2002'!$A:$A,0),MATCH(C$1,'SALA 2002'!$B$1:$U$1,0))*POWER(INDEX('WPP 2024 середина года'!$B:$U,MATCH($A57,'WPP 2024 середина года'!$A:$A,0),MATCH(C$1,'WPP 2024 середина года'!$B$1:$U$1,0))/(1000*INDEX('SALA 2002'!$B:$U,MATCH($A57,'SALA 2002'!$A:$A,0),MATCH(C$1,'SALA 2002'!$B$1:$U$1,0))),($A57-1994)/7),INDEX('WPP 2024 середина года'!$B:$U,MATCH($A57,'WPP 2024 середина года'!$A:$A,0),MATCH(C$1,'WPP 2024 середина года'!$B$1:$U$1,0)))))</f>
        <v>3340</v>
      </c>
      <c r="D57" s="7">
        <f>IF($A57&lt;=1951,INDEX('SALA 1974'!$B:$U,MATCH($A57,'SALA 1974'!$A:$A,0),MATCH(D$1,'SALA 1974'!$B$1:$U$1,0)),IF($A57&lt;=1994,1000*INDEX('SALA 2002'!$B:$U,MATCH($A57,'SALA 2002'!$A:$A,0),MATCH(D$1,'SALA 2002'!$B$1:$U$1,0)),IF($A57&lt;=2000,1000*INDEX('SALA 2002'!$B:$U,MATCH($A57,'SALA 2002'!$A:$A,0),MATCH(D$1,'SALA 2002'!$B$1:$U$1,0))*POWER(INDEX('WPP 2024 середина года'!$B:$U,MATCH($A57,'WPP 2024 середина года'!$A:$A,0),MATCH(D$1,'WPP 2024 середина года'!$B$1:$U$1,0))/(1000*INDEX('SALA 2002'!$B:$U,MATCH($A57,'SALA 2002'!$A:$A,0),MATCH(D$1,'SALA 2002'!$B$1:$U$1,0))),($A57-1994)/7),INDEX('WPP 2024 середина года'!$B:$U,MATCH($A57,'WPP 2024 середина года'!$A:$A,0),MATCH(D$1,'WPP 2024 середина года'!$B$1:$U$1,0)))))</f>
        <v>60180</v>
      </c>
      <c r="E57" s="7">
        <f>IF($A57&lt;=1951,INDEX('SALA 1974'!$B:$U,MATCH($A57,'SALA 1974'!$A:$A,0),MATCH(E$1,'SALA 1974'!$B$1:$U$1,0)),IF($A57&lt;=1994,1000*INDEX('SALA 2002'!$B:$U,MATCH($A57,'SALA 2002'!$A:$A,0),MATCH(E$1,'SALA 2002'!$B$1:$U$1,0)),IF($A57&lt;=2000,1000*INDEX('SALA 2002'!$B:$U,MATCH($A57,'SALA 2002'!$A:$A,0),MATCH(E$1,'SALA 2002'!$B$1:$U$1,0))*POWER(INDEX('WPP 2024 середина года'!$B:$U,MATCH($A57,'WPP 2024 середина года'!$A:$A,0),MATCH(E$1,'WPP 2024 середина года'!$B$1:$U$1,0))/(1000*INDEX('SALA 2002'!$B:$U,MATCH($A57,'SALA 2002'!$A:$A,0),MATCH(E$1,'SALA 2002'!$B$1:$U$1,0))),($A57-1994)/7),INDEX('WPP 2024 середина года'!$B:$U,MATCH($A57,'WPP 2024 середина года'!$A:$A,0),MATCH(E$1,'WPP 2024 середина года'!$B$1:$U$1,0)))))</f>
        <v>6790</v>
      </c>
      <c r="F57" s="7">
        <f>IF($A57&lt;=1947,INDEX('SALA 1974'!$B:$U,MATCH($A57,'SALA 1974'!$A:$A,0),MATCH(F$1,'SALA 1974'!$B$1:$U$1,0)),IF($A57&lt;=1994,1000*INDEX('SALA 2002'!$B:$U,MATCH($A57,'SALA 2002'!$A:$A,0),MATCH(F$1,'SALA 2002'!$B$1:$U$1,0)),IF($A57&lt;=2000,1000*INDEX('SALA 2002'!$B:$U,MATCH($A57,'SALA 2002'!$A:$A,0),MATCH(F$1,'SALA 2002'!$B$1:$U$1,0))*POWER(INDEX('WPP 2024 середина года'!$B:$U,MATCH($A57,'WPP 2024 середина года'!$A:$A,0),MATCH(F$1,'WPP 2024 середина года'!$B$1:$U$1,0))/(1000*INDEX('SALA 2002'!$B:$U,MATCH($A57,'SALA 2002'!$A:$A,0),MATCH(F$1,'SALA 2002'!$B$1:$U$1,0))),($A57-1994)/7),INDEX('WPP 2024 середина года'!$B:$U,MATCH($A57,'WPP 2024 середина года'!$A:$A,0),MATCH(F$1,'WPP 2024 середина года'!$B$1:$U$1,0)))))</f>
        <v>12970</v>
      </c>
      <c r="G57" s="7">
        <f>IF($A57&lt;=1951,INDEX('SALA 1974'!$B:$U,MATCH($A57,'SALA 1974'!$A:$A,0),MATCH(G$1,'SALA 1974'!$B$1:$U$1,0)),IF($A57&lt;=1994,1000*INDEX('SALA 2002'!$B:$U,MATCH($A57,'SALA 2002'!$A:$A,0),MATCH(G$1,'SALA 2002'!$B$1:$U$1,0)),IF($A57&lt;=2000,1000*INDEX('SALA 2002'!$B:$U,MATCH($A57,'SALA 2002'!$A:$A,0),MATCH(G$1,'SALA 2002'!$B$1:$U$1,0))*POWER(INDEX('WPP 2024 середина года'!$B:$U,MATCH($A57,'WPP 2024 середина года'!$A:$A,0),MATCH(G$1,'WPP 2024 середина года'!$B$1:$U$1,0))/(1000*INDEX('SALA 2002'!$B:$U,MATCH($A57,'SALA 2002'!$A:$A,0),MATCH(G$1,'SALA 2002'!$B$1:$U$1,0))),($A57-1994)/7),INDEX('WPP 2024 середина года'!$B:$U,MATCH($A57,'WPP 2024 середина года'!$A:$A,0),MATCH(G$1,'WPP 2024 середина года'!$B$1:$U$1,0)))))</f>
        <v>1030</v>
      </c>
      <c r="H57" s="7">
        <f>IF($A57&lt;=1951,INDEX('SALA 1974'!$B:$U,MATCH($A57,'SALA 1974'!$A:$A,0),MATCH(H$1,'SALA 1974'!$B$1:$U$1,0)),IF($A57&lt;=1994,1000*INDEX('SALA 2002'!$B:$U,MATCH($A57,'SALA 2002'!$A:$A,0),MATCH(H$1,'SALA 2002'!$B$1:$U$1,0)),IF($A57&lt;=2000,1000*INDEX('SALA 2002'!$B:$U,MATCH($A57,'SALA 2002'!$A:$A,0),MATCH(H$1,'SALA 2002'!$B$1:$U$1,0))*POWER(INDEX('WPP 2024 середина года'!$B:$U,MATCH($A57,'WPP 2024 середина года'!$A:$A,0),MATCH(H$1,'WPP 2024 середина года'!$B$1:$U$1,0))/(1000*INDEX('SALA 2002'!$B:$U,MATCH($A57,'SALA 2002'!$A:$A,0),MATCH(H$1,'SALA 2002'!$B$1:$U$1,0))),($A57-1994)/7),INDEX('WPP 2024 середина года'!$B:$U,MATCH($A57,'WPP 2024 середина года'!$A:$A,0),MATCH(H$1,'WPP 2024 середина года'!$B$1:$U$1,0)))))</f>
        <v>6280</v>
      </c>
      <c r="I57" s="7">
        <f>IF($A57&lt;=1951,INDEX('SALA 1974'!$B:$U,MATCH($A57,'SALA 1974'!$A:$A,0),MATCH(I$1,'SALA 1974'!$B$1:$U$1,0)),IF($A57&lt;=1994,1000*INDEX('SALA 2002'!$B:$U,MATCH($A57,'SALA 2002'!$A:$A,0),MATCH(I$1,'SALA 2002'!$B$1:$U$1,0)),IF($A57&lt;=2000,1000*INDEX('SALA 2002'!$B:$U,MATCH($A57,'SALA 2002'!$A:$A,0),MATCH(I$1,'SALA 2002'!$B$1:$U$1,0))*POWER(INDEX('WPP 2024 середина года'!$B:$U,MATCH($A57,'WPP 2024 середина года'!$A:$A,0),MATCH(I$1,'WPP 2024 середина года'!$B$1:$U$1,0))/(1000*INDEX('SALA 2002'!$B:$U,MATCH($A57,'SALA 2002'!$A:$A,0),MATCH(I$1,'SALA 2002'!$B$1:$U$1,0))),($A57-1994)/7),INDEX('WPP 2024 середина года'!$B:$U,MATCH($A57,'WPP 2024 середина года'!$A:$A,0),MATCH(I$1,'WPP 2024 середина года'!$B$1:$U$1,0)))))</f>
        <v>2540</v>
      </c>
      <c r="J57" s="7">
        <f>IF($A57&lt;=1951,INDEX('SALA 1974'!$B:$U,MATCH($A57,'SALA 1974'!$A:$A,0),MATCH(J$1,'SALA 1974'!$B$1:$U$1,0)),IF($A57&lt;=1994,1000*INDEX('SALA 2002'!$B:$U,MATCH($A57,'SALA 2002'!$A:$A,0),MATCH(J$1,'SALA 2002'!$B$1:$U$1,0)),IF($A57&lt;=2000,1000*INDEX('SALA 2002'!$B:$U,MATCH($A57,'SALA 2002'!$A:$A,0),MATCH(J$1,'SALA 2002'!$B$1:$U$1,0))*POWER(INDEX('WPP 2024 середина года'!$B:$U,MATCH($A57,'WPP 2024 середина года'!$A:$A,0),MATCH(J$1,'WPP 2024 середина года'!$B$1:$U$1,0))/(1000*INDEX('SALA 2002'!$B:$U,MATCH($A57,'SALA 2002'!$A:$A,0),MATCH(J$1,'SALA 2002'!$B$1:$U$1,0))),($A57-1994)/7),INDEX('WPP 2024 середина года'!$B:$U,MATCH($A57,'WPP 2024 середина года'!$A:$A,0),MATCH(J$1,'WPP 2024 середина года'!$B$1:$U$1,0)))))</f>
        <v>3750</v>
      </c>
      <c r="K57" s="7">
        <f>IF($A57&lt;=1951,INDEX('SALA 1974'!$B:$U,MATCH($A57,'SALA 1974'!$A:$A,0),MATCH(K$1,'SALA 1974'!$B$1:$U$1,0)),IF($A57&lt;=1994,1000*INDEX('SALA 2002'!$B:$U,MATCH($A57,'SALA 2002'!$A:$A,0),MATCH(K$1,'SALA 2002'!$B$1:$U$1,0)),IF($A57&lt;=2000,1000*INDEX('SALA 2002'!$B:$U,MATCH($A57,'SALA 2002'!$A:$A,0),MATCH(K$1,'SALA 2002'!$B$1:$U$1,0))*POWER(INDEX('WPP 2024 середина года'!$B:$U,MATCH($A57,'WPP 2024 середина года'!$A:$A,0),MATCH(K$1,'WPP 2024 середина года'!$B$1:$U$1,0))/(1000*INDEX('SALA 2002'!$B:$U,MATCH($A57,'SALA 2002'!$A:$A,0),MATCH(K$1,'SALA 2002'!$B$1:$U$1,0))),($A57-1994)/7),INDEX('WPP 2024 середина года'!$B:$U,MATCH($A57,'WPP 2024 середина года'!$A:$A,0),MATCH(K$1,'WPP 2024 середина года'!$B$1:$U$1,0)))))</f>
        <v>2140</v>
      </c>
      <c r="L57" s="7">
        <f>IF($A57&lt;=1951,INDEX('SALA 1974'!$B:$U,MATCH($A57,'SALA 1974'!$A:$A,0),MATCH(L$1,'SALA 1974'!$B$1:$U$1,0)),IF($A57&lt;=1994,1000*INDEX('SALA 2002'!$B:$U,MATCH($A57,'SALA 2002'!$A:$A,0),MATCH(L$1,'SALA 2002'!$B$1:$U$1,0)),IF($A57&lt;=2000,1000*INDEX('SALA 2002'!$B:$U,MATCH($A57,'SALA 2002'!$A:$A,0),MATCH(L$1,'SALA 2002'!$B$1:$U$1,0))*POWER(INDEX('WPP 2024 середина года'!$B:$U,MATCH($A57,'WPP 2024 середина года'!$A:$A,0),MATCH(L$1,'WPP 2024 середина года'!$B$1:$U$1,0))/(1000*INDEX('SALA 2002'!$B:$U,MATCH($A57,'SALA 2002'!$A:$A,0),MATCH(L$1,'SALA 2002'!$B$1:$U$1,0))),($A57-1994)/7),INDEX('WPP 2024 середина года'!$B:$U,MATCH($A57,'WPP 2024 середина года'!$A:$A,0),MATCH(L$1,'WPP 2024 середина года'!$B$1:$U$1,0)))))</f>
        <v>3290</v>
      </c>
      <c r="M57" s="7">
        <f>IF($A57&lt;=1951,INDEX('SALA 1974'!$B:$U,MATCH($A57,'SALA 1974'!$A:$A,0),MATCH(M$1,'SALA 1974'!$B$1:$U$1,0)),IF($A57&lt;=1994,1000*INDEX('SALA 2002'!$B:$U,MATCH($A57,'SALA 2002'!$A:$A,0),MATCH(M$1,'SALA 2002'!$B$1:$U$1,0)),IF($A57&lt;=2000,1000*INDEX('SALA 2002'!$B:$U,MATCH($A57,'SALA 2002'!$A:$A,0),MATCH(M$1,'SALA 2002'!$B$1:$U$1,0))*POWER(INDEX('WPP 2024 середина года'!$B:$U,MATCH($A57,'WPP 2024 середина года'!$A:$A,0),MATCH(M$1,'WPP 2024 середина года'!$B$1:$U$1,0))/(1000*INDEX('SALA 2002'!$B:$U,MATCH($A57,'SALA 2002'!$A:$A,0),MATCH(M$1,'SALA 2002'!$B$1:$U$1,0))),($A57-1994)/7),INDEX('WPP 2024 середина года'!$B:$U,MATCH($A57,'WPP 2024 середина года'!$A:$A,0),MATCH(M$1,'WPP 2024 середина года'!$B$1:$U$1,0)))))</f>
        <v>3720</v>
      </c>
      <c r="N57" s="7">
        <f>IF($A57&lt;=1951,INDEX('SALA 1974'!$B:$U,MATCH($A57,'SALA 1974'!$A:$A,0),MATCH(N$1,'SALA 1974'!$B$1:$U$1,0)),IF($A57&lt;=1994,1000*INDEX('SALA 2002'!$B:$U,MATCH($A57,'SALA 2002'!$A:$A,0),MATCH(N$1,'SALA 2002'!$B$1:$U$1,0)),IF($A57&lt;=2000,1000*INDEX('SALA 2002'!$B:$U,MATCH($A57,'SALA 2002'!$A:$A,0),MATCH(N$1,'SALA 2002'!$B$1:$U$1,0))*POWER(INDEX('WPP 2024 середина года'!$B:$U,MATCH($A57,'WPP 2024 середина года'!$A:$A,0),MATCH(N$1,'WPP 2024 середина года'!$B$1:$U$1,0))/(1000*INDEX('SALA 2002'!$B:$U,MATCH($A57,'SALA 2002'!$A:$A,0),MATCH(N$1,'SALA 2002'!$B$1:$U$1,0))),($A57-1994)/7),INDEX('WPP 2024 середина года'!$B:$U,MATCH($A57,'WPP 2024 середина года'!$A:$A,0),MATCH(N$1,'WPP 2024 середина года'!$B$1:$U$1,0)))))</f>
        <v>1650</v>
      </c>
      <c r="O57" s="7">
        <f>IF($A57&lt;=1951,INDEX('SALA 1974'!$B:$U,MATCH($A57,'SALA 1974'!$A:$A,0),MATCH(O$1,'SALA 1974'!$B$1:$U$1,0)),IF($A57&lt;=1994,1000*INDEX('SALA 2002'!$B:$U,MATCH($A57,'SALA 2002'!$A:$A,0),MATCH(O$1,'SALA 2002'!$B$1:$U$1,0)),IF($A57&lt;=2000,1000*INDEX('SALA 2002'!$B:$U,MATCH($A57,'SALA 2002'!$A:$A,0),MATCH(O$1,'SALA 2002'!$B$1:$U$1,0))*POWER(INDEX('WPP 2024 середина года'!$B:$U,MATCH($A57,'WPP 2024 середина года'!$A:$A,0),MATCH(O$1,'WPP 2024 середина года'!$B$1:$U$1,0))/(1000*INDEX('SALA 2002'!$B:$U,MATCH($A57,'SALA 2002'!$A:$A,0),MATCH(O$1,'SALA 2002'!$B$1:$U$1,0))),($A57-1994)/7),INDEX('WPP 2024 середина года'!$B:$U,MATCH($A57,'WPP 2024 середина года'!$A:$A,0),MATCH(O$1,'WPP 2024 середина года'!$B$1:$U$1,0)))))</f>
        <v>30560</v>
      </c>
      <c r="P57" s="7">
        <f>IF($A57&lt;=1951,INDEX('SALA 1974'!$B:$U,MATCH($A57,'SALA 1974'!$A:$A,0),MATCH(P$1,'SALA 1974'!$B$1:$U$1,0)),IF($A57&lt;=1994,1000*INDEX('SALA 2002'!$B:$U,MATCH($A57,'SALA 2002'!$A:$A,0),MATCH(P$1,'SALA 2002'!$B$1:$U$1,0)),IF($A57&lt;=2000,1000*INDEX('SALA 2002'!$B:$U,MATCH($A57,'SALA 2002'!$A:$A,0),MATCH(P$1,'SALA 2002'!$B$1:$U$1,0))*POWER(INDEX('WPP 2024 середина года'!$B:$U,MATCH($A57,'WPP 2024 середина года'!$A:$A,0),MATCH(P$1,'WPP 2024 середина года'!$B$1:$U$1,0))/(1000*INDEX('SALA 2002'!$B:$U,MATCH($A57,'SALA 2002'!$A:$A,0),MATCH(P$1,'SALA 2002'!$B$1:$U$1,0))),($A57-1994)/7),INDEX('WPP 2024 середина года'!$B:$U,MATCH($A57,'WPP 2024 середина года'!$A:$A,0),MATCH(P$1,'WPP 2024 середина года'!$B$1:$U$1,0)))))</f>
        <v>1220</v>
      </c>
      <c r="Q57" s="7">
        <f>IF($A57&lt;=1951,INDEX('SALA 1974'!$B:$U,MATCH($A57,'SALA 1974'!$A:$A,0),MATCH(Q$1,'SALA 1974'!$B$1:$U$1,0)),IF($A57&lt;=1994,1000*INDEX('SALA 2002'!$B:$U,MATCH($A57,'SALA 2002'!$A:$A,0),MATCH(Q$1,'SALA 2002'!$B$1:$U$1,0)),IF($A57&lt;=2000,1000*INDEX('SALA 2002'!$B:$U,MATCH($A57,'SALA 2002'!$A:$A,0),MATCH(Q$1,'SALA 2002'!$B$1:$U$1,0))*POWER(INDEX('WPP 2024 середина года'!$B:$U,MATCH($A57,'WPP 2024 середина года'!$A:$A,0),MATCH(Q$1,'WPP 2024 середина года'!$B$1:$U$1,0))/(1000*INDEX('SALA 2002'!$B:$U,MATCH($A57,'SALA 2002'!$A:$A,0),MATCH(Q$1,'SALA 2002'!$B$1:$U$1,0))),($A57-1994)/7),INDEX('WPP 2024 середина года'!$B:$U,MATCH($A57,'WPP 2024 середина года'!$A:$A,0),MATCH(Q$1,'WPP 2024 середина года'!$B$1:$U$1,0)))))</f>
        <v>920</v>
      </c>
      <c r="R57" s="7">
        <f>IF($A57&lt;=1951,INDEX('SALA 1974'!$B:$U,MATCH($A57,'SALA 1974'!$A:$A,0),MATCH(R$1,'SALA 1974'!$B$1:$U$1,0)),IF($A57&lt;=1994,1000*INDEX('SALA 2002'!$B:$U,MATCH($A57,'SALA 2002'!$A:$A,0),MATCH(R$1,'SALA 2002'!$B$1:$U$1,0)),IF($A57&lt;=2000,1000*INDEX('SALA 2002'!$B:$U,MATCH($A57,'SALA 2002'!$A:$A,0),MATCH(R$1,'SALA 2002'!$B$1:$U$1,0))*POWER(INDEX('WPP 2024 середина года'!$B:$U,MATCH($A57,'WPP 2024 середина года'!$A:$A,0),MATCH(R$1,'WPP 2024 середина года'!$B$1:$U$1,0))/(1000*INDEX('SALA 2002'!$B:$U,MATCH($A57,'SALA 2002'!$A:$A,0),MATCH(R$1,'SALA 2002'!$B$1:$U$1,0))),($A57-1994)/7),INDEX('WPP 2024 середина года'!$B:$U,MATCH($A57,'WPP 2024 середина года'!$A:$A,0),MATCH(R$1,'WPP 2024 середина года'!$B$1:$U$1,0)))))</f>
        <v>1570</v>
      </c>
      <c r="S57" s="7">
        <f>IF($A57&lt;=1951,INDEX('SALA 1974'!$B:$U,MATCH($A57,'SALA 1974'!$A:$A,0),MATCH(S$1,'SALA 1974'!$B$1:$U$1,0)),IF($A57&lt;=1994,1000*INDEX('SALA 2002'!$B:$U,MATCH($A57,'SALA 2002'!$A:$A,0),MATCH(S$1,'SALA 2002'!$B$1:$U$1,0)),IF($A57&lt;=2000,1000*INDEX('SALA 2002'!$B:$U,MATCH($A57,'SALA 2002'!$A:$A,0),MATCH(S$1,'SALA 2002'!$B$1:$U$1,0))*POWER(INDEX('WPP 2024 середина года'!$B:$U,MATCH($A57,'WPP 2024 середина года'!$A:$A,0),MATCH(S$1,'WPP 2024 середина года'!$B$1:$U$1,0))/(1000*INDEX('SALA 2002'!$B:$U,MATCH($A57,'SALA 2002'!$A:$A,0),MATCH(S$1,'SALA 2002'!$B$1:$U$1,0))),($A57-1994)/7),INDEX('WPP 2024 середина года'!$B:$U,MATCH($A57,'WPP 2024 середина года'!$A:$A,0),MATCH(S$1,'WPP 2024 середина года'!$B$1:$U$1,0)))))</f>
        <v>8790</v>
      </c>
      <c r="T57" s="7">
        <f>IF($A57&lt;=1951,INDEX('SALA 1974'!$B:$U,MATCH($A57,'SALA 1974'!$A:$A,0),MATCH(T$1,'SALA 1974'!$B$1:$U$1,0)),IF($A57&lt;=1994,1000*INDEX('SALA 2002'!$B:$U,MATCH($A57,'SALA 2002'!$A:$A,0),MATCH(T$1,'SALA 2002'!$B$1:$U$1,0)),IF($A57&lt;=2000,1000*INDEX('SALA 2002'!$B:$U,MATCH($A57,'SALA 2002'!$A:$A,0),MATCH(T$1,'SALA 2002'!$B$1:$U$1,0))*POWER(INDEX('WPP 2024 середина года'!$B:$U,MATCH($A57,'WPP 2024 середина года'!$A:$A,0),MATCH(T$1,'WPP 2024 середина года'!$B$1:$U$1,0))/(1000*INDEX('SALA 2002'!$B:$U,MATCH($A57,'SALA 2002'!$A:$A,0),MATCH(T$1,'SALA 2002'!$B$1:$U$1,0))),($A57-1994)/7),INDEX('WPP 2024 середина года'!$B:$U,MATCH($A57,'WPP 2024 середина года'!$A:$A,0),MATCH(T$1,'WPP 2024 середина года'!$B$1:$U$1,0)))))</f>
        <v>2360</v>
      </c>
      <c r="U57" s="7">
        <f>IF($A57&lt;=1951,INDEX('SALA 1974'!$B:$U,MATCH($A57,'SALA 1974'!$A:$A,0),MATCH(U$1,'SALA 1974'!$B$1:$U$1,0)),IF($A57&lt;=1994,1000*INDEX('SALA 2002'!$B:$U,MATCH($A57,'SALA 2002'!$A:$A,0),MATCH(U$1,'SALA 2002'!$B$1:$U$1,0)),IF($A57&lt;=2000,1000*INDEX('SALA 2002'!$B:$U,MATCH($A57,'SALA 2002'!$A:$A,0),MATCH(U$1,'SALA 2002'!$B$1:$U$1,0))*POWER(INDEX('WPP 2024 середина года'!$B:$U,MATCH($A57,'WPP 2024 середина года'!$A:$A,0),MATCH(U$1,'WPP 2024 середина года'!$B$1:$U$1,0))/(1000*INDEX('SALA 2002'!$B:$U,MATCH($A57,'SALA 2002'!$A:$A,0),MATCH(U$1,'SALA 2002'!$B$1:$U$1,0))),($A57-1994)/7),INDEX('WPP 2024 середина года'!$B:$U,MATCH($A57,'WPP 2024 середина года'!$A:$A,0),MATCH(U$1,'WPP 2024 середина года'!$B$1:$U$1,0)))))</f>
        <v>6090</v>
      </c>
    </row>
    <row r="58" spans="1:21" x14ac:dyDescent="0.25">
      <c r="A58" s="5">
        <f t="shared" si="0"/>
        <v>1956</v>
      </c>
      <c r="B58" s="7">
        <f>IF($A58&lt;=1951,INDEX('SALA 1974'!$B:$U,MATCH($A58,'SALA 1974'!$A:$A,0),MATCH(B$1,'SALA 1974'!$B$1:$U$1,0)),IF($A58&lt;=1994,1000*INDEX('SALA 2002'!$B:$U,MATCH($A58,'SALA 2002'!$A:$A,0),MATCH(B$1,'SALA 2002'!$B$1:$U$1,0)),IF($A58&lt;=2000,1000*INDEX('SALA 2002'!$B:$U,MATCH($A58,'SALA 2002'!$A:$A,0),MATCH(B$1,'SALA 2002'!$B$1:$U$1,0))*POWER(INDEX('WPP 2024 середина года'!$B:$U,MATCH($A58,'WPP 2024 середина года'!$A:$A,0),MATCH(B$1,'WPP 2024 середина года'!$B$1:$U$1,0))/(1000*INDEX('SALA 2002'!$B:$U,MATCH($A58,'SALA 2002'!$A:$A,0),MATCH(B$1,'SALA 2002'!$B$1:$U$1,0))),($A58-1994)/7),INDEX('WPP 2024 середина года'!$B:$U,MATCH($A58,'WPP 2024 середина года'!$A:$A,0),MATCH(B$1,'WPP 2024 середина года'!$B$1:$U$1,0)))))</f>
        <v>18800</v>
      </c>
      <c r="C58" s="7">
        <f>IF($A58&lt;=1951,INDEX('SALA 1974'!$B:$U,MATCH($A58,'SALA 1974'!$A:$A,0),MATCH(C$1,'SALA 1974'!$B$1:$U$1,0)),IF($A58&lt;=1994,1000*INDEX('SALA 2002'!$B:$U,MATCH($A58,'SALA 2002'!$A:$A,0),MATCH(C$1,'SALA 2002'!$B$1:$U$1,0)),IF($A58&lt;=2000,1000*INDEX('SALA 2002'!$B:$U,MATCH($A58,'SALA 2002'!$A:$A,0),MATCH(C$1,'SALA 2002'!$B$1:$U$1,0))*POWER(INDEX('WPP 2024 середина года'!$B:$U,MATCH($A58,'WPP 2024 середина года'!$A:$A,0),MATCH(C$1,'WPP 2024 середина года'!$B$1:$U$1,0))/(1000*INDEX('SALA 2002'!$B:$U,MATCH($A58,'SALA 2002'!$A:$A,0),MATCH(C$1,'SALA 2002'!$B$1:$U$1,0))),($A58-1994)/7),INDEX('WPP 2024 середина года'!$B:$U,MATCH($A58,'WPP 2024 середина года'!$A:$A,0),MATCH(C$1,'WPP 2024 середина года'!$B$1:$U$1,0)))))</f>
        <v>3420</v>
      </c>
      <c r="D58" s="7">
        <f>IF($A58&lt;=1951,INDEX('SALA 1974'!$B:$U,MATCH($A58,'SALA 1974'!$A:$A,0),MATCH(D$1,'SALA 1974'!$B$1:$U$1,0)),IF($A58&lt;=1994,1000*INDEX('SALA 2002'!$B:$U,MATCH($A58,'SALA 2002'!$A:$A,0),MATCH(D$1,'SALA 2002'!$B$1:$U$1,0)),IF($A58&lt;=2000,1000*INDEX('SALA 2002'!$B:$U,MATCH($A58,'SALA 2002'!$A:$A,0),MATCH(D$1,'SALA 2002'!$B$1:$U$1,0))*POWER(INDEX('WPP 2024 середина года'!$B:$U,MATCH($A58,'WPP 2024 середина года'!$A:$A,0),MATCH(D$1,'WPP 2024 середина года'!$B$1:$U$1,0))/(1000*INDEX('SALA 2002'!$B:$U,MATCH($A58,'SALA 2002'!$A:$A,0),MATCH(D$1,'SALA 2002'!$B$1:$U$1,0))),($A58-1994)/7),INDEX('WPP 2024 середина года'!$B:$U,MATCH($A58,'WPP 2024 середина года'!$A:$A,0),MATCH(D$1,'WPP 2024 середина года'!$B$1:$U$1,0)))))</f>
        <v>61980</v>
      </c>
      <c r="E58" s="7">
        <f>IF($A58&lt;=1951,INDEX('SALA 1974'!$B:$U,MATCH($A58,'SALA 1974'!$A:$A,0),MATCH(E$1,'SALA 1974'!$B$1:$U$1,0)),IF($A58&lt;=1994,1000*INDEX('SALA 2002'!$B:$U,MATCH($A58,'SALA 2002'!$A:$A,0),MATCH(E$1,'SALA 2002'!$B$1:$U$1,0)),IF($A58&lt;=2000,1000*INDEX('SALA 2002'!$B:$U,MATCH($A58,'SALA 2002'!$A:$A,0),MATCH(E$1,'SALA 2002'!$B$1:$U$1,0))*POWER(INDEX('WPP 2024 середина года'!$B:$U,MATCH($A58,'WPP 2024 середина года'!$A:$A,0),MATCH(E$1,'WPP 2024 середина года'!$B$1:$U$1,0))/(1000*INDEX('SALA 2002'!$B:$U,MATCH($A58,'SALA 2002'!$A:$A,0),MATCH(E$1,'SALA 2002'!$B$1:$U$1,0))),($A58-1994)/7),INDEX('WPP 2024 середина года'!$B:$U,MATCH($A58,'WPP 2024 середина года'!$A:$A,0),MATCH(E$1,'WPP 2024 середина года'!$B$1:$U$1,0)))))</f>
        <v>6960</v>
      </c>
      <c r="F58" s="7">
        <f>IF($A58&lt;=1947,INDEX('SALA 1974'!$B:$U,MATCH($A58,'SALA 1974'!$A:$A,0),MATCH(F$1,'SALA 1974'!$B$1:$U$1,0)),IF($A58&lt;=1994,1000*INDEX('SALA 2002'!$B:$U,MATCH($A58,'SALA 2002'!$A:$A,0),MATCH(F$1,'SALA 2002'!$B$1:$U$1,0)),IF($A58&lt;=2000,1000*INDEX('SALA 2002'!$B:$U,MATCH($A58,'SALA 2002'!$A:$A,0),MATCH(F$1,'SALA 2002'!$B$1:$U$1,0))*POWER(INDEX('WPP 2024 середина года'!$B:$U,MATCH($A58,'WPP 2024 середина года'!$A:$A,0),MATCH(F$1,'WPP 2024 середина года'!$B$1:$U$1,0))/(1000*INDEX('SALA 2002'!$B:$U,MATCH($A58,'SALA 2002'!$A:$A,0),MATCH(F$1,'SALA 2002'!$B$1:$U$1,0))),($A58-1994)/7),INDEX('WPP 2024 середина года'!$B:$U,MATCH($A58,'WPP 2024 середина года'!$A:$A,0),MATCH(F$1,'WPP 2024 середина года'!$B$1:$U$1,0)))))</f>
        <v>13590</v>
      </c>
      <c r="G58" s="7">
        <f>IF($A58&lt;=1951,INDEX('SALA 1974'!$B:$U,MATCH($A58,'SALA 1974'!$A:$A,0),MATCH(G$1,'SALA 1974'!$B$1:$U$1,0)),IF($A58&lt;=1994,1000*INDEX('SALA 2002'!$B:$U,MATCH($A58,'SALA 2002'!$A:$A,0),MATCH(G$1,'SALA 2002'!$B$1:$U$1,0)),IF($A58&lt;=2000,1000*INDEX('SALA 2002'!$B:$U,MATCH($A58,'SALA 2002'!$A:$A,0),MATCH(G$1,'SALA 2002'!$B$1:$U$1,0))*POWER(INDEX('WPP 2024 середина года'!$B:$U,MATCH($A58,'WPP 2024 середина года'!$A:$A,0),MATCH(G$1,'WPP 2024 середина года'!$B$1:$U$1,0))/(1000*INDEX('SALA 2002'!$B:$U,MATCH($A58,'SALA 2002'!$A:$A,0),MATCH(G$1,'SALA 2002'!$B$1:$U$1,0))),($A58-1994)/7),INDEX('WPP 2024 середина года'!$B:$U,MATCH($A58,'WPP 2024 середина года'!$A:$A,0),MATCH(G$1,'WPP 2024 середина года'!$B$1:$U$1,0)))))</f>
        <v>1070</v>
      </c>
      <c r="H58" s="7">
        <f>IF($A58&lt;=1951,INDEX('SALA 1974'!$B:$U,MATCH($A58,'SALA 1974'!$A:$A,0),MATCH(H$1,'SALA 1974'!$B$1:$U$1,0)),IF($A58&lt;=1994,1000*INDEX('SALA 2002'!$B:$U,MATCH($A58,'SALA 2002'!$A:$A,0),MATCH(H$1,'SALA 2002'!$B$1:$U$1,0)),IF($A58&lt;=2000,1000*INDEX('SALA 2002'!$B:$U,MATCH($A58,'SALA 2002'!$A:$A,0),MATCH(H$1,'SALA 2002'!$B$1:$U$1,0))*POWER(INDEX('WPP 2024 середина года'!$B:$U,MATCH($A58,'WPP 2024 середина года'!$A:$A,0),MATCH(H$1,'WPP 2024 середина года'!$B$1:$U$1,0))/(1000*INDEX('SALA 2002'!$B:$U,MATCH($A58,'SALA 2002'!$A:$A,0),MATCH(H$1,'SALA 2002'!$B$1:$U$1,0))),($A58-1994)/7),INDEX('WPP 2024 середина года'!$B:$U,MATCH($A58,'WPP 2024 середина года'!$A:$A,0),MATCH(H$1,'WPP 2024 середина года'!$B$1:$U$1,0)))))</f>
        <v>6410</v>
      </c>
      <c r="I58" s="7">
        <f>IF($A58&lt;=1951,INDEX('SALA 1974'!$B:$U,MATCH($A58,'SALA 1974'!$A:$A,0),MATCH(I$1,'SALA 1974'!$B$1:$U$1,0)),IF($A58&lt;=1994,1000*INDEX('SALA 2002'!$B:$U,MATCH($A58,'SALA 2002'!$A:$A,0),MATCH(I$1,'SALA 2002'!$B$1:$U$1,0)),IF($A58&lt;=2000,1000*INDEX('SALA 2002'!$B:$U,MATCH($A58,'SALA 2002'!$A:$A,0),MATCH(I$1,'SALA 2002'!$B$1:$U$1,0))*POWER(INDEX('WPP 2024 середина года'!$B:$U,MATCH($A58,'WPP 2024 середина года'!$A:$A,0),MATCH(I$1,'WPP 2024 середина года'!$B$1:$U$1,0))/(1000*INDEX('SALA 2002'!$B:$U,MATCH($A58,'SALA 2002'!$A:$A,0),MATCH(I$1,'SALA 2002'!$B$1:$U$1,0))),($A58-1994)/7),INDEX('WPP 2024 середина года'!$B:$U,MATCH($A58,'WPP 2024 середина года'!$A:$A,0),MATCH(I$1,'WPP 2024 середина года'!$B$1:$U$1,0)))))</f>
        <v>2630</v>
      </c>
      <c r="J58" s="7">
        <f>IF($A58&lt;=1951,INDEX('SALA 1974'!$B:$U,MATCH($A58,'SALA 1974'!$A:$A,0),MATCH(J$1,'SALA 1974'!$B$1:$U$1,0)),IF($A58&lt;=1994,1000*INDEX('SALA 2002'!$B:$U,MATCH($A58,'SALA 2002'!$A:$A,0),MATCH(J$1,'SALA 2002'!$B$1:$U$1,0)),IF($A58&lt;=2000,1000*INDEX('SALA 2002'!$B:$U,MATCH($A58,'SALA 2002'!$A:$A,0),MATCH(J$1,'SALA 2002'!$B$1:$U$1,0))*POWER(INDEX('WPP 2024 середина года'!$B:$U,MATCH($A58,'WPP 2024 середина года'!$A:$A,0),MATCH(J$1,'WPP 2024 середина года'!$B$1:$U$1,0))/(1000*INDEX('SALA 2002'!$B:$U,MATCH($A58,'SALA 2002'!$A:$A,0),MATCH(J$1,'SALA 2002'!$B$1:$U$1,0))),($A58-1994)/7),INDEX('WPP 2024 середина года'!$B:$U,MATCH($A58,'WPP 2024 середина года'!$A:$A,0),MATCH(J$1,'WPP 2024 середина года'!$B$1:$U$1,0)))))</f>
        <v>3870</v>
      </c>
      <c r="K58" s="7">
        <f>IF($A58&lt;=1951,INDEX('SALA 1974'!$B:$U,MATCH($A58,'SALA 1974'!$A:$A,0),MATCH(K$1,'SALA 1974'!$B$1:$U$1,0)),IF($A58&lt;=1994,1000*INDEX('SALA 2002'!$B:$U,MATCH($A58,'SALA 2002'!$A:$A,0),MATCH(K$1,'SALA 2002'!$B$1:$U$1,0)),IF($A58&lt;=2000,1000*INDEX('SALA 2002'!$B:$U,MATCH($A58,'SALA 2002'!$A:$A,0),MATCH(K$1,'SALA 2002'!$B$1:$U$1,0))*POWER(INDEX('WPP 2024 середина года'!$B:$U,MATCH($A58,'WPP 2024 середина года'!$A:$A,0),MATCH(K$1,'WPP 2024 середина года'!$B$1:$U$1,0))/(1000*INDEX('SALA 2002'!$B:$U,MATCH($A58,'SALA 2002'!$A:$A,0),MATCH(K$1,'SALA 2002'!$B$1:$U$1,0))),($A58-1994)/7),INDEX('WPP 2024 середина года'!$B:$U,MATCH($A58,'WPP 2024 середина года'!$A:$A,0),MATCH(K$1,'WPP 2024 середина года'!$B$1:$U$1,0)))))</f>
        <v>2200</v>
      </c>
      <c r="L58" s="7">
        <f>IF($A58&lt;=1951,INDEX('SALA 1974'!$B:$U,MATCH($A58,'SALA 1974'!$A:$A,0),MATCH(L$1,'SALA 1974'!$B$1:$U$1,0)),IF($A58&lt;=1994,1000*INDEX('SALA 2002'!$B:$U,MATCH($A58,'SALA 2002'!$A:$A,0),MATCH(L$1,'SALA 2002'!$B$1:$U$1,0)),IF($A58&lt;=2000,1000*INDEX('SALA 2002'!$B:$U,MATCH($A58,'SALA 2002'!$A:$A,0),MATCH(L$1,'SALA 2002'!$B$1:$U$1,0))*POWER(INDEX('WPP 2024 середина года'!$B:$U,MATCH($A58,'WPP 2024 середина года'!$A:$A,0),MATCH(L$1,'WPP 2024 середина года'!$B$1:$U$1,0))/(1000*INDEX('SALA 2002'!$B:$U,MATCH($A58,'SALA 2002'!$A:$A,0),MATCH(L$1,'SALA 2002'!$B$1:$U$1,0))),($A58-1994)/7),INDEX('WPP 2024 середина года'!$B:$U,MATCH($A58,'WPP 2024 середина года'!$A:$A,0),MATCH(L$1,'WPP 2024 середина года'!$B$1:$U$1,0)))))</f>
        <v>3390</v>
      </c>
      <c r="M58" s="7">
        <f>IF($A58&lt;=1951,INDEX('SALA 1974'!$B:$U,MATCH($A58,'SALA 1974'!$A:$A,0),MATCH(M$1,'SALA 1974'!$B$1:$U$1,0)),IF($A58&lt;=1994,1000*INDEX('SALA 2002'!$B:$U,MATCH($A58,'SALA 2002'!$A:$A,0),MATCH(M$1,'SALA 2002'!$B$1:$U$1,0)),IF($A58&lt;=2000,1000*INDEX('SALA 2002'!$B:$U,MATCH($A58,'SALA 2002'!$A:$A,0),MATCH(M$1,'SALA 2002'!$B$1:$U$1,0))*POWER(INDEX('WPP 2024 середина года'!$B:$U,MATCH($A58,'WPP 2024 середина года'!$A:$A,0),MATCH(M$1,'WPP 2024 середина года'!$B$1:$U$1,0))/(1000*INDEX('SALA 2002'!$B:$U,MATCH($A58,'SALA 2002'!$A:$A,0),MATCH(M$1,'SALA 2002'!$B$1:$U$1,0))),($A58-1994)/7),INDEX('WPP 2024 середина года'!$B:$U,MATCH($A58,'WPP 2024 середина года'!$A:$A,0),MATCH(M$1,'WPP 2024 середина года'!$B$1:$U$1,0)))))</f>
        <v>3800</v>
      </c>
      <c r="N58" s="7">
        <f>IF($A58&lt;=1951,INDEX('SALA 1974'!$B:$U,MATCH($A58,'SALA 1974'!$A:$A,0),MATCH(N$1,'SALA 1974'!$B$1:$U$1,0)),IF($A58&lt;=1994,1000*INDEX('SALA 2002'!$B:$U,MATCH($A58,'SALA 2002'!$A:$A,0),MATCH(N$1,'SALA 2002'!$B$1:$U$1,0)),IF($A58&lt;=2000,1000*INDEX('SALA 2002'!$B:$U,MATCH($A58,'SALA 2002'!$A:$A,0),MATCH(N$1,'SALA 2002'!$B$1:$U$1,0))*POWER(INDEX('WPP 2024 середина года'!$B:$U,MATCH($A58,'WPP 2024 середина года'!$A:$A,0),MATCH(N$1,'WPP 2024 середина года'!$B$1:$U$1,0))/(1000*INDEX('SALA 2002'!$B:$U,MATCH($A58,'SALA 2002'!$A:$A,0),MATCH(N$1,'SALA 2002'!$B$1:$U$1,0))),($A58-1994)/7),INDEX('WPP 2024 середина года'!$B:$U,MATCH($A58,'WPP 2024 середина года'!$A:$A,0),MATCH(N$1,'WPP 2024 середина года'!$B$1:$U$1,0)))))</f>
        <v>1680</v>
      </c>
      <c r="O58" s="7">
        <f>IF($A58&lt;=1951,INDEX('SALA 1974'!$B:$U,MATCH($A58,'SALA 1974'!$A:$A,0),MATCH(O$1,'SALA 1974'!$B$1:$U$1,0)),IF($A58&lt;=1994,1000*INDEX('SALA 2002'!$B:$U,MATCH($A58,'SALA 2002'!$A:$A,0),MATCH(O$1,'SALA 2002'!$B$1:$U$1,0)),IF($A58&lt;=2000,1000*INDEX('SALA 2002'!$B:$U,MATCH($A58,'SALA 2002'!$A:$A,0),MATCH(O$1,'SALA 2002'!$B$1:$U$1,0))*POWER(INDEX('WPP 2024 середина года'!$B:$U,MATCH($A58,'WPP 2024 середина года'!$A:$A,0),MATCH(O$1,'WPP 2024 середина года'!$B$1:$U$1,0))/(1000*INDEX('SALA 2002'!$B:$U,MATCH($A58,'SALA 2002'!$A:$A,0),MATCH(O$1,'SALA 2002'!$B$1:$U$1,0))),($A58-1994)/7),INDEX('WPP 2024 середина года'!$B:$U,MATCH($A58,'WPP 2024 середина года'!$A:$A,0),MATCH(O$1,'WPP 2024 середина года'!$B$1:$U$1,0)))))</f>
        <v>31560</v>
      </c>
      <c r="P58" s="7">
        <f>IF($A58&lt;=1951,INDEX('SALA 1974'!$B:$U,MATCH($A58,'SALA 1974'!$A:$A,0),MATCH(P$1,'SALA 1974'!$B$1:$U$1,0)),IF($A58&lt;=1994,1000*INDEX('SALA 2002'!$B:$U,MATCH($A58,'SALA 2002'!$A:$A,0),MATCH(P$1,'SALA 2002'!$B$1:$U$1,0)),IF($A58&lt;=2000,1000*INDEX('SALA 2002'!$B:$U,MATCH($A58,'SALA 2002'!$A:$A,0),MATCH(P$1,'SALA 2002'!$B$1:$U$1,0))*POWER(INDEX('WPP 2024 середина года'!$B:$U,MATCH($A58,'WPP 2024 середина года'!$A:$A,0),MATCH(P$1,'WPP 2024 середина года'!$B$1:$U$1,0))/(1000*INDEX('SALA 2002'!$B:$U,MATCH($A58,'SALA 2002'!$A:$A,0),MATCH(P$1,'SALA 2002'!$B$1:$U$1,0))),($A58-1994)/7),INDEX('WPP 2024 середина года'!$B:$U,MATCH($A58,'WPP 2024 середина года'!$A:$A,0),MATCH(P$1,'WPP 2024 середина года'!$B$1:$U$1,0)))))</f>
        <v>1260</v>
      </c>
      <c r="Q58" s="7">
        <f>IF($A58&lt;=1951,INDEX('SALA 1974'!$B:$U,MATCH($A58,'SALA 1974'!$A:$A,0),MATCH(Q$1,'SALA 1974'!$B$1:$U$1,0)),IF($A58&lt;=1994,1000*INDEX('SALA 2002'!$B:$U,MATCH($A58,'SALA 2002'!$A:$A,0),MATCH(Q$1,'SALA 2002'!$B$1:$U$1,0)),IF($A58&lt;=2000,1000*INDEX('SALA 2002'!$B:$U,MATCH($A58,'SALA 2002'!$A:$A,0),MATCH(Q$1,'SALA 2002'!$B$1:$U$1,0))*POWER(INDEX('WPP 2024 середина года'!$B:$U,MATCH($A58,'WPP 2024 середина года'!$A:$A,0),MATCH(Q$1,'WPP 2024 середина года'!$B$1:$U$1,0))/(1000*INDEX('SALA 2002'!$B:$U,MATCH($A58,'SALA 2002'!$A:$A,0),MATCH(Q$1,'SALA 2002'!$B$1:$U$1,0))),($A58-1994)/7),INDEX('WPP 2024 середина года'!$B:$U,MATCH($A58,'WPP 2024 середина года'!$A:$A,0),MATCH(Q$1,'WPP 2024 середина года'!$B$1:$U$1,0)))))</f>
        <v>950</v>
      </c>
      <c r="R58" s="7">
        <f>IF($A58&lt;=1951,INDEX('SALA 1974'!$B:$U,MATCH($A58,'SALA 1974'!$A:$A,0),MATCH(R$1,'SALA 1974'!$B$1:$U$1,0)),IF($A58&lt;=1994,1000*INDEX('SALA 2002'!$B:$U,MATCH($A58,'SALA 2002'!$A:$A,0),MATCH(R$1,'SALA 2002'!$B$1:$U$1,0)),IF($A58&lt;=2000,1000*INDEX('SALA 2002'!$B:$U,MATCH($A58,'SALA 2002'!$A:$A,0),MATCH(R$1,'SALA 2002'!$B$1:$U$1,0))*POWER(INDEX('WPP 2024 середина года'!$B:$U,MATCH($A58,'WPP 2024 середина года'!$A:$A,0),MATCH(R$1,'WPP 2024 середина года'!$B$1:$U$1,0))/(1000*INDEX('SALA 2002'!$B:$U,MATCH($A58,'SALA 2002'!$A:$A,0),MATCH(R$1,'SALA 2002'!$B$1:$U$1,0))),($A58-1994)/7),INDEX('WPP 2024 середина года'!$B:$U,MATCH($A58,'WPP 2024 середина года'!$A:$A,0),MATCH(R$1,'WPP 2024 середина года'!$B$1:$U$1,0)))))</f>
        <v>1610</v>
      </c>
      <c r="S58" s="7">
        <f>IF($A58&lt;=1951,INDEX('SALA 1974'!$B:$U,MATCH($A58,'SALA 1974'!$A:$A,0),MATCH(S$1,'SALA 1974'!$B$1:$U$1,0)),IF($A58&lt;=1994,1000*INDEX('SALA 2002'!$B:$U,MATCH($A58,'SALA 2002'!$A:$A,0),MATCH(S$1,'SALA 2002'!$B$1:$U$1,0)),IF($A58&lt;=2000,1000*INDEX('SALA 2002'!$B:$U,MATCH($A58,'SALA 2002'!$A:$A,0),MATCH(S$1,'SALA 2002'!$B$1:$U$1,0))*POWER(INDEX('WPP 2024 середина года'!$B:$U,MATCH($A58,'WPP 2024 середина года'!$A:$A,0),MATCH(S$1,'WPP 2024 середина года'!$B$1:$U$1,0))/(1000*INDEX('SALA 2002'!$B:$U,MATCH($A58,'SALA 2002'!$A:$A,0),MATCH(S$1,'SALA 2002'!$B$1:$U$1,0))),($A58-1994)/7),INDEX('WPP 2024 середина года'!$B:$U,MATCH($A58,'WPP 2024 середина года'!$A:$A,0),MATCH(S$1,'WPP 2024 середина года'!$B$1:$U$1,0)))))</f>
        <v>9000</v>
      </c>
      <c r="T58" s="7">
        <f>IF($A58&lt;=1951,INDEX('SALA 1974'!$B:$U,MATCH($A58,'SALA 1974'!$A:$A,0),MATCH(T$1,'SALA 1974'!$B$1:$U$1,0)),IF($A58&lt;=1994,1000*INDEX('SALA 2002'!$B:$U,MATCH($A58,'SALA 2002'!$A:$A,0),MATCH(T$1,'SALA 2002'!$B$1:$U$1,0)),IF($A58&lt;=2000,1000*INDEX('SALA 2002'!$B:$U,MATCH($A58,'SALA 2002'!$A:$A,0),MATCH(T$1,'SALA 2002'!$B$1:$U$1,0))*POWER(INDEX('WPP 2024 середина года'!$B:$U,MATCH($A58,'WPP 2024 середина года'!$A:$A,0),MATCH(T$1,'WPP 2024 середина года'!$B$1:$U$1,0))/(1000*INDEX('SALA 2002'!$B:$U,MATCH($A58,'SALA 2002'!$A:$A,0),MATCH(T$1,'SALA 2002'!$B$1:$U$1,0))),($A58-1994)/7),INDEX('WPP 2024 середина года'!$B:$U,MATCH($A58,'WPP 2024 середина года'!$A:$A,0),MATCH(T$1,'WPP 2024 середина года'!$B$1:$U$1,0)))))</f>
        <v>2400</v>
      </c>
      <c r="U58" s="7">
        <f>IF($A58&lt;=1951,INDEX('SALA 1974'!$B:$U,MATCH($A58,'SALA 1974'!$A:$A,0),MATCH(U$1,'SALA 1974'!$B$1:$U$1,0)),IF($A58&lt;=1994,1000*INDEX('SALA 2002'!$B:$U,MATCH($A58,'SALA 2002'!$A:$A,0),MATCH(U$1,'SALA 2002'!$B$1:$U$1,0)),IF($A58&lt;=2000,1000*INDEX('SALA 2002'!$B:$U,MATCH($A58,'SALA 2002'!$A:$A,0),MATCH(U$1,'SALA 2002'!$B$1:$U$1,0))*POWER(INDEX('WPP 2024 середина года'!$B:$U,MATCH($A58,'WPP 2024 середина года'!$A:$A,0),MATCH(U$1,'WPP 2024 середина года'!$B$1:$U$1,0))/(1000*INDEX('SALA 2002'!$B:$U,MATCH($A58,'SALA 2002'!$A:$A,0),MATCH(U$1,'SALA 2002'!$B$1:$U$1,0))),($A58-1994)/7),INDEX('WPP 2024 середина года'!$B:$U,MATCH($A58,'WPP 2024 середина года'!$A:$A,0),MATCH(U$1,'WPP 2024 середина года'!$B$1:$U$1,0)))))</f>
        <v>6330</v>
      </c>
    </row>
    <row r="59" spans="1:21" x14ac:dyDescent="0.25">
      <c r="A59" s="5">
        <f t="shared" si="0"/>
        <v>1957</v>
      </c>
      <c r="B59" s="7">
        <f>IF($A59&lt;=1951,INDEX('SALA 1974'!$B:$U,MATCH($A59,'SALA 1974'!$A:$A,0),MATCH(B$1,'SALA 1974'!$B$1:$U$1,0)),IF($A59&lt;=1994,1000*INDEX('SALA 2002'!$B:$U,MATCH($A59,'SALA 2002'!$A:$A,0),MATCH(B$1,'SALA 2002'!$B$1:$U$1,0)),IF($A59&lt;=2000,1000*INDEX('SALA 2002'!$B:$U,MATCH($A59,'SALA 2002'!$A:$A,0),MATCH(B$1,'SALA 2002'!$B$1:$U$1,0))*POWER(INDEX('WPP 2024 середина года'!$B:$U,MATCH($A59,'WPP 2024 середина года'!$A:$A,0),MATCH(B$1,'WPP 2024 середина года'!$B$1:$U$1,0))/(1000*INDEX('SALA 2002'!$B:$U,MATCH($A59,'SALA 2002'!$A:$A,0),MATCH(B$1,'SALA 2002'!$B$1:$U$1,0))),($A59-1994)/7),INDEX('WPP 2024 середина года'!$B:$U,MATCH($A59,'WPP 2024 середина года'!$A:$A,0),MATCH(B$1,'WPP 2024 середина года'!$B$1:$U$1,0)))))</f>
        <v>19100</v>
      </c>
      <c r="C59" s="7">
        <f>IF($A59&lt;=1951,INDEX('SALA 1974'!$B:$U,MATCH($A59,'SALA 1974'!$A:$A,0),MATCH(C$1,'SALA 1974'!$B$1:$U$1,0)),IF($A59&lt;=1994,1000*INDEX('SALA 2002'!$B:$U,MATCH($A59,'SALA 2002'!$A:$A,0),MATCH(C$1,'SALA 2002'!$B$1:$U$1,0)),IF($A59&lt;=2000,1000*INDEX('SALA 2002'!$B:$U,MATCH($A59,'SALA 2002'!$A:$A,0),MATCH(C$1,'SALA 2002'!$B$1:$U$1,0))*POWER(INDEX('WPP 2024 середина года'!$B:$U,MATCH($A59,'WPP 2024 середина года'!$A:$A,0),MATCH(C$1,'WPP 2024 середина года'!$B$1:$U$1,0))/(1000*INDEX('SALA 2002'!$B:$U,MATCH($A59,'SALA 2002'!$A:$A,0),MATCH(C$1,'SALA 2002'!$B$1:$U$1,0))),($A59-1994)/7),INDEX('WPP 2024 середина года'!$B:$U,MATCH($A59,'WPP 2024 середина года'!$A:$A,0),MATCH(C$1,'WPP 2024 середина года'!$B$1:$U$1,0)))))</f>
        <v>3500</v>
      </c>
      <c r="D59" s="7">
        <f>IF($A59&lt;=1951,INDEX('SALA 1974'!$B:$U,MATCH($A59,'SALA 1974'!$A:$A,0),MATCH(D$1,'SALA 1974'!$B$1:$U$1,0)),IF($A59&lt;=1994,1000*INDEX('SALA 2002'!$B:$U,MATCH($A59,'SALA 2002'!$A:$A,0),MATCH(D$1,'SALA 2002'!$B$1:$U$1,0)),IF($A59&lt;=2000,1000*INDEX('SALA 2002'!$B:$U,MATCH($A59,'SALA 2002'!$A:$A,0),MATCH(D$1,'SALA 2002'!$B$1:$U$1,0))*POWER(INDEX('WPP 2024 середина года'!$B:$U,MATCH($A59,'WPP 2024 середина года'!$A:$A,0),MATCH(D$1,'WPP 2024 середина года'!$B$1:$U$1,0))/(1000*INDEX('SALA 2002'!$B:$U,MATCH($A59,'SALA 2002'!$A:$A,0),MATCH(D$1,'SALA 2002'!$B$1:$U$1,0))),($A59-1994)/7),INDEX('WPP 2024 середина года'!$B:$U,MATCH($A59,'WPP 2024 середина года'!$A:$A,0),MATCH(D$1,'WPP 2024 середина года'!$B$1:$U$1,0)))))</f>
        <v>63830</v>
      </c>
      <c r="E59" s="7">
        <f>IF($A59&lt;=1951,INDEX('SALA 1974'!$B:$U,MATCH($A59,'SALA 1974'!$A:$A,0),MATCH(E$1,'SALA 1974'!$B$1:$U$1,0)),IF($A59&lt;=1994,1000*INDEX('SALA 2002'!$B:$U,MATCH($A59,'SALA 2002'!$A:$A,0),MATCH(E$1,'SALA 2002'!$B$1:$U$1,0)),IF($A59&lt;=2000,1000*INDEX('SALA 2002'!$B:$U,MATCH($A59,'SALA 2002'!$A:$A,0),MATCH(E$1,'SALA 2002'!$B$1:$U$1,0))*POWER(INDEX('WPP 2024 середина года'!$B:$U,MATCH($A59,'WPP 2024 середина года'!$A:$A,0),MATCH(E$1,'WPP 2024 середина года'!$B$1:$U$1,0))/(1000*INDEX('SALA 2002'!$B:$U,MATCH($A59,'SALA 2002'!$A:$A,0),MATCH(E$1,'SALA 2002'!$B$1:$U$1,0))),($A59-1994)/7),INDEX('WPP 2024 середина года'!$B:$U,MATCH($A59,'WPP 2024 середина года'!$A:$A,0),MATCH(E$1,'WPP 2024 середина года'!$B$1:$U$1,0)))))</f>
        <v>7140</v>
      </c>
      <c r="F59" s="7">
        <f>IF($A59&lt;=1947,INDEX('SALA 1974'!$B:$U,MATCH($A59,'SALA 1974'!$A:$A,0),MATCH(F$1,'SALA 1974'!$B$1:$U$1,0)),IF($A59&lt;=1994,1000*INDEX('SALA 2002'!$B:$U,MATCH($A59,'SALA 2002'!$A:$A,0),MATCH(F$1,'SALA 2002'!$B$1:$U$1,0)),IF($A59&lt;=2000,1000*INDEX('SALA 2002'!$B:$U,MATCH($A59,'SALA 2002'!$A:$A,0),MATCH(F$1,'SALA 2002'!$B$1:$U$1,0))*POWER(INDEX('WPP 2024 середина года'!$B:$U,MATCH($A59,'WPP 2024 середина года'!$A:$A,0),MATCH(F$1,'WPP 2024 середина года'!$B$1:$U$1,0))/(1000*INDEX('SALA 2002'!$B:$U,MATCH($A59,'SALA 2002'!$A:$A,0),MATCH(F$1,'SALA 2002'!$B$1:$U$1,0))),($A59-1994)/7),INDEX('WPP 2024 середина года'!$B:$U,MATCH($A59,'WPP 2024 середина года'!$A:$A,0),MATCH(F$1,'WPP 2024 середина года'!$B$1:$U$1,0)))))</f>
        <v>14030</v>
      </c>
      <c r="G59" s="7">
        <f>IF($A59&lt;=1951,INDEX('SALA 1974'!$B:$U,MATCH($A59,'SALA 1974'!$A:$A,0),MATCH(G$1,'SALA 1974'!$B$1:$U$1,0)),IF($A59&lt;=1994,1000*INDEX('SALA 2002'!$B:$U,MATCH($A59,'SALA 2002'!$A:$A,0),MATCH(G$1,'SALA 2002'!$B$1:$U$1,0)),IF($A59&lt;=2000,1000*INDEX('SALA 2002'!$B:$U,MATCH($A59,'SALA 2002'!$A:$A,0),MATCH(G$1,'SALA 2002'!$B$1:$U$1,0))*POWER(INDEX('WPP 2024 середина года'!$B:$U,MATCH($A59,'WPP 2024 середина года'!$A:$A,0),MATCH(G$1,'WPP 2024 середина года'!$B$1:$U$1,0))/(1000*INDEX('SALA 2002'!$B:$U,MATCH($A59,'SALA 2002'!$A:$A,0),MATCH(G$1,'SALA 2002'!$B$1:$U$1,0))),($A59-1994)/7),INDEX('WPP 2024 середина года'!$B:$U,MATCH($A59,'WPP 2024 середина года'!$A:$A,0),MATCH(G$1,'WPP 2024 середина года'!$B$1:$U$1,0)))))</f>
        <v>1110</v>
      </c>
      <c r="H59" s="7">
        <f>IF($A59&lt;=1951,INDEX('SALA 1974'!$B:$U,MATCH($A59,'SALA 1974'!$A:$A,0),MATCH(H$1,'SALA 1974'!$B$1:$U$1,0)),IF($A59&lt;=1994,1000*INDEX('SALA 2002'!$B:$U,MATCH($A59,'SALA 2002'!$A:$A,0),MATCH(H$1,'SALA 2002'!$B$1:$U$1,0)),IF($A59&lt;=2000,1000*INDEX('SALA 2002'!$B:$U,MATCH($A59,'SALA 2002'!$A:$A,0),MATCH(H$1,'SALA 2002'!$B$1:$U$1,0))*POWER(INDEX('WPP 2024 середина года'!$B:$U,MATCH($A59,'WPP 2024 середина года'!$A:$A,0),MATCH(H$1,'WPP 2024 середина года'!$B$1:$U$1,0))/(1000*INDEX('SALA 2002'!$B:$U,MATCH($A59,'SALA 2002'!$A:$A,0),MATCH(H$1,'SALA 2002'!$B$1:$U$1,0))),($A59-1994)/7),INDEX('WPP 2024 середина года'!$B:$U,MATCH($A59,'WPP 2024 середина года'!$A:$A,0),MATCH(H$1,'WPP 2024 середина года'!$B$1:$U$1,0)))))</f>
        <v>6540</v>
      </c>
      <c r="I59" s="7">
        <f>IF($A59&lt;=1951,INDEX('SALA 1974'!$B:$U,MATCH($A59,'SALA 1974'!$A:$A,0),MATCH(I$1,'SALA 1974'!$B$1:$U$1,0)),IF($A59&lt;=1994,1000*INDEX('SALA 2002'!$B:$U,MATCH($A59,'SALA 2002'!$A:$A,0),MATCH(I$1,'SALA 2002'!$B$1:$U$1,0)),IF($A59&lt;=2000,1000*INDEX('SALA 2002'!$B:$U,MATCH($A59,'SALA 2002'!$A:$A,0),MATCH(I$1,'SALA 2002'!$B$1:$U$1,0))*POWER(INDEX('WPP 2024 середина года'!$B:$U,MATCH($A59,'WPP 2024 середина года'!$A:$A,0),MATCH(I$1,'WPP 2024 середина года'!$B$1:$U$1,0))/(1000*INDEX('SALA 2002'!$B:$U,MATCH($A59,'SALA 2002'!$A:$A,0),MATCH(I$1,'SALA 2002'!$B$1:$U$1,0))),($A59-1994)/7),INDEX('WPP 2024 середина года'!$B:$U,MATCH($A59,'WPP 2024 середина года'!$A:$A,0),MATCH(I$1,'WPP 2024 середина года'!$B$1:$U$1,0)))))</f>
        <v>2730</v>
      </c>
      <c r="J59" s="7">
        <f>IF($A59&lt;=1951,INDEX('SALA 1974'!$B:$U,MATCH($A59,'SALA 1974'!$A:$A,0),MATCH(J$1,'SALA 1974'!$B$1:$U$1,0)),IF($A59&lt;=1994,1000*INDEX('SALA 2002'!$B:$U,MATCH($A59,'SALA 2002'!$A:$A,0),MATCH(J$1,'SALA 2002'!$B$1:$U$1,0)),IF($A59&lt;=2000,1000*INDEX('SALA 2002'!$B:$U,MATCH($A59,'SALA 2002'!$A:$A,0),MATCH(J$1,'SALA 2002'!$B$1:$U$1,0))*POWER(INDEX('WPP 2024 середина года'!$B:$U,MATCH($A59,'WPP 2024 середина года'!$A:$A,0),MATCH(J$1,'WPP 2024 середина года'!$B$1:$U$1,0))/(1000*INDEX('SALA 2002'!$B:$U,MATCH($A59,'SALA 2002'!$A:$A,0),MATCH(J$1,'SALA 2002'!$B$1:$U$1,0))),($A59-1994)/7),INDEX('WPP 2024 середина года'!$B:$U,MATCH($A59,'WPP 2024 середина года'!$A:$A,0),MATCH(J$1,'WPP 2024 середина года'!$B$1:$U$1,0)))))</f>
        <v>3980</v>
      </c>
      <c r="K59" s="7">
        <f>IF($A59&lt;=1951,INDEX('SALA 1974'!$B:$U,MATCH($A59,'SALA 1974'!$A:$A,0),MATCH(K$1,'SALA 1974'!$B$1:$U$1,0)),IF($A59&lt;=1994,1000*INDEX('SALA 2002'!$B:$U,MATCH($A59,'SALA 2002'!$A:$A,0),MATCH(K$1,'SALA 2002'!$B$1:$U$1,0)),IF($A59&lt;=2000,1000*INDEX('SALA 2002'!$B:$U,MATCH($A59,'SALA 2002'!$A:$A,0),MATCH(K$1,'SALA 2002'!$B$1:$U$1,0))*POWER(INDEX('WPP 2024 середина года'!$B:$U,MATCH($A59,'WPP 2024 середина года'!$A:$A,0),MATCH(K$1,'WPP 2024 середина года'!$B$1:$U$1,0))/(1000*INDEX('SALA 2002'!$B:$U,MATCH($A59,'SALA 2002'!$A:$A,0),MATCH(K$1,'SALA 2002'!$B$1:$U$1,0))),($A59-1994)/7),INDEX('WPP 2024 середина года'!$B:$U,MATCH($A59,'WPP 2024 середина года'!$A:$A,0),MATCH(K$1,'WPP 2024 середина года'!$B$1:$U$1,0)))))</f>
        <v>2260</v>
      </c>
      <c r="L59" s="7">
        <f>IF($A59&lt;=1951,INDEX('SALA 1974'!$B:$U,MATCH($A59,'SALA 1974'!$A:$A,0),MATCH(L$1,'SALA 1974'!$B$1:$U$1,0)),IF($A59&lt;=1994,1000*INDEX('SALA 2002'!$B:$U,MATCH($A59,'SALA 2002'!$A:$A,0),MATCH(L$1,'SALA 2002'!$B$1:$U$1,0)),IF($A59&lt;=2000,1000*INDEX('SALA 2002'!$B:$U,MATCH($A59,'SALA 2002'!$A:$A,0),MATCH(L$1,'SALA 2002'!$B$1:$U$1,0))*POWER(INDEX('WPP 2024 середина года'!$B:$U,MATCH($A59,'WPP 2024 середина года'!$A:$A,0),MATCH(L$1,'WPP 2024 середина года'!$B$1:$U$1,0))/(1000*INDEX('SALA 2002'!$B:$U,MATCH($A59,'SALA 2002'!$A:$A,0),MATCH(L$1,'SALA 2002'!$B$1:$U$1,0))),($A59-1994)/7),INDEX('WPP 2024 середина года'!$B:$U,MATCH($A59,'WPP 2024 середина года'!$A:$A,0),MATCH(L$1,'WPP 2024 середина года'!$B$1:$U$1,0)))))</f>
        <v>3490</v>
      </c>
      <c r="M59" s="7">
        <f>IF($A59&lt;=1951,INDEX('SALA 1974'!$B:$U,MATCH($A59,'SALA 1974'!$A:$A,0),MATCH(M$1,'SALA 1974'!$B$1:$U$1,0)),IF($A59&lt;=1994,1000*INDEX('SALA 2002'!$B:$U,MATCH($A59,'SALA 2002'!$A:$A,0),MATCH(M$1,'SALA 2002'!$B$1:$U$1,0)),IF($A59&lt;=2000,1000*INDEX('SALA 2002'!$B:$U,MATCH($A59,'SALA 2002'!$A:$A,0),MATCH(M$1,'SALA 2002'!$B$1:$U$1,0))*POWER(INDEX('WPP 2024 середина года'!$B:$U,MATCH($A59,'WPP 2024 середина года'!$A:$A,0),MATCH(M$1,'WPP 2024 середина года'!$B$1:$U$1,0))/(1000*INDEX('SALA 2002'!$B:$U,MATCH($A59,'SALA 2002'!$A:$A,0),MATCH(M$1,'SALA 2002'!$B$1:$U$1,0))),($A59-1994)/7),INDEX('WPP 2024 середина года'!$B:$U,MATCH($A59,'WPP 2024 середина года'!$A:$A,0),MATCH(M$1,'WPP 2024 середина года'!$B$1:$U$1,0)))))</f>
        <v>3750</v>
      </c>
      <c r="N59" s="7">
        <f>IF($A59&lt;=1951,INDEX('SALA 1974'!$B:$U,MATCH($A59,'SALA 1974'!$A:$A,0),MATCH(N$1,'SALA 1974'!$B$1:$U$1,0)),IF($A59&lt;=1994,1000*INDEX('SALA 2002'!$B:$U,MATCH($A59,'SALA 2002'!$A:$A,0),MATCH(N$1,'SALA 2002'!$B$1:$U$1,0)),IF($A59&lt;=2000,1000*INDEX('SALA 2002'!$B:$U,MATCH($A59,'SALA 2002'!$A:$A,0),MATCH(N$1,'SALA 2002'!$B$1:$U$1,0))*POWER(INDEX('WPP 2024 середина года'!$B:$U,MATCH($A59,'WPP 2024 середина года'!$A:$A,0),MATCH(N$1,'WPP 2024 середина года'!$B$1:$U$1,0))/(1000*INDEX('SALA 2002'!$B:$U,MATCH($A59,'SALA 2002'!$A:$A,0),MATCH(N$1,'SALA 2002'!$B$1:$U$1,0))),($A59-1994)/7),INDEX('WPP 2024 середина года'!$B:$U,MATCH($A59,'WPP 2024 середина года'!$A:$A,0),MATCH(N$1,'WPP 2024 середина года'!$B$1:$U$1,0)))))</f>
        <v>1710</v>
      </c>
      <c r="O59" s="7">
        <f>IF($A59&lt;=1951,INDEX('SALA 1974'!$B:$U,MATCH($A59,'SALA 1974'!$A:$A,0),MATCH(O$1,'SALA 1974'!$B$1:$U$1,0)),IF($A59&lt;=1994,1000*INDEX('SALA 2002'!$B:$U,MATCH($A59,'SALA 2002'!$A:$A,0),MATCH(O$1,'SALA 2002'!$B$1:$U$1,0)),IF($A59&lt;=2000,1000*INDEX('SALA 2002'!$B:$U,MATCH($A59,'SALA 2002'!$A:$A,0),MATCH(O$1,'SALA 2002'!$B$1:$U$1,0))*POWER(INDEX('WPP 2024 середина года'!$B:$U,MATCH($A59,'WPP 2024 середина года'!$A:$A,0),MATCH(O$1,'WPP 2024 середина года'!$B$1:$U$1,0))/(1000*INDEX('SALA 2002'!$B:$U,MATCH($A59,'SALA 2002'!$A:$A,0),MATCH(O$1,'SALA 2002'!$B$1:$U$1,0))),($A59-1994)/7),INDEX('WPP 2024 середина года'!$B:$U,MATCH($A59,'WPP 2024 середина года'!$A:$A,0),MATCH(O$1,'WPP 2024 середина года'!$B$1:$U$1,0)))))</f>
        <v>32610</v>
      </c>
      <c r="P59" s="7">
        <f>IF($A59&lt;=1951,INDEX('SALA 1974'!$B:$U,MATCH($A59,'SALA 1974'!$A:$A,0),MATCH(P$1,'SALA 1974'!$B$1:$U$1,0)),IF($A59&lt;=1994,1000*INDEX('SALA 2002'!$B:$U,MATCH($A59,'SALA 2002'!$A:$A,0),MATCH(P$1,'SALA 2002'!$B$1:$U$1,0)),IF($A59&lt;=2000,1000*INDEX('SALA 2002'!$B:$U,MATCH($A59,'SALA 2002'!$A:$A,0),MATCH(P$1,'SALA 2002'!$B$1:$U$1,0))*POWER(INDEX('WPP 2024 середина года'!$B:$U,MATCH($A59,'WPP 2024 середина года'!$A:$A,0),MATCH(P$1,'WPP 2024 середина года'!$B$1:$U$1,0))/(1000*INDEX('SALA 2002'!$B:$U,MATCH($A59,'SALA 2002'!$A:$A,0),MATCH(P$1,'SALA 2002'!$B$1:$U$1,0))),($A59-1994)/7),INDEX('WPP 2024 середина года'!$B:$U,MATCH($A59,'WPP 2024 середина года'!$A:$A,0),MATCH(P$1,'WPP 2024 середина года'!$B$1:$U$1,0)))))</f>
        <v>1290</v>
      </c>
      <c r="Q59" s="7">
        <f>IF($A59&lt;=1951,INDEX('SALA 1974'!$B:$U,MATCH($A59,'SALA 1974'!$A:$A,0),MATCH(Q$1,'SALA 1974'!$B$1:$U$1,0)),IF($A59&lt;=1994,1000*INDEX('SALA 2002'!$B:$U,MATCH($A59,'SALA 2002'!$A:$A,0),MATCH(Q$1,'SALA 2002'!$B$1:$U$1,0)),IF($A59&lt;=2000,1000*INDEX('SALA 2002'!$B:$U,MATCH($A59,'SALA 2002'!$A:$A,0),MATCH(Q$1,'SALA 2002'!$B$1:$U$1,0))*POWER(INDEX('WPP 2024 середина года'!$B:$U,MATCH($A59,'WPP 2024 середина года'!$A:$A,0),MATCH(Q$1,'WPP 2024 середина года'!$B$1:$U$1,0))/(1000*INDEX('SALA 2002'!$B:$U,MATCH($A59,'SALA 2002'!$A:$A,0),MATCH(Q$1,'SALA 2002'!$B$1:$U$1,0))),($A59-1994)/7),INDEX('WPP 2024 середина года'!$B:$U,MATCH($A59,'WPP 2024 середина года'!$A:$A,0),MATCH(Q$1,'WPP 2024 середина года'!$B$1:$U$1,0)))))</f>
        <v>970</v>
      </c>
      <c r="R59" s="7">
        <f>IF($A59&lt;=1951,INDEX('SALA 1974'!$B:$U,MATCH($A59,'SALA 1974'!$A:$A,0),MATCH(R$1,'SALA 1974'!$B$1:$U$1,0)),IF($A59&lt;=1994,1000*INDEX('SALA 2002'!$B:$U,MATCH($A59,'SALA 2002'!$A:$A,0),MATCH(R$1,'SALA 2002'!$B$1:$U$1,0)),IF($A59&lt;=2000,1000*INDEX('SALA 2002'!$B:$U,MATCH($A59,'SALA 2002'!$A:$A,0),MATCH(R$1,'SALA 2002'!$B$1:$U$1,0))*POWER(INDEX('WPP 2024 середина года'!$B:$U,MATCH($A59,'WPP 2024 середина года'!$A:$A,0),MATCH(R$1,'WPP 2024 середина года'!$B$1:$U$1,0))/(1000*INDEX('SALA 2002'!$B:$U,MATCH($A59,'SALA 2002'!$A:$A,0),MATCH(R$1,'SALA 2002'!$B$1:$U$1,0))),($A59-1994)/7),INDEX('WPP 2024 середина года'!$B:$U,MATCH($A59,'WPP 2024 середина года'!$A:$A,0),MATCH(R$1,'WPP 2024 середина года'!$B$1:$U$1,0)))))</f>
        <v>1680</v>
      </c>
      <c r="S59" s="7">
        <f>IF($A59&lt;=1951,INDEX('SALA 1974'!$B:$U,MATCH($A59,'SALA 1974'!$A:$A,0),MATCH(S$1,'SALA 1974'!$B$1:$U$1,0)),IF($A59&lt;=1994,1000*INDEX('SALA 2002'!$B:$U,MATCH($A59,'SALA 2002'!$A:$A,0),MATCH(S$1,'SALA 2002'!$B$1:$U$1,0)),IF($A59&lt;=2000,1000*INDEX('SALA 2002'!$B:$U,MATCH($A59,'SALA 2002'!$A:$A,0),MATCH(S$1,'SALA 2002'!$B$1:$U$1,0))*POWER(INDEX('WPP 2024 середина года'!$B:$U,MATCH($A59,'WPP 2024 середина года'!$A:$A,0),MATCH(S$1,'WPP 2024 середина года'!$B$1:$U$1,0))/(1000*INDEX('SALA 2002'!$B:$U,MATCH($A59,'SALA 2002'!$A:$A,0),MATCH(S$1,'SALA 2002'!$B$1:$U$1,0))),($A59-1994)/7),INDEX('WPP 2024 середина года'!$B:$U,MATCH($A59,'WPP 2024 середина года'!$A:$A,0),MATCH(S$1,'WPP 2024 середина года'!$B$1:$U$1,0)))))</f>
        <v>9230</v>
      </c>
      <c r="T59" s="7">
        <f>IF($A59&lt;=1951,INDEX('SALA 1974'!$B:$U,MATCH($A59,'SALA 1974'!$A:$A,0),MATCH(T$1,'SALA 1974'!$B$1:$U$1,0)),IF($A59&lt;=1994,1000*INDEX('SALA 2002'!$B:$U,MATCH($A59,'SALA 2002'!$A:$A,0),MATCH(T$1,'SALA 2002'!$B$1:$U$1,0)),IF($A59&lt;=2000,1000*INDEX('SALA 2002'!$B:$U,MATCH($A59,'SALA 2002'!$A:$A,0),MATCH(T$1,'SALA 2002'!$B$1:$U$1,0))*POWER(INDEX('WPP 2024 середина года'!$B:$U,MATCH($A59,'WPP 2024 середина года'!$A:$A,0),MATCH(T$1,'WPP 2024 середина года'!$B$1:$U$1,0))/(1000*INDEX('SALA 2002'!$B:$U,MATCH($A59,'SALA 2002'!$A:$A,0),MATCH(T$1,'SALA 2002'!$B$1:$U$1,0))),($A59-1994)/7),INDEX('WPP 2024 середина года'!$B:$U,MATCH($A59,'WPP 2024 середина года'!$A:$A,0),MATCH(T$1,'WPP 2024 середина года'!$B$1:$U$1,0)))))</f>
        <v>2430</v>
      </c>
      <c r="U59" s="7">
        <f>IF($A59&lt;=1951,INDEX('SALA 1974'!$B:$U,MATCH($A59,'SALA 1974'!$A:$A,0),MATCH(U$1,'SALA 1974'!$B$1:$U$1,0)),IF($A59&lt;=1994,1000*INDEX('SALA 2002'!$B:$U,MATCH($A59,'SALA 2002'!$A:$A,0),MATCH(U$1,'SALA 2002'!$B$1:$U$1,0)),IF($A59&lt;=2000,1000*INDEX('SALA 2002'!$B:$U,MATCH($A59,'SALA 2002'!$A:$A,0),MATCH(U$1,'SALA 2002'!$B$1:$U$1,0))*POWER(INDEX('WPP 2024 середина года'!$B:$U,MATCH($A59,'WPP 2024 середина года'!$A:$A,0),MATCH(U$1,'WPP 2024 середина года'!$B$1:$U$1,0))/(1000*INDEX('SALA 2002'!$B:$U,MATCH($A59,'SALA 2002'!$A:$A,0),MATCH(U$1,'SALA 2002'!$B$1:$U$1,0))),($A59-1994)/7),INDEX('WPP 2024 середина года'!$B:$U,MATCH($A59,'WPP 2024 середина года'!$A:$A,0),MATCH(U$1,'WPP 2024 середина года'!$B$1:$U$1,0)))))</f>
        <v>6570</v>
      </c>
    </row>
    <row r="60" spans="1:21" x14ac:dyDescent="0.25">
      <c r="A60" s="5">
        <f t="shared" si="0"/>
        <v>1958</v>
      </c>
      <c r="B60" s="7">
        <f>IF($A60&lt;=1951,INDEX('SALA 1974'!$B:$U,MATCH($A60,'SALA 1974'!$A:$A,0),MATCH(B$1,'SALA 1974'!$B$1:$U$1,0)),IF($A60&lt;=1994,1000*INDEX('SALA 2002'!$B:$U,MATCH($A60,'SALA 2002'!$A:$A,0),MATCH(B$1,'SALA 2002'!$B$1:$U$1,0)),IF($A60&lt;=2000,1000*INDEX('SALA 2002'!$B:$U,MATCH($A60,'SALA 2002'!$A:$A,0),MATCH(B$1,'SALA 2002'!$B$1:$U$1,0))*POWER(INDEX('WPP 2024 середина года'!$B:$U,MATCH($A60,'WPP 2024 середина года'!$A:$A,0),MATCH(B$1,'WPP 2024 середина года'!$B$1:$U$1,0))/(1000*INDEX('SALA 2002'!$B:$U,MATCH($A60,'SALA 2002'!$A:$A,0),MATCH(B$1,'SALA 2002'!$B$1:$U$1,0))),($A60-1994)/7),INDEX('WPP 2024 середина года'!$B:$U,MATCH($A60,'WPP 2024 середина года'!$A:$A,0),MATCH(B$1,'WPP 2024 середина года'!$B$1:$U$1,0)))))</f>
        <v>19380</v>
      </c>
      <c r="C60" s="7">
        <f>IF($A60&lt;=1951,INDEX('SALA 1974'!$B:$U,MATCH($A60,'SALA 1974'!$A:$A,0),MATCH(C$1,'SALA 1974'!$B$1:$U$1,0)),IF($A60&lt;=1994,1000*INDEX('SALA 2002'!$B:$U,MATCH($A60,'SALA 2002'!$A:$A,0),MATCH(C$1,'SALA 2002'!$B$1:$U$1,0)),IF($A60&lt;=2000,1000*INDEX('SALA 2002'!$B:$U,MATCH($A60,'SALA 2002'!$A:$A,0),MATCH(C$1,'SALA 2002'!$B$1:$U$1,0))*POWER(INDEX('WPP 2024 середина года'!$B:$U,MATCH($A60,'WPP 2024 середина года'!$A:$A,0),MATCH(C$1,'WPP 2024 середина года'!$B$1:$U$1,0))/(1000*INDEX('SALA 2002'!$B:$U,MATCH($A60,'SALA 2002'!$A:$A,0),MATCH(C$1,'SALA 2002'!$B$1:$U$1,0))),($A60-1994)/7),INDEX('WPP 2024 середина года'!$B:$U,MATCH($A60,'WPP 2024 середина года'!$A:$A,0),MATCH(C$1,'WPP 2024 середина года'!$B$1:$U$1,0)))))</f>
        <v>3590</v>
      </c>
      <c r="D60" s="7">
        <f>IF($A60&lt;=1951,INDEX('SALA 1974'!$B:$U,MATCH($A60,'SALA 1974'!$A:$A,0),MATCH(D$1,'SALA 1974'!$B$1:$U$1,0)),IF($A60&lt;=1994,1000*INDEX('SALA 2002'!$B:$U,MATCH($A60,'SALA 2002'!$A:$A,0),MATCH(D$1,'SALA 2002'!$B$1:$U$1,0)),IF($A60&lt;=2000,1000*INDEX('SALA 2002'!$B:$U,MATCH($A60,'SALA 2002'!$A:$A,0),MATCH(D$1,'SALA 2002'!$B$1:$U$1,0))*POWER(INDEX('WPP 2024 середина года'!$B:$U,MATCH($A60,'WPP 2024 середина года'!$A:$A,0),MATCH(D$1,'WPP 2024 середина года'!$B$1:$U$1,0))/(1000*INDEX('SALA 2002'!$B:$U,MATCH($A60,'SALA 2002'!$A:$A,0),MATCH(D$1,'SALA 2002'!$B$1:$U$1,0))),($A60-1994)/7),INDEX('WPP 2024 середина года'!$B:$U,MATCH($A60,'WPP 2024 середина года'!$A:$A,0),MATCH(D$1,'WPP 2024 середина года'!$B$1:$U$1,0)))))</f>
        <v>65740</v>
      </c>
      <c r="E60" s="7">
        <f>IF($A60&lt;=1951,INDEX('SALA 1974'!$B:$U,MATCH($A60,'SALA 1974'!$A:$A,0),MATCH(E$1,'SALA 1974'!$B$1:$U$1,0)),IF($A60&lt;=1994,1000*INDEX('SALA 2002'!$B:$U,MATCH($A60,'SALA 2002'!$A:$A,0),MATCH(E$1,'SALA 2002'!$B$1:$U$1,0)),IF($A60&lt;=2000,1000*INDEX('SALA 2002'!$B:$U,MATCH($A60,'SALA 2002'!$A:$A,0),MATCH(E$1,'SALA 2002'!$B$1:$U$1,0))*POWER(INDEX('WPP 2024 середина года'!$B:$U,MATCH($A60,'WPP 2024 середина года'!$A:$A,0),MATCH(E$1,'WPP 2024 середина года'!$B$1:$U$1,0))/(1000*INDEX('SALA 2002'!$B:$U,MATCH($A60,'SALA 2002'!$A:$A,0),MATCH(E$1,'SALA 2002'!$B$1:$U$1,0))),($A60-1994)/7),INDEX('WPP 2024 середина года'!$B:$U,MATCH($A60,'WPP 2024 середина года'!$A:$A,0),MATCH(E$1,'WPP 2024 середина года'!$B$1:$U$1,0)))))</f>
        <v>7320</v>
      </c>
      <c r="F60" s="7">
        <f>IF($A60&lt;=1947,INDEX('SALA 1974'!$B:$U,MATCH($A60,'SALA 1974'!$A:$A,0),MATCH(F$1,'SALA 1974'!$B$1:$U$1,0)),IF($A60&lt;=1994,1000*INDEX('SALA 2002'!$B:$U,MATCH($A60,'SALA 2002'!$A:$A,0),MATCH(F$1,'SALA 2002'!$B$1:$U$1,0)),IF($A60&lt;=2000,1000*INDEX('SALA 2002'!$B:$U,MATCH($A60,'SALA 2002'!$A:$A,0),MATCH(F$1,'SALA 2002'!$B$1:$U$1,0))*POWER(INDEX('WPP 2024 середина года'!$B:$U,MATCH($A60,'WPP 2024 середина года'!$A:$A,0),MATCH(F$1,'WPP 2024 середина года'!$B$1:$U$1,0))/(1000*INDEX('SALA 2002'!$B:$U,MATCH($A60,'SALA 2002'!$A:$A,0),MATCH(F$1,'SALA 2002'!$B$1:$U$1,0))),($A60-1994)/7),INDEX('WPP 2024 середина года'!$B:$U,MATCH($A60,'WPP 2024 середина года'!$A:$A,0),MATCH(F$1,'WPP 2024 середина года'!$B$1:$U$1,0)))))</f>
        <v>14480</v>
      </c>
      <c r="G60" s="7">
        <f>IF($A60&lt;=1951,INDEX('SALA 1974'!$B:$U,MATCH($A60,'SALA 1974'!$A:$A,0),MATCH(G$1,'SALA 1974'!$B$1:$U$1,0)),IF($A60&lt;=1994,1000*INDEX('SALA 2002'!$B:$U,MATCH($A60,'SALA 2002'!$A:$A,0),MATCH(G$1,'SALA 2002'!$B$1:$U$1,0)),IF($A60&lt;=2000,1000*INDEX('SALA 2002'!$B:$U,MATCH($A60,'SALA 2002'!$A:$A,0),MATCH(G$1,'SALA 2002'!$B$1:$U$1,0))*POWER(INDEX('WPP 2024 середина года'!$B:$U,MATCH($A60,'WPP 2024 середина года'!$A:$A,0),MATCH(G$1,'WPP 2024 середина года'!$B$1:$U$1,0))/(1000*INDEX('SALA 2002'!$B:$U,MATCH($A60,'SALA 2002'!$A:$A,0),MATCH(G$1,'SALA 2002'!$B$1:$U$1,0))),($A60-1994)/7),INDEX('WPP 2024 середина года'!$B:$U,MATCH($A60,'WPP 2024 середина года'!$A:$A,0),MATCH(G$1,'WPP 2024 середина года'!$B$1:$U$1,0)))))</f>
        <v>1150</v>
      </c>
      <c r="H60" s="7">
        <f>IF($A60&lt;=1951,INDEX('SALA 1974'!$B:$U,MATCH($A60,'SALA 1974'!$A:$A,0),MATCH(H$1,'SALA 1974'!$B$1:$U$1,0)),IF($A60&lt;=1994,1000*INDEX('SALA 2002'!$B:$U,MATCH($A60,'SALA 2002'!$A:$A,0),MATCH(H$1,'SALA 2002'!$B$1:$U$1,0)),IF($A60&lt;=2000,1000*INDEX('SALA 2002'!$B:$U,MATCH($A60,'SALA 2002'!$A:$A,0),MATCH(H$1,'SALA 2002'!$B$1:$U$1,0))*POWER(INDEX('WPP 2024 середина года'!$B:$U,MATCH($A60,'WPP 2024 середина года'!$A:$A,0),MATCH(H$1,'WPP 2024 середина года'!$B$1:$U$1,0))/(1000*INDEX('SALA 2002'!$B:$U,MATCH($A60,'SALA 2002'!$A:$A,0),MATCH(H$1,'SALA 2002'!$B$1:$U$1,0))),($A60-1994)/7),INDEX('WPP 2024 середина года'!$B:$U,MATCH($A60,'WPP 2024 середина года'!$A:$A,0),MATCH(H$1,'WPP 2024 середина года'!$B$1:$U$1,0)))))</f>
        <v>6760</v>
      </c>
      <c r="I60" s="7">
        <f>IF($A60&lt;=1951,INDEX('SALA 1974'!$B:$U,MATCH($A60,'SALA 1974'!$A:$A,0),MATCH(I$1,'SALA 1974'!$B$1:$U$1,0)),IF($A60&lt;=1994,1000*INDEX('SALA 2002'!$B:$U,MATCH($A60,'SALA 2002'!$A:$A,0),MATCH(I$1,'SALA 2002'!$B$1:$U$1,0)),IF($A60&lt;=2000,1000*INDEX('SALA 2002'!$B:$U,MATCH($A60,'SALA 2002'!$A:$A,0),MATCH(I$1,'SALA 2002'!$B$1:$U$1,0))*POWER(INDEX('WPP 2024 середина года'!$B:$U,MATCH($A60,'WPP 2024 середина года'!$A:$A,0),MATCH(I$1,'WPP 2024 середина года'!$B$1:$U$1,0))/(1000*INDEX('SALA 2002'!$B:$U,MATCH($A60,'SALA 2002'!$A:$A,0),MATCH(I$1,'SALA 2002'!$B$1:$U$1,0))),($A60-1994)/7),INDEX('WPP 2024 середина года'!$B:$U,MATCH($A60,'WPP 2024 середина года'!$A:$A,0),MATCH(I$1,'WPP 2024 середина года'!$B$1:$U$1,0)))))</f>
        <v>2830</v>
      </c>
      <c r="J60" s="7">
        <f>IF($A60&lt;=1951,INDEX('SALA 1974'!$B:$U,MATCH($A60,'SALA 1974'!$A:$A,0),MATCH(J$1,'SALA 1974'!$B$1:$U$1,0)),IF($A60&lt;=1994,1000*INDEX('SALA 2002'!$B:$U,MATCH($A60,'SALA 2002'!$A:$A,0),MATCH(J$1,'SALA 2002'!$B$1:$U$1,0)),IF($A60&lt;=2000,1000*INDEX('SALA 2002'!$B:$U,MATCH($A60,'SALA 2002'!$A:$A,0),MATCH(J$1,'SALA 2002'!$B$1:$U$1,0))*POWER(INDEX('WPP 2024 середина года'!$B:$U,MATCH($A60,'WPP 2024 середина года'!$A:$A,0),MATCH(J$1,'WPP 2024 середина года'!$B$1:$U$1,0))/(1000*INDEX('SALA 2002'!$B:$U,MATCH($A60,'SALA 2002'!$A:$A,0),MATCH(J$1,'SALA 2002'!$B$1:$U$1,0))),($A60-1994)/7),INDEX('WPP 2024 середина года'!$B:$U,MATCH($A60,'WPP 2024 середина года'!$A:$A,0),MATCH(J$1,'WPP 2024 середина года'!$B$1:$U$1,0)))))</f>
        <v>4110</v>
      </c>
      <c r="K60" s="7">
        <f>IF($A60&lt;=1951,INDEX('SALA 1974'!$B:$U,MATCH($A60,'SALA 1974'!$A:$A,0),MATCH(K$1,'SALA 1974'!$B$1:$U$1,0)),IF($A60&lt;=1994,1000*INDEX('SALA 2002'!$B:$U,MATCH($A60,'SALA 2002'!$A:$A,0),MATCH(K$1,'SALA 2002'!$B$1:$U$1,0)),IF($A60&lt;=2000,1000*INDEX('SALA 2002'!$B:$U,MATCH($A60,'SALA 2002'!$A:$A,0),MATCH(K$1,'SALA 2002'!$B$1:$U$1,0))*POWER(INDEX('WPP 2024 середина года'!$B:$U,MATCH($A60,'WPP 2024 середина года'!$A:$A,0),MATCH(K$1,'WPP 2024 середина года'!$B$1:$U$1,0))/(1000*INDEX('SALA 2002'!$B:$U,MATCH($A60,'SALA 2002'!$A:$A,0),MATCH(K$1,'SALA 2002'!$B$1:$U$1,0))),($A60-1994)/7),INDEX('WPP 2024 середина года'!$B:$U,MATCH($A60,'WPP 2024 середина года'!$A:$A,0),MATCH(K$1,'WPP 2024 середина года'!$B$1:$U$1,0)))))</f>
        <v>2320</v>
      </c>
      <c r="L60" s="7">
        <f>IF($A60&lt;=1951,INDEX('SALA 1974'!$B:$U,MATCH($A60,'SALA 1974'!$A:$A,0),MATCH(L$1,'SALA 1974'!$B$1:$U$1,0)),IF($A60&lt;=1994,1000*INDEX('SALA 2002'!$B:$U,MATCH($A60,'SALA 2002'!$A:$A,0),MATCH(L$1,'SALA 2002'!$B$1:$U$1,0)),IF($A60&lt;=2000,1000*INDEX('SALA 2002'!$B:$U,MATCH($A60,'SALA 2002'!$A:$A,0),MATCH(L$1,'SALA 2002'!$B$1:$U$1,0))*POWER(INDEX('WPP 2024 середина года'!$B:$U,MATCH($A60,'WPP 2024 середина года'!$A:$A,0),MATCH(L$1,'WPP 2024 середина года'!$B$1:$U$1,0))/(1000*INDEX('SALA 2002'!$B:$U,MATCH($A60,'SALA 2002'!$A:$A,0),MATCH(L$1,'SALA 2002'!$B$1:$U$1,0))),($A60-1994)/7),INDEX('WPP 2024 середина года'!$B:$U,MATCH($A60,'WPP 2024 середина года'!$A:$A,0),MATCH(L$1,'WPP 2024 середина года'!$B$1:$U$1,0)))))</f>
        <v>3610</v>
      </c>
      <c r="M60" s="7">
        <f>IF($A60&lt;=1951,INDEX('SALA 1974'!$B:$U,MATCH($A60,'SALA 1974'!$A:$A,0),MATCH(M$1,'SALA 1974'!$B$1:$U$1,0)),IF($A60&lt;=1994,1000*INDEX('SALA 2002'!$B:$U,MATCH($A60,'SALA 2002'!$A:$A,0),MATCH(M$1,'SALA 2002'!$B$1:$U$1,0)),IF($A60&lt;=2000,1000*INDEX('SALA 2002'!$B:$U,MATCH($A60,'SALA 2002'!$A:$A,0),MATCH(M$1,'SALA 2002'!$B$1:$U$1,0))*POWER(INDEX('WPP 2024 середина года'!$B:$U,MATCH($A60,'WPP 2024 середина года'!$A:$A,0),MATCH(M$1,'WPP 2024 середина года'!$B$1:$U$1,0))/(1000*INDEX('SALA 2002'!$B:$U,MATCH($A60,'SALA 2002'!$A:$A,0),MATCH(M$1,'SALA 2002'!$B$1:$U$1,0))),($A60-1994)/7),INDEX('WPP 2024 середина года'!$B:$U,MATCH($A60,'WPP 2024 середина года'!$A:$A,0),MATCH(M$1,'WPP 2024 середина года'!$B$1:$U$1,0)))))</f>
        <v>3700</v>
      </c>
      <c r="N60" s="7">
        <f>IF($A60&lt;=1951,INDEX('SALA 1974'!$B:$U,MATCH($A60,'SALA 1974'!$A:$A,0),MATCH(N$1,'SALA 1974'!$B$1:$U$1,0)),IF($A60&lt;=1994,1000*INDEX('SALA 2002'!$B:$U,MATCH($A60,'SALA 2002'!$A:$A,0),MATCH(N$1,'SALA 2002'!$B$1:$U$1,0)),IF($A60&lt;=2000,1000*INDEX('SALA 2002'!$B:$U,MATCH($A60,'SALA 2002'!$A:$A,0),MATCH(N$1,'SALA 2002'!$B$1:$U$1,0))*POWER(INDEX('WPP 2024 середина года'!$B:$U,MATCH($A60,'WPP 2024 середина года'!$A:$A,0),MATCH(N$1,'WPP 2024 середина года'!$B$1:$U$1,0))/(1000*INDEX('SALA 2002'!$B:$U,MATCH($A60,'SALA 2002'!$A:$A,0),MATCH(N$1,'SALA 2002'!$B$1:$U$1,0))),($A60-1994)/7),INDEX('WPP 2024 середина года'!$B:$U,MATCH($A60,'WPP 2024 середина года'!$A:$A,0),MATCH(N$1,'WPP 2024 середина года'!$B$1:$U$1,0)))))</f>
        <v>1750</v>
      </c>
      <c r="O60" s="7">
        <f>IF($A60&lt;=1951,INDEX('SALA 1974'!$B:$U,MATCH($A60,'SALA 1974'!$A:$A,0),MATCH(O$1,'SALA 1974'!$B$1:$U$1,0)),IF($A60&lt;=1994,1000*INDEX('SALA 2002'!$B:$U,MATCH($A60,'SALA 2002'!$A:$A,0),MATCH(O$1,'SALA 2002'!$B$1:$U$1,0)),IF($A60&lt;=2000,1000*INDEX('SALA 2002'!$B:$U,MATCH($A60,'SALA 2002'!$A:$A,0),MATCH(O$1,'SALA 2002'!$B$1:$U$1,0))*POWER(INDEX('WPP 2024 середина года'!$B:$U,MATCH($A60,'WPP 2024 середина года'!$A:$A,0),MATCH(O$1,'WPP 2024 середина года'!$B$1:$U$1,0))/(1000*INDEX('SALA 2002'!$B:$U,MATCH($A60,'SALA 2002'!$A:$A,0),MATCH(O$1,'SALA 2002'!$B$1:$U$1,0))),($A60-1994)/7),INDEX('WPP 2024 середина года'!$B:$U,MATCH($A60,'WPP 2024 середина года'!$A:$A,0),MATCH(O$1,'WPP 2024 середина года'!$B$1:$U$1,0)))))</f>
        <v>33700</v>
      </c>
      <c r="P60" s="7">
        <f>IF($A60&lt;=1951,INDEX('SALA 1974'!$B:$U,MATCH($A60,'SALA 1974'!$A:$A,0),MATCH(P$1,'SALA 1974'!$B$1:$U$1,0)),IF($A60&lt;=1994,1000*INDEX('SALA 2002'!$B:$U,MATCH($A60,'SALA 2002'!$A:$A,0),MATCH(P$1,'SALA 2002'!$B$1:$U$1,0)),IF($A60&lt;=2000,1000*INDEX('SALA 2002'!$B:$U,MATCH($A60,'SALA 2002'!$A:$A,0),MATCH(P$1,'SALA 2002'!$B$1:$U$1,0))*POWER(INDEX('WPP 2024 середина года'!$B:$U,MATCH($A60,'WPP 2024 середина года'!$A:$A,0),MATCH(P$1,'WPP 2024 середина года'!$B$1:$U$1,0))/(1000*INDEX('SALA 2002'!$B:$U,MATCH($A60,'SALA 2002'!$A:$A,0),MATCH(P$1,'SALA 2002'!$B$1:$U$1,0))),($A60-1994)/7),INDEX('WPP 2024 середина года'!$B:$U,MATCH($A60,'WPP 2024 середина года'!$A:$A,0),MATCH(P$1,'WPP 2024 середина года'!$B$1:$U$1,0)))))</f>
        <v>1330</v>
      </c>
      <c r="Q60" s="7">
        <f>IF($A60&lt;=1951,INDEX('SALA 1974'!$B:$U,MATCH($A60,'SALA 1974'!$A:$A,0),MATCH(Q$1,'SALA 1974'!$B$1:$U$1,0)),IF($A60&lt;=1994,1000*INDEX('SALA 2002'!$B:$U,MATCH($A60,'SALA 2002'!$A:$A,0),MATCH(Q$1,'SALA 2002'!$B$1:$U$1,0)),IF($A60&lt;=2000,1000*INDEX('SALA 2002'!$B:$U,MATCH($A60,'SALA 2002'!$A:$A,0),MATCH(Q$1,'SALA 2002'!$B$1:$U$1,0))*POWER(INDEX('WPP 2024 середина года'!$B:$U,MATCH($A60,'WPP 2024 середина года'!$A:$A,0),MATCH(Q$1,'WPP 2024 середина года'!$B$1:$U$1,0))/(1000*INDEX('SALA 2002'!$B:$U,MATCH($A60,'SALA 2002'!$A:$A,0),MATCH(Q$1,'SALA 2002'!$B$1:$U$1,0))),($A60-1994)/7),INDEX('WPP 2024 середина года'!$B:$U,MATCH($A60,'WPP 2024 середина года'!$A:$A,0),MATCH(Q$1,'WPP 2024 середина года'!$B$1:$U$1,0)))))</f>
        <v>1000</v>
      </c>
      <c r="R60" s="7">
        <f>IF($A60&lt;=1951,INDEX('SALA 1974'!$B:$U,MATCH($A60,'SALA 1974'!$A:$A,0),MATCH(R$1,'SALA 1974'!$B$1:$U$1,0)),IF($A60&lt;=1994,1000*INDEX('SALA 2002'!$B:$U,MATCH($A60,'SALA 2002'!$A:$A,0),MATCH(R$1,'SALA 2002'!$B$1:$U$1,0)),IF($A60&lt;=2000,1000*INDEX('SALA 2002'!$B:$U,MATCH($A60,'SALA 2002'!$A:$A,0),MATCH(R$1,'SALA 2002'!$B$1:$U$1,0))*POWER(INDEX('WPP 2024 середина года'!$B:$U,MATCH($A60,'WPP 2024 середина года'!$A:$A,0),MATCH(R$1,'WPP 2024 середина года'!$B$1:$U$1,0))/(1000*INDEX('SALA 2002'!$B:$U,MATCH($A60,'SALA 2002'!$A:$A,0),MATCH(R$1,'SALA 2002'!$B$1:$U$1,0))),($A60-1994)/7),INDEX('WPP 2024 середина года'!$B:$U,MATCH($A60,'WPP 2024 середина года'!$A:$A,0),MATCH(R$1,'WPP 2024 середина года'!$B$1:$U$1,0)))))</f>
        <v>1680</v>
      </c>
      <c r="S60" s="7">
        <f>IF($A60&lt;=1951,INDEX('SALA 1974'!$B:$U,MATCH($A60,'SALA 1974'!$A:$A,0),MATCH(S$1,'SALA 1974'!$B$1:$U$1,0)),IF($A60&lt;=1994,1000*INDEX('SALA 2002'!$B:$U,MATCH($A60,'SALA 2002'!$A:$A,0),MATCH(S$1,'SALA 2002'!$B$1:$U$1,0)),IF($A60&lt;=2000,1000*INDEX('SALA 2002'!$B:$U,MATCH($A60,'SALA 2002'!$A:$A,0),MATCH(S$1,'SALA 2002'!$B$1:$U$1,0))*POWER(INDEX('WPP 2024 середина года'!$B:$U,MATCH($A60,'WPP 2024 середина года'!$A:$A,0),MATCH(S$1,'WPP 2024 середина года'!$B$1:$U$1,0))/(1000*INDEX('SALA 2002'!$B:$U,MATCH($A60,'SALA 2002'!$A:$A,0),MATCH(S$1,'SALA 2002'!$B$1:$U$1,0))),($A60-1994)/7),INDEX('WPP 2024 середина года'!$B:$U,MATCH($A60,'WPP 2024 середина года'!$A:$A,0),MATCH(S$1,'WPP 2024 середина года'!$B$1:$U$1,0)))))</f>
        <v>9480</v>
      </c>
      <c r="T60" s="7">
        <f>IF($A60&lt;=1951,INDEX('SALA 1974'!$B:$U,MATCH($A60,'SALA 1974'!$A:$A,0),MATCH(T$1,'SALA 1974'!$B$1:$U$1,0)),IF($A60&lt;=1994,1000*INDEX('SALA 2002'!$B:$U,MATCH($A60,'SALA 2002'!$A:$A,0),MATCH(T$1,'SALA 2002'!$B$1:$U$1,0)),IF($A60&lt;=2000,1000*INDEX('SALA 2002'!$B:$U,MATCH($A60,'SALA 2002'!$A:$A,0),MATCH(T$1,'SALA 2002'!$B$1:$U$1,0))*POWER(INDEX('WPP 2024 середина года'!$B:$U,MATCH($A60,'WPP 2024 середина года'!$A:$A,0),MATCH(T$1,'WPP 2024 середина года'!$B$1:$U$1,0))/(1000*INDEX('SALA 2002'!$B:$U,MATCH($A60,'SALA 2002'!$A:$A,0),MATCH(T$1,'SALA 2002'!$B$1:$U$1,0))),($A60-1994)/7),INDEX('WPP 2024 середина года'!$B:$U,MATCH($A60,'WPP 2024 середина года'!$A:$A,0),MATCH(T$1,'WPP 2024 середина года'!$B$1:$U$1,0)))))</f>
        <v>2460</v>
      </c>
      <c r="U60" s="7">
        <f>IF($A60&lt;=1951,INDEX('SALA 1974'!$B:$U,MATCH($A60,'SALA 1974'!$A:$A,0),MATCH(U$1,'SALA 1974'!$B$1:$U$1,0)),IF($A60&lt;=1994,1000*INDEX('SALA 2002'!$B:$U,MATCH($A60,'SALA 2002'!$A:$A,0),MATCH(U$1,'SALA 2002'!$B$1:$U$1,0)),IF($A60&lt;=2000,1000*INDEX('SALA 2002'!$B:$U,MATCH($A60,'SALA 2002'!$A:$A,0),MATCH(U$1,'SALA 2002'!$B$1:$U$1,0))*POWER(INDEX('WPP 2024 середина года'!$B:$U,MATCH($A60,'WPP 2024 середина года'!$A:$A,0),MATCH(U$1,'WPP 2024 середина года'!$B$1:$U$1,0))/(1000*INDEX('SALA 2002'!$B:$U,MATCH($A60,'SALA 2002'!$A:$A,0),MATCH(U$1,'SALA 2002'!$B$1:$U$1,0))),($A60-1994)/7),INDEX('WPP 2024 середина года'!$B:$U,MATCH($A60,'WPP 2024 середина года'!$A:$A,0),MATCH(U$1,'WPP 2024 середина года'!$B$1:$U$1,0)))))</f>
        <v>6830</v>
      </c>
    </row>
    <row r="61" spans="1:21" x14ac:dyDescent="0.25">
      <c r="A61" s="5">
        <f t="shared" si="0"/>
        <v>1959</v>
      </c>
      <c r="B61" s="7">
        <f>IF($A61&lt;=1951,INDEX('SALA 1974'!$B:$U,MATCH($A61,'SALA 1974'!$A:$A,0),MATCH(B$1,'SALA 1974'!$B$1:$U$1,0)),IF($A61&lt;=1994,1000*INDEX('SALA 2002'!$B:$U,MATCH($A61,'SALA 2002'!$A:$A,0),MATCH(B$1,'SALA 2002'!$B$1:$U$1,0)),IF($A61&lt;=2000,1000*INDEX('SALA 2002'!$B:$U,MATCH($A61,'SALA 2002'!$A:$A,0),MATCH(B$1,'SALA 2002'!$B$1:$U$1,0))*POWER(INDEX('WPP 2024 середина года'!$B:$U,MATCH($A61,'WPP 2024 середина года'!$A:$A,0),MATCH(B$1,'WPP 2024 середина года'!$B$1:$U$1,0))/(1000*INDEX('SALA 2002'!$B:$U,MATCH($A61,'SALA 2002'!$A:$A,0),MATCH(B$1,'SALA 2002'!$B$1:$U$1,0))),($A61-1994)/7),INDEX('WPP 2024 середина года'!$B:$U,MATCH($A61,'WPP 2024 середина года'!$A:$A,0),MATCH(B$1,'WPP 2024 середина года'!$B$1:$U$1,0)))))</f>
        <v>19660</v>
      </c>
      <c r="C61" s="7">
        <f>IF($A61&lt;=1951,INDEX('SALA 1974'!$B:$U,MATCH($A61,'SALA 1974'!$A:$A,0),MATCH(C$1,'SALA 1974'!$B$1:$U$1,0)),IF($A61&lt;=1994,1000*INDEX('SALA 2002'!$B:$U,MATCH($A61,'SALA 2002'!$A:$A,0),MATCH(C$1,'SALA 2002'!$B$1:$U$1,0)),IF($A61&lt;=2000,1000*INDEX('SALA 2002'!$B:$U,MATCH($A61,'SALA 2002'!$A:$A,0),MATCH(C$1,'SALA 2002'!$B$1:$U$1,0))*POWER(INDEX('WPP 2024 середина года'!$B:$U,MATCH($A61,'WPP 2024 середина года'!$A:$A,0),MATCH(C$1,'WPP 2024 середина года'!$B$1:$U$1,0))/(1000*INDEX('SALA 2002'!$B:$U,MATCH($A61,'SALA 2002'!$A:$A,0),MATCH(C$1,'SALA 2002'!$B$1:$U$1,0))),($A61-1994)/7),INDEX('WPP 2024 середина года'!$B:$U,MATCH($A61,'WPP 2024 середина года'!$A:$A,0),MATCH(C$1,'WPP 2024 середина года'!$B$1:$U$1,0)))))</f>
        <v>3700</v>
      </c>
      <c r="D61" s="7">
        <f>IF($A61&lt;=1951,INDEX('SALA 1974'!$B:$U,MATCH($A61,'SALA 1974'!$A:$A,0),MATCH(D$1,'SALA 1974'!$B$1:$U$1,0)),IF($A61&lt;=1994,1000*INDEX('SALA 2002'!$B:$U,MATCH($A61,'SALA 2002'!$A:$A,0),MATCH(D$1,'SALA 2002'!$B$1:$U$1,0)),IF($A61&lt;=2000,1000*INDEX('SALA 2002'!$B:$U,MATCH($A61,'SALA 2002'!$A:$A,0),MATCH(D$1,'SALA 2002'!$B$1:$U$1,0))*POWER(INDEX('WPP 2024 середина года'!$B:$U,MATCH($A61,'WPP 2024 середина года'!$A:$A,0),MATCH(D$1,'WPP 2024 середина года'!$B$1:$U$1,0))/(1000*INDEX('SALA 2002'!$B:$U,MATCH($A61,'SALA 2002'!$A:$A,0),MATCH(D$1,'SALA 2002'!$B$1:$U$1,0))),($A61-1994)/7),INDEX('WPP 2024 середина года'!$B:$U,MATCH($A61,'WPP 2024 середина года'!$A:$A,0),MATCH(D$1,'WPP 2024 середина года'!$B$1:$U$1,0)))))</f>
        <v>67700</v>
      </c>
      <c r="E61" s="7">
        <f>IF($A61&lt;=1951,INDEX('SALA 1974'!$B:$U,MATCH($A61,'SALA 1974'!$A:$A,0),MATCH(E$1,'SALA 1974'!$B$1:$U$1,0)),IF($A61&lt;=1994,1000*INDEX('SALA 2002'!$B:$U,MATCH($A61,'SALA 2002'!$A:$A,0),MATCH(E$1,'SALA 2002'!$B$1:$U$1,0)),IF($A61&lt;=2000,1000*INDEX('SALA 2002'!$B:$U,MATCH($A61,'SALA 2002'!$A:$A,0),MATCH(E$1,'SALA 2002'!$B$1:$U$1,0))*POWER(INDEX('WPP 2024 середина года'!$B:$U,MATCH($A61,'WPP 2024 середина года'!$A:$A,0),MATCH(E$1,'WPP 2024 середина года'!$B$1:$U$1,0))/(1000*INDEX('SALA 2002'!$B:$U,MATCH($A61,'SALA 2002'!$A:$A,0),MATCH(E$1,'SALA 2002'!$B$1:$U$1,0))),($A61-1994)/7),INDEX('WPP 2024 середина года'!$B:$U,MATCH($A61,'WPP 2024 середина года'!$A:$A,0),MATCH(E$1,'WPP 2024 середина года'!$B$1:$U$1,0)))))</f>
        <v>7490</v>
      </c>
      <c r="F61" s="7">
        <f>IF($A61&lt;=1947,INDEX('SALA 1974'!$B:$U,MATCH($A61,'SALA 1974'!$A:$A,0),MATCH(F$1,'SALA 1974'!$B$1:$U$1,0)),IF($A61&lt;=1994,1000*INDEX('SALA 2002'!$B:$U,MATCH($A61,'SALA 2002'!$A:$A,0),MATCH(F$1,'SALA 2002'!$B$1:$U$1,0)),IF($A61&lt;=2000,1000*INDEX('SALA 2002'!$B:$U,MATCH($A61,'SALA 2002'!$A:$A,0),MATCH(F$1,'SALA 2002'!$B$1:$U$1,0))*POWER(INDEX('WPP 2024 середина года'!$B:$U,MATCH($A61,'WPP 2024 середина года'!$A:$A,0),MATCH(F$1,'WPP 2024 середина года'!$B$1:$U$1,0))/(1000*INDEX('SALA 2002'!$B:$U,MATCH($A61,'SALA 2002'!$A:$A,0),MATCH(F$1,'SALA 2002'!$B$1:$U$1,0))),($A61-1994)/7),INDEX('WPP 2024 середина года'!$B:$U,MATCH($A61,'WPP 2024 середина года'!$A:$A,0),MATCH(F$1,'WPP 2024 середина года'!$B$1:$U$1,0)))))</f>
        <v>14940</v>
      </c>
      <c r="G61" s="7">
        <f>IF($A61&lt;=1951,INDEX('SALA 1974'!$B:$U,MATCH($A61,'SALA 1974'!$A:$A,0),MATCH(G$1,'SALA 1974'!$B$1:$U$1,0)),IF($A61&lt;=1994,1000*INDEX('SALA 2002'!$B:$U,MATCH($A61,'SALA 2002'!$A:$A,0),MATCH(G$1,'SALA 2002'!$B$1:$U$1,0)),IF($A61&lt;=2000,1000*INDEX('SALA 2002'!$B:$U,MATCH($A61,'SALA 2002'!$A:$A,0),MATCH(G$1,'SALA 2002'!$B$1:$U$1,0))*POWER(INDEX('WPP 2024 середина года'!$B:$U,MATCH($A61,'WPP 2024 середина года'!$A:$A,0),MATCH(G$1,'WPP 2024 середина года'!$B$1:$U$1,0))/(1000*INDEX('SALA 2002'!$B:$U,MATCH($A61,'SALA 2002'!$A:$A,0),MATCH(G$1,'SALA 2002'!$B$1:$U$1,0))),($A61-1994)/7),INDEX('WPP 2024 середина года'!$B:$U,MATCH($A61,'WPP 2024 середина года'!$A:$A,0),MATCH(G$1,'WPP 2024 середина года'!$B$1:$U$1,0)))))</f>
        <v>1190</v>
      </c>
      <c r="H61" s="7">
        <f>IF($A61&lt;=1951,INDEX('SALA 1974'!$B:$U,MATCH($A61,'SALA 1974'!$A:$A,0),MATCH(H$1,'SALA 1974'!$B$1:$U$1,0)),IF($A61&lt;=1994,1000*INDEX('SALA 2002'!$B:$U,MATCH($A61,'SALA 2002'!$A:$A,0),MATCH(H$1,'SALA 2002'!$B$1:$U$1,0)),IF($A61&lt;=2000,1000*INDEX('SALA 2002'!$B:$U,MATCH($A61,'SALA 2002'!$A:$A,0),MATCH(H$1,'SALA 2002'!$B$1:$U$1,0))*POWER(INDEX('WPP 2024 середина года'!$B:$U,MATCH($A61,'WPP 2024 середина года'!$A:$A,0),MATCH(H$1,'WPP 2024 середина года'!$B$1:$U$1,0))/(1000*INDEX('SALA 2002'!$B:$U,MATCH($A61,'SALA 2002'!$A:$A,0),MATCH(H$1,'SALA 2002'!$B$1:$U$1,0))),($A61-1994)/7),INDEX('WPP 2024 середина года'!$B:$U,MATCH($A61,'WPP 2024 середина года'!$A:$A,0),MATCH(H$1,'WPP 2024 середина года'!$B$1:$U$1,0)))))</f>
        <v>6900</v>
      </c>
      <c r="I61" s="7">
        <f>IF($A61&lt;=1951,INDEX('SALA 1974'!$B:$U,MATCH($A61,'SALA 1974'!$A:$A,0),MATCH(I$1,'SALA 1974'!$B$1:$U$1,0)),IF($A61&lt;=1994,1000*INDEX('SALA 2002'!$B:$U,MATCH($A61,'SALA 2002'!$A:$A,0),MATCH(I$1,'SALA 2002'!$B$1:$U$1,0)),IF($A61&lt;=2000,1000*INDEX('SALA 2002'!$B:$U,MATCH($A61,'SALA 2002'!$A:$A,0),MATCH(I$1,'SALA 2002'!$B$1:$U$1,0))*POWER(INDEX('WPP 2024 середина года'!$B:$U,MATCH($A61,'WPP 2024 середина года'!$A:$A,0),MATCH(I$1,'WPP 2024 середина года'!$B$1:$U$1,0))/(1000*INDEX('SALA 2002'!$B:$U,MATCH($A61,'SALA 2002'!$A:$A,0),MATCH(I$1,'SALA 2002'!$B$1:$U$1,0))),($A61-1994)/7),INDEX('WPP 2024 середина года'!$B:$U,MATCH($A61,'WPP 2024 середина года'!$A:$A,0),MATCH(I$1,'WPP 2024 середина года'!$B$1:$U$1,0)))))</f>
        <v>2930</v>
      </c>
      <c r="J61" s="7">
        <f>IF($A61&lt;=1951,INDEX('SALA 1974'!$B:$U,MATCH($A61,'SALA 1974'!$A:$A,0),MATCH(J$1,'SALA 1974'!$B$1:$U$1,0)),IF($A61&lt;=1994,1000*INDEX('SALA 2002'!$B:$U,MATCH($A61,'SALA 2002'!$A:$A,0),MATCH(J$1,'SALA 2002'!$B$1:$U$1,0)),IF($A61&lt;=2000,1000*INDEX('SALA 2002'!$B:$U,MATCH($A61,'SALA 2002'!$A:$A,0),MATCH(J$1,'SALA 2002'!$B$1:$U$1,0))*POWER(INDEX('WPP 2024 середина года'!$B:$U,MATCH($A61,'WPP 2024 середина года'!$A:$A,0),MATCH(J$1,'WPP 2024 середина года'!$B$1:$U$1,0))/(1000*INDEX('SALA 2002'!$B:$U,MATCH($A61,'SALA 2002'!$A:$A,0),MATCH(J$1,'SALA 2002'!$B$1:$U$1,0))),($A61-1994)/7),INDEX('WPP 2024 середина года'!$B:$U,MATCH($A61,'WPP 2024 середина года'!$A:$A,0),MATCH(J$1,'WPP 2024 середина года'!$B$1:$U$1,0)))))</f>
        <v>4230</v>
      </c>
      <c r="K61" s="7">
        <f>IF($A61&lt;=1951,INDEX('SALA 1974'!$B:$U,MATCH($A61,'SALA 1974'!$A:$A,0),MATCH(K$1,'SALA 1974'!$B$1:$U$1,0)),IF($A61&lt;=1994,1000*INDEX('SALA 2002'!$B:$U,MATCH($A61,'SALA 2002'!$A:$A,0),MATCH(K$1,'SALA 2002'!$B$1:$U$1,0)),IF($A61&lt;=2000,1000*INDEX('SALA 2002'!$B:$U,MATCH($A61,'SALA 2002'!$A:$A,0),MATCH(K$1,'SALA 2002'!$B$1:$U$1,0))*POWER(INDEX('WPP 2024 середина года'!$B:$U,MATCH($A61,'WPP 2024 середина года'!$A:$A,0),MATCH(K$1,'WPP 2024 середина года'!$B$1:$U$1,0))/(1000*INDEX('SALA 2002'!$B:$U,MATCH($A61,'SALA 2002'!$A:$A,0),MATCH(K$1,'SALA 2002'!$B$1:$U$1,0))),($A61-1994)/7),INDEX('WPP 2024 середина года'!$B:$U,MATCH($A61,'WPP 2024 середина года'!$A:$A,0),MATCH(K$1,'WPP 2024 середина года'!$B$1:$U$1,0)))))</f>
        <v>2390</v>
      </c>
      <c r="L61" s="7">
        <f>IF($A61&lt;=1951,INDEX('SALA 1974'!$B:$U,MATCH($A61,'SALA 1974'!$A:$A,0),MATCH(L$1,'SALA 1974'!$B$1:$U$1,0)),IF($A61&lt;=1994,1000*INDEX('SALA 2002'!$B:$U,MATCH($A61,'SALA 2002'!$A:$A,0),MATCH(L$1,'SALA 2002'!$B$1:$U$1,0)),IF($A61&lt;=2000,1000*INDEX('SALA 2002'!$B:$U,MATCH($A61,'SALA 2002'!$A:$A,0),MATCH(L$1,'SALA 2002'!$B$1:$U$1,0))*POWER(INDEX('WPP 2024 середина года'!$B:$U,MATCH($A61,'WPP 2024 середина года'!$A:$A,0),MATCH(L$1,'WPP 2024 середина года'!$B$1:$U$1,0))/(1000*INDEX('SALA 2002'!$B:$U,MATCH($A61,'SALA 2002'!$A:$A,0),MATCH(L$1,'SALA 2002'!$B$1:$U$1,0))),($A61-1994)/7),INDEX('WPP 2024 середина года'!$B:$U,MATCH($A61,'WPP 2024 середина года'!$A:$A,0),MATCH(L$1,'WPP 2024 середина года'!$B$1:$U$1,0)))))</f>
        <v>3720</v>
      </c>
      <c r="M61" s="7">
        <f>IF($A61&lt;=1951,INDEX('SALA 1974'!$B:$U,MATCH($A61,'SALA 1974'!$A:$A,0),MATCH(M$1,'SALA 1974'!$B$1:$U$1,0)),IF($A61&lt;=1994,1000*INDEX('SALA 2002'!$B:$U,MATCH($A61,'SALA 2002'!$A:$A,0),MATCH(M$1,'SALA 2002'!$B$1:$U$1,0)),IF($A61&lt;=2000,1000*INDEX('SALA 2002'!$B:$U,MATCH($A61,'SALA 2002'!$A:$A,0),MATCH(M$1,'SALA 2002'!$B$1:$U$1,0))*POWER(INDEX('WPP 2024 середина года'!$B:$U,MATCH($A61,'WPP 2024 середина года'!$A:$A,0),MATCH(M$1,'WPP 2024 середина года'!$B$1:$U$1,0))/(1000*INDEX('SALA 2002'!$B:$U,MATCH($A61,'SALA 2002'!$A:$A,0),MATCH(M$1,'SALA 2002'!$B$1:$U$1,0))),($A61-1994)/7),INDEX('WPP 2024 середина года'!$B:$U,MATCH($A61,'WPP 2024 середина года'!$A:$A,0),MATCH(M$1,'WPP 2024 середина года'!$B$1:$U$1,0)))))</f>
        <v>3670</v>
      </c>
      <c r="N61" s="7">
        <f>IF($A61&lt;=1951,INDEX('SALA 1974'!$B:$U,MATCH($A61,'SALA 1974'!$A:$A,0),MATCH(N$1,'SALA 1974'!$B$1:$U$1,0)),IF($A61&lt;=1994,1000*INDEX('SALA 2002'!$B:$U,MATCH($A61,'SALA 2002'!$A:$A,0),MATCH(N$1,'SALA 2002'!$B$1:$U$1,0)),IF($A61&lt;=2000,1000*INDEX('SALA 2002'!$B:$U,MATCH($A61,'SALA 2002'!$A:$A,0),MATCH(N$1,'SALA 2002'!$B$1:$U$1,0))*POWER(INDEX('WPP 2024 середина года'!$B:$U,MATCH($A61,'WPP 2024 середина года'!$A:$A,0),MATCH(N$1,'WPP 2024 середина года'!$B$1:$U$1,0))/(1000*INDEX('SALA 2002'!$B:$U,MATCH($A61,'SALA 2002'!$A:$A,0),MATCH(N$1,'SALA 2002'!$B$1:$U$1,0))),($A61-1994)/7),INDEX('WPP 2024 середина года'!$B:$U,MATCH($A61,'WPP 2024 середина года'!$A:$A,0),MATCH(N$1,'WPP 2024 середина года'!$B$1:$U$1,0)))))</f>
        <v>1800</v>
      </c>
      <c r="O61" s="7">
        <f>IF($A61&lt;=1951,INDEX('SALA 1974'!$B:$U,MATCH($A61,'SALA 1974'!$A:$A,0),MATCH(O$1,'SALA 1974'!$B$1:$U$1,0)),IF($A61&lt;=1994,1000*INDEX('SALA 2002'!$B:$U,MATCH($A61,'SALA 2002'!$A:$A,0),MATCH(O$1,'SALA 2002'!$B$1:$U$1,0)),IF($A61&lt;=2000,1000*INDEX('SALA 2002'!$B:$U,MATCH($A61,'SALA 2002'!$A:$A,0),MATCH(O$1,'SALA 2002'!$B$1:$U$1,0))*POWER(INDEX('WPP 2024 середина года'!$B:$U,MATCH($A61,'WPP 2024 середина года'!$A:$A,0),MATCH(O$1,'WPP 2024 середина года'!$B$1:$U$1,0))/(1000*INDEX('SALA 2002'!$B:$U,MATCH($A61,'SALA 2002'!$A:$A,0),MATCH(O$1,'SALA 2002'!$B$1:$U$1,0))),($A61-1994)/7),INDEX('WPP 2024 середина года'!$B:$U,MATCH($A61,'WPP 2024 середина года'!$A:$A,0),MATCH(O$1,'WPP 2024 середина года'!$B$1:$U$1,0)))))</f>
        <v>34860</v>
      </c>
      <c r="P61" s="7">
        <f>IF($A61&lt;=1951,INDEX('SALA 1974'!$B:$U,MATCH($A61,'SALA 1974'!$A:$A,0),MATCH(P$1,'SALA 1974'!$B$1:$U$1,0)),IF($A61&lt;=1994,1000*INDEX('SALA 2002'!$B:$U,MATCH($A61,'SALA 2002'!$A:$A,0),MATCH(P$1,'SALA 2002'!$B$1:$U$1,0)),IF($A61&lt;=2000,1000*INDEX('SALA 2002'!$B:$U,MATCH($A61,'SALA 2002'!$A:$A,0),MATCH(P$1,'SALA 2002'!$B$1:$U$1,0))*POWER(INDEX('WPP 2024 середина года'!$B:$U,MATCH($A61,'WPP 2024 середина года'!$A:$A,0),MATCH(P$1,'WPP 2024 середина года'!$B$1:$U$1,0))/(1000*INDEX('SALA 2002'!$B:$U,MATCH($A61,'SALA 2002'!$A:$A,0),MATCH(P$1,'SALA 2002'!$B$1:$U$1,0))),($A61-1994)/7),INDEX('WPP 2024 середина года'!$B:$U,MATCH($A61,'WPP 2024 середина года'!$A:$A,0),MATCH(P$1,'WPP 2024 середина года'!$B$1:$U$1,0)))))</f>
        <v>1370</v>
      </c>
      <c r="Q61" s="7">
        <f>IF($A61&lt;=1951,INDEX('SALA 1974'!$B:$U,MATCH($A61,'SALA 1974'!$A:$A,0),MATCH(Q$1,'SALA 1974'!$B$1:$U$1,0)),IF($A61&lt;=1994,1000*INDEX('SALA 2002'!$B:$U,MATCH($A61,'SALA 2002'!$A:$A,0),MATCH(Q$1,'SALA 2002'!$B$1:$U$1,0)),IF($A61&lt;=2000,1000*INDEX('SALA 2002'!$B:$U,MATCH($A61,'SALA 2002'!$A:$A,0),MATCH(Q$1,'SALA 2002'!$B$1:$U$1,0))*POWER(INDEX('WPP 2024 середина года'!$B:$U,MATCH($A61,'WPP 2024 середина года'!$A:$A,0),MATCH(Q$1,'WPP 2024 середина года'!$B$1:$U$1,0))/(1000*INDEX('SALA 2002'!$B:$U,MATCH($A61,'SALA 2002'!$A:$A,0),MATCH(Q$1,'SALA 2002'!$B$1:$U$1,0))),($A61-1994)/7),INDEX('WPP 2024 середина года'!$B:$U,MATCH($A61,'WPP 2024 середина года'!$A:$A,0),MATCH(Q$1,'WPP 2024 середина года'!$B$1:$U$1,0)))))</f>
        <v>1030</v>
      </c>
      <c r="R61" s="7">
        <f>IF($A61&lt;=1951,INDEX('SALA 1974'!$B:$U,MATCH($A61,'SALA 1974'!$A:$A,0),MATCH(R$1,'SALA 1974'!$B$1:$U$1,0)),IF($A61&lt;=1994,1000*INDEX('SALA 2002'!$B:$U,MATCH($A61,'SALA 2002'!$A:$A,0),MATCH(R$1,'SALA 2002'!$B$1:$U$1,0)),IF($A61&lt;=2000,1000*INDEX('SALA 2002'!$B:$U,MATCH($A61,'SALA 2002'!$A:$A,0),MATCH(R$1,'SALA 2002'!$B$1:$U$1,0))*POWER(INDEX('WPP 2024 середина года'!$B:$U,MATCH($A61,'WPP 2024 середина года'!$A:$A,0),MATCH(R$1,'WPP 2024 середина года'!$B$1:$U$1,0))/(1000*INDEX('SALA 2002'!$B:$U,MATCH($A61,'SALA 2002'!$A:$A,0),MATCH(R$1,'SALA 2002'!$B$1:$U$1,0))),($A61-1994)/7),INDEX('WPP 2024 середина года'!$B:$U,MATCH($A61,'WPP 2024 середина года'!$A:$A,0),MATCH(R$1,'WPP 2024 середина года'!$B$1:$U$1,0)))))</f>
        <v>1710</v>
      </c>
      <c r="S61" s="7">
        <f>IF($A61&lt;=1951,INDEX('SALA 1974'!$B:$U,MATCH($A61,'SALA 1974'!$A:$A,0),MATCH(S$1,'SALA 1974'!$B$1:$U$1,0)),IF($A61&lt;=1994,1000*INDEX('SALA 2002'!$B:$U,MATCH($A61,'SALA 2002'!$A:$A,0),MATCH(S$1,'SALA 2002'!$B$1:$U$1,0)),IF($A61&lt;=2000,1000*INDEX('SALA 2002'!$B:$U,MATCH($A61,'SALA 2002'!$A:$A,0),MATCH(S$1,'SALA 2002'!$B$1:$U$1,0))*POWER(INDEX('WPP 2024 середина года'!$B:$U,MATCH($A61,'WPP 2024 середина года'!$A:$A,0),MATCH(S$1,'WPP 2024 середина года'!$B$1:$U$1,0))/(1000*INDEX('SALA 2002'!$B:$U,MATCH($A61,'SALA 2002'!$A:$A,0),MATCH(S$1,'SALA 2002'!$B$1:$U$1,0))),($A61-1994)/7),INDEX('WPP 2024 середина года'!$B:$U,MATCH($A61,'WPP 2024 середина года'!$A:$A,0),MATCH(S$1,'WPP 2024 середина года'!$B$1:$U$1,0)))))</f>
        <v>9750</v>
      </c>
      <c r="T61" s="7">
        <f>IF($A61&lt;=1951,INDEX('SALA 1974'!$B:$U,MATCH($A61,'SALA 1974'!$A:$A,0),MATCH(T$1,'SALA 1974'!$B$1:$U$1,0)),IF($A61&lt;=1994,1000*INDEX('SALA 2002'!$B:$U,MATCH($A61,'SALA 2002'!$A:$A,0),MATCH(T$1,'SALA 2002'!$B$1:$U$1,0)),IF($A61&lt;=2000,1000*INDEX('SALA 2002'!$B:$U,MATCH($A61,'SALA 2002'!$A:$A,0),MATCH(T$1,'SALA 2002'!$B$1:$U$1,0))*POWER(INDEX('WPP 2024 середина года'!$B:$U,MATCH($A61,'WPP 2024 середина года'!$A:$A,0),MATCH(T$1,'WPP 2024 середина года'!$B$1:$U$1,0))/(1000*INDEX('SALA 2002'!$B:$U,MATCH($A61,'SALA 2002'!$A:$A,0),MATCH(T$1,'SALA 2002'!$B$1:$U$1,0))),($A61-1994)/7),INDEX('WPP 2024 середина года'!$B:$U,MATCH($A61,'WPP 2024 середина года'!$A:$A,0),MATCH(T$1,'WPP 2024 середина года'!$B$1:$U$1,0)))))</f>
        <v>2500</v>
      </c>
      <c r="U61" s="7">
        <f>IF($A61&lt;=1951,INDEX('SALA 1974'!$B:$U,MATCH($A61,'SALA 1974'!$A:$A,0),MATCH(U$1,'SALA 1974'!$B$1:$U$1,0)),IF($A61&lt;=1994,1000*INDEX('SALA 2002'!$B:$U,MATCH($A61,'SALA 2002'!$A:$A,0),MATCH(U$1,'SALA 2002'!$B$1:$U$1,0)),IF($A61&lt;=2000,1000*INDEX('SALA 2002'!$B:$U,MATCH($A61,'SALA 2002'!$A:$A,0),MATCH(U$1,'SALA 2002'!$B$1:$U$1,0))*POWER(INDEX('WPP 2024 середина года'!$B:$U,MATCH($A61,'WPP 2024 середина года'!$A:$A,0),MATCH(U$1,'WPP 2024 середина года'!$B$1:$U$1,0))/(1000*INDEX('SALA 2002'!$B:$U,MATCH($A61,'SALA 2002'!$A:$A,0),MATCH(U$1,'SALA 2002'!$B$1:$U$1,0))),($A61-1994)/7),INDEX('WPP 2024 середина года'!$B:$U,MATCH($A61,'WPP 2024 середина года'!$A:$A,0),MATCH(U$1,'WPP 2024 середина года'!$B$1:$U$1,0)))))</f>
        <v>7090</v>
      </c>
    </row>
    <row r="62" spans="1:21" x14ac:dyDescent="0.25">
      <c r="A62" s="5">
        <f t="shared" si="0"/>
        <v>1960</v>
      </c>
      <c r="B62" s="7">
        <f>IF($A62&lt;=1951,INDEX('SALA 1974'!$B:$U,MATCH($A62,'SALA 1974'!$A:$A,0),MATCH(B$1,'SALA 1974'!$B$1:$U$1,0)),IF($A62&lt;=1994,1000*INDEX('SALA 2002'!$B:$U,MATCH($A62,'SALA 2002'!$A:$A,0),MATCH(B$1,'SALA 2002'!$B$1:$U$1,0)),IF($A62&lt;=2000,1000*INDEX('SALA 2002'!$B:$U,MATCH($A62,'SALA 2002'!$A:$A,0),MATCH(B$1,'SALA 2002'!$B$1:$U$1,0))*POWER(INDEX('WPP 2024 середина года'!$B:$U,MATCH($A62,'WPP 2024 середина года'!$A:$A,0),MATCH(B$1,'WPP 2024 середина года'!$B$1:$U$1,0))/(1000*INDEX('SALA 2002'!$B:$U,MATCH($A62,'SALA 2002'!$A:$A,0),MATCH(B$1,'SALA 2002'!$B$1:$U$1,0))),($A62-1994)/7),INDEX('WPP 2024 середина года'!$B:$U,MATCH($A62,'WPP 2024 середина года'!$A:$A,0),MATCH(B$1,'WPP 2024 середина года'!$B$1:$U$1,0)))))</f>
        <v>19920</v>
      </c>
      <c r="C62" s="7">
        <f>IF($A62&lt;=1951,INDEX('SALA 1974'!$B:$U,MATCH($A62,'SALA 1974'!$A:$A,0),MATCH(C$1,'SALA 1974'!$B$1:$U$1,0)),IF($A62&lt;=1994,1000*INDEX('SALA 2002'!$B:$U,MATCH($A62,'SALA 2002'!$A:$A,0),MATCH(C$1,'SALA 2002'!$B$1:$U$1,0)),IF($A62&lt;=2000,1000*INDEX('SALA 2002'!$B:$U,MATCH($A62,'SALA 2002'!$A:$A,0),MATCH(C$1,'SALA 2002'!$B$1:$U$1,0))*POWER(INDEX('WPP 2024 середина года'!$B:$U,MATCH($A62,'WPP 2024 середина года'!$A:$A,0),MATCH(C$1,'WPP 2024 середина года'!$B$1:$U$1,0))/(1000*INDEX('SALA 2002'!$B:$U,MATCH($A62,'SALA 2002'!$A:$A,0),MATCH(C$1,'SALA 2002'!$B$1:$U$1,0))),($A62-1994)/7),INDEX('WPP 2024 середина года'!$B:$U,MATCH($A62,'WPP 2024 середина года'!$A:$A,0),MATCH(C$1,'WPP 2024 середина года'!$B$1:$U$1,0)))))</f>
        <v>3820</v>
      </c>
      <c r="D62" s="7">
        <f>IF($A62&lt;=1951,INDEX('SALA 1974'!$B:$U,MATCH($A62,'SALA 1974'!$A:$A,0),MATCH(D$1,'SALA 1974'!$B$1:$U$1,0)),IF($A62&lt;=1994,1000*INDEX('SALA 2002'!$B:$U,MATCH($A62,'SALA 2002'!$A:$A,0),MATCH(D$1,'SALA 2002'!$B$1:$U$1,0)),IF($A62&lt;=2000,1000*INDEX('SALA 2002'!$B:$U,MATCH($A62,'SALA 2002'!$A:$A,0),MATCH(D$1,'SALA 2002'!$B$1:$U$1,0))*POWER(INDEX('WPP 2024 середина года'!$B:$U,MATCH($A62,'WPP 2024 середина года'!$A:$A,0),MATCH(D$1,'WPP 2024 середина года'!$B$1:$U$1,0))/(1000*INDEX('SALA 2002'!$B:$U,MATCH($A62,'SALA 2002'!$A:$A,0),MATCH(D$1,'SALA 2002'!$B$1:$U$1,0))),($A62-1994)/7),INDEX('WPP 2024 середина года'!$B:$U,MATCH($A62,'WPP 2024 середина года'!$A:$A,0),MATCH(D$1,'WPP 2024 середина года'!$B$1:$U$1,0)))))</f>
        <v>69720</v>
      </c>
      <c r="E62" s="7">
        <f>IF($A62&lt;=1951,INDEX('SALA 1974'!$B:$U,MATCH($A62,'SALA 1974'!$A:$A,0),MATCH(E$1,'SALA 1974'!$B$1:$U$1,0)),IF($A62&lt;=1994,1000*INDEX('SALA 2002'!$B:$U,MATCH($A62,'SALA 2002'!$A:$A,0),MATCH(E$1,'SALA 2002'!$B$1:$U$1,0)),IF($A62&lt;=2000,1000*INDEX('SALA 2002'!$B:$U,MATCH($A62,'SALA 2002'!$A:$A,0),MATCH(E$1,'SALA 2002'!$B$1:$U$1,0))*POWER(INDEX('WPP 2024 середина года'!$B:$U,MATCH($A62,'WPP 2024 середина года'!$A:$A,0),MATCH(E$1,'WPP 2024 середина года'!$B$1:$U$1,0))/(1000*INDEX('SALA 2002'!$B:$U,MATCH($A62,'SALA 2002'!$A:$A,0),MATCH(E$1,'SALA 2002'!$B$1:$U$1,0))),($A62-1994)/7),INDEX('WPP 2024 середина года'!$B:$U,MATCH($A62,'WPP 2024 середина года'!$A:$A,0),MATCH(E$1,'WPP 2024 середина года'!$B$1:$U$1,0)))))</f>
        <v>7580</v>
      </c>
      <c r="F62" s="7">
        <f>IF($A62&lt;=1947,INDEX('SALA 1974'!$B:$U,MATCH($A62,'SALA 1974'!$A:$A,0),MATCH(F$1,'SALA 1974'!$B$1:$U$1,0)),IF($A62&lt;=1994,1000*INDEX('SALA 2002'!$B:$U,MATCH($A62,'SALA 2002'!$A:$A,0),MATCH(F$1,'SALA 2002'!$B$1:$U$1,0)),IF($A62&lt;=2000,1000*INDEX('SALA 2002'!$B:$U,MATCH($A62,'SALA 2002'!$A:$A,0),MATCH(F$1,'SALA 2002'!$B$1:$U$1,0))*POWER(INDEX('WPP 2024 середина года'!$B:$U,MATCH($A62,'WPP 2024 середина года'!$A:$A,0),MATCH(F$1,'WPP 2024 середина года'!$B$1:$U$1,0))/(1000*INDEX('SALA 2002'!$B:$U,MATCH($A62,'SALA 2002'!$A:$A,0),MATCH(F$1,'SALA 2002'!$B$1:$U$1,0))),($A62-1994)/7),INDEX('WPP 2024 середина года'!$B:$U,MATCH($A62,'WPP 2024 середина года'!$A:$A,0),MATCH(F$1,'WPP 2024 середина года'!$B$1:$U$1,0)))))</f>
        <v>15420</v>
      </c>
      <c r="G62" s="7">
        <f>IF($A62&lt;=1951,INDEX('SALA 1974'!$B:$U,MATCH($A62,'SALA 1974'!$A:$A,0),MATCH(G$1,'SALA 1974'!$B$1:$U$1,0)),IF($A62&lt;=1994,1000*INDEX('SALA 2002'!$B:$U,MATCH($A62,'SALA 2002'!$A:$A,0),MATCH(G$1,'SALA 2002'!$B$1:$U$1,0)),IF($A62&lt;=2000,1000*INDEX('SALA 2002'!$B:$U,MATCH($A62,'SALA 2002'!$A:$A,0),MATCH(G$1,'SALA 2002'!$B$1:$U$1,0))*POWER(INDEX('WPP 2024 середина года'!$B:$U,MATCH($A62,'WPP 2024 середина года'!$A:$A,0),MATCH(G$1,'WPP 2024 середина года'!$B$1:$U$1,0))/(1000*INDEX('SALA 2002'!$B:$U,MATCH($A62,'SALA 2002'!$A:$A,0),MATCH(G$1,'SALA 2002'!$B$1:$U$1,0))),($A62-1994)/7),INDEX('WPP 2024 середина года'!$B:$U,MATCH($A62,'WPP 2024 середина года'!$A:$A,0),MATCH(G$1,'WPP 2024 середина года'!$B$1:$U$1,0)))))</f>
        <v>1250</v>
      </c>
      <c r="H62" s="7">
        <f>IF($A62&lt;=1951,INDEX('SALA 1974'!$B:$U,MATCH($A62,'SALA 1974'!$A:$A,0),MATCH(H$1,'SALA 1974'!$B$1:$U$1,0)),IF($A62&lt;=1994,1000*INDEX('SALA 2002'!$B:$U,MATCH($A62,'SALA 2002'!$A:$A,0),MATCH(H$1,'SALA 2002'!$B$1:$U$1,0)),IF($A62&lt;=2000,1000*INDEX('SALA 2002'!$B:$U,MATCH($A62,'SALA 2002'!$A:$A,0),MATCH(H$1,'SALA 2002'!$B$1:$U$1,0))*POWER(INDEX('WPP 2024 середина года'!$B:$U,MATCH($A62,'WPP 2024 середина года'!$A:$A,0),MATCH(H$1,'WPP 2024 середина года'!$B$1:$U$1,0))/(1000*INDEX('SALA 2002'!$B:$U,MATCH($A62,'SALA 2002'!$A:$A,0),MATCH(H$1,'SALA 2002'!$B$1:$U$1,0))),($A62-1994)/7),INDEX('WPP 2024 середина года'!$B:$U,MATCH($A62,'WPP 2024 середина года'!$A:$A,0),MATCH(H$1,'WPP 2024 середина года'!$B$1:$U$1,0)))))</f>
        <v>7030</v>
      </c>
      <c r="I62" s="7">
        <f>IF($A62&lt;=1951,INDEX('SALA 1974'!$B:$U,MATCH($A62,'SALA 1974'!$A:$A,0),MATCH(I$1,'SALA 1974'!$B$1:$U$1,0)),IF($A62&lt;=1994,1000*INDEX('SALA 2002'!$B:$U,MATCH($A62,'SALA 2002'!$A:$A,0),MATCH(I$1,'SALA 2002'!$B$1:$U$1,0)),IF($A62&lt;=2000,1000*INDEX('SALA 2002'!$B:$U,MATCH($A62,'SALA 2002'!$A:$A,0),MATCH(I$1,'SALA 2002'!$B$1:$U$1,0))*POWER(INDEX('WPP 2024 середина года'!$B:$U,MATCH($A62,'WPP 2024 середина года'!$A:$A,0),MATCH(I$1,'WPP 2024 середина года'!$B$1:$U$1,0))/(1000*INDEX('SALA 2002'!$B:$U,MATCH($A62,'SALA 2002'!$A:$A,0),MATCH(I$1,'SALA 2002'!$B$1:$U$1,0))),($A62-1994)/7),INDEX('WPP 2024 середина года'!$B:$U,MATCH($A62,'WPP 2024 середина года'!$A:$A,0),MATCH(I$1,'WPP 2024 середина года'!$B$1:$U$1,0)))))</f>
        <v>3040</v>
      </c>
      <c r="J62" s="7">
        <f>IF($A62&lt;=1951,INDEX('SALA 1974'!$B:$U,MATCH($A62,'SALA 1974'!$A:$A,0),MATCH(J$1,'SALA 1974'!$B$1:$U$1,0)),IF($A62&lt;=1994,1000*INDEX('SALA 2002'!$B:$U,MATCH($A62,'SALA 2002'!$A:$A,0),MATCH(J$1,'SALA 2002'!$B$1:$U$1,0)),IF($A62&lt;=2000,1000*INDEX('SALA 2002'!$B:$U,MATCH($A62,'SALA 2002'!$A:$A,0),MATCH(J$1,'SALA 2002'!$B$1:$U$1,0))*POWER(INDEX('WPP 2024 середина года'!$B:$U,MATCH($A62,'WPP 2024 середина года'!$A:$A,0),MATCH(J$1,'WPP 2024 середина года'!$B$1:$U$1,0))/(1000*INDEX('SALA 2002'!$B:$U,MATCH($A62,'SALA 2002'!$A:$A,0),MATCH(J$1,'SALA 2002'!$B$1:$U$1,0))),($A62-1994)/7),INDEX('WPP 2024 середина года'!$B:$U,MATCH($A62,'WPP 2024 середина года'!$A:$A,0),MATCH(J$1,'WPP 2024 середина года'!$B$1:$U$1,0)))))</f>
        <v>4360</v>
      </c>
      <c r="K62" s="7">
        <f>IF($A62&lt;=1951,INDEX('SALA 1974'!$B:$U,MATCH($A62,'SALA 1974'!$A:$A,0),MATCH(K$1,'SALA 1974'!$B$1:$U$1,0)),IF($A62&lt;=1994,1000*INDEX('SALA 2002'!$B:$U,MATCH($A62,'SALA 2002'!$A:$A,0),MATCH(K$1,'SALA 2002'!$B$1:$U$1,0)),IF($A62&lt;=2000,1000*INDEX('SALA 2002'!$B:$U,MATCH($A62,'SALA 2002'!$A:$A,0),MATCH(K$1,'SALA 2002'!$B$1:$U$1,0))*POWER(INDEX('WPP 2024 середина года'!$B:$U,MATCH($A62,'WPP 2024 середина года'!$A:$A,0),MATCH(K$1,'WPP 2024 середина года'!$B$1:$U$1,0))/(1000*INDEX('SALA 2002'!$B:$U,MATCH($A62,'SALA 2002'!$A:$A,0),MATCH(K$1,'SALA 2002'!$B$1:$U$1,0))),($A62-1994)/7),INDEX('WPP 2024 середина года'!$B:$U,MATCH($A62,'WPP 2024 середина года'!$A:$A,0),MATCH(K$1,'WPP 2024 середина года'!$B$1:$U$1,0)))))</f>
        <v>2450</v>
      </c>
      <c r="L62" s="7">
        <f>IF($A62&lt;=1951,INDEX('SALA 1974'!$B:$U,MATCH($A62,'SALA 1974'!$A:$A,0),MATCH(L$1,'SALA 1974'!$B$1:$U$1,0)),IF($A62&lt;=1994,1000*INDEX('SALA 2002'!$B:$U,MATCH($A62,'SALA 2002'!$A:$A,0),MATCH(L$1,'SALA 2002'!$B$1:$U$1,0)),IF($A62&lt;=2000,1000*INDEX('SALA 2002'!$B:$U,MATCH($A62,'SALA 2002'!$A:$A,0),MATCH(L$1,'SALA 2002'!$B$1:$U$1,0))*POWER(INDEX('WPP 2024 середина года'!$B:$U,MATCH($A62,'WPP 2024 середина года'!$A:$A,0),MATCH(L$1,'WPP 2024 середина года'!$B$1:$U$1,0))/(1000*INDEX('SALA 2002'!$B:$U,MATCH($A62,'SALA 2002'!$A:$A,0),MATCH(L$1,'SALA 2002'!$B$1:$U$1,0))),($A62-1994)/7),INDEX('WPP 2024 середина года'!$B:$U,MATCH($A62,'WPP 2024 середина года'!$A:$A,0),MATCH(L$1,'WPP 2024 середина года'!$B$1:$U$1,0)))))</f>
        <v>3830</v>
      </c>
      <c r="M62" s="7">
        <f>IF($A62&lt;=1951,INDEX('SALA 1974'!$B:$U,MATCH($A62,'SALA 1974'!$A:$A,0),MATCH(M$1,'SALA 1974'!$B$1:$U$1,0)),IF($A62&lt;=1994,1000*INDEX('SALA 2002'!$B:$U,MATCH($A62,'SALA 2002'!$A:$A,0),MATCH(M$1,'SALA 2002'!$B$1:$U$1,0)),IF($A62&lt;=2000,1000*INDEX('SALA 2002'!$B:$U,MATCH($A62,'SALA 2002'!$A:$A,0),MATCH(M$1,'SALA 2002'!$B$1:$U$1,0))*POWER(INDEX('WPP 2024 середина года'!$B:$U,MATCH($A62,'WPP 2024 середина года'!$A:$A,0),MATCH(M$1,'WPP 2024 середина года'!$B$1:$U$1,0))/(1000*INDEX('SALA 2002'!$B:$U,MATCH($A62,'SALA 2002'!$A:$A,0),MATCH(M$1,'SALA 2002'!$B$1:$U$1,0))),($A62-1994)/7),INDEX('WPP 2024 середина года'!$B:$U,MATCH($A62,'WPP 2024 середина года'!$A:$A,0),MATCH(M$1,'WPP 2024 середина года'!$B$1:$U$1,0)))))</f>
        <v>3620</v>
      </c>
      <c r="N62" s="7">
        <f>IF($A62&lt;=1951,INDEX('SALA 1974'!$B:$U,MATCH($A62,'SALA 1974'!$A:$A,0),MATCH(N$1,'SALA 1974'!$B$1:$U$1,0)),IF($A62&lt;=1994,1000*INDEX('SALA 2002'!$B:$U,MATCH($A62,'SALA 2002'!$A:$A,0),MATCH(N$1,'SALA 2002'!$B$1:$U$1,0)),IF($A62&lt;=2000,1000*INDEX('SALA 2002'!$B:$U,MATCH($A62,'SALA 2002'!$A:$A,0),MATCH(N$1,'SALA 2002'!$B$1:$U$1,0))*POWER(INDEX('WPP 2024 середина года'!$B:$U,MATCH($A62,'WPP 2024 середина года'!$A:$A,0),MATCH(N$1,'WPP 2024 середина года'!$B$1:$U$1,0))/(1000*INDEX('SALA 2002'!$B:$U,MATCH($A62,'SALA 2002'!$A:$A,0),MATCH(N$1,'SALA 2002'!$B$1:$U$1,0))),($A62-1994)/7),INDEX('WPP 2024 середина года'!$B:$U,MATCH($A62,'WPP 2024 середина года'!$A:$A,0),MATCH(N$1,'WPP 2024 середина года'!$B$1:$U$1,0)))))</f>
        <v>1850</v>
      </c>
      <c r="O62" s="7">
        <f>IF($A62&lt;=1951,INDEX('SALA 1974'!$B:$U,MATCH($A62,'SALA 1974'!$A:$A,0),MATCH(O$1,'SALA 1974'!$B$1:$U$1,0)),IF($A62&lt;=1994,1000*INDEX('SALA 2002'!$B:$U,MATCH($A62,'SALA 2002'!$A:$A,0),MATCH(O$1,'SALA 2002'!$B$1:$U$1,0)),IF($A62&lt;=2000,1000*INDEX('SALA 2002'!$B:$U,MATCH($A62,'SALA 2002'!$A:$A,0),MATCH(O$1,'SALA 2002'!$B$1:$U$1,0))*POWER(INDEX('WPP 2024 середина года'!$B:$U,MATCH($A62,'WPP 2024 середина года'!$A:$A,0),MATCH(O$1,'WPP 2024 середина года'!$B$1:$U$1,0))/(1000*INDEX('SALA 2002'!$B:$U,MATCH($A62,'SALA 2002'!$A:$A,0),MATCH(O$1,'SALA 2002'!$B$1:$U$1,0))),($A62-1994)/7),INDEX('WPP 2024 середина года'!$B:$U,MATCH($A62,'WPP 2024 середина года'!$A:$A,0),MATCH(O$1,'WPP 2024 середина года'!$B$1:$U$1,0)))))</f>
        <v>36050</v>
      </c>
      <c r="P62" s="7">
        <f>IF($A62&lt;=1951,INDEX('SALA 1974'!$B:$U,MATCH($A62,'SALA 1974'!$A:$A,0),MATCH(P$1,'SALA 1974'!$B$1:$U$1,0)),IF($A62&lt;=1994,1000*INDEX('SALA 2002'!$B:$U,MATCH($A62,'SALA 2002'!$A:$A,0),MATCH(P$1,'SALA 2002'!$B$1:$U$1,0)),IF($A62&lt;=2000,1000*INDEX('SALA 2002'!$B:$U,MATCH($A62,'SALA 2002'!$A:$A,0),MATCH(P$1,'SALA 2002'!$B$1:$U$1,0))*POWER(INDEX('WPP 2024 середина года'!$B:$U,MATCH($A62,'WPP 2024 середина года'!$A:$A,0),MATCH(P$1,'WPP 2024 середина года'!$B$1:$U$1,0))/(1000*INDEX('SALA 2002'!$B:$U,MATCH($A62,'SALA 2002'!$A:$A,0),MATCH(P$1,'SALA 2002'!$B$1:$U$1,0))),($A62-1994)/7),INDEX('WPP 2024 середина года'!$B:$U,MATCH($A62,'WPP 2024 середина года'!$A:$A,0),MATCH(P$1,'WPP 2024 середина года'!$B$1:$U$1,0)))))</f>
        <v>1410</v>
      </c>
      <c r="Q62" s="7">
        <f>IF($A62&lt;=1951,INDEX('SALA 1974'!$B:$U,MATCH($A62,'SALA 1974'!$A:$A,0),MATCH(Q$1,'SALA 1974'!$B$1:$U$1,0)),IF($A62&lt;=1994,1000*INDEX('SALA 2002'!$B:$U,MATCH($A62,'SALA 2002'!$A:$A,0),MATCH(Q$1,'SALA 2002'!$B$1:$U$1,0)),IF($A62&lt;=2000,1000*INDEX('SALA 2002'!$B:$U,MATCH($A62,'SALA 2002'!$A:$A,0),MATCH(Q$1,'SALA 2002'!$B$1:$U$1,0))*POWER(INDEX('WPP 2024 середина года'!$B:$U,MATCH($A62,'WPP 2024 середина года'!$A:$A,0),MATCH(Q$1,'WPP 2024 середина года'!$B$1:$U$1,0))/(1000*INDEX('SALA 2002'!$B:$U,MATCH($A62,'SALA 2002'!$A:$A,0),MATCH(Q$1,'SALA 2002'!$B$1:$U$1,0))),($A62-1994)/7),INDEX('WPP 2024 середина года'!$B:$U,MATCH($A62,'WPP 2024 середина года'!$A:$A,0),MATCH(Q$1,'WPP 2024 середина года'!$B$1:$U$1,0)))))</f>
        <v>1060</v>
      </c>
      <c r="R62" s="7">
        <f>IF($A62&lt;=1951,INDEX('SALA 1974'!$B:$U,MATCH($A62,'SALA 1974'!$A:$A,0),MATCH(R$1,'SALA 1974'!$B$1:$U$1,0)),IF($A62&lt;=1994,1000*INDEX('SALA 2002'!$B:$U,MATCH($A62,'SALA 2002'!$A:$A,0),MATCH(R$1,'SALA 2002'!$B$1:$U$1,0)),IF($A62&lt;=2000,1000*INDEX('SALA 2002'!$B:$U,MATCH($A62,'SALA 2002'!$A:$A,0),MATCH(R$1,'SALA 2002'!$B$1:$U$1,0))*POWER(INDEX('WPP 2024 середина года'!$B:$U,MATCH($A62,'WPP 2024 середина года'!$A:$A,0),MATCH(R$1,'WPP 2024 середина года'!$B$1:$U$1,0))/(1000*INDEX('SALA 2002'!$B:$U,MATCH($A62,'SALA 2002'!$A:$A,0),MATCH(R$1,'SALA 2002'!$B$1:$U$1,0))),($A62-1994)/7),INDEX('WPP 2024 середина года'!$B:$U,MATCH($A62,'WPP 2024 середина года'!$A:$A,0),MATCH(R$1,'WPP 2024 середина года'!$B$1:$U$1,0)))))</f>
        <v>1750</v>
      </c>
      <c r="S62" s="7">
        <f>IF($A62&lt;=1951,INDEX('SALA 1974'!$B:$U,MATCH($A62,'SALA 1974'!$A:$A,0),MATCH(S$1,'SALA 1974'!$B$1:$U$1,0)),IF($A62&lt;=1994,1000*INDEX('SALA 2002'!$B:$U,MATCH($A62,'SALA 2002'!$A:$A,0),MATCH(S$1,'SALA 2002'!$B$1:$U$1,0)),IF($A62&lt;=2000,1000*INDEX('SALA 2002'!$B:$U,MATCH($A62,'SALA 2002'!$A:$A,0),MATCH(S$1,'SALA 2002'!$B$1:$U$1,0))*POWER(INDEX('WPP 2024 середина года'!$B:$U,MATCH($A62,'WPP 2024 середина года'!$A:$A,0),MATCH(S$1,'WPP 2024 середина года'!$B$1:$U$1,0))/(1000*INDEX('SALA 2002'!$B:$U,MATCH($A62,'SALA 2002'!$A:$A,0),MATCH(S$1,'SALA 2002'!$B$1:$U$1,0))),($A62-1994)/7),INDEX('WPP 2024 середина года'!$B:$U,MATCH($A62,'WPP 2024 середина года'!$A:$A,0),MATCH(S$1,'WPP 2024 середина года'!$B$1:$U$1,0)))))</f>
        <v>10020</v>
      </c>
      <c r="T62" s="7">
        <f>IF($A62&lt;=1951,INDEX('SALA 1974'!$B:$U,MATCH($A62,'SALA 1974'!$A:$A,0),MATCH(T$1,'SALA 1974'!$B$1:$U$1,0)),IF($A62&lt;=1994,1000*INDEX('SALA 2002'!$B:$U,MATCH($A62,'SALA 2002'!$A:$A,0),MATCH(T$1,'SALA 2002'!$B$1:$U$1,0)),IF($A62&lt;=2000,1000*INDEX('SALA 2002'!$B:$U,MATCH($A62,'SALA 2002'!$A:$A,0),MATCH(T$1,'SALA 2002'!$B$1:$U$1,0))*POWER(INDEX('WPP 2024 середина года'!$B:$U,MATCH($A62,'WPP 2024 середина года'!$A:$A,0),MATCH(T$1,'WPP 2024 середина года'!$B$1:$U$1,0))/(1000*INDEX('SALA 2002'!$B:$U,MATCH($A62,'SALA 2002'!$A:$A,0),MATCH(T$1,'SALA 2002'!$B$1:$U$1,0))),($A62-1994)/7),INDEX('WPP 2024 середина года'!$B:$U,MATCH($A62,'WPP 2024 середина года'!$A:$A,0),MATCH(T$1,'WPP 2024 середина года'!$B$1:$U$1,0)))))</f>
        <v>2540</v>
      </c>
      <c r="U62" s="7">
        <f>IF($A62&lt;=1951,INDEX('SALA 1974'!$B:$U,MATCH($A62,'SALA 1974'!$A:$A,0),MATCH(U$1,'SALA 1974'!$B$1:$U$1,0)),IF($A62&lt;=1994,1000*INDEX('SALA 2002'!$B:$U,MATCH($A62,'SALA 2002'!$A:$A,0),MATCH(U$1,'SALA 2002'!$B$1:$U$1,0)),IF($A62&lt;=2000,1000*INDEX('SALA 2002'!$B:$U,MATCH($A62,'SALA 2002'!$A:$A,0),MATCH(U$1,'SALA 2002'!$B$1:$U$1,0))*POWER(INDEX('WPP 2024 середина года'!$B:$U,MATCH($A62,'WPP 2024 середина года'!$A:$A,0),MATCH(U$1,'WPP 2024 середина года'!$B$1:$U$1,0))/(1000*INDEX('SALA 2002'!$B:$U,MATCH($A62,'SALA 2002'!$A:$A,0),MATCH(U$1,'SALA 2002'!$B$1:$U$1,0))),($A62-1994)/7),INDEX('WPP 2024 середина года'!$B:$U,MATCH($A62,'WPP 2024 середина года'!$A:$A,0),MATCH(U$1,'WPP 2024 середина года'!$B$1:$U$1,0)))))</f>
        <v>7350</v>
      </c>
    </row>
    <row r="63" spans="1:21" x14ac:dyDescent="0.25">
      <c r="A63" s="5">
        <f t="shared" si="0"/>
        <v>1961</v>
      </c>
      <c r="B63" s="7">
        <f>IF($A63&lt;=1951,INDEX('SALA 1974'!$B:$U,MATCH($A63,'SALA 1974'!$A:$A,0),MATCH(B$1,'SALA 1974'!$B$1:$U$1,0)),IF($A63&lt;=1994,1000*INDEX('SALA 2002'!$B:$U,MATCH($A63,'SALA 2002'!$A:$A,0),MATCH(B$1,'SALA 2002'!$B$1:$U$1,0)),IF($A63&lt;=2000,1000*INDEX('SALA 2002'!$B:$U,MATCH($A63,'SALA 2002'!$A:$A,0),MATCH(B$1,'SALA 2002'!$B$1:$U$1,0))*POWER(INDEX('WPP 2024 середина года'!$B:$U,MATCH($A63,'WPP 2024 середина года'!$A:$A,0),MATCH(B$1,'WPP 2024 середина года'!$B$1:$U$1,0))/(1000*INDEX('SALA 2002'!$B:$U,MATCH($A63,'SALA 2002'!$A:$A,0),MATCH(B$1,'SALA 2002'!$B$1:$U$1,0))),($A63-1994)/7),INDEX('WPP 2024 середина года'!$B:$U,MATCH($A63,'WPP 2024 середина года'!$A:$A,0),MATCH(B$1,'WPP 2024 середина года'!$B$1:$U$1,0)))))</f>
        <v>20240</v>
      </c>
      <c r="C63" s="7">
        <f>IF($A63&lt;=1951,INDEX('SALA 1974'!$B:$U,MATCH($A63,'SALA 1974'!$A:$A,0),MATCH(C$1,'SALA 1974'!$B$1:$U$1,0)),IF($A63&lt;=1994,1000*INDEX('SALA 2002'!$B:$U,MATCH($A63,'SALA 2002'!$A:$A,0),MATCH(C$1,'SALA 2002'!$B$1:$U$1,0)),IF($A63&lt;=2000,1000*INDEX('SALA 2002'!$B:$U,MATCH($A63,'SALA 2002'!$A:$A,0),MATCH(C$1,'SALA 2002'!$B$1:$U$1,0))*POWER(INDEX('WPP 2024 середина года'!$B:$U,MATCH($A63,'WPP 2024 середина года'!$A:$A,0),MATCH(C$1,'WPP 2024 середина года'!$B$1:$U$1,0))/(1000*INDEX('SALA 2002'!$B:$U,MATCH($A63,'SALA 2002'!$A:$A,0),MATCH(C$1,'SALA 2002'!$B$1:$U$1,0))),($A63-1994)/7),INDEX('WPP 2024 середина года'!$B:$U,MATCH($A63,'WPP 2024 середина года'!$A:$A,0),MATCH(C$1,'WPP 2024 середина года'!$B$1:$U$1,0)))))</f>
        <v>3920</v>
      </c>
      <c r="D63" s="7">
        <f>IF($A63&lt;=1951,INDEX('SALA 1974'!$B:$U,MATCH($A63,'SALA 1974'!$A:$A,0),MATCH(D$1,'SALA 1974'!$B$1:$U$1,0)),IF($A63&lt;=1994,1000*INDEX('SALA 2002'!$B:$U,MATCH($A63,'SALA 2002'!$A:$A,0),MATCH(D$1,'SALA 2002'!$B$1:$U$1,0)),IF($A63&lt;=2000,1000*INDEX('SALA 2002'!$B:$U,MATCH($A63,'SALA 2002'!$A:$A,0),MATCH(D$1,'SALA 2002'!$B$1:$U$1,0))*POWER(INDEX('WPP 2024 середина года'!$B:$U,MATCH($A63,'WPP 2024 середина года'!$A:$A,0),MATCH(D$1,'WPP 2024 середина года'!$B$1:$U$1,0))/(1000*INDEX('SALA 2002'!$B:$U,MATCH($A63,'SALA 2002'!$A:$A,0),MATCH(D$1,'SALA 2002'!$B$1:$U$1,0))),($A63-1994)/7),INDEX('WPP 2024 середина года'!$B:$U,MATCH($A63,'WPP 2024 середина года'!$A:$A,0),MATCH(D$1,'WPP 2024 середина года'!$B$1:$U$1,0)))))</f>
        <v>71940</v>
      </c>
      <c r="E63" s="7">
        <f>IF($A63&lt;=1951,INDEX('SALA 1974'!$B:$U,MATCH($A63,'SALA 1974'!$A:$A,0),MATCH(E$1,'SALA 1974'!$B$1:$U$1,0)),IF($A63&lt;=1994,1000*INDEX('SALA 2002'!$B:$U,MATCH($A63,'SALA 2002'!$A:$A,0),MATCH(E$1,'SALA 2002'!$B$1:$U$1,0)),IF($A63&lt;=2000,1000*INDEX('SALA 2002'!$B:$U,MATCH($A63,'SALA 2002'!$A:$A,0),MATCH(E$1,'SALA 2002'!$B$1:$U$1,0))*POWER(INDEX('WPP 2024 середина года'!$B:$U,MATCH($A63,'WPP 2024 середина года'!$A:$A,0),MATCH(E$1,'WPP 2024 середина года'!$B$1:$U$1,0))/(1000*INDEX('SALA 2002'!$B:$U,MATCH($A63,'SALA 2002'!$A:$A,0),MATCH(E$1,'SALA 2002'!$B$1:$U$1,0))),($A63-1994)/7),INDEX('WPP 2024 середина года'!$B:$U,MATCH($A63,'WPP 2024 середина года'!$A:$A,0),MATCH(E$1,'WPP 2024 середина года'!$B$1:$U$1,0)))))</f>
        <v>7760</v>
      </c>
      <c r="F63" s="7">
        <f>IF($A63&lt;=1947,INDEX('SALA 1974'!$B:$U,MATCH($A63,'SALA 1974'!$A:$A,0),MATCH(F$1,'SALA 1974'!$B$1:$U$1,0)),IF($A63&lt;=1994,1000*INDEX('SALA 2002'!$B:$U,MATCH($A63,'SALA 2002'!$A:$A,0),MATCH(F$1,'SALA 2002'!$B$1:$U$1,0)),IF($A63&lt;=2000,1000*INDEX('SALA 2002'!$B:$U,MATCH($A63,'SALA 2002'!$A:$A,0),MATCH(F$1,'SALA 2002'!$B$1:$U$1,0))*POWER(INDEX('WPP 2024 середина года'!$B:$U,MATCH($A63,'WPP 2024 середина года'!$A:$A,0),MATCH(F$1,'WPP 2024 середина года'!$B$1:$U$1,0))/(1000*INDEX('SALA 2002'!$B:$U,MATCH($A63,'SALA 2002'!$A:$A,0),MATCH(F$1,'SALA 2002'!$B$1:$U$1,0))),($A63-1994)/7),INDEX('WPP 2024 середина года'!$B:$U,MATCH($A63,'WPP 2024 середина года'!$A:$A,0),MATCH(F$1,'WPP 2024 середина года'!$B$1:$U$1,0)))))</f>
        <v>15910</v>
      </c>
      <c r="G63" s="7">
        <f>IF($A63&lt;=1951,INDEX('SALA 1974'!$B:$U,MATCH($A63,'SALA 1974'!$A:$A,0),MATCH(G$1,'SALA 1974'!$B$1:$U$1,0)),IF($A63&lt;=1994,1000*INDEX('SALA 2002'!$B:$U,MATCH($A63,'SALA 2002'!$A:$A,0),MATCH(G$1,'SALA 2002'!$B$1:$U$1,0)),IF($A63&lt;=2000,1000*INDEX('SALA 2002'!$B:$U,MATCH($A63,'SALA 2002'!$A:$A,0),MATCH(G$1,'SALA 2002'!$B$1:$U$1,0))*POWER(INDEX('WPP 2024 середина года'!$B:$U,MATCH($A63,'WPP 2024 середина года'!$A:$A,0),MATCH(G$1,'WPP 2024 середина года'!$B$1:$U$1,0))/(1000*INDEX('SALA 2002'!$B:$U,MATCH($A63,'SALA 2002'!$A:$A,0),MATCH(G$1,'SALA 2002'!$B$1:$U$1,0))),($A63-1994)/7),INDEX('WPP 2024 середина года'!$B:$U,MATCH($A63,'WPP 2024 середина года'!$A:$A,0),MATCH(G$1,'WPP 2024 середина года'!$B$1:$U$1,0)))))</f>
        <v>1300</v>
      </c>
      <c r="H63" s="7">
        <f>IF($A63&lt;=1951,INDEX('SALA 1974'!$B:$U,MATCH($A63,'SALA 1974'!$A:$A,0),MATCH(H$1,'SALA 1974'!$B$1:$U$1,0)),IF($A63&lt;=1994,1000*INDEX('SALA 2002'!$B:$U,MATCH($A63,'SALA 2002'!$A:$A,0),MATCH(H$1,'SALA 2002'!$B$1:$U$1,0)),IF($A63&lt;=2000,1000*INDEX('SALA 2002'!$B:$U,MATCH($A63,'SALA 2002'!$A:$A,0),MATCH(H$1,'SALA 2002'!$B$1:$U$1,0))*POWER(INDEX('WPP 2024 середина года'!$B:$U,MATCH($A63,'WPP 2024 середина года'!$A:$A,0),MATCH(H$1,'WPP 2024 середина года'!$B$1:$U$1,0))/(1000*INDEX('SALA 2002'!$B:$U,MATCH($A63,'SALA 2002'!$A:$A,0),MATCH(H$1,'SALA 2002'!$B$1:$U$1,0))),($A63-1994)/7),INDEX('WPP 2024 середина года'!$B:$U,MATCH($A63,'WPP 2024 середина года'!$A:$A,0),MATCH(H$1,'WPP 2024 середина года'!$B$1:$U$1,0)))))</f>
        <v>7130</v>
      </c>
      <c r="I63" s="7">
        <f>IF($A63&lt;=1951,INDEX('SALA 1974'!$B:$U,MATCH($A63,'SALA 1974'!$A:$A,0),MATCH(I$1,'SALA 1974'!$B$1:$U$1,0)),IF($A63&lt;=1994,1000*INDEX('SALA 2002'!$B:$U,MATCH($A63,'SALA 2002'!$A:$A,0),MATCH(I$1,'SALA 2002'!$B$1:$U$1,0)),IF($A63&lt;=2000,1000*INDEX('SALA 2002'!$B:$U,MATCH($A63,'SALA 2002'!$A:$A,0),MATCH(I$1,'SALA 2002'!$B$1:$U$1,0))*POWER(INDEX('WPP 2024 середина года'!$B:$U,MATCH($A63,'WPP 2024 середина года'!$A:$A,0),MATCH(I$1,'WPP 2024 середина года'!$B$1:$U$1,0))/(1000*INDEX('SALA 2002'!$B:$U,MATCH($A63,'SALA 2002'!$A:$A,0),MATCH(I$1,'SALA 2002'!$B$1:$U$1,0))),($A63-1994)/7),INDEX('WPP 2024 середина года'!$B:$U,MATCH($A63,'WPP 2024 середина года'!$A:$A,0),MATCH(I$1,'WPP 2024 середина года'!$B$1:$U$1,0)))))</f>
        <v>3120</v>
      </c>
      <c r="J63" s="7">
        <f>IF($A63&lt;=1951,INDEX('SALA 1974'!$B:$U,MATCH($A63,'SALA 1974'!$A:$A,0),MATCH(J$1,'SALA 1974'!$B$1:$U$1,0)),IF($A63&lt;=1994,1000*INDEX('SALA 2002'!$B:$U,MATCH($A63,'SALA 2002'!$A:$A,0),MATCH(J$1,'SALA 2002'!$B$1:$U$1,0)),IF($A63&lt;=2000,1000*INDEX('SALA 2002'!$B:$U,MATCH($A63,'SALA 2002'!$A:$A,0),MATCH(J$1,'SALA 2002'!$B$1:$U$1,0))*POWER(INDEX('WPP 2024 середина года'!$B:$U,MATCH($A63,'WPP 2024 середина года'!$A:$A,0),MATCH(J$1,'WPP 2024 середина года'!$B$1:$U$1,0))/(1000*INDEX('SALA 2002'!$B:$U,MATCH($A63,'SALA 2002'!$A:$A,0),MATCH(J$1,'SALA 2002'!$B$1:$U$1,0))),($A63-1994)/7),INDEX('WPP 2024 середина года'!$B:$U,MATCH($A63,'WPP 2024 середина года'!$A:$A,0),MATCH(J$1,'WPP 2024 середина года'!$B$1:$U$1,0)))))</f>
        <v>4500</v>
      </c>
      <c r="K63" s="7">
        <f>IF($A63&lt;=1951,INDEX('SALA 1974'!$B:$U,MATCH($A63,'SALA 1974'!$A:$A,0),MATCH(K$1,'SALA 1974'!$B$1:$U$1,0)),IF($A63&lt;=1994,1000*INDEX('SALA 2002'!$B:$U,MATCH($A63,'SALA 2002'!$A:$A,0),MATCH(K$1,'SALA 2002'!$B$1:$U$1,0)),IF($A63&lt;=2000,1000*INDEX('SALA 2002'!$B:$U,MATCH($A63,'SALA 2002'!$A:$A,0),MATCH(K$1,'SALA 2002'!$B$1:$U$1,0))*POWER(INDEX('WPP 2024 середина года'!$B:$U,MATCH($A63,'WPP 2024 середина года'!$A:$A,0),MATCH(K$1,'WPP 2024 середина года'!$B$1:$U$1,0))/(1000*INDEX('SALA 2002'!$B:$U,MATCH($A63,'SALA 2002'!$A:$A,0),MATCH(K$1,'SALA 2002'!$B$1:$U$1,0))),($A63-1994)/7),INDEX('WPP 2024 середина года'!$B:$U,MATCH($A63,'WPP 2024 середина года'!$A:$A,0),MATCH(K$1,'WPP 2024 середина года'!$B$1:$U$1,0)))))</f>
        <v>2510</v>
      </c>
      <c r="L63" s="7">
        <f>IF($A63&lt;=1951,INDEX('SALA 1974'!$B:$U,MATCH($A63,'SALA 1974'!$A:$A,0),MATCH(L$1,'SALA 1974'!$B$1:$U$1,0)),IF($A63&lt;=1994,1000*INDEX('SALA 2002'!$B:$U,MATCH($A63,'SALA 2002'!$A:$A,0),MATCH(L$1,'SALA 2002'!$B$1:$U$1,0)),IF($A63&lt;=2000,1000*INDEX('SALA 2002'!$B:$U,MATCH($A63,'SALA 2002'!$A:$A,0),MATCH(L$1,'SALA 2002'!$B$1:$U$1,0))*POWER(INDEX('WPP 2024 середина года'!$B:$U,MATCH($A63,'WPP 2024 середина года'!$A:$A,0),MATCH(L$1,'WPP 2024 середина года'!$B$1:$U$1,0))/(1000*INDEX('SALA 2002'!$B:$U,MATCH($A63,'SALA 2002'!$A:$A,0),MATCH(L$1,'SALA 2002'!$B$1:$U$1,0))),($A63-1994)/7),INDEX('WPP 2024 середина года'!$B:$U,MATCH($A63,'WPP 2024 середина года'!$A:$A,0),MATCH(L$1,'WPP 2024 середина года'!$B$1:$U$1,0)))))</f>
        <v>3950</v>
      </c>
      <c r="M63" s="7">
        <f>IF($A63&lt;=1951,INDEX('SALA 1974'!$B:$U,MATCH($A63,'SALA 1974'!$A:$A,0),MATCH(M$1,'SALA 1974'!$B$1:$U$1,0)),IF($A63&lt;=1994,1000*INDEX('SALA 2002'!$B:$U,MATCH($A63,'SALA 2002'!$A:$A,0),MATCH(M$1,'SALA 2002'!$B$1:$U$1,0)),IF($A63&lt;=2000,1000*INDEX('SALA 2002'!$B:$U,MATCH($A63,'SALA 2002'!$A:$A,0),MATCH(M$1,'SALA 2002'!$B$1:$U$1,0))*POWER(INDEX('WPP 2024 середина года'!$B:$U,MATCH($A63,'WPP 2024 середина года'!$A:$A,0),MATCH(M$1,'WPP 2024 середина года'!$B$1:$U$1,0))/(1000*INDEX('SALA 2002'!$B:$U,MATCH($A63,'SALA 2002'!$A:$A,0),MATCH(M$1,'SALA 2002'!$B$1:$U$1,0))),($A63-1994)/7),INDEX('WPP 2024 середина года'!$B:$U,MATCH($A63,'WPP 2024 середина года'!$A:$A,0),MATCH(M$1,'WPP 2024 середина года'!$B$1:$U$1,0)))))</f>
        <v>3680</v>
      </c>
      <c r="N63" s="7">
        <f>IF($A63&lt;=1951,INDEX('SALA 1974'!$B:$U,MATCH($A63,'SALA 1974'!$A:$A,0),MATCH(N$1,'SALA 1974'!$B$1:$U$1,0)),IF($A63&lt;=1994,1000*INDEX('SALA 2002'!$B:$U,MATCH($A63,'SALA 2002'!$A:$A,0),MATCH(N$1,'SALA 2002'!$B$1:$U$1,0)),IF($A63&lt;=2000,1000*INDEX('SALA 2002'!$B:$U,MATCH($A63,'SALA 2002'!$A:$A,0),MATCH(N$1,'SALA 2002'!$B$1:$U$1,0))*POWER(INDEX('WPP 2024 середина года'!$B:$U,MATCH($A63,'WPP 2024 середина года'!$A:$A,0),MATCH(N$1,'WPP 2024 середина года'!$B$1:$U$1,0))/(1000*INDEX('SALA 2002'!$B:$U,MATCH($A63,'SALA 2002'!$A:$A,0),MATCH(N$1,'SALA 2002'!$B$1:$U$1,0))),($A63-1994)/7),INDEX('WPP 2024 середина года'!$B:$U,MATCH($A63,'WPP 2024 середина года'!$A:$A,0),MATCH(N$1,'WPP 2024 середина года'!$B$1:$U$1,0)))))</f>
        <v>1910</v>
      </c>
      <c r="O63" s="7">
        <f>IF($A63&lt;=1951,INDEX('SALA 1974'!$B:$U,MATCH($A63,'SALA 1974'!$A:$A,0),MATCH(O$1,'SALA 1974'!$B$1:$U$1,0)),IF($A63&lt;=1994,1000*INDEX('SALA 2002'!$B:$U,MATCH($A63,'SALA 2002'!$A:$A,0),MATCH(O$1,'SALA 2002'!$B$1:$U$1,0)),IF($A63&lt;=2000,1000*INDEX('SALA 2002'!$B:$U,MATCH($A63,'SALA 2002'!$A:$A,0),MATCH(O$1,'SALA 2002'!$B$1:$U$1,0))*POWER(INDEX('WPP 2024 середина года'!$B:$U,MATCH($A63,'WPP 2024 середина года'!$A:$A,0),MATCH(O$1,'WPP 2024 середина года'!$B$1:$U$1,0))/(1000*INDEX('SALA 2002'!$B:$U,MATCH($A63,'SALA 2002'!$A:$A,0),MATCH(O$1,'SALA 2002'!$B$1:$U$1,0))),($A63-1994)/7),INDEX('WPP 2024 середина года'!$B:$U,MATCH($A63,'WPP 2024 середина года'!$A:$A,0),MATCH(O$1,'WPP 2024 середина года'!$B$1:$U$1,0)))))</f>
        <v>37270</v>
      </c>
      <c r="P63" s="7">
        <f>IF($A63&lt;=1951,INDEX('SALA 1974'!$B:$U,MATCH($A63,'SALA 1974'!$A:$A,0),MATCH(P$1,'SALA 1974'!$B$1:$U$1,0)),IF($A63&lt;=1994,1000*INDEX('SALA 2002'!$B:$U,MATCH($A63,'SALA 2002'!$A:$A,0),MATCH(P$1,'SALA 2002'!$B$1:$U$1,0)),IF($A63&lt;=2000,1000*INDEX('SALA 2002'!$B:$U,MATCH($A63,'SALA 2002'!$A:$A,0),MATCH(P$1,'SALA 2002'!$B$1:$U$1,0))*POWER(INDEX('WPP 2024 середина года'!$B:$U,MATCH($A63,'WPP 2024 середина года'!$A:$A,0),MATCH(P$1,'WPP 2024 середина года'!$B$1:$U$1,0))/(1000*INDEX('SALA 2002'!$B:$U,MATCH($A63,'SALA 2002'!$A:$A,0),MATCH(P$1,'SALA 2002'!$B$1:$U$1,0))),($A63-1994)/7),INDEX('WPP 2024 середина года'!$B:$U,MATCH($A63,'WPP 2024 середина года'!$A:$A,0),MATCH(P$1,'WPP 2024 середина года'!$B$1:$U$1,0)))))</f>
        <v>1450</v>
      </c>
      <c r="Q63" s="7">
        <f>IF($A63&lt;=1951,INDEX('SALA 1974'!$B:$U,MATCH($A63,'SALA 1974'!$A:$A,0),MATCH(Q$1,'SALA 1974'!$B$1:$U$1,0)),IF($A63&lt;=1994,1000*INDEX('SALA 2002'!$B:$U,MATCH($A63,'SALA 2002'!$A:$A,0),MATCH(Q$1,'SALA 2002'!$B$1:$U$1,0)),IF($A63&lt;=2000,1000*INDEX('SALA 2002'!$B:$U,MATCH($A63,'SALA 2002'!$A:$A,0),MATCH(Q$1,'SALA 2002'!$B$1:$U$1,0))*POWER(INDEX('WPP 2024 середина года'!$B:$U,MATCH($A63,'WPP 2024 середина года'!$A:$A,0),MATCH(Q$1,'WPP 2024 середина года'!$B$1:$U$1,0))/(1000*INDEX('SALA 2002'!$B:$U,MATCH($A63,'SALA 2002'!$A:$A,0),MATCH(Q$1,'SALA 2002'!$B$1:$U$1,0))),($A63-1994)/7),INDEX('WPP 2024 середина года'!$B:$U,MATCH($A63,'WPP 2024 середина года'!$A:$A,0),MATCH(Q$1,'WPP 2024 середина года'!$B$1:$U$1,0)))))</f>
        <v>1090</v>
      </c>
      <c r="R63" s="7">
        <f>IF($A63&lt;=1951,INDEX('SALA 1974'!$B:$U,MATCH($A63,'SALA 1974'!$A:$A,0),MATCH(R$1,'SALA 1974'!$B$1:$U$1,0)),IF($A63&lt;=1994,1000*INDEX('SALA 2002'!$B:$U,MATCH($A63,'SALA 2002'!$A:$A,0),MATCH(R$1,'SALA 2002'!$B$1:$U$1,0)),IF($A63&lt;=2000,1000*INDEX('SALA 2002'!$B:$U,MATCH($A63,'SALA 2002'!$A:$A,0),MATCH(R$1,'SALA 2002'!$B$1:$U$1,0))*POWER(INDEX('WPP 2024 середина года'!$B:$U,MATCH($A63,'WPP 2024 середина года'!$A:$A,0),MATCH(R$1,'WPP 2024 середина года'!$B$1:$U$1,0))/(1000*INDEX('SALA 2002'!$B:$U,MATCH($A63,'SALA 2002'!$A:$A,0),MATCH(R$1,'SALA 2002'!$B$1:$U$1,0))),($A63-1994)/7),INDEX('WPP 2024 середина года'!$B:$U,MATCH($A63,'WPP 2024 середина года'!$A:$A,0),MATCH(R$1,'WPP 2024 середина года'!$B$1:$U$1,0)))))</f>
        <v>1800</v>
      </c>
      <c r="S63" s="7">
        <f>IF($A63&lt;=1951,INDEX('SALA 1974'!$B:$U,MATCH($A63,'SALA 1974'!$A:$A,0),MATCH(S$1,'SALA 1974'!$B$1:$U$1,0)),IF($A63&lt;=1994,1000*INDEX('SALA 2002'!$B:$U,MATCH($A63,'SALA 2002'!$A:$A,0),MATCH(S$1,'SALA 2002'!$B$1:$U$1,0)),IF($A63&lt;=2000,1000*INDEX('SALA 2002'!$B:$U,MATCH($A63,'SALA 2002'!$A:$A,0),MATCH(S$1,'SALA 2002'!$B$1:$U$1,0))*POWER(INDEX('WPP 2024 середина года'!$B:$U,MATCH($A63,'WPP 2024 середина года'!$A:$A,0),MATCH(S$1,'WPP 2024 середина года'!$B$1:$U$1,0))/(1000*INDEX('SALA 2002'!$B:$U,MATCH($A63,'SALA 2002'!$A:$A,0),MATCH(S$1,'SALA 2002'!$B$1:$U$1,0))),($A63-1994)/7),INDEX('WPP 2024 середина года'!$B:$U,MATCH($A63,'WPP 2024 середина года'!$A:$A,0),MATCH(S$1,'WPP 2024 середина года'!$B$1:$U$1,0)))))</f>
        <v>10320</v>
      </c>
      <c r="T63" s="7">
        <f>IF($A63&lt;=1951,INDEX('SALA 1974'!$B:$U,MATCH($A63,'SALA 1974'!$A:$A,0),MATCH(T$1,'SALA 1974'!$B$1:$U$1,0)),IF($A63&lt;=1994,1000*INDEX('SALA 2002'!$B:$U,MATCH($A63,'SALA 2002'!$A:$A,0),MATCH(T$1,'SALA 2002'!$B$1:$U$1,0)),IF($A63&lt;=2000,1000*INDEX('SALA 2002'!$B:$U,MATCH($A63,'SALA 2002'!$A:$A,0),MATCH(T$1,'SALA 2002'!$B$1:$U$1,0))*POWER(INDEX('WPP 2024 середина года'!$B:$U,MATCH($A63,'WPP 2024 середина года'!$A:$A,0),MATCH(T$1,'WPP 2024 середина года'!$B$1:$U$1,0))/(1000*INDEX('SALA 2002'!$B:$U,MATCH($A63,'SALA 2002'!$A:$A,0),MATCH(T$1,'SALA 2002'!$B$1:$U$1,0))),($A63-1994)/7),INDEX('WPP 2024 середина года'!$B:$U,MATCH($A63,'WPP 2024 середина года'!$A:$A,0),MATCH(T$1,'WPP 2024 середина года'!$B$1:$U$1,0)))))</f>
        <v>2580</v>
      </c>
      <c r="U63" s="7">
        <f>IF($A63&lt;=1951,INDEX('SALA 1974'!$B:$U,MATCH($A63,'SALA 1974'!$A:$A,0),MATCH(U$1,'SALA 1974'!$B$1:$U$1,0)),IF($A63&lt;=1994,1000*INDEX('SALA 2002'!$B:$U,MATCH($A63,'SALA 2002'!$A:$A,0),MATCH(U$1,'SALA 2002'!$B$1:$U$1,0)),IF($A63&lt;=2000,1000*INDEX('SALA 2002'!$B:$U,MATCH($A63,'SALA 2002'!$A:$A,0),MATCH(U$1,'SALA 2002'!$B$1:$U$1,0))*POWER(INDEX('WPP 2024 середина года'!$B:$U,MATCH($A63,'WPP 2024 середина года'!$A:$A,0),MATCH(U$1,'WPP 2024 середина года'!$B$1:$U$1,0))/(1000*INDEX('SALA 2002'!$B:$U,MATCH($A63,'SALA 2002'!$A:$A,0),MATCH(U$1,'SALA 2002'!$B$1:$U$1,0))),($A63-1994)/7),INDEX('WPP 2024 середина года'!$B:$U,MATCH($A63,'WPP 2024 середина года'!$A:$A,0),MATCH(U$1,'WPP 2024 середина года'!$B$1:$U$1,0)))))</f>
        <v>7610</v>
      </c>
    </row>
    <row r="64" spans="1:21" x14ac:dyDescent="0.25">
      <c r="A64" s="5">
        <f t="shared" si="0"/>
        <v>1962</v>
      </c>
      <c r="B64" s="7">
        <f>IF($A64&lt;=1951,INDEX('SALA 1974'!$B:$U,MATCH($A64,'SALA 1974'!$A:$A,0),MATCH(B$1,'SALA 1974'!$B$1:$U$1,0)),IF($A64&lt;=1994,1000*INDEX('SALA 2002'!$B:$U,MATCH($A64,'SALA 2002'!$A:$A,0),MATCH(B$1,'SALA 2002'!$B$1:$U$1,0)),IF($A64&lt;=2000,1000*INDEX('SALA 2002'!$B:$U,MATCH($A64,'SALA 2002'!$A:$A,0),MATCH(B$1,'SALA 2002'!$B$1:$U$1,0))*POWER(INDEX('WPP 2024 середина года'!$B:$U,MATCH($A64,'WPP 2024 середина года'!$A:$A,0),MATCH(B$1,'WPP 2024 середина года'!$B$1:$U$1,0))/(1000*INDEX('SALA 2002'!$B:$U,MATCH($A64,'SALA 2002'!$A:$A,0),MATCH(B$1,'SALA 2002'!$B$1:$U$1,0))),($A64-1994)/7),INDEX('WPP 2024 середина года'!$B:$U,MATCH($A64,'WPP 2024 середина года'!$A:$A,0),MATCH(B$1,'WPP 2024 середина года'!$B$1:$U$1,0)))))</f>
        <v>20540</v>
      </c>
      <c r="C64" s="7">
        <f>IF($A64&lt;=1951,INDEX('SALA 1974'!$B:$U,MATCH($A64,'SALA 1974'!$A:$A,0),MATCH(C$1,'SALA 1974'!$B$1:$U$1,0)),IF($A64&lt;=1994,1000*INDEX('SALA 2002'!$B:$U,MATCH($A64,'SALA 2002'!$A:$A,0),MATCH(C$1,'SALA 2002'!$B$1:$U$1,0)),IF($A64&lt;=2000,1000*INDEX('SALA 2002'!$B:$U,MATCH($A64,'SALA 2002'!$A:$A,0),MATCH(C$1,'SALA 2002'!$B$1:$U$1,0))*POWER(INDEX('WPP 2024 середина года'!$B:$U,MATCH($A64,'WPP 2024 середина года'!$A:$A,0),MATCH(C$1,'WPP 2024 середина года'!$B$1:$U$1,0))/(1000*INDEX('SALA 2002'!$B:$U,MATCH($A64,'SALA 2002'!$A:$A,0),MATCH(C$1,'SALA 2002'!$B$1:$U$1,0))),($A64-1994)/7),INDEX('WPP 2024 середина года'!$B:$U,MATCH($A64,'WPP 2024 середина года'!$A:$A,0),MATCH(C$1,'WPP 2024 середина года'!$B$1:$U$1,0)))))</f>
        <v>4019.9999999999995</v>
      </c>
      <c r="D64" s="7">
        <f>IF($A64&lt;=1951,INDEX('SALA 1974'!$B:$U,MATCH($A64,'SALA 1974'!$A:$A,0),MATCH(D$1,'SALA 1974'!$B$1:$U$1,0)),IF($A64&lt;=1994,1000*INDEX('SALA 2002'!$B:$U,MATCH($A64,'SALA 2002'!$A:$A,0),MATCH(D$1,'SALA 2002'!$B$1:$U$1,0)),IF($A64&lt;=2000,1000*INDEX('SALA 2002'!$B:$U,MATCH($A64,'SALA 2002'!$A:$A,0),MATCH(D$1,'SALA 2002'!$B$1:$U$1,0))*POWER(INDEX('WPP 2024 середина года'!$B:$U,MATCH($A64,'WPP 2024 середина года'!$A:$A,0),MATCH(D$1,'WPP 2024 середина года'!$B$1:$U$1,0))/(1000*INDEX('SALA 2002'!$B:$U,MATCH($A64,'SALA 2002'!$A:$A,0),MATCH(D$1,'SALA 2002'!$B$1:$U$1,0))),($A64-1994)/7),INDEX('WPP 2024 середина года'!$B:$U,MATCH($A64,'WPP 2024 середина года'!$A:$A,0),MATCH(D$1,'WPP 2024 середина года'!$B$1:$U$1,0)))))</f>
        <v>74170</v>
      </c>
      <c r="E64" s="7">
        <f>IF($A64&lt;=1951,INDEX('SALA 1974'!$B:$U,MATCH($A64,'SALA 1974'!$A:$A,0),MATCH(E$1,'SALA 1974'!$B$1:$U$1,0)),IF($A64&lt;=1994,1000*INDEX('SALA 2002'!$B:$U,MATCH($A64,'SALA 2002'!$A:$A,0),MATCH(E$1,'SALA 2002'!$B$1:$U$1,0)),IF($A64&lt;=2000,1000*INDEX('SALA 2002'!$B:$U,MATCH($A64,'SALA 2002'!$A:$A,0),MATCH(E$1,'SALA 2002'!$B$1:$U$1,0))*POWER(INDEX('WPP 2024 середина года'!$B:$U,MATCH($A64,'WPP 2024 середина года'!$A:$A,0),MATCH(E$1,'WPP 2024 середина года'!$B$1:$U$1,0))/(1000*INDEX('SALA 2002'!$B:$U,MATCH($A64,'SALA 2002'!$A:$A,0),MATCH(E$1,'SALA 2002'!$B$1:$U$1,0))),($A64-1994)/7),INDEX('WPP 2024 середина года'!$B:$U,MATCH($A64,'WPP 2024 середина года'!$A:$A,0),MATCH(E$1,'WPP 2024 середина года'!$B$1:$U$1,0)))))</f>
        <v>7950</v>
      </c>
      <c r="F64" s="7">
        <f>IF($A64&lt;=1947,INDEX('SALA 1974'!$B:$U,MATCH($A64,'SALA 1974'!$A:$A,0),MATCH(F$1,'SALA 1974'!$B$1:$U$1,0)),IF($A64&lt;=1994,1000*INDEX('SALA 2002'!$B:$U,MATCH($A64,'SALA 2002'!$A:$A,0),MATCH(F$1,'SALA 2002'!$B$1:$U$1,0)),IF($A64&lt;=2000,1000*INDEX('SALA 2002'!$B:$U,MATCH($A64,'SALA 2002'!$A:$A,0),MATCH(F$1,'SALA 2002'!$B$1:$U$1,0))*POWER(INDEX('WPP 2024 середина года'!$B:$U,MATCH($A64,'WPP 2024 середина года'!$A:$A,0),MATCH(F$1,'WPP 2024 середина года'!$B$1:$U$1,0))/(1000*INDEX('SALA 2002'!$B:$U,MATCH($A64,'SALA 2002'!$A:$A,0),MATCH(F$1,'SALA 2002'!$B$1:$U$1,0))),($A64-1994)/7),INDEX('WPP 2024 середина года'!$B:$U,MATCH($A64,'WPP 2024 середина года'!$A:$A,0),MATCH(F$1,'WPP 2024 середина года'!$B$1:$U$1,0)))))</f>
        <v>16420</v>
      </c>
      <c r="G64" s="7">
        <f>IF($A64&lt;=1951,INDEX('SALA 1974'!$B:$U,MATCH($A64,'SALA 1974'!$A:$A,0),MATCH(G$1,'SALA 1974'!$B$1:$U$1,0)),IF($A64&lt;=1994,1000*INDEX('SALA 2002'!$B:$U,MATCH($A64,'SALA 2002'!$A:$A,0),MATCH(G$1,'SALA 2002'!$B$1:$U$1,0)),IF($A64&lt;=2000,1000*INDEX('SALA 2002'!$B:$U,MATCH($A64,'SALA 2002'!$A:$A,0),MATCH(G$1,'SALA 2002'!$B$1:$U$1,0))*POWER(INDEX('WPP 2024 середина года'!$B:$U,MATCH($A64,'WPP 2024 середина года'!$A:$A,0),MATCH(G$1,'WPP 2024 середина года'!$B$1:$U$1,0))/(1000*INDEX('SALA 2002'!$B:$U,MATCH($A64,'SALA 2002'!$A:$A,0),MATCH(G$1,'SALA 2002'!$B$1:$U$1,0))),($A64-1994)/7),INDEX('WPP 2024 середина года'!$B:$U,MATCH($A64,'WPP 2024 середина года'!$A:$A,0),MATCH(G$1,'WPP 2024 середина года'!$B$1:$U$1,0)))))</f>
        <v>1350</v>
      </c>
      <c r="H64" s="7">
        <f>IF($A64&lt;=1951,INDEX('SALA 1974'!$B:$U,MATCH($A64,'SALA 1974'!$A:$A,0),MATCH(H$1,'SALA 1974'!$B$1:$U$1,0)),IF($A64&lt;=1994,1000*INDEX('SALA 2002'!$B:$U,MATCH($A64,'SALA 2002'!$A:$A,0),MATCH(H$1,'SALA 2002'!$B$1:$U$1,0)),IF($A64&lt;=2000,1000*INDEX('SALA 2002'!$B:$U,MATCH($A64,'SALA 2002'!$A:$A,0),MATCH(H$1,'SALA 2002'!$B$1:$U$1,0))*POWER(INDEX('WPP 2024 середина года'!$B:$U,MATCH($A64,'WPP 2024 середина года'!$A:$A,0),MATCH(H$1,'WPP 2024 середина года'!$B$1:$U$1,0))/(1000*INDEX('SALA 2002'!$B:$U,MATCH($A64,'SALA 2002'!$A:$A,0),MATCH(H$1,'SALA 2002'!$B$1:$U$1,0))),($A64-1994)/7),INDEX('WPP 2024 середина года'!$B:$U,MATCH($A64,'WPP 2024 середина года'!$A:$A,0),MATCH(H$1,'WPP 2024 середина года'!$B$1:$U$1,0)))))</f>
        <v>7250</v>
      </c>
      <c r="I64" s="7">
        <f>IF($A64&lt;=1951,INDEX('SALA 1974'!$B:$U,MATCH($A64,'SALA 1974'!$A:$A,0),MATCH(I$1,'SALA 1974'!$B$1:$U$1,0)),IF($A64&lt;=1994,1000*INDEX('SALA 2002'!$B:$U,MATCH($A64,'SALA 2002'!$A:$A,0),MATCH(I$1,'SALA 2002'!$B$1:$U$1,0)),IF($A64&lt;=2000,1000*INDEX('SALA 2002'!$B:$U,MATCH($A64,'SALA 2002'!$A:$A,0),MATCH(I$1,'SALA 2002'!$B$1:$U$1,0))*POWER(INDEX('WPP 2024 середина года'!$B:$U,MATCH($A64,'WPP 2024 середина года'!$A:$A,0),MATCH(I$1,'WPP 2024 середина года'!$B$1:$U$1,0))/(1000*INDEX('SALA 2002'!$B:$U,MATCH($A64,'SALA 2002'!$A:$A,0),MATCH(I$1,'SALA 2002'!$B$1:$U$1,0))),($A64-1994)/7),INDEX('WPP 2024 середина года'!$B:$U,MATCH($A64,'WPP 2024 середина года'!$A:$A,0),MATCH(I$1,'WPP 2024 середина года'!$B$1:$U$1,0)))))</f>
        <v>3210</v>
      </c>
      <c r="J64" s="7">
        <f>IF($A64&lt;=1951,INDEX('SALA 1974'!$B:$U,MATCH($A64,'SALA 1974'!$A:$A,0),MATCH(J$1,'SALA 1974'!$B$1:$U$1,0)),IF($A64&lt;=1994,1000*INDEX('SALA 2002'!$B:$U,MATCH($A64,'SALA 2002'!$A:$A,0),MATCH(J$1,'SALA 2002'!$B$1:$U$1,0)),IF($A64&lt;=2000,1000*INDEX('SALA 2002'!$B:$U,MATCH($A64,'SALA 2002'!$A:$A,0),MATCH(J$1,'SALA 2002'!$B$1:$U$1,0))*POWER(INDEX('WPP 2024 середина года'!$B:$U,MATCH($A64,'WPP 2024 середина года'!$A:$A,0),MATCH(J$1,'WPP 2024 середина года'!$B$1:$U$1,0))/(1000*INDEX('SALA 2002'!$B:$U,MATCH($A64,'SALA 2002'!$A:$A,0),MATCH(J$1,'SALA 2002'!$B$1:$U$1,0))),($A64-1994)/7),INDEX('WPP 2024 середина года'!$B:$U,MATCH($A64,'WPP 2024 середина года'!$A:$A,0),MATCH(J$1,'WPP 2024 середина года'!$B$1:$U$1,0)))))</f>
        <v>4650</v>
      </c>
      <c r="K64" s="7">
        <f>IF($A64&lt;=1951,INDEX('SALA 1974'!$B:$U,MATCH($A64,'SALA 1974'!$A:$A,0),MATCH(K$1,'SALA 1974'!$B$1:$U$1,0)),IF($A64&lt;=1994,1000*INDEX('SALA 2002'!$B:$U,MATCH($A64,'SALA 2002'!$A:$A,0),MATCH(K$1,'SALA 2002'!$B$1:$U$1,0)),IF($A64&lt;=2000,1000*INDEX('SALA 2002'!$B:$U,MATCH($A64,'SALA 2002'!$A:$A,0),MATCH(K$1,'SALA 2002'!$B$1:$U$1,0))*POWER(INDEX('WPP 2024 середина года'!$B:$U,MATCH($A64,'WPP 2024 середина года'!$A:$A,0),MATCH(K$1,'WPP 2024 середина года'!$B$1:$U$1,0))/(1000*INDEX('SALA 2002'!$B:$U,MATCH($A64,'SALA 2002'!$A:$A,0),MATCH(K$1,'SALA 2002'!$B$1:$U$1,0))),($A64-1994)/7),INDEX('WPP 2024 середина года'!$B:$U,MATCH($A64,'WPP 2024 середина года'!$A:$A,0),MATCH(K$1,'WPP 2024 середина года'!$B$1:$U$1,0)))))</f>
        <v>2630</v>
      </c>
      <c r="L64" s="7">
        <f>IF($A64&lt;=1951,INDEX('SALA 1974'!$B:$U,MATCH($A64,'SALA 1974'!$A:$A,0),MATCH(L$1,'SALA 1974'!$B$1:$U$1,0)),IF($A64&lt;=1994,1000*INDEX('SALA 2002'!$B:$U,MATCH($A64,'SALA 2002'!$A:$A,0),MATCH(L$1,'SALA 2002'!$B$1:$U$1,0)),IF($A64&lt;=2000,1000*INDEX('SALA 2002'!$B:$U,MATCH($A64,'SALA 2002'!$A:$A,0),MATCH(L$1,'SALA 2002'!$B$1:$U$1,0))*POWER(INDEX('WPP 2024 середина года'!$B:$U,MATCH($A64,'WPP 2024 середина года'!$A:$A,0),MATCH(L$1,'WPP 2024 середина года'!$B$1:$U$1,0))/(1000*INDEX('SALA 2002'!$B:$U,MATCH($A64,'SALA 2002'!$A:$A,0),MATCH(L$1,'SALA 2002'!$B$1:$U$1,0))),($A64-1994)/7),INDEX('WPP 2024 середина года'!$B:$U,MATCH($A64,'WPP 2024 середина года'!$A:$A,0),MATCH(L$1,'WPP 2024 середина года'!$B$1:$U$1,0)))))</f>
        <v>4059.9999999999995</v>
      </c>
      <c r="M64" s="7">
        <f>IF($A64&lt;=1951,INDEX('SALA 1974'!$B:$U,MATCH($A64,'SALA 1974'!$A:$A,0),MATCH(M$1,'SALA 1974'!$B$1:$U$1,0)),IF($A64&lt;=1994,1000*INDEX('SALA 2002'!$B:$U,MATCH($A64,'SALA 2002'!$A:$A,0),MATCH(M$1,'SALA 2002'!$B$1:$U$1,0)),IF($A64&lt;=2000,1000*INDEX('SALA 2002'!$B:$U,MATCH($A64,'SALA 2002'!$A:$A,0),MATCH(M$1,'SALA 2002'!$B$1:$U$1,0))*POWER(INDEX('WPP 2024 середина года'!$B:$U,MATCH($A64,'WPP 2024 середина года'!$A:$A,0),MATCH(M$1,'WPP 2024 середина года'!$B$1:$U$1,0))/(1000*INDEX('SALA 2002'!$B:$U,MATCH($A64,'SALA 2002'!$A:$A,0),MATCH(M$1,'SALA 2002'!$B$1:$U$1,0))),($A64-1994)/7),INDEX('WPP 2024 середина года'!$B:$U,MATCH($A64,'WPP 2024 середина года'!$A:$A,0),MATCH(M$1,'WPP 2024 середина года'!$B$1:$U$1,0)))))</f>
        <v>3740</v>
      </c>
      <c r="N64" s="7">
        <f>IF($A64&lt;=1951,INDEX('SALA 1974'!$B:$U,MATCH($A64,'SALA 1974'!$A:$A,0),MATCH(N$1,'SALA 1974'!$B$1:$U$1,0)),IF($A64&lt;=1994,1000*INDEX('SALA 2002'!$B:$U,MATCH($A64,'SALA 2002'!$A:$A,0),MATCH(N$1,'SALA 2002'!$B$1:$U$1,0)),IF($A64&lt;=2000,1000*INDEX('SALA 2002'!$B:$U,MATCH($A64,'SALA 2002'!$A:$A,0),MATCH(N$1,'SALA 2002'!$B$1:$U$1,0))*POWER(INDEX('WPP 2024 середина года'!$B:$U,MATCH($A64,'WPP 2024 середина года'!$A:$A,0),MATCH(N$1,'WPP 2024 середина года'!$B$1:$U$1,0))/(1000*INDEX('SALA 2002'!$B:$U,MATCH($A64,'SALA 2002'!$A:$A,0),MATCH(N$1,'SALA 2002'!$B$1:$U$1,0))),($A64-1994)/7),INDEX('WPP 2024 середина года'!$B:$U,MATCH($A64,'WPP 2024 середина года'!$A:$A,0),MATCH(N$1,'WPP 2024 середина года'!$B$1:$U$1,0)))))</f>
        <v>1970</v>
      </c>
      <c r="O64" s="7">
        <f>IF($A64&lt;=1951,INDEX('SALA 1974'!$B:$U,MATCH($A64,'SALA 1974'!$A:$A,0),MATCH(O$1,'SALA 1974'!$B$1:$U$1,0)),IF($A64&lt;=1994,1000*INDEX('SALA 2002'!$B:$U,MATCH($A64,'SALA 2002'!$A:$A,0),MATCH(O$1,'SALA 2002'!$B$1:$U$1,0)),IF($A64&lt;=2000,1000*INDEX('SALA 2002'!$B:$U,MATCH($A64,'SALA 2002'!$A:$A,0),MATCH(O$1,'SALA 2002'!$B$1:$U$1,0))*POWER(INDEX('WPP 2024 середина года'!$B:$U,MATCH($A64,'WPP 2024 середина года'!$A:$A,0),MATCH(O$1,'WPP 2024 середина года'!$B$1:$U$1,0))/(1000*INDEX('SALA 2002'!$B:$U,MATCH($A64,'SALA 2002'!$A:$A,0),MATCH(O$1,'SALA 2002'!$B$1:$U$1,0))),($A64-1994)/7),INDEX('WPP 2024 середина года'!$B:$U,MATCH($A64,'WPP 2024 середина года'!$A:$A,0),MATCH(O$1,'WPP 2024 середина года'!$B$1:$U$1,0)))))</f>
        <v>38540</v>
      </c>
      <c r="P64" s="7">
        <f>IF($A64&lt;=1951,INDEX('SALA 1974'!$B:$U,MATCH($A64,'SALA 1974'!$A:$A,0),MATCH(P$1,'SALA 1974'!$B$1:$U$1,0)),IF($A64&lt;=1994,1000*INDEX('SALA 2002'!$B:$U,MATCH($A64,'SALA 2002'!$A:$A,0),MATCH(P$1,'SALA 2002'!$B$1:$U$1,0)),IF($A64&lt;=2000,1000*INDEX('SALA 2002'!$B:$U,MATCH($A64,'SALA 2002'!$A:$A,0),MATCH(P$1,'SALA 2002'!$B$1:$U$1,0))*POWER(INDEX('WPP 2024 середина года'!$B:$U,MATCH($A64,'WPP 2024 середина года'!$A:$A,0),MATCH(P$1,'WPP 2024 середина года'!$B$1:$U$1,0))/(1000*INDEX('SALA 2002'!$B:$U,MATCH($A64,'SALA 2002'!$A:$A,0),MATCH(P$1,'SALA 2002'!$B$1:$U$1,0))),($A64-1994)/7),INDEX('WPP 2024 середина года'!$B:$U,MATCH($A64,'WPP 2024 середина года'!$A:$A,0),MATCH(P$1,'WPP 2024 середина года'!$B$1:$U$1,0)))))</f>
        <v>1500</v>
      </c>
      <c r="Q64" s="7">
        <f>IF($A64&lt;=1951,INDEX('SALA 1974'!$B:$U,MATCH($A64,'SALA 1974'!$A:$A,0),MATCH(Q$1,'SALA 1974'!$B$1:$U$1,0)),IF($A64&lt;=1994,1000*INDEX('SALA 2002'!$B:$U,MATCH($A64,'SALA 2002'!$A:$A,0),MATCH(Q$1,'SALA 2002'!$B$1:$U$1,0)),IF($A64&lt;=2000,1000*INDEX('SALA 2002'!$B:$U,MATCH($A64,'SALA 2002'!$A:$A,0),MATCH(Q$1,'SALA 2002'!$B$1:$U$1,0))*POWER(INDEX('WPP 2024 середина года'!$B:$U,MATCH($A64,'WPP 2024 середина года'!$A:$A,0),MATCH(Q$1,'WPP 2024 середина года'!$B$1:$U$1,0))/(1000*INDEX('SALA 2002'!$B:$U,MATCH($A64,'SALA 2002'!$A:$A,0),MATCH(Q$1,'SALA 2002'!$B$1:$U$1,0))),($A64-1994)/7),INDEX('WPP 2024 середина года'!$B:$U,MATCH($A64,'WPP 2024 середина года'!$A:$A,0),MATCH(Q$1,'WPP 2024 середина года'!$B$1:$U$1,0)))))</f>
        <v>1130</v>
      </c>
      <c r="R64" s="7">
        <f>IF($A64&lt;=1951,INDEX('SALA 1974'!$B:$U,MATCH($A64,'SALA 1974'!$A:$A,0),MATCH(R$1,'SALA 1974'!$B$1:$U$1,0)),IF($A64&lt;=1994,1000*INDEX('SALA 2002'!$B:$U,MATCH($A64,'SALA 2002'!$A:$A,0),MATCH(R$1,'SALA 2002'!$B$1:$U$1,0)),IF($A64&lt;=2000,1000*INDEX('SALA 2002'!$B:$U,MATCH($A64,'SALA 2002'!$A:$A,0),MATCH(R$1,'SALA 2002'!$B$1:$U$1,0))*POWER(INDEX('WPP 2024 середина года'!$B:$U,MATCH($A64,'WPP 2024 середина года'!$A:$A,0),MATCH(R$1,'WPP 2024 середина года'!$B$1:$U$1,0))/(1000*INDEX('SALA 2002'!$B:$U,MATCH($A64,'SALA 2002'!$A:$A,0),MATCH(R$1,'SALA 2002'!$B$1:$U$1,0))),($A64-1994)/7),INDEX('WPP 2024 середина года'!$B:$U,MATCH($A64,'WPP 2024 середина года'!$A:$A,0),MATCH(R$1,'WPP 2024 середина года'!$B$1:$U$1,0)))))</f>
        <v>1850</v>
      </c>
      <c r="S64" s="7">
        <f>IF($A64&lt;=1951,INDEX('SALA 1974'!$B:$U,MATCH($A64,'SALA 1974'!$A:$A,0),MATCH(S$1,'SALA 1974'!$B$1:$U$1,0)),IF($A64&lt;=1994,1000*INDEX('SALA 2002'!$B:$U,MATCH($A64,'SALA 2002'!$A:$A,0),MATCH(S$1,'SALA 2002'!$B$1:$U$1,0)),IF($A64&lt;=2000,1000*INDEX('SALA 2002'!$B:$U,MATCH($A64,'SALA 2002'!$A:$A,0),MATCH(S$1,'SALA 2002'!$B$1:$U$1,0))*POWER(INDEX('WPP 2024 середина года'!$B:$U,MATCH($A64,'WPP 2024 середина года'!$A:$A,0),MATCH(S$1,'WPP 2024 середина года'!$B$1:$U$1,0))/(1000*INDEX('SALA 2002'!$B:$U,MATCH($A64,'SALA 2002'!$A:$A,0),MATCH(S$1,'SALA 2002'!$B$1:$U$1,0))),($A64-1994)/7),INDEX('WPP 2024 середина года'!$B:$U,MATCH($A64,'WPP 2024 середина года'!$A:$A,0),MATCH(S$1,'WPP 2024 середина года'!$B$1:$U$1,0)))))</f>
        <v>10630</v>
      </c>
      <c r="T64" s="7">
        <f>IF($A64&lt;=1951,INDEX('SALA 1974'!$B:$U,MATCH($A64,'SALA 1974'!$A:$A,0),MATCH(T$1,'SALA 1974'!$B$1:$U$1,0)),IF($A64&lt;=1994,1000*INDEX('SALA 2002'!$B:$U,MATCH($A64,'SALA 2002'!$A:$A,0),MATCH(T$1,'SALA 2002'!$B$1:$U$1,0)),IF($A64&lt;=2000,1000*INDEX('SALA 2002'!$B:$U,MATCH($A64,'SALA 2002'!$A:$A,0),MATCH(T$1,'SALA 2002'!$B$1:$U$1,0))*POWER(INDEX('WPP 2024 середина года'!$B:$U,MATCH($A64,'WPP 2024 середина года'!$A:$A,0),MATCH(T$1,'WPP 2024 середина года'!$B$1:$U$1,0))/(1000*INDEX('SALA 2002'!$B:$U,MATCH($A64,'SALA 2002'!$A:$A,0),MATCH(T$1,'SALA 2002'!$B$1:$U$1,0))),($A64-1994)/7),INDEX('WPP 2024 середина года'!$B:$U,MATCH($A64,'WPP 2024 середина года'!$A:$A,0),MATCH(T$1,'WPP 2024 середина года'!$B$1:$U$1,0)))))</f>
        <v>2610</v>
      </c>
      <c r="U64" s="7">
        <f>IF($A64&lt;=1951,INDEX('SALA 1974'!$B:$U,MATCH($A64,'SALA 1974'!$A:$A,0),MATCH(U$1,'SALA 1974'!$B$1:$U$1,0)),IF($A64&lt;=1994,1000*INDEX('SALA 2002'!$B:$U,MATCH($A64,'SALA 2002'!$A:$A,0),MATCH(U$1,'SALA 2002'!$B$1:$U$1,0)),IF($A64&lt;=2000,1000*INDEX('SALA 2002'!$B:$U,MATCH($A64,'SALA 2002'!$A:$A,0),MATCH(U$1,'SALA 2002'!$B$1:$U$1,0))*POWER(INDEX('WPP 2024 середина года'!$B:$U,MATCH($A64,'WPP 2024 середина года'!$A:$A,0),MATCH(U$1,'WPP 2024 середина года'!$B$1:$U$1,0))/(1000*INDEX('SALA 2002'!$B:$U,MATCH($A64,'SALA 2002'!$A:$A,0),MATCH(U$1,'SALA 2002'!$B$1:$U$1,0))),($A64-1994)/7),INDEX('WPP 2024 середина года'!$B:$U,MATCH($A64,'WPP 2024 середина года'!$A:$A,0),MATCH(U$1,'WPP 2024 середина года'!$B$1:$U$1,0)))))</f>
        <v>7860</v>
      </c>
    </row>
    <row r="65" spans="1:21" x14ac:dyDescent="0.25">
      <c r="A65" s="5">
        <f t="shared" si="0"/>
        <v>1963</v>
      </c>
      <c r="B65" s="7">
        <f>IF($A65&lt;=1951,INDEX('SALA 1974'!$B:$U,MATCH($A65,'SALA 1974'!$A:$A,0),MATCH(B$1,'SALA 1974'!$B$1:$U$1,0)),IF($A65&lt;=1994,1000*INDEX('SALA 2002'!$B:$U,MATCH($A65,'SALA 2002'!$A:$A,0),MATCH(B$1,'SALA 2002'!$B$1:$U$1,0)),IF($A65&lt;=2000,1000*INDEX('SALA 2002'!$B:$U,MATCH($A65,'SALA 2002'!$A:$A,0),MATCH(B$1,'SALA 2002'!$B$1:$U$1,0))*POWER(INDEX('WPP 2024 середина года'!$B:$U,MATCH($A65,'WPP 2024 середина года'!$A:$A,0),MATCH(B$1,'WPP 2024 середина года'!$B$1:$U$1,0))/(1000*INDEX('SALA 2002'!$B:$U,MATCH($A65,'SALA 2002'!$A:$A,0),MATCH(B$1,'SALA 2002'!$B$1:$U$1,0))),($A65-1994)/7),INDEX('WPP 2024 середина года'!$B:$U,MATCH($A65,'WPP 2024 середина года'!$A:$A,0),MATCH(B$1,'WPP 2024 середина года'!$B$1:$U$1,0)))))</f>
        <v>20850</v>
      </c>
      <c r="C65" s="7">
        <f>IF($A65&lt;=1951,INDEX('SALA 1974'!$B:$U,MATCH($A65,'SALA 1974'!$A:$A,0),MATCH(C$1,'SALA 1974'!$B$1:$U$1,0)),IF($A65&lt;=1994,1000*INDEX('SALA 2002'!$B:$U,MATCH($A65,'SALA 2002'!$A:$A,0),MATCH(C$1,'SALA 2002'!$B$1:$U$1,0)),IF($A65&lt;=2000,1000*INDEX('SALA 2002'!$B:$U,MATCH($A65,'SALA 2002'!$A:$A,0),MATCH(C$1,'SALA 2002'!$B$1:$U$1,0))*POWER(INDEX('WPP 2024 середина года'!$B:$U,MATCH($A65,'WPP 2024 середина года'!$A:$A,0),MATCH(C$1,'WPP 2024 середина года'!$B$1:$U$1,0))/(1000*INDEX('SALA 2002'!$B:$U,MATCH($A65,'SALA 2002'!$A:$A,0),MATCH(C$1,'SALA 2002'!$B$1:$U$1,0))),($A65-1994)/7),INDEX('WPP 2024 середина года'!$B:$U,MATCH($A65,'WPP 2024 середина года'!$A:$A,0),MATCH(C$1,'WPP 2024 середина года'!$B$1:$U$1,0)))))</f>
        <v>4120</v>
      </c>
      <c r="D65" s="7">
        <f>IF($A65&lt;=1951,INDEX('SALA 1974'!$B:$U,MATCH($A65,'SALA 1974'!$A:$A,0),MATCH(D$1,'SALA 1974'!$B$1:$U$1,0)),IF($A65&lt;=1994,1000*INDEX('SALA 2002'!$B:$U,MATCH($A65,'SALA 2002'!$A:$A,0),MATCH(D$1,'SALA 2002'!$B$1:$U$1,0)),IF($A65&lt;=2000,1000*INDEX('SALA 2002'!$B:$U,MATCH($A65,'SALA 2002'!$A:$A,0),MATCH(D$1,'SALA 2002'!$B$1:$U$1,0))*POWER(INDEX('WPP 2024 середина года'!$B:$U,MATCH($A65,'WPP 2024 середина года'!$A:$A,0),MATCH(D$1,'WPP 2024 середина года'!$B$1:$U$1,0))/(1000*INDEX('SALA 2002'!$B:$U,MATCH($A65,'SALA 2002'!$A:$A,0),MATCH(D$1,'SALA 2002'!$B$1:$U$1,0))),($A65-1994)/7),INDEX('WPP 2024 середина года'!$B:$U,MATCH($A65,'WPP 2024 середина года'!$A:$A,0),MATCH(D$1,'WPP 2024 середина года'!$B$1:$U$1,0)))))</f>
        <v>76530</v>
      </c>
      <c r="E65" s="7">
        <f>IF($A65&lt;=1951,INDEX('SALA 1974'!$B:$U,MATCH($A65,'SALA 1974'!$A:$A,0),MATCH(E$1,'SALA 1974'!$B$1:$U$1,0)),IF($A65&lt;=1994,1000*INDEX('SALA 2002'!$B:$U,MATCH($A65,'SALA 2002'!$A:$A,0),MATCH(E$1,'SALA 2002'!$B$1:$U$1,0)),IF($A65&lt;=2000,1000*INDEX('SALA 2002'!$B:$U,MATCH($A65,'SALA 2002'!$A:$A,0),MATCH(E$1,'SALA 2002'!$B$1:$U$1,0))*POWER(INDEX('WPP 2024 середина года'!$B:$U,MATCH($A65,'WPP 2024 середина года'!$A:$A,0),MATCH(E$1,'WPP 2024 середина года'!$B$1:$U$1,0))/(1000*INDEX('SALA 2002'!$B:$U,MATCH($A65,'SALA 2002'!$A:$A,0),MATCH(E$1,'SALA 2002'!$B$1:$U$1,0))),($A65-1994)/7),INDEX('WPP 2024 середина года'!$B:$U,MATCH($A65,'WPP 2024 середина года'!$A:$A,0),MATCH(E$1,'WPP 2024 середина года'!$B$1:$U$1,0)))))</f>
        <v>8140.0000000000009</v>
      </c>
      <c r="F65" s="7">
        <f>IF($A65&lt;=1947,INDEX('SALA 1974'!$B:$U,MATCH($A65,'SALA 1974'!$A:$A,0),MATCH(F$1,'SALA 1974'!$B$1:$U$1,0)),IF($A65&lt;=1994,1000*INDEX('SALA 2002'!$B:$U,MATCH($A65,'SALA 2002'!$A:$A,0),MATCH(F$1,'SALA 2002'!$B$1:$U$1,0)),IF($A65&lt;=2000,1000*INDEX('SALA 2002'!$B:$U,MATCH($A65,'SALA 2002'!$A:$A,0),MATCH(F$1,'SALA 2002'!$B$1:$U$1,0))*POWER(INDEX('WPP 2024 середина года'!$B:$U,MATCH($A65,'WPP 2024 середина года'!$A:$A,0),MATCH(F$1,'WPP 2024 середина года'!$B$1:$U$1,0))/(1000*INDEX('SALA 2002'!$B:$U,MATCH($A65,'SALA 2002'!$A:$A,0),MATCH(F$1,'SALA 2002'!$B$1:$U$1,0))),($A65-1994)/7),INDEX('WPP 2024 середина года'!$B:$U,MATCH($A65,'WPP 2024 середина года'!$A:$A,0),MATCH(F$1,'WPP 2024 середина года'!$B$1:$U$1,0)))))</f>
        <v>16940</v>
      </c>
      <c r="G65" s="7">
        <f>IF($A65&lt;=1951,INDEX('SALA 1974'!$B:$U,MATCH($A65,'SALA 1974'!$A:$A,0),MATCH(G$1,'SALA 1974'!$B$1:$U$1,0)),IF($A65&lt;=1994,1000*INDEX('SALA 2002'!$B:$U,MATCH($A65,'SALA 2002'!$A:$A,0),MATCH(G$1,'SALA 2002'!$B$1:$U$1,0)),IF($A65&lt;=2000,1000*INDEX('SALA 2002'!$B:$U,MATCH($A65,'SALA 2002'!$A:$A,0),MATCH(G$1,'SALA 2002'!$B$1:$U$1,0))*POWER(INDEX('WPP 2024 середина года'!$B:$U,MATCH($A65,'WPP 2024 середина года'!$A:$A,0),MATCH(G$1,'WPP 2024 середина года'!$B$1:$U$1,0))/(1000*INDEX('SALA 2002'!$B:$U,MATCH($A65,'SALA 2002'!$A:$A,0),MATCH(G$1,'SALA 2002'!$B$1:$U$1,0))),($A65-1994)/7),INDEX('WPP 2024 середина года'!$B:$U,MATCH($A65,'WPP 2024 середина года'!$A:$A,0),MATCH(G$1,'WPP 2024 середина года'!$B$1:$U$1,0)))))</f>
        <v>1390</v>
      </c>
      <c r="H65" s="7">
        <f>IF($A65&lt;=1951,INDEX('SALA 1974'!$B:$U,MATCH($A65,'SALA 1974'!$A:$A,0),MATCH(H$1,'SALA 1974'!$B$1:$U$1,0)),IF($A65&lt;=1994,1000*INDEX('SALA 2002'!$B:$U,MATCH($A65,'SALA 2002'!$A:$A,0),MATCH(H$1,'SALA 2002'!$B$1:$U$1,0)),IF($A65&lt;=2000,1000*INDEX('SALA 2002'!$B:$U,MATCH($A65,'SALA 2002'!$A:$A,0),MATCH(H$1,'SALA 2002'!$B$1:$U$1,0))*POWER(INDEX('WPP 2024 середина года'!$B:$U,MATCH($A65,'WPP 2024 середина года'!$A:$A,0),MATCH(H$1,'WPP 2024 середина года'!$B$1:$U$1,0))/(1000*INDEX('SALA 2002'!$B:$U,MATCH($A65,'SALA 2002'!$A:$A,0),MATCH(H$1,'SALA 2002'!$B$1:$U$1,0))),($A65-1994)/7),INDEX('WPP 2024 середина года'!$B:$U,MATCH($A65,'WPP 2024 середина года'!$A:$A,0),MATCH(H$1,'WPP 2024 середина года'!$B$1:$U$1,0)))))</f>
        <v>7410</v>
      </c>
      <c r="I65" s="7">
        <f>IF($A65&lt;=1951,INDEX('SALA 1974'!$B:$U,MATCH($A65,'SALA 1974'!$A:$A,0),MATCH(I$1,'SALA 1974'!$B$1:$U$1,0)),IF($A65&lt;=1994,1000*INDEX('SALA 2002'!$B:$U,MATCH($A65,'SALA 2002'!$A:$A,0),MATCH(I$1,'SALA 2002'!$B$1:$U$1,0)),IF($A65&lt;=2000,1000*INDEX('SALA 2002'!$B:$U,MATCH($A65,'SALA 2002'!$A:$A,0),MATCH(I$1,'SALA 2002'!$B$1:$U$1,0))*POWER(INDEX('WPP 2024 середина года'!$B:$U,MATCH($A65,'WPP 2024 середина года'!$A:$A,0),MATCH(I$1,'WPP 2024 середина года'!$B$1:$U$1,0))/(1000*INDEX('SALA 2002'!$B:$U,MATCH($A65,'SALA 2002'!$A:$A,0),MATCH(I$1,'SALA 2002'!$B$1:$U$1,0))),($A65-1994)/7),INDEX('WPP 2024 середина года'!$B:$U,MATCH($A65,'WPP 2024 середина года'!$A:$A,0),MATCH(I$1,'WPP 2024 середина года'!$B$1:$U$1,0)))))</f>
        <v>3310</v>
      </c>
      <c r="J65" s="7">
        <f>IF($A65&lt;=1951,INDEX('SALA 1974'!$B:$U,MATCH($A65,'SALA 1974'!$A:$A,0),MATCH(J$1,'SALA 1974'!$B$1:$U$1,0)),IF($A65&lt;=1994,1000*INDEX('SALA 2002'!$B:$U,MATCH($A65,'SALA 2002'!$A:$A,0),MATCH(J$1,'SALA 2002'!$B$1:$U$1,0)),IF($A65&lt;=2000,1000*INDEX('SALA 2002'!$B:$U,MATCH($A65,'SALA 2002'!$A:$A,0),MATCH(J$1,'SALA 2002'!$B$1:$U$1,0))*POWER(INDEX('WPP 2024 середина года'!$B:$U,MATCH($A65,'WPP 2024 середина года'!$A:$A,0),MATCH(J$1,'WPP 2024 середина года'!$B$1:$U$1,0))/(1000*INDEX('SALA 2002'!$B:$U,MATCH($A65,'SALA 2002'!$A:$A,0),MATCH(J$1,'SALA 2002'!$B$1:$U$1,0))),($A65-1994)/7),INDEX('WPP 2024 середина года'!$B:$U,MATCH($A65,'WPP 2024 середина года'!$A:$A,0),MATCH(J$1,'WPP 2024 середина года'!$B$1:$U$1,0)))))</f>
        <v>4780</v>
      </c>
      <c r="K65" s="7">
        <f>IF($A65&lt;=1951,INDEX('SALA 1974'!$B:$U,MATCH($A65,'SALA 1974'!$A:$A,0),MATCH(K$1,'SALA 1974'!$B$1:$U$1,0)),IF($A65&lt;=1994,1000*INDEX('SALA 2002'!$B:$U,MATCH($A65,'SALA 2002'!$A:$A,0),MATCH(K$1,'SALA 2002'!$B$1:$U$1,0)),IF($A65&lt;=2000,1000*INDEX('SALA 2002'!$B:$U,MATCH($A65,'SALA 2002'!$A:$A,0),MATCH(K$1,'SALA 2002'!$B$1:$U$1,0))*POWER(INDEX('WPP 2024 середина года'!$B:$U,MATCH($A65,'WPP 2024 середина года'!$A:$A,0),MATCH(K$1,'WPP 2024 середина года'!$B$1:$U$1,0))/(1000*INDEX('SALA 2002'!$B:$U,MATCH($A65,'SALA 2002'!$A:$A,0),MATCH(K$1,'SALA 2002'!$B$1:$U$1,0))),($A65-1994)/7),INDEX('WPP 2024 середина года'!$B:$U,MATCH($A65,'WPP 2024 середина года'!$A:$A,0),MATCH(K$1,'WPP 2024 середина года'!$B$1:$U$1,0)))))</f>
        <v>2720</v>
      </c>
      <c r="L65" s="7">
        <f>IF($A65&lt;=1951,INDEX('SALA 1974'!$B:$U,MATCH($A65,'SALA 1974'!$A:$A,0),MATCH(L$1,'SALA 1974'!$B$1:$U$1,0)),IF($A65&lt;=1994,1000*INDEX('SALA 2002'!$B:$U,MATCH($A65,'SALA 2002'!$A:$A,0),MATCH(L$1,'SALA 2002'!$B$1:$U$1,0)),IF($A65&lt;=2000,1000*INDEX('SALA 2002'!$B:$U,MATCH($A65,'SALA 2002'!$A:$A,0),MATCH(L$1,'SALA 2002'!$B$1:$U$1,0))*POWER(INDEX('WPP 2024 середина года'!$B:$U,MATCH($A65,'WPP 2024 середина года'!$A:$A,0),MATCH(L$1,'WPP 2024 середина года'!$B$1:$U$1,0))/(1000*INDEX('SALA 2002'!$B:$U,MATCH($A65,'SALA 2002'!$A:$A,0),MATCH(L$1,'SALA 2002'!$B$1:$U$1,0))),($A65-1994)/7),INDEX('WPP 2024 середина года'!$B:$U,MATCH($A65,'WPP 2024 середина года'!$A:$A,0),MATCH(L$1,'WPP 2024 середина года'!$B$1:$U$1,0)))))</f>
        <v>4190</v>
      </c>
      <c r="M65" s="7">
        <f>IF($A65&lt;=1951,INDEX('SALA 1974'!$B:$U,MATCH($A65,'SALA 1974'!$A:$A,0),MATCH(M$1,'SALA 1974'!$B$1:$U$1,0)),IF($A65&lt;=1994,1000*INDEX('SALA 2002'!$B:$U,MATCH($A65,'SALA 2002'!$A:$A,0),MATCH(M$1,'SALA 2002'!$B$1:$U$1,0)),IF($A65&lt;=2000,1000*INDEX('SALA 2002'!$B:$U,MATCH($A65,'SALA 2002'!$A:$A,0),MATCH(M$1,'SALA 2002'!$B$1:$U$1,0))*POWER(INDEX('WPP 2024 середина года'!$B:$U,MATCH($A65,'WPP 2024 середина года'!$A:$A,0),MATCH(M$1,'WPP 2024 середина года'!$B$1:$U$1,0))/(1000*INDEX('SALA 2002'!$B:$U,MATCH($A65,'SALA 2002'!$A:$A,0),MATCH(M$1,'SALA 2002'!$B$1:$U$1,0))),($A65-1994)/7),INDEX('WPP 2024 середина года'!$B:$U,MATCH($A65,'WPP 2024 середина года'!$A:$A,0),MATCH(M$1,'WPP 2024 середина года'!$B$1:$U$1,0)))))</f>
        <v>3790</v>
      </c>
      <c r="N65" s="7">
        <f>IF($A65&lt;=1951,INDEX('SALA 1974'!$B:$U,MATCH($A65,'SALA 1974'!$A:$A,0),MATCH(N$1,'SALA 1974'!$B$1:$U$1,0)),IF($A65&lt;=1994,1000*INDEX('SALA 2002'!$B:$U,MATCH($A65,'SALA 2002'!$A:$A,0),MATCH(N$1,'SALA 2002'!$B$1:$U$1,0)),IF($A65&lt;=2000,1000*INDEX('SALA 2002'!$B:$U,MATCH($A65,'SALA 2002'!$A:$A,0),MATCH(N$1,'SALA 2002'!$B$1:$U$1,0))*POWER(INDEX('WPP 2024 середина года'!$B:$U,MATCH($A65,'WPP 2024 середина года'!$A:$A,0),MATCH(N$1,'WPP 2024 середина года'!$B$1:$U$1,0))/(1000*INDEX('SALA 2002'!$B:$U,MATCH($A65,'SALA 2002'!$A:$A,0),MATCH(N$1,'SALA 2002'!$B$1:$U$1,0))),($A65-1994)/7),INDEX('WPP 2024 середина года'!$B:$U,MATCH($A65,'WPP 2024 середина года'!$A:$A,0),MATCH(N$1,'WPP 2024 середина года'!$B$1:$U$1,0)))))</f>
        <v>2040</v>
      </c>
      <c r="O65" s="7">
        <f>IF($A65&lt;=1951,INDEX('SALA 1974'!$B:$U,MATCH($A65,'SALA 1974'!$A:$A,0),MATCH(O$1,'SALA 1974'!$B$1:$U$1,0)),IF($A65&lt;=1994,1000*INDEX('SALA 2002'!$B:$U,MATCH($A65,'SALA 2002'!$A:$A,0),MATCH(O$1,'SALA 2002'!$B$1:$U$1,0)),IF($A65&lt;=2000,1000*INDEX('SALA 2002'!$B:$U,MATCH($A65,'SALA 2002'!$A:$A,0),MATCH(O$1,'SALA 2002'!$B$1:$U$1,0))*POWER(INDEX('WPP 2024 середина года'!$B:$U,MATCH($A65,'WPP 2024 середина года'!$A:$A,0),MATCH(O$1,'WPP 2024 середина года'!$B$1:$U$1,0))/(1000*INDEX('SALA 2002'!$B:$U,MATCH($A65,'SALA 2002'!$A:$A,0),MATCH(O$1,'SALA 2002'!$B$1:$U$1,0))),($A65-1994)/7),INDEX('WPP 2024 середина года'!$B:$U,MATCH($A65,'WPP 2024 середина года'!$A:$A,0),MATCH(O$1,'WPP 2024 середина года'!$B$1:$U$1,0)))))</f>
        <v>39870</v>
      </c>
      <c r="P65" s="7">
        <f>IF($A65&lt;=1951,INDEX('SALA 1974'!$B:$U,MATCH($A65,'SALA 1974'!$A:$A,0),MATCH(P$1,'SALA 1974'!$B$1:$U$1,0)),IF($A65&lt;=1994,1000*INDEX('SALA 2002'!$B:$U,MATCH($A65,'SALA 2002'!$A:$A,0),MATCH(P$1,'SALA 2002'!$B$1:$U$1,0)),IF($A65&lt;=2000,1000*INDEX('SALA 2002'!$B:$U,MATCH($A65,'SALA 2002'!$A:$A,0),MATCH(P$1,'SALA 2002'!$B$1:$U$1,0))*POWER(INDEX('WPP 2024 середина года'!$B:$U,MATCH($A65,'WPP 2024 середина года'!$A:$A,0),MATCH(P$1,'WPP 2024 середина года'!$B$1:$U$1,0))/(1000*INDEX('SALA 2002'!$B:$U,MATCH($A65,'SALA 2002'!$A:$A,0),MATCH(P$1,'SALA 2002'!$B$1:$U$1,0))),($A65-1994)/7),INDEX('WPP 2024 середина года'!$B:$U,MATCH($A65,'WPP 2024 середина года'!$A:$A,0),MATCH(P$1,'WPP 2024 середина года'!$B$1:$U$1,0)))))</f>
        <v>1540</v>
      </c>
      <c r="Q65" s="7">
        <f>IF($A65&lt;=1951,INDEX('SALA 1974'!$B:$U,MATCH($A65,'SALA 1974'!$A:$A,0),MATCH(Q$1,'SALA 1974'!$B$1:$U$1,0)),IF($A65&lt;=1994,1000*INDEX('SALA 2002'!$B:$U,MATCH($A65,'SALA 2002'!$A:$A,0),MATCH(Q$1,'SALA 2002'!$B$1:$U$1,0)),IF($A65&lt;=2000,1000*INDEX('SALA 2002'!$B:$U,MATCH($A65,'SALA 2002'!$A:$A,0),MATCH(Q$1,'SALA 2002'!$B$1:$U$1,0))*POWER(INDEX('WPP 2024 середина года'!$B:$U,MATCH($A65,'WPP 2024 середина года'!$A:$A,0),MATCH(Q$1,'WPP 2024 середина года'!$B$1:$U$1,0))/(1000*INDEX('SALA 2002'!$B:$U,MATCH($A65,'SALA 2002'!$A:$A,0),MATCH(Q$1,'SALA 2002'!$B$1:$U$1,0))),($A65-1994)/7),INDEX('WPP 2024 середина года'!$B:$U,MATCH($A65,'WPP 2024 середина года'!$A:$A,0),MATCH(Q$1,'WPP 2024 середина года'!$B$1:$U$1,0)))))</f>
        <v>1170</v>
      </c>
      <c r="R65" s="7">
        <f>IF($A65&lt;=1951,INDEX('SALA 1974'!$B:$U,MATCH($A65,'SALA 1974'!$A:$A,0),MATCH(R$1,'SALA 1974'!$B$1:$U$1,0)),IF($A65&lt;=1994,1000*INDEX('SALA 2002'!$B:$U,MATCH($A65,'SALA 2002'!$A:$A,0),MATCH(R$1,'SALA 2002'!$B$1:$U$1,0)),IF($A65&lt;=2000,1000*INDEX('SALA 2002'!$B:$U,MATCH($A65,'SALA 2002'!$A:$A,0),MATCH(R$1,'SALA 2002'!$B$1:$U$1,0))*POWER(INDEX('WPP 2024 середина года'!$B:$U,MATCH($A65,'WPP 2024 середина года'!$A:$A,0),MATCH(R$1,'WPP 2024 середина года'!$B$1:$U$1,0))/(1000*INDEX('SALA 2002'!$B:$U,MATCH($A65,'SALA 2002'!$A:$A,0),MATCH(R$1,'SALA 2002'!$B$1:$U$1,0))),($A65-1994)/7),INDEX('WPP 2024 середина года'!$B:$U,MATCH($A65,'WPP 2024 середина года'!$A:$A,0),MATCH(R$1,'WPP 2024 середина года'!$B$1:$U$1,0)))))</f>
        <v>1910</v>
      </c>
      <c r="S65" s="7">
        <f>IF($A65&lt;=1951,INDEX('SALA 1974'!$B:$U,MATCH($A65,'SALA 1974'!$A:$A,0),MATCH(S$1,'SALA 1974'!$B$1:$U$1,0)),IF($A65&lt;=1994,1000*INDEX('SALA 2002'!$B:$U,MATCH($A65,'SALA 2002'!$A:$A,0),MATCH(S$1,'SALA 2002'!$B$1:$U$1,0)),IF($A65&lt;=2000,1000*INDEX('SALA 2002'!$B:$U,MATCH($A65,'SALA 2002'!$A:$A,0),MATCH(S$1,'SALA 2002'!$B$1:$U$1,0))*POWER(INDEX('WPP 2024 середина года'!$B:$U,MATCH($A65,'WPP 2024 середина года'!$A:$A,0),MATCH(S$1,'WPP 2024 середина года'!$B$1:$U$1,0))/(1000*INDEX('SALA 2002'!$B:$U,MATCH($A65,'SALA 2002'!$A:$A,0),MATCH(S$1,'SALA 2002'!$B$1:$U$1,0))),($A65-1994)/7),INDEX('WPP 2024 середина года'!$B:$U,MATCH($A65,'WPP 2024 середина года'!$A:$A,0),MATCH(S$1,'WPP 2024 середина года'!$B$1:$U$1,0)))))</f>
        <v>10960</v>
      </c>
      <c r="T65" s="7">
        <f>IF($A65&lt;=1951,INDEX('SALA 1974'!$B:$U,MATCH($A65,'SALA 1974'!$A:$A,0),MATCH(T$1,'SALA 1974'!$B$1:$U$1,0)),IF($A65&lt;=1994,1000*INDEX('SALA 2002'!$B:$U,MATCH($A65,'SALA 2002'!$A:$A,0),MATCH(T$1,'SALA 2002'!$B$1:$U$1,0)),IF($A65&lt;=2000,1000*INDEX('SALA 2002'!$B:$U,MATCH($A65,'SALA 2002'!$A:$A,0),MATCH(T$1,'SALA 2002'!$B$1:$U$1,0))*POWER(INDEX('WPP 2024 середина года'!$B:$U,MATCH($A65,'WPP 2024 середина года'!$A:$A,0),MATCH(T$1,'WPP 2024 середина года'!$B$1:$U$1,0))/(1000*INDEX('SALA 2002'!$B:$U,MATCH($A65,'SALA 2002'!$A:$A,0),MATCH(T$1,'SALA 2002'!$B$1:$U$1,0))),($A65-1994)/7),INDEX('WPP 2024 середина года'!$B:$U,MATCH($A65,'WPP 2024 середина года'!$A:$A,0),MATCH(T$1,'WPP 2024 середина года'!$B$1:$U$1,0)))))</f>
        <v>2650</v>
      </c>
      <c r="U65" s="7">
        <f>IF($A65&lt;=1951,INDEX('SALA 1974'!$B:$U,MATCH($A65,'SALA 1974'!$A:$A,0),MATCH(U$1,'SALA 1974'!$B$1:$U$1,0)),IF($A65&lt;=1994,1000*INDEX('SALA 2002'!$B:$U,MATCH($A65,'SALA 2002'!$A:$A,0),MATCH(U$1,'SALA 2002'!$B$1:$U$1,0)),IF($A65&lt;=2000,1000*INDEX('SALA 2002'!$B:$U,MATCH($A65,'SALA 2002'!$A:$A,0),MATCH(U$1,'SALA 2002'!$B$1:$U$1,0))*POWER(INDEX('WPP 2024 середина года'!$B:$U,MATCH($A65,'WPP 2024 середина года'!$A:$A,0),MATCH(U$1,'WPP 2024 середина года'!$B$1:$U$1,0))/(1000*INDEX('SALA 2002'!$B:$U,MATCH($A65,'SALA 2002'!$A:$A,0),MATCH(U$1,'SALA 2002'!$B$1:$U$1,0))),($A65-1994)/7),INDEX('WPP 2024 середина года'!$B:$U,MATCH($A65,'WPP 2024 середина года'!$A:$A,0),MATCH(U$1,'WPP 2024 середина года'!$B$1:$U$1,0)))))</f>
        <v>8119.9999999999991</v>
      </c>
    </row>
    <row r="66" spans="1:21" x14ac:dyDescent="0.25">
      <c r="A66" s="5">
        <f t="shared" si="0"/>
        <v>1964</v>
      </c>
      <c r="B66" s="7">
        <f>IF($A66&lt;=1951,INDEX('SALA 1974'!$B:$U,MATCH($A66,'SALA 1974'!$A:$A,0),MATCH(B$1,'SALA 1974'!$B$1:$U$1,0)),IF($A66&lt;=1994,1000*INDEX('SALA 2002'!$B:$U,MATCH($A66,'SALA 2002'!$A:$A,0),MATCH(B$1,'SALA 2002'!$B$1:$U$1,0)),IF($A66&lt;=2000,1000*INDEX('SALA 2002'!$B:$U,MATCH($A66,'SALA 2002'!$A:$A,0),MATCH(B$1,'SALA 2002'!$B$1:$U$1,0))*POWER(INDEX('WPP 2024 середина года'!$B:$U,MATCH($A66,'WPP 2024 середина года'!$A:$A,0),MATCH(B$1,'WPP 2024 середина года'!$B$1:$U$1,0))/(1000*INDEX('SALA 2002'!$B:$U,MATCH($A66,'SALA 2002'!$A:$A,0),MATCH(B$1,'SALA 2002'!$B$1:$U$1,0))),($A66-1994)/7),INDEX('WPP 2024 середина года'!$B:$U,MATCH($A66,'WPP 2024 середина года'!$A:$A,0),MATCH(B$1,'WPP 2024 середина года'!$B$1:$U$1,0)))))</f>
        <v>21170</v>
      </c>
      <c r="C66" s="7">
        <f>IF($A66&lt;=1951,INDEX('SALA 1974'!$B:$U,MATCH($A66,'SALA 1974'!$A:$A,0),MATCH(C$1,'SALA 1974'!$B$1:$U$1,0)),IF($A66&lt;=1994,1000*INDEX('SALA 2002'!$B:$U,MATCH($A66,'SALA 2002'!$A:$A,0),MATCH(C$1,'SALA 2002'!$B$1:$U$1,0)),IF($A66&lt;=2000,1000*INDEX('SALA 2002'!$B:$U,MATCH($A66,'SALA 2002'!$A:$A,0),MATCH(C$1,'SALA 2002'!$B$1:$U$1,0))*POWER(INDEX('WPP 2024 середина года'!$B:$U,MATCH($A66,'WPP 2024 середина года'!$A:$A,0),MATCH(C$1,'WPP 2024 середина года'!$B$1:$U$1,0))/(1000*INDEX('SALA 2002'!$B:$U,MATCH($A66,'SALA 2002'!$A:$A,0),MATCH(C$1,'SALA 2002'!$B$1:$U$1,0))),($A66-1994)/7),INDEX('WPP 2024 середина года'!$B:$U,MATCH($A66,'WPP 2024 середина года'!$A:$A,0),MATCH(C$1,'WPP 2024 середина года'!$B$1:$U$1,0)))))</f>
        <v>4230</v>
      </c>
      <c r="D66" s="7">
        <f>IF($A66&lt;=1951,INDEX('SALA 1974'!$B:$U,MATCH($A66,'SALA 1974'!$A:$A,0),MATCH(D$1,'SALA 1974'!$B$1:$U$1,0)),IF($A66&lt;=1994,1000*INDEX('SALA 2002'!$B:$U,MATCH($A66,'SALA 2002'!$A:$A,0),MATCH(D$1,'SALA 2002'!$B$1:$U$1,0)),IF($A66&lt;=2000,1000*INDEX('SALA 2002'!$B:$U,MATCH($A66,'SALA 2002'!$A:$A,0),MATCH(D$1,'SALA 2002'!$B$1:$U$1,0))*POWER(INDEX('WPP 2024 середина года'!$B:$U,MATCH($A66,'WPP 2024 середина года'!$A:$A,0),MATCH(D$1,'WPP 2024 середина года'!$B$1:$U$1,0))/(1000*INDEX('SALA 2002'!$B:$U,MATCH($A66,'SALA 2002'!$A:$A,0),MATCH(D$1,'SALA 2002'!$B$1:$U$1,0))),($A66-1994)/7),INDEX('WPP 2024 середина года'!$B:$U,MATCH($A66,'WPP 2024 середина года'!$A:$A,0),MATCH(D$1,'WPP 2024 середина года'!$B$1:$U$1,0)))))</f>
        <v>78730</v>
      </c>
      <c r="E66" s="7">
        <f>IF($A66&lt;=1951,INDEX('SALA 1974'!$B:$U,MATCH($A66,'SALA 1974'!$A:$A,0),MATCH(E$1,'SALA 1974'!$B$1:$U$1,0)),IF($A66&lt;=1994,1000*INDEX('SALA 2002'!$B:$U,MATCH($A66,'SALA 2002'!$A:$A,0),MATCH(E$1,'SALA 2002'!$B$1:$U$1,0)),IF($A66&lt;=2000,1000*INDEX('SALA 2002'!$B:$U,MATCH($A66,'SALA 2002'!$A:$A,0),MATCH(E$1,'SALA 2002'!$B$1:$U$1,0))*POWER(INDEX('WPP 2024 середина года'!$B:$U,MATCH($A66,'WPP 2024 середина года'!$A:$A,0),MATCH(E$1,'WPP 2024 середина года'!$B$1:$U$1,0))/(1000*INDEX('SALA 2002'!$B:$U,MATCH($A66,'SALA 2002'!$A:$A,0),MATCH(E$1,'SALA 2002'!$B$1:$U$1,0))),($A66-1994)/7),INDEX('WPP 2024 середина года'!$B:$U,MATCH($A66,'WPP 2024 середина года'!$A:$A,0),MATCH(E$1,'WPP 2024 середина года'!$B$1:$U$1,0)))))</f>
        <v>8330</v>
      </c>
      <c r="F66" s="7">
        <f>IF($A66&lt;=1947,INDEX('SALA 1974'!$B:$U,MATCH($A66,'SALA 1974'!$A:$A,0),MATCH(F$1,'SALA 1974'!$B$1:$U$1,0)),IF($A66&lt;=1994,1000*INDEX('SALA 2002'!$B:$U,MATCH($A66,'SALA 2002'!$A:$A,0),MATCH(F$1,'SALA 2002'!$B$1:$U$1,0)),IF($A66&lt;=2000,1000*INDEX('SALA 2002'!$B:$U,MATCH($A66,'SALA 2002'!$A:$A,0),MATCH(F$1,'SALA 2002'!$B$1:$U$1,0))*POWER(INDEX('WPP 2024 середина года'!$B:$U,MATCH($A66,'WPP 2024 середина года'!$A:$A,0),MATCH(F$1,'WPP 2024 середина года'!$B$1:$U$1,0))/(1000*INDEX('SALA 2002'!$B:$U,MATCH($A66,'SALA 2002'!$A:$A,0),MATCH(F$1,'SALA 2002'!$B$1:$U$1,0))),($A66-1994)/7),INDEX('WPP 2024 середина года'!$B:$U,MATCH($A66,'WPP 2024 середина года'!$A:$A,0),MATCH(F$1,'WPP 2024 середина года'!$B$1:$U$1,0)))))</f>
        <v>17480</v>
      </c>
      <c r="G66" s="7">
        <f>IF($A66&lt;=1951,INDEX('SALA 1974'!$B:$U,MATCH($A66,'SALA 1974'!$A:$A,0),MATCH(G$1,'SALA 1974'!$B$1:$U$1,0)),IF($A66&lt;=1994,1000*INDEX('SALA 2002'!$B:$U,MATCH($A66,'SALA 2002'!$A:$A,0),MATCH(G$1,'SALA 2002'!$B$1:$U$1,0)),IF($A66&lt;=2000,1000*INDEX('SALA 2002'!$B:$U,MATCH($A66,'SALA 2002'!$A:$A,0),MATCH(G$1,'SALA 2002'!$B$1:$U$1,0))*POWER(INDEX('WPP 2024 середина года'!$B:$U,MATCH($A66,'WPP 2024 середина года'!$A:$A,0),MATCH(G$1,'WPP 2024 середина года'!$B$1:$U$1,0))/(1000*INDEX('SALA 2002'!$B:$U,MATCH($A66,'SALA 2002'!$A:$A,0),MATCH(G$1,'SALA 2002'!$B$1:$U$1,0))),($A66-1994)/7),INDEX('WPP 2024 середина года'!$B:$U,MATCH($A66,'WPP 2024 середина года'!$A:$A,0),MATCH(G$1,'WPP 2024 середина года'!$B$1:$U$1,0)))))</f>
        <v>1440</v>
      </c>
      <c r="H66" s="7">
        <f>IF($A66&lt;=1951,INDEX('SALA 1974'!$B:$U,MATCH($A66,'SALA 1974'!$A:$A,0),MATCH(H$1,'SALA 1974'!$B$1:$U$1,0)),IF($A66&lt;=1994,1000*INDEX('SALA 2002'!$B:$U,MATCH($A66,'SALA 2002'!$A:$A,0),MATCH(H$1,'SALA 2002'!$B$1:$U$1,0)),IF($A66&lt;=2000,1000*INDEX('SALA 2002'!$B:$U,MATCH($A66,'SALA 2002'!$A:$A,0),MATCH(H$1,'SALA 2002'!$B$1:$U$1,0))*POWER(INDEX('WPP 2024 середина года'!$B:$U,MATCH($A66,'WPP 2024 середина года'!$A:$A,0),MATCH(H$1,'WPP 2024 середина года'!$B$1:$U$1,0))/(1000*INDEX('SALA 2002'!$B:$U,MATCH($A66,'SALA 2002'!$A:$A,0),MATCH(H$1,'SALA 2002'!$B$1:$U$1,0))),($A66-1994)/7),INDEX('WPP 2024 середина года'!$B:$U,MATCH($A66,'WPP 2024 середина года'!$A:$A,0),MATCH(H$1,'WPP 2024 середина года'!$B$1:$U$1,0)))))</f>
        <v>7610</v>
      </c>
      <c r="I66" s="7">
        <f>IF($A66&lt;=1951,INDEX('SALA 1974'!$B:$U,MATCH($A66,'SALA 1974'!$A:$A,0),MATCH(I$1,'SALA 1974'!$B$1:$U$1,0)),IF($A66&lt;=1994,1000*INDEX('SALA 2002'!$B:$U,MATCH($A66,'SALA 2002'!$A:$A,0),MATCH(I$1,'SALA 2002'!$B$1:$U$1,0)),IF($A66&lt;=2000,1000*INDEX('SALA 2002'!$B:$U,MATCH($A66,'SALA 2002'!$A:$A,0),MATCH(I$1,'SALA 2002'!$B$1:$U$1,0))*POWER(INDEX('WPP 2024 середина года'!$B:$U,MATCH($A66,'WPP 2024 середина года'!$A:$A,0),MATCH(I$1,'WPP 2024 середина года'!$B$1:$U$1,0))/(1000*INDEX('SALA 2002'!$B:$U,MATCH($A66,'SALA 2002'!$A:$A,0),MATCH(I$1,'SALA 2002'!$B$1:$U$1,0))),($A66-1994)/7),INDEX('WPP 2024 середина года'!$B:$U,MATCH($A66,'WPP 2024 середина года'!$A:$A,0),MATCH(I$1,'WPP 2024 середина года'!$B$1:$U$1,0)))))</f>
        <v>3410</v>
      </c>
      <c r="J66" s="7">
        <f>IF($A66&lt;=1951,INDEX('SALA 1974'!$B:$U,MATCH($A66,'SALA 1974'!$A:$A,0),MATCH(J$1,'SALA 1974'!$B$1:$U$1,0)),IF($A66&lt;=1994,1000*INDEX('SALA 2002'!$B:$U,MATCH($A66,'SALA 2002'!$A:$A,0),MATCH(J$1,'SALA 2002'!$B$1:$U$1,0)),IF($A66&lt;=2000,1000*INDEX('SALA 2002'!$B:$U,MATCH($A66,'SALA 2002'!$A:$A,0),MATCH(J$1,'SALA 2002'!$B$1:$U$1,0))*POWER(INDEX('WPP 2024 середина года'!$B:$U,MATCH($A66,'WPP 2024 середина года'!$A:$A,0),MATCH(J$1,'WPP 2024 середина года'!$B$1:$U$1,0))/(1000*INDEX('SALA 2002'!$B:$U,MATCH($A66,'SALA 2002'!$A:$A,0),MATCH(J$1,'SALA 2002'!$B$1:$U$1,0))),($A66-1994)/7),INDEX('WPP 2024 середина года'!$B:$U,MATCH($A66,'WPP 2024 середина года'!$A:$A,0),MATCH(J$1,'WPP 2024 середина года'!$B$1:$U$1,0)))))</f>
        <v>4930</v>
      </c>
      <c r="K66" s="7">
        <f>IF($A66&lt;=1951,INDEX('SALA 1974'!$B:$U,MATCH($A66,'SALA 1974'!$A:$A,0),MATCH(K$1,'SALA 1974'!$B$1:$U$1,0)),IF($A66&lt;=1994,1000*INDEX('SALA 2002'!$B:$U,MATCH($A66,'SALA 2002'!$A:$A,0),MATCH(K$1,'SALA 2002'!$B$1:$U$1,0)),IF($A66&lt;=2000,1000*INDEX('SALA 2002'!$B:$U,MATCH($A66,'SALA 2002'!$A:$A,0),MATCH(K$1,'SALA 2002'!$B$1:$U$1,0))*POWER(INDEX('WPP 2024 середина года'!$B:$U,MATCH($A66,'WPP 2024 середина года'!$A:$A,0),MATCH(K$1,'WPP 2024 середина года'!$B$1:$U$1,0))/(1000*INDEX('SALA 2002'!$B:$U,MATCH($A66,'SALA 2002'!$A:$A,0),MATCH(K$1,'SALA 2002'!$B$1:$U$1,0))),($A66-1994)/7),INDEX('WPP 2024 середина года'!$B:$U,MATCH($A66,'WPP 2024 середина года'!$A:$A,0),MATCH(K$1,'WPP 2024 середина года'!$B$1:$U$1,0)))))</f>
        <v>2820</v>
      </c>
      <c r="L66" s="7">
        <f>IF($A66&lt;=1951,INDEX('SALA 1974'!$B:$U,MATCH($A66,'SALA 1974'!$A:$A,0),MATCH(L$1,'SALA 1974'!$B$1:$U$1,0)),IF($A66&lt;=1994,1000*INDEX('SALA 2002'!$B:$U,MATCH($A66,'SALA 2002'!$A:$A,0),MATCH(L$1,'SALA 2002'!$B$1:$U$1,0)),IF($A66&lt;=2000,1000*INDEX('SALA 2002'!$B:$U,MATCH($A66,'SALA 2002'!$A:$A,0),MATCH(L$1,'SALA 2002'!$B$1:$U$1,0))*POWER(INDEX('WPP 2024 середина года'!$B:$U,MATCH($A66,'WPP 2024 середина года'!$A:$A,0),MATCH(L$1,'WPP 2024 середина года'!$B$1:$U$1,0))/(1000*INDEX('SALA 2002'!$B:$U,MATCH($A66,'SALA 2002'!$A:$A,0),MATCH(L$1,'SALA 2002'!$B$1:$U$1,0))),($A66-1994)/7),INDEX('WPP 2024 середина года'!$B:$U,MATCH($A66,'WPP 2024 середина года'!$A:$A,0),MATCH(L$1,'WPP 2024 середина года'!$B$1:$U$1,0)))))</f>
        <v>4310</v>
      </c>
      <c r="M66" s="7">
        <f>IF($A66&lt;=1951,INDEX('SALA 1974'!$B:$U,MATCH($A66,'SALA 1974'!$A:$A,0),MATCH(M$1,'SALA 1974'!$B$1:$U$1,0)),IF($A66&lt;=1994,1000*INDEX('SALA 2002'!$B:$U,MATCH($A66,'SALA 2002'!$A:$A,0),MATCH(M$1,'SALA 2002'!$B$1:$U$1,0)),IF($A66&lt;=2000,1000*INDEX('SALA 2002'!$B:$U,MATCH($A66,'SALA 2002'!$A:$A,0),MATCH(M$1,'SALA 2002'!$B$1:$U$1,0))*POWER(INDEX('WPP 2024 середина года'!$B:$U,MATCH($A66,'WPP 2024 середина года'!$A:$A,0),MATCH(M$1,'WPP 2024 середина года'!$B$1:$U$1,0))/(1000*INDEX('SALA 2002'!$B:$U,MATCH($A66,'SALA 2002'!$A:$A,0),MATCH(M$1,'SALA 2002'!$B$1:$U$1,0))),($A66-1994)/7),INDEX('WPP 2024 середина года'!$B:$U,MATCH($A66,'WPP 2024 середина года'!$A:$A,0),MATCH(M$1,'WPP 2024 середина года'!$B$1:$U$1,0)))))</f>
        <v>3850</v>
      </c>
      <c r="N66" s="7">
        <f>IF($A66&lt;=1951,INDEX('SALA 1974'!$B:$U,MATCH($A66,'SALA 1974'!$A:$A,0),MATCH(N$1,'SALA 1974'!$B$1:$U$1,0)),IF($A66&lt;=1994,1000*INDEX('SALA 2002'!$B:$U,MATCH($A66,'SALA 2002'!$A:$A,0),MATCH(N$1,'SALA 2002'!$B$1:$U$1,0)),IF($A66&lt;=2000,1000*INDEX('SALA 2002'!$B:$U,MATCH($A66,'SALA 2002'!$A:$A,0),MATCH(N$1,'SALA 2002'!$B$1:$U$1,0))*POWER(INDEX('WPP 2024 середина года'!$B:$U,MATCH($A66,'WPP 2024 середина года'!$A:$A,0),MATCH(N$1,'WPP 2024 середина года'!$B$1:$U$1,0))/(1000*INDEX('SALA 2002'!$B:$U,MATCH($A66,'SALA 2002'!$A:$A,0),MATCH(N$1,'SALA 2002'!$B$1:$U$1,0))),($A66-1994)/7),INDEX('WPP 2024 середина года'!$B:$U,MATCH($A66,'WPP 2024 середина года'!$A:$A,0),MATCH(N$1,'WPP 2024 середина года'!$B$1:$U$1,0)))))</f>
        <v>2110</v>
      </c>
      <c r="O66" s="7">
        <f>IF($A66&lt;=1951,INDEX('SALA 1974'!$B:$U,MATCH($A66,'SALA 1974'!$A:$A,0),MATCH(O$1,'SALA 1974'!$B$1:$U$1,0)),IF($A66&lt;=1994,1000*INDEX('SALA 2002'!$B:$U,MATCH($A66,'SALA 2002'!$A:$A,0),MATCH(O$1,'SALA 2002'!$B$1:$U$1,0)),IF($A66&lt;=2000,1000*INDEX('SALA 2002'!$B:$U,MATCH($A66,'SALA 2002'!$A:$A,0),MATCH(O$1,'SALA 2002'!$B$1:$U$1,0))*POWER(INDEX('WPP 2024 середина года'!$B:$U,MATCH($A66,'WPP 2024 середина года'!$A:$A,0),MATCH(O$1,'WPP 2024 середина года'!$B$1:$U$1,0))/(1000*INDEX('SALA 2002'!$B:$U,MATCH($A66,'SALA 2002'!$A:$A,0),MATCH(O$1,'SALA 2002'!$B$1:$U$1,0))),($A66-1994)/7),INDEX('WPP 2024 середина года'!$B:$U,MATCH($A66,'WPP 2024 середина года'!$A:$A,0),MATCH(O$1,'WPP 2024 середина года'!$B$1:$U$1,0)))))</f>
        <v>41250</v>
      </c>
      <c r="P66" s="7">
        <f>IF($A66&lt;=1951,INDEX('SALA 1974'!$B:$U,MATCH($A66,'SALA 1974'!$A:$A,0),MATCH(P$1,'SALA 1974'!$B$1:$U$1,0)),IF($A66&lt;=1994,1000*INDEX('SALA 2002'!$B:$U,MATCH($A66,'SALA 2002'!$A:$A,0),MATCH(P$1,'SALA 2002'!$B$1:$U$1,0)),IF($A66&lt;=2000,1000*INDEX('SALA 2002'!$B:$U,MATCH($A66,'SALA 2002'!$A:$A,0),MATCH(P$1,'SALA 2002'!$B$1:$U$1,0))*POWER(INDEX('WPP 2024 середина года'!$B:$U,MATCH($A66,'WPP 2024 середина года'!$A:$A,0),MATCH(P$1,'WPP 2024 середина года'!$B$1:$U$1,0))/(1000*INDEX('SALA 2002'!$B:$U,MATCH($A66,'SALA 2002'!$A:$A,0),MATCH(P$1,'SALA 2002'!$B$1:$U$1,0))),($A66-1994)/7),INDEX('WPP 2024 середина года'!$B:$U,MATCH($A66,'WPP 2024 середина года'!$A:$A,0),MATCH(P$1,'WPP 2024 середина года'!$B$1:$U$1,0)))))</f>
        <v>1580</v>
      </c>
      <c r="Q66" s="7">
        <f>IF($A66&lt;=1951,INDEX('SALA 1974'!$B:$U,MATCH($A66,'SALA 1974'!$A:$A,0),MATCH(Q$1,'SALA 1974'!$B$1:$U$1,0)),IF($A66&lt;=1994,1000*INDEX('SALA 2002'!$B:$U,MATCH($A66,'SALA 2002'!$A:$A,0),MATCH(Q$1,'SALA 2002'!$B$1:$U$1,0)),IF($A66&lt;=2000,1000*INDEX('SALA 2002'!$B:$U,MATCH($A66,'SALA 2002'!$A:$A,0),MATCH(Q$1,'SALA 2002'!$B$1:$U$1,0))*POWER(INDEX('WPP 2024 середина года'!$B:$U,MATCH($A66,'WPP 2024 середина года'!$A:$A,0),MATCH(Q$1,'WPP 2024 середина года'!$B$1:$U$1,0))/(1000*INDEX('SALA 2002'!$B:$U,MATCH($A66,'SALA 2002'!$A:$A,0),MATCH(Q$1,'SALA 2002'!$B$1:$U$1,0))),($A66-1994)/7),INDEX('WPP 2024 середина года'!$B:$U,MATCH($A66,'WPP 2024 середина года'!$A:$A,0),MATCH(Q$1,'WPP 2024 середина года'!$B$1:$U$1,0)))))</f>
        <v>1200</v>
      </c>
      <c r="R66" s="7">
        <f>IF($A66&lt;=1951,INDEX('SALA 1974'!$B:$U,MATCH($A66,'SALA 1974'!$A:$A,0),MATCH(R$1,'SALA 1974'!$B$1:$U$1,0)),IF($A66&lt;=1994,1000*INDEX('SALA 2002'!$B:$U,MATCH($A66,'SALA 2002'!$A:$A,0),MATCH(R$1,'SALA 2002'!$B$1:$U$1,0)),IF($A66&lt;=2000,1000*INDEX('SALA 2002'!$B:$U,MATCH($A66,'SALA 2002'!$A:$A,0),MATCH(R$1,'SALA 2002'!$B$1:$U$1,0))*POWER(INDEX('WPP 2024 середина года'!$B:$U,MATCH($A66,'WPP 2024 середина года'!$A:$A,0),MATCH(R$1,'WPP 2024 середина года'!$B$1:$U$1,0))/(1000*INDEX('SALA 2002'!$B:$U,MATCH($A66,'SALA 2002'!$A:$A,0),MATCH(R$1,'SALA 2002'!$B$1:$U$1,0))),($A66-1994)/7),INDEX('WPP 2024 середина года'!$B:$U,MATCH($A66,'WPP 2024 середина года'!$A:$A,0),MATCH(R$1,'WPP 2024 середина года'!$B$1:$U$1,0)))))</f>
        <v>1970</v>
      </c>
      <c r="S66" s="7">
        <f>IF($A66&lt;=1951,INDEX('SALA 1974'!$B:$U,MATCH($A66,'SALA 1974'!$A:$A,0),MATCH(S$1,'SALA 1974'!$B$1:$U$1,0)),IF($A66&lt;=1994,1000*INDEX('SALA 2002'!$B:$U,MATCH($A66,'SALA 2002'!$A:$A,0),MATCH(S$1,'SALA 2002'!$B$1:$U$1,0)),IF($A66&lt;=2000,1000*INDEX('SALA 2002'!$B:$U,MATCH($A66,'SALA 2002'!$A:$A,0),MATCH(S$1,'SALA 2002'!$B$1:$U$1,0))*POWER(INDEX('WPP 2024 середина года'!$B:$U,MATCH($A66,'WPP 2024 середина года'!$A:$A,0),MATCH(S$1,'WPP 2024 середина года'!$B$1:$U$1,0))/(1000*INDEX('SALA 2002'!$B:$U,MATCH($A66,'SALA 2002'!$A:$A,0),MATCH(S$1,'SALA 2002'!$B$1:$U$1,0))),($A66-1994)/7),INDEX('WPP 2024 середина года'!$B:$U,MATCH($A66,'WPP 2024 середина года'!$A:$A,0),MATCH(S$1,'WPP 2024 середина года'!$B$1:$U$1,0)))))</f>
        <v>11300</v>
      </c>
      <c r="T66" s="7">
        <f>IF($A66&lt;=1951,INDEX('SALA 1974'!$B:$U,MATCH($A66,'SALA 1974'!$A:$A,0),MATCH(T$1,'SALA 1974'!$B$1:$U$1,0)),IF($A66&lt;=1994,1000*INDEX('SALA 2002'!$B:$U,MATCH($A66,'SALA 2002'!$A:$A,0),MATCH(T$1,'SALA 2002'!$B$1:$U$1,0)),IF($A66&lt;=2000,1000*INDEX('SALA 2002'!$B:$U,MATCH($A66,'SALA 2002'!$A:$A,0),MATCH(T$1,'SALA 2002'!$B$1:$U$1,0))*POWER(INDEX('WPP 2024 середина года'!$B:$U,MATCH($A66,'WPP 2024 середина года'!$A:$A,0),MATCH(T$1,'WPP 2024 середина года'!$B$1:$U$1,0))/(1000*INDEX('SALA 2002'!$B:$U,MATCH($A66,'SALA 2002'!$A:$A,0),MATCH(T$1,'SALA 2002'!$B$1:$U$1,0))),($A66-1994)/7),INDEX('WPP 2024 середина года'!$B:$U,MATCH($A66,'WPP 2024 середина года'!$A:$A,0),MATCH(T$1,'WPP 2024 середина года'!$B$1:$U$1,0)))))</f>
        <v>2680</v>
      </c>
      <c r="U66" s="7">
        <f>IF($A66&lt;=1951,INDEX('SALA 1974'!$B:$U,MATCH($A66,'SALA 1974'!$A:$A,0),MATCH(U$1,'SALA 1974'!$B$1:$U$1,0)),IF($A66&lt;=1994,1000*INDEX('SALA 2002'!$B:$U,MATCH($A66,'SALA 2002'!$A:$A,0),MATCH(U$1,'SALA 2002'!$B$1:$U$1,0)),IF($A66&lt;=2000,1000*INDEX('SALA 2002'!$B:$U,MATCH($A66,'SALA 2002'!$A:$A,0),MATCH(U$1,'SALA 2002'!$B$1:$U$1,0))*POWER(INDEX('WPP 2024 середина года'!$B:$U,MATCH($A66,'WPP 2024 середина года'!$A:$A,0),MATCH(U$1,'WPP 2024 середина года'!$B$1:$U$1,0))/(1000*INDEX('SALA 2002'!$B:$U,MATCH($A66,'SALA 2002'!$A:$A,0),MATCH(U$1,'SALA 2002'!$B$1:$U$1,0))),($A66-1994)/7),INDEX('WPP 2024 середина года'!$B:$U,MATCH($A66,'WPP 2024 середина года'!$A:$A,0),MATCH(U$1,'WPP 2024 середина года'!$B$1:$U$1,0)))))</f>
        <v>8400</v>
      </c>
    </row>
    <row r="67" spans="1:21" x14ac:dyDescent="0.25">
      <c r="A67" s="5">
        <f t="shared" si="0"/>
        <v>1965</v>
      </c>
      <c r="B67" s="7">
        <f>IF($A67&lt;=1951,INDEX('SALA 1974'!$B:$U,MATCH($A67,'SALA 1974'!$A:$A,0),MATCH(B$1,'SALA 1974'!$B$1:$U$1,0)),IF($A67&lt;=1994,1000*INDEX('SALA 2002'!$B:$U,MATCH($A67,'SALA 2002'!$A:$A,0),MATCH(B$1,'SALA 2002'!$B$1:$U$1,0)),IF($A67&lt;=2000,1000*INDEX('SALA 2002'!$B:$U,MATCH($A67,'SALA 2002'!$A:$A,0),MATCH(B$1,'SALA 2002'!$B$1:$U$1,0))*POWER(INDEX('WPP 2024 середина года'!$B:$U,MATCH($A67,'WPP 2024 середина года'!$A:$A,0),MATCH(B$1,'WPP 2024 середина года'!$B$1:$U$1,0))/(1000*INDEX('SALA 2002'!$B:$U,MATCH($A67,'SALA 2002'!$A:$A,0),MATCH(B$1,'SALA 2002'!$B$1:$U$1,0))),($A67-1994)/7),INDEX('WPP 2024 середина года'!$B:$U,MATCH($A67,'WPP 2024 середина года'!$A:$A,0),MATCH(B$1,'WPP 2024 середина года'!$B$1:$U$1,0)))))</f>
        <v>22180</v>
      </c>
      <c r="C67" s="7">
        <f>IF($A67&lt;=1951,INDEX('SALA 1974'!$B:$U,MATCH($A67,'SALA 1974'!$A:$A,0),MATCH(C$1,'SALA 1974'!$B$1:$U$1,0)),IF($A67&lt;=1994,1000*INDEX('SALA 2002'!$B:$U,MATCH($A67,'SALA 2002'!$A:$A,0),MATCH(C$1,'SALA 2002'!$B$1:$U$1,0)),IF($A67&lt;=2000,1000*INDEX('SALA 2002'!$B:$U,MATCH($A67,'SALA 2002'!$A:$A,0),MATCH(C$1,'SALA 2002'!$B$1:$U$1,0))*POWER(INDEX('WPP 2024 середина года'!$B:$U,MATCH($A67,'WPP 2024 середина года'!$A:$A,0),MATCH(C$1,'WPP 2024 середина года'!$B$1:$U$1,0))/(1000*INDEX('SALA 2002'!$B:$U,MATCH($A67,'SALA 2002'!$A:$A,0),MATCH(C$1,'SALA 2002'!$B$1:$U$1,0))),($A67-1994)/7),INDEX('WPP 2024 середина года'!$B:$U,MATCH($A67,'WPP 2024 середина года'!$A:$A,0),MATCH(C$1,'WPP 2024 середина года'!$B$1:$U$1,0)))))</f>
        <v>4330</v>
      </c>
      <c r="D67" s="7">
        <f>IF($A67&lt;=1951,INDEX('SALA 1974'!$B:$U,MATCH($A67,'SALA 1974'!$A:$A,0),MATCH(D$1,'SALA 1974'!$B$1:$U$1,0)),IF($A67&lt;=1994,1000*INDEX('SALA 2002'!$B:$U,MATCH($A67,'SALA 2002'!$A:$A,0),MATCH(D$1,'SALA 2002'!$B$1:$U$1,0)),IF($A67&lt;=2000,1000*INDEX('SALA 2002'!$B:$U,MATCH($A67,'SALA 2002'!$A:$A,0),MATCH(D$1,'SALA 2002'!$B$1:$U$1,0))*POWER(INDEX('WPP 2024 середина года'!$B:$U,MATCH($A67,'WPP 2024 середина года'!$A:$A,0),MATCH(D$1,'WPP 2024 середина года'!$B$1:$U$1,0))/(1000*INDEX('SALA 2002'!$B:$U,MATCH($A67,'SALA 2002'!$A:$A,0),MATCH(D$1,'SALA 2002'!$B$1:$U$1,0))),($A67-1994)/7),INDEX('WPP 2024 середина года'!$B:$U,MATCH($A67,'WPP 2024 середина года'!$A:$A,0),MATCH(D$1,'WPP 2024 середина года'!$B$1:$U$1,0)))))</f>
        <v>81010</v>
      </c>
      <c r="E67" s="7">
        <f>IF($A67&lt;=1951,INDEX('SALA 1974'!$B:$U,MATCH($A67,'SALA 1974'!$A:$A,0),MATCH(E$1,'SALA 1974'!$B$1:$U$1,0)),IF($A67&lt;=1994,1000*INDEX('SALA 2002'!$B:$U,MATCH($A67,'SALA 2002'!$A:$A,0),MATCH(E$1,'SALA 2002'!$B$1:$U$1,0)),IF($A67&lt;=2000,1000*INDEX('SALA 2002'!$B:$U,MATCH($A67,'SALA 2002'!$A:$A,0),MATCH(E$1,'SALA 2002'!$B$1:$U$1,0))*POWER(INDEX('WPP 2024 середина года'!$B:$U,MATCH($A67,'WPP 2024 середина года'!$A:$A,0),MATCH(E$1,'WPP 2024 середина года'!$B$1:$U$1,0))/(1000*INDEX('SALA 2002'!$B:$U,MATCH($A67,'SALA 2002'!$A:$A,0),MATCH(E$1,'SALA 2002'!$B$1:$U$1,0))),($A67-1994)/7),INDEX('WPP 2024 середина года'!$B:$U,MATCH($A67,'WPP 2024 середина года'!$A:$A,0),MATCH(E$1,'WPP 2024 середина года'!$B$1:$U$1,0)))))</f>
        <v>8510</v>
      </c>
      <c r="F67" s="7">
        <f>IF($A67&lt;=1947,INDEX('SALA 1974'!$B:$U,MATCH($A67,'SALA 1974'!$A:$A,0),MATCH(F$1,'SALA 1974'!$B$1:$U$1,0)),IF($A67&lt;=1994,1000*INDEX('SALA 2002'!$B:$U,MATCH($A67,'SALA 2002'!$A:$A,0),MATCH(F$1,'SALA 2002'!$B$1:$U$1,0)),IF($A67&lt;=2000,1000*INDEX('SALA 2002'!$B:$U,MATCH($A67,'SALA 2002'!$A:$A,0),MATCH(F$1,'SALA 2002'!$B$1:$U$1,0))*POWER(INDEX('WPP 2024 середина года'!$B:$U,MATCH($A67,'WPP 2024 середина года'!$A:$A,0),MATCH(F$1,'WPP 2024 середина года'!$B$1:$U$1,0))/(1000*INDEX('SALA 2002'!$B:$U,MATCH($A67,'SALA 2002'!$A:$A,0),MATCH(F$1,'SALA 2002'!$B$1:$U$1,0))),($A67-1994)/7),INDEX('WPP 2024 середина года'!$B:$U,MATCH($A67,'WPP 2024 середина года'!$A:$A,0),MATCH(F$1,'WPP 2024 середина года'!$B$1:$U$1,0)))))</f>
        <v>18040</v>
      </c>
      <c r="G67" s="7">
        <f>IF($A67&lt;=1951,INDEX('SALA 1974'!$B:$U,MATCH($A67,'SALA 1974'!$A:$A,0),MATCH(G$1,'SALA 1974'!$B$1:$U$1,0)),IF($A67&lt;=1994,1000*INDEX('SALA 2002'!$B:$U,MATCH($A67,'SALA 2002'!$A:$A,0),MATCH(G$1,'SALA 2002'!$B$1:$U$1,0)),IF($A67&lt;=2000,1000*INDEX('SALA 2002'!$B:$U,MATCH($A67,'SALA 2002'!$A:$A,0),MATCH(G$1,'SALA 2002'!$B$1:$U$1,0))*POWER(INDEX('WPP 2024 середина года'!$B:$U,MATCH($A67,'WPP 2024 середина года'!$A:$A,0),MATCH(G$1,'WPP 2024 середина года'!$B$1:$U$1,0))/(1000*INDEX('SALA 2002'!$B:$U,MATCH($A67,'SALA 2002'!$A:$A,0),MATCH(G$1,'SALA 2002'!$B$1:$U$1,0))),($A67-1994)/7),INDEX('WPP 2024 середина года'!$B:$U,MATCH($A67,'WPP 2024 середина года'!$A:$A,0),MATCH(G$1,'WPP 2024 середина года'!$B$1:$U$1,0)))))</f>
        <v>1490</v>
      </c>
      <c r="H67" s="7">
        <f>IF($A67&lt;=1951,INDEX('SALA 1974'!$B:$U,MATCH($A67,'SALA 1974'!$A:$A,0),MATCH(H$1,'SALA 1974'!$B$1:$U$1,0)),IF($A67&lt;=1994,1000*INDEX('SALA 2002'!$B:$U,MATCH($A67,'SALA 2002'!$A:$A,0),MATCH(H$1,'SALA 2002'!$B$1:$U$1,0)),IF($A67&lt;=2000,1000*INDEX('SALA 2002'!$B:$U,MATCH($A67,'SALA 2002'!$A:$A,0),MATCH(H$1,'SALA 2002'!$B$1:$U$1,0))*POWER(INDEX('WPP 2024 середина года'!$B:$U,MATCH($A67,'WPP 2024 середина года'!$A:$A,0),MATCH(H$1,'WPP 2024 середина года'!$B$1:$U$1,0))/(1000*INDEX('SALA 2002'!$B:$U,MATCH($A67,'SALA 2002'!$A:$A,0),MATCH(H$1,'SALA 2002'!$B$1:$U$1,0))),($A67-1994)/7),INDEX('WPP 2024 середина года'!$B:$U,MATCH($A67,'WPP 2024 середина года'!$A:$A,0),MATCH(H$1,'WPP 2024 середина года'!$B$1:$U$1,0)))))</f>
        <v>7810</v>
      </c>
      <c r="I67" s="7">
        <f>IF($A67&lt;=1951,INDEX('SALA 1974'!$B:$U,MATCH($A67,'SALA 1974'!$A:$A,0),MATCH(I$1,'SALA 1974'!$B$1:$U$1,0)),IF($A67&lt;=1994,1000*INDEX('SALA 2002'!$B:$U,MATCH($A67,'SALA 2002'!$A:$A,0),MATCH(I$1,'SALA 2002'!$B$1:$U$1,0)),IF($A67&lt;=2000,1000*INDEX('SALA 2002'!$B:$U,MATCH($A67,'SALA 2002'!$A:$A,0),MATCH(I$1,'SALA 2002'!$B$1:$U$1,0))*POWER(INDEX('WPP 2024 середина года'!$B:$U,MATCH($A67,'WPP 2024 середина года'!$A:$A,0),MATCH(I$1,'WPP 2024 середина года'!$B$1:$U$1,0))/(1000*INDEX('SALA 2002'!$B:$U,MATCH($A67,'SALA 2002'!$A:$A,0),MATCH(I$1,'SALA 2002'!$B$1:$U$1,0))),($A67-1994)/7),INDEX('WPP 2024 середина года'!$B:$U,MATCH($A67,'WPP 2024 середина года'!$A:$A,0),MATCH(I$1,'WPP 2024 середина года'!$B$1:$U$1,0)))))</f>
        <v>3510</v>
      </c>
      <c r="J67" s="7">
        <f>IF($A67&lt;=1951,INDEX('SALA 1974'!$B:$U,MATCH($A67,'SALA 1974'!$A:$A,0),MATCH(J$1,'SALA 1974'!$B$1:$U$1,0)),IF($A67&lt;=1994,1000*INDEX('SALA 2002'!$B:$U,MATCH($A67,'SALA 2002'!$A:$A,0),MATCH(J$1,'SALA 2002'!$B$1:$U$1,0)),IF($A67&lt;=2000,1000*INDEX('SALA 2002'!$B:$U,MATCH($A67,'SALA 2002'!$A:$A,0),MATCH(J$1,'SALA 2002'!$B$1:$U$1,0))*POWER(INDEX('WPP 2024 середина года'!$B:$U,MATCH($A67,'WPP 2024 середина года'!$A:$A,0),MATCH(J$1,'WPP 2024 середина года'!$B$1:$U$1,0))/(1000*INDEX('SALA 2002'!$B:$U,MATCH($A67,'SALA 2002'!$A:$A,0),MATCH(J$1,'SALA 2002'!$B$1:$U$1,0))),($A67-1994)/7),INDEX('WPP 2024 середина года'!$B:$U,MATCH($A67,'WPP 2024 середина года'!$A:$A,0),MATCH(J$1,'WPP 2024 середина года'!$B$1:$U$1,0)))))</f>
        <v>5070</v>
      </c>
      <c r="K67" s="7">
        <f>IF($A67&lt;=1951,INDEX('SALA 1974'!$B:$U,MATCH($A67,'SALA 1974'!$A:$A,0),MATCH(K$1,'SALA 1974'!$B$1:$U$1,0)),IF($A67&lt;=1994,1000*INDEX('SALA 2002'!$B:$U,MATCH($A67,'SALA 2002'!$A:$A,0),MATCH(K$1,'SALA 2002'!$B$1:$U$1,0)),IF($A67&lt;=2000,1000*INDEX('SALA 2002'!$B:$U,MATCH($A67,'SALA 2002'!$A:$A,0),MATCH(K$1,'SALA 2002'!$B$1:$U$1,0))*POWER(INDEX('WPP 2024 середина года'!$B:$U,MATCH($A67,'WPP 2024 середина года'!$A:$A,0),MATCH(K$1,'WPP 2024 середина года'!$B$1:$U$1,0))/(1000*INDEX('SALA 2002'!$B:$U,MATCH($A67,'SALA 2002'!$A:$A,0),MATCH(K$1,'SALA 2002'!$B$1:$U$1,0))),($A67-1994)/7),INDEX('WPP 2024 середина года'!$B:$U,MATCH($A67,'WPP 2024 середина года'!$A:$A,0),MATCH(K$1,'WPP 2024 середина года'!$B$1:$U$1,0)))))</f>
        <v>2930</v>
      </c>
      <c r="L67" s="7">
        <f>IF($A67&lt;=1951,INDEX('SALA 1974'!$B:$U,MATCH($A67,'SALA 1974'!$A:$A,0),MATCH(L$1,'SALA 1974'!$B$1:$U$1,0)),IF($A67&lt;=1994,1000*INDEX('SALA 2002'!$B:$U,MATCH($A67,'SALA 2002'!$A:$A,0),MATCH(L$1,'SALA 2002'!$B$1:$U$1,0)),IF($A67&lt;=2000,1000*INDEX('SALA 2002'!$B:$U,MATCH($A67,'SALA 2002'!$A:$A,0),MATCH(L$1,'SALA 2002'!$B$1:$U$1,0))*POWER(INDEX('WPP 2024 середина года'!$B:$U,MATCH($A67,'WPP 2024 середина года'!$A:$A,0),MATCH(L$1,'WPP 2024 середина года'!$B$1:$U$1,0))/(1000*INDEX('SALA 2002'!$B:$U,MATCH($A67,'SALA 2002'!$A:$A,0),MATCH(L$1,'SALA 2002'!$B$1:$U$1,0))),($A67-1994)/7),INDEX('WPP 2024 середина года'!$B:$U,MATCH($A67,'WPP 2024 середина года'!$A:$A,0),MATCH(L$1,'WPP 2024 середина года'!$B$1:$U$1,0)))))</f>
        <v>4410</v>
      </c>
      <c r="M67" s="7">
        <f>IF($A67&lt;=1951,INDEX('SALA 1974'!$B:$U,MATCH($A67,'SALA 1974'!$A:$A,0),MATCH(M$1,'SALA 1974'!$B$1:$U$1,0)),IF($A67&lt;=1994,1000*INDEX('SALA 2002'!$B:$U,MATCH($A67,'SALA 2002'!$A:$A,0),MATCH(M$1,'SALA 2002'!$B$1:$U$1,0)),IF($A67&lt;=2000,1000*INDEX('SALA 2002'!$B:$U,MATCH($A67,'SALA 2002'!$A:$A,0),MATCH(M$1,'SALA 2002'!$B$1:$U$1,0))*POWER(INDEX('WPP 2024 середина года'!$B:$U,MATCH($A67,'WPP 2024 середина года'!$A:$A,0),MATCH(M$1,'WPP 2024 середина года'!$B$1:$U$1,0))/(1000*INDEX('SALA 2002'!$B:$U,MATCH($A67,'SALA 2002'!$A:$A,0),MATCH(M$1,'SALA 2002'!$B$1:$U$1,0))),($A67-1994)/7),INDEX('WPP 2024 середина года'!$B:$U,MATCH($A67,'WPP 2024 середина года'!$A:$A,0),MATCH(M$1,'WPP 2024 середина года'!$B$1:$U$1,0)))))</f>
        <v>3910</v>
      </c>
      <c r="N67" s="7">
        <f>IF($A67&lt;=1951,INDEX('SALA 1974'!$B:$U,MATCH($A67,'SALA 1974'!$A:$A,0),MATCH(N$1,'SALA 1974'!$B$1:$U$1,0)),IF($A67&lt;=1994,1000*INDEX('SALA 2002'!$B:$U,MATCH($A67,'SALA 2002'!$A:$A,0),MATCH(N$1,'SALA 2002'!$B$1:$U$1,0)),IF($A67&lt;=2000,1000*INDEX('SALA 2002'!$B:$U,MATCH($A67,'SALA 2002'!$A:$A,0),MATCH(N$1,'SALA 2002'!$B$1:$U$1,0))*POWER(INDEX('WPP 2024 середина года'!$B:$U,MATCH($A67,'WPP 2024 середина года'!$A:$A,0),MATCH(N$1,'WPP 2024 середина года'!$B$1:$U$1,0))/(1000*INDEX('SALA 2002'!$B:$U,MATCH($A67,'SALA 2002'!$A:$A,0),MATCH(N$1,'SALA 2002'!$B$1:$U$1,0))),($A67-1994)/7),INDEX('WPP 2024 середина года'!$B:$U,MATCH($A67,'WPP 2024 середина года'!$A:$A,0),MATCH(N$1,'WPP 2024 середина года'!$B$1:$U$1,0)))))</f>
        <v>2180</v>
      </c>
      <c r="O67" s="7">
        <f>IF($A67&lt;=1951,INDEX('SALA 1974'!$B:$U,MATCH($A67,'SALA 1974'!$A:$A,0),MATCH(O$1,'SALA 1974'!$B$1:$U$1,0)),IF($A67&lt;=1994,1000*INDEX('SALA 2002'!$B:$U,MATCH($A67,'SALA 2002'!$A:$A,0),MATCH(O$1,'SALA 2002'!$B$1:$U$1,0)),IF($A67&lt;=2000,1000*INDEX('SALA 2002'!$B:$U,MATCH($A67,'SALA 2002'!$A:$A,0),MATCH(O$1,'SALA 2002'!$B$1:$U$1,0))*POWER(INDEX('WPP 2024 середина года'!$B:$U,MATCH($A67,'WPP 2024 середина года'!$A:$A,0),MATCH(O$1,'WPP 2024 середина года'!$B$1:$U$1,0))/(1000*INDEX('SALA 2002'!$B:$U,MATCH($A67,'SALA 2002'!$A:$A,0),MATCH(O$1,'SALA 2002'!$B$1:$U$1,0))),($A67-1994)/7),INDEX('WPP 2024 середина года'!$B:$U,MATCH($A67,'WPP 2024 середина года'!$A:$A,0),MATCH(O$1,'WPP 2024 середина года'!$B$1:$U$1,0)))))</f>
        <v>42690</v>
      </c>
      <c r="P67" s="7">
        <f>IF($A67&lt;=1951,INDEX('SALA 1974'!$B:$U,MATCH($A67,'SALA 1974'!$A:$A,0),MATCH(P$1,'SALA 1974'!$B$1:$U$1,0)),IF($A67&lt;=1994,1000*INDEX('SALA 2002'!$B:$U,MATCH($A67,'SALA 2002'!$A:$A,0),MATCH(P$1,'SALA 2002'!$B$1:$U$1,0)),IF($A67&lt;=2000,1000*INDEX('SALA 2002'!$B:$U,MATCH($A67,'SALA 2002'!$A:$A,0),MATCH(P$1,'SALA 2002'!$B$1:$U$1,0))*POWER(INDEX('WPP 2024 середина года'!$B:$U,MATCH($A67,'WPP 2024 середина года'!$A:$A,0),MATCH(P$1,'WPP 2024 середина года'!$B$1:$U$1,0))/(1000*INDEX('SALA 2002'!$B:$U,MATCH($A67,'SALA 2002'!$A:$A,0),MATCH(P$1,'SALA 2002'!$B$1:$U$1,0))),($A67-1994)/7),INDEX('WPP 2024 середина года'!$B:$U,MATCH($A67,'WPP 2024 середина года'!$A:$A,0),MATCH(P$1,'WPP 2024 середина года'!$B$1:$U$1,0)))))</f>
        <v>1620</v>
      </c>
      <c r="Q67" s="7">
        <f>IF($A67&lt;=1951,INDEX('SALA 1974'!$B:$U,MATCH($A67,'SALA 1974'!$A:$A,0),MATCH(Q$1,'SALA 1974'!$B$1:$U$1,0)),IF($A67&lt;=1994,1000*INDEX('SALA 2002'!$B:$U,MATCH($A67,'SALA 2002'!$A:$A,0),MATCH(Q$1,'SALA 2002'!$B$1:$U$1,0)),IF($A67&lt;=2000,1000*INDEX('SALA 2002'!$B:$U,MATCH($A67,'SALA 2002'!$A:$A,0),MATCH(Q$1,'SALA 2002'!$B$1:$U$1,0))*POWER(INDEX('WPP 2024 середина года'!$B:$U,MATCH($A67,'WPP 2024 середина года'!$A:$A,0),MATCH(Q$1,'WPP 2024 середина года'!$B$1:$U$1,0))/(1000*INDEX('SALA 2002'!$B:$U,MATCH($A67,'SALA 2002'!$A:$A,0),MATCH(Q$1,'SALA 2002'!$B$1:$U$1,0))),($A67-1994)/7),INDEX('WPP 2024 середина года'!$B:$U,MATCH($A67,'WPP 2024 середина года'!$A:$A,0),MATCH(Q$1,'WPP 2024 середина года'!$B$1:$U$1,0)))))</f>
        <v>1240</v>
      </c>
      <c r="R67" s="7">
        <f>IF($A67&lt;=1951,INDEX('SALA 1974'!$B:$U,MATCH($A67,'SALA 1974'!$A:$A,0),MATCH(R$1,'SALA 1974'!$B$1:$U$1,0)),IF($A67&lt;=1994,1000*INDEX('SALA 2002'!$B:$U,MATCH($A67,'SALA 2002'!$A:$A,0),MATCH(R$1,'SALA 2002'!$B$1:$U$1,0)),IF($A67&lt;=2000,1000*INDEX('SALA 2002'!$B:$U,MATCH($A67,'SALA 2002'!$A:$A,0),MATCH(R$1,'SALA 2002'!$B$1:$U$1,0))*POWER(INDEX('WPP 2024 середина года'!$B:$U,MATCH($A67,'WPP 2024 середина года'!$A:$A,0),MATCH(R$1,'WPP 2024 середина года'!$B$1:$U$1,0))/(1000*INDEX('SALA 2002'!$B:$U,MATCH($A67,'SALA 2002'!$A:$A,0),MATCH(R$1,'SALA 2002'!$B$1:$U$1,0))),($A67-1994)/7),INDEX('WPP 2024 середина года'!$B:$U,MATCH($A67,'WPP 2024 середина года'!$A:$A,0),MATCH(R$1,'WPP 2024 середина года'!$B$1:$U$1,0)))))</f>
        <v>2029.9999999999998</v>
      </c>
      <c r="S67" s="7">
        <f>IF($A67&lt;=1951,INDEX('SALA 1974'!$B:$U,MATCH($A67,'SALA 1974'!$A:$A,0),MATCH(S$1,'SALA 1974'!$B$1:$U$1,0)),IF($A67&lt;=1994,1000*INDEX('SALA 2002'!$B:$U,MATCH($A67,'SALA 2002'!$A:$A,0),MATCH(S$1,'SALA 2002'!$B$1:$U$1,0)),IF($A67&lt;=2000,1000*INDEX('SALA 2002'!$B:$U,MATCH($A67,'SALA 2002'!$A:$A,0),MATCH(S$1,'SALA 2002'!$B$1:$U$1,0))*POWER(INDEX('WPP 2024 середина года'!$B:$U,MATCH($A67,'WPP 2024 середина года'!$A:$A,0),MATCH(S$1,'WPP 2024 середина года'!$B$1:$U$1,0))/(1000*INDEX('SALA 2002'!$B:$U,MATCH($A67,'SALA 2002'!$A:$A,0),MATCH(S$1,'SALA 2002'!$B$1:$U$1,0))),($A67-1994)/7),INDEX('WPP 2024 середина года'!$B:$U,MATCH($A67,'WPP 2024 середина года'!$A:$A,0),MATCH(S$1,'WPP 2024 середина года'!$B$1:$U$1,0)))))</f>
        <v>11650</v>
      </c>
      <c r="T67" s="7">
        <f>IF($A67&lt;=1951,INDEX('SALA 1974'!$B:$U,MATCH($A67,'SALA 1974'!$A:$A,0),MATCH(T$1,'SALA 1974'!$B$1:$U$1,0)),IF($A67&lt;=1994,1000*INDEX('SALA 2002'!$B:$U,MATCH($A67,'SALA 2002'!$A:$A,0),MATCH(T$1,'SALA 2002'!$B$1:$U$1,0)),IF($A67&lt;=2000,1000*INDEX('SALA 2002'!$B:$U,MATCH($A67,'SALA 2002'!$A:$A,0),MATCH(T$1,'SALA 2002'!$B$1:$U$1,0))*POWER(INDEX('WPP 2024 середина года'!$B:$U,MATCH($A67,'WPP 2024 середина года'!$A:$A,0),MATCH(T$1,'WPP 2024 середина года'!$B$1:$U$1,0))/(1000*INDEX('SALA 2002'!$B:$U,MATCH($A67,'SALA 2002'!$A:$A,0),MATCH(T$1,'SALA 2002'!$B$1:$U$1,0))),($A67-1994)/7),INDEX('WPP 2024 середина года'!$B:$U,MATCH($A67,'WPP 2024 середина года'!$A:$A,0),MATCH(T$1,'WPP 2024 середина года'!$B$1:$U$1,0)))))</f>
        <v>2710</v>
      </c>
      <c r="U67" s="7">
        <f>IF($A67&lt;=1951,INDEX('SALA 1974'!$B:$U,MATCH($A67,'SALA 1974'!$A:$A,0),MATCH(U$1,'SALA 1974'!$B$1:$U$1,0)),IF($A67&lt;=1994,1000*INDEX('SALA 2002'!$B:$U,MATCH($A67,'SALA 2002'!$A:$A,0),MATCH(U$1,'SALA 2002'!$B$1:$U$1,0)),IF($A67&lt;=2000,1000*INDEX('SALA 2002'!$B:$U,MATCH($A67,'SALA 2002'!$A:$A,0),MATCH(U$1,'SALA 2002'!$B$1:$U$1,0))*POWER(INDEX('WPP 2024 середина года'!$B:$U,MATCH($A67,'WPP 2024 середина года'!$A:$A,0),MATCH(U$1,'WPP 2024 середина года'!$B$1:$U$1,0))/(1000*INDEX('SALA 2002'!$B:$U,MATCH($A67,'SALA 2002'!$A:$A,0),MATCH(U$1,'SALA 2002'!$B$1:$U$1,0))),($A67-1994)/7),INDEX('WPP 2024 середина года'!$B:$U,MATCH($A67,'WPP 2024 середина года'!$A:$A,0),MATCH(U$1,'WPP 2024 середина года'!$B$1:$U$1,0)))))</f>
        <v>8710</v>
      </c>
    </row>
    <row r="68" spans="1:21" x14ac:dyDescent="0.25">
      <c r="A68" s="5">
        <f t="shared" ref="A68:A125" si="1">A67+1</f>
        <v>1966</v>
      </c>
      <c r="B68" s="7">
        <f>IF($A68&lt;=1951,INDEX('SALA 1974'!$B:$U,MATCH($A68,'SALA 1974'!$A:$A,0),MATCH(B$1,'SALA 1974'!$B$1:$U$1,0)),IF($A68&lt;=1994,1000*INDEX('SALA 2002'!$B:$U,MATCH($A68,'SALA 2002'!$A:$A,0),MATCH(B$1,'SALA 2002'!$B$1:$U$1,0)),IF($A68&lt;=2000,1000*INDEX('SALA 2002'!$B:$U,MATCH($A68,'SALA 2002'!$A:$A,0),MATCH(B$1,'SALA 2002'!$B$1:$U$1,0))*POWER(INDEX('WPP 2024 середина года'!$B:$U,MATCH($A68,'WPP 2024 середина года'!$A:$A,0),MATCH(B$1,'WPP 2024 середина года'!$B$1:$U$1,0))/(1000*INDEX('SALA 2002'!$B:$U,MATCH($A68,'SALA 2002'!$A:$A,0),MATCH(B$1,'SALA 2002'!$B$1:$U$1,0))),($A68-1994)/7),INDEX('WPP 2024 середина года'!$B:$U,MATCH($A68,'WPP 2024 середина года'!$A:$A,0),MATCH(B$1,'WPP 2024 середина года'!$B$1:$U$1,0)))))</f>
        <v>22490</v>
      </c>
      <c r="C68" s="7">
        <f>IF($A68&lt;=1951,INDEX('SALA 1974'!$B:$U,MATCH($A68,'SALA 1974'!$A:$A,0),MATCH(C$1,'SALA 1974'!$B$1:$U$1,0)),IF($A68&lt;=1994,1000*INDEX('SALA 2002'!$B:$U,MATCH($A68,'SALA 2002'!$A:$A,0),MATCH(C$1,'SALA 2002'!$B$1:$U$1,0)),IF($A68&lt;=2000,1000*INDEX('SALA 2002'!$B:$U,MATCH($A68,'SALA 2002'!$A:$A,0),MATCH(C$1,'SALA 2002'!$B$1:$U$1,0))*POWER(INDEX('WPP 2024 середина года'!$B:$U,MATCH($A68,'WPP 2024 середина года'!$A:$A,0),MATCH(C$1,'WPP 2024 середина года'!$B$1:$U$1,0))/(1000*INDEX('SALA 2002'!$B:$U,MATCH($A68,'SALA 2002'!$A:$A,0),MATCH(C$1,'SALA 2002'!$B$1:$U$1,0))),($A68-1994)/7),INDEX('WPP 2024 середина года'!$B:$U,MATCH($A68,'WPP 2024 середина года'!$A:$A,0),MATCH(C$1,'WPP 2024 середина года'!$B$1:$U$1,0)))))</f>
        <v>4450</v>
      </c>
      <c r="D68" s="7">
        <f>IF($A68&lt;=1951,INDEX('SALA 1974'!$B:$U,MATCH($A68,'SALA 1974'!$A:$A,0),MATCH(D$1,'SALA 1974'!$B$1:$U$1,0)),IF($A68&lt;=1994,1000*INDEX('SALA 2002'!$B:$U,MATCH($A68,'SALA 2002'!$A:$A,0),MATCH(D$1,'SALA 2002'!$B$1:$U$1,0)),IF($A68&lt;=2000,1000*INDEX('SALA 2002'!$B:$U,MATCH($A68,'SALA 2002'!$A:$A,0),MATCH(D$1,'SALA 2002'!$B$1:$U$1,0))*POWER(INDEX('WPP 2024 середина года'!$B:$U,MATCH($A68,'WPP 2024 середина года'!$A:$A,0),MATCH(D$1,'WPP 2024 середина года'!$B$1:$U$1,0))/(1000*INDEX('SALA 2002'!$B:$U,MATCH($A68,'SALA 2002'!$A:$A,0),MATCH(D$1,'SALA 2002'!$B$1:$U$1,0))),($A68-1994)/7),INDEX('WPP 2024 середина года'!$B:$U,MATCH($A68,'WPP 2024 середина года'!$A:$A,0),MATCH(D$1,'WPP 2024 середина года'!$B$1:$U$1,0)))))</f>
        <v>82930</v>
      </c>
      <c r="E68" s="7">
        <f>IF($A68&lt;=1951,INDEX('SALA 1974'!$B:$U,MATCH($A68,'SALA 1974'!$A:$A,0),MATCH(E$1,'SALA 1974'!$B$1:$U$1,0)),IF($A68&lt;=1994,1000*INDEX('SALA 2002'!$B:$U,MATCH($A68,'SALA 2002'!$A:$A,0),MATCH(E$1,'SALA 2002'!$B$1:$U$1,0)),IF($A68&lt;=2000,1000*INDEX('SALA 2002'!$B:$U,MATCH($A68,'SALA 2002'!$A:$A,0),MATCH(E$1,'SALA 2002'!$B$1:$U$1,0))*POWER(INDEX('WPP 2024 середина года'!$B:$U,MATCH($A68,'WPP 2024 середина года'!$A:$A,0),MATCH(E$1,'WPP 2024 середина года'!$B$1:$U$1,0))/(1000*INDEX('SALA 2002'!$B:$U,MATCH($A68,'SALA 2002'!$A:$A,0),MATCH(E$1,'SALA 2002'!$B$1:$U$1,0))),($A68-1994)/7),INDEX('WPP 2024 середина года'!$B:$U,MATCH($A68,'WPP 2024 середина года'!$A:$A,0),MATCH(E$1,'WPP 2024 середина года'!$B$1:$U$1,0)))))</f>
        <v>8680</v>
      </c>
      <c r="F68" s="7">
        <f>IF($A68&lt;=1947,INDEX('SALA 1974'!$B:$U,MATCH($A68,'SALA 1974'!$A:$A,0),MATCH(F$1,'SALA 1974'!$B$1:$U$1,0)),IF($A68&lt;=1994,1000*INDEX('SALA 2002'!$B:$U,MATCH($A68,'SALA 2002'!$A:$A,0),MATCH(F$1,'SALA 2002'!$B$1:$U$1,0)),IF($A68&lt;=2000,1000*INDEX('SALA 2002'!$B:$U,MATCH($A68,'SALA 2002'!$A:$A,0),MATCH(F$1,'SALA 2002'!$B$1:$U$1,0))*POWER(INDEX('WPP 2024 середина года'!$B:$U,MATCH($A68,'WPP 2024 середина года'!$A:$A,0),MATCH(F$1,'WPP 2024 середина года'!$B$1:$U$1,0))/(1000*INDEX('SALA 2002'!$B:$U,MATCH($A68,'SALA 2002'!$A:$A,0),MATCH(F$1,'SALA 2002'!$B$1:$U$1,0))),($A68-1994)/7),INDEX('WPP 2024 середина года'!$B:$U,MATCH($A68,'WPP 2024 середина года'!$A:$A,0),MATCH(F$1,'WPP 2024 середина года'!$B$1:$U$1,0)))))</f>
        <v>18470</v>
      </c>
      <c r="G68" s="7">
        <f>IF($A68&lt;=1951,INDEX('SALA 1974'!$B:$U,MATCH($A68,'SALA 1974'!$A:$A,0),MATCH(G$1,'SALA 1974'!$B$1:$U$1,0)),IF($A68&lt;=1994,1000*INDEX('SALA 2002'!$B:$U,MATCH($A68,'SALA 2002'!$A:$A,0),MATCH(G$1,'SALA 2002'!$B$1:$U$1,0)),IF($A68&lt;=2000,1000*INDEX('SALA 2002'!$B:$U,MATCH($A68,'SALA 2002'!$A:$A,0),MATCH(G$1,'SALA 2002'!$B$1:$U$1,0))*POWER(INDEX('WPP 2024 середина года'!$B:$U,MATCH($A68,'WPP 2024 середина года'!$A:$A,0),MATCH(G$1,'WPP 2024 середина года'!$B$1:$U$1,0))/(1000*INDEX('SALA 2002'!$B:$U,MATCH($A68,'SALA 2002'!$A:$A,0),MATCH(G$1,'SALA 2002'!$B$1:$U$1,0))),($A68-1994)/7),INDEX('WPP 2024 середина года'!$B:$U,MATCH($A68,'WPP 2024 середина года'!$A:$A,0),MATCH(G$1,'WPP 2024 середина года'!$B$1:$U$1,0)))))</f>
        <v>1540</v>
      </c>
      <c r="H68" s="7">
        <f>IF($A68&lt;=1951,INDEX('SALA 1974'!$B:$U,MATCH($A68,'SALA 1974'!$A:$A,0),MATCH(H$1,'SALA 1974'!$B$1:$U$1,0)),IF($A68&lt;=1994,1000*INDEX('SALA 2002'!$B:$U,MATCH($A68,'SALA 2002'!$A:$A,0),MATCH(H$1,'SALA 2002'!$B$1:$U$1,0)),IF($A68&lt;=2000,1000*INDEX('SALA 2002'!$B:$U,MATCH($A68,'SALA 2002'!$A:$A,0),MATCH(H$1,'SALA 2002'!$B$1:$U$1,0))*POWER(INDEX('WPP 2024 середина года'!$B:$U,MATCH($A68,'WPP 2024 середина года'!$A:$A,0),MATCH(H$1,'WPP 2024 середина года'!$B$1:$U$1,0))/(1000*INDEX('SALA 2002'!$B:$U,MATCH($A68,'SALA 2002'!$A:$A,0),MATCH(H$1,'SALA 2002'!$B$1:$U$1,0))),($A68-1994)/7),INDEX('WPP 2024 середина года'!$B:$U,MATCH($A68,'WPP 2024 середина года'!$A:$A,0),MATCH(H$1,'WPP 2024 середина года'!$B$1:$U$1,0)))))</f>
        <v>7990</v>
      </c>
      <c r="I68" s="7">
        <f>IF($A68&lt;=1951,INDEX('SALA 1974'!$B:$U,MATCH($A68,'SALA 1974'!$A:$A,0),MATCH(I$1,'SALA 1974'!$B$1:$U$1,0)),IF($A68&lt;=1994,1000*INDEX('SALA 2002'!$B:$U,MATCH($A68,'SALA 2002'!$A:$A,0),MATCH(I$1,'SALA 2002'!$B$1:$U$1,0)),IF($A68&lt;=2000,1000*INDEX('SALA 2002'!$B:$U,MATCH($A68,'SALA 2002'!$A:$A,0),MATCH(I$1,'SALA 2002'!$B$1:$U$1,0))*POWER(INDEX('WPP 2024 середина года'!$B:$U,MATCH($A68,'WPP 2024 середина года'!$A:$A,0),MATCH(I$1,'WPP 2024 середина года'!$B$1:$U$1,0))/(1000*INDEX('SALA 2002'!$B:$U,MATCH($A68,'SALA 2002'!$A:$A,0),MATCH(I$1,'SALA 2002'!$B$1:$U$1,0))),($A68-1994)/7),INDEX('WPP 2024 середина года'!$B:$U,MATCH($A68,'WPP 2024 середина года'!$A:$A,0),MATCH(I$1,'WPP 2024 середина года'!$B$1:$U$1,0)))))</f>
        <v>3620</v>
      </c>
      <c r="J68" s="7">
        <f>IF($A68&lt;=1951,INDEX('SALA 1974'!$B:$U,MATCH($A68,'SALA 1974'!$A:$A,0),MATCH(J$1,'SALA 1974'!$B$1:$U$1,0)),IF($A68&lt;=1994,1000*INDEX('SALA 2002'!$B:$U,MATCH($A68,'SALA 2002'!$A:$A,0),MATCH(J$1,'SALA 2002'!$B$1:$U$1,0)),IF($A68&lt;=2000,1000*INDEX('SALA 2002'!$B:$U,MATCH($A68,'SALA 2002'!$A:$A,0),MATCH(J$1,'SALA 2002'!$B$1:$U$1,0))*POWER(INDEX('WPP 2024 середина года'!$B:$U,MATCH($A68,'WPP 2024 середина года'!$A:$A,0),MATCH(J$1,'WPP 2024 середина года'!$B$1:$U$1,0))/(1000*INDEX('SALA 2002'!$B:$U,MATCH($A68,'SALA 2002'!$A:$A,0),MATCH(J$1,'SALA 2002'!$B$1:$U$1,0))),($A68-1994)/7),INDEX('WPP 2024 середина года'!$B:$U,MATCH($A68,'WPP 2024 середина года'!$A:$A,0),MATCH(J$1,'WPP 2024 середина года'!$B$1:$U$1,0)))))</f>
        <v>5220</v>
      </c>
      <c r="K68" s="7">
        <f>IF($A68&lt;=1951,INDEX('SALA 1974'!$B:$U,MATCH($A68,'SALA 1974'!$A:$A,0),MATCH(K$1,'SALA 1974'!$B$1:$U$1,0)),IF($A68&lt;=1994,1000*INDEX('SALA 2002'!$B:$U,MATCH($A68,'SALA 2002'!$A:$A,0),MATCH(K$1,'SALA 2002'!$B$1:$U$1,0)),IF($A68&lt;=2000,1000*INDEX('SALA 2002'!$B:$U,MATCH($A68,'SALA 2002'!$A:$A,0),MATCH(K$1,'SALA 2002'!$B$1:$U$1,0))*POWER(INDEX('WPP 2024 середина года'!$B:$U,MATCH($A68,'WPP 2024 середина года'!$A:$A,0),MATCH(K$1,'WPP 2024 середина года'!$B$1:$U$1,0))/(1000*INDEX('SALA 2002'!$B:$U,MATCH($A68,'SALA 2002'!$A:$A,0),MATCH(K$1,'SALA 2002'!$B$1:$U$1,0))),($A68-1994)/7),INDEX('WPP 2024 середина года'!$B:$U,MATCH($A68,'WPP 2024 середина года'!$A:$A,0),MATCH(K$1,'WPP 2024 середина года'!$B$1:$U$1,0)))))</f>
        <v>3040</v>
      </c>
      <c r="L68" s="7">
        <f>IF($A68&lt;=1951,INDEX('SALA 1974'!$B:$U,MATCH($A68,'SALA 1974'!$A:$A,0),MATCH(L$1,'SALA 1974'!$B$1:$U$1,0)),IF($A68&lt;=1994,1000*INDEX('SALA 2002'!$B:$U,MATCH($A68,'SALA 2002'!$A:$A,0),MATCH(L$1,'SALA 2002'!$B$1:$U$1,0)),IF($A68&lt;=2000,1000*INDEX('SALA 2002'!$B:$U,MATCH($A68,'SALA 2002'!$A:$A,0),MATCH(L$1,'SALA 2002'!$B$1:$U$1,0))*POWER(INDEX('WPP 2024 середина года'!$B:$U,MATCH($A68,'WPP 2024 середина года'!$A:$A,0),MATCH(L$1,'WPP 2024 середина года'!$B$1:$U$1,0))/(1000*INDEX('SALA 2002'!$B:$U,MATCH($A68,'SALA 2002'!$A:$A,0),MATCH(L$1,'SALA 2002'!$B$1:$U$1,0))),($A68-1994)/7),INDEX('WPP 2024 середина года'!$B:$U,MATCH($A68,'WPP 2024 середина года'!$A:$A,0),MATCH(L$1,'WPP 2024 середина года'!$B$1:$U$1,0)))))</f>
        <v>4500</v>
      </c>
      <c r="M68" s="7">
        <f>IF($A68&lt;=1951,INDEX('SALA 1974'!$B:$U,MATCH($A68,'SALA 1974'!$A:$A,0),MATCH(M$1,'SALA 1974'!$B$1:$U$1,0)),IF($A68&lt;=1994,1000*INDEX('SALA 2002'!$B:$U,MATCH($A68,'SALA 2002'!$A:$A,0),MATCH(M$1,'SALA 2002'!$B$1:$U$1,0)),IF($A68&lt;=2000,1000*INDEX('SALA 2002'!$B:$U,MATCH($A68,'SALA 2002'!$A:$A,0),MATCH(M$1,'SALA 2002'!$B$1:$U$1,0))*POWER(INDEX('WPP 2024 середина года'!$B:$U,MATCH($A68,'WPP 2024 середина года'!$A:$A,0),MATCH(M$1,'WPP 2024 середина года'!$B$1:$U$1,0))/(1000*INDEX('SALA 2002'!$B:$U,MATCH($A68,'SALA 2002'!$A:$A,0),MATCH(M$1,'SALA 2002'!$B$1:$U$1,0))),($A68-1994)/7),INDEX('WPP 2024 середина года'!$B:$U,MATCH($A68,'WPP 2024 середина года'!$A:$A,0),MATCH(M$1,'WPP 2024 середина года'!$B$1:$U$1,0)))))</f>
        <v>3970</v>
      </c>
      <c r="N68" s="7">
        <f>IF($A68&lt;=1951,INDEX('SALA 1974'!$B:$U,MATCH($A68,'SALA 1974'!$A:$A,0),MATCH(N$1,'SALA 1974'!$B$1:$U$1,0)),IF($A68&lt;=1994,1000*INDEX('SALA 2002'!$B:$U,MATCH($A68,'SALA 2002'!$A:$A,0),MATCH(N$1,'SALA 2002'!$B$1:$U$1,0)),IF($A68&lt;=2000,1000*INDEX('SALA 2002'!$B:$U,MATCH($A68,'SALA 2002'!$A:$A,0),MATCH(N$1,'SALA 2002'!$B$1:$U$1,0))*POWER(INDEX('WPP 2024 середина года'!$B:$U,MATCH($A68,'WPP 2024 середина года'!$A:$A,0),MATCH(N$1,'WPP 2024 середина года'!$B$1:$U$1,0))/(1000*INDEX('SALA 2002'!$B:$U,MATCH($A68,'SALA 2002'!$A:$A,0),MATCH(N$1,'SALA 2002'!$B$1:$U$1,0))),($A68-1994)/7),INDEX('WPP 2024 середина года'!$B:$U,MATCH($A68,'WPP 2024 середина года'!$A:$A,0),MATCH(N$1,'WPP 2024 середина года'!$B$1:$U$1,0)))))</f>
        <v>2260</v>
      </c>
      <c r="O68" s="7">
        <f>IF($A68&lt;=1951,INDEX('SALA 1974'!$B:$U,MATCH($A68,'SALA 1974'!$A:$A,0),MATCH(O$1,'SALA 1974'!$B$1:$U$1,0)),IF($A68&lt;=1994,1000*INDEX('SALA 2002'!$B:$U,MATCH($A68,'SALA 2002'!$A:$A,0),MATCH(O$1,'SALA 2002'!$B$1:$U$1,0)),IF($A68&lt;=2000,1000*INDEX('SALA 2002'!$B:$U,MATCH($A68,'SALA 2002'!$A:$A,0),MATCH(O$1,'SALA 2002'!$B$1:$U$1,0))*POWER(INDEX('WPP 2024 середина года'!$B:$U,MATCH($A68,'WPP 2024 середина года'!$A:$A,0),MATCH(O$1,'WPP 2024 середина года'!$B$1:$U$1,0))/(1000*INDEX('SALA 2002'!$B:$U,MATCH($A68,'SALA 2002'!$A:$A,0),MATCH(O$1,'SALA 2002'!$B$1:$U$1,0))),($A68-1994)/7),INDEX('WPP 2024 середина года'!$B:$U,MATCH($A68,'WPP 2024 середина года'!$A:$A,0),MATCH(O$1,'WPP 2024 середина года'!$B$1:$U$1,0)))))</f>
        <v>44140</v>
      </c>
      <c r="P68" s="7">
        <f>IF($A68&lt;=1951,INDEX('SALA 1974'!$B:$U,MATCH($A68,'SALA 1974'!$A:$A,0),MATCH(P$1,'SALA 1974'!$B$1:$U$1,0)),IF($A68&lt;=1994,1000*INDEX('SALA 2002'!$B:$U,MATCH($A68,'SALA 2002'!$A:$A,0),MATCH(P$1,'SALA 2002'!$B$1:$U$1,0)),IF($A68&lt;=2000,1000*INDEX('SALA 2002'!$B:$U,MATCH($A68,'SALA 2002'!$A:$A,0),MATCH(P$1,'SALA 2002'!$B$1:$U$1,0))*POWER(INDEX('WPP 2024 середина года'!$B:$U,MATCH($A68,'WPP 2024 середина года'!$A:$A,0),MATCH(P$1,'WPP 2024 середина года'!$B$1:$U$1,0))/(1000*INDEX('SALA 2002'!$B:$U,MATCH($A68,'SALA 2002'!$A:$A,0),MATCH(P$1,'SALA 2002'!$B$1:$U$1,0))),($A68-1994)/7),INDEX('WPP 2024 середина года'!$B:$U,MATCH($A68,'WPP 2024 середина года'!$A:$A,0),MATCH(P$1,'WPP 2024 середина года'!$B$1:$U$1,0)))))</f>
        <v>1660</v>
      </c>
      <c r="Q68" s="7">
        <f>IF($A68&lt;=1951,INDEX('SALA 1974'!$B:$U,MATCH($A68,'SALA 1974'!$A:$A,0),MATCH(Q$1,'SALA 1974'!$B$1:$U$1,0)),IF($A68&lt;=1994,1000*INDEX('SALA 2002'!$B:$U,MATCH($A68,'SALA 2002'!$A:$A,0),MATCH(Q$1,'SALA 2002'!$B$1:$U$1,0)),IF($A68&lt;=2000,1000*INDEX('SALA 2002'!$B:$U,MATCH($A68,'SALA 2002'!$A:$A,0),MATCH(Q$1,'SALA 2002'!$B$1:$U$1,0))*POWER(INDEX('WPP 2024 середина года'!$B:$U,MATCH($A68,'WPP 2024 середина года'!$A:$A,0),MATCH(Q$1,'WPP 2024 середина года'!$B$1:$U$1,0))/(1000*INDEX('SALA 2002'!$B:$U,MATCH($A68,'SALA 2002'!$A:$A,0),MATCH(Q$1,'SALA 2002'!$B$1:$U$1,0))),($A68-1994)/7),INDEX('WPP 2024 середина года'!$B:$U,MATCH($A68,'WPP 2024 середина года'!$A:$A,0),MATCH(Q$1,'WPP 2024 середина года'!$B$1:$U$1,0)))))</f>
        <v>1270</v>
      </c>
      <c r="R68" s="7">
        <f>IF($A68&lt;=1951,INDEX('SALA 1974'!$B:$U,MATCH($A68,'SALA 1974'!$A:$A,0),MATCH(R$1,'SALA 1974'!$B$1:$U$1,0)),IF($A68&lt;=1994,1000*INDEX('SALA 2002'!$B:$U,MATCH($A68,'SALA 2002'!$A:$A,0),MATCH(R$1,'SALA 2002'!$B$1:$U$1,0)),IF($A68&lt;=2000,1000*INDEX('SALA 2002'!$B:$U,MATCH($A68,'SALA 2002'!$A:$A,0),MATCH(R$1,'SALA 2002'!$B$1:$U$1,0))*POWER(INDEX('WPP 2024 середина года'!$B:$U,MATCH($A68,'WPP 2024 середина года'!$A:$A,0),MATCH(R$1,'WPP 2024 середина года'!$B$1:$U$1,0))/(1000*INDEX('SALA 2002'!$B:$U,MATCH($A68,'SALA 2002'!$A:$A,0),MATCH(R$1,'SALA 2002'!$B$1:$U$1,0))),($A68-1994)/7),INDEX('WPP 2024 середина года'!$B:$U,MATCH($A68,'WPP 2024 середина года'!$A:$A,0),MATCH(R$1,'WPP 2024 середина года'!$B$1:$U$1,0)))))</f>
        <v>2070</v>
      </c>
      <c r="S68" s="7">
        <f>IF($A68&lt;=1951,INDEX('SALA 1974'!$B:$U,MATCH($A68,'SALA 1974'!$A:$A,0),MATCH(S$1,'SALA 1974'!$B$1:$U$1,0)),IF($A68&lt;=1994,1000*INDEX('SALA 2002'!$B:$U,MATCH($A68,'SALA 2002'!$A:$A,0),MATCH(S$1,'SALA 2002'!$B$1:$U$1,0)),IF($A68&lt;=2000,1000*INDEX('SALA 2002'!$B:$U,MATCH($A68,'SALA 2002'!$A:$A,0),MATCH(S$1,'SALA 2002'!$B$1:$U$1,0))*POWER(INDEX('WPP 2024 середина года'!$B:$U,MATCH($A68,'WPP 2024 середина года'!$A:$A,0),MATCH(S$1,'WPP 2024 середина года'!$B$1:$U$1,0))/(1000*INDEX('SALA 2002'!$B:$U,MATCH($A68,'SALA 2002'!$A:$A,0),MATCH(S$1,'SALA 2002'!$B$1:$U$1,0))),($A68-1994)/7),INDEX('WPP 2024 середина года'!$B:$U,MATCH($A68,'WPP 2024 середина года'!$A:$A,0),MATCH(S$1,'WPP 2024 середина года'!$B$1:$U$1,0)))))</f>
        <v>12010</v>
      </c>
      <c r="T68" s="7">
        <f>IF($A68&lt;=1951,INDEX('SALA 1974'!$B:$U,MATCH($A68,'SALA 1974'!$A:$A,0),MATCH(T$1,'SALA 1974'!$B$1:$U$1,0)),IF($A68&lt;=1994,1000*INDEX('SALA 2002'!$B:$U,MATCH($A68,'SALA 2002'!$A:$A,0),MATCH(T$1,'SALA 2002'!$B$1:$U$1,0)),IF($A68&lt;=2000,1000*INDEX('SALA 2002'!$B:$U,MATCH($A68,'SALA 2002'!$A:$A,0),MATCH(T$1,'SALA 2002'!$B$1:$U$1,0))*POWER(INDEX('WPP 2024 середина года'!$B:$U,MATCH($A68,'WPP 2024 середина года'!$A:$A,0),MATCH(T$1,'WPP 2024 середина года'!$B$1:$U$1,0))/(1000*INDEX('SALA 2002'!$B:$U,MATCH($A68,'SALA 2002'!$A:$A,0),MATCH(T$1,'SALA 2002'!$B$1:$U$1,0))),($A68-1994)/7),INDEX('WPP 2024 середина года'!$B:$U,MATCH($A68,'WPP 2024 середина года'!$A:$A,0),MATCH(T$1,'WPP 2024 середина года'!$B$1:$U$1,0)))))</f>
        <v>2750</v>
      </c>
      <c r="U68" s="7">
        <f>IF($A68&lt;=1951,INDEX('SALA 1974'!$B:$U,MATCH($A68,'SALA 1974'!$A:$A,0),MATCH(U$1,'SALA 1974'!$B$1:$U$1,0)),IF($A68&lt;=1994,1000*INDEX('SALA 2002'!$B:$U,MATCH($A68,'SALA 2002'!$A:$A,0),MATCH(U$1,'SALA 2002'!$B$1:$U$1,0)),IF($A68&lt;=2000,1000*INDEX('SALA 2002'!$B:$U,MATCH($A68,'SALA 2002'!$A:$A,0),MATCH(U$1,'SALA 2002'!$B$1:$U$1,0))*POWER(INDEX('WPP 2024 середина года'!$B:$U,MATCH($A68,'WPP 2024 середина года'!$A:$A,0),MATCH(U$1,'WPP 2024 середина года'!$B$1:$U$1,0))/(1000*INDEX('SALA 2002'!$B:$U,MATCH($A68,'SALA 2002'!$A:$A,0),MATCH(U$1,'SALA 2002'!$B$1:$U$1,0))),($A68-1994)/7),INDEX('WPP 2024 середина года'!$B:$U,MATCH($A68,'WPP 2024 середина года'!$A:$A,0),MATCH(U$1,'WPP 2024 середина года'!$B$1:$U$1,0)))))</f>
        <v>9030</v>
      </c>
    </row>
    <row r="69" spans="1:21" x14ac:dyDescent="0.25">
      <c r="A69" s="5">
        <f t="shared" si="1"/>
        <v>1967</v>
      </c>
      <c r="B69" s="7">
        <f>IF($A69&lt;=1951,INDEX('SALA 1974'!$B:$U,MATCH($A69,'SALA 1974'!$A:$A,0),MATCH(B$1,'SALA 1974'!$B$1:$U$1,0)),IF($A69&lt;=1994,1000*INDEX('SALA 2002'!$B:$U,MATCH($A69,'SALA 2002'!$A:$A,0),MATCH(B$1,'SALA 2002'!$B$1:$U$1,0)),IF($A69&lt;=2000,1000*INDEX('SALA 2002'!$B:$U,MATCH($A69,'SALA 2002'!$A:$A,0),MATCH(B$1,'SALA 2002'!$B$1:$U$1,0))*POWER(INDEX('WPP 2024 середина года'!$B:$U,MATCH($A69,'WPP 2024 середина года'!$A:$A,0),MATCH(B$1,'WPP 2024 середина года'!$B$1:$U$1,0))/(1000*INDEX('SALA 2002'!$B:$U,MATCH($A69,'SALA 2002'!$A:$A,0),MATCH(B$1,'SALA 2002'!$B$1:$U$1,0))),($A69-1994)/7),INDEX('WPP 2024 середина года'!$B:$U,MATCH($A69,'WPP 2024 середина года'!$A:$A,0),MATCH(B$1,'WPP 2024 середина года'!$B$1:$U$1,0)))))</f>
        <v>22800</v>
      </c>
      <c r="C69" s="7">
        <f>IF($A69&lt;=1951,INDEX('SALA 1974'!$B:$U,MATCH($A69,'SALA 1974'!$A:$A,0),MATCH(C$1,'SALA 1974'!$B$1:$U$1,0)),IF($A69&lt;=1994,1000*INDEX('SALA 2002'!$B:$U,MATCH($A69,'SALA 2002'!$A:$A,0),MATCH(C$1,'SALA 2002'!$B$1:$U$1,0)),IF($A69&lt;=2000,1000*INDEX('SALA 2002'!$B:$U,MATCH($A69,'SALA 2002'!$A:$A,0),MATCH(C$1,'SALA 2002'!$B$1:$U$1,0))*POWER(INDEX('WPP 2024 середина года'!$B:$U,MATCH($A69,'WPP 2024 середина года'!$A:$A,0),MATCH(C$1,'WPP 2024 середина года'!$B$1:$U$1,0))/(1000*INDEX('SALA 2002'!$B:$U,MATCH($A69,'SALA 2002'!$A:$A,0),MATCH(C$1,'SALA 2002'!$B$1:$U$1,0))),($A69-1994)/7),INDEX('WPP 2024 середина года'!$B:$U,MATCH($A69,'WPP 2024 середина года'!$A:$A,0),MATCH(C$1,'WPP 2024 середина года'!$B$1:$U$1,0)))))</f>
        <v>4480</v>
      </c>
      <c r="D69" s="7">
        <f>IF($A69&lt;=1951,INDEX('SALA 1974'!$B:$U,MATCH($A69,'SALA 1974'!$A:$A,0),MATCH(D$1,'SALA 1974'!$B$1:$U$1,0)),IF($A69&lt;=1994,1000*INDEX('SALA 2002'!$B:$U,MATCH($A69,'SALA 2002'!$A:$A,0),MATCH(D$1,'SALA 2002'!$B$1:$U$1,0)),IF($A69&lt;=2000,1000*INDEX('SALA 2002'!$B:$U,MATCH($A69,'SALA 2002'!$A:$A,0),MATCH(D$1,'SALA 2002'!$B$1:$U$1,0))*POWER(INDEX('WPP 2024 середина года'!$B:$U,MATCH($A69,'WPP 2024 середина года'!$A:$A,0),MATCH(D$1,'WPP 2024 середина года'!$B$1:$U$1,0))/(1000*INDEX('SALA 2002'!$B:$U,MATCH($A69,'SALA 2002'!$A:$A,0),MATCH(D$1,'SALA 2002'!$B$1:$U$1,0))),($A69-1994)/7),INDEX('WPP 2024 середина года'!$B:$U,MATCH($A69,'WPP 2024 середина года'!$A:$A,0),MATCH(D$1,'WPP 2024 середина года'!$B$1:$U$1,0)))))</f>
        <v>85240</v>
      </c>
      <c r="E69" s="7">
        <f>IF($A69&lt;=1951,INDEX('SALA 1974'!$B:$U,MATCH($A69,'SALA 1974'!$A:$A,0),MATCH(E$1,'SALA 1974'!$B$1:$U$1,0)),IF($A69&lt;=1994,1000*INDEX('SALA 2002'!$B:$U,MATCH($A69,'SALA 2002'!$A:$A,0),MATCH(E$1,'SALA 2002'!$B$1:$U$1,0)),IF($A69&lt;=2000,1000*INDEX('SALA 2002'!$B:$U,MATCH($A69,'SALA 2002'!$A:$A,0),MATCH(E$1,'SALA 2002'!$B$1:$U$1,0))*POWER(INDEX('WPP 2024 середина года'!$B:$U,MATCH($A69,'WPP 2024 середина года'!$A:$A,0),MATCH(E$1,'WPP 2024 середина года'!$B$1:$U$1,0))/(1000*INDEX('SALA 2002'!$B:$U,MATCH($A69,'SALA 2002'!$A:$A,0),MATCH(E$1,'SALA 2002'!$B$1:$U$1,0))),($A69-1994)/7),INDEX('WPP 2024 середина года'!$B:$U,MATCH($A69,'WPP 2024 середина года'!$A:$A,0),MATCH(E$1,'WPP 2024 середина года'!$B$1:$U$1,0)))))</f>
        <v>8850</v>
      </c>
      <c r="F69" s="7">
        <f>IF($A69&lt;=1947,INDEX('SALA 1974'!$B:$U,MATCH($A69,'SALA 1974'!$A:$A,0),MATCH(F$1,'SALA 1974'!$B$1:$U$1,0)),IF($A69&lt;=1994,1000*INDEX('SALA 2002'!$B:$U,MATCH($A69,'SALA 2002'!$A:$A,0),MATCH(F$1,'SALA 2002'!$B$1:$U$1,0)),IF($A69&lt;=2000,1000*INDEX('SALA 2002'!$B:$U,MATCH($A69,'SALA 2002'!$A:$A,0),MATCH(F$1,'SALA 2002'!$B$1:$U$1,0))*POWER(INDEX('WPP 2024 середина года'!$B:$U,MATCH($A69,'WPP 2024 середина года'!$A:$A,0),MATCH(F$1,'WPP 2024 середина года'!$B$1:$U$1,0))/(1000*INDEX('SALA 2002'!$B:$U,MATCH($A69,'SALA 2002'!$A:$A,0),MATCH(F$1,'SALA 2002'!$B$1:$U$1,0))),($A69-1994)/7),INDEX('WPP 2024 середина года'!$B:$U,MATCH($A69,'WPP 2024 середина года'!$A:$A,0),MATCH(F$1,'WPP 2024 середина года'!$B$1:$U$1,0)))))</f>
        <v>18960</v>
      </c>
      <c r="G69" s="7">
        <f>IF($A69&lt;=1951,INDEX('SALA 1974'!$B:$U,MATCH($A69,'SALA 1974'!$A:$A,0),MATCH(G$1,'SALA 1974'!$B$1:$U$1,0)),IF($A69&lt;=1994,1000*INDEX('SALA 2002'!$B:$U,MATCH($A69,'SALA 2002'!$A:$A,0),MATCH(G$1,'SALA 2002'!$B$1:$U$1,0)),IF($A69&lt;=2000,1000*INDEX('SALA 2002'!$B:$U,MATCH($A69,'SALA 2002'!$A:$A,0),MATCH(G$1,'SALA 2002'!$B$1:$U$1,0))*POWER(INDEX('WPP 2024 середина года'!$B:$U,MATCH($A69,'WPP 2024 середина года'!$A:$A,0),MATCH(G$1,'WPP 2024 середина года'!$B$1:$U$1,0))/(1000*INDEX('SALA 2002'!$B:$U,MATCH($A69,'SALA 2002'!$A:$A,0),MATCH(G$1,'SALA 2002'!$B$1:$U$1,0))),($A69-1994)/7),INDEX('WPP 2024 середина года'!$B:$U,MATCH($A69,'WPP 2024 середина года'!$A:$A,0),MATCH(G$1,'WPP 2024 середина года'!$B$1:$U$1,0)))))</f>
        <v>1590</v>
      </c>
      <c r="H69" s="7">
        <f>IF($A69&lt;=1951,INDEX('SALA 1974'!$B:$U,MATCH($A69,'SALA 1974'!$A:$A,0),MATCH(H$1,'SALA 1974'!$B$1:$U$1,0)),IF($A69&lt;=1994,1000*INDEX('SALA 2002'!$B:$U,MATCH($A69,'SALA 2002'!$A:$A,0),MATCH(H$1,'SALA 2002'!$B$1:$U$1,0)),IF($A69&lt;=2000,1000*INDEX('SALA 2002'!$B:$U,MATCH($A69,'SALA 2002'!$A:$A,0),MATCH(H$1,'SALA 2002'!$B$1:$U$1,0))*POWER(INDEX('WPP 2024 середина года'!$B:$U,MATCH($A69,'WPP 2024 середина года'!$A:$A,0),MATCH(H$1,'WPP 2024 середина года'!$B$1:$U$1,0))/(1000*INDEX('SALA 2002'!$B:$U,MATCH($A69,'SALA 2002'!$A:$A,0),MATCH(H$1,'SALA 2002'!$B$1:$U$1,0))),($A69-1994)/7),INDEX('WPP 2024 середина года'!$B:$U,MATCH($A69,'WPP 2024 середина года'!$A:$A,0),MATCH(H$1,'WPP 2024 середина года'!$B$1:$U$1,0)))))</f>
        <v>8140.0000000000009</v>
      </c>
      <c r="I69" s="7">
        <f>IF($A69&lt;=1951,INDEX('SALA 1974'!$B:$U,MATCH($A69,'SALA 1974'!$A:$A,0),MATCH(I$1,'SALA 1974'!$B$1:$U$1,0)),IF($A69&lt;=1994,1000*INDEX('SALA 2002'!$B:$U,MATCH($A69,'SALA 2002'!$A:$A,0),MATCH(I$1,'SALA 2002'!$B$1:$U$1,0)),IF($A69&lt;=2000,1000*INDEX('SALA 2002'!$B:$U,MATCH($A69,'SALA 2002'!$A:$A,0),MATCH(I$1,'SALA 2002'!$B$1:$U$1,0))*POWER(INDEX('WPP 2024 середина года'!$B:$U,MATCH($A69,'WPP 2024 середина года'!$A:$A,0),MATCH(I$1,'WPP 2024 середина года'!$B$1:$U$1,0))/(1000*INDEX('SALA 2002'!$B:$U,MATCH($A69,'SALA 2002'!$A:$A,0),MATCH(I$1,'SALA 2002'!$B$1:$U$1,0))),($A69-1994)/7),INDEX('WPP 2024 середина года'!$B:$U,MATCH($A69,'WPP 2024 середина года'!$A:$A,0),MATCH(I$1,'WPP 2024 середина года'!$B$1:$U$1,0)))))</f>
        <v>3720</v>
      </c>
      <c r="J69" s="7">
        <f>IF($A69&lt;=1951,INDEX('SALA 1974'!$B:$U,MATCH($A69,'SALA 1974'!$A:$A,0),MATCH(J$1,'SALA 1974'!$B$1:$U$1,0)),IF($A69&lt;=1994,1000*INDEX('SALA 2002'!$B:$U,MATCH($A69,'SALA 2002'!$A:$A,0),MATCH(J$1,'SALA 2002'!$B$1:$U$1,0)),IF($A69&lt;=2000,1000*INDEX('SALA 2002'!$B:$U,MATCH($A69,'SALA 2002'!$A:$A,0),MATCH(J$1,'SALA 2002'!$B$1:$U$1,0))*POWER(INDEX('WPP 2024 середина года'!$B:$U,MATCH($A69,'WPP 2024 середина года'!$A:$A,0),MATCH(J$1,'WPP 2024 середина года'!$B$1:$U$1,0))/(1000*INDEX('SALA 2002'!$B:$U,MATCH($A69,'SALA 2002'!$A:$A,0),MATCH(J$1,'SALA 2002'!$B$1:$U$1,0))),($A69-1994)/7),INDEX('WPP 2024 середина года'!$B:$U,MATCH($A69,'WPP 2024 середина года'!$A:$A,0),MATCH(J$1,'WPP 2024 середина года'!$B$1:$U$1,0)))))</f>
        <v>5400</v>
      </c>
      <c r="K69" s="7">
        <f>IF($A69&lt;=1951,INDEX('SALA 1974'!$B:$U,MATCH($A69,'SALA 1974'!$A:$A,0),MATCH(K$1,'SALA 1974'!$B$1:$U$1,0)),IF($A69&lt;=1994,1000*INDEX('SALA 2002'!$B:$U,MATCH($A69,'SALA 2002'!$A:$A,0),MATCH(K$1,'SALA 2002'!$B$1:$U$1,0)),IF($A69&lt;=2000,1000*INDEX('SALA 2002'!$B:$U,MATCH($A69,'SALA 2002'!$A:$A,0),MATCH(K$1,'SALA 2002'!$B$1:$U$1,0))*POWER(INDEX('WPP 2024 середина года'!$B:$U,MATCH($A69,'WPP 2024 середина года'!$A:$A,0),MATCH(K$1,'WPP 2024 середина года'!$B$1:$U$1,0))/(1000*INDEX('SALA 2002'!$B:$U,MATCH($A69,'SALA 2002'!$A:$A,0),MATCH(K$1,'SALA 2002'!$B$1:$U$1,0))),($A69-1994)/7),INDEX('WPP 2024 середина года'!$B:$U,MATCH($A69,'WPP 2024 середина года'!$A:$A,0),MATCH(K$1,'WPP 2024 середина года'!$B$1:$U$1,0)))))</f>
        <v>3150</v>
      </c>
      <c r="L69" s="7">
        <f>IF($A69&lt;=1951,INDEX('SALA 1974'!$B:$U,MATCH($A69,'SALA 1974'!$A:$A,0),MATCH(L$1,'SALA 1974'!$B$1:$U$1,0)),IF($A69&lt;=1994,1000*INDEX('SALA 2002'!$B:$U,MATCH($A69,'SALA 2002'!$A:$A,0),MATCH(L$1,'SALA 2002'!$B$1:$U$1,0)),IF($A69&lt;=2000,1000*INDEX('SALA 2002'!$B:$U,MATCH($A69,'SALA 2002'!$A:$A,0),MATCH(L$1,'SALA 2002'!$B$1:$U$1,0))*POWER(INDEX('WPP 2024 середина года'!$B:$U,MATCH($A69,'WPP 2024 середина года'!$A:$A,0),MATCH(L$1,'WPP 2024 середина года'!$B$1:$U$1,0))/(1000*INDEX('SALA 2002'!$B:$U,MATCH($A69,'SALA 2002'!$A:$A,0),MATCH(L$1,'SALA 2002'!$B$1:$U$1,0))),($A69-1994)/7),INDEX('WPP 2024 середина года'!$B:$U,MATCH($A69,'WPP 2024 середина года'!$A:$A,0),MATCH(L$1,'WPP 2024 середина года'!$B$1:$U$1,0)))))</f>
        <v>4700</v>
      </c>
      <c r="M69" s="7">
        <f>IF($A69&lt;=1951,INDEX('SALA 1974'!$B:$U,MATCH($A69,'SALA 1974'!$A:$A,0),MATCH(M$1,'SALA 1974'!$B$1:$U$1,0)),IF($A69&lt;=1994,1000*INDEX('SALA 2002'!$B:$U,MATCH($A69,'SALA 2002'!$A:$A,0),MATCH(M$1,'SALA 2002'!$B$1:$U$1,0)),IF($A69&lt;=2000,1000*INDEX('SALA 2002'!$B:$U,MATCH($A69,'SALA 2002'!$A:$A,0),MATCH(M$1,'SALA 2002'!$B$1:$U$1,0))*POWER(INDEX('WPP 2024 середина года'!$B:$U,MATCH($A69,'WPP 2024 середина года'!$A:$A,0),MATCH(M$1,'WPP 2024 середина года'!$B$1:$U$1,0))/(1000*INDEX('SALA 2002'!$B:$U,MATCH($A69,'SALA 2002'!$A:$A,0),MATCH(M$1,'SALA 2002'!$B$1:$U$1,0))),($A69-1994)/7),INDEX('WPP 2024 середина года'!$B:$U,MATCH($A69,'WPP 2024 середина года'!$A:$A,0),MATCH(M$1,'WPP 2024 середина года'!$B$1:$U$1,0)))))</f>
        <v>4030.0000000000005</v>
      </c>
      <c r="N69" s="7">
        <f>IF($A69&lt;=1951,INDEX('SALA 1974'!$B:$U,MATCH($A69,'SALA 1974'!$A:$A,0),MATCH(N$1,'SALA 1974'!$B$1:$U$1,0)),IF($A69&lt;=1994,1000*INDEX('SALA 2002'!$B:$U,MATCH($A69,'SALA 2002'!$A:$A,0),MATCH(N$1,'SALA 2002'!$B$1:$U$1,0)),IF($A69&lt;=2000,1000*INDEX('SALA 2002'!$B:$U,MATCH($A69,'SALA 2002'!$A:$A,0),MATCH(N$1,'SALA 2002'!$B$1:$U$1,0))*POWER(INDEX('WPP 2024 середина года'!$B:$U,MATCH($A69,'WPP 2024 середина года'!$A:$A,0),MATCH(N$1,'WPP 2024 середина года'!$B$1:$U$1,0))/(1000*INDEX('SALA 2002'!$B:$U,MATCH($A69,'SALA 2002'!$A:$A,0),MATCH(N$1,'SALA 2002'!$B$1:$U$1,0))),($A69-1994)/7),INDEX('WPP 2024 середина года'!$B:$U,MATCH($A69,'WPP 2024 середина года'!$A:$A,0),MATCH(N$1,'WPP 2024 середина года'!$B$1:$U$1,0)))))</f>
        <v>2280</v>
      </c>
      <c r="O69" s="7">
        <f>IF($A69&lt;=1951,INDEX('SALA 1974'!$B:$U,MATCH($A69,'SALA 1974'!$A:$A,0),MATCH(O$1,'SALA 1974'!$B$1:$U$1,0)),IF($A69&lt;=1994,1000*INDEX('SALA 2002'!$B:$U,MATCH($A69,'SALA 2002'!$A:$A,0),MATCH(O$1,'SALA 2002'!$B$1:$U$1,0)),IF($A69&lt;=2000,1000*INDEX('SALA 2002'!$B:$U,MATCH($A69,'SALA 2002'!$A:$A,0),MATCH(O$1,'SALA 2002'!$B$1:$U$1,0))*POWER(INDEX('WPP 2024 середина года'!$B:$U,MATCH($A69,'WPP 2024 середина года'!$A:$A,0),MATCH(O$1,'WPP 2024 середина года'!$B$1:$U$1,0))/(1000*INDEX('SALA 2002'!$B:$U,MATCH($A69,'SALA 2002'!$A:$A,0),MATCH(O$1,'SALA 2002'!$B$1:$U$1,0))),($A69-1994)/7),INDEX('WPP 2024 середина года'!$B:$U,MATCH($A69,'WPP 2024 середина года'!$A:$A,0),MATCH(O$1,'WPP 2024 середина года'!$B$1:$U$1,0)))))</f>
        <v>45670</v>
      </c>
      <c r="P69" s="7">
        <f>IF($A69&lt;=1951,INDEX('SALA 1974'!$B:$U,MATCH($A69,'SALA 1974'!$A:$A,0),MATCH(P$1,'SALA 1974'!$B$1:$U$1,0)),IF($A69&lt;=1994,1000*INDEX('SALA 2002'!$B:$U,MATCH($A69,'SALA 2002'!$A:$A,0),MATCH(P$1,'SALA 2002'!$B$1:$U$1,0)),IF($A69&lt;=2000,1000*INDEX('SALA 2002'!$B:$U,MATCH($A69,'SALA 2002'!$A:$A,0),MATCH(P$1,'SALA 2002'!$B$1:$U$1,0))*POWER(INDEX('WPP 2024 середина года'!$B:$U,MATCH($A69,'WPP 2024 середина года'!$A:$A,0),MATCH(P$1,'WPP 2024 середина года'!$B$1:$U$1,0))/(1000*INDEX('SALA 2002'!$B:$U,MATCH($A69,'SALA 2002'!$A:$A,0),MATCH(P$1,'SALA 2002'!$B$1:$U$1,0))),($A69-1994)/7),INDEX('WPP 2024 середина года'!$B:$U,MATCH($A69,'WPP 2024 середина года'!$A:$A,0),MATCH(P$1,'WPP 2024 середина года'!$B$1:$U$1,0)))))</f>
        <v>1700</v>
      </c>
      <c r="Q69" s="7">
        <f>IF($A69&lt;=1951,INDEX('SALA 1974'!$B:$U,MATCH($A69,'SALA 1974'!$A:$A,0),MATCH(Q$1,'SALA 1974'!$B$1:$U$1,0)),IF($A69&lt;=1994,1000*INDEX('SALA 2002'!$B:$U,MATCH($A69,'SALA 2002'!$A:$A,0),MATCH(Q$1,'SALA 2002'!$B$1:$U$1,0)),IF($A69&lt;=2000,1000*INDEX('SALA 2002'!$B:$U,MATCH($A69,'SALA 2002'!$A:$A,0),MATCH(Q$1,'SALA 2002'!$B$1:$U$1,0))*POWER(INDEX('WPP 2024 середина года'!$B:$U,MATCH($A69,'WPP 2024 середина года'!$A:$A,0),MATCH(Q$1,'WPP 2024 середина года'!$B$1:$U$1,0))/(1000*INDEX('SALA 2002'!$B:$U,MATCH($A69,'SALA 2002'!$A:$A,0),MATCH(Q$1,'SALA 2002'!$B$1:$U$1,0))),($A69-1994)/7),INDEX('WPP 2024 середина года'!$B:$U,MATCH($A69,'WPP 2024 середина года'!$A:$A,0),MATCH(Q$1,'WPP 2024 середина года'!$B$1:$U$1,0)))))</f>
        <v>1310</v>
      </c>
      <c r="R69" s="7">
        <f>IF($A69&lt;=1951,INDEX('SALA 1974'!$B:$U,MATCH($A69,'SALA 1974'!$A:$A,0),MATCH(R$1,'SALA 1974'!$B$1:$U$1,0)),IF($A69&lt;=1994,1000*INDEX('SALA 2002'!$B:$U,MATCH($A69,'SALA 2002'!$A:$A,0),MATCH(R$1,'SALA 2002'!$B$1:$U$1,0)),IF($A69&lt;=2000,1000*INDEX('SALA 2002'!$B:$U,MATCH($A69,'SALA 2002'!$A:$A,0),MATCH(R$1,'SALA 2002'!$B$1:$U$1,0))*POWER(INDEX('WPP 2024 середина года'!$B:$U,MATCH($A69,'WPP 2024 середина года'!$A:$A,0),MATCH(R$1,'WPP 2024 середина года'!$B$1:$U$1,0))/(1000*INDEX('SALA 2002'!$B:$U,MATCH($A69,'SALA 2002'!$A:$A,0),MATCH(R$1,'SALA 2002'!$B$1:$U$1,0))),($A69-1994)/7),INDEX('WPP 2024 середина года'!$B:$U,MATCH($A69,'WPP 2024 середина года'!$A:$A,0),MATCH(R$1,'WPP 2024 середина года'!$B$1:$U$1,0)))))</f>
        <v>2130</v>
      </c>
      <c r="S69" s="7">
        <f>IF($A69&lt;=1951,INDEX('SALA 1974'!$B:$U,MATCH($A69,'SALA 1974'!$A:$A,0),MATCH(S$1,'SALA 1974'!$B$1:$U$1,0)),IF($A69&lt;=1994,1000*INDEX('SALA 2002'!$B:$U,MATCH($A69,'SALA 2002'!$A:$A,0),MATCH(S$1,'SALA 2002'!$B$1:$U$1,0)),IF($A69&lt;=2000,1000*INDEX('SALA 2002'!$B:$U,MATCH($A69,'SALA 2002'!$A:$A,0),MATCH(S$1,'SALA 2002'!$B$1:$U$1,0))*POWER(INDEX('WPP 2024 середина года'!$B:$U,MATCH($A69,'WPP 2024 середина года'!$A:$A,0),MATCH(S$1,'WPP 2024 середина года'!$B$1:$U$1,0))/(1000*INDEX('SALA 2002'!$B:$U,MATCH($A69,'SALA 2002'!$A:$A,0),MATCH(S$1,'SALA 2002'!$B$1:$U$1,0))),($A69-1994)/7),INDEX('WPP 2024 середина года'!$B:$U,MATCH($A69,'WPP 2024 середина года'!$A:$A,0),MATCH(S$1,'WPP 2024 середина года'!$B$1:$U$1,0)))))</f>
        <v>12310</v>
      </c>
      <c r="T69" s="7">
        <f>IF($A69&lt;=1951,INDEX('SALA 1974'!$B:$U,MATCH($A69,'SALA 1974'!$A:$A,0),MATCH(T$1,'SALA 1974'!$B$1:$U$1,0)),IF($A69&lt;=1994,1000*INDEX('SALA 2002'!$B:$U,MATCH($A69,'SALA 2002'!$A:$A,0),MATCH(T$1,'SALA 2002'!$B$1:$U$1,0)),IF($A69&lt;=2000,1000*INDEX('SALA 2002'!$B:$U,MATCH($A69,'SALA 2002'!$A:$A,0),MATCH(T$1,'SALA 2002'!$B$1:$U$1,0))*POWER(INDEX('WPP 2024 середина года'!$B:$U,MATCH($A69,'WPP 2024 середина года'!$A:$A,0),MATCH(T$1,'WPP 2024 середина года'!$B$1:$U$1,0))/(1000*INDEX('SALA 2002'!$B:$U,MATCH($A69,'SALA 2002'!$A:$A,0),MATCH(T$1,'SALA 2002'!$B$1:$U$1,0))),($A69-1994)/7),INDEX('WPP 2024 середина года'!$B:$U,MATCH($A69,'WPP 2024 середина года'!$A:$A,0),MATCH(T$1,'WPP 2024 середина года'!$B$1:$U$1,0)))))</f>
        <v>2690</v>
      </c>
      <c r="U69" s="7">
        <f>IF($A69&lt;=1951,INDEX('SALA 1974'!$B:$U,MATCH($A69,'SALA 1974'!$A:$A,0),MATCH(U$1,'SALA 1974'!$B$1:$U$1,0)),IF($A69&lt;=1994,1000*INDEX('SALA 2002'!$B:$U,MATCH($A69,'SALA 2002'!$A:$A,0),MATCH(U$1,'SALA 2002'!$B$1:$U$1,0)),IF($A69&lt;=2000,1000*INDEX('SALA 2002'!$B:$U,MATCH($A69,'SALA 2002'!$A:$A,0),MATCH(U$1,'SALA 2002'!$B$1:$U$1,0))*POWER(INDEX('WPP 2024 середина года'!$B:$U,MATCH($A69,'WPP 2024 середина года'!$A:$A,0),MATCH(U$1,'WPP 2024 середина года'!$B$1:$U$1,0))/(1000*INDEX('SALA 2002'!$B:$U,MATCH($A69,'SALA 2002'!$A:$A,0),MATCH(U$1,'SALA 2002'!$B$1:$U$1,0))),($A69-1994)/7),INDEX('WPP 2024 середина года'!$B:$U,MATCH($A69,'WPP 2024 середина года'!$A:$A,0),MATCH(U$1,'WPP 2024 середина года'!$B$1:$U$1,0)))))</f>
        <v>9310</v>
      </c>
    </row>
    <row r="70" spans="1:21" x14ac:dyDescent="0.25">
      <c r="A70" s="5">
        <f t="shared" si="1"/>
        <v>1968</v>
      </c>
      <c r="B70" s="7">
        <f>IF($A70&lt;=1951,INDEX('SALA 1974'!$B:$U,MATCH($A70,'SALA 1974'!$A:$A,0),MATCH(B$1,'SALA 1974'!$B$1:$U$1,0)),IF($A70&lt;=1994,1000*INDEX('SALA 2002'!$B:$U,MATCH($A70,'SALA 2002'!$A:$A,0),MATCH(B$1,'SALA 2002'!$B$1:$U$1,0)),IF($A70&lt;=2000,1000*INDEX('SALA 2002'!$B:$U,MATCH($A70,'SALA 2002'!$A:$A,0),MATCH(B$1,'SALA 2002'!$B$1:$U$1,0))*POWER(INDEX('WPP 2024 середина года'!$B:$U,MATCH($A70,'WPP 2024 середина года'!$A:$A,0),MATCH(B$1,'WPP 2024 середина года'!$B$1:$U$1,0))/(1000*INDEX('SALA 2002'!$B:$U,MATCH($A70,'SALA 2002'!$A:$A,0),MATCH(B$1,'SALA 2002'!$B$1:$U$1,0))),($A70-1994)/7),INDEX('WPP 2024 середина года'!$B:$U,MATCH($A70,'WPP 2024 середина года'!$A:$A,0),MATCH(B$1,'WPP 2024 середина года'!$B$1:$U$1,0)))))</f>
        <v>23110</v>
      </c>
      <c r="C70" s="7">
        <f>IF($A70&lt;=1951,INDEX('SALA 1974'!$B:$U,MATCH($A70,'SALA 1974'!$A:$A,0),MATCH(C$1,'SALA 1974'!$B$1:$U$1,0)),IF($A70&lt;=1994,1000*INDEX('SALA 2002'!$B:$U,MATCH($A70,'SALA 2002'!$A:$A,0),MATCH(C$1,'SALA 2002'!$B$1:$U$1,0)),IF($A70&lt;=2000,1000*INDEX('SALA 2002'!$B:$U,MATCH($A70,'SALA 2002'!$A:$A,0),MATCH(C$1,'SALA 2002'!$B$1:$U$1,0))*POWER(INDEX('WPP 2024 середина года'!$B:$U,MATCH($A70,'WPP 2024 середина года'!$A:$A,0),MATCH(C$1,'WPP 2024 середина года'!$B$1:$U$1,0))/(1000*INDEX('SALA 2002'!$B:$U,MATCH($A70,'SALA 2002'!$A:$A,0),MATCH(C$1,'SALA 2002'!$B$1:$U$1,0))),($A70-1994)/7),INDEX('WPP 2024 середина года'!$B:$U,MATCH($A70,'WPP 2024 середина года'!$A:$A,0),MATCH(C$1,'WPP 2024 середина года'!$B$1:$U$1,0)))))</f>
        <v>4510</v>
      </c>
      <c r="D70" s="7">
        <f>IF($A70&lt;=1951,INDEX('SALA 1974'!$B:$U,MATCH($A70,'SALA 1974'!$A:$A,0),MATCH(D$1,'SALA 1974'!$B$1:$U$1,0)),IF($A70&lt;=1994,1000*INDEX('SALA 2002'!$B:$U,MATCH($A70,'SALA 2002'!$A:$A,0),MATCH(D$1,'SALA 2002'!$B$1:$U$1,0)),IF($A70&lt;=2000,1000*INDEX('SALA 2002'!$B:$U,MATCH($A70,'SALA 2002'!$A:$A,0),MATCH(D$1,'SALA 2002'!$B$1:$U$1,0))*POWER(INDEX('WPP 2024 середина года'!$B:$U,MATCH($A70,'WPP 2024 середина года'!$A:$A,0),MATCH(D$1,'WPP 2024 середина года'!$B$1:$U$1,0))/(1000*INDEX('SALA 2002'!$B:$U,MATCH($A70,'SALA 2002'!$A:$A,0),MATCH(D$1,'SALA 2002'!$B$1:$U$1,0))),($A70-1994)/7),INDEX('WPP 2024 середина года'!$B:$U,MATCH($A70,'WPP 2024 середина года'!$A:$A,0),MATCH(D$1,'WPP 2024 середина года'!$B$1:$U$1,0)))))</f>
        <v>87620</v>
      </c>
      <c r="E70" s="7">
        <f>IF($A70&lt;=1951,INDEX('SALA 1974'!$B:$U,MATCH($A70,'SALA 1974'!$A:$A,0),MATCH(E$1,'SALA 1974'!$B$1:$U$1,0)),IF($A70&lt;=1994,1000*INDEX('SALA 2002'!$B:$U,MATCH($A70,'SALA 2002'!$A:$A,0),MATCH(E$1,'SALA 2002'!$B$1:$U$1,0)),IF($A70&lt;=2000,1000*INDEX('SALA 2002'!$B:$U,MATCH($A70,'SALA 2002'!$A:$A,0),MATCH(E$1,'SALA 2002'!$B$1:$U$1,0))*POWER(INDEX('WPP 2024 середина года'!$B:$U,MATCH($A70,'WPP 2024 середина года'!$A:$A,0),MATCH(E$1,'WPP 2024 середина года'!$B$1:$U$1,0))/(1000*INDEX('SALA 2002'!$B:$U,MATCH($A70,'SALA 2002'!$A:$A,0),MATCH(E$1,'SALA 2002'!$B$1:$U$1,0))),($A70-1994)/7),INDEX('WPP 2024 середина года'!$B:$U,MATCH($A70,'WPP 2024 середина года'!$A:$A,0),MATCH(E$1,'WPP 2024 середина года'!$B$1:$U$1,0)))))</f>
        <v>9030</v>
      </c>
      <c r="F70" s="7">
        <f>IF($A70&lt;=1947,INDEX('SALA 1974'!$B:$U,MATCH($A70,'SALA 1974'!$A:$A,0),MATCH(F$1,'SALA 1974'!$B$1:$U$1,0)),IF($A70&lt;=1994,1000*INDEX('SALA 2002'!$B:$U,MATCH($A70,'SALA 2002'!$A:$A,0),MATCH(F$1,'SALA 2002'!$B$1:$U$1,0)),IF($A70&lt;=2000,1000*INDEX('SALA 2002'!$B:$U,MATCH($A70,'SALA 2002'!$A:$A,0),MATCH(F$1,'SALA 2002'!$B$1:$U$1,0))*POWER(INDEX('WPP 2024 середина года'!$B:$U,MATCH($A70,'WPP 2024 середина года'!$A:$A,0),MATCH(F$1,'WPP 2024 середина года'!$B$1:$U$1,0))/(1000*INDEX('SALA 2002'!$B:$U,MATCH($A70,'SALA 2002'!$A:$A,0),MATCH(F$1,'SALA 2002'!$B$1:$U$1,0))),($A70-1994)/7),INDEX('WPP 2024 середина года'!$B:$U,MATCH($A70,'WPP 2024 середина года'!$A:$A,0),MATCH(F$1,'WPP 2024 середина года'!$B$1:$U$1,0)))))</f>
        <v>19460</v>
      </c>
      <c r="G70" s="7">
        <f>IF($A70&lt;=1951,INDEX('SALA 1974'!$B:$U,MATCH($A70,'SALA 1974'!$A:$A,0),MATCH(G$1,'SALA 1974'!$B$1:$U$1,0)),IF($A70&lt;=1994,1000*INDEX('SALA 2002'!$B:$U,MATCH($A70,'SALA 2002'!$A:$A,0),MATCH(G$1,'SALA 2002'!$B$1:$U$1,0)),IF($A70&lt;=2000,1000*INDEX('SALA 2002'!$B:$U,MATCH($A70,'SALA 2002'!$A:$A,0),MATCH(G$1,'SALA 2002'!$B$1:$U$1,0))*POWER(INDEX('WPP 2024 середина года'!$B:$U,MATCH($A70,'WPP 2024 середина года'!$A:$A,0),MATCH(G$1,'WPP 2024 середина года'!$B$1:$U$1,0))/(1000*INDEX('SALA 2002'!$B:$U,MATCH($A70,'SALA 2002'!$A:$A,0),MATCH(G$1,'SALA 2002'!$B$1:$U$1,0))),($A70-1994)/7),INDEX('WPP 2024 середина года'!$B:$U,MATCH($A70,'WPP 2024 середина года'!$A:$A,0),MATCH(G$1,'WPP 2024 середина года'!$B$1:$U$1,0)))))</f>
        <v>1630</v>
      </c>
      <c r="H70" s="7">
        <f>IF($A70&lt;=1951,INDEX('SALA 1974'!$B:$U,MATCH($A70,'SALA 1974'!$A:$A,0),MATCH(H$1,'SALA 1974'!$B$1:$U$1,0)),IF($A70&lt;=1994,1000*INDEX('SALA 2002'!$B:$U,MATCH($A70,'SALA 2002'!$A:$A,0),MATCH(H$1,'SALA 2002'!$B$1:$U$1,0)),IF($A70&lt;=2000,1000*INDEX('SALA 2002'!$B:$U,MATCH($A70,'SALA 2002'!$A:$A,0),MATCH(H$1,'SALA 2002'!$B$1:$U$1,0))*POWER(INDEX('WPP 2024 середина года'!$B:$U,MATCH($A70,'WPP 2024 середина года'!$A:$A,0),MATCH(H$1,'WPP 2024 середина года'!$B$1:$U$1,0))/(1000*INDEX('SALA 2002'!$B:$U,MATCH($A70,'SALA 2002'!$A:$A,0),MATCH(H$1,'SALA 2002'!$B$1:$U$1,0))),($A70-1994)/7),INDEX('WPP 2024 середина года'!$B:$U,MATCH($A70,'WPP 2024 середина года'!$A:$A,0),MATCH(H$1,'WPP 2024 середина года'!$B$1:$U$1,0)))))</f>
        <v>8280</v>
      </c>
      <c r="I70" s="7">
        <f>IF($A70&lt;=1951,INDEX('SALA 1974'!$B:$U,MATCH($A70,'SALA 1974'!$A:$A,0),MATCH(I$1,'SALA 1974'!$B$1:$U$1,0)),IF($A70&lt;=1994,1000*INDEX('SALA 2002'!$B:$U,MATCH($A70,'SALA 2002'!$A:$A,0),MATCH(I$1,'SALA 2002'!$B$1:$U$1,0)),IF($A70&lt;=2000,1000*INDEX('SALA 2002'!$B:$U,MATCH($A70,'SALA 2002'!$A:$A,0),MATCH(I$1,'SALA 2002'!$B$1:$U$1,0))*POWER(INDEX('WPP 2024 середина года'!$B:$U,MATCH($A70,'WPP 2024 середина года'!$A:$A,0),MATCH(I$1,'WPP 2024 середина года'!$B$1:$U$1,0))/(1000*INDEX('SALA 2002'!$B:$U,MATCH($A70,'SALA 2002'!$A:$A,0),MATCH(I$1,'SALA 2002'!$B$1:$U$1,0))),($A70-1994)/7),INDEX('WPP 2024 середина года'!$B:$U,MATCH($A70,'WPP 2024 середина года'!$A:$A,0),MATCH(I$1,'WPP 2024 середина года'!$B$1:$U$1,0)))))</f>
        <v>3830</v>
      </c>
      <c r="J70" s="7">
        <f>IF($A70&lt;=1951,INDEX('SALA 1974'!$B:$U,MATCH($A70,'SALA 1974'!$A:$A,0),MATCH(J$1,'SALA 1974'!$B$1:$U$1,0)),IF($A70&lt;=1994,1000*INDEX('SALA 2002'!$B:$U,MATCH($A70,'SALA 2002'!$A:$A,0),MATCH(J$1,'SALA 2002'!$B$1:$U$1,0)),IF($A70&lt;=2000,1000*INDEX('SALA 2002'!$B:$U,MATCH($A70,'SALA 2002'!$A:$A,0),MATCH(J$1,'SALA 2002'!$B$1:$U$1,0))*POWER(INDEX('WPP 2024 середина года'!$B:$U,MATCH($A70,'WPP 2024 середина года'!$A:$A,0),MATCH(J$1,'WPP 2024 середина года'!$B$1:$U$1,0))/(1000*INDEX('SALA 2002'!$B:$U,MATCH($A70,'SALA 2002'!$A:$A,0),MATCH(J$1,'SALA 2002'!$B$1:$U$1,0))),($A70-1994)/7),INDEX('WPP 2024 середина года'!$B:$U,MATCH($A70,'WPP 2024 середина года'!$A:$A,0),MATCH(J$1,'WPP 2024 середина года'!$B$1:$U$1,0)))))</f>
        <v>5580</v>
      </c>
      <c r="K70" s="7">
        <f>IF($A70&lt;=1951,INDEX('SALA 1974'!$B:$U,MATCH($A70,'SALA 1974'!$A:$A,0),MATCH(K$1,'SALA 1974'!$B$1:$U$1,0)),IF($A70&lt;=1994,1000*INDEX('SALA 2002'!$B:$U,MATCH($A70,'SALA 2002'!$A:$A,0),MATCH(K$1,'SALA 2002'!$B$1:$U$1,0)),IF($A70&lt;=2000,1000*INDEX('SALA 2002'!$B:$U,MATCH($A70,'SALA 2002'!$A:$A,0),MATCH(K$1,'SALA 2002'!$B$1:$U$1,0))*POWER(INDEX('WPP 2024 середина года'!$B:$U,MATCH($A70,'WPP 2024 середина года'!$A:$A,0),MATCH(K$1,'WPP 2024 середина года'!$B$1:$U$1,0))/(1000*INDEX('SALA 2002'!$B:$U,MATCH($A70,'SALA 2002'!$A:$A,0),MATCH(K$1,'SALA 2002'!$B$1:$U$1,0))),($A70-1994)/7),INDEX('WPP 2024 середина года'!$B:$U,MATCH($A70,'WPP 2024 середина года'!$A:$A,0),MATCH(K$1,'WPP 2024 середина года'!$B$1:$U$1,0)))))</f>
        <v>3270</v>
      </c>
      <c r="L70" s="7">
        <f>IF($A70&lt;=1951,INDEX('SALA 1974'!$B:$U,MATCH($A70,'SALA 1974'!$A:$A,0),MATCH(L$1,'SALA 1974'!$B$1:$U$1,0)),IF($A70&lt;=1994,1000*INDEX('SALA 2002'!$B:$U,MATCH($A70,'SALA 2002'!$A:$A,0),MATCH(L$1,'SALA 2002'!$B$1:$U$1,0)),IF($A70&lt;=2000,1000*INDEX('SALA 2002'!$B:$U,MATCH($A70,'SALA 2002'!$A:$A,0),MATCH(L$1,'SALA 2002'!$B$1:$U$1,0))*POWER(INDEX('WPP 2024 середина года'!$B:$U,MATCH($A70,'WPP 2024 середина года'!$A:$A,0),MATCH(L$1,'WPP 2024 середина года'!$B$1:$U$1,0))/(1000*INDEX('SALA 2002'!$B:$U,MATCH($A70,'SALA 2002'!$A:$A,0),MATCH(L$1,'SALA 2002'!$B$1:$U$1,0))),($A70-1994)/7),INDEX('WPP 2024 середина года'!$B:$U,MATCH($A70,'WPP 2024 середина года'!$A:$A,0),MATCH(L$1,'WPP 2024 середина года'!$B$1:$U$1,0)))))</f>
        <v>4840</v>
      </c>
      <c r="M70" s="7">
        <f>IF($A70&lt;=1951,INDEX('SALA 1974'!$B:$U,MATCH($A70,'SALA 1974'!$A:$A,0),MATCH(M$1,'SALA 1974'!$B$1:$U$1,0)),IF($A70&lt;=1994,1000*INDEX('SALA 2002'!$B:$U,MATCH($A70,'SALA 2002'!$A:$A,0),MATCH(M$1,'SALA 2002'!$B$1:$U$1,0)),IF($A70&lt;=2000,1000*INDEX('SALA 2002'!$B:$U,MATCH($A70,'SALA 2002'!$A:$A,0),MATCH(M$1,'SALA 2002'!$B$1:$U$1,0))*POWER(INDEX('WPP 2024 середина года'!$B:$U,MATCH($A70,'WPP 2024 середина года'!$A:$A,0),MATCH(M$1,'WPP 2024 середина года'!$B$1:$U$1,0))/(1000*INDEX('SALA 2002'!$B:$U,MATCH($A70,'SALA 2002'!$A:$A,0),MATCH(M$1,'SALA 2002'!$B$1:$U$1,0))),($A70-1994)/7),INDEX('WPP 2024 середина года'!$B:$U,MATCH($A70,'WPP 2024 середина года'!$A:$A,0),MATCH(M$1,'WPP 2024 середина года'!$B$1:$U$1,0)))))</f>
        <v>4100</v>
      </c>
      <c r="N70" s="7">
        <f>IF($A70&lt;=1951,INDEX('SALA 1974'!$B:$U,MATCH($A70,'SALA 1974'!$A:$A,0),MATCH(N$1,'SALA 1974'!$B$1:$U$1,0)),IF($A70&lt;=1994,1000*INDEX('SALA 2002'!$B:$U,MATCH($A70,'SALA 2002'!$A:$A,0),MATCH(N$1,'SALA 2002'!$B$1:$U$1,0)),IF($A70&lt;=2000,1000*INDEX('SALA 2002'!$B:$U,MATCH($A70,'SALA 2002'!$A:$A,0),MATCH(N$1,'SALA 2002'!$B$1:$U$1,0))*POWER(INDEX('WPP 2024 середина года'!$B:$U,MATCH($A70,'WPP 2024 середина года'!$A:$A,0),MATCH(N$1,'WPP 2024 середина года'!$B$1:$U$1,0))/(1000*INDEX('SALA 2002'!$B:$U,MATCH($A70,'SALA 2002'!$A:$A,0),MATCH(N$1,'SALA 2002'!$B$1:$U$1,0))),($A70-1994)/7),INDEX('WPP 2024 середина года'!$B:$U,MATCH($A70,'WPP 2024 середина года'!$A:$A,0),MATCH(N$1,'WPP 2024 середина года'!$B$1:$U$1,0)))))</f>
        <v>2310</v>
      </c>
      <c r="O70" s="7">
        <f>IF($A70&lt;=1951,INDEX('SALA 1974'!$B:$U,MATCH($A70,'SALA 1974'!$A:$A,0),MATCH(O$1,'SALA 1974'!$B$1:$U$1,0)),IF($A70&lt;=1994,1000*INDEX('SALA 2002'!$B:$U,MATCH($A70,'SALA 2002'!$A:$A,0),MATCH(O$1,'SALA 2002'!$B$1:$U$1,0)),IF($A70&lt;=2000,1000*INDEX('SALA 2002'!$B:$U,MATCH($A70,'SALA 2002'!$A:$A,0),MATCH(O$1,'SALA 2002'!$B$1:$U$1,0))*POWER(INDEX('WPP 2024 середина года'!$B:$U,MATCH($A70,'WPP 2024 середина года'!$A:$A,0),MATCH(O$1,'WPP 2024 середина года'!$B$1:$U$1,0))/(1000*INDEX('SALA 2002'!$B:$U,MATCH($A70,'SALA 2002'!$A:$A,0),MATCH(O$1,'SALA 2002'!$B$1:$U$1,0))),($A70-1994)/7),INDEX('WPP 2024 середина года'!$B:$U,MATCH($A70,'WPP 2024 середина года'!$A:$A,0),MATCH(O$1,'WPP 2024 середина года'!$B$1:$U$1,0)))))</f>
        <v>47270</v>
      </c>
      <c r="P70" s="7">
        <f>IF($A70&lt;=1951,INDEX('SALA 1974'!$B:$U,MATCH($A70,'SALA 1974'!$A:$A,0),MATCH(P$1,'SALA 1974'!$B$1:$U$1,0)),IF($A70&lt;=1994,1000*INDEX('SALA 2002'!$B:$U,MATCH($A70,'SALA 2002'!$A:$A,0),MATCH(P$1,'SALA 2002'!$B$1:$U$1,0)),IF($A70&lt;=2000,1000*INDEX('SALA 2002'!$B:$U,MATCH($A70,'SALA 2002'!$A:$A,0),MATCH(P$1,'SALA 2002'!$B$1:$U$1,0))*POWER(INDEX('WPP 2024 середина года'!$B:$U,MATCH($A70,'WPP 2024 середина года'!$A:$A,0),MATCH(P$1,'WPP 2024 середина года'!$B$1:$U$1,0))/(1000*INDEX('SALA 2002'!$B:$U,MATCH($A70,'SALA 2002'!$A:$A,0),MATCH(P$1,'SALA 2002'!$B$1:$U$1,0))),($A70-1994)/7),INDEX('WPP 2024 середина года'!$B:$U,MATCH($A70,'WPP 2024 середина года'!$A:$A,0),MATCH(P$1,'WPP 2024 середина года'!$B$1:$U$1,0)))))</f>
        <v>1740</v>
      </c>
      <c r="Q70" s="7">
        <f>IF($A70&lt;=1951,INDEX('SALA 1974'!$B:$U,MATCH($A70,'SALA 1974'!$A:$A,0),MATCH(Q$1,'SALA 1974'!$B$1:$U$1,0)),IF($A70&lt;=1994,1000*INDEX('SALA 2002'!$B:$U,MATCH($A70,'SALA 2002'!$A:$A,0),MATCH(Q$1,'SALA 2002'!$B$1:$U$1,0)),IF($A70&lt;=2000,1000*INDEX('SALA 2002'!$B:$U,MATCH($A70,'SALA 2002'!$A:$A,0),MATCH(Q$1,'SALA 2002'!$B$1:$U$1,0))*POWER(INDEX('WPP 2024 середина года'!$B:$U,MATCH($A70,'WPP 2024 середина года'!$A:$A,0),MATCH(Q$1,'WPP 2024 середина года'!$B$1:$U$1,0))/(1000*INDEX('SALA 2002'!$B:$U,MATCH($A70,'SALA 2002'!$A:$A,0),MATCH(Q$1,'SALA 2002'!$B$1:$U$1,0))),($A70-1994)/7),INDEX('WPP 2024 середина года'!$B:$U,MATCH($A70,'WPP 2024 середина года'!$A:$A,0),MATCH(Q$1,'WPP 2024 середина года'!$B$1:$U$1,0)))))</f>
        <v>1350</v>
      </c>
      <c r="R70" s="7">
        <f>IF($A70&lt;=1951,INDEX('SALA 1974'!$B:$U,MATCH($A70,'SALA 1974'!$A:$A,0),MATCH(R$1,'SALA 1974'!$B$1:$U$1,0)),IF($A70&lt;=1994,1000*INDEX('SALA 2002'!$B:$U,MATCH($A70,'SALA 2002'!$A:$A,0),MATCH(R$1,'SALA 2002'!$B$1:$U$1,0)),IF($A70&lt;=2000,1000*INDEX('SALA 2002'!$B:$U,MATCH($A70,'SALA 2002'!$A:$A,0),MATCH(R$1,'SALA 2002'!$B$1:$U$1,0))*POWER(INDEX('WPP 2024 середина года'!$B:$U,MATCH($A70,'WPP 2024 середина года'!$A:$A,0),MATCH(R$1,'WPP 2024 середина года'!$B$1:$U$1,0))/(1000*INDEX('SALA 2002'!$B:$U,MATCH($A70,'SALA 2002'!$A:$A,0),MATCH(R$1,'SALA 2002'!$B$1:$U$1,0))),($A70-1994)/7),INDEX('WPP 2024 середина года'!$B:$U,MATCH($A70,'WPP 2024 середина года'!$A:$A,0),MATCH(R$1,'WPP 2024 середина года'!$B$1:$U$1,0)))))</f>
        <v>2180</v>
      </c>
      <c r="S70" s="7">
        <f>IF($A70&lt;=1951,INDEX('SALA 1974'!$B:$U,MATCH($A70,'SALA 1974'!$A:$A,0),MATCH(S$1,'SALA 1974'!$B$1:$U$1,0)),IF($A70&lt;=1994,1000*INDEX('SALA 2002'!$B:$U,MATCH($A70,'SALA 2002'!$A:$A,0),MATCH(S$1,'SALA 2002'!$B$1:$U$1,0)),IF($A70&lt;=2000,1000*INDEX('SALA 2002'!$B:$U,MATCH($A70,'SALA 2002'!$A:$A,0),MATCH(S$1,'SALA 2002'!$B$1:$U$1,0))*POWER(INDEX('WPP 2024 середина года'!$B:$U,MATCH($A70,'WPP 2024 середина года'!$A:$A,0),MATCH(S$1,'WPP 2024 середина года'!$B$1:$U$1,0))/(1000*INDEX('SALA 2002'!$B:$U,MATCH($A70,'SALA 2002'!$A:$A,0),MATCH(S$1,'SALA 2002'!$B$1:$U$1,0))),($A70-1994)/7),INDEX('WPP 2024 середина года'!$B:$U,MATCH($A70,'WPP 2024 середина года'!$A:$A,0),MATCH(S$1,'WPP 2024 середина года'!$B$1:$U$1,0)))))</f>
        <v>12670</v>
      </c>
      <c r="T70" s="7">
        <f>IF($A70&lt;=1951,INDEX('SALA 1974'!$B:$U,MATCH($A70,'SALA 1974'!$A:$A,0),MATCH(T$1,'SALA 1974'!$B$1:$U$1,0)),IF($A70&lt;=1994,1000*INDEX('SALA 2002'!$B:$U,MATCH($A70,'SALA 2002'!$A:$A,0),MATCH(T$1,'SALA 2002'!$B$1:$U$1,0)),IF($A70&lt;=2000,1000*INDEX('SALA 2002'!$B:$U,MATCH($A70,'SALA 2002'!$A:$A,0),MATCH(T$1,'SALA 2002'!$B$1:$U$1,0))*POWER(INDEX('WPP 2024 середина года'!$B:$U,MATCH($A70,'WPP 2024 середина года'!$A:$A,0),MATCH(T$1,'WPP 2024 середина года'!$B$1:$U$1,0))/(1000*INDEX('SALA 2002'!$B:$U,MATCH($A70,'SALA 2002'!$A:$A,0),MATCH(T$1,'SALA 2002'!$B$1:$U$1,0))),($A70-1994)/7),INDEX('WPP 2024 середина года'!$B:$U,MATCH($A70,'WPP 2024 середина года'!$A:$A,0),MATCH(T$1,'WPP 2024 середина года'!$B$1:$U$1,0)))))</f>
        <v>2700</v>
      </c>
      <c r="U70" s="7">
        <f>IF($A70&lt;=1951,INDEX('SALA 1974'!$B:$U,MATCH($A70,'SALA 1974'!$A:$A,0),MATCH(U$1,'SALA 1974'!$B$1:$U$1,0)),IF($A70&lt;=1994,1000*INDEX('SALA 2002'!$B:$U,MATCH($A70,'SALA 2002'!$A:$A,0),MATCH(U$1,'SALA 2002'!$B$1:$U$1,0)),IF($A70&lt;=2000,1000*INDEX('SALA 2002'!$B:$U,MATCH($A70,'SALA 2002'!$A:$A,0),MATCH(U$1,'SALA 2002'!$B$1:$U$1,0))*POWER(INDEX('WPP 2024 середина года'!$B:$U,MATCH($A70,'WPP 2024 середина года'!$A:$A,0),MATCH(U$1,'WPP 2024 середина года'!$B$1:$U$1,0))/(1000*INDEX('SALA 2002'!$B:$U,MATCH($A70,'SALA 2002'!$A:$A,0),MATCH(U$1,'SALA 2002'!$B$1:$U$1,0))),($A70-1994)/7),INDEX('WPP 2024 середина года'!$B:$U,MATCH($A70,'WPP 2024 середина года'!$A:$A,0),MATCH(U$1,'WPP 2024 середина года'!$B$1:$U$1,0)))))</f>
        <v>9620</v>
      </c>
    </row>
    <row r="71" spans="1:21" x14ac:dyDescent="0.25">
      <c r="A71" s="5">
        <f t="shared" si="1"/>
        <v>1969</v>
      </c>
      <c r="B71" s="7">
        <f>IF($A71&lt;=1951,INDEX('SALA 1974'!$B:$U,MATCH($A71,'SALA 1974'!$A:$A,0),MATCH(B$1,'SALA 1974'!$B$1:$U$1,0)),IF($A71&lt;=1994,1000*INDEX('SALA 2002'!$B:$U,MATCH($A71,'SALA 2002'!$A:$A,0),MATCH(B$1,'SALA 2002'!$B$1:$U$1,0)),IF($A71&lt;=2000,1000*INDEX('SALA 2002'!$B:$U,MATCH($A71,'SALA 2002'!$A:$A,0),MATCH(B$1,'SALA 2002'!$B$1:$U$1,0))*POWER(INDEX('WPP 2024 середина года'!$B:$U,MATCH($A71,'WPP 2024 середина года'!$A:$A,0),MATCH(B$1,'WPP 2024 середина года'!$B$1:$U$1,0))/(1000*INDEX('SALA 2002'!$B:$U,MATCH($A71,'SALA 2002'!$A:$A,0),MATCH(B$1,'SALA 2002'!$B$1:$U$1,0))),($A71-1994)/7),INDEX('WPP 2024 середина года'!$B:$U,MATCH($A71,'WPP 2024 середина года'!$A:$A,0),MATCH(B$1,'WPP 2024 середина года'!$B$1:$U$1,0)))))</f>
        <v>23430</v>
      </c>
      <c r="C71" s="7">
        <f>IF($A71&lt;=1951,INDEX('SALA 1974'!$B:$U,MATCH($A71,'SALA 1974'!$A:$A,0),MATCH(C$1,'SALA 1974'!$B$1:$U$1,0)),IF($A71&lt;=1994,1000*INDEX('SALA 2002'!$B:$U,MATCH($A71,'SALA 2002'!$A:$A,0),MATCH(C$1,'SALA 2002'!$B$1:$U$1,0)),IF($A71&lt;=2000,1000*INDEX('SALA 2002'!$B:$U,MATCH($A71,'SALA 2002'!$A:$A,0),MATCH(C$1,'SALA 2002'!$B$1:$U$1,0))*POWER(INDEX('WPP 2024 середина года'!$B:$U,MATCH($A71,'WPP 2024 середина года'!$A:$A,0),MATCH(C$1,'WPP 2024 середина года'!$B$1:$U$1,0))/(1000*INDEX('SALA 2002'!$B:$U,MATCH($A71,'SALA 2002'!$A:$A,0),MATCH(C$1,'SALA 2002'!$B$1:$U$1,0))),($A71-1994)/7),INDEX('WPP 2024 середина года'!$B:$U,MATCH($A71,'WPP 2024 середина года'!$A:$A,0),MATCH(C$1,'WPP 2024 середина года'!$B$1:$U$1,0)))))</f>
        <v>4550</v>
      </c>
      <c r="D71" s="7">
        <f>IF($A71&lt;=1951,INDEX('SALA 1974'!$B:$U,MATCH($A71,'SALA 1974'!$A:$A,0),MATCH(D$1,'SALA 1974'!$B$1:$U$1,0)),IF($A71&lt;=1994,1000*INDEX('SALA 2002'!$B:$U,MATCH($A71,'SALA 2002'!$A:$A,0),MATCH(D$1,'SALA 2002'!$B$1:$U$1,0)),IF($A71&lt;=2000,1000*INDEX('SALA 2002'!$B:$U,MATCH($A71,'SALA 2002'!$A:$A,0),MATCH(D$1,'SALA 2002'!$B$1:$U$1,0))*POWER(INDEX('WPP 2024 середина года'!$B:$U,MATCH($A71,'WPP 2024 середина года'!$A:$A,0),MATCH(D$1,'WPP 2024 середина года'!$B$1:$U$1,0))/(1000*INDEX('SALA 2002'!$B:$U,MATCH($A71,'SALA 2002'!$A:$A,0),MATCH(D$1,'SALA 2002'!$B$1:$U$1,0))),($A71-1994)/7),INDEX('WPP 2024 середина года'!$B:$U,MATCH($A71,'WPP 2024 середина года'!$A:$A,0),MATCH(D$1,'WPP 2024 середина года'!$B$1:$U$1,0)))))</f>
        <v>90070</v>
      </c>
      <c r="E71" s="7">
        <f>IF($A71&lt;=1951,INDEX('SALA 1974'!$B:$U,MATCH($A71,'SALA 1974'!$A:$A,0),MATCH(E$1,'SALA 1974'!$B$1:$U$1,0)),IF($A71&lt;=1994,1000*INDEX('SALA 2002'!$B:$U,MATCH($A71,'SALA 2002'!$A:$A,0),MATCH(E$1,'SALA 2002'!$B$1:$U$1,0)),IF($A71&lt;=2000,1000*INDEX('SALA 2002'!$B:$U,MATCH($A71,'SALA 2002'!$A:$A,0),MATCH(E$1,'SALA 2002'!$B$1:$U$1,0))*POWER(INDEX('WPP 2024 середина года'!$B:$U,MATCH($A71,'WPP 2024 середина года'!$A:$A,0),MATCH(E$1,'WPP 2024 середина года'!$B$1:$U$1,0))/(1000*INDEX('SALA 2002'!$B:$U,MATCH($A71,'SALA 2002'!$A:$A,0),MATCH(E$1,'SALA 2002'!$B$1:$U$1,0))),($A71-1994)/7),INDEX('WPP 2024 середина года'!$B:$U,MATCH($A71,'WPP 2024 середина года'!$A:$A,0),MATCH(E$1,'WPP 2024 середина года'!$B$1:$U$1,0)))))</f>
        <v>9200</v>
      </c>
      <c r="F71" s="7">
        <f>IF($A71&lt;=1947,INDEX('SALA 1974'!$B:$U,MATCH($A71,'SALA 1974'!$A:$A,0),MATCH(F$1,'SALA 1974'!$B$1:$U$1,0)),IF($A71&lt;=1994,1000*INDEX('SALA 2002'!$B:$U,MATCH($A71,'SALA 2002'!$A:$A,0),MATCH(F$1,'SALA 2002'!$B$1:$U$1,0)),IF($A71&lt;=2000,1000*INDEX('SALA 2002'!$B:$U,MATCH($A71,'SALA 2002'!$A:$A,0),MATCH(F$1,'SALA 2002'!$B$1:$U$1,0))*POWER(INDEX('WPP 2024 середина года'!$B:$U,MATCH($A71,'WPP 2024 середина года'!$A:$A,0),MATCH(F$1,'WPP 2024 середина года'!$B$1:$U$1,0))/(1000*INDEX('SALA 2002'!$B:$U,MATCH($A71,'SALA 2002'!$A:$A,0),MATCH(F$1,'SALA 2002'!$B$1:$U$1,0))),($A71-1994)/7),INDEX('WPP 2024 середина года'!$B:$U,MATCH($A71,'WPP 2024 середина года'!$A:$A,0),MATCH(F$1,'WPP 2024 середина года'!$B$1:$U$1,0)))))</f>
        <v>19980</v>
      </c>
      <c r="G71" s="7">
        <f>IF($A71&lt;=1951,INDEX('SALA 1974'!$B:$U,MATCH($A71,'SALA 1974'!$A:$A,0),MATCH(G$1,'SALA 1974'!$B$1:$U$1,0)),IF($A71&lt;=1994,1000*INDEX('SALA 2002'!$B:$U,MATCH($A71,'SALA 2002'!$A:$A,0),MATCH(G$1,'SALA 2002'!$B$1:$U$1,0)),IF($A71&lt;=2000,1000*INDEX('SALA 2002'!$B:$U,MATCH($A71,'SALA 2002'!$A:$A,0),MATCH(G$1,'SALA 2002'!$B$1:$U$1,0))*POWER(INDEX('WPP 2024 середина года'!$B:$U,MATCH($A71,'WPP 2024 середина года'!$A:$A,0),MATCH(G$1,'WPP 2024 середина года'!$B$1:$U$1,0))/(1000*INDEX('SALA 2002'!$B:$U,MATCH($A71,'SALA 2002'!$A:$A,0),MATCH(G$1,'SALA 2002'!$B$1:$U$1,0))),($A71-1994)/7),INDEX('WPP 2024 середина года'!$B:$U,MATCH($A71,'WPP 2024 середина года'!$A:$A,0),MATCH(G$1,'WPP 2024 середина года'!$B$1:$U$1,0)))))</f>
        <v>1690</v>
      </c>
      <c r="H71" s="7">
        <f>IF($A71&lt;=1951,INDEX('SALA 1974'!$B:$U,MATCH($A71,'SALA 1974'!$A:$A,0),MATCH(H$1,'SALA 1974'!$B$1:$U$1,0)),IF($A71&lt;=1994,1000*INDEX('SALA 2002'!$B:$U,MATCH($A71,'SALA 2002'!$A:$A,0),MATCH(H$1,'SALA 2002'!$B$1:$U$1,0)),IF($A71&lt;=2000,1000*INDEX('SALA 2002'!$B:$U,MATCH($A71,'SALA 2002'!$A:$A,0),MATCH(H$1,'SALA 2002'!$B$1:$U$1,0))*POWER(INDEX('WPP 2024 середина года'!$B:$U,MATCH($A71,'WPP 2024 середина года'!$A:$A,0),MATCH(H$1,'WPP 2024 середина года'!$B$1:$U$1,0))/(1000*INDEX('SALA 2002'!$B:$U,MATCH($A71,'SALA 2002'!$A:$A,0),MATCH(H$1,'SALA 2002'!$B$1:$U$1,0))),($A71-1994)/7),INDEX('WPP 2024 середина года'!$B:$U,MATCH($A71,'WPP 2024 середина года'!$A:$A,0),MATCH(H$1,'WPP 2024 середина года'!$B$1:$U$1,0)))))</f>
        <v>8420</v>
      </c>
      <c r="I71" s="7">
        <f>IF($A71&lt;=1951,INDEX('SALA 1974'!$B:$U,MATCH($A71,'SALA 1974'!$A:$A,0),MATCH(I$1,'SALA 1974'!$B$1:$U$1,0)),IF($A71&lt;=1994,1000*INDEX('SALA 2002'!$B:$U,MATCH($A71,'SALA 2002'!$A:$A,0),MATCH(I$1,'SALA 2002'!$B$1:$U$1,0)),IF($A71&lt;=2000,1000*INDEX('SALA 2002'!$B:$U,MATCH($A71,'SALA 2002'!$A:$A,0),MATCH(I$1,'SALA 2002'!$B$1:$U$1,0))*POWER(INDEX('WPP 2024 середина года'!$B:$U,MATCH($A71,'WPP 2024 середина года'!$A:$A,0),MATCH(I$1,'WPP 2024 середина года'!$B$1:$U$1,0))/(1000*INDEX('SALA 2002'!$B:$U,MATCH($A71,'SALA 2002'!$A:$A,0),MATCH(I$1,'SALA 2002'!$B$1:$U$1,0))),($A71-1994)/7),INDEX('WPP 2024 середина года'!$B:$U,MATCH($A71,'WPP 2024 середина года'!$A:$A,0),MATCH(I$1,'WPP 2024 середина года'!$B$1:$U$1,0)))))</f>
        <v>3950</v>
      </c>
      <c r="J71" s="7">
        <f>IF($A71&lt;=1951,INDEX('SALA 1974'!$B:$U,MATCH($A71,'SALA 1974'!$A:$A,0),MATCH(J$1,'SALA 1974'!$B$1:$U$1,0)),IF($A71&lt;=1994,1000*INDEX('SALA 2002'!$B:$U,MATCH($A71,'SALA 2002'!$A:$A,0),MATCH(J$1,'SALA 2002'!$B$1:$U$1,0)),IF($A71&lt;=2000,1000*INDEX('SALA 2002'!$B:$U,MATCH($A71,'SALA 2002'!$A:$A,0),MATCH(J$1,'SALA 2002'!$B$1:$U$1,0))*POWER(INDEX('WPP 2024 середина года'!$B:$U,MATCH($A71,'WPP 2024 середина года'!$A:$A,0),MATCH(J$1,'WPP 2024 середина года'!$B$1:$U$1,0))/(1000*INDEX('SALA 2002'!$B:$U,MATCH($A71,'SALA 2002'!$A:$A,0),MATCH(J$1,'SALA 2002'!$B$1:$U$1,0))),($A71-1994)/7),INDEX('WPP 2024 середина года'!$B:$U,MATCH($A71,'WPP 2024 середина года'!$A:$A,0),MATCH(J$1,'WPP 2024 середина года'!$B$1:$U$1,0)))))</f>
        <v>5770</v>
      </c>
      <c r="K71" s="7">
        <f>IF($A71&lt;=1951,INDEX('SALA 1974'!$B:$U,MATCH($A71,'SALA 1974'!$A:$A,0),MATCH(K$1,'SALA 1974'!$B$1:$U$1,0)),IF($A71&lt;=1994,1000*INDEX('SALA 2002'!$B:$U,MATCH($A71,'SALA 2002'!$A:$A,0),MATCH(K$1,'SALA 2002'!$B$1:$U$1,0)),IF($A71&lt;=2000,1000*INDEX('SALA 2002'!$B:$U,MATCH($A71,'SALA 2002'!$A:$A,0),MATCH(K$1,'SALA 2002'!$B$1:$U$1,0))*POWER(INDEX('WPP 2024 середина года'!$B:$U,MATCH($A71,'WPP 2024 середина года'!$A:$A,0),MATCH(K$1,'WPP 2024 середина года'!$B$1:$U$1,0))/(1000*INDEX('SALA 2002'!$B:$U,MATCH($A71,'SALA 2002'!$A:$A,0),MATCH(K$1,'SALA 2002'!$B$1:$U$1,0))),($A71-1994)/7),INDEX('WPP 2024 середина года'!$B:$U,MATCH($A71,'WPP 2024 середина года'!$A:$A,0),MATCH(K$1,'WPP 2024 середина года'!$B$1:$U$1,0)))))</f>
        <v>3360</v>
      </c>
      <c r="L71" s="7">
        <f>IF($A71&lt;=1951,INDEX('SALA 1974'!$B:$U,MATCH($A71,'SALA 1974'!$A:$A,0),MATCH(L$1,'SALA 1974'!$B$1:$U$1,0)),IF($A71&lt;=1994,1000*INDEX('SALA 2002'!$B:$U,MATCH($A71,'SALA 2002'!$A:$A,0),MATCH(L$1,'SALA 2002'!$B$1:$U$1,0)),IF($A71&lt;=2000,1000*INDEX('SALA 2002'!$B:$U,MATCH($A71,'SALA 2002'!$A:$A,0),MATCH(L$1,'SALA 2002'!$B$1:$U$1,0))*POWER(INDEX('WPP 2024 середина года'!$B:$U,MATCH($A71,'WPP 2024 середина года'!$A:$A,0),MATCH(L$1,'WPP 2024 середина года'!$B$1:$U$1,0))/(1000*INDEX('SALA 2002'!$B:$U,MATCH($A71,'SALA 2002'!$A:$A,0),MATCH(L$1,'SALA 2002'!$B$1:$U$1,0))),($A71-1994)/7),INDEX('WPP 2024 середина года'!$B:$U,MATCH($A71,'WPP 2024 середина года'!$A:$A,0),MATCH(L$1,'WPP 2024 середина года'!$B$1:$U$1,0)))))</f>
        <v>5020</v>
      </c>
      <c r="M71" s="7">
        <f>IF($A71&lt;=1951,INDEX('SALA 1974'!$B:$U,MATCH($A71,'SALA 1974'!$A:$A,0),MATCH(M$1,'SALA 1974'!$B$1:$U$1,0)),IF($A71&lt;=1994,1000*INDEX('SALA 2002'!$B:$U,MATCH($A71,'SALA 2002'!$A:$A,0),MATCH(M$1,'SALA 2002'!$B$1:$U$1,0)),IF($A71&lt;=2000,1000*INDEX('SALA 2002'!$B:$U,MATCH($A71,'SALA 2002'!$A:$A,0),MATCH(M$1,'SALA 2002'!$B$1:$U$1,0))*POWER(INDEX('WPP 2024 середина года'!$B:$U,MATCH($A71,'WPP 2024 середина года'!$A:$A,0),MATCH(M$1,'WPP 2024 середина года'!$B$1:$U$1,0))/(1000*INDEX('SALA 2002'!$B:$U,MATCH($A71,'SALA 2002'!$A:$A,0),MATCH(M$1,'SALA 2002'!$B$1:$U$1,0))),($A71-1994)/7),INDEX('WPP 2024 середина года'!$B:$U,MATCH($A71,'WPP 2024 середина года'!$A:$A,0),MATCH(M$1,'WPP 2024 середина года'!$B$1:$U$1,0)))))</f>
        <v>4160</v>
      </c>
      <c r="N71" s="7">
        <f>IF($A71&lt;=1951,INDEX('SALA 1974'!$B:$U,MATCH($A71,'SALA 1974'!$A:$A,0),MATCH(N$1,'SALA 1974'!$B$1:$U$1,0)),IF($A71&lt;=1994,1000*INDEX('SALA 2002'!$B:$U,MATCH($A71,'SALA 2002'!$A:$A,0),MATCH(N$1,'SALA 2002'!$B$1:$U$1,0)),IF($A71&lt;=2000,1000*INDEX('SALA 2002'!$B:$U,MATCH($A71,'SALA 2002'!$A:$A,0),MATCH(N$1,'SALA 2002'!$B$1:$U$1,0))*POWER(INDEX('WPP 2024 середина года'!$B:$U,MATCH($A71,'WPP 2024 середина года'!$A:$A,0),MATCH(N$1,'WPP 2024 середина года'!$B$1:$U$1,0))/(1000*INDEX('SALA 2002'!$B:$U,MATCH($A71,'SALA 2002'!$A:$A,0),MATCH(N$1,'SALA 2002'!$B$1:$U$1,0))),($A71-1994)/7),INDEX('WPP 2024 середина года'!$B:$U,MATCH($A71,'WPP 2024 середина года'!$A:$A,0),MATCH(N$1,'WPP 2024 середина года'!$B$1:$U$1,0)))))</f>
        <v>2450</v>
      </c>
      <c r="O71" s="7">
        <f>IF($A71&lt;=1951,INDEX('SALA 1974'!$B:$U,MATCH($A71,'SALA 1974'!$A:$A,0),MATCH(O$1,'SALA 1974'!$B$1:$U$1,0)),IF($A71&lt;=1994,1000*INDEX('SALA 2002'!$B:$U,MATCH($A71,'SALA 2002'!$A:$A,0),MATCH(O$1,'SALA 2002'!$B$1:$U$1,0)),IF($A71&lt;=2000,1000*INDEX('SALA 2002'!$B:$U,MATCH($A71,'SALA 2002'!$A:$A,0),MATCH(O$1,'SALA 2002'!$B$1:$U$1,0))*POWER(INDEX('WPP 2024 середина года'!$B:$U,MATCH($A71,'WPP 2024 середина года'!$A:$A,0),MATCH(O$1,'WPP 2024 середина года'!$B$1:$U$1,0))/(1000*INDEX('SALA 2002'!$B:$U,MATCH($A71,'SALA 2002'!$A:$A,0),MATCH(O$1,'SALA 2002'!$B$1:$U$1,0))),($A71-1994)/7),INDEX('WPP 2024 середина года'!$B:$U,MATCH($A71,'WPP 2024 середина года'!$A:$A,0),MATCH(O$1,'WPP 2024 середина года'!$B$1:$U$1,0)))))</f>
        <v>48930</v>
      </c>
      <c r="P71" s="7">
        <f>IF($A71&lt;=1951,INDEX('SALA 1974'!$B:$U,MATCH($A71,'SALA 1974'!$A:$A,0),MATCH(P$1,'SALA 1974'!$B$1:$U$1,0)),IF($A71&lt;=1994,1000*INDEX('SALA 2002'!$B:$U,MATCH($A71,'SALA 2002'!$A:$A,0),MATCH(P$1,'SALA 2002'!$B$1:$U$1,0)),IF($A71&lt;=2000,1000*INDEX('SALA 2002'!$B:$U,MATCH($A71,'SALA 2002'!$A:$A,0),MATCH(P$1,'SALA 2002'!$B$1:$U$1,0))*POWER(INDEX('WPP 2024 середина года'!$B:$U,MATCH($A71,'WPP 2024 середина года'!$A:$A,0),MATCH(P$1,'WPP 2024 середина года'!$B$1:$U$1,0))/(1000*INDEX('SALA 2002'!$B:$U,MATCH($A71,'SALA 2002'!$A:$A,0),MATCH(P$1,'SALA 2002'!$B$1:$U$1,0))),($A71-1994)/7),INDEX('WPP 2024 середина года'!$B:$U,MATCH($A71,'WPP 2024 середина года'!$A:$A,0),MATCH(P$1,'WPP 2024 середина года'!$B$1:$U$1,0)))))</f>
        <v>1790</v>
      </c>
      <c r="Q71" s="7">
        <f>IF($A71&lt;=1951,INDEX('SALA 1974'!$B:$U,MATCH($A71,'SALA 1974'!$A:$A,0),MATCH(Q$1,'SALA 1974'!$B$1:$U$1,0)),IF($A71&lt;=1994,1000*INDEX('SALA 2002'!$B:$U,MATCH($A71,'SALA 2002'!$A:$A,0),MATCH(Q$1,'SALA 2002'!$B$1:$U$1,0)),IF($A71&lt;=2000,1000*INDEX('SALA 2002'!$B:$U,MATCH($A71,'SALA 2002'!$A:$A,0),MATCH(Q$1,'SALA 2002'!$B$1:$U$1,0))*POWER(INDEX('WPP 2024 середина года'!$B:$U,MATCH($A71,'WPP 2024 середина года'!$A:$A,0),MATCH(Q$1,'WPP 2024 середина года'!$B$1:$U$1,0))/(1000*INDEX('SALA 2002'!$B:$U,MATCH($A71,'SALA 2002'!$A:$A,0),MATCH(Q$1,'SALA 2002'!$B$1:$U$1,0))),($A71-1994)/7),INDEX('WPP 2024 середина года'!$B:$U,MATCH($A71,'WPP 2024 середина года'!$A:$A,0),MATCH(Q$1,'WPP 2024 середина года'!$B$1:$U$1,0)))))</f>
        <v>1390</v>
      </c>
      <c r="R71" s="7">
        <f>IF($A71&lt;=1951,INDEX('SALA 1974'!$B:$U,MATCH($A71,'SALA 1974'!$A:$A,0),MATCH(R$1,'SALA 1974'!$B$1:$U$1,0)),IF($A71&lt;=1994,1000*INDEX('SALA 2002'!$B:$U,MATCH($A71,'SALA 2002'!$A:$A,0),MATCH(R$1,'SALA 2002'!$B$1:$U$1,0)),IF($A71&lt;=2000,1000*INDEX('SALA 2002'!$B:$U,MATCH($A71,'SALA 2002'!$A:$A,0),MATCH(R$1,'SALA 2002'!$B$1:$U$1,0))*POWER(INDEX('WPP 2024 середина года'!$B:$U,MATCH($A71,'WPP 2024 середина года'!$A:$A,0),MATCH(R$1,'WPP 2024 середина года'!$B$1:$U$1,0))/(1000*INDEX('SALA 2002'!$B:$U,MATCH($A71,'SALA 2002'!$A:$A,0),MATCH(R$1,'SALA 2002'!$B$1:$U$1,0))),($A71-1994)/7),INDEX('WPP 2024 середина года'!$B:$U,MATCH($A71,'WPP 2024 середина года'!$A:$A,0),MATCH(R$1,'WPP 2024 середина года'!$B$1:$U$1,0)))))</f>
        <v>2240</v>
      </c>
      <c r="S71" s="7">
        <f>IF($A71&lt;=1951,INDEX('SALA 1974'!$B:$U,MATCH($A71,'SALA 1974'!$A:$A,0),MATCH(S$1,'SALA 1974'!$B$1:$U$1,0)),IF($A71&lt;=1994,1000*INDEX('SALA 2002'!$B:$U,MATCH($A71,'SALA 2002'!$A:$A,0),MATCH(S$1,'SALA 2002'!$B$1:$U$1,0)),IF($A71&lt;=2000,1000*INDEX('SALA 2002'!$B:$U,MATCH($A71,'SALA 2002'!$A:$A,0),MATCH(S$1,'SALA 2002'!$B$1:$U$1,0))*POWER(INDEX('WPP 2024 середина года'!$B:$U,MATCH($A71,'WPP 2024 середина года'!$A:$A,0),MATCH(S$1,'WPP 2024 середина года'!$B$1:$U$1,0))/(1000*INDEX('SALA 2002'!$B:$U,MATCH($A71,'SALA 2002'!$A:$A,0),MATCH(S$1,'SALA 2002'!$B$1:$U$1,0))),($A71-1994)/7),INDEX('WPP 2024 середина года'!$B:$U,MATCH($A71,'WPP 2024 середина года'!$A:$A,0),MATCH(S$1,'WPP 2024 середина года'!$B$1:$U$1,0)))))</f>
        <v>13050</v>
      </c>
      <c r="T71" s="7">
        <f>IF($A71&lt;=1951,INDEX('SALA 1974'!$B:$U,MATCH($A71,'SALA 1974'!$A:$A,0),MATCH(T$1,'SALA 1974'!$B$1:$U$1,0)),IF($A71&lt;=1994,1000*INDEX('SALA 2002'!$B:$U,MATCH($A71,'SALA 2002'!$A:$A,0),MATCH(T$1,'SALA 2002'!$B$1:$U$1,0)),IF($A71&lt;=2000,1000*INDEX('SALA 2002'!$B:$U,MATCH($A71,'SALA 2002'!$A:$A,0),MATCH(T$1,'SALA 2002'!$B$1:$U$1,0))*POWER(INDEX('WPP 2024 середина года'!$B:$U,MATCH($A71,'WPP 2024 середина года'!$A:$A,0),MATCH(T$1,'WPP 2024 середина года'!$B$1:$U$1,0))/(1000*INDEX('SALA 2002'!$B:$U,MATCH($A71,'SALA 2002'!$A:$A,0),MATCH(T$1,'SALA 2002'!$B$1:$U$1,0))),($A71-1994)/7),INDEX('WPP 2024 середина года'!$B:$U,MATCH($A71,'WPP 2024 середина года'!$A:$A,0),MATCH(T$1,'WPP 2024 середина года'!$B$1:$U$1,0)))))</f>
        <v>2710</v>
      </c>
      <c r="U71" s="7">
        <f>IF($A71&lt;=1951,INDEX('SALA 1974'!$B:$U,MATCH($A71,'SALA 1974'!$A:$A,0),MATCH(U$1,'SALA 1974'!$B$1:$U$1,0)),IF($A71&lt;=1994,1000*INDEX('SALA 2002'!$B:$U,MATCH($A71,'SALA 2002'!$A:$A,0),MATCH(U$1,'SALA 2002'!$B$1:$U$1,0)),IF($A71&lt;=2000,1000*INDEX('SALA 2002'!$B:$U,MATCH($A71,'SALA 2002'!$A:$A,0),MATCH(U$1,'SALA 2002'!$B$1:$U$1,0))*POWER(INDEX('WPP 2024 середина года'!$B:$U,MATCH($A71,'WPP 2024 середина года'!$A:$A,0),MATCH(U$1,'WPP 2024 середина года'!$B$1:$U$1,0))/(1000*INDEX('SALA 2002'!$B:$U,MATCH($A71,'SALA 2002'!$A:$A,0),MATCH(U$1,'SALA 2002'!$B$1:$U$1,0))),($A71-1994)/7),INDEX('WPP 2024 середина года'!$B:$U,MATCH($A71,'WPP 2024 середина года'!$A:$A,0),MATCH(U$1,'WPP 2024 середина года'!$B$1:$U$1,0)))))</f>
        <v>9940</v>
      </c>
    </row>
    <row r="72" spans="1:21" x14ac:dyDescent="0.25">
      <c r="A72" s="5">
        <f t="shared" si="1"/>
        <v>1970</v>
      </c>
      <c r="B72" s="7">
        <f>IF($A72&lt;=1951,INDEX('SALA 1974'!$B:$U,MATCH($A72,'SALA 1974'!$A:$A,0),MATCH(B$1,'SALA 1974'!$B$1:$U$1,0)),IF($A72&lt;=1994,1000*INDEX('SALA 2002'!$B:$U,MATCH($A72,'SALA 2002'!$A:$A,0),MATCH(B$1,'SALA 2002'!$B$1:$U$1,0)),IF($A72&lt;=2000,1000*INDEX('SALA 2002'!$B:$U,MATCH($A72,'SALA 2002'!$A:$A,0),MATCH(B$1,'SALA 2002'!$B$1:$U$1,0))*POWER(INDEX('WPP 2024 середина года'!$B:$U,MATCH($A72,'WPP 2024 середина года'!$A:$A,0),MATCH(B$1,'WPP 2024 середина года'!$B$1:$U$1,0))/(1000*INDEX('SALA 2002'!$B:$U,MATCH($A72,'SALA 2002'!$A:$A,0),MATCH(B$1,'SALA 2002'!$B$1:$U$1,0))),($A72-1994)/7),INDEX('WPP 2024 середина года'!$B:$U,MATCH($A72,'WPP 2024 середина года'!$A:$A,0),MATCH(B$1,'WPP 2024 середина года'!$B$1:$U$1,0)))))</f>
        <v>23750</v>
      </c>
      <c r="C72" s="7">
        <f>IF($A72&lt;=1951,INDEX('SALA 1974'!$B:$U,MATCH($A72,'SALA 1974'!$A:$A,0),MATCH(C$1,'SALA 1974'!$B$1:$U$1,0)),IF($A72&lt;=1994,1000*INDEX('SALA 2002'!$B:$U,MATCH($A72,'SALA 2002'!$A:$A,0),MATCH(C$1,'SALA 2002'!$B$1:$U$1,0)),IF($A72&lt;=2000,1000*INDEX('SALA 2002'!$B:$U,MATCH($A72,'SALA 2002'!$A:$A,0),MATCH(C$1,'SALA 2002'!$B$1:$U$1,0))*POWER(INDEX('WPP 2024 середина года'!$B:$U,MATCH($A72,'WPP 2024 середина года'!$A:$A,0),MATCH(C$1,'WPP 2024 середина года'!$B$1:$U$1,0))/(1000*INDEX('SALA 2002'!$B:$U,MATCH($A72,'SALA 2002'!$A:$A,0),MATCH(C$1,'SALA 2002'!$B$1:$U$1,0))),($A72-1994)/7),INDEX('WPP 2024 середина года'!$B:$U,MATCH($A72,'WPP 2024 середина года'!$A:$A,0),MATCH(C$1,'WPP 2024 середина года'!$B$1:$U$1,0)))))</f>
        <v>4580</v>
      </c>
      <c r="D72" s="7">
        <f>IF($A72&lt;=1951,INDEX('SALA 1974'!$B:$U,MATCH($A72,'SALA 1974'!$A:$A,0),MATCH(D$1,'SALA 1974'!$B$1:$U$1,0)),IF($A72&lt;=1994,1000*INDEX('SALA 2002'!$B:$U,MATCH($A72,'SALA 2002'!$A:$A,0),MATCH(D$1,'SALA 2002'!$B$1:$U$1,0)),IF($A72&lt;=2000,1000*INDEX('SALA 2002'!$B:$U,MATCH($A72,'SALA 2002'!$A:$A,0),MATCH(D$1,'SALA 2002'!$B$1:$U$1,0))*POWER(INDEX('WPP 2024 середина года'!$B:$U,MATCH($A72,'WPP 2024 середина года'!$A:$A,0),MATCH(D$1,'WPP 2024 середина года'!$B$1:$U$1,0))/(1000*INDEX('SALA 2002'!$B:$U,MATCH($A72,'SALA 2002'!$A:$A,0),MATCH(D$1,'SALA 2002'!$B$1:$U$1,0))),($A72-1994)/7),INDEX('WPP 2024 середина года'!$B:$U,MATCH($A72,'WPP 2024 середина года'!$A:$A,0),MATCH(D$1,'WPP 2024 середина года'!$B$1:$U$1,0)))))</f>
        <v>92520</v>
      </c>
      <c r="E72" s="7">
        <f>IF($A72&lt;=1951,INDEX('SALA 1974'!$B:$U,MATCH($A72,'SALA 1974'!$A:$A,0),MATCH(E$1,'SALA 1974'!$B$1:$U$1,0)),IF($A72&lt;=1994,1000*INDEX('SALA 2002'!$B:$U,MATCH($A72,'SALA 2002'!$A:$A,0),MATCH(E$1,'SALA 2002'!$B$1:$U$1,0)),IF($A72&lt;=2000,1000*INDEX('SALA 2002'!$B:$U,MATCH($A72,'SALA 2002'!$A:$A,0),MATCH(E$1,'SALA 2002'!$B$1:$U$1,0))*POWER(INDEX('WPP 2024 середина года'!$B:$U,MATCH($A72,'WPP 2024 середина года'!$A:$A,0),MATCH(E$1,'WPP 2024 середина года'!$B$1:$U$1,0))/(1000*INDEX('SALA 2002'!$B:$U,MATCH($A72,'SALA 2002'!$A:$A,0),MATCH(E$1,'SALA 2002'!$B$1:$U$1,0))),($A72-1994)/7),INDEX('WPP 2024 середина года'!$B:$U,MATCH($A72,'WPP 2024 середина года'!$A:$A,0),MATCH(E$1,'WPP 2024 середина года'!$B$1:$U$1,0)))))</f>
        <v>9370</v>
      </c>
      <c r="F72" s="7">
        <f>IF($A72&lt;=1947,INDEX('SALA 1974'!$B:$U,MATCH($A72,'SALA 1974'!$A:$A,0),MATCH(F$1,'SALA 1974'!$B$1:$U$1,0)),IF($A72&lt;=1994,1000*INDEX('SALA 2002'!$B:$U,MATCH($A72,'SALA 2002'!$A:$A,0),MATCH(F$1,'SALA 2002'!$B$1:$U$1,0)),IF($A72&lt;=2000,1000*INDEX('SALA 2002'!$B:$U,MATCH($A72,'SALA 2002'!$A:$A,0),MATCH(F$1,'SALA 2002'!$B$1:$U$1,0))*POWER(INDEX('WPP 2024 середина года'!$B:$U,MATCH($A72,'WPP 2024 середина года'!$A:$A,0),MATCH(F$1,'WPP 2024 середина года'!$B$1:$U$1,0))/(1000*INDEX('SALA 2002'!$B:$U,MATCH($A72,'SALA 2002'!$A:$A,0),MATCH(F$1,'SALA 2002'!$B$1:$U$1,0))),($A72-1994)/7),INDEX('WPP 2024 середина года'!$B:$U,MATCH($A72,'WPP 2024 середина года'!$A:$A,0),MATCH(F$1,'WPP 2024 середина года'!$B$1:$U$1,0)))))</f>
        <v>20530</v>
      </c>
      <c r="G72" s="7">
        <f>IF($A72&lt;=1951,INDEX('SALA 1974'!$B:$U,MATCH($A72,'SALA 1974'!$A:$A,0),MATCH(G$1,'SALA 1974'!$B$1:$U$1,0)),IF($A72&lt;=1994,1000*INDEX('SALA 2002'!$B:$U,MATCH($A72,'SALA 2002'!$A:$A,0),MATCH(G$1,'SALA 2002'!$B$1:$U$1,0)),IF($A72&lt;=2000,1000*INDEX('SALA 2002'!$B:$U,MATCH($A72,'SALA 2002'!$A:$A,0),MATCH(G$1,'SALA 2002'!$B$1:$U$1,0))*POWER(INDEX('WPP 2024 середина года'!$B:$U,MATCH($A72,'WPP 2024 середина года'!$A:$A,0),MATCH(G$1,'WPP 2024 середина года'!$B$1:$U$1,0))/(1000*INDEX('SALA 2002'!$B:$U,MATCH($A72,'SALA 2002'!$A:$A,0),MATCH(G$1,'SALA 2002'!$B$1:$U$1,0))),($A72-1994)/7),INDEX('WPP 2024 середина года'!$B:$U,MATCH($A72,'WPP 2024 середина года'!$A:$A,0),MATCH(G$1,'WPP 2024 середина года'!$B$1:$U$1,0)))))</f>
        <v>1730</v>
      </c>
      <c r="H72" s="7">
        <f>IF($A72&lt;=1951,INDEX('SALA 1974'!$B:$U,MATCH($A72,'SALA 1974'!$A:$A,0),MATCH(H$1,'SALA 1974'!$B$1:$U$1,0)),IF($A72&lt;=1994,1000*INDEX('SALA 2002'!$B:$U,MATCH($A72,'SALA 2002'!$A:$A,0),MATCH(H$1,'SALA 2002'!$B$1:$U$1,0)),IF($A72&lt;=2000,1000*INDEX('SALA 2002'!$B:$U,MATCH($A72,'SALA 2002'!$A:$A,0),MATCH(H$1,'SALA 2002'!$B$1:$U$1,0))*POWER(INDEX('WPP 2024 середина года'!$B:$U,MATCH($A72,'WPP 2024 середина года'!$A:$A,0),MATCH(H$1,'WPP 2024 середина года'!$B$1:$U$1,0))/(1000*INDEX('SALA 2002'!$B:$U,MATCH($A72,'SALA 2002'!$A:$A,0),MATCH(H$1,'SALA 2002'!$B$1:$U$1,0))),($A72-1994)/7),INDEX('WPP 2024 середина года'!$B:$U,MATCH($A72,'WPP 2024 середина года'!$A:$A,0),MATCH(H$1,'WPP 2024 середина года'!$B$1:$U$1,0)))))</f>
        <v>8550</v>
      </c>
      <c r="I72" s="7">
        <f>IF($A72&lt;=1951,INDEX('SALA 1974'!$B:$U,MATCH($A72,'SALA 1974'!$A:$A,0),MATCH(I$1,'SALA 1974'!$B$1:$U$1,0)),IF($A72&lt;=1994,1000*INDEX('SALA 2002'!$B:$U,MATCH($A72,'SALA 2002'!$A:$A,0),MATCH(I$1,'SALA 2002'!$B$1:$U$1,0)),IF($A72&lt;=2000,1000*INDEX('SALA 2002'!$B:$U,MATCH($A72,'SALA 2002'!$A:$A,0),MATCH(I$1,'SALA 2002'!$B$1:$U$1,0))*POWER(INDEX('WPP 2024 середина года'!$B:$U,MATCH($A72,'WPP 2024 середина года'!$A:$A,0),MATCH(I$1,'WPP 2024 середина года'!$B$1:$U$1,0))/(1000*INDEX('SALA 2002'!$B:$U,MATCH($A72,'SALA 2002'!$A:$A,0),MATCH(I$1,'SALA 2002'!$B$1:$U$1,0))),($A72-1994)/7),INDEX('WPP 2024 середина года'!$B:$U,MATCH($A72,'WPP 2024 середина года'!$A:$A,0),MATCH(I$1,'WPP 2024 середина года'!$B$1:$U$1,0)))))</f>
        <v>4059.9999999999995</v>
      </c>
      <c r="J72" s="7">
        <f>IF($A72&lt;=1951,INDEX('SALA 1974'!$B:$U,MATCH($A72,'SALA 1974'!$A:$A,0),MATCH(J$1,'SALA 1974'!$B$1:$U$1,0)),IF($A72&lt;=1994,1000*INDEX('SALA 2002'!$B:$U,MATCH($A72,'SALA 2002'!$A:$A,0),MATCH(J$1,'SALA 2002'!$B$1:$U$1,0)),IF($A72&lt;=2000,1000*INDEX('SALA 2002'!$B:$U,MATCH($A72,'SALA 2002'!$A:$A,0),MATCH(J$1,'SALA 2002'!$B$1:$U$1,0))*POWER(INDEX('WPP 2024 середина года'!$B:$U,MATCH($A72,'WPP 2024 середина года'!$A:$A,0),MATCH(J$1,'WPP 2024 середина года'!$B$1:$U$1,0))/(1000*INDEX('SALA 2002'!$B:$U,MATCH($A72,'SALA 2002'!$A:$A,0),MATCH(J$1,'SALA 2002'!$B$1:$U$1,0))),($A72-1994)/7),INDEX('WPP 2024 середина года'!$B:$U,MATCH($A72,'WPP 2024 середина года'!$A:$A,0),MATCH(J$1,'WPP 2024 середина года'!$B$1:$U$1,0)))))</f>
        <v>5960</v>
      </c>
      <c r="K72" s="7">
        <f>IF($A72&lt;=1951,INDEX('SALA 1974'!$B:$U,MATCH($A72,'SALA 1974'!$A:$A,0),MATCH(K$1,'SALA 1974'!$B$1:$U$1,0)),IF($A72&lt;=1994,1000*INDEX('SALA 2002'!$B:$U,MATCH($A72,'SALA 2002'!$A:$A,0),MATCH(K$1,'SALA 2002'!$B$1:$U$1,0)),IF($A72&lt;=2000,1000*INDEX('SALA 2002'!$B:$U,MATCH($A72,'SALA 2002'!$A:$A,0),MATCH(K$1,'SALA 2002'!$B$1:$U$1,0))*POWER(INDEX('WPP 2024 середина года'!$B:$U,MATCH($A72,'WPP 2024 середина года'!$A:$A,0),MATCH(K$1,'WPP 2024 середина года'!$B$1:$U$1,0))/(1000*INDEX('SALA 2002'!$B:$U,MATCH($A72,'SALA 2002'!$A:$A,0),MATCH(K$1,'SALA 2002'!$B$1:$U$1,0))),($A72-1994)/7),INDEX('WPP 2024 середина года'!$B:$U,MATCH($A72,'WPP 2024 середина года'!$A:$A,0),MATCH(K$1,'WPP 2024 середина года'!$B$1:$U$1,0)))))</f>
        <v>3440</v>
      </c>
      <c r="L72" s="7">
        <f>IF($A72&lt;=1951,INDEX('SALA 1974'!$B:$U,MATCH($A72,'SALA 1974'!$A:$A,0),MATCH(L$1,'SALA 1974'!$B$1:$U$1,0)),IF($A72&lt;=1994,1000*INDEX('SALA 2002'!$B:$U,MATCH($A72,'SALA 2002'!$A:$A,0),MATCH(L$1,'SALA 2002'!$B$1:$U$1,0)),IF($A72&lt;=2000,1000*INDEX('SALA 2002'!$B:$U,MATCH($A72,'SALA 2002'!$A:$A,0),MATCH(L$1,'SALA 2002'!$B$1:$U$1,0))*POWER(INDEX('WPP 2024 середина года'!$B:$U,MATCH($A72,'WPP 2024 середина года'!$A:$A,0),MATCH(L$1,'WPP 2024 середина года'!$B$1:$U$1,0))/(1000*INDEX('SALA 2002'!$B:$U,MATCH($A72,'SALA 2002'!$A:$A,0),MATCH(L$1,'SALA 2002'!$B$1:$U$1,0))),($A72-1994)/7),INDEX('WPP 2024 середина года'!$B:$U,MATCH($A72,'WPP 2024 середина года'!$A:$A,0),MATCH(L$1,'WPP 2024 середина года'!$B$1:$U$1,0)))))</f>
        <v>5270</v>
      </c>
      <c r="M72" s="7">
        <f>IF($A72&lt;=1951,INDEX('SALA 1974'!$B:$U,MATCH($A72,'SALA 1974'!$A:$A,0),MATCH(M$1,'SALA 1974'!$B$1:$U$1,0)),IF($A72&lt;=1994,1000*INDEX('SALA 2002'!$B:$U,MATCH($A72,'SALA 2002'!$A:$A,0),MATCH(M$1,'SALA 2002'!$B$1:$U$1,0)),IF($A72&lt;=2000,1000*INDEX('SALA 2002'!$B:$U,MATCH($A72,'SALA 2002'!$A:$A,0),MATCH(M$1,'SALA 2002'!$B$1:$U$1,0))*POWER(INDEX('WPP 2024 середина года'!$B:$U,MATCH($A72,'WPP 2024 середина года'!$A:$A,0),MATCH(M$1,'WPP 2024 середина года'!$B$1:$U$1,0))/(1000*INDEX('SALA 2002'!$B:$U,MATCH($A72,'SALA 2002'!$A:$A,0),MATCH(M$1,'SALA 2002'!$B$1:$U$1,0))),($A72-1994)/7),INDEX('WPP 2024 середина года'!$B:$U,MATCH($A72,'WPP 2024 середина года'!$A:$A,0),MATCH(M$1,'WPP 2024 середина года'!$B$1:$U$1,0)))))</f>
        <v>4240</v>
      </c>
      <c r="N72" s="7">
        <f>IF($A72&lt;=1951,INDEX('SALA 1974'!$B:$U,MATCH($A72,'SALA 1974'!$A:$A,0),MATCH(N$1,'SALA 1974'!$B$1:$U$1,0)),IF($A72&lt;=1994,1000*INDEX('SALA 2002'!$B:$U,MATCH($A72,'SALA 2002'!$A:$A,0),MATCH(N$1,'SALA 2002'!$B$1:$U$1,0)),IF($A72&lt;=2000,1000*INDEX('SALA 2002'!$B:$U,MATCH($A72,'SALA 2002'!$A:$A,0),MATCH(N$1,'SALA 2002'!$B$1:$U$1,0))*POWER(INDEX('WPP 2024 середина года'!$B:$U,MATCH($A72,'WPP 2024 середина года'!$A:$A,0),MATCH(N$1,'WPP 2024 середина года'!$B$1:$U$1,0))/(1000*INDEX('SALA 2002'!$B:$U,MATCH($A72,'SALA 2002'!$A:$A,0),MATCH(N$1,'SALA 2002'!$B$1:$U$1,0))),($A72-1994)/7),INDEX('WPP 2024 середина года'!$B:$U,MATCH($A72,'WPP 2024 середина года'!$A:$A,0),MATCH(N$1,'WPP 2024 середина года'!$B$1:$U$1,0)))))</f>
        <v>2640</v>
      </c>
      <c r="O72" s="7">
        <f>IF($A72&lt;=1951,INDEX('SALA 1974'!$B:$U,MATCH($A72,'SALA 1974'!$A:$A,0),MATCH(O$1,'SALA 1974'!$B$1:$U$1,0)),IF($A72&lt;=1994,1000*INDEX('SALA 2002'!$B:$U,MATCH($A72,'SALA 2002'!$A:$A,0),MATCH(O$1,'SALA 2002'!$B$1:$U$1,0)),IF($A72&lt;=2000,1000*INDEX('SALA 2002'!$B:$U,MATCH($A72,'SALA 2002'!$A:$A,0),MATCH(O$1,'SALA 2002'!$B$1:$U$1,0))*POWER(INDEX('WPP 2024 середина года'!$B:$U,MATCH($A72,'WPP 2024 середина года'!$A:$A,0),MATCH(O$1,'WPP 2024 середина года'!$B$1:$U$1,0))/(1000*INDEX('SALA 2002'!$B:$U,MATCH($A72,'SALA 2002'!$A:$A,0),MATCH(O$1,'SALA 2002'!$B$1:$U$1,0))),($A72-1994)/7),INDEX('WPP 2024 середина года'!$B:$U,MATCH($A72,'WPP 2024 середина года'!$A:$A,0),MATCH(O$1,'WPP 2024 середина года'!$B$1:$U$1,0)))))</f>
        <v>50690</v>
      </c>
      <c r="P72" s="7">
        <f>IF($A72&lt;=1951,INDEX('SALA 1974'!$B:$U,MATCH($A72,'SALA 1974'!$A:$A,0),MATCH(P$1,'SALA 1974'!$B$1:$U$1,0)),IF($A72&lt;=1994,1000*INDEX('SALA 2002'!$B:$U,MATCH($A72,'SALA 2002'!$A:$A,0),MATCH(P$1,'SALA 2002'!$B$1:$U$1,0)),IF($A72&lt;=2000,1000*INDEX('SALA 2002'!$B:$U,MATCH($A72,'SALA 2002'!$A:$A,0),MATCH(P$1,'SALA 2002'!$B$1:$U$1,0))*POWER(INDEX('WPP 2024 середина года'!$B:$U,MATCH($A72,'WPP 2024 середина года'!$A:$A,0),MATCH(P$1,'WPP 2024 середина года'!$B$1:$U$1,0))/(1000*INDEX('SALA 2002'!$B:$U,MATCH($A72,'SALA 2002'!$A:$A,0),MATCH(P$1,'SALA 2002'!$B$1:$U$1,0))),($A72-1994)/7),INDEX('WPP 2024 середина года'!$B:$U,MATCH($A72,'WPP 2024 середина года'!$A:$A,0),MATCH(P$1,'WPP 2024 середина года'!$B$1:$U$1,0)))))</f>
        <v>1830</v>
      </c>
      <c r="Q72" s="7">
        <f>IF($A72&lt;=1951,INDEX('SALA 1974'!$B:$U,MATCH($A72,'SALA 1974'!$A:$A,0),MATCH(Q$1,'SALA 1974'!$B$1:$U$1,0)),IF($A72&lt;=1994,1000*INDEX('SALA 2002'!$B:$U,MATCH($A72,'SALA 2002'!$A:$A,0),MATCH(Q$1,'SALA 2002'!$B$1:$U$1,0)),IF($A72&lt;=2000,1000*INDEX('SALA 2002'!$B:$U,MATCH($A72,'SALA 2002'!$A:$A,0),MATCH(Q$1,'SALA 2002'!$B$1:$U$1,0))*POWER(INDEX('WPP 2024 середина года'!$B:$U,MATCH($A72,'WPP 2024 середина года'!$A:$A,0),MATCH(Q$1,'WPP 2024 середина года'!$B$1:$U$1,0))/(1000*INDEX('SALA 2002'!$B:$U,MATCH($A72,'SALA 2002'!$A:$A,0),MATCH(Q$1,'SALA 2002'!$B$1:$U$1,0))),($A72-1994)/7),INDEX('WPP 2024 середина года'!$B:$U,MATCH($A72,'WPP 2024 середина года'!$A:$A,0),MATCH(Q$1,'WPP 2024 середина года'!$B$1:$U$1,0)))))</f>
        <v>1430</v>
      </c>
      <c r="R72" s="7">
        <f>IF($A72&lt;=1951,INDEX('SALA 1974'!$B:$U,MATCH($A72,'SALA 1974'!$A:$A,0),MATCH(R$1,'SALA 1974'!$B$1:$U$1,0)),IF($A72&lt;=1994,1000*INDEX('SALA 2002'!$B:$U,MATCH($A72,'SALA 2002'!$A:$A,0),MATCH(R$1,'SALA 2002'!$B$1:$U$1,0)),IF($A72&lt;=2000,1000*INDEX('SALA 2002'!$B:$U,MATCH($A72,'SALA 2002'!$A:$A,0),MATCH(R$1,'SALA 2002'!$B$1:$U$1,0))*POWER(INDEX('WPP 2024 середина года'!$B:$U,MATCH($A72,'WPP 2024 середина года'!$A:$A,0),MATCH(R$1,'WPP 2024 середина года'!$B$1:$U$1,0))/(1000*INDEX('SALA 2002'!$B:$U,MATCH($A72,'SALA 2002'!$A:$A,0),MATCH(R$1,'SALA 2002'!$B$1:$U$1,0))),($A72-1994)/7),INDEX('WPP 2024 середина года'!$B:$U,MATCH($A72,'WPP 2024 середина года'!$A:$A,0),MATCH(R$1,'WPP 2024 середина года'!$B$1:$U$1,0)))))</f>
        <v>2300</v>
      </c>
      <c r="S72" s="7">
        <f>IF($A72&lt;=1951,INDEX('SALA 1974'!$B:$U,MATCH($A72,'SALA 1974'!$A:$A,0),MATCH(S$1,'SALA 1974'!$B$1:$U$1,0)),IF($A72&lt;=1994,1000*INDEX('SALA 2002'!$B:$U,MATCH($A72,'SALA 2002'!$A:$A,0),MATCH(S$1,'SALA 2002'!$B$1:$U$1,0)),IF($A72&lt;=2000,1000*INDEX('SALA 2002'!$B:$U,MATCH($A72,'SALA 2002'!$A:$A,0),MATCH(S$1,'SALA 2002'!$B$1:$U$1,0))*POWER(INDEX('WPP 2024 середина года'!$B:$U,MATCH($A72,'WPP 2024 середина года'!$A:$A,0),MATCH(S$1,'WPP 2024 середина года'!$B$1:$U$1,0))/(1000*INDEX('SALA 2002'!$B:$U,MATCH($A72,'SALA 2002'!$A:$A,0),MATCH(S$1,'SALA 2002'!$B$1:$U$1,0))),($A72-1994)/7),INDEX('WPP 2024 середина года'!$B:$U,MATCH($A72,'WPP 2024 середина года'!$A:$A,0),MATCH(S$1,'WPP 2024 середина года'!$B$1:$U$1,0)))))</f>
        <v>13450</v>
      </c>
      <c r="T72" s="7">
        <f>IF($A72&lt;=1951,INDEX('SALA 1974'!$B:$U,MATCH($A72,'SALA 1974'!$A:$A,0),MATCH(T$1,'SALA 1974'!$B$1:$U$1,0)),IF($A72&lt;=1994,1000*INDEX('SALA 2002'!$B:$U,MATCH($A72,'SALA 2002'!$A:$A,0),MATCH(T$1,'SALA 2002'!$B$1:$U$1,0)),IF($A72&lt;=2000,1000*INDEX('SALA 2002'!$B:$U,MATCH($A72,'SALA 2002'!$A:$A,0),MATCH(T$1,'SALA 2002'!$B$1:$U$1,0))*POWER(INDEX('WPP 2024 середина года'!$B:$U,MATCH($A72,'WPP 2024 середина года'!$A:$A,0),MATCH(T$1,'WPP 2024 середина года'!$B$1:$U$1,0))/(1000*INDEX('SALA 2002'!$B:$U,MATCH($A72,'SALA 2002'!$A:$A,0),MATCH(T$1,'SALA 2002'!$B$1:$U$1,0))),($A72-1994)/7),INDEX('WPP 2024 середина года'!$B:$U,MATCH($A72,'WPP 2024 середина года'!$A:$A,0),MATCH(T$1,'WPP 2024 середина года'!$B$1:$U$1,0)))))</f>
        <v>2730</v>
      </c>
      <c r="U72" s="7">
        <f>IF($A72&lt;=1951,INDEX('SALA 1974'!$B:$U,MATCH($A72,'SALA 1974'!$A:$A,0),MATCH(U$1,'SALA 1974'!$B$1:$U$1,0)),IF($A72&lt;=1994,1000*INDEX('SALA 2002'!$B:$U,MATCH($A72,'SALA 2002'!$A:$A,0),MATCH(U$1,'SALA 2002'!$B$1:$U$1,0)),IF($A72&lt;=2000,1000*INDEX('SALA 2002'!$B:$U,MATCH($A72,'SALA 2002'!$A:$A,0),MATCH(U$1,'SALA 2002'!$B$1:$U$1,0))*POWER(INDEX('WPP 2024 середина года'!$B:$U,MATCH($A72,'WPP 2024 середина года'!$A:$A,0),MATCH(U$1,'WPP 2024 середина года'!$B$1:$U$1,0))/(1000*INDEX('SALA 2002'!$B:$U,MATCH($A72,'SALA 2002'!$A:$A,0),MATCH(U$1,'SALA 2002'!$B$1:$U$1,0))),($A72-1994)/7),INDEX('WPP 2024 середина года'!$B:$U,MATCH($A72,'WPP 2024 середина года'!$A:$A,0),MATCH(U$1,'WPP 2024 середина года'!$B$1:$U$1,0)))))</f>
        <v>10280</v>
      </c>
    </row>
    <row r="73" spans="1:21" x14ac:dyDescent="0.25">
      <c r="A73" s="5">
        <f t="shared" si="1"/>
        <v>1971</v>
      </c>
      <c r="B73" s="7">
        <f>IF($A73&lt;=1951,INDEX('SALA 1974'!$B:$U,MATCH($A73,'SALA 1974'!$A:$A,0),MATCH(B$1,'SALA 1974'!$B$1:$U$1,0)),IF($A73&lt;=1994,1000*INDEX('SALA 2002'!$B:$U,MATCH($A73,'SALA 2002'!$A:$A,0),MATCH(B$1,'SALA 2002'!$B$1:$U$1,0)),IF($A73&lt;=2000,1000*INDEX('SALA 2002'!$B:$U,MATCH($A73,'SALA 2002'!$A:$A,0),MATCH(B$1,'SALA 2002'!$B$1:$U$1,0))*POWER(INDEX('WPP 2024 середина года'!$B:$U,MATCH($A73,'WPP 2024 середина года'!$A:$A,0),MATCH(B$1,'WPP 2024 середина года'!$B$1:$U$1,0))/(1000*INDEX('SALA 2002'!$B:$U,MATCH($A73,'SALA 2002'!$A:$A,0),MATCH(B$1,'SALA 2002'!$B$1:$U$1,0))),($A73-1994)/7),INDEX('WPP 2024 середина года'!$B:$U,MATCH($A73,'WPP 2024 середина года'!$A:$A,0),MATCH(B$1,'WPP 2024 середина года'!$B$1:$U$1,0)))))</f>
        <v>24070</v>
      </c>
      <c r="C73" s="7">
        <f>IF($A73&lt;=1951,INDEX('SALA 1974'!$B:$U,MATCH($A73,'SALA 1974'!$A:$A,0),MATCH(C$1,'SALA 1974'!$B$1:$U$1,0)),IF($A73&lt;=1994,1000*INDEX('SALA 2002'!$B:$U,MATCH($A73,'SALA 2002'!$A:$A,0),MATCH(C$1,'SALA 2002'!$B$1:$U$1,0)),IF($A73&lt;=2000,1000*INDEX('SALA 2002'!$B:$U,MATCH($A73,'SALA 2002'!$A:$A,0),MATCH(C$1,'SALA 2002'!$B$1:$U$1,0))*POWER(INDEX('WPP 2024 середина года'!$B:$U,MATCH($A73,'WPP 2024 середина года'!$A:$A,0),MATCH(C$1,'WPP 2024 середина года'!$B$1:$U$1,0))/(1000*INDEX('SALA 2002'!$B:$U,MATCH($A73,'SALA 2002'!$A:$A,0),MATCH(C$1,'SALA 2002'!$B$1:$U$1,0))),($A73-1994)/7),INDEX('WPP 2024 середина года'!$B:$U,MATCH($A73,'WPP 2024 середина года'!$A:$A,0),MATCH(C$1,'WPP 2024 середина года'!$B$1:$U$1,0)))))</f>
        <v>4620</v>
      </c>
      <c r="D73" s="7">
        <f>IF($A73&lt;=1951,INDEX('SALA 1974'!$B:$U,MATCH($A73,'SALA 1974'!$A:$A,0),MATCH(D$1,'SALA 1974'!$B$1:$U$1,0)),IF($A73&lt;=1994,1000*INDEX('SALA 2002'!$B:$U,MATCH($A73,'SALA 2002'!$A:$A,0),MATCH(D$1,'SALA 2002'!$B$1:$U$1,0)),IF($A73&lt;=2000,1000*INDEX('SALA 2002'!$B:$U,MATCH($A73,'SALA 2002'!$A:$A,0),MATCH(D$1,'SALA 2002'!$B$1:$U$1,0))*POWER(INDEX('WPP 2024 середина года'!$B:$U,MATCH($A73,'WPP 2024 середина года'!$A:$A,0),MATCH(D$1,'WPP 2024 середина года'!$B$1:$U$1,0))/(1000*INDEX('SALA 2002'!$B:$U,MATCH($A73,'SALA 2002'!$A:$A,0),MATCH(D$1,'SALA 2002'!$B$1:$U$1,0))),($A73-1994)/7),INDEX('WPP 2024 середина года'!$B:$U,MATCH($A73,'WPP 2024 середина года'!$A:$A,0),MATCH(D$1,'WPP 2024 середина года'!$B$1:$U$1,0)))))</f>
        <v>95170</v>
      </c>
      <c r="E73" s="7">
        <f>IF($A73&lt;=1951,INDEX('SALA 1974'!$B:$U,MATCH($A73,'SALA 1974'!$A:$A,0),MATCH(E$1,'SALA 1974'!$B$1:$U$1,0)),IF($A73&lt;=1994,1000*INDEX('SALA 2002'!$B:$U,MATCH($A73,'SALA 2002'!$A:$A,0),MATCH(E$1,'SALA 2002'!$B$1:$U$1,0)),IF($A73&lt;=2000,1000*INDEX('SALA 2002'!$B:$U,MATCH($A73,'SALA 2002'!$A:$A,0),MATCH(E$1,'SALA 2002'!$B$1:$U$1,0))*POWER(INDEX('WPP 2024 середина года'!$B:$U,MATCH($A73,'WPP 2024 середина года'!$A:$A,0),MATCH(E$1,'WPP 2024 середина года'!$B$1:$U$1,0))/(1000*INDEX('SALA 2002'!$B:$U,MATCH($A73,'SALA 2002'!$A:$A,0),MATCH(E$1,'SALA 2002'!$B$1:$U$1,0))),($A73-1994)/7),INDEX('WPP 2024 середина года'!$B:$U,MATCH($A73,'WPP 2024 середина года'!$A:$A,0),MATCH(E$1,'WPP 2024 середина года'!$B$1:$U$1,0)))))</f>
        <v>9530</v>
      </c>
      <c r="F73" s="7">
        <f>IF($A73&lt;=1947,INDEX('SALA 1974'!$B:$U,MATCH($A73,'SALA 1974'!$A:$A,0),MATCH(F$1,'SALA 1974'!$B$1:$U$1,0)),IF($A73&lt;=1994,1000*INDEX('SALA 2002'!$B:$U,MATCH($A73,'SALA 2002'!$A:$A,0),MATCH(F$1,'SALA 2002'!$B$1:$U$1,0)),IF($A73&lt;=2000,1000*INDEX('SALA 2002'!$B:$U,MATCH($A73,'SALA 2002'!$A:$A,0),MATCH(F$1,'SALA 2002'!$B$1:$U$1,0))*POWER(INDEX('WPP 2024 середина года'!$B:$U,MATCH($A73,'WPP 2024 середина года'!$A:$A,0),MATCH(F$1,'WPP 2024 середина года'!$B$1:$U$1,0))/(1000*INDEX('SALA 2002'!$B:$U,MATCH($A73,'SALA 2002'!$A:$A,0),MATCH(F$1,'SALA 2002'!$B$1:$U$1,0))),($A73-1994)/7),INDEX('WPP 2024 середина года'!$B:$U,MATCH($A73,'WPP 2024 середина года'!$A:$A,0),MATCH(F$1,'WPP 2024 середина года'!$B$1:$U$1,0)))))</f>
        <v>21090</v>
      </c>
      <c r="G73" s="7">
        <f>IF($A73&lt;=1951,INDEX('SALA 1974'!$B:$U,MATCH($A73,'SALA 1974'!$A:$A,0),MATCH(G$1,'SALA 1974'!$B$1:$U$1,0)),IF($A73&lt;=1994,1000*INDEX('SALA 2002'!$B:$U,MATCH($A73,'SALA 2002'!$A:$A,0),MATCH(G$1,'SALA 2002'!$B$1:$U$1,0)),IF($A73&lt;=2000,1000*INDEX('SALA 2002'!$B:$U,MATCH($A73,'SALA 2002'!$A:$A,0),MATCH(G$1,'SALA 2002'!$B$1:$U$1,0))*POWER(INDEX('WPP 2024 середина года'!$B:$U,MATCH($A73,'WPP 2024 середина года'!$A:$A,0),MATCH(G$1,'WPP 2024 середина года'!$B$1:$U$1,0))/(1000*INDEX('SALA 2002'!$B:$U,MATCH($A73,'SALA 2002'!$A:$A,0),MATCH(G$1,'SALA 2002'!$B$1:$U$1,0))),($A73-1994)/7),INDEX('WPP 2024 середина года'!$B:$U,MATCH($A73,'WPP 2024 середина года'!$A:$A,0),MATCH(G$1,'WPP 2024 середина года'!$B$1:$U$1,0)))))</f>
        <v>1800</v>
      </c>
      <c r="H73" s="7">
        <f>IF($A73&lt;=1951,INDEX('SALA 1974'!$B:$U,MATCH($A73,'SALA 1974'!$A:$A,0),MATCH(H$1,'SALA 1974'!$B$1:$U$1,0)),IF($A73&lt;=1994,1000*INDEX('SALA 2002'!$B:$U,MATCH($A73,'SALA 2002'!$A:$A,0),MATCH(H$1,'SALA 2002'!$B$1:$U$1,0)),IF($A73&lt;=2000,1000*INDEX('SALA 2002'!$B:$U,MATCH($A73,'SALA 2002'!$A:$A,0),MATCH(H$1,'SALA 2002'!$B$1:$U$1,0))*POWER(INDEX('WPP 2024 середина года'!$B:$U,MATCH($A73,'WPP 2024 середина года'!$A:$A,0),MATCH(H$1,'WPP 2024 середина года'!$B$1:$U$1,0))/(1000*INDEX('SALA 2002'!$B:$U,MATCH($A73,'SALA 2002'!$A:$A,0),MATCH(H$1,'SALA 2002'!$B$1:$U$1,0))),($A73-1994)/7),INDEX('WPP 2024 середина года'!$B:$U,MATCH($A73,'WPP 2024 середина года'!$A:$A,0),MATCH(H$1,'WPP 2024 середина года'!$B$1:$U$1,0)))))</f>
        <v>8690</v>
      </c>
      <c r="I73" s="7">
        <f>IF($A73&lt;=1951,INDEX('SALA 1974'!$B:$U,MATCH($A73,'SALA 1974'!$A:$A,0),MATCH(I$1,'SALA 1974'!$B$1:$U$1,0)),IF($A73&lt;=1994,1000*INDEX('SALA 2002'!$B:$U,MATCH($A73,'SALA 2002'!$A:$A,0),MATCH(I$1,'SALA 2002'!$B$1:$U$1,0)),IF($A73&lt;=2000,1000*INDEX('SALA 2002'!$B:$U,MATCH($A73,'SALA 2002'!$A:$A,0),MATCH(I$1,'SALA 2002'!$B$1:$U$1,0))*POWER(INDEX('WPP 2024 середина года'!$B:$U,MATCH($A73,'WPP 2024 середина года'!$A:$A,0),MATCH(I$1,'WPP 2024 середина года'!$B$1:$U$1,0))/(1000*INDEX('SALA 2002'!$B:$U,MATCH($A73,'SALA 2002'!$A:$A,0),MATCH(I$1,'SALA 2002'!$B$1:$U$1,0))),($A73-1994)/7),INDEX('WPP 2024 середина года'!$B:$U,MATCH($A73,'WPP 2024 середина года'!$A:$A,0),MATCH(I$1,'WPP 2024 середина года'!$B$1:$U$1,0)))))</f>
        <v>4180</v>
      </c>
      <c r="J73" s="7">
        <f>IF($A73&lt;=1951,INDEX('SALA 1974'!$B:$U,MATCH($A73,'SALA 1974'!$A:$A,0),MATCH(J$1,'SALA 1974'!$B$1:$U$1,0)),IF($A73&lt;=1994,1000*INDEX('SALA 2002'!$B:$U,MATCH($A73,'SALA 2002'!$A:$A,0),MATCH(J$1,'SALA 2002'!$B$1:$U$1,0)),IF($A73&lt;=2000,1000*INDEX('SALA 2002'!$B:$U,MATCH($A73,'SALA 2002'!$A:$A,0),MATCH(J$1,'SALA 2002'!$B$1:$U$1,0))*POWER(INDEX('WPP 2024 середина года'!$B:$U,MATCH($A73,'WPP 2024 середина года'!$A:$A,0),MATCH(J$1,'WPP 2024 середина года'!$B$1:$U$1,0))/(1000*INDEX('SALA 2002'!$B:$U,MATCH($A73,'SALA 2002'!$A:$A,0),MATCH(J$1,'SALA 2002'!$B$1:$U$1,0))),($A73-1994)/7),INDEX('WPP 2024 середина года'!$B:$U,MATCH($A73,'WPP 2024 середина года'!$A:$A,0),MATCH(J$1,'WPP 2024 середина года'!$B$1:$U$1,0)))))</f>
        <v>6170</v>
      </c>
      <c r="K73" s="7">
        <f>IF($A73&lt;=1951,INDEX('SALA 1974'!$B:$U,MATCH($A73,'SALA 1974'!$A:$A,0),MATCH(K$1,'SALA 1974'!$B$1:$U$1,0)),IF($A73&lt;=1994,1000*INDEX('SALA 2002'!$B:$U,MATCH($A73,'SALA 2002'!$A:$A,0),MATCH(K$1,'SALA 2002'!$B$1:$U$1,0)),IF($A73&lt;=2000,1000*INDEX('SALA 2002'!$B:$U,MATCH($A73,'SALA 2002'!$A:$A,0),MATCH(K$1,'SALA 2002'!$B$1:$U$1,0))*POWER(INDEX('WPP 2024 середина года'!$B:$U,MATCH($A73,'WPP 2024 середина года'!$A:$A,0),MATCH(K$1,'WPP 2024 середина года'!$B$1:$U$1,0))/(1000*INDEX('SALA 2002'!$B:$U,MATCH($A73,'SALA 2002'!$A:$A,0),MATCH(K$1,'SALA 2002'!$B$1:$U$1,0))),($A73-1994)/7),INDEX('WPP 2024 середина года'!$B:$U,MATCH($A73,'WPP 2024 середина года'!$A:$A,0),MATCH(K$1,'WPP 2024 середина года'!$B$1:$U$1,0)))))</f>
        <v>3550</v>
      </c>
      <c r="L73" s="7">
        <f>IF($A73&lt;=1951,INDEX('SALA 1974'!$B:$U,MATCH($A73,'SALA 1974'!$A:$A,0),MATCH(L$1,'SALA 1974'!$B$1:$U$1,0)),IF($A73&lt;=1994,1000*INDEX('SALA 2002'!$B:$U,MATCH($A73,'SALA 2002'!$A:$A,0),MATCH(L$1,'SALA 2002'!$B$1:$U$1,0)),IF($A73&lt;=2000,1000*INDEX('SALA 2002'!$B:$U,MATCH($A73,'SALA 2002'!$A:$A,0),MATCH(L$1,'SALA 2002'!$B$1:$U$1,0))*POWER(INDEX('WPP 2024 середина года'!$B:$U,MATCH($A73,'WPP 2024 середина года'!$A:$A,0),MATCH(L$1,'WPP 2024 середина года'!$B$1:$U$1,0))/(1000*INDEX('SALA 2002'!$B:$U,MATCH($A73,'SALA 2002'!$A:$A,0),MATCH(L$1,'SALA 2002'!$B$1:$U$1,0))),($A73-1994)/7),INDEX('WPP 2024 середина года'!$B:$U,MATCH($A73,'WPP 2024 середина года'!$A:$A,0),MATCH(L$1,'WPP 2024 середина года'!$B$1:$U$1,0)))))</f>
        <v>5420</v>
      </c>
      <c r="M73" s="7">
        <f>IF($A73&lt;=1951,INDEX('SALA 1974'!$B:$U,MATCH($A73,'SALA 1974'!$A:$A,0),MATCH(M$1,'SALA 1974'!$B$1:$U$1,0)),IF($A73&lt;=1994,1000*INDEX('SALA 2002'!$B:$U,MATCH($A73,'SALA 2002'!$A:$A,0),MATCH(M$1,'SALA 2002'!$B$1:$U$1,0)),IF($A73&lt;=2000,1000*INDEX('SALA 2002'!$B:$U,MATCH($A73,'SALA 2002'!$A:$A,0),MATCH(M$1,'SALA 2002'!$B$1:$U$1,0))*POWER(INDEX('WPP 2024 середина года'!$B:$U,MATCH($A73,'WPP 2024 середина года'!$A:$A,0),MATCH(M$1,'WPP 2024 середина года'!$B$1:$U$1,0))/(1000*INDEX('SALA 2002'!$B:$U,MATCH($A73,'SALA 2002'!$A:$A,0),MATCH(M$1,'SALA 2002'!$B$1:$U$1,0))),($A73-1994)/7),INDEX('WPP 2024 середина года'!$B:$U,MATCH($A73,'WPP 2024 середина года'!$A:$A,0),MATCH(M$1,'WPP 2024 середина года'!$B$1:$U$1,0)))))</f>
        <v>4310</v>
      </c>
      <c r="N73" s="7">
        <f>IF($A73&lt;=1951,INDEX('SALA 1974'!$B:$U,MATCH($A73,'SALA 1974'!$A:$A,0),MATCH(N$1,'SALA 1974'!$B$1:$U$1,0)),IF($A73&lt;=1994,1000*INDEX('SALA 2002'!$B:$U,MATCH($A73,'SALA 2002'!$A:$A,0),MATCH(N$1,'SALA 2002'!$B$1:$U$1,0)),IF($A73&lt;=2000,1000*INDEX('SALA 2002'!$B:$U,MATCH($A73,'SALA 2002'!$A:$A,0),MATCH(N$1,'SALA 2002'!$B$1:$U$1,0))*POWER(INDEX('WPP 2024 середина года'!$B:$U,MATCH($A73,'WPP 2024 середина года'!$A:$A,0),MATCH(N$1,'WPP 2024 середина года'!$B$1:$U$1,0))/(1000*INDEX('SALA 2002'!$B:$U,MATCH($A73,'SALA 2002'!$A:$A,0),MATCH(N$1,'SALA 2002'!$B$1:$U$1,0))),($A73-1994)/7),INDEX('WPP 2024 середина года'!$B:$U,MATCH($A73,'WPP 2024 середина года'!$A:$A,0),MATCH(N$1,'WPP 2024 середина года'!$B$1:$U$1,0)))))</f>
        <v>2720</v>
      </c>
      <c r="O73" s="7">
        <f>IF($A73&lt;=1951,INDEX('SALA 1974'!$B:$U,MATCH($A73,'SALA 1974'!$A:$A,0),MATCH(O$1,'SALA 1974'!$B$1:$U$1,0)),IF($A73&lt;=1994,1000*INDEX('SALA 2002'!$B:$U,MATCH($A73,'SALA 2002'!$A:$A,0),MATCH(O$1,'SALA 2002'!$B$1:$U$1,0)),IF($A73&lt;=2000,1000*INDEX('SALA 2002'!$B:$U,MATCH($A73,'SALA 2002'!$A:$A,0),MATCH(O$1,'SALA 2002'!$B$1:$U$1,0))*POWER(INDEX('WPP 2024 середина года'!$B:$U,MATCH($A73,'WPP 2024 середина года'!$A:$A,0),MATCH(O$1,'WPP 2024 середина года'!$B$1:$U$1,0))/(1000*INDEX('SALA 2002'!$B:$U,MATCH($A73,'SALA 2002'!$A:$A,0),MATCH(O$1,'SALA 2002'!$B$1:$U$1,0))),($A73-1994)/7),INDEX('WPP 2024 середина года'!$B:$U,MATCH($A73,'WPP 2024 середина года'!$A:$A,0),MATCH(O$1,'WPP 2024 середина года'!$B$1:$U$1,0)))))</f>
        <v>52450</v>
      </c>
      <c r="P73" s="7">
        <f>IF($A73&lt;=1951,INDEX('SALA 1974'!$B:$U,MATCH($A73,'SALA 1974'!$A:$A,0),MATCH(P$1,'SALA 1974'!$B$1:$U$1,0)),IF($A73&lt;=1994,1000*INDEX('SALA 2002'!$B:$U,MATCH($A73,'SALA 2002'!$A:$A,0),MATCH(P$1,'SALA 2002'!$B$1:$U$1,0)),IF($A73&lt;=2000,1000*INDEX('SALA 2002'!$B:$U,MATCH($A73,'SALA 2002'!$A:$A,0),MATCH(P$1,'SALA 2002'!$B$1:$U$1,0))*POWER(INDEX('WPP 2024 середина года'!$B:$U,MATCH($A73,'WPP 2024 середина года'!$A:$A,0),MATCH(P$1,'WPP 2024 середина года'!$B$1:$U$1,0))/(1000*INDEX('SALA 2002'!$B:$U,MATCH($A73,'SALA 2002'!$A:$A,0),MATCH(P$1,'SALA 2002'!$B$1:$U$1,0))),($A73-1994)/7),INDEX('WPP 2024 середина года'!$B:$U,MATCH($A73,'WPP 2024 середина года'!$A:$A,0),MATCH(P$1,'WPP 2024 середина года'!$B$1:$U$1,0)))))</f>
        <v>1890</v>
      </c>
      <c r="Q73" s="7">
        <f>IF($A73&lt;=1951,INDEX('SALA 1974'!$B:$U,MATCH($A73,'SALA 1974'!$A:$A,0),MATCH(Q$1,'SALA 1974'!$B$1:$U$1,0)),IF($A73&lt;=1994,1000*INDEX('SALA 2002'!$B:$U,MATCH($A73,'SALA 2002'!$A:$A,0),MATCH(Q$1,'SALA 2002'!$B$1:$U$1,0)),IF($A73&lt;=2000,1000*INDEX('SALA 2002'!$B:$U,MATCH($A73,'SALA 2002'!$A:$A,0),MATCH(Q$1,'SALA 2002'!$B$1:$U$1,0))*POWER(INDEX('WPP 2024 середина года'!$B:$U,MATCH($A73,'WPP 2024 середина года'!$A:$A,0),MATCH(Q$1,'WPP 2024 середина года'!$B$1:$U$1,0))/(1000*INDEX('SALA 2002'!$B:$U,MATCH($A73,'SALA 2002'!$A:$A,0),MATCH(Q$1,'SALA 2002'!$B$1:$U$1,0))),($A73-1994)/7),INDEX('WPP 2024 середина года'!$B:$U,MATCH($A73,'WPP 2024 середина года'!$A:$A,0),MATCH(Q$1,'WPP 2024 середина года'!$B$1:$U$1,0)))))</f>
        <v>1480</v>
      </c>
      <c r="R73" s="7">
        <f>IF($A73&lt;=1951,INDEX('SALA 1974'!$B:$U,MATCH($A73,'SALA 1974'!$A:$A,0),MATCH(R$1,'SALA 1974'!$B$1:$U$1,0)),IF($A73&lt;=1994,1000*INDEX('SALA 2002'!$B:$U,MATCH($A73,'SALA 2002'!$A:$A,0),MATCH(R$1,'SALA 2002'!$B$1:$U$1,0)),IF($A73&lt;=2000,1000*INDEX('SALA 2002'!$B:$U,MATCH($A73,'SALA 2002'!$A:$A,0),MATCH(R$1,'SALA 2002'!$B$1:$U$1,0))*POWER(INDEX('WPP 2024 середина года'!$B:$U,MATCH($A73,'WPP 2024 середина года'!$A:$A,0),MATCH(R$1,'WPP 2024 середина года'!$B$1:$U$1,0))/(1000*INDEX('SALA 2002'!$B:$U,MATCH($A73,'SALA 2002'!$A:$A,0),MATCH(R$1,'SALA 2002'!$B$1:$U$1,0))),($A73-1994)/7),INDEX('WPP 2024 середина года'!$B:$U,MATCH($A73,'WPP 2024 середина года'!$A:$A,0),MATCH(R$1,'WPP 2024 середина года'!$B$1:$U$1,0)))))</f>
        <v>2360</v>
      </c>
      <c r="S73" s="7">
        <f>IF($A73&lt;=1951,INDEX('SALA 1974'!$B:$U,MATCH($A73,'SALA 1974'!$A:$A,0),MATCH(S$1,'SALA 1974'!$B$1:$U$1,0)),IF($A73&lt;=1994,1000*INDEX('SALA 2002'!$B:$U,MATCH($A73,'SALA 2002'!$A:$A,0),MATCH(S$1,'SALA 2002'!$B$1:$U$1,0)),IF($A73&lt;=2000,1000*INDEX('SALA 2002'!$B:$U,MATCH($A73,'SALA 2002'!$A:$A,0),MATCH(S$1,'SALA 2002'!$B$1:$U$1,0))*POWER(INDEX('WPP 2024 середина года'!$B:$U,MATCH($A73,'WPP 2024 середина года'!$A:$A,0),MATCH(S$1,'WPP 2024 середина года'!$B$1:$U$1,0))/(1000*INDEX('SALA 2002'!$B:$U,MATCH($A73,'SALA 2002'!$A:$A,0),MATCH(S$1,'SALA 2002'!$B$1:$U$1,0))),($A73-1994)/7),INDEX('WPP 2024 середина года'!$B:$U,MATCH($A73,'WPP 2024 середина года'!$A:$A,0),MATCH(S$1,'WPP 2024 середина года'!$B$1:$U$1,0)))))</f>
        <v>13590</v>
      </c>
      <c r="T73" s="7">
        <f>IF($A73&lt;=1951,INDEX('SALA 1974'!$B:$U,MATCH($A73,'SALA 1974'!$A:$A,0),MATCH(T$1,'SALA 1974'!$B$1:$U$1,0)),IF($A73&lt;=1994,1000*INDEX('SALA 2002'!$B:$U,MATCH($A73,'SALA 2002'!$A:$A,0),MATCH(T$1,'SALA 2002'!$B$1:$U$1,0)),IF($A73&lt;=2000,1000*INDEX('SALA 2002'!$B:$U,MATCH($A73,'SALA 2002'!$A:$A,0),MATCH(T$1,'SALA 2002'!$B$1:$U$1,0))*POWER(INDEX('WPP 2024 середина года'!$B:$U,MATCH($A73,'WPP 2024 середина года'!$A:$A,0),MATCH(T$1,'WPP 2024 середина года'!$B$1:$U$1,0))/(1000*INDEX('SALA 2002'!$B:$U,MATCH($A73,'SALA 2002'!$A:$A,0),MATCH(T$1,'SALA 2002'!$B$1:$U$1,0))),($A73-1994)/7),INDEX('WPP 2024 середина года'!$B:$U,MATCH($A73,'WPP 2024 середина года'!$A:$A,0),MATCH(T$1,'WPP 2024 середина года'!$B$1:$U$1,0)))))</f>
        <v>2740</v>
      </c>
      <c r="U73" s="7">
        <f>IF($A73&lt;=1951,INDEX('SALA 1974'!$B:$U,MATCH($A73,'SALA 1974'!$A:$A,0),MATCH(U$1,'SALA 1974'!$B$1:$U$1,0)),IF($A73&lt;=1994,1000*INDEX('SALA 2002'!$B:$U,MATCH($A73,'SALA 2002'!$A:$A,0),MATCH(U$1,'SALA 2002'!$B$1:$U$1,0)),IF($A73&lt;=2000,1000*INDEX('SALA 2002'!$B:$U,MATCH($A73,'SALA 2002'!$A:$A,0),MATCH(U$1,'SALA 2002'!$B$1:$U$1,0))*POWER(INDEX('WPP 2024 середина года'!$B:$U,MATCH($A73,'WPP 2024 середина года'!$A:$A,0),MATCH(U$1,'WPP 2024 середина года'!$B$1:$U$1,0))/(1000*INDEX('SALA 2002'!$B:$U,MATCH($A73,'SALA 2002'!$A:$A,0),MATCH(U$1,'SALA 2002'!$B$1:$U$1,0))),($A73-1994)/7),INDEX('WPP 2024 середина года'!$B:$U,MATCH($A73,'WPP 2024 середина года'!$A:$A,0),MATCH(U$1,'WPP 2024 середина года'!$B$1:$U$1,0)))))</f>
        <v>10610</v>
      </c>
    </row>
    <row r="74" spans="1:21" x14ac:dyDescent="0.25">
      <c r="A74" s="5">
        <f t="shared" si="1"/>
        <v>1972</v>
      </c>
      <c r="B74" s="7">
        <f>IF($A74&lt;=1951,INDEX('SALA 1974'!$B:$U,MATCH($A74,'SALA 1974'!$A:$A,0),MATCH(B$1,'SALA 1974'!$B$1:$U$1,0)),IF($A74&lt;=1994,1000*INDEX('SALA 2002'!$B:$U,MATCH($A74,'SALA 2002'!$A:$A,0),MATCH(B$1,'SALA 2002'!$B$1:$U$1,0)),IF($A74&lt;=2000,1000*INDEX('SALA 2002'!$B:$U,MATCH($A74,'SALA 2002'!$A:$A,0),MATCH(B$1,'SALA 2002'!$B$1:$U$1,0))*POWER(INDEX('WPP 2024 середина года'!$B:$U,MATCH($A74,'WPP 2024 середина года'!$A:$A,0),MATCH(B$1,'WPP 2024 середина года'!$B$1:$U$1,0))/(1000*INDEX('SALA 2002'!$B:$U,MATCH($A74,'SALA 2002'!$A:$A,0),MATCH(B$1,'SALA 2002'!$B$1:$U$1,0))),($A74-1994)/7),INDEX('WPP 2024 середина года'!$B:$U,MATCH($A74,'WPP 2024 середина года'!$A:$A,0),MATCH(B$1,'WPP 2024 середина года'!$B$1:$U$1,0)))))</f>
        <v>24390</v>
      </c>
      <c r="C74" s="7">
        <f>IF($A74&lt;=1951,INDEX('SALA 1974'!$B:$U,MATCH($A74,'SALA 1974'!$A:$A,0),MATCH(C$1,'SALA 1974'!$B$1:$U$1,0)),IF($A74&lt;=1994,1000*INDEX('SALA 2002'!$B:$U,MATCH($A74,'SALA 2002'!$A:$A,0),MATCH(C$1,'SALA 2002'!$B$1:$U$1,0)),IF($A74&lt;=2000,1000*INDEX('SALA 2002'!$B:$U,MATCH($A74,'SALA 2002'!$A:$A,0),MATCH(C$1,'SALA 2002'!$B$1:$U$1,0))*POWER(INDEX('WPP 2024 середина года'!$B:$U,MATCH($A74,'WPP 2024 середина года'!$A:$A,0),MATCH(C$1,'WPP 2024 середина года'!$B$1:$U$1,0))/(1000*INDEX('SALA 2002'!$B:$U,MATCH($A74,'SALA 2002'!$A:$A,0),MATCH(C$1,'SALA 2002'!$B$1:$U$1,0))),($A74-1994)/7),INDEX('WPP 2024 середина года'!$B:$U,MATCH($A74,'WPP 2024 середина года'!$A:$A,0),MATCH(C$1,'WPP 2024 середина года'!$B$1:$U$1,0)))))</f>
        <v>4640</v>
      </c>
      <c r="D74" s="7">
        <f>IF($A74&lt;=1951,INDEX('SALA 1974'!$B:$U,MATCH($A74,'SALA 1974'!$A:$A,0),MATCH(D$1,'SALA 1974'!$B$1:$U$1,0)),IF($A74&lt;=1994,1000*INDEX('SALA 2002'!$B:$U,MATCH($A74,'SALA 2002'!$A:$A,0),MATCH(D$1,'SALA 2002'!$B$1:$U$1,0)),IF($A74&lt;=2000,1000*INDEX('SALA 2002'!$B:$U,MATCH($A74,'SALA 2002'!$A:$A,0),MATCH(D$1,'SALA 2002'!$B$1:$U$1,0))*POWER(INDEX('WPP 2024 середина года'!$B:$U,MATCH($A74,'WPP 2024 середина года'!$A:$A,0),MATCH(D$1,'WPP 2024 середина года'!$B$1:$U$1,0))/(1000*INDEX('SALA 2002'!$B:$U,MATCH($A74,'SALA 2002'!$A:$A,0),MATCH(D$1,'SALA 2002'!$B$1:$U$1,0))),($A74-1994)/7),INDEX('WPP 2024 середина года'!$B:$U,MATCH($A74,'WPP 2024 середина года'!$A:$A,0),MATCH(D$1,'WPP 2024 середина года'!$B$1:$U$1,0)))))</f>
        <v>97850</v>
      </c>
      <c r="E74" s="7">
        <f>IF($A74&lt;=1951,INDEX('SALA 1974'!$B:$U,MATCH($A74,'SALA 1974'!$A:$A,0),MATCH(E$1,'SALA 1974'!$B$1:$U$1,0)),IF($A74&lt;=1994,1000*INDEX('SALA 2002'!$B:$U,MATCH($A74,'SALA 2002'!$A:$A,0),MATCH(E$1,'SALA 2002'!$B$1:$U$1,0)),IF($A74&lt;=2000,1000*INDEX('SALA 2002'!$B:$U,MATCH($A74,'SALA 2002'!$A:$A,0),MATCH(E$1,'SALA 2002'!$B$1:$U$1,0))*POWER(INDEX('WPP 2024 середина года'!$B:$U,MATCH($A74,'WPP 2024 середина года'!$A:$A,0),MATCH(E$1,'WPP 2024 середина года'!$B$1:$U$1,0))/(1000*INDEX('SALA 2002'!$B:$U,MATCH($A74,'SALA 2002'!$A:$A,0),MATCH(E$1,'SALA 2002'!$B$1:$U$1,0))),($A74-1994)/7),INDEX('WPP 2024 середина года'!$B:$U,MATCH($A74,'WPP 2024 середина года'!$A:$A,0),MATCH(E$1,'WPP 2024 середина года'!$B$1:$U$1,0)))))</f>
        <v>9700</v>
      </c>
      <c r="F74" s="7">
        <f>IF($A74&lt;=1947,INDEX('SALA 1974'!$B:$U,MATCH($A74,'SALA 1974'!$A:$A,0),MATCH(F$1,'SALA 1974'!$B$1:$U$1,0)),IF($A74&lt;=1994,1000*INDEX('SALA 2002'!$B:$U,MATCH($A74,'SALA 2002'!$A:$A,0),MATCH(F$1,'SALA 2002'!$B$1:$U$1,0)),IF($A74&lt;=2000,1000*INDEX('SALA 2002'!$B:$U,MATCH($A74,'SALA 2002'!$A:$A,0),MATCH(F$1,'SALA 2002'!$B$1:$U$1,0))*POWER(INDEX('WPP 2024 середина года'!$B:$U,MATCH($A74,'WPP 2024 середина года'!$A:$A,0),MATCH(F$1,'WPP 2024 середина года'!$B$1:$U$1,0))/(1000*INDEX('SALA 2002'!$B:$U,MATCH($A74,'SALA 2002'!$A:$A,0),MATCH(F$1,'SALA 2002'!$B$1:$U$1,0))),($A74-1994)/7),INDEX('WPP 2024 середина года'!$B:$U,MATCH($A74,'WPP 2024 середина года'!$A:$A,0),MATCH(F$1,'WPP 2024 середина года'!$B$1:$U$1,0)))))</f>
        <v>21670</v>
      </c>
      <c r="G74" s="7">
        <f>IF($A74&lt;=1951,INDEX('SALA 1974'!$B:$U,MATCH($A74,'SALA 1974'!$A:$A,0),MATCH(G$1,'SALA 1974'!$B$1:$U$1,0)),IF($A74&lt;=1994,1000*INDEX('SALA 2002'!$B:$U,MATCH($A74,'SALA 2002'!$A:$A,0),MATCH(G$1,'SALA 2002'!$B$1:$U$1,0)),IF($A74&lt;=2000,1000*INDEX('SALA 2002'!$B:$U,MATCH($A74,'SALA 2002'!$A:$A,0),MATCH(G$1,'SALA 2002'!$B$1:$U$1,0))*POWER(INDEX('WPP 2024 середина года'!$B:$U,MATCH($A74,'WPP 2024 середина года'!$A:$A,0),MATCH(G$1,'WPP 2024 середина года'!$B$1:$U$1,0))/(1000*INDEX('SALA 2002'!$B:$U,MATCH($A74,'SALA 2002'!$A:$A,0),MATCH(G$1,'SALA 2002'!$B$1:$U$1,0))),($A74-1994)/7),INDEX('WPP 2024 середина года'!$B:$U,MATCH($A74,'WPP 2024 середина года'!$A:$A,0),MATCH(G$1,'WPP 2024 середина года'!$B$1:$U$1,0)))))</f>
        <v>1840</v>
      </c>
      <c r="H74" s="7">
        <f>IF($A74&lt;=1951,INDEX('SALA 1974'!$B:$U,MATCH($A74,'SALA 1974'!$A:$A,0),MATCH(H$1,'SALA 1974'!$B$1:$U$1,0)),IF($A74&lt;=1994,1000*INDEX('SALA 2002'!$B:$U,MATCH($A74,'SALA 2002'!$A:$A,0),MATCH(H$1,'SALA 2002'!$B$1:$U$1,0)),IF($A74&lt;=2000,1000*INDEX('SALA 2002'!$B:$U,MATCH($A74,'SALA 2002'!$A:$A,0),MATCH(H$1,'SALA 2002'!$B$1:$U$1,0))*POWER(INDEX('WPP 2024 середина года'!$B:$U,MATCH($A74,'WPP 2024 середина года'!$A:$A,0),MATCH(H$1,'WPP 2024 середина года'!$B$1:$U$1,0))/(1000*INDEX('SALA 2002'!$B:$U,MATCH($A74,'SALA 2002'!$A:$A,0),MATCH(H$1,'SALA 2002'!$B$1:$U$1,0))),($A74-1994)/7),INDEX('WPP 2024 середина года'!$B:$U,MATCH($A74,'WPP 2024 середина года'!$A:$A,0),MATCH(H$1,'WPP 2024 середина года'!$B$1:$U$1,0)))))</f>
        <v>8860</v>
      </c>
      <c r="I74" s="7">
        <f>IF($A74&lt;=1951,INDEX('SALA 1974'!$B:$U,MATCH($A74,'SALA 1974'!$A:$A,0),MATCH(I$1,'SALA 1974'!$B$1:$U$1,0)),IF($A74&lt;=1994,1000*INDEX('SALA 2002'!$B:$U,MATCH($A74,'SALA 2002'!$A:$A,0),MATCH(I$1,'SALA 2002'!$B$1:$U$1,0)),IF($A74&lt;=2000,1000*INDEX('SALA 2002'!$B:$U,MATCH($A74,'SALA 2002'!$A:$A,0),MATCH(I$1,'SALA 2002'!$B$1:$U$1,0))*POWER(INDEX('WPP 2024 середина года'!$B:$U,MATCH($A74,'WPP 2024 середина года'!$A:$A,0),MATCH(I$1,'WPP 2024 середина года'!$B$1:$U$1,0))/(1000*INDEX('SALA 2002'!$B:$U,MATCH($A74,'SALA 2002'!$A:$A,0),MATCH(I$1,'SALA 2002'!$B$1:$U$1,0))),($A74-1994)/7),INDEX('WPP 2024 середина года'!$B:$U,MATCH($A74,'WPP 2024 середина года'!$A:$A,0),MATCH(I$1,'WPP 2024 середина года'!$B$1:$U$1,0)))))</f>
        <v>4300</v>
      </c>
      <c r="J74" s="7">
        <f>IF($A74&lt;=1951,INDEX('SALA 1974'!$B:$U,MATCH($A74,'SALA 1974'!$A:$A,0),MATCH(J$1,'SALA 1974'!$B$1:$U$1,0)),IF($A74&lt;=1994,1000*INDEX('SALA 2002'!$B:$U,MATCH($A74,'SALA 2002'!$A:$A,0),MATCH(J$1,'SALA 2002'!$B$1:$U$1,0)),IF($A74&lt;=2000,1000*INDEX('SALA 2002'!$B:$U,MATCH($A74,'SALA 2002'!$A:$A,0),MATCH(J$1,'SALA 2002'!$B$1:$U$1,0))*POWER(INDEX('WPP 2024 середина года'!$B:$U,MATCH($A74,'WPP 2024 середина года'!$A:$A,0),MATCH(J$1,'WPP 2024 середина года'!$B$1:$U$1,0))/(1000*INDEX('SALA 2002'!$B:$U,MATCH($A74,'SALA 2002'!$A:$A,0),MATCH(J$1,'SALA 2002'!$B$1:$U$1,0))),($A74-1994)/7),INDEX('WPP 2024 середина года'!$B:$U,MATCH($A74,'WPP 2024 середина года'!$A:$A,0),MATCH(J$1,'WPP 2024 середина года'!$B$1:$U$1,0)))))</f>
        <v>6380</v>
      </c>
      <c r="K74" s="7">
        <f>IF($A74&lt;=1951,INDEX('SALA 1974'!$B:$U,MATCH($A74,'SALA 1974'!$A:$A,0),MATCH(K$1,'SALA 1974'!$B$1:$U$1,0)),IF($A74&lt;=1994,1000*INDEX('SALA 2002'!$B:$U,MATCH($A74,'SALA 2002'!$A:$A,0),MATCH(K$1,'SALA 2002'!$B$1:$U$1,0)),IF($A74&lt;=2000,1000*INDEX('SALA 2002'!$B:$U,MATCH($A74,'SALA 2002'!$A:$A,0),MATCH(K$1,'SALA 2002'!$B$1:$U$1,0))*POWER(INDEX('WPP 2024 середина года'!$B:$U,MATCH($A74,'WPP 2024 середина года'!$A:$A,0),MATCH(K$1,'WPP 2024 середина года'!$B$1:$U$1,0))/(1000*INDEX('SALA 2002'!$B:$U,MATCH($A74,'SALA 2002'!$A:$A,0),MATCH(K$1,'SALA 2002'!$B$1:$U$1,0))),($A74-1994)/7),INDEX('WPP 2024 середина года'!$B:$U,MATCH($A74,'WPP 2024 середина года'!$A:$A,0),MATCH(K$1,'WPP 2024 середина года'!$B$1:$U$1,0)))))</f>
        <v>3670</v>
      </c>
      <c r="L74" s="7">
        <f>IF($A74&lt;=1951,INDEX('SALA 1974'!$B:$U,MATCH($A74,'SALA 1974'!$A:$A,0),MATCH(L$1,'SALA 1974'!$B$1:$U$1,0)),IF($A74&lt;=1994,1000*INDEX('SALA 2002'!$B:$U,MATCH($A74,'SALA 2002'!$A:$A,0),MATCH(L$1,'SALA 2002'!$B$1:$U$1,0)),IF($A74&lt;=2000,1000*INDEX('SALA 2002'!$B:$U,MATCH($A74,'SALA 2002'!$A:$A,0),MATCH(L$1,'SALA 2002'!$B$1:$U$1,0))*POWER(INDEX('WPP 2024 середина года'!$B:$U,MATCH($A74,'WPP 2024 середина года'!$A:$A,0),MATCH(L$1,'WPP 2024 середина года'!$B$1:$U$1,0))/(1000*INDEX('SALA 2002'!$B:$U,MATCH($A74,'SALA 2002'!$A:$A,0),MATCH(L$1,'SALA 2002'!$B$1:$U$1,0))),($A74-1994)/7),INDEX('WPP 2024 середина года'!$B:$U,MATCH($A74,'WPP 2024 середина года'!$A:$A,0),MATCH(L$1,'WPP 2024 середина года'!$B$1:$U$1,0)))))</f>
        <v>5580</v>
      </c>
      <c r="M74" s="7">
        <f>IF($A74&lt;=1951,INDEX('SALA 1974'!$B:$U,MATCH($A74,'SALA 1974'!$A:$A,0),MATCH(M$1,'SALA 1974'!$B$1:$U$1,0)),IF($A74&lt;=1994,1000*INDEX('SALA 2002'!$B:$U,MATCH($A74,'SALA 2002'!$A:$A,0),MATCH(M$1,'SALA 2002'!$B$1:$U$1,0)),IF($A74&lt;=2000,1000*INDEX('SALA 2002'!$B:$U,MATCH($A74,'SALA 2002'!$A:$A,0),MATCH(M$1,'SALA 2002'!$B$1:$U$1,0))*POWER(INDEX('WPP 2024 середина года'!$B:$U,MATCH($A74,'WPP 2024 середина года'!$A:$A,0),MATCH(M$1,'WPP 2024 середина года'!$B$1:$U$1,0))/(1000*INDEX('SALA 2002'!$B:$U,MATCH($A74,'SALA 2002'!$A:$A,0),MATCH(M$1,'SALA 2002'!$B$1:$U$1,0))),($A74-1994)/7),INDEX('WPP 2024 середина года'!$B:$U,MATCH($A74,'WPP 2024 середина года'!$A:$A,0),MATCH(M$1,'WPP 2024 середина года'!$B$1:$U$1,0)))))</f>
        <v>4370</v>
      </c>
      <c r="N74" s="7">
        <f>IF($A74&lt;=1951,INDEX('SALA 1974'!$B:$U,MATCH($A74,'SALA 1974'!$A:$A,0),MATCH(N$1,'SALA 1974'!$B$1:$U$1,0)),IF($A74&lt;=1994,1000*INDEX('SALA 2002'!$B:$U,MATCH($A74,'SALA 2002'!$A:$A,0),MATCH(N$1,'SALA 2002'!$B$1:$U$1,0)),IF($A74&lt;=2000,1000*INDEX('SALA 2002'!$B:$U,MATCH($A74,'SALA 2002'!$A:$A,0),MATCH(N$1,'SALA 2002'!$B$1:$U$1,0))*POWER(INDEX('WPP 2024 середина года'!$B:$U,MATCH($A74,'WPP 2024 середина года'!$A:$A,0),MATCH(N$1,'WPP 2024 середина года'!$B$1:$U$1,0))/(1000*INDEX('SALA 2002'!$B:$U,MATCH($A74,'SALA 2002'!$A:$A,0),MATCH(N$1,'SALA 2002'!$B$1:$U$1,0))),($A74-1994)/7),INDEX('WPP 2024 середина года'!$B:$U,MATCH($A74,'WPP 2024 середина года'!$A:$A,0),MATCH(N$1,'WPP 2024 середина года'!$B$1:$U$1,0)))))</f>
        <v>2810</v>
      </c>
      <c r="O74" s="7">
        <f>IF($A74&lt;=1951,INDEX('SALA 1974'!$B:$U,MATCH($A74,'SALA 1974'!$A:$A,0),MATCH(O$1,'SALA 1974'!$B$1:$U$1,0)),IF($A74&lt;=1994,1000*INDEX('SALA 2002'!$B:$U,MATCH($A74,'SALA 2002'!$A:$A,0),MATCH(O$1,'SALA 2002'!$B$1:$U$1,0)),IF($A74&lt;=2000,1000*INDEX('SALA 2002'!$B:$U,MATCH($A74,'SALA 2002'!$A:$A,0),MATCH(O$1,'SALA 2002'!$B$1:$U$1,0))*POWER(INDEX('WPP 2024 середина года'!$B:$U,MATCH($A74,'WPP 2024 середина года'!$A:$A,0),MATCH(O$1,'WPP 2024 середина года'!$B$1:$U$1,0))/(1000*INDEX('SALA 2002'!$B:$U,MATCH($A74,'SALA 2002'!$A:$A,0),MATCH(O$1,'SALA 2002'!$B$1:$U$1,0))),($A74-1994)/7),INDEX('WPP 2024 середина года'!$B:$U,MATCH($A74,'WPP 2024 середина года'!$A:$A,0),MATCH(O$1,'WPP 2024 середина года'!$B$1:$U$1,0)))))</f>
        <v>54270</v>
      </c>
      <c r="P74" s="7">
        <f>IF($A74&lt;=1951,INDEX('SALA 1974'!$B:$U,MATCH($A74,'SALA 1974'!$A:$A,0),MATCH(P$1,'SALA 1974'!$B$1:$U$1,0)),IF($A74&lt;=1994,1000*INDEX('SALA 2002'!$B:$U,MATCH($A74,'SALA 2002'!$A:$A,0),MATCH(P$1,'SALA 2002'!$B$1:$U$1,0)),IF($A74&lt;=2000,1000*INDEX('SALA 2002'!$B:$U,MATCH($A74,'SALA 2002'!$A:$A,0),MATCH(P$1,'SALA 2002'!$B$1:$U$1,0))*POWER(INDEX('WPP 2024 середина года'!$B:$U,MATCH($A74,'WPP 2024 середина года'!$A:$A,0),MATCH(P$1,'WPP 2024 середина года'!$B$1:$U$1,0))/(1000*INDEX('SALA 2002'!$B:$U,MATCH($A74,'SALA 2002'!$A:$A,0),MATCH(P$1,'SALA 2002'!$B$1:$U$1,0))),($A74-1994)/7),INDEX('WPP 2024 середина года'!$B:$U,MATCH($A74,'WPP 2024 середина года'!$A:$A,0),MATCH(P$1,'WPP 2024 середина года'!$B$1:$U$1,0)))))</f>
        <v>1950</v>
      </c>
      <c r="Q74" s="7">
        <f>IF($A74&lt;=1951,INDEX('SALA 1974'!$B:$U,MATCH($A74,'SALA 1974'!$A:$A,0),MATCH(Q$1,'SALA 1974'!$B$1:$U$1,0)),IF($A74&lt;=1994,1000*INDEX('SALA 2002'!$B:$U,MATCH($A74,'SALA 2002'!$A:$A,0),MATCH(Q$1,'SALA 2002'!$B$1:$U$1,0)),IF($A74&lt;=2000,1000*INDEX('SALA 2002'!$B:$U,MATCH($A74,'SALA 2002'!$A:$A,0),MATCH(Q$1,'SALA 2002'!$B$1:$U$1,0))*POWER(INDEX('WPP 2024 середина года'!$B:$U,MATCH($A74,'WPP 2024 середина года'!$A:$A,0),MATCH(Q$1,'WPP 2024 середина года'!$B$1:$U$1,0))/(1000*INDEX('SALA 2002'!$B:$U,MATCH($A74,'SALA 2002'!$A:$A,0),MATCH(Q$1,'SALA 2002'!$B$1:$U$1,0))),($A74-1994)/7),INDEX('WPP 2024 середина года'!$B:$U,MATCH($A74,'WPP 2024 середина года'!$A:$A,0),MATCH(Q$1,'WPP 2024 середина года'!$B$1:$U$1,0)))))</f>
        <v>1520</v>
      </c>
      <c r="R74" s="7">
        <f>IF($A74&lt;=1951,INDEX('SALA 1974'!$B:$U,MATCH($A74,'SALA 1974'!$A:$A,0),MATCH(R$1,'SALA 1974'!$B$1:$U$1,0)),IF($A74&lt;=1994,1000*INDEX('SALA 2002'!$B:$U,MATCH($A74,'SALA 2002'!$A:$A,0),MATCH(R$1,'SALA 2002'!$B$1:$U$1,0)),IF($A74&lt;=2000,1000*INDEX('SALA 2002'!$B:$U,MATCH($A74,'SALA 2002'!$A:$A,0),MATCH(R$1,'SALA 2002'!$B$1:$U$1,0))*POWER(INDEX('WPP 2024 середина года'!$B:$U,MATCH($A74,'WPP 2024 середина года'!$A:$A,0),MATCH(R$1,'WPP 2024 середина года'!$B$1:$U$1,0))/(1000*INDEX('SALA 2002'!$B:$U,MATCH($A74,'SALA 2002'!$A:$A,0),MATCH(R$1,'SALA 2002'!$B$1:$U$1,0))),($A74-1994)/7),INDEX('WPP 2024 середина года'!$B:$U,MATCH($A74,'WPP 2024 середина года'!$A:$A,0),MATCH(R$1,'WPP 2024 середина года'!$B$1:$U$1,0)))))</f>
        <v>2430</v>
      </c>
      <c r="S74" s="7">
        <f>IF($A74&lt;=1951,INDEX('SALA 1974'!$B:$U,MATCH($A74,'SALA 1974'!$A:$A,0),MATCH(S$1,'SALA 1974'!$B$1:$U$1,0)),IF($A74&lt;=1994,1000*INDEX('SALA 2002'!$B:$U,MATCH($A74,'SALA 2002'!$A:$A,0),MATCH(S$1,'SALA 2002'!$B$1:$U$1,0)),IF($A74&lt;=2000,1000*INDEX('SALA 2002'!$B:$U,MATCH($A74,'SALA 2002'!$A:$A,0),MATCH(S$1,'SALA 2002'!$B$1:$U$1,0))*POWER(INDEX('WPP 2024 середина года'!$B:$U,MATCH($A74,'WPP 2024 середина года'!$A:$A,0),MATCH(S$1,'WPP 2024 середина года'!$B$1:$U$1,0))/(1000*INDEX('SALA 2002'!$B:$U,MATCH($A74,'SALA 2002'!$A:$A,0),MATCH(S$1,'SALA 2002'!$B$1:$U$1,0))),($A74-1994)/7),INDEX('WPP 2024 середина года'!$B:$U,MATCH($A74,'WPP 2024 середина года'!$A:$A,0),MATCH(S$1,'WPP 2024 середина года'!$B$1:$U$1,0)))))</f>
        <v>13950</v>
      </c>
      <c r="T74" s="7">
        <f>IF($A74&lt;=1951,INDEX('SALA 1974'!$B:$U,MATCH($A74,'SALA 1974'!$A:$A,0),MATCH(T$1,'SALA 1974'!$B$1:$U$1,0)),IF($A74&lt;=1994,1000*INDEX('SALA 2002'!$B:$U,MATCH($A74,'SALA 2002'!$A:$A,0),MATCH(T$1,'SALA 2002'!$B$1:$U$1,0)),IF($A74&lt;=2000,1000*INDEX('SALA 2002'!$B:$U,MATCH($A74,'SALA 2002'!$A:$A,0),MATCH(T$1,'SALA 2002'!$B$1:$U$1,0))*POWER(INDEX('WPP 2024 середина года'!$B:$U,MATCH($A74,'WPP 2024 середина года'!$A:$A,0),MATCH(T$1,'WPP 2024 середина года'!$B$1:$U$1,0))/(1000*INDEX('SALA 2002'!$B:$U,MATCH($A74,'SALA 2002'!$A:$A,0),MATCH(T$1,'SALA 2002'!$B$1:$U$1,0))),($A74-1994)/7),INDEX('WPP 2024 середина года'!$B:$U,MATCH($A74,'WPP 2024 середина года'!$A:$A,0),MATCH(T$1,'WPP 2024 середина года'!$B$1:$U$1,0)))))</f>
        <v>2750</v>
      </c>
      <c r="U74" s="7">
        <f>IF($A74&lt;=1951,INDEX('SALA 1974'!$B:$U,MATCH($A74,'SALA 1974'!$A:$A,0),MATCH(U$1,'SALA 1974'!$B$1:$U$1,0)),IF($A74&lt;=1994,1000*INDEX('SALA 2002'!$B:$U,MATCH($A74,'SALA 2002'!$A:$A,0),MATCH(U$1,'SALA 2002'!$B$1:$U$1,0)),IF($A74&lt;=2000,1000*INDEX('SALA 2002'!$B:$U,MATCH($A74,'SALA 2002'!$A:$A,0),MATCH(U$1,'SALA 2002'!$B$1:$U$1,0))*POWER(INDEX('WPP 2024 середина года'!$B:$U,MATCH($A74,'WPP 2024 середина года'!$A:$A,0),MATCH(U$1,'WPP 2024 середина года'!$B$1:$U$1,0))/(1000*INDEX('SALA 2002'!$B:$U,MATCH($A74,'SALA 2002'!$A:$A,0),MATCH(U$1,'SALA 2002'!$B$1:$U$1,0))),($A74-1994)/7),INDEX('WPP 2024 середина года'!$B:$U,MATCH($A74,'WPP 2024 середина года'!$A:$A,0),MATCH(U$1,'WPP 2024 середина года'!$B$1:$U$1,0)))))</f>
        <v>10940</v>
      </c>
    </row>
    <row r="75" spans="1:21" x14ac:dyDescent="0.25">
      <c r="A75" s="5">
        <f t="shared" si="1"/>
        <v>1973</v>
      </c>
      <c r="B75" s="7">
        <f>IF($A75&lt;=1951,INDEX('SALA 1974'!$B:$U,MATCH($A75,'SALA 1974'!$A:$A,0),MATCH(B$1,'SALA 1974'!$B$1:$U$1,0)),IF($A75&lt;=1994,1000*INDEX('SALA 2002'!$B:$U,MATCH($A75,'SALA 2002'!$A:$A,0),MATCH(B$1,'SALA 2002'!$B$1:$U$1,0)),IF($A75&lt;=2000,1000*INDEX('SALA 2002'!$B:$U,MATCH($A75,'SALA 2002'!$A:$A,0),MATCH(B$1,'SALA 2002'!$B$1:$U$1,0))*POWER(INDEX('WPP 2024 середина года'!$B:$U,MATCH($A75,'WPP 2024 середина года'!$A:$A,0),MATCH(B$1,'WPP 2024 середина года'!$B$1:$U$1,0))/(1000*INDEX('SALA 2002'!$B:$U,MATCH($A75,'SALA 2002'!$A:$A,0),MATCH(B$1,'SALA 2002'!$B$1:$U$1,0))),($A75-1994)/7),INDEX('WPP 2024 середина года'!$B:$U,MATCH($A75,'WPP 2024 середина года'!$A:$A,0),MATCH(B$1,'WPP 2024 середина года'!$B$1:$U$1,0)))))</f>
        <v>24820</v>
      </c>
      <c r="C75" s="7">
        <f>IF($A75&lt;=1951,INDEX('SALA 1974'!$B:$U,MATCH($A75,'SALA 1974'!$A:$A,0),MATCH(C$1,'SALA 1974'!$B$1:$U$1,0)),IF($A75&lt;=1994,1000*INDEX('SALA 2002'!$B:$U,MATCH($A75,'SALA 2002'!$A:$A,0),MATCH(C$1,'SALA 2002'!$B$1:$U$1,0)),IF($A75&lt;=2000,1000*INDEX('SALA 2002'!$B:$U,MATCH($A75,'SALA 2002'!$A:$A,0),MATCH(C$1,'SALA 2002'!$B$1:$U$1,0))*POWER(INDEX('WPP 2024 середина года'!$B:$U,MATCH($A75,'WPP 2024 середина года'!$A:$A,0),MATCH(C$1,'WPP 2024 середина года'!$B$1:$U$1,0))/(1000*INDEX('SALA 2002'!$B:$U,MATCH($A75,'SALA 2002'!$A:$A,0),MATCH(C$1,'SALA 2002'!$B$1:$U$1,0))),($A75-1994)/7),INDEX('WPP 2024 середина года'!$B:$U,MATCH($A75,'WPP 2024 середина года'!$A:$A,0),MATCH(C$1,'WPP 2024 середина года'!$B$1:$U$1,0)))))</f>
        <v>4670</v>
      </c>
      <c r="D75" s="7">
        <f>IF($A75&lt;=1951,INDEX('SALA 1974'!$B:$U,MATCH($A75,'SALA 1974'!$A:$A,0),MATCH(D$1,'SALA 1974'!$B$1:$U$1,0)),IF($A75&lt;=1994,1000*INDEX('SALA 2002'!$B:$U,MATCH($A75,'SALA 2002'!$A:$A,0),MATCH(D$1,'SALA 2002'!$B$1:$U$1,0)),IF($A75&lt;=2000,1000*INDEX('SALA 2002'!$B:$U,MATCH($A75,'SALA 2002'!$A:$A,0),MATCH(D$1,'SALA 2002'!$B$1:$U$1,0))*POWER(INDEX('WPP 2024 середина года'!$B:$U,MATCH($A75,'WPP 2024 середина года'!$A:$A,0),MATCH(D$1,'WPP 2024 середина года'!$B$1:$U$1,0))/(1000*INDEX('SALA 2002'!$B:$U,MATCH($A75,'SALA 2002'!$A:$A,0),MATCH(D$1,'SALA 2002'!$B$1:$U$1,0))),($A75-1994)/7),INDEX('WPP 2024 середина года'!$B:$U,MATCH($A75,'WPP 2024 середина года'!$A:$A,0),MATCH(D$1,'WPP 2024 середина года'!$B$1:$U$1,0)))))</f>
        <v>99920</v>
      </c>
      <c r="E75" s="7">
        <f>IF($A75&lt;=1951,INDEX('SALA 1974'!$B:$U,MATCH($A75,'SALA 1974'!$A:$A,0),MATCH(E$1,'SALA 1974'!$B$1:$U$1,0)),IF($A75&lt;=1994,1000*INDEX('SALA 2002'!$B:$U,MATCH($A75,'SALA 2002'!$A:$A,0),MATCH(E$1,'SALA 2002'!$B$1:$U$1,0)),IF($A75&lt;=2000,1000*INDEX('SALA 2002'!$B:$U,MATCH($A75,'SALA 2002'!$A:$A,0),MATCH(E$1,'SALA 2002'!$B$1:$U$1,0))*POWER(INDEX('WPP 2024 середина года'!$B:$U,MATCH($A75,'WPP 2024 середина года'!$A:$A,0),MATCH(E$1,'WPP 2024 середина года'!$B$1:$U$1,0))/(1000*INDEX('SALA 2002'!$B:$U,MATCH($A75,'SALA 2002'!$A:$A,0),MATCH(E$1,'SALA 2002'!$B$1:$U$1,0))),($A75-1994)/7),INDEX('WPP 2024 середина года'!$B:$U,MATCH($A75,'WPP 2024 середина года'!$A:$A,0),MATCH(E$1,'WPP 2024 середина года'!$B$1:$U$1,0)))))</f>
        <v>9860</v>
      </c>
      <c r="F75" s="7">
        <f>IF($A75&lt;=1947,INDEX('SALA 1974'!$B:$U,MATCH($A75,'SALA 1974'!$A:$A,0),MATCH(F$1,'SALA 1974'!$B$1:$U$1,0)),IF($A75&lt;=1994,1000*INDEX('SALA 2002'!$B:$U,MATCH($A75,'SALA 2002'!$A:$A,0),MATCH(F$1,'SALA 2002'!$B$1:$U$1,0)),IF($A75&lt;=2000,1000*INDEX('SALA 2002'!$B:$U,MATCH($A75,'SALA 2002'!$A:$A,0),MATCH(F$1,'SALA 2002'!$B$1:$U$1,0))*POWER(INDEX('WPP 2024 середина года'!$B:$U,MATCH($A75,'WPP 2024 середина года'!$A:$A,0),MATCH(F$1,'WPP 2024 середина года'!$B$1:$U$1,0))/(1000*INDEX('SALA 2002'!$B:$U,MATCH($A75,'SALA 2002'!$A:$A,0),MATCH(F$1,'SALA 2002'!$B$1:$U$1,0))),($A75-1994)/7),INDEX('WPP 2024 середина года'!$B:$U,MATCH($A75,'WPP 2024 середина года'!$A:$A,0),MATCH(F$1,'WPP 2024 середина года'!$B$1:$U$1,0)))))</f>
        <v>22340</v>
      </c>
      <c r="G75" s="7">
        <f>IF($A75&lt;=1951,INDEX('SALA 1974'!$B:$U,MATCH($A75,'SALA 1974'!$A:$A,0),MATCH(G$1,'SALA 1974'!$B$1:$U$1,0)),IF($A75&lt;=1994,1000*INDEX('SALA 2002'!$B:$U,MATCH($A75,'SALA 2002'!$A:$A,0),MATCH(G$1,'SALA 2002'!$B$1:$U$1,0)),IF($A75&lt;=2000,1000*INDEX('SALA 2002'!$B:$U,MATCH($A75,'SALA 2002'!$A:$A,0),MATCH(G$1,'SALA 2002'!$B$1:$U$1,0))*POWER(INDEX('WPP 2024 середина года'!$B:$U,MATCH($A75,'WPP 2024 середина года'!$A:$A,0),MATCH(G$1,'WPP 2024 середина года'!$B$1:$U$1,0))/(1000*INDEX('SALA 2002'!$B:$U,MATCH($A75,'SALA 2002'!$A:$A,0),MATCH(G$1,'SALA 2002'!$B$1:$U$1,0))),($A75-1994)/7),INDEX('WPP 2024 середина года'!$B:$U,MATCH($A75,'WPP 2024 середина года'!$A:$A,0),MATCH(G$1,'WPP 2024 середина года'!$B$1:$U$1,0)))))</f>
        <v>1870</v>
      </c>
      <c r="H75" s="7">
        <f>IF($A75&lt;=1951,INDEX('SALA 1974'!$B:$U,MATCH($A75,'SALA 1974'!$A:$A,0),MATCH(H$1,'SALA 1974'!$B$1:$U$1,0)),IF($A75&lt;=1994,1000*INDEX('SALA 2002'!$B:$U,MATCH($A75,'SALA 2002'!$A:$A,0),MATCH(H$1,'SALA 2002'!$B$1:$U$1,0)),IF($A75&lt;=2000,1000*INDEX('SALA 2002'!$B:$U,MATCH($A75,'SALA 2002'!$A:$A,0),MATCH(H$1,'SALA 2002'!$B$1:$U$1,0))*POWER(INDEX('WPP 2024 середина года'!$B:$U,MATCH($A75,'WPP 2024 середина года'!$A:$A,0),MATCH(H$1,'WPP 2024 середина года'!$B$1:$U$1,0))/(1000*INDEX('SALA 2002'!$B:$U,MATCH($A75,'SALA 2002'!$A:$A,0),MATCH(H$1,'SALA 2002'!$B$1:$U$1,0))),($A75-1994)/7),INDEX('WPP 2024 середина года'!$B:$U,MATCH($A75,'WPP 2024 середина года'!$A:$A,0),MATCH(H$1,'WPP 2024 середина года'!$B$1:$U$1,0)))))</f>
        <v>9040</v>
      </c>
      <c r="I75" s="7">
        <f>IF($A75&lt;=1951,INDEX('SALA 1974'!$B:$U,MATCH($A75,'SALA 1974'!$A:$A,0),MATCH(I$1,'SALA 1974'!$B$1:$U$1,0)),IF($A75&lt;=1994,1000*INDEX('SALA 2002'!$B:$U,MATCH($A75,'SALA 2002'!$A:$A,0),MATCH(I$1,'SALA 2002'!$B$1:$U$1,0)),IF($A75&lt;=2000,1000*INDEX('SALA 2002'!$B:$U,MATCH($A75,'SALA 2002'!$A:$A,0),MATCH(I$1,'SALA 2002'!$B$1:$U$1,0))*POWER(INDEX('WPP 2024 середина года'!$B:$U,MATCH($A75,'WPP 2024 середина года'!$A:$A,0),MATCH(I$1,'WPP 2024 середина года'!$B$1:$U$1,0))/(1000*INDEX('SALA 2002'!$B:$U,MATCH($A75,'SALA 2002'!$A:$A,0),MATCH(I$1,'SALA 2002'!$B$1:$U$1,0))),($A75-1994)/7),INDEX('WPP 2024 середина года'!$B:$U,MATCH($A75,'WPP 2024 середина года'!$A:$A,0),MATCH(I$1,'WPP 2024 середина года'!$B$1:$U$1,0)))))</f>
        <v>4430</v>
      </c>
      <c r="J75" s="7">
        <f>IF($A75&lt;=1951,INDEX('SALA 1974'!$B:$U,MATCH($A75,'SALA 1974'!$A:$A,0),MATCH(J$1,'SALA 1974'!$B$1:$U$1,0)),IF($A75&lt;=1994,1000*INDEX('SALA 2002'!$B:$U,MATCH($A75,'SALA 2002'!$A:$A,0),MATCH(J$1,'SALA 2002'!$B$1:$U$1,0)),IF($A75&lt;=2000,1000*INDEX('SALA 2002'!$B:$U,MATCH($A75,'SALA 2002'!$A:$A,0),MATCH(J$1,'SALA 2002'!$B$1:$U$1,0))*POWER(INDEX('WPP 2024 середина года'!$B:$U,MATCH($A75,'WPP 2024 середина года'!$A:$A,0),MATCH(J$1,'WPP 2024 середина года'!$B$1:$U$1,0))/(1000*INDEX('SALA 2002'!$B:$U,MATCH($A75,'SALA 2002'!$A:$A,0),MATCH(J$1,'SALA 2002'!$B$1:$U$1,0))),($A75-1994)/7),INDEX('WPP 2024 середина года'!$B:$U,MATCH($A75,'WPP 2024 середина года'!$A:$A,0),MATCH(J$1,'WPP 2024 середина года'!$B$1:$U$1,0)))))</f>
        <v>6600</v>
      </c>
      <c r="K75" s="7">
        <f>IF($A75&lt;=1951,INDEX('SALA 1974'!$B:$U,MATCH($A75,'SALA 1974'!$A:$A,0),MATCH(K$1,'SALA 1974'!$B$1:$U$1,0)),IF($A75&lt;=1994,1000*INDEX('SALA 2002'!$B:$U,MATCH($A75,'SALA 2002'!$A:$A,0),MATCH(K$1,'SALA 2002'!$B$1:$U$1,0)),IF($A75&lt;=2000,1000*INDEX('SALA 2002'!$B:$U,MATCH($A75,'SALA 2002'!$A:$A,0),MATCH(K$1,'SALA 2002'!$B$1:$U$1,0))*POWER(INDEX('WPP 2024 середина года'!$B:$U,MATCH($A75,'WPP 2024 середина года'!$A:$A,0),MATCH(K$1,'WPP 2024 середина года'!$B$1:$U$1,0))/(1000*INDEX('SALA 2002'!$B:$U,MATCH($A75,'SALA 2002'!$A:$A,0),MATCH(K$1,'SALA 2002'!$B$1:$U$1,0))),($A75-1994)/7),INDEX('WPP 2024 середина года'!$B:$U,MATCH($A75,'WPP 2024 середина года'!$A:$A,0),MATCH(K$1,'WPP 2024 середина года'!$B$1:$U$1,0)))))</f>
        <v>3770</v>
      </c>
      <c r="L75" s="7">
        <f>IF($A75&lt;=1951,INDEX('SALA 1974'!$B:$U,MATCH($A75,'SALA 1974'!$A:$A,0),MATCH(L$1,'SALA 1974'!$B$1:$U$1,0)),IF($A75&lt;=1994,1000*INDEX('SALA 2002'!$B:$U,MATCH($A75,'SALA 2002'!$A:$A,0),MATCH(L$1,'SALA 2002'!$B$1:$U$1,0)),IF($A75&lt;=2000,1000*INDEX('SALA 2002'!$B:$U,MATCH($A75,'SALA 2002'!$A:$A,0),MATCH(L$1,'SALA 2002'!$B$1:$U$1,0))*POWER(INDEX('WPP 2024 середина года'!$B:$U,MATCH($A75,'WPP 2024 середина года'!$A:$A,0),MATCH(L$1,'WPP 2024 середина года'!$B$1:$U$1,0))/(1000*INDEX('SALA 2002'!$B:$U,MATCH($A75,'SALA 2002'!$A:$A,0),MATCH(L$1,'SALA 2002'!$B$1:$U$1,0))),($A75-1994)/7),INDEX('WPP 2024 середина года'!$B:$U,MATCH($A75,'WPP 2024 середина года'!$A:$A,0),MATCH(L$1,'WPP 2024 середина года'!$B$1:$U$1,0)))))</f>
        <v>5740</v>
      </c>
      <c r="M75" s="7">
        <f>IF($A75&lt;=1951,INDEX('SALA 1974'!$B:$U,MATCH($A75,'SALA 1974'!$A:$A,0),MATCH(M$1,'SALA 1974'!$B$1:$U$1,0)),IF($A75&lt;=1994,1000*INDEX('SALA 2002'!$B:$U,MATCH($A75,'SALA 2002'!$A:$A,0),MATCH(M$1,'SALA 2002'!$B$1:$U$1,0)),IF($A75&lt;=2000,1000*INDEX('SALA 2002'!$B:$U,MATCH($A75,'SALA 2002'!$A:$A,0),MATCH(M$1,'SALA 2002'!$B$1:$U$1,0))*POWER(INDEX('WPP 2024 середина года'!$B:$U,MATCH($A75,'WPP 2024 середина года'!$A:$A,0),MATCH(M$1,'WPP 2024 середина года'!$B$1:$U$1,0))/(1000*INDEX('SALA 2002'!$B:$U,MATCH($A75,'SALA 2002'!$A:$A,0),MATCH(M$1,'SALA 2002'!$B$1:$U$1,0))),($A75-1994)/7),INDEX('WPP 2024 середина года'!$B:$U,MATCH($A75,'WPP 2024 середина года'!$A:$A,0),MATCH(M$1,'WPP 2024 середина года'!$B$1:$U$1,0)))))</f>
        <v>4440</v>
      </c>
      <c r="N75" s="7">
        <f>IF($A75&lt;=1951,INDEX('SALA 1974'!$B:$U,MATCH($A75,'SALA 1974'!$A:$A,0),MATCH(N$1,'SALA 1974'!$B$1:$U$1,0)),IF($A75&lt;=1994,1000*INDEX('SALA 2002'!$B:$U,MATCH($A75,'SALA 2002'!$A:$A,0),MATCH(N$1,'SALA 2002'!$B$1:$U$1,0)),IF($A75&lt;=2000,1000*INDEX('SALA 2002'!$B:$U,MATCH($A75,'SALA 2002'!$A:$A,0),MATCH(N$1,'SALA 2002'!$B$1:$U$1,0))*POWER(INDEX('WPP 2024 середина года'!$B:$U,MATCH($A75,'WPP 2024 середина года'!$A:$A,0),MATCH(N$1,'WPP 2024 середина года'!$B$1:$U$1,0))/(1000*INDEX('SALA 2002'!$B:$U,MATCH($A75,'SALA 2002'!$A:$A,0),MATCH(N$1,'SALA 2002'!$B$1:$U$1,0))),($A75-1994)/7),INDEX('WPP 2024 середина года'!$B:$U,MATCH($A75,'WPP 2024 середина года'!$A:$A,0),MATCH(N$1,'WPP 2024 середина года'!$B$1:$U$1,0)))))</f>
        <v>2900</v>
      </c>
      <c r="O75" s="7">
        <f>IF($A75&lt;=1951,INDEX('SALA 1974'!$B:$U,MATCH($A75,'SALA 1974'!$A:$A,0),MATCH(O$1,'SALA 1974'!$B$1:$U$1,0)),IF($A75&lt;=1994,1000*INDEX('SALA 2002'!$B:$U,MATCH($A75,'SALA 2002'!$A:$A,0),MATCH(O$1,'SALA 2002'!$B$1:$U$1,0)),IF($A75&lt;=2000,1000*INDEX('SALA 2002'!$B:$U,MATCH($A75,'SALA 2002'!$A:$A,0),MATCH(O$1,'SALA 2002'!$B$1:$U$1,0))*POWER(INDEX('WPP 2024 середина года'!$B:$U,MATCH($A75,'WPP 2024 середина года'!$A:$A,0),MATCH(O$1,'WPP 2024 середина года'!$B$1:$U$1,0))/(1000*INDEX('SALA 2002'!$B:$U,MATCH($A75,'SALA 2002'!$A:$A,0),MATCH(O$1,'SALA 2002'!$B$1:$U$1,0))),($A75-1994)/7),INDEX('WPP 2024 середина года'!$B:$U,MATCH($A75,'WPP 2024 середина года'!$A:$A,0),MATCH(O$1,'WPP 2024 середина года'!$B$1:$U$1,0)))))</f>
        <v>56160</v>
      </c>
      <c r="P75" s="7">
        <f>IF($A75&lt;=1951,INDEX('SALA 1974'!$B:$U,MATCH($A75,'SALA 1974'!$A:$A,0),MATCH(P$1,'SALA 1974'!$B$1:$U$1,0)),IF($A75&lt;=1994,1000*INDEX('SALA 2002'!$B:$U,MATCH($A75,'SALA 2002'!$A:$A,0),MATCH(P$1,'SALA 2002'!$B$1:$U$1,0)),IF($A75&lt;=2000,1000*INDEX('SALA 2002'!$B:$U,MATCH($A75,'SALA 2002'!$A:$A,0),MATCH(P$1,'SALA 2002'!$B$1:$U$1,0))*POWER(INDEX('WPP 2024 середина года'!$B:$U,MATCH($A75,'WPP 2024 середина года'!$A:$A,0),MATCH(P$1,'WPP 2024 середина года'!$B$1:$U$1,0))/(1000*INDEX('SALA 2002'!$B:$U,MATCH($A75,'SALA 2002'!$A:$A,0),MATCH(P$1,'SALA 2002'!$B$1:$U$1,0))),($A75-1994)/7),INDEX('WPP 2024 середина года'!$B:$U,MATCH($A75,'WPP 2024 середина года'!$A:$A,0),MATCH(P$1,'WPP 2024 середина года'!$B$1:$U$1,0)))))</f>
        <v>2009.9999999999998</v>
      </c>
      <c r="Q75" s="7">
        <f>IF($A75&lt;=1951,INDEX('SALA 1974'!$B:$U,MATCH($A75,'SALA 1974'!$A:$A,0),MATCH(Q$1,'SALA 1974'!$B$1:$U$1,0)),IF($A75&lt;=1994,1000*INDEX('SALA 2002'!$B:$U,MATCH($A75,'SALA 2002'!$A:$A,0),MATCH(Q$1,'SALA 2002'!$B$1:$U$1,0)),IF($A75&lt;=2000,1000*INDEX('SALA 2002'!$B:$U,MATCH($A75,'SALA 2002'!$A:$A,0),MATCH(Q$1,'SALA 2002'!$B$1:$U$1,0))*POWER(INDEX('WPP 2024 середина года'!$B:$U,MATCH($A75,'WPP 2024 середина года'!$A:$A,0),MATCH(Q$1,'WPP 2024 середина года'!$B$1:$U$1,0))/(1000*INDEX('SALA 2002'!$B:$U,MATCH($A75,'SALA 2002'!$A:$A,0),MATCH(Q$1,'SALA 2002'!$B$1:$U$1,0))),($A75-1994)/7),INDEX('WPP 2024 середина года'!$B:$U,MATCH($A75,'WPP 2024 середина года'!$A:$A,0),MATCH(Q$1,'WPP 2024 середина года'!$B$1:$U$1,0)))))</f>
        <v>1570</v>
      </c>
      <c r="R75" s="7">
        <f>IF($A75&lt;=1951,INDEX('SALA 1974'!$B:$U,MATCH($A75,'SALA 1974'!$A:$A,0),MATCH(R$1,'SALA 1974'!$B$1:$U$1,0)),IF($A75&lt;=1994,1000*INDEX('SALA 2002'!$B:$U,MATCH($A75,'SALA 2002'!$A:$A,0),MATCH(R$1,'SALA 2002'!$B$1:$U$1,0)),IF($A75&lt;=2000,1000*INDEX('SALA 2002'!$B:$U,MATCH($A75,'SALA 2002'!$A:$A,0),MATCH(R$1,'SALA 2002'!$B$1:$U$1,0))*POWER(INDEX('WPP 2024 середина года'!$B:$U,MATCH($A75,'WPP 2024 середина года'!$A:$A,0),MATCH(R$1,'WPP 2024 середина года'!$B$1:$U$1,0))/(1000*INDEX('SALA 2002'!$B:$U,MATCH($A75,'SALA 2002'!$A:$A,0),MATCH(R$1,'SALA 2002'!$B$1:$U$1,0))),($A75-1994)/7),INDEX('WPP 2024 середина года'!$B:$U,MATCH($A75,'WPP 2024 середина года'!$A:$A,0),MATCH(R$1,'WPP 2024 середина года'!$B$1:$U$1,0)))))</f>
        <v>2500</v>
      </c>
      <c r="S75" s="7">
        <f>IF($A75&lt;=1951,INDEX('SALA 1974'!$B:$U,MATCH($A75,'SALA 1974'!$A:$A,0),MATCH(S$1,'SALA 1974'!$B$1:$U$1,0)),IF($A75&lt;=1994,1000*INDEX('SALA 2002'!$B:$U,MATCH($A75,'SALA 2002'!$A:$A,0),MATCH(S$1,'SALA 2002'!$B$1:$U$1,0)),IF($A75&lt;=2000,1000*INDEX('SALA 2002'!$B:$U,MATCH($A75,'SALA 2002'!$A:$A,0),MATCH(S$1,'SALA 2002'!$B$1:$U$1,0))*POWER(INDEX('WPP 2024 середина года'!$B:$U,MATCH($A75,'WPP 2024 середина года'!$A:$A,0),MATCH(S$1,'WPP 2024 середина года'!$B$1:$U$1,0))/(1000*INDEX('SALA 2002'!$B:$U,MATCH($A75,'SALA 2002'!$A:$A,0),MATCH(S$1,'SALA 2002'!$B$1:$U$1,0))),($A75-1994)/7),INDEX('WPP 2024 середина года'!$B:$U,MATCH($A75,'WPP 2024 середина года'!$A:$A,0),MATCH(S$1,'WPP 2024 середина года'!$B$1:$U$1,0)))))</f>
        <v>14350</v>
      </c>
      <c r="T75" s="7">
        <f>IF($A75&lt;=1951,INDEX('SALA 1974'!$B:$U,MATCH($A75,'SALA 1974'!$A:$A,0),MATCH(T$1,'SALA 1974'!$B$1:$U$1,0)),IF($A75&lt;=1994,1000*INDEX('SALA 2002'!$B:$U,MATCH($A75,'SALA 2002'!$A:$A,0),MATCH(T$1,'SALA 2002'!$B$1:$U$1,0)),IF($A75&lt;=2000,1000*INDEX('SALA 2002'!$B:$U,MATCH($A75,'SALA 2002'!$A:$A,0),MATCH(T$1,'SALA 2002'!$B$1:$U$1,0))*POWER(INDEX('WPP 2024 середина года'!$B:$U,MATCH($A75,'WPP 2024 середина года'!$A:$A,0),MATCH(T$1,'WPP 2024 середина года'!$B$1:$U$1,0))/(1000*INDEX('SALA 2002'!$B:$U,MATCH($A75,'SALA 2002'!$A:$A,0),MATCH(T$1,'SALA 2002'!$B$1:$U$1,0))),($A75-1994)/7),INDEX('WPP 2024 середина года'!$B:$U,MATCH($A75,'WPP 2024 середина года'!$A:$A,0),MATCH(T$1,'WPP 2024 середина года'!$B$1:$U$1,0)))))</f>
        <v>2760</v>
      </c>
      <c r="U75" s="7">
        <f>IF($A75&lt;=1951,INDEX('SALA 1974'!$B:$U,MATCH($A75,'SALA 1974'!$A:$A,0),MATCH(U$1,'SALA 1974'!$B$1:$U$1,0)),IF($A75&lt;=1994,1000*INDEX('SALA 2002'!$B:$U,MATCH($A75,'SALA 2002'!$A:$A,0),MATCH(U$1,'SALA 2002'!$B$1:$U$1,0)),IF($A75&lt;=2000,1000*INDEX('SALA 2002'!$B:$U,MATCH($A75,'SALA 2002'!$A:$A,0),MATCH(U$1,'SALA 2002'!$B$1:$U$1,0))*POWER(INDEX('WPP 2024 середина года'!$B:$U,MATCH($A75,'WPP 2024 середина года'!$A:$A,0),MATCH(U$1,'WPP 2024 середина года'!$B$1:$U$1,0))/(1000*INDEX('SALA 2002'!$B:$U,MATCH($A75,'SALA 2002'!$A:$A,0),MATCH(U$1,'SALA 2002'!$B$1:$U$1,0))),($A75-1994)/7),INDEX('WPP 2024 середина года'!$B:$U,MATCH($A75,'WPP 2024 середина года'!$A:$A,0),MATCH(U$1,'WPP 2024 середина года'!$B$1:$U$1,0)))))</f>
        <v>11280</v>
      </c>
    </row>
    <row r="76" spans="1:21" x14ac:dyDescent="0.25">
      <c r="A76" s="5">
        <f t="shared" si="1"/>
        <v>1974</v>
      </c>
      <c r="B76" s="7">
        <f>IF($A76&lt;=1951,INDEX('SALA 1974'!$B:$U,MATCH($A76,'SALA 1974'!$A:$A,0),MATCH(B$1,'SALA 1974'!$B$1:$U$1,0)),IF($A76&lt;=1994,1000*INDEX('SALA 2002'!$B:$U,MATCH($A76,'SALA 2002'!$A:$A,0),MATCH(B$1,'SALA 2002'!$B$1:$U$1,0)),IF($A76&lt;=2000,1000*INDEX('SALA 2002'!$B:$U,MATCH($A76,'SALA 2002'!$A:$A,0),MATCH(B$1,'SALA 2002'!$B$1:$U$1,0))*POWER(INDEX('WPP 2024 середина года'!$B:$U,MATCH($A76,'WPP 2024 середина года'!$A:$A,0),MATCH(B$1,'WPP 2024 середина года'!$B$1:$U$1,0))/(1000*INDEX('SALA 2002'!$B:$U,MATCH($A76,'SALA 2002'!$A:$A,0),MATCH(B$1,'SALA 2002'!$B$1:$U$1,0))),($A76-1994)/7),INDEX('WPP 2024 середина года'!$B:$U,MATCH($A76,'WPP 2024 середина года'!$A:$A,0),MATCH(B$1,'WPP 2024 середина года'!$B$1:$U$1,0)))))</f>
        <v>25220</v>
      </c>
      <c r="C76" s="7">
        <f>IF($A76&lt;=1951,INDEX('SALA 1974'!$B:$U,MATCH($A76,'SALA 1974'!$A:$A,0),MATCH(C$1,'SALA 1974'!$B$1:$U$1,0)),IF($A76&lt;=1994,1000*INDEX('SALA 2002'!$B:$U,MATCH($A76,'SALA 2002'!$A:$A,0),MATCH(C$1,'SALA 2002'!$B$1:$U$1,0)),IF($A76&lt;=2000,1000*INDEX('SALA 2002'!$B:$U,MATCH($A76,'SALA 2002'!$A:$A,0),MATCH(C$1,'SALA 2002'!$B$1:$U$1,0))*POWER(INDEX('WPP 2024 середина года'!$B:$U,MATCH($A76,'WPP 2024 середина года'!$A:$A,0),MATCH(C$1,'WPP 2024 середина года'!$B$1:$U$1,0))/(1000*INDEX('SALA 2002'!$B:$U,MATCH($A76,'SALA 2002'!$A:$A,0),MATCH(C$1,'SALA 2002'!$B$1:$U$1,0))),($A76-1994)/7),INDEX('WPP 2024 середина года'!$B:$U,MATCH($A76,'WPP 2024 середина года'!$A:$A,0),MATCH(C$1,'WPP 2024 середина года'!$B$1:$U$1,0)))))</f>
        <v>4750</v>
      </c>
      <c r="D76" s="7">
        <f>IF($A76&lt;=1951,INDEX('SALA 1974'!$B:$U,MATCH($A76,'SALA 1974'!$A:$A,0),MATCH(D$1,'SALA 1974'!$B$1:$U$1,0)),IF($A76&lt;=1994,1000*INDEX('SALA 2002'!$B:$U,MATCH($A76,'SALA 2002'!$A:$A,0),MATCH(D$1,'SALA 2002'!$B$1:$U$1,0)),IF($A76&lt;=2000,1000*INDEX('SALA 2002'!$B:$U,MATCH($A76,'SALA 2002'!$A:$A,0),MATCH(D$1,'SALA 2002'!$B$1:$U$1,0))*POWER(INDEX('WPP 2024 середина года'!$B:$U,MATCH($A76,'WPP 2024 середина года'!$A:$A,0),MATCH(D$1,'WPP 2024 середина года'!$B$1:$U$1,0))/(1000*INDEX('SALA 2002'!$B:$U,MATCH($A76,'SALA 2002'!$A:$A,0),MATCH(D$1,'SALA 2002'!$B$1:$U$1,0))),($A76-1994)/7),INDEX('WPP 2024 середина года'!$B:$U,MATCH($A76,'WPP 2024 середина года'!$A:$A,0),MATCH(D$1,'WPP 2024 середина года'!$B$1:$U$1,0)))))</f>
        <v>102400</v>
      </c>
      <c r="E76" s="7">
        <f>IF($A76&lt;=1951,INDEX('SALA 1974'!$B:$U,MATCH($A76,'SALA 1974'!$A:$A,0),MATCH(E$1,'SALA 1974'!$B$1:$U$1,0)),IF($A76&lt;=1994,1000*INDEX('SALA 2002'!$B:$U,MATCH($A76,'SALA 2002'!$A:$A,0),MATCH(E$1,'SALA 2002'!$B$1:$U$1,0)),IF($A76&lt;=2000,1000*INDEX('SALA 2002'!$B:$U,MATCH($A76,'SALA 2002'!$A:$A,0),MATCH(E$1,'SALA 2002'!$B$1:$U$1,0))*POWER(INDEX('WPP 2024 середина года'!$B:$U,MATCH($A76,'WPP 2024 середина года'!$A:$A,0),MATCH(E$1,'WPP 2024 середина года'!$B$1:$U$1,0))/(1000*INDEX('SALA 2002'!$B:$U,MATCH($A76,'SALA 2002'!$A:$A,0),MATCH(E$1,'SALA 2002'!$B$1:$U$1,0))),($A76-1994)/7),INDEX('WPP 2024 середина года'!$B:$U,MATCH($A76,'WPP 2024 середина года'!$A:$A,0),MATCH(E$1,'WPP 2024 середина года'!$B$1:$U$1,0)))))</f>
        <v>10030</v>
      </c>
      <c r="F76" s="7">
        <f>IF($A76&lt;=1947,INDEX('SALA 1974'!$B:$U,MATCH($A76,'SALA 1974'!$A:$A,0),MATCH(F$1,'SALA 1974'!$B$1:$U$1,0)),IF($A76&lt;=1994,1000*INDEX('SALA 2002'!$B:$U,MATCH($A76,'SALA 2002'!$A:$A,0),MATCH(F$1,'SALA 2002'!$B$1:$U$1,0)),IF($A76&lt;=2000,1000*INDEX('SALA 2002'!$B:$U,MATCH($A76,'SALA 2002'!$A:$A,0),MATCH(F$1,'SALA 2002'!$B$1:$U$1,0))*POWER(INDEX('WPP 2024 середина года'!$B:$U,MATCH($A76,'WPP 2024 середина года'!$A:$A,0),MATCH(F$1,'WPP 2024 середина года'!$B$1:$U$1,0))/(1000*INDEX('SALA 2002'!$B:$U,MATCH($A76,'SALA 2002'!$A:$A,0),MATCH(F$1,'SALA 2002'!$B$1:$U$1,0))),($A76-1994)/7),INDEX('WPP 2024 середина года'!$B:$U,MATCH($A76,'WPP 2024 середина года'!$A:$A,0),MATCH(F$1,'WPP 2024 середина года'!$B$1:$U$1,0)))))</f>
        <v>22980</v>
      </c>
      <c r="G76" s="7">
        <f>IF($A76&lt;=1951,INDEX('SALA 1974'!$B:$U,MATCH($A76,'SALA 1974'!$A:$A,0),MATCH(G$1,'SALA 1974'!$B$1:$U$1,0)),IF($A76&lt;=1994,1000*INDEX('SALA 2002'!$B:$U,MATCH($A76,'SALA 2002'!$A:$A,0),MATCH(G$1,'SALA 2002'!$B$1:$U$1,0)),IF($A76&lt;=2000,1000*INDEX('SALA 2002'!$B:$U,MATCH($A76,'SALA 2002'!$A:$A,0),MATCH(G$1,'SALA 2002'!$B$1:$U$1,0))*POWER(INDEX('WPP 2024 середина года'!$B:$U,MATCH($A76,'WPP 2024 середина года'!$A:$A,0),MATCH(G$1,'WPP 2024 середина года'!$B$1:$U$1,0))/(1000*INDEX('SALA 2002'!$B:$U,MATCH($A76,'SALA 2002'!$A:$A,0),MATCH(G$1,'SALA 2002'!$B$1:$U$1,0))),($A76-1994)/7),INDEX('WPP 2024 середина года'!$B:$U,MATCH($A76,'WPP 2024 середина года'!$A:$A,0),MATCH(G$1,'WPP 2024 середина года'!$B$1:$U$1,0)))))</f>
        <v>1920</v>
      </c>
      <c r="H76" s="7">
        <f>IF($A76&lt;=1951,INDEX('SALA 1974'!$B:$U,MATCH($A76,'SALA 1974'!$A:$A,0),MATCH(H$1,'SALA 1974'!$B$1:$U$1,0)),IF($A76&lt;=1994,1000*INDEX('SALA 2002'!$B:$U,MATCH($A76,'SALA 2002'!$A:$A,0),MATCH(H$1,'SALA 2002'!$B$1:$U$1,0)),IF($A76&lt;=2000,1000*INDEX('SALA 2002'!$B:$U,MATCH($A76,'SALA 2002'!$A:$A,0),MATCH(H$1,'SALA 2002'!$B$1:$U$1,0))*POWER(INDEX('WPP 2024 середина года'!$B:$U,MATCH($A76,'WPP 2024 середина года'!$A:$A,0),MATCH(H$1,'WPP 2024 середина года'!$B$1:$U$1,0))/(1000*INDEX('SALA 2002'!$B:$U,MATCH($A76,'SALA 2002'!$A:$A,0),MATCH(H$1,'SALA 2002'!$B$1:$U$1,0))),($A76-1994)/7),INDEX('WPP 2024 середина года'!$B:$U,MATCH($A76,'WPP 2024 середина года'!$A:$A,0),MATCH(H$1,'WPP 2024 середина года'!$B$1:$U$1,0)))))</f>
        <v>9190</v>
      </c>
      <c r="I76" s="7">
        <f>IF($A76&lt;=1951,INDEX('SALA 1974'!$B:$U,MATCH($A76,'SALA 1974'!$A:$A,0),MATCH(I$1,'SALA 1974'!$B$1:$U$1,0)),IF($A76&lt;=1994,1000*INDEX('SALA 2002'!$B:$U,MATCH($A76,'SALA 2002'!$A:$A,0),MATCH(I$1,'SALA 2002'!$B$1:$U$1,0)),IF($A76&lt;=2000,1000*INDEX('SALA 2002'!$B:$U,MATCH($A76,'SALA 2002'!$A:$A,0),MATCH(I$1,'SALA 2002'!$B$1:$U$1,0))*POWER(INDEX('WPP 2024 середина года'!$B:$U,MATCH($A76,'WPP 2024 середина года'!$A:$A,0),MATCH(I$1,'WPP 2024 середина года'!$B$1:$U$1,0))/(1000*INDEX('SALA 2002'!$B:$U,MATCH($A76,'SALA 2002'!$A:$A,0),MATCH(I$1,'SALA 2002'!$B$1:$U$1,0))),($A76-1994)/7),INDEX('WPP 2024 середина года'!$B:$U,MATCH($A76,'WPP 2024 середина года'!$A:$A,0),MATCH(I$1,'WPP 2024 середина года'!$B$1:$U$1,0)))))</f>
        <v>4560</v>
      </c>
      <c r="J76" s="7">
        <f>IF($A76&lt;=1951,INDEX('SALA 1974'!$B:$U,MATCH($A76,'SALA 1974'!$A:$A,0),MATCH(J$1,'SALA 1974'!$B$1:$U$1,0)),IF($A76&lt;=1994,1000*INDEX('SALA 2002'!$B:$U,MATCH($A76,'SALA 2002'!$A:$A,0),MATCH(J$1,'SALA 2002'!$B$1:$U$1,0)),IF($A76&lt;=2000,1000*INDEX('SALA 2002'!$B:$U,MATCH($A76,'SALA 2002'!$A:$A,0),MATCH(J$1,'SALA 2002'!$B$1:$U$1,0))*POWER(INDEX('WPP 2024 середина года'!$B:$U,MATCH($A76,'WPP 2024 середина года'!$A:$A,0),MATCH(J$1,'WPP 2024 середина года'!$B$1:$U$1,0))/(1000*INDEX('SALA 2002'!$B:$U,MATCH($A76,'SALA 2002'!$A:$A,0),MATCH(J$1,'SALA 2002'!$B$1:$U$1,0))),($A76-1994)/7),INDEX('WPP 2024 середина года'!$B:$U,MATCH($A76,'WPP 2024 середина года'!$A:$A,0),MATCH(J$1,'WPP 2024 середина года'!$B$1:$U$1,0)))))</f>
        <v>6830</v>
      </c>
      <c r="K76" s="7">
        <f>IF($A76&lt;=1951,INDEX('SALA 1974'!$B:$U,MATCH($A76,'SALA 1974'!$A:$A,0),MATCH(K$1,'SALA 1974'!$B$1:$U$1,0)),IF($A76&lt;=1994,1000*INDEX('SALA 2002'!$B:$U,MATCH($A76,'SALA 2002'!$A:$A,0),MATCH(K$1,'SALA 2002'!$B$1:$U$1,0)),IF($A76&lt;=2000,1000*INDEX('SALA 2002'!$B:$U,MATCH($A76,'SALA 2002'!$A:$A,0),MATCH(K$1,'SALA 2002'!$B$1:$U$1,0))*POWER(INDEX('WPP 2024 середина года'!$B:$U,MATCH($A76,'WPP 2024 середина года'!$A:$A,0),MATCH(K$1,'WPP 2024 середина года'!$B$1:$U$1,0))/(1000*INDEX('SALA 2002'!$B:$U,MATCH($A76,'SALA 2002'!$A:$A,0),MATCH(K$1,'SALA 2002'!$B$1:$U$1,0))),($A76-1994)/7),INDEX('WPP 2024 середина года'!$B:$U,MATCH($A76,'WPP 2024 середина года'!$A:$A,0),MATCH(K$1,'WPP 2024 середина года'!$B$1:$U$1,0)))))</f>
        <v>3890</v>
      </c>
      <c r="L76" s="7">
        <f>IF($A76&lt;=1951,INDEX('SALA 1974'!$B:$U,MATCH($A76,'SALA 1974'!$A:$A,0),MATCH(L$1,'SALA 1974'!$B$1:$U$1,0)),IF($A76&lt;=1994,1000*INDEX('SALA 2002'!$B:$U,MATCH($A76,'SALA 2002'!$A:$A,0),MATCH(L$1,'SALA 2002'!$B$1:$U$1,0)),IF($A76&lt;=2000,1000*INDEX('SALA 2002'!$B:$U,MATCH($A76,'SALA 2002'!$A:$A,0),MATCH(L$1,'SALA 2002'!$B$1:$U$1,0))*POWER(INDEX('WPP 2024 середина года'!$B:$U,MATCH($A76,'WPP 2024 середина года'!$A:$A,0),MATCH(L$1,'WPP 2024 середина года'!$B$1:$U$1,0))/(1000*INDEX('SALA 2002'!$B:$U,MATCH($A76,'SALA 2002'!$A:$A,0),MATCH(L$1,'SALA 2002'!$B$1:$U$1,0))),($A76-1994)/7),INDEX('WPP 2024 середина года'!$B:$U,MATCH($A76,'WPP 2024 середина года'!$A:$A,0),MATCH(L$1,'WPP 2024 середина года'!$B$1:$U$1,0)))))</f>
        <v>6050</v>
      </c>
      <c r="M76" s="7">
        <f>IF($A76&lt;=1951,INDEX('SALA 1974'!$B:$U,MATCH($A76,'SALA 1974'!$A:$A,0),MATCH(M$1,'SALA 1974'!$B$1:$U$1,0)),IF($A76&lt;=1994,1000*INDEX('SALA 2002'!$B:$U,MATCH($A76,'SALA 2002'!$A:$A,0),MATCH(M$1,'SALA 2002'!$B$1:$U$1,0)),IF($A76&lt;=2000,1000*INDEX('SALA 2002'!$B:$U,MATCH($A76,'SALA 2002'!$A:$A,0),MATCH(M$1,'SALA 2002'!$B$1:$U$1,0))*POWER(INDEX('WPP 2024 середина года'!$B:$U,MATCH($A76,'WPP 2024 середина года'!$A:$A,0),MATCH(M$1,'WPP 2024 середина года'!$B$1:$U$1,0))/(1000*INDEX('SALA 2002'!$B:$U,MATCH($A76,'SALA 2002'!$A:$A,0),MATCH(M$1,'SALA 2002'!$B$1:$U$1,0))),($A76-1994)/7),INDEX('WPP 2024 середина года'!$B:$U,MATCH($A76,'WPP 2024 середина года'!$A:$A,0),MATCH(M$1,'WPP 2024 середина года'!$B$1:$U$1,0)))))</f>
        <v>4510</v>
      </c>
      <c r="N76" s="7">
        <f>IF($A76&lt;=1951,INDEX('SALA 1974'!$B:$U,MATCH($A76,'SALA 1974'!$A:$A,0),MATCH(N$1,'SALA 1974'!$B$1:$U$1,0)),IF($A76&lt;=1994,1000*INDEX('SALA 2002'!$B:$U,MATCH($A76,'SALA 2002'!$A:$A,0),MATCH(N$1,'SALA 2002'!$B$1:$U$1,0)),IF($A76&lt;=2000,1000*INDEX('SALA 2002'!$B:$U,MATCH($A76,'SALA 2002'!$A:$A,0),MATCH(N$1,'SALA 2002'!$B$1:$U$1,0))*POWER(INDEX('WPP 2024 середина года'!$B:$U,MATCH($A76,'WPP 2024 середина года'!$A:$A,0),MATCH(N$1,'WPP 2024 середина года'!$B$1:$U$1,0))/(1000*INDEX('SALA 2002'!$B:$U,MATCH($A76,'SALA 2002'!$A:$A,0),MATCH(N$1,'SALA 2002'!$B$1:$U$1,0))),($A76-1994)/7),INDEX('WPP 2024 середина года'!$B:$U,MATCH($A76,'WPP 2024 середина года'!$A:$A,0),MATCH(N$1,'WPP 2024 середина года'!$B$1:$U$1,0)))))</f>
        <v>2990</v>
      </c>
      <c r="O76" s="7">
        <f>IF($A76&lt;=1951,INDEX('SALA 1974'!$B:$U,MATCH($A76,'SALA 1974'!$A:$A,0),MATCH(O$1,'SALA 1974'!$B$1:$U$1,0)),IF($A76&lt;=1994,1000*INDEX('SALA 2002'!$B:$U,MATCH($A76,'SALA 2002'!$A:$A,0),MATCH(O$1,'SALA 2002'!$B$1:$U$1,0)),IF($A76&lt;=2000,1000*INDEX('SALA 2002'!$B:$U,MATCH($A76,'SALA 2002'!$A:$A,0),MATCH(O$1,'SALA 2002'!$B$1:$U$1,0))*POWER(INDEX('WPP 2024 середина года'!$B:$U,MATCH($A76,'WPP 2024 середина года'!$A:$A,0),MATCH(O$1,'WPP 2024 середина года'!$B$1:$U$1,0))/(1000*INDEX('SALA 2002'!$B:$U,MATCH($A76,'SALA 2002'!$A:$A,0),MATCH(O$1,'SALA 2002'!$B$1:$U$1,0))),($A76-1994)/7),INDEX('WPP 2024 середина года'!$B:$U,MATCH($A76,'WPP 2024 середина года'!$A:$A,0),MATCH(O$1,'WPP 2024 середина года'!$B$1:$U$1,0)))))</f>
        <v>58120</v>
      </c>
      <c r="P76" s="7">
        <f>IF($A76&lt;=1951,INDEX('SALA 1974'!$B:$U,MATCH($A76,'SALA 1974'!$A:$A,0),MATCH(P$1,'SALA 1974'!$B$1:$U$1,0)),IF($A76&lt;=1994,1000*INDEX('SALA 2002'!$B:$U,MATCH($A76,'SALA 2002'!$A:$A,0),MATCH(P$1,'SALA 2002'!$B$1:$U$1,0)),IF($A76&lt;=2000,1000*INDEX('SALA 2002'!$B:$U,MATCH($A76,'SALA 2002'!$A:$A,0),MATCH(P$1,'SALA 2002'!$B$1:$U$1,0))*POWER(INDEX('WPP 2024 середина года'!$B:$U,MATCH($A76,'WPP 2024 середина года'!$A:$A,0),MATCH(P$1,'WPP 2024 середина года'!$B$1:$U$1,0))/(1000*INDEX('SALA 2002'!$B:$U,MATCH($A76,'SALA 2002'!$A:$A,0),MATCH(P$1,'SALA 2002'!$B$1:$U$1,0))),($A76-1994)/7),INDEX('WPP 2024 середина года'!$B:$U,MATCH($A76,'WPP 2024 середина года'!$A:$A,0),MATCH(P$1,'WPP 2024 середина года'!$B$1:$U$1,0)))))</f>
        <v>2080</v>
      </c>
      <c r="Q76" s="7">
        <f>IF($A76&lt;=1951,INDEX('SALA 1974'!$B:$U,MATCH($A76,'SALA 1974'!$A:$A,0),MATCH(Q$1,'SALA 1974'!$B$1:$U$1,0)),IF($A76&lt;=1994,1000*INDEX('SALA 2002'!$B:$U,MATCH($A76,'SALA 2002'!$A:$A,0),MATCH(Q$1,'SALA 2002'!$B$1:$U$1,0)),IF($A76&lt;=2000,1000*INDEX('SALA 2002'!$B:$U,MATCH($A76,'SALA 2002'!$A:$A,0),MATCH(Q$1,'SALA 2002'!$B$1:$U$1,0))*POWER(INDEX('WPP 2024 середина года'!$B:$U,MATCH($A76,'WPP 2024 середина года'!$A:$A,0),MATCH(Q$1,'WPP 2024 середина года'!$B$1:$U$1,0))/(1000*INDEX('SALA 2002'!$B:$U,MATCH($A76,'SALA 2002'!$A:$A,0),MATCH(Q$1,'SALA 2002'!$B$1:$U$1,0))),($A76-1994)/7),INDEX('WPP 2024 середина года'!$B:$U,MATCH($A76,'WPP 2024 середина года'!$A:$A,0),MATCH(Q$1,'WPP 2024 середина года'!$B$1:$U$1,0)))))</f>
        <v>1620</v>
      </c>
      <c r="R76" s="7">
        <f>IF($A76&lt;=1951,INDEX('SALA 1974'!$B:$U,MATCH($A76,'SALA 1974'!$A:$A,0),MATCH(R$1,'SALA 1974'!$B$1:$U$1,0)),IF($A76&lt;=1994,1000*INDEX('SALA 2002'!$B:$U,MATCH($A76,'SALA 2002'!$A:$A,0),MATCH(R$1,'SALA 2002'!$B$1:$U$1,0)),IF($A76&lt;=2000,1000*INDEX('SALA 2002'!$B:$U,MATCH($A76,'SALA 2002'!$A:$A,0),MATCH(R$1,'SALA 2002'!$B$1:$U$1,0))*POWER(INDEX('WPP 2024 середина года'!$B:$U,MATCH($A76,'WPP 2024 середина года'!$A:$A,0),MATCH(R$1,'WPP 2024 середина года'!$B$1:$U$1,0))/(1000*INDEX('SALA 2002'!$B:$U,MATCH($A76,'SALA 2002'!$A:$A,0),MATCH(R$1,'SALA 2002'!$B$1:$U$1,0))),($A76-1994)/7),INDEX('WPP 2024 середина года'!$B:$U,MATCH($A76,'WPP 2024 середина года'!$A:$A,0),MATCH(R$1,'WPP 2024 середина года'!$B$1:$U$1,0)))))</f>
        <v>2570</v>
      </c>
      <c r="S76" s="7">
        <f>IF($A76&lt;=1951,INDEX('SALA 1974'!$B:$U,MATCH($A76,'SALA 1974'!$A:$A,0),MATCH(S$1,'SALA 1974'!$B$1:$U$1,0)),IF($A76&lt;=1994,1000*INDEX('SALA 2002'!$B:$U,MATCH($A76,'SALA 2002'!$A:$A,0),MATCH(S$1,'SALA 2002'!$B$1:$U$1,0)),IF($A76&lt;=2000,1000*INDEX('SALA 2002'!$B:$U,MATCH($A76,'SALA 2002'!$A:$A,0),MATCH(S$1,'SALA 2002'!$B$1:$U$1,0))*POWER(INDEX('WPP 2024 середина года'!$B:$U,MATCH($A76,'WPP 2024 середина года'!$A:$A,0),MATCH(S$1,'WPP 2024 середина года'!$B$1:$U$1,0))/(1000*INDEX('SALA 2002'!$B:$U,MATCH($A76,'SALA 2002'!$A:$A,0),MATCH(S$1,'SALA 2002'!$B$1:$U$1,0))),($A76-1994)/7),INDEX('WPP 2024 середина года'!$B:$U,MATCH($A76,'WPP 2024 середина года'!$A:$A,0),MATCH(S$1,'WPP 2024 середина года'!$B$1:$U$1,0)))))</f>
        <v>15160</v>
      </c>
      <c r="T76" s="7">
        <f>IF($A76&lt;=1951,INDEX('SALA 1974'!$B:$U,MATCH($A76,'SALA 1974'!$A:$A,0),MATCH(T$1,'SALA 1974'!$B$1:$U$1,0)),IF($A76&lt;=1994,1000*INDEX('SALA 2002'!$B:$U,MATCH($A76,'SALA 2002'!$A:$A,0),MATCH(T$1,'SALA 2002'!$B$1:$U$1,0)),IF($A76&lt;=2000,1000*INDEX('SALA 2002'!$B:$U,MATCH($A76,'SALA 2002'!$A:$A,0),MATCH(T$1,'SALA 2002'!$B$1:$U$1,0))*POWER(INDEX('WPP 2024 середина года'!$B:$U,MATCH($A76,'WPP 2024 середина года'!$A:$A,0),MATCH(T$1,'WPP 2024 середина года'!$B$1:$U$1,0))/(1000*INDEX('SALA 2002'!$B:$U,MATCH($A76,'SALA 2002'!$A:$A,0),MATCH(T$1,'SALA 2002'!$B$1:$U$1,0))),($A76-1994)/7),INDEX('WPP 2024 середина года'!$B:$U,MATCH($A76,'WPP 2024 середина года'!$A:$A,0),MATCH(T$1,'WPP 2024 середина года'!$B$1:$U$1,0)))))</f>
        <v>2770</v>
      </c>
      <c r="U76" s="7">
        <f>IF($A76&lt;=1951,INDEX('SALA 1974'!$B:$U,MATCH($A76,'SALA 1974'!$A:$A,0),MATCH(U$1,'SALA 1974'!$B$1:$U$1,0)),IF($A76&lt;=1994,1000*INDEX('SALA 2002'!$B:$U,MATCH($A76,'SALA 2002'!$A:$A,0),MATCH(U$1,'SALA 2002'!$B$1:$U$1,0)),IF($A76&lt;=2000,1000*INDEX('SALA 2002'!$B:$U,MATCH($A76,'SALA 2002'!$A:$A,0),MATCH(U$1,'SALA 2002'!$B$1:$U$1,0))*POWER(INDEX('WPP 2024 середина года'!$B:$U,MATCH($A76,'WPP 2024 середина года'!$A:$A,0),MATCH(U$1,'WPP 2024 середина года'!$B$1:$U$1,0))/(1000*INDEX('SALA 2002'!$B:$U,MATCH($A76,'SALA 2002'!$A:$A,0),MATCH(U$1,'SALA 2002'!$B$1:$U$1,0))),($A76-1994)/7),INDEX('WPP 2024 середина года'!$B:$U,MATCH($A76,'WPP 2024 середина года'!$A:$A,0),MATCH(U$1,'WPP 2024 середина года'!$B$1:$U$1,0)))))</f>
        <v>11630</v>
      </c>
    </row>
    <row r="77" spans="1:21" x14ac:dyDescent="0.25">
      <c r="A77" s="5">
        <f t="shared" si="1"/>
        <v>1975</v>
      </c>
      <c r="B77" s="7">
        <f>IF($A77&lt;=1951,INDEX('SALA 1974'!$B:$U,MATCH($A77,'SALA 1974'!$A:$A,0),MATCH(B$1,'SALA 1974'!$B$1:$U$1,0)),IF($A77&lt;=1994,1000*INDEX('SALA 2002'!$B:$U,MATCH($A77,'SALA 2002'!$A:$A,0),MATCH(B$1,'SALA 2002'!$B$1:$U$1,0)),IF($A77&lt;=2000,1000*INDEX('SALA 2002'!$B:$U,MATCH($A77,'SALA 2002'!$A:$A,0),MATCH(B$1,'SALA 2002'!$B$1:$U$1,0))*POWER(INDEX('WPP 2024 середина года'!$B:$U,MATCH($A77,'WPP 2024 середина года'!$A:$A,0),MATCH(B$1,'WPP 2024 середина года'!$B$1:$U$1,0))/(1000*INDEX('SALA 2002'!$B:$U,MATCH($A77,'SALA 2002'!$A:$A,0),MATCH(B$1,'SALA 2002'!$B$1:$U$1,0))),($A77-1994)/7),INDEX('WPP 2024 середина года'!$B:$U,MATCH($A77,'WPP 2024 середина года'!$A:$A,0),MATCH(B$1,'WPP 2024 середина года'!$B$1:$U$1,0)))))</f>
        <v>26050</v>
      </c>
      <c r="C77" s="7">
        <f>IF($A77&lt;=1951,INDEX('SALA 1974'!$B:$U,MATCH($A77,'SALA 1974'!$A:$A,0),MATCH(C$1,'SALA 1974'!$B$1:$U$1,0)),IF($A77&lt;=1994,1000*INDEX('SALA 2002'!$B:$U,MATCH($A77,'SALA 2002'!$A:$A,0),MATCH(C$1,'SALA 2002'!$B$1:$U$1,0)),IF($A77&lt;=2000,1000*INDEX('SALA 2002'!$B:$U,MATCH($A77,'SALA 2002'!$A:$A,0),MATCH(C$1,'SALA 2002'!$B$1:$U$1,0))*POWER(INDEX('WPP 2024 середина года'!$B:$U,MATCH($A77,'WPP 2024 середина года'!$A:$A,0),MATCH(C$1,'WPP 2024 середина года'!$B$1:$U$1,0))/(1000*INDEX('SALA 2002'!$B:$U,MATCH($A77,'SALA 2002'!$A:$A,0),MATCH(C$1,'SALA 2002'!$B$1:$U$1,0))),($A77-1994)/7),INDEX('WPP 2024 середина года'!$B:$U,MATCH($A77,'WPP 2024 середина года'!$A:$A,0),MATCH(C$1,'WPP 2024 середина года'!$B$1:$U$1,0)))))</f>
        <v>4890</v>
      </c>
      <c r="D77" s="7">
        <f>IF($A77&lt;=1951,INDEX('SALA 1974'!$B:$U,MATCH($A77,'SALA 1974'!$A:$A,0),MATCH(D$1,'SALA 1974'!$B$1:$U$1,0)),IF($A77&lt;=1994,1000*INDEX('SALA 2002'!$B:$U,MATCH($A77,'SALA 2002'!$A:$A,0),MATCH(D$1,'SALA 2002'!$B$1:$U$1,0)),IF($A77&lt;=2000,1000*INDEX('SALA 2002'!$B:$U,MATCH($A77,'SALA 2002'!$A:$A,0),MATCH(D$1,'SALA 2002'!$B$1:$U$1,0))*POWER(INDEX('WPP 2024 середина года'!$B:$U,MATCH($A77,'WPP 2024 середина года'!$A:$A,0),MATCH(D$1,'WPP 2024 середина года'!$B$1:$U$1,0))/(1000*INDEX('SALA 2002'!$B:$U,MATCH($A77,'SALA 2002'!$A:$A,0),MATCH(D$1,'SALA 2002'!$B$1:$U$1,0))),($A77-1994)/7),INDEX('WPP 2024 середина года'!$B:$U,MATCH($A77,'WPP 2024 середина года'!$A:$A,0),MATCH(D$1,'WPP 2024 середина года'!$B$1:$U$1,0)))))</f>
        <v>104940</v>
      </c>
      <c r="E77" s="7">
        <f>IF($A77&lt;=1951,INDEX('SALA 1974'!$B:$U,MATCH($A77,'SALA 1974'!$A:$A,0),MATCH(E$1,'SALA 1974'!$B$1:$U$1,0)),IF($A77&lt;=1994,1000*INDEX('SALA 2002'!$B:$U,MATCH($A77,'SALA 2002'!$A:$A,0),MATCH(E$1,'SALA 2002'!$B$1:$U$1,0)),IF($A77&lt;=2000,1000*INDEX('SALA 2002'!$B:$U,MATCH($A77,'SALA 2002'!$A:$A,0),MATCH(E$1,'SALA 2002'!$B$1:$U$1,0))*POWER(INDEX('WPP 2024 середина года'!$B:$U,MATCH($A77,'WPP 2024 середина года'!$A:$A,0),MATCH(E$1,'WPP 2024 середина года'!$B$1:$U$1,0))/(1000*INDEX('SALA 2002'!$B:$U,MATCH($A77,'SALA 2002'!$A:$A,0),MATCH(E$1,'SALA 2002'!$B$1:$U$1,0))),($A77-1994)/7),INDEX('WPP 2024 середина года'!$B:$U,MATCH($A77,'WPP 2024 середина года'!$A:$A,0),MATCH(E$1,'WPP 2024 середина года'!$B$1:$U$1,0)))))</f>
        <v>10200</v>
      </c>
      <c r="F77" s="7">
        <f>IF($A77&lt;=1947,INDEX('SALA 1974'!$B:$U,MATCH($A77,'SALA 1974'!$A:$A,0),MATCH(F$1,'SALA 1974'!$B$1:$U$1,0)),IF($A77&lt;=1994,1000*INDEX('SALA 2002'!$B:$U,MATCH($A77,'SALA 2002'!$A:$A,0),MATCH(F$1,'SALA 2002'!$B$1:$U$1,0)),IF($A77&lt;=2000,1000*INDEX('SALA 2002'!$B:$U,MATCH($A77,'SALA 2002'!$A:$A,0),MATCH(F$1,'SALA 2002'!$B$1:$U$1,0))*POWER(INDEX('WPP 2024 середина года'!$B:$U,MATCH($A77,'WPP 2024 середина года'!$A:$A,0),MATCH(F$1,'WPP 2024 середина года'!$B$1:$U$1,0))/(1000*INDEX('SALA 2002'!$B:$U,MATCH($A77,'SALA 2002'!$A:$A,0),MATCH(F$1,'SALA 2002'!$B$1:$U$1,0))),($A77-1994)/7),INDEX('WPP 2024 середина года'!$B:$U,MATCH($A77,'WPP 2024 середина года'!$A:$A,0),MATCH(F$1,'WPP 2024 середина года'!$B$1:$U$1,0)))))</f>
        <v>23640</v>
      </c>
      <c r="G77" s="7">
        <f>IF($A77&lt;=1951,INDEX('SALA 1974'!$B:$U,MATCH($A77,'SALA 1974'!$A:$A,0),MATCH(G$1,'SALA 1974'!$B$1:$U$1,0)),IF($A77&lt;=1994,1000*INDEX('SALA 2002'!$B:$U,MATCH($A77,'SALA 2002'!$A:$A,0),MATCH(G$1,'SALA 2002'!$B$1:$U$1,0)),IF($A77&lt;=2000,1000*INDEX('SALA 2002'!$B:$U,MATCH($A77,'SALA 2002'!$A:$A,0),MATCH(G$1,'SALA 2002'!$B$1:$U$1,0))*POWER(INDEX('WPP 2024 середина года'!$B:$U,MATCH($A77,'WPP 2024 середина года'!$A:$A,0),MATCH(G$1,'WPP 2024 середина года'!$B$1:$U$1,0))/(1000*INDEX('SALA 2002'!$B:$U,MATCH($A77,'SALA 2002'!$A:$A,0),MATCH(G$1,'SALA 2002'!$B$1:$U$1,0))),($A77-1994)/7),INDEX('WPP 2024 середина года'!$B:$U,MATCH($A77,'WPP 2024 середина года'!$A:$A,0),MATCH(G$1,'WPP 2024 середина года'!$B$1:$U$1,0)))))</f>
        <v>1960</v>
      </c>
      <c r="H77" s="7">
        <f>IF($A77&lt;=1951,INDEX('SALA 1974'!$B:$U,MATCH($A77,'SALA 1974'!$A:$A,0),MATCH(H$1,'SALA 1974'!$B$1:$U$1,0)),IF($A77&lt;=1994,1000*INDEX('SALA 2002'!$B:$U,MATCH($A77,'SALA 2002'!$A:$A,0),MATCH(H$1,'SALA 2002'!$B$1:$U$1,0)),IF($A77&lt;=2000,1000*INDEX('SALA 2002'!$B:$U,MATCH($A77,'SALA 2002'!$A:$A,0),MATCH(H$1,'SALA 2002'!$B$1:$U$1,0))*POWER(INDEX('WPP 2024 середина года'!$B:$U,MATCH($A77,'WPP 2024 середина года'!$A:$A,0),MATCH(H$1,'WPP 2024 середина года'!$B$1:$U$1,0))/(1000*INDEX('SALA 2002'!$B:$U,MATCH($A77,'SALA 2002'!$A:$A,0),MATCH(H$1,'SALA 2002'!$B$1:$U$1,0))),($A77-1994)/7),INDEX('WPP 2024 середина года'!$B:$U,MATCH($A77,'WPP 2024 середина года'!$A:$A,0),MATCH(H$1,'WPP 2024 середина года'!$B$1:$U$1,0)))))</f>
        <v>8550</v>
      </c>
      <c r="I77" s="7">
        <f>IF($A77&lt;=1951,INDEX('SALA 1974'!$B:$U,MATCH($A77,'SALA 1974'!$A:$A,0),MATCH(I$1,'SALA 1974'!$B$1:$U$1,0)),IF($A77&lt;=1994,1000*INDEX('SALA 2002'!$B:$U,MATCH($A77,'SALA 2002'!$A:$A,0),MATCH(I$1,'SALA 2002'!$B$1:$U$1,0)),IF($A77&lt;=2000,1000*INDEX('SALA 2002'!$B:$U,MATCH($A77,'SALA 2002'!$A:$A,0),MATCH(I$1,'SALA 2002'!$B$1:$U$1,0))*POWER(INDEX('WPP 2024 середина года'!$B:$U,MATCH($A77,'WPP 2024 середина года'!$A:$A,0),MATCH(I$1,'WPP 2024 середина года'!$B$1:$U$1,0))/(1000*INDEX('SALA 2002'!$B:$U,MATCH($A77,'SALA 2002'!$A:$A,0),MATCH(I$1,'SALA 2002'!$B$1:$U$1,0))),($A77-1994)/7),INDEX('WPP 2024 середина года'!$B:$U,MATCH($A77,'WPP 2024 середина года'!$A:$A,0),MATCH(I$1,'WPP 2024 середина года'!$B$1:$U$1,0)))))</f>
        <v>4700</v>
      </c>
      <c r="J77" s="7">
        <f>IF($A77&lt;=1951,INDEX('SALA 1974'!$B:$U,MATCH($A77,'SALA 1974'!$A:$A,0),MATCH(J$1,'SALA 1974'!$B$1:$U$1,0)),IF($A77&lt;=1994,1000*INDEX('SALA 2002'!$B:$U,MATCH($A77,'SALA 2002'!$A:$A,0),MATCH(J$1,'SALA 2002'!$B$1:$U$1,0)),IF($A77&lt;=2000,1000*INDEX('SALA 2002'!$B:$U,MATCH($A77,'SALA 2002'!$A:$A,0),MATCH(J$1,'SALA 2002'!$B$1:$U$1,0))*POWER(INDEX('WPP 2024 середина года'!$B:$U,MATCH($A77,'WPP 2024 середина года'!$A:$A,0),MATCH(J$1,'WPP 2024 середина года'!$B$1:$U$1,0))/(1000*INDEX('SALA 2002'!$B:$U,MATCH($A77,'SALA 2002'!$A:$A,0),MATCH(J$1,'SALA 2002'!$B$1:$U$1,0))),($A77-1994)/7),INDEX('WPP 2024 середина года'!$B:$U,MATCH($A77,'WPP 2024 середина года'!$A:$A,0),MATCH(J$1,'WPP 2024 середина года'!$B$1:$U$1,0)))))</f>
        <v>7030</v>
      </c>
      <c r="K77" s="7">
        <f>IF($A77&lt;=1951,INDEX('SALA 1974'!$B:$U,MATCH($A77,'SALA 1974'!$A:$A,0),MATCH(K$1,'SALA 1974'!$B$1:$U$1,0)),IF($A77&lt;=1994,1000*INDEX('SALA 2002'!$B:$U,MATCH($A77,'SALA 2002'!$A:$A,0),MATCH(K$1,'SALA 2002'!$B$1:$U$1,0)),IF($A77&lt;=2000,1000*INDEX('SALA 2002'!$B:$U,MATCH($A77,'SALA 2002'!$A:$A,0),MATCH(K$1,'SALA 2002'!$B$1:$U$1,0))*POWER(INDEX('WPP 2024 середина года'!$B:$U,MATCH($A77,'WPP 2024 середина года'!$A:$A,0),MATCH(K$1,'WPP 2024 середина года'!$B$1:$U$1,0))/(1000*INDEX('SALA 2002'!$B:$U,MATCH($A77,'SALA 2002'!$A:$A,0),MATCH(K$1,'SALA 2002'!$B$1:$U$1,0))),($A77-1994)/7),INDEX('WPP 2024 середина года'!$B:$U,MATCH($A77,'WPP 2024 середина года'!$A:$A,0),MATCH(K$1,'WPP 2024 середина года'!$B$1:$U$1,0)))))</f>
        <v>4010</v>
      </c>
      <c r="L77" s="7">
        <f>IF($A77&lt;=1951,INDEX('SALA 1974'!$B:$U,MATCH($A77,'SALA 1974'!$A:$A,0),MATCH(L$1,'SALA 1974'!$B$1:$U$1,0)),IF($A77&lt;=1994,1000*INDEX('SALA 2002'!$B:$U,MATCH($A77,'SALA 2002'!$A:$A,0),MATCH(L$1,'SALA 2002'!$B$1:$U$1,0)),IF($A77&lt;=2000,1000*INDEX('SALA 2002'!$B:$U,MATCH($A77,'SALA 2002'!$A:$A,0),MATCH(L$1,'SALA 2002'!$B$1:$U$1,0))*POWER(INDEX('WPP 2024 середина года'!$B:$U,MATCH($A77,'WPP 2024 середина года'!$A:$A,0),MATCH(L$1,'WPP 2024 середина года'!$B$1:$U$1,0))/(1000*INDEX('SALA 2002'!$B:$U,MATCH($A77,'SALA 2002'!$A:$A,0),MATCH(L$1,'SALA 2002'!$B$1:$U$1,0))),($A77-1994)/7),INDEX('WPP 2024 середина года'!$B:$U,MATCH($A77,'WPP 2024 середина года'!$A:$A,0),MATCH(L$1,'WPP 2024 середина года'!$B$1:$U$1,0)))))</f>
        <v>6240</v>
      </c>
      <c r="M77" s="7">
        <f>IF($A77&lt;=1951,INDEX('SALA 1974'!$B:$U,MATCH($A77,'SALA 1974'!$A:$A,0),MATCH(M$1,'SALA 1974'!$B$1:$U$1,0)),IF($A77&lt;=1994,1000*INDEX('SALA 2002'!$B:$U,MATCH($A77,'SALA 2002'!$A:$A,0),MATCH(M$1,'SALA 2002'!$B$1:$U$1,0)),IF($A77&lt;=2000,1000*INDEX('SALA 2002'!$B:$U,MATCH($A77,'SALA 2002'!$A:$A,0),MATCH(M$1,'SALA 2002'!$B$1:$U$1,0))*POWER(INDEX('WPP 2024 середина года'!$B:$U,MATCH($A77,'WPP 2024 середина года'!$A:$A,0),MATCH(M$1,'WPP 2024 середина года'!$B$1:$U$1,0))/(1000*INDEX('SALA 2002'!$B:$U,MATCH($A77,'SALA 2002'!$A:$A,0),MATCH(M$1,'SALA 2002'!$B$1:$U$1,0))),($A77-1994)/7),INDEX('WPP 2024 середина года'!$B:$U,MATCH($A77,'WPP 2024 середина года'!$A:$A,0),MATCH(M$1,'WPP 2024 середина года'!$B$1:$U$1,0)))))</f>
        <v>4580</v>
      </c>
      <c r="N77" s="7">
        <f>IF($A77&lt;=1951,INDEX('SALA 1974'!$B:$U,MATCH($A77,'SALA 1974'!$A:$A,0),MATCH(N$1,'SALA 1974'!$B$1:$U$1,0)),IF($A77&lt;=1994,1000*INDEX('SALA 2002'!$B:$U,MATCH($A77,'SALA 2002'!$A:$A,0),MATCH(N$1,'SALA 2002'!$B$1:$U$1,0)),IF($A77&lt;=2000,1000*INDEX('SALA 2002'!$B:$U,MATCH($A77,'SALA 2002'!$A:$A,0),MATCH(N$1,'SALA 2002'!$B$1:$U$1,0))*POWER(INDEX('WPP 2024 середина года'!$B:$U,MATCH($A77,'WPP 2024 середина года'!$A:$A,0),MATCH(N$1,'WPP 2024 середина года'!$B$1:$U$1,0))/(1000*INDEX('SALA 2002'!$B:$U,MATCH($A77,'SALA 2002'!$A:$A,0),MATCH(N$1,'SALA 2002'!$B$1:$U$1,0))),($A77-1994)/7),INDEX('WPP 2024 середина года'!$B:$U,MATCH($A77,'WPP 2024 середина года'!$A:$A,0),MATCH(N$1,'WPP 2024 середина года'!$B$1:$U$1,0)))))</f>
        <v>3090</v>
      </c>
      <c r="O77" s="7">
        <f>IF($A77&lt;=1951,INDEX('SALA 1974'!$B:$U,MATCH($A77,'SALA 1974'!$A:$A,0),MATCH(O$1,'SALA 1974'!$B$1:$U$1,0)),IF($A77&lt;=1994,1000*INDEX('SALA 2002'!$B:$U,MATCH($A77,'SALA 2002'!$A:$A,0),MATCH(O$1,'SALA 2002'!$B$1:$U$1,0)),IF($A77&lt;=2000,1000*INDEX('SALA 2002'!$B:$U,MATCH($A77,'SALA 2002'!$A:$A,0),MATCH(O$1,'SALA 2002'!$B$1:$U$1,0))*POWER(INDEX('WPP 2024 середина года'!$B:$U,MATCH($A77,'WPP 2024 середина года'!$A:$A,0),MATCH(O$1,'WPP 2024 середина года'!$B$1:$U$1,0))/(1000*INDEX('SALA 2002'!$B:$U,MATCH($A77,'SALA 2002'!$A:$A,0),MATCH(O$1,'SALA 2002'!$B$1:$U$1,0))),($A77-1994)/7),INDEX('WPP 2024 середина года'!$B:$U,MATCH($A77,'WPP 2024 середина года'!$A:$A,0),MATCH(O$1,'WPP 2024 середина года'!$B$1:$U$1,0)))))</f>
        <v>60150</v>
      </c>
      <c r="P77" s="7">
        <f>IF($A77&lt;=1951,INDEX('SALA 1974'!$B:$U,MATCH($A77,'SALA 1974'!$A:$A,0),MATCH(P$1,'SALA 1974'!$B$1:$U$1,0)),IF($A77&lt;=1994,1000*INDEX('SALA 2002'!$B:$U,MATCH($A77,'SALA 2002'!$A:$A,0),MATCH(P$1,'SALA 2002'!$B$1:$U$1,0)),IF($A77&lt;=2000,1000*INDEX('SALA 2002'!$B:$U,MATCH($A77,'SALA 2002'!$A:$A,0),MATCH(P$1,'SALA 2002'!$B$1:$U$1,0))*POWER(INDEX('WPP 2024 середина года'!$B:$U,MATCH($A77,'WPP 2024 середина года'!$A:$A,0),MATCH(P$1,'WPP 2024 середина года'!$B$1:$U$1,0))/(1000*INDEX('SALA 2002'!$B:$U,MATCH($A77,'SALA 2002'!$A:$A,0),MATCH(P$1,'SALA 2002'!$B$1:$U$1,0))),($A77-1994)/7),INDEX('WPP 2024 середина года'!$B:$U,MATCH($A77,'WPP 2024 середина года'!$A:$A,0),MATCH(P$1,'WPP 2024 середина года'!$B$1:$U$1,0)))))</f>
        <v>2160</v>
      </c>
      <c r="Q77" s="7">
        <f>IF($A77&lt;=1951,INDEX('SALA 1974'!$B:$U,MATCH($A77,'SALA 1974'!$A:$A,0),MATCH(Q$1,'SALA 1974'!$B$1:$U$1,0)),IF($A77&lt;=1994,1000*INDEX('SALA 2002'!$B:$U,MATCH($A77,'SALA 2002'!$A:$A,0),MATCH(Q$1,'SALA 2002'!$B$1:$U$1,0)),IF($A77&lt;=2000,1000*INDEX('SALA 2002'!$B:$U,MATCH($A77,'SALA 2002'!$A:$A,0),MATCH(Q$1,'SALA 2002'!$B$1:$U$1,0))*POWER(INDEX('WPP 2024 середина года'!$B:$U,MATCH($A77,'WPP 2024 середина года'!$A:$A,0),MATCH(Q$1,'WPP 2024 середина года'!$B$1:$U$1,0))/(1000*INDEX('SALA 2002'!$B:$U,MATCH($A77,'SALA 2002'!$A:$A,0),MATCH(Q$1,'SALA 2002'!$B$1:$U$1,0))),($A77-1994)/7),INDEX('WPP 2024 середина года'!$B:$U,MATCH($A77,'WPP 2024 середина года'!$A:$A,0),MATCH(Q$1,'WPP 2024 середина года'!$B$1:$U$1,0)))))</f>
        <v>1680</v>
      </c>
      <c r="R77" s="7">
        <f>IF($A77&lt;=1951,INDEX('SALA 1974'!$B:$U,MATCH($A77,'SALA 1974'!$A:$A,0),MATCH(R$1,'SALA 1974'!$B$1:$U$1,0)),IF($A77&lt;=1994,1000*INDEX('SALA 2002'!$B:$U,MATCH($A77,'SALA 2002'!$A:$A,0),MATCH(R$1,'SALA 2002'!$B$1:$U$1,0)),IF($A77&lt;=2000,1000*INDEX('SALA 2002'!$B:$U,MATCH($A77,'SALA 2002'!$A:$A,0),MATCH(R$1,'SALA 2002'!$B$1:$U$1,0))*POWER(INDEX('WPP 2024 середина года'!$B:$U,MATCH($A77,'WPP 2024 середина года'!$A:$A,0),MATCH(R$1,'WPP 2024 середина года'!$B$1:$U$1,0))/(1000*INDEX('SALA 2002'!$B:$U,MATCH($A77,'SALA 2002'!$A:$A,0),MATCH(R$1,'SALA 2002'!$B$1:$U$1,0))),($A77-1994)/7),INDEX('WPP 2024 середина года'!$B:$U,MATCH($A77,'WPP 2024 середина года'!$A:$A,0),MATCH(R$1,'WPP 2024 середина года'!$B$1:$U$1,0)))))</f>
        <v>2690</v>
      </c>
      <c r="S77" s="7">
        <f>IF($A77&lt;=1951,INDEX('SALA 1974'!$B:$U,MATCH($A77,'SALA 1974'!$A:$A,0),MATCH(S$1,'SALA 1974'!$B$1:$U$1,0)),IF($A77&lt;=1994,1000*INDEX('SALA 2002'!$B:$U,MATCH($A77,'SALA 2002'!$A:$A,0),MATCH(S$1,'SALA 2002'!$B$1:$U$1,0)),IF($A77&lt;=2000,1000*INDEX('SALA 2002'!$B:$U,MATCH($A77,'SALA 2002'!$A:$A,0),MATCH(S$1,'SALA 2002'!$B$1:$U$1,0))*POWER(INDEX('WPP 2024 середина года'!$B:$U,MATCH($A77,'WPP 2024 середина года'!$A:$A,0),MATCH(S$1,'WPP 2024 середина года'!$B$1:$U$1,0))/(1000*INDEX('SALA 2002'!$B:$U,MATCH($A77,'SALA 2002'!$A:$A,0),MATCH(S$1,'SALA 2002'!$B$1:$U$1,0))),($A77-1994)/7),INDEX('WPP 2024 середина года'!$B:$U,MATCH($A77,'WPP 2024 середина года'!$A:$A,0),MATCH(S$1,'WPP 2024 середина года'!$B$1:$U$1,0)))))</f>
        <v>15470</v>
      </c>
      <c r="T77" s="7">
        <f>IF($A77&lt;=1951,INDEX('SALA 1974'!$B:$U,MATCH($A77,'SALA 1974'!$A:$A,0),MATCH(T$1,'SALA 1974'!$B$1:$U$1,0)),IF($A77&lt;=1994,1000*INDEX('SALA 2002'!$B:$U,MATCH($A77,'SALA 2002'!$A:$A,0),MATCH(T$1,'SALA 2002'!$B$1:$U$1,0)),IF($A77&lt;=2000,1000*INDEX('SALA 2002'!$B:$U,MATCH($A77,'SALA 2002'!$A:$A,0),MATCH(T$1,'SALA 2002'!$B$1:$U$1,0))*POWER(INDEX('WPP 2024 середина года'!$B:$U,MATCH($A77,'WPP 2024 середина года'!$A:$A,0),MATCH(T$1,'WPP 2024 середина года'!$B$1:$U$1,0))/(1000*INDEX('SALA 2002'!$B:$U,MATCH($A77,'SALA 2002'!$A:$A,0),MATCH(T$1,'SALA 2002'!$B$1:$U$1,0))),($A77-1994)/7),INDEX('WPP 2024 середина года'!$B:$U,MATCH($A77,'WPP 2024 середина года'!$A:$A,0),MATCH(T$1,'WPP 2024 середина года'!$B$1:$U$1,0)))))</f>
        <v>2830</v>
      </c>
      <c r="U77" s="7">
        <f>IF($A77&lt;=1951,INDEX('SALA 1974'!$B:$U,MATCH($A77,'SALA 1974'!$A:$A,0),MATCH(U$1,'SALA 1974'!$B$1:$U$1,0)),IF($A77&lt;=1994,1000*INDEX('SALA 2002'!$B:$U,MATCH($A77,'SALA 2002'!$A:$A,0),MATCH(U$1,'SALA 2002'!$B$1:$U$1,0)),IF($A77&lt;=2000,1000*INDEX('SALA 2002'!$B:$U,MATCH($A77,'SALA 2002'!$A:$A,0),MATCH(U$1,'SALA 2002'!$B$1:$U$1,0))*POWER(INDEX('WPP 2024 середина года'!$B:$U,MATCH($A77,'WPP 2024 середина года'!$A:$A,0),MATCH(U$1,'WPP 2024 середина года'!$B$1:$U$1,0))/(1000*INDEX('SALA 2002'!$B:$U,MATCH($A77,'SALA 2002'!$A:$A,0),MATCH(U$1,'SALA 2002'!$B$1:$U$1,0))),($A77-1994)/7),INDEX('WPP 2024 середина года'!$B:$U,MATCH($A77,'WPP 2024 середина года'!$A:$A,0),MATCH(U$1,'WPP 2024 середина года'!$B$1:$U$1,0)))))</f>
        <v>12670</v>
      </c>
    </row>
    <row r="78" spans="1:21" x14ac:dyDescent="0.25">
      <c r="A78" s="5">
        <f t="shared" si="1"/>
        <v>1976</v>
      </c>
      <c r="B78" s="7">
        <f>IF($A78&lt;=1951,INDEX('SALA 1974'!$B:$U,MATCH($A78,'SALA 1974'!$A:$A,0),MATCH(B$1,'SALA 1974'!$B$1:$U$1,0)),IF($A78&lt;=1994,1000*INDEX('SALA 2002'!$B:$U,MATCH($A78,'SALA 2002'!$A:$A,0),MATCH(B$1,'SALA 2002'!$B$1:$U$1,0)),IF($A78&lt;=2000,1000*INDEX('SALA 2002'!$B:$U,MATCH($A78,'SALA 2002'!$A:$A,0),MATCH(B$1,'SALA 2002'!$B$1:$U$1,0))*POWER(INDEX('WPP 2024 середина года'!$B:$U,MATCH($A78,'WPP 2024 середина года'!$A:$A,0),MATCH(B$1,'WPP 2024 середина года'!$B$1:$U$1,0))/(1000*INDEX('SALA 2002'!$B:$U,MATCH($A78,'SALA 2002'!$A:$A,0),MATCH(B$1,'SALA 2002'!$B$1:$U$1,0))),($A78-1994)/7),INDEX('WPP 2024 середина года'!$B:$U,MATCH($A78,'WPP 2024 середина года'!$A:$A,0),MATCH(B$1,'WPP 2024 середина года'!$B$1:$U$1,0)))))</f>
        <v>26480</v>
      </c>
      <c r="C78" s="7">
        <f>IF($A78&lt;=1951,INDEX('SALA 1974'!$B:$U,MATCH($A78,'SALA 1974'!$A:$A,0),MATCH(C$1,'SALA 1974'!$B$1:$U$1,0)),IF($A78&lt;=1994,1000*INDEX('SALA 2002'!$B:$U,MATCH($A78,'SALA 2002'!$A:$A,0),MATCH(C$1,'SALA 2002'!$B$1:$U$1,0)),IF($A78&lt;=2000,1000*INDEX('SALA 2002'!$B:$U,MATCH($A78,'SALA 2002'!$A:$A,0),MATCH(C$1,'SALA 2002'!$B$1:$U$1,0))*POWER(INDEX('WPP 2024 середина года'!$B:$U,MATCH($A78,'WPP 2024 середина года'!$A:$A,0),MATCH(C$1,'WPP 2024 середина года'!$B$1:$U$1,0))/(1000*INDEX('SALA 2002'!$B:$U,MATCH($A78,'SALA 2002'!$A:$A,0),MATCH(C$1,'SALA 2002'!$B$1:$U$1,0))),($A78-1994)/7),INDEX('WPP 2024 середина года'!$B:$U,MATCH($A78,'WPP 2024 середина года'!$A:$A,0),MATCH(C$1,'WPP 2024 середина года'!$B$1:$U$1,0)))))</f>
        <v>5030</v>
      </c>
      <c r="D78" s="7">
        <f>IF($A78&lt;=1951,INDEX('SALA 1974'!$B:$U,MATCH($A78,'SALA 1974'!$A:$A,0),MATCH(D$1,'SALA 1974'!$B$1:$U$1,0)),IF($A78&lt;=1994,1000*INDEX('SALA 2002'!$B:$U,MATCH($A78,'SALA 2002'!$A:$A,0),MATCH(D$1,'SALA 2002'!$B$1:$U$1,0)),IF($A78&lt;=2000,1000*INDEX('SALA 2002'!$B:$U,MATCH($A78,'SALA 2002'!$A:$A,0),MATCH(D$1,'SALA 2002'!$B$1:$U$1,0))*POWER(INDEX('WPP 2024 середина года'!$B:$U,MATCH($A78,'WPP 2024 середина года'!$A:$A,0),MATCH(D$1,'WPP 2024 середина года'!$B$1:$U$1,0))/(1000*INDEX('SALA 2002'!$B:$U,MATCH($A78,'SALA 2002'!$A:$A,0),MATCH(D$1,'SALA 2002'!$B$1:$U$1,0))),($A78-1994)/7),INDEX('WPP 2024 середина года'!$B:$U,MATCH($A78,'WPP 2024 середина года'!$A:$A,0),MATCH(D$1,'WPP 2024 середина года'!$B$1:$U$1,0)))))</f>
        <v>107540</v>
      </c>
      <c r="E78" s="7">
        <f>IF($A78&lt;=1951,INDEX('SALA 1974'!$B:$U,MATCH($A78,'SALA 1974'!$A:$A,0),MATCH(E$1,'SALA 1974'!$B$1:$U$1,0)),IF($A78&lt;=1994,1000*INDEX('SALA 2002'!$B:$U,MATCH($A78,'SALA 2002'!$A:$A,0),MATCH(E$1,'SALA 2002'!$B$1:$U$1,0)),IF($A78&lt;=2000,1000*INDEX('SALA 2002'!$B:$U,MATCH($A78,'SALA 2002'!$A:$A,0),MATCH(E$1,'SALA 2002'!$B$1:$U$1,0))*POWER(INDEX('WPP 2024 середина года'!$B:$U,MATCH($A78,'WPP 2024 середина года'!$A:$A,0),MATCH(E$1,'WPP 2024 середина года'!$B$1:$U$1,0))/(1000*INDEX('SALA 2002'!$B:$U,MATCH($A78,'SALA 2002'!$A:$A,0),MATCH(E$1,'SALA 2002'!$B$1:$U$1,0))),($A78-1994)/7),INDEX('WPP 2024 середина года'!$B:$U,MATCH($A78,'WPP 2024 середина года'!$A:$A,0),MATCH(E$1,'WPP 2024 середина года'!$B$1:$U$1,0)))))</f>
        <v>10370</v>
      </c>
      <c r="F78" s="7">
        <f>IF($A78&lt;=1947,INDEX('SALA 1974'!$B:$U,MATCH($A78,'SALA 1974'!$A:$A,0),MATCH(F$1,'SALA 1974'!$B$1:$U$1,0)),IF($A78&lt;=1994,1000*INDEX('SALA 2002'!$B:$U,MATCH($A78,'SALA 2002'!$A:$A,0),MATCH(F$1,'SALA 2002'!$B$1:$U$1,0)),IF($A78&lt;=2000,1000*INDEX('SALA 2002'!$B:$U,MATCH($A78,'SALA 2002'!$A:$A,0),MATCH(F$1,'SALA 2002'!$B$1:$U$1,0))*POWER(INDEX('WPP 2024 середина года'!$B:$U,MATCH($A78,'WPP 2024 середина года'!$A:$A,0),MATCH(F$1,'WPP 2024 середина года'!$B$1:$U$1,0))/(1000*INDEX('SALA 2002'!$B:$U,MATCH($A78,'SALA 2002'!$A:$A,0),MATCH(F$1,'SALA 2002'!$B$1:$U$1,0))),($A78-1994)/7),INDEX('WPP 2024 середина года'!$B:$U,MATCH($A78,'WPP 2024 середина года'!$A:$A,0),MATCH(F$1,'WPP 2024 середина года'!$B$1:$U$1,0)))))</f>
        <v>24330</v>
      </c>
      <c r="G78" s="7">
        <f>IF($A78&lt;=1951,INDEX('SALA 1974'!$B:$U,MATCH($A78,'SALA 1974'!$A:$A,0),MATCH(G$1,'SALA 1974'!$B$1:$U$1,0)),IF($A78&lt;=1994,1000*INDEX('SALA 2002'!$B:$U,MATCH($A78,'SALA 2002'!$A:$A,0),MATCH(G$1,'SALA 2002'!$B$1:$U$1,0)),IF($A78&lt;=2000,1000*INDEX('SALA 2002'!$B:$U,MATCH($A78,'SALA 2002'!$A:$A,0),MATCH(G$1,'SALA 2002'!$B$1:$U$1,0))*POWER(INDEX('WPP 2024 середина года'!$B:$U,MATCH($A78,'WPP 2024 середина года'!$A:$A,0),MATCH(G$1,'WPP 2024 середина года'!$B$1:$U$1,0))/(1000*INDEX('SALA 2002'!$B:$U,MATCH($A78,'SALA 2002'!$A:$A,0),MATCH(G$1,'SALA 2002'!$B$1:$U$1,0))),($A78-1994)/7),INDEX('WPP 2024 середина года'!$B:$U,MATCH($A78,'WPP 2024 середина года'!$A:$A,0),MATCH(G$1,'WPP 2024 середина года'!$B$1:$U$1,0)))))</f>
        <v>2009.9999999999998</v>
      </c>
      <c r="H78" s="7">
        <f>IF($A78&lt;=1951,INDEX('SALA 1974'!$B:$U,MATCH($A78,'SALA 1974'!$A:$A,0),MATCH(H$1,'SALA 1974'!$B$1:$U$1,0)),IF($A78&lt;=1994,1000*INDEX('SALA 2002'!$B:$U,MATCH($A78,'SALA 2002'!$A:$A,0),MATCH(H$1,'SALA 2002'!$B$1:$U$1,0)),IF($A78&lt;=2000,1000*INDEX('SALA 2002'!$B:$U,MATCH($A78,'SALA 2002'!$A:$A,0),MATCH(H$1,'SALA 2002'!$B$1:$U$1,0))*POWER(INDEX('WPP 2024 середина года'!$B:$U,MATCH($A78,'WPP 2024 середина года'!$A:$A,0),MATCH(H$1,'WPP 2024 середина года'!$B$1:$U$1,0))/(1000*INDEX('SALA 2002'!$B:$U,MATCH($A78,'SALA 2002'!$A:$A,0),MATCH(H$1,'SALA 2002'!$B$1:$U$1,0))),($A78-1994)/7),INDEX('WPP 2024 середина года'!$B:$U,MATCH($A78,'WPP 2024 середина года'!$A:$A,0),MATCH(H$1,'WPP 2024 середина года'!$B$1:$U$1,0)))))</f>
        <v>9430</v>
      </c>
      <c r="I78" s="7">
        <f>IF($A78&lt;=1951,INDEX('SALA 1974'!$B:$U,MATCH($A78,'SALA 1974'!$A:$A,0),MATCH(I$1,'SALA 1974'!$B$1:$U$1,0)),IF($A78&lt;=1994,1000*INDEX('SALA 2002'!$B:$U,MATCH($A78,'SALA 2002'!$A:$A,0),MATCH(I$1,'SALA 2002'!$B$1:$U$1,0)),IF($A78&lt;=2000,1000*INDEX('SALA 2002'!$B:$U,MATCH($A78,'SALA 2002'!$A:$A,0),MATCH(I$1,'SALA 2002'!$B$1:$U$1,0))*POWER(INDEX('WPP 2024 середина года'!$B:$U,MATCH($A78,'WPP 2024 середина года'!$A:$A,0),MATCH(I$1,'WPP 2024 середина года'!$B$1:$U$1,0))/(1000*INDEX('SALA 2002'!$B:$U,MATCH($A78,'SALA 2002'!$A:$A,0),MATCH(I$1,'SALA 2002'!$B$1:$U$1,0))),($A78-1994)/7),INDEX('WPP 2024 середина года'!$B:$U,MATCH($A78,'WPP 2024 середина года'!$A:$A,0),MATCH(I$1,'WPP 2024 середина года'!$B$1:$U$1,0)))))</f>
        <v>4890</v>
      </c>
      <c r="J78" s="7">
        <f>IF($A78&lt;=1951,INDEX('SALA 1974'!$B:$U,MATCH($A78,'SALA 1974'!$A:$A,0),MATCH(J$1,'SALA 1974'!$B$1:$U$1,0)),IF($A78&lt;=1994,1000*INDEX('SALA 2002'!$B:$U,MATCH($A78,'SALA 2002'!$A:$A,0),MATCH(J$1,'SALA 2002'!$B$1:$U$1,0)),IF($A78&lt;=2000,1000*INDEX('SALA 2002'!$B:$U,MATCH($A78,'SALA 2002'!$A:$A,0),MATCH(J$1,'SALA 2002'!$B$1:$U$1,0))*POWER(INDEX('WPP 2024 середина года'!$B:$U,MATCH($A78,'WPP 2024 середина года'!$A:$A,0),MATCH(J$1,'WPP 2024 середина года'!$B$1:$U$1,0))/(1000*INDEX('SALA 2002'!$B:$U,MATCH($A78,'SALA 2002'!$A:$A,0),MATCH(J$1,'SALA 2002'!$B$1:$U$1,0))),($A78-1994)/7),INDEX('WPP 2024 середина года'!$B:$U,MATCH($A78,'WPP 2024 середина года'!$A:$A,0),MATCH(J$1,'WPP 2024 середина года'!$B$1:$U$1,0)))))</f>
        <v>7240</v>
      </c>
      <c r="K78" s="7">
        <f>IF($A78&lt;=1951,INDEX('SALA 1974'!$B:$U,MATCH($A78,'SALA 1974'!$A:$A,0),MATCH(K$1,'SALA 1974'!$B$1:$U$1,0)),IF($A78&lt;=1994,1000*INDEX('SALA 2002'!$B:$U,MATCH($A78,'SALA 2002'!$A:$A,0),MATCH(K$1,'SALA 2002'!$B$1:$U$1,0)),IF($A78&lt;=2000,1000*INDEX('SALA 2002'!$B:$U,MATCH($A78,'SALA 2002'!$A:$A,0),MATCH(K$1,'SALA 2002'!$B$1:$U$1,0))*POWER(INDEX('WPP 2024 середина года'!$B:$U,MATCH($A78,'WPP 2024 середина года'!$A:$A,0),MATCH(K$1,'WPP 2024 середина года'!$B$1:$U$1,0))/(1000*INDEX('SALA 2002'!$B:$U,MATCH($A78,'SALA 2002'!$A:$A,0),MATCH(K$1,'SALA 2002'!$B$1:$U$1,0))),($A78-1994)/7),INDEX('WPP 2024 середина года'!$B:$U,MATCH($A78,'WPP 2024 середина года'!$A:$A,0),MATCH(K$1,'WPP 2024 середина года'!$B$1:$U$1,0)))))</f>
        <v>4120</v>
      </c>
      <c r="L78" s="7">
        <f>IF($A78&lt;=1951,INDEX('SALA 1974'!$B:$U,MATCH($A78,'SALA 1974'!$A:$A,0),MATCH(L$1,'SALA 1974'!$B$1:$U$1,0)),IF($A78&lt;=1994,1000*INDEX('SALA 2002'!$B:$U,MATCH($A78,'SALA 2002'!$A:$A,0),MATCH(L$1,'SALA 2002'!$B$1:$U$1,0)),IF($A78&lt;=2000,1000*INDEX('SALA 2002'!$B:$U,MATCH($A78,'SALA 2002'!$A:$A,0),MATCH(L$1,'SALA 2002'!$B$1:$U$1,0))*POWER(INDEX('WPP 2024 середина года'!$B:$U,MATCH($A78,'WPP 2024 середина года'!$A:$A,0),MATCH(L$1,'WPP 2024 середина года'!$B$1:$U$1,0))/(1000*INDEX('SALA 2002'!$B:$U,MATCH($A78,'SALA 2002'!$A:$A,0),MATCH(L$1,'SALA 2002'!$B$1:$U$1,0))),($A78-1994)/7),INDEX('WPP 2024 середина года'!$B:$U,MATCH($A78,'WPP 2024 середина года'!$A:$A,0),MATCH(L$1,'WPP 2024 середина года'!$B$1:$U$1,0)))))</f>
        <v>6430</v>
      </c>
      <c r="M78" s="7">
        <f>IF($A78&lt;=1951,INDEX('SALA 1974'!$B:$U,MATCH($A78,'SALA 1974'!$A:$A,0),MATCH(M$1,'SALA 1974'!$B$1:$U$1,0)),IF($A78&lt;=1994,1000*INDEX('SALA 2002'!$B:$U,MATCH($A78,'SALA 2002'!$A:$A,0),MATCH(M$1,'SALA 2002'!$B$1:$U$1,0)),IF($A78&lt;=2000,1000*INDEX('SALA 2002'!$B:$U,MATCH($A78,'SALA 2002'!$A:$A,0),MATCH(M$1,'SALA 2002'!$B$1:$U$1,0))*POWER(INDEX('WPP 2024 середина года'!$B:$U,MATCH($A78,'WPP 2024 середина года'!$A:$A,0),MATCH(M$1,'WPP 2024 середина года'!$B$1:$U$1,0))/(1000*INDEX('SALA 2002'!$B:$U,MATCH($A78,'SALA 2002'!$A:$A,0),MATCH(M$1,'SALA 2002'!$B$1:$U$1,0))),($A78-1994)/7),INDEX('WPP 2024 середина года'!$B:$U,MATCH($A78,'WPP 2024 середина года'!$A:$A,0),MATCH(M$1,'WPP 2024 середина года'!$B$1:$U$1,0)))))</f>
        <v>4670</v>
      </c>
      <c r="N78" s="7">
        <f>IF($A78&lt;=1951,INDEX('SALA 1974'!$B:$U,MATCH($A78,'SALA 1974'!$A:$A,0),MATCH(N$1,'SALA 1974'!$B$1:$U$1,0)),IF($A78&lt;=1994,1000*INDEX('SALA 2002'!$B:$U,MATCH($A78,'SALA 2002'!$A:$A,0),MATCH(N$1,'SALA 2002'!$B$1:$U$1,0)),IF($A78&lt;=2000,1000*INDEX('SALA 2002'!$B:$U,MATCH($A78,'SALA 2002'!$A:$A,0),MATCH(N$1,'SALA 2002'!$B$1:$U$1,0))*POWER(INDEX('WPP 2024 середина года'!$B:$U,MATCH($A78,'WPP 2024 середина года'!$A:$A,0),MATCH(N$1,'WPP 2024 середина года'!$B$1:$U$1,0))/(1000*INDEX('SALA 2002'!$B:$U,MATCH($A78,'SALA 2002'!$A:$A,0),MATCH(N$1,'SALA 2002'!$B$1:$U$1,0))),($A78-1994)/7),INDEX('WPP 2024 середина года'!$B:$U,MATCH($A78,'WPP 2024 середина года'!$A:$A,0),MATCH(N$1,'WPP 2024 середина года'!$B$1:$U$1,0)))))</f>
        <v>3200</v>
      </c>
      <c r="O78" s="7">
        <f>IF($A78&lt;=1951,INDEX('SALA 1974'!$B:$U,MATCH($A78,'SALA 1974'!$A:$A,0),MATCH(O$1,'SALA 1974'!$B$1:$U$1,0)),IF($A78&lt;=1994,1000*INDEX('SALA 2002'!$B:$U,MATCH($A78,'SALA 2002'!$A:$A,0),MATCH(O$1,'SALA 2002'!$B$1:$U$1,0)),IF($A78&lt;=2000,1000*INDEX('SALA 2002'!$B:$U,MATCH($A78,'SALA 2002'!$A:$A,0),MATCH(O$1,'SALA 2002'!$B$1:$U$1,0))*POWER(INDEX('WPP 2024 середина года'!$B:$U,MATCH($A78,'WPP 2024 середина года'!$A:$A,0),MATCH(O$1,'WPP 2024 середина года'!$B$1:$U$1,0))/(1000*INDEX('SALA 2002'!$B:$U,MATCH($A78,'SALA 2002'!$A:$A,0),MATCH(O$1,'SALA 2002'!$B$1:$U$1,0))),($A78-1994)/7),INDEX('WPP 2024 середина года'!$B:$U,MATCH($A78,'WPP 2024 середина года'!$A:$A,0),MATCH(O$1,'WPP 2024 середина года'!$B$1:$U$1,0)))))</f>
        <v>61980</v>
      </c>
      <c r="P78" s="7">
        <f>IF($A78&lt;=1951,INDEX('SALA 1974'!$B:$U,MATCH($A78,'SALA 1974'!$A:$A,0),MATCH(P$1,'SALA 1974'!$B$1:$U$1,0)),IF($A78&lt;=1994,1000*INDEX('SALA 2002'!$B:$U,MATCH($A78,'SALA 2002'!$A:$A,0),MATCH(P$1,'SALA 2002'!$B$1:$U$1,0)),IF($A78&lt;=2000,1000*INDEX('SALA 2002'!$B:$U,MATCH($A78,'SALA 2002'!$A:$A,0),MATCH(P$1,'SALA 2002'!$B$1:$U$1,0))*POWER(INDEX('WPP 2024 середина года'!$B:$U,MATCH($A78,'WPP 2024 середина года'!$A:$A,0),MATCH(P$1,'WPP 2024 середина года'!$B$1:$U$1,0))/(1000*INDEX('SALA 2002'!$B:$U,MATCH($A78,'SALA 2002'!$A:$A,0),MATCH(P$1,'SALA 2002'!$B$1:$U$1,0))),($A78-1994)/7),INDEX('WPP 2024 середина года'!$B:$U,MATCH($A78,'WPP 2024 середина года'!$A:$A,0),MATCH(P$1,'WPP 2024 середина года'!$B$1:$U$1,0)))))</f>
        <v>2240</v>
      </c>
      <c r="Q78" s="7">
        <f>IF($A78&lt;=1951,INDEX('SALA 1974'!$B:$U,MATCH($A78,'SALA 1974'!$A:$A,0),MATCH(Q$1,'SALA 1974'!$B$1:$U$1,0)),IF($A78&lt;=1994,1000*INDEX('SALA 2002'!$B:$U,MATCH($A78,'SALA 2002'!$A:$A,0),MATCH(Q$1,'SALA 2002'!$B$1:$U$1,0)),IF($A78&lt;=2000,1000*INDEX('SALA 2002'!$B:$U,MATCH($A78,'SALA 2002'!$A:$A,0),MATCH(Q$1,'SALA 2002'!$B$1:$U$1,0))*POWER(INDEX('WPP 2024 середина года'!$B:$U,MATCH($A78,'WPP 2024 середина года'!$A:$A,0),MATCH(Q$1,'WPP 2024 середина года'!$B$1:$U$1,0))/(1000*INDEX('SALA 2002'!$B:$U,MATCH($A78,'SALA 2002'!$A:$A,0),MATCH(Q$1,'SALA 2002'!$B$1:$U$1,0))),($A78-1994)/7),INDEX('WPP 2024 середина года'!$B:$U,MATCH($A78,'WPP 2024 середина года'!$A:$A,0),MATCH(Q$1,'WPP 2024 середина года'!$B$1:$U$1,0)))))</f>
        <v>1720</v>
      </c>
      <c r="R78" s="7">
        <f>IF($A78&lt;=1951,INDEX('SALA 1974'!$B:$U,MATCH($A78,'SALA 1974'!$A:$A,0),MATCH(R$1,'SALA 1974'!$B$1:$U$1,0)),IF($A78&lt;=1994,1000*INDEX('SALA 2002'!$B:$U,MATCH($A78,'SALA 2002'!$A:$A,0),MATCH(R$1,'SALA 2002'!$B$1:$U$1,0)),IF($A78&lt;=2000,1000*INDEX('SALA 2002'!$B:$U,MATCH($A78,'SALA 2002'!$A:$A,0),MATCH(R$1,'SALA 2002'!$B$1:$U$1,0))*POWER(INDEX('WPP 2024 середина года'!$B:$U,MATCH($A78,'WPP 2024 середина года'!$A:$A,0),MATCH(R$1,'WPP 2024 середина года'!$B$1:$U$1,0))/(1000*INDEX('SALA 2002'!$B:$U,MATCH($A78,'SALA 2002'!$A:$A,0),MATCH(R$1,'SALA 2002'!$B$1:$U$1,0))),($A78-1994)/7),INDEX('WPP 2024 середина года'!$B:$U,MATCH($A78,'WPP 2024 середина года'!$A:$A,0),MATCH(R$1,'WPP 2024 середина года'!$B$1:$U$1,0)))))</f>
        <v>2780</v>
      </c>
      <c r="S78" s="7">
        <f>IF($A78&lt;=1951,INDEX('SALA 1974'!$B:$U,MATCH($A78,'SALA 1974'!$A:$A,0),MATCH(S$1,'SALA 1974'!$B$1:$U$1,0)),IF($A78&lt;=1994,1000*INDEX('SALA 2002'!$B:$U,MATCH($A78,'SALA 2002'!$A:$A,0),MATCH(S$1,'SALA 2002'!$B$1:$U$1,0)),IF($A78&lt;=2000,1000*INDEX('SALA 2002'!$B:$U,MATCH($A78,'SALA 2002'!$A:$A,0),MATCH(S$1,'SALA 2002'!$B$1:$U$1,0))*POWER(INDEX('WPP 2024 середина года'!$B:$U,MATCH($A78,'WPP 2024 середина года'!$A:$A,0),MATCH(S$1,'WPP 2024 середина года'!$B$1:$U$1,0))/(1000*INDEX('SALA 2002'!$B:$U,MATCH($A78,'SALA 2002'!$A:$A,0),MATCH(S$1,'SALA 2002'!$B$1:$U$1,0))),($A78-1994)/7),INDEX('WPP 2024 середина года'!$B:$U,MATCH($A78,'WPP 2024 середина года'!$A:$A,0),MATCH(S$1,'WPP 2024 середина года'!$B$1:$U$1,0)))))</f>
        <v>15570</v>
      </c>
      <c r="T78" s="7">
        <f>IF($A78&lt;=1951,INDEX('SALA 1974'!$B:$U,MATCH($A78,'SALA 1974'!$A:$A,0),MATCH(T$1,'SALA 1974'!$B$1:$U$1,0)),IF($A78&lt;=1994,1000*INDEX('SALA 2002'!$B:$U,MATCH($A78,'SALA 2002'!$A:$A,0),MATCH(T$1,'SALA 2002'!$B$1:$U$1,0)),IF($A78&lt;=2000,1000*INDEX('SALA 2002'!$B:$U,MATCH($A78,'SALA 2002'!$A:$A,0),MATCH(T$1,'SALA 2002'!$B$1:$U$1,0))*POWER(INDEX('WPP 2024 середина года'!$B:$U,MATCH($A78,'WPP 2024 середина года'!$A:$A,0),MATCH(T$1,'WPP 2024 середина года'!$B$1:$U$1,0))/(1000*INDEX('SALA 2002'!$B:$U,MATCH($A78,'SALA 2002'!$A:$A,0),MATCH(T$1,'SALA 2002'!$B$1:$U$1,0))),($A78-1994)/7),INDEX('WPP 2024 середина года'!$B:$U,MATCH($A78,'WPP 2024 середина года'!$A:$A,0),MATCH(T$1,'WPP 2024 середина года'!$B$1:$U$1,0)))))</f>
        <v>2850</v>
      </c>
      <c r="U78" s="7">
        <f>IF($A78&lt;=1951,INDEX('SALA 1974'!$B:$U,MATCH($A78,'SALA 1974'!$A:$A,0),MATCH(U$1,'SALA 1974'!$B$1:$U$1,0)),IF($A78&lt;=1994,1000*INDEX('SALA 2002'!$B:$U,MATCH($A78,'SALA 2002'!$A:$A,0),MATCH(U$1,'SALA 2002'!$B$1:$U$1,0)),IF($A78&lt;=2000,1000*INDEX('SALA 2002'!$B:$U,MATCH($A78,'SALA 2002'!$A:$A,0),MATCH(U$1,'SALA 2002'!$B$1:$U$1,0))*POWER(INDEX('WPP 2024 середина года'!$B:$U,MATCH($A78,'WPP 2024 середина года'!$A:$A,0),MATCH(U$1,'WPP 2024 середина года'!$B$1:$U$1,0))/(1000*INDEX('SALA 2002'!$B:$U,MATCH($A78,'SALA 2002'!$A:$A,0),MATCH(U$1,'SALA 2002'!$B$1:$U$1,0))),($A78-1994)/7),INDEX('WPP 2024 середина года'!$B:$U,MATCH($A78,'WPP 2024 середина года'!$A:$A,0),MATCH(U$1,'WPP 2024 середина года'!$B$1:$U$1,0)))))</f>
        <v>13120</v>
      </c>
    </row>
    <row r="79" spans="1:21" x14ac:dyDescent="0.25">
      <c r="A79" s="5">
        <f t="shared" si="1"/>
        <v>1977</v>
      </c>
      <c r="B79" s="7">
        <f>IF($A79&lt;=1951,INDEX('SALA 1974'!$B:$U,MATCH($A79,'SALA 1974'!$A:$A,0),MATCH(B$1,'SALA 1974'!$B$1:$U$1,0)),IF($A79&lt;=1994,1000*INDEX('SALA 2002'!$B:$U,MATCH($A79,'SALA 2002'!$A:$A,0),MATCH(B$1,'SALA 2002'!$B$1:$U$1,0)),IF($A79&lt;=2000,1000*INDEX('SALA 2002'!$B:$U,MATCH($A79,'SALA 2002'!$A:$A,0),MATCH(B$1,'SALA 2002'!$B$1:$U$1,0))*POWER(INDEX('WPP 2024 середина года'!$B:$U,MATCH($A79,'WPP 2024 середина года'!$A:$A,0),MATCH(B$1,'WPP 2024 середина года'!$B$1:$U$1,0))/(1000*INDEX('SALA 2002'!$B:$U,MATCH($A79,'SALA 2002'!$A:$A,0),MATCH(B$1,'SALA 2002'!$B$1:$U$1,0))),($A79-1994)/7),INDEX('WPP 2024 середина года'!$B:$U,MATCH($A79,'WPP 2024 середина года'!$A:$A,0),MATCH(B$1,'WPP 2024 середина года'!$B$1:$U$1,0)))))</f>
        <v>26910</v>
      </c>
      <c r="C79" s="7">
        <f>IF($A79&lt;=1951,INDEX('SALA 1974'!$B:$U,MATCH($A79,'SALA 1974'!$A:$A,0),MATCH(C$1,'SALA 1974'!$B$1:$U$1,0)),IF($A79&lt;=1994,1000*INDEX('SALA 2002'!$B:$U,MATCH($A79,'SALA 2002'!$A:$A,0),MATCH(C$1,'SALA 2002'!$B$1:$U$1,0)),IF($A79&lt;=2000,1000*INDEX('SALA 2002'!$B:$U,MATCH($A79,'SALA 2002'!$A:$A,0),MATCH(C$1,'SALA 2002'!$B$1:$U$1,0))*POWER(INDEX('WPP 2024 середина года'!$B:$U,MATCH($A79,'WPP 2024 середина года'!$A:$A,0),MATCH(C$1,'WPP 2024 середина года'!$B$1:$U$1,0))/(1000*INDEX('SALA 2002'!$B:$U,MATCH($A79,'SALA 2002'!$A:$A,0),MATCH(C$1,'SALA 2002'!$B$1:$U$1,0))),($A79-1994)/7),INDEX('WPP 2024 середина года'!$B:$U,MATCH($A79,'WPP 2024 середина года'!$A:$A,0),MATCH(C$1,'WPP 2024 середина года'!$B$1:$U$1,0)))))</f>
        <v>5160</v>
      </c>
      <c r="D79" s="7">
        <f>IF($A79&lt;=1951,INDEX('SALA 1974'!$B:$U,MATCH($A79,'SALA 1974'!$A:$A,0),MATCH(D$1,'SALA 1974'!$B$1:$U$1,0)),IF($A79&lt;=1994,1000*INDEX('SALA 2002'!$B:$U,MATCH($A79,'SALA 2002'!$A:$A,0),MATCH(D$1,'SALA 2002'!$B$1:$U$1,0)),IF($A79&lt;=2000,1000*INDEX('SALA 2002'!$B:$U,MATCH($A79,'SALA 2002'!$A:$A,0),MATCH(D$1,'SALA 2002'!$B$1:$U$1,0))*POWER(INDEX('WPP 2024 середина года'!$B:$U,MATCH($A79,'WPP 2024 середина года'!$A:$A,0),MATCH(D$1,'WPP 2024 середина года'!$B$1:$U$1,0))/(1000*INDEX('SALA 2002'!$B:$U,MATCH($A79,'SALA 2002'!$A:$A,0),MATCH(D$1,'SALA 2002'!$B$1:$U$1,0))),($A79-1994)/7),INDEX('WPP 2024 середина года'!$B:$U,MATCH($A79,'WPP 2024 середина года'!$A:$A,0),MATCH(D$1,'WPP 2024 середина года'!$B$1:$U$1,0)))))</f>
        <v>110210</v>
      </c>
      <c r="E79" s="7">
        <f>IF($A79&lt;=1951,INDEX('SALA 1974'!$B:$U,MATCH($A79,'SALA 1974'!$A:$A,0),MATCH(E$1,'SALA 1974'!$B$1:$U$1,0)),IF($A79&lt;=1994,1000*INDEX('SALA 2002'!$B:$U,MATCH($A79,'SALA 2002'!$A:$A,0),MATCH(E$1,'SALA 2002'!$B$1:$U$1,0)),IF($A79&lt;=2000,1000*INDEX('SALA 2002'!$B:$U,MATCH($A79,'SALA 2002'!$A:$A,0),MATCH(E$1,'SALA 2002'!$B$1:$U$1,0))*POWER(INDEX('WPP 2024 середина года'!$B:$U,MATCH($A79,'WPP 2024 середина года'!$A:$A,0),MATCH(E$1,'WPP 2024 середина года'!$B$1:$U$1,0))/(1000*INDEX('SALA 2002'!$B:$U,MATCH($A79,'SALA 2002'!$A:$A,0),MATCH(E$1,'SALA 2002'!$B$1:$U$1,0))),($A79-1994)/7),INDEX('WPP 2024 середина года'!$B:$U,MATCH($A79,'WPP 2024 середина года'!$A:$A,0),MATCH(E$1,'WPP 2024 середина года'!$B$1:$U$1,0)))))</f>
        <v>10660</v>
      </c>
      <c r="F79" s="7">
        <f>IF($A79&lt;=1947,INDEX('SALA 1974'!$B:$U,MATCH($A79,'SALA 1974'!$A:$A,0),MATCH(F$1,'SALA 1974'!$B$1:$U$1,0)),IF($A79&lt;=1994,1000*INDEX('SALA 2002'!$B:$U,MATCH($A79,'SALA 2002'!$A:$A,0),MATCH(F$1,'SALA 2002'!$B$1:$U$1,0)),IF($A79&lt;=2000,1000*INDEX('SALA 2002'!$B:$U,MATCH($A79,'SALA 2002'!$A:$A,0),MATCH(F$1,'SALA 2002'!$B$1:$U$1,0))*POWER(INDEX('WPP 2024 середина года'!$B:$U,MATCH($A79,'WPP 2024 середина года'!$A:$A,0),MATCH(F$1,'WPP 2024 середина года'!$B$1:$U$1,0))/(1000*INDEX('SALA 2002'!$B:$U,MATCH($A79,'SALA 2002'!$A:$A,0),MATCH(F$1,'SALA 2002'!$B$1:$U$1,0))),($A79-1994)/7),INDEX('WPP 2024 середина года'!$B:$U,MATCH($A79,'WPP 2024 середина года'!$A:$A,0),MATCH(F$1,'WPP 2024 середина года'!$B$1:$U$1,0)))))</f>
        <v>24430</v>
      </c>
      <c r="G79" s="7">
        <f>IF($A79&lt;=1951,INDEX('SALA 1974'!$B:$U,MATCH($A79,'SALA 1974'!$A:$A,0),MATCH(G$1,'SALA 1974'!$B$1:$U$1,0)),IF($A79&lt;=1994,1000*INDEX('SALA 2002'!$B:$U,MATCH($A79,'SALA 2002'!$A:$A,0),MATCH(G$1,'SALA 2002'!$B$1:$U$1,0)),IF($A79&lt;=2000,1000*INDEX('SALA 2002'!$B:$U,MATCH($A79,'SALA 2002'!$A:$A,0),MATCH(G$1,'SALA 2002'!$B$1:$U$1,0))*POWER(INDEX('WPP 2024 середина года'!$B:$U,MATCH($A79,'WPP 2024 середина года'!$A:$A,0),MATCH(G$1,'WPP 2024 середина года'!$B$1:$U$1,0))/(1000*INDEX('SALA 2002'!$B:$U,MATCH($A79,'SALA 2002'!$A:$A,0),MATCH(G$1,'SALA 2002'!$B$1:$U$1,0))),($A79-1994)/7),INDEX('WPP 2024 середина года'!$B:$U,MATCH($A79,'WPP 2024 середина года'!$A:$A,0),MATCH(G$1,'WPP 2024 середина года'!$B$1:$U$1,0)))))</f>
        <v>2070</v>
      </c>
      <c r="H79" s="7">
        <f>IF($A79&lt;=1951,INDEX('SALA 1974'!$B:$U,MATCH($A79,'SALA 1974'!$A:$A,0),MATCH(H$1,'SALA 1974'!$B$1:$U$1,0)),IF($A79&lt;=1994,1000*INDEX('SALA 2002'!$B:$U,MATCH($A79,'SALA 2002'!$A:$A,0),MATCH(H$1,'SALA 2002'!$B$1:$U$1,0)),IF($A79&lt;=2000,1000*INDEX('SALA 2002'!$B:$U,MATCH($A79,'SALA 2002'!$A:$A,0),MATCH(H$1,'SALA 2002'!$B$1:$U$1,0))*POWER(INDEX('WPP 2024 середина года'!$B:$U,MATCH($A79,'WPP 2024 середина года'!$A:$A,0),MATCH(H$1,'WPP 2024 середина года'!$B$1:$U$1,0))/(1000*INDEX('SALA 2002'!$B:$U,MATCH($A79,'SALA 2002'!$A:$A,0),MATCH(H$1,'SALA 2002'!$B$1:$U$1,0))),($A79-1994)/7),INDEX('WPP 2024 середина года'!$B:$U,MATCH($A79,'WPP 2024 середина года'!$A:$A,0),MATCH(H$1,'WPP 2024 середина года'!$B$1:$U$1,0)))))</f>
        <v>9550</v>
      </c>
      <c r="I79" s="7">
        <f>IF($A79&lt;=1951,INDEX('SALA 1974'!$B:$U,MATCH($A79,'SALA 1974'!$A:$A,0),MATCH(I$1,'SALA 1974'!$B$1:$U$1,0)),IF($A79&lt;=1994,1000*INDEX('SALA 2002'!$B:$U,MATCH($A79,'SALA 2002'!$A:$A,0),MATCH(I$1,'SALA 2002'!$B$1:$U$1,0)),IF($A79&lt;=2000,1000*INDEX('SALA 2002'!$B:$U,MATCH($A79,'SALA 2002'!$A:$A,0),MATCH(I$1,'SALA 2002'!$B$1:$U$1,0))*POWER(INDEX('WPP 2024 середина года'!$B:$U,MATCH($A79,'WPP 2024 середина года'!$A:$A,0),MATCH(I$1,'WPP 2024 середина года'!$B$1:$U$1,0))/(1000*INDEX('SALA 2002'!$B:$U,MATCH($A79,'SALA 2002'!$A:$A,0),MATCH(I$1,'SALA 2002'!$B$1:$U$1,0))),($A79-1994)/7),INDEX('WPP 2024 середина года'!$B:$U,MATCH($A79,'WPP 2024 середина года'!$A:$A,0),MATCH(I$1,'WPP 2024 середина года'!$B$1:$U$1,0)))))</f>
        <v>5030</v>
      </c>
      <c r="J79" s="7">
        <f>IF($A79&lt;=1951,INDEX('SALA 1974'!$B:$U,MATCH($A79,'SALA 1974'!$A:$A,0),MATCH(J$1,'SALA 1974'!$B$1:$U$1,0)),IF($A79&lt;=1994,1000*INDEX('SALA 2002'!$B:$U,MATCH($A79,'SALA 2002'!$A:$A,0),MATCH(J$1,'SALA 2002'!$B$1:$U$1,0)),IF($A79&lt;=2000,1000*INDEX('SALA 2002'!$B:$U,MATCH($A79,'SALA 2002'!$A:$A,0),MATCH(J$1,'SALA 2002'!$B$1:$U$1,0))*POWER(INDEX('WPP 2024 середина года'!$B:$U,MATCH($A79,'WPP 2024 середина года'!$A:$A,0),MATCH(J$1,'WPP 2024 середина года'!$B$1:$U$1,0))/(1000*INDEX('SALA 2002'!$B:$U,MATCH($A79,'SALA 2002'!$A:$A,0),MATCH(J$1,'SALA 2002'!$B$1:$U$1,0))),($A79-1994)/7),INDEX('WPP 2024 середина года'!$B:$U,MATCH($A79,'WPP 2024 середина года'!$A:$A,0),MATCH(J$1,'WPP 2024 середина года'!$B$1:$U$1,0)))))</f>
        <v>7450</v>
      </c>
      <c r="K79" s="7">
        <f>IF($A79&lt;=1951,INDEX('SALA 1974'!$B:$U,MATCH($A79,'SALA 1974'!$A:$A,0),MATCH(K$1,'SALA 1974'!$B$1:$U$1,0)),IF($A79&lt;=1994,1000*INDEX('SALA 2002'!$B:$U,MATCH($A79,'SALA 2002'!$A:$A,0),MATCH(K$1,'SALA 2002'!$B$1:$U$1,0)),IF($A79&lt;=2000,1000*INDEX('SALA 2002'!$B:$U,MATCH($A79,'SALA 2002'!$A:$A,0),MATCH(K$1,'SALA 2002'!$B$1:$U$1,0))*POWER(INDEX('WPP 2024 середина года'!$B:$U,MATCH($A79,'WPP 2024 середина года'!$A:$A,0),MATCH(K$1,'WPP 2024 середина года'!$B$1:$U$1,0))/(1000*INDEX('SALA 2002'!$B:$U,MATCH($A79,'SALA 2002'!$A:$A,0),MATCH(K$1,'SALA 2002'!$B$1:$U$1,0))),($A79-1994)/7),INDEX('WPP 2024 середина года'!$B:$U,MATCH($A79,'WPP 2024 середина года'!$A:$A,0),MATCH(K$1,'WPP 2024 середина года'!$B$1:$U$1,0)))))</f>
        <v>4260</v>
      </c>
      <c r="L79" s="7">
        <f>IF($A79&lt;=1951,INDEX('SALA 1974'!$B:$U,MATCH($A79,'SALA 1974'!$A:$A,0),MATCH(L$1,'SALA 1974'!$B$1:$U$1,0)),IF($A79&lt;=1994,1000*INDEX('SALA 2002'!$B:$U,MATCH($A79,'SALA 2002'!$A:$A,0),MATCH(L$1,'SALA 2002'!$B$1:$U$1,0)),IF($A79&lt;=2000,1000*INDEX('SALA 2002'!$B:$U,MATCH($A79,'SALA 2002'!$A:$A,0),MATCH(L$1,'SALA 2002'!$B$1:$U$1,0))*POWER(INDEX('WPP 2024 середина года'!$B:$U,MATCH($A79,'WPP 2024 середина года'!$A:$A,0),MATCH(L$1,'WPP 2024 середина года'!$B$1:$U$1,0))/(1000*INDEX('SALA 2002'!$B:$U,MATCH($A79,'SALA 2002'!$A:$A,0),MATCH(L$1,'SALA 2002'!$B$1:$U$1,0))),($A79-1994)/7),INDEX('WPP 2024 середина года'!$B:$U,MATCH($A79,'WPP 2024 середина года'!$A:$A,0),MATCH(L$1,'WPP 2024 середина года'!$B$1:$U$1,0)))))</f>
        <v>6360</v>
      </c>
      <c r="M79" s="7">
        <f>IF($A79&lt;=1951,INDEX('SALA 1974'!$B:$U,MATCH($A79,'SALA 1974'!$A:$A,0),MATCH(M$1,'SALA 1974'!$B$1:$U$1,0)),IF($A79&lt;=1994,1000*INDEX('SALA 2002'!$B:$U,MATCH($A79,'SALA 2002'!$A:$A,0),MATCH(M$1,'SALA 2002'!$B$1:$U$1,0)),IF($A79&lt;=2000,1000*INDEX('SALA 2002'!$B:$U,MATCH($A79,'SALA 2002'!$A:$A,0),MATCH(M$1,'SALA 2002'!$B$1:$U$1,0))*POWER(INDEX('WPP 2024 середина года'!$B:$U,MATCH($A79,'WPP 2024 середина года'!$A:$A,0),MATCH(M$1,'WPP 2024 середина года'!$B$1:$U$1,0))/(1000*INDEX('SALA 2002'!$B:$U,MATCH($A79,'SALA 2002'!$A:$A,0),MATCH(M$1,'SALA 2002'!$B$1:$U$1,0))),($A79-1994)/7),INDEX('WPP 2024 середина года'!$B:$U,MATCH($A79,'WPP 2024 середина года'!$A:$A,0),MATCH(M$1,'WPP 2024 середина года'!$B$1:$U$1,0)))))</f>
        <v>4750</v>
      </c>
      <c r="N79" s="7">
        <f>IF($A79&lt;=1951,INDEX('SALA 1974'!$B:$U,MATCH($A79,'SALA 1974'!$A:$A,0),MATCH(N$1,'SALA 1974'!$B$1:$U$1,0)),IF($A79&lt;=1994,1000*INDEX('SALA 2002'!$B:$U,MATCH($A79,'SALA 2002'!$A:$A,0),MATCH(N$1,'SALA 2002'!$B$1:$U$1,0)),IF($A79&lt;=2000,1000*INDEX('SALA 2002'!$B:$U,MATCH($A79,'SALA 2002'!$A:$A,0),MATCH(N$1,'SALA 2002'!$B$1:$U$1,0))*POWER(INDEX('WPP 2024 середина года'!$B:$U,MATCH($A79,'WPP 2024 середина года'!$A:$A,0),MATCH(N$1,'WPP 2024 середина года'!$B$1:$U$1,0))/(1000*INDEX('SALA 2002'!$B:$U,MATCH($A79,'SALA 2002'!$A:$A,0),MATCH(N$1,'SALA 2002'!$B$1:$U$1,0))),($A79-1994)/7),INDEX('WPP 2024 середина года'!$B:$U,MATCH($A79,'WPP 2024 середина года'!$A:$A,0),MATCH(N$1,'WPP 2024 середина года'!$B$1:$U$1,0)))))</f>
        <v>3320</v>
      </c>
      <c r="O79" s="7">
        <f>IF($A79&lt;=1951,INDEX('SALA 1974'!$B:$U,MATCH($A79,'SALA 1974'!$A:$A,0),MATCH(O$1,'SALA 1974'!$B$1:$U$1,0)),IF($A79&lt;=1994,1000*INDEX('SALA 2002'!$B:$U,MATCH($A79,'SALA 2002'!$A:$A,0),MATCH(O$1,'SALA 2002'!$B$1:$U$1,0)),IF($A79&lt;=2000,1000*INDEX('SALA 2002'!$B:$U,MATCH($A79,'SALA 2002'!$A:$A,0),MATCH(O$1,'SALA 2002'!$B$1:$U$1,0))*POWER(INDEX('WPP 2024 середина года'!$B:$U,MATCH($A79,'WPP 2024 середина года'!$A:$A,0),MATCH(O$1,'WPP 2024 середина года'!$B$1:$U$1,0))/(1000*INDEX('SALA 2002'!$B:$U,MATCH($A79,'SALA 2002'!$A:$A,0),MATCH(O$1,'SALA 2002'!$B$1:$U$1,0))),($A79-1994)/7),INDEX('WPP 2024 середина года'!$B:$U,MATCH($A79,'WPP 2024 середина года'!$A:$A,0),MATCH(O$1,'WPP 2024 середина года'!$B$1:$U$1,0)))))</f>
        <v>63810</v>
      </c>
      <c r="P79" s="7">
        <f>IF($A79&lt;=1951,INDEX('SALA 1974'!$B:$U,MATCH($A79,'SALA 1974'!$A:$A,0),MATCH(P$1,'SALA 1974'!$B$1:$U$1,0)),IF($A79&lt;=1994,1000*INDEX('SALA 2002'!$B:$U,MATCH($A79,'SALA 2002'!$A:$A,0),MATCH(P$1,'SALA 2002'!$B$1:$U$1,0)),IF($A79&lt;=2000,1000*INDEX('SALA 2002'!$B:$U,MATCH($A79,'SALA 2002'!$A:$A,0),MATCH(P$1,'SALA 2002'!$B$1:$U$1,0))*POWER(INDEX('WPP 2024 середина года'!$B:$U,MATCH($A79,'WPP 2024 середина года'!$A:$A,0),MATCH(P$1,'WPP 2024 середина года'!$B$1:$U$1,0))/(1000*INDEX('SALA 2002'!$B:$U,MATCH($A79,'SALA 2002'!$A:$A,0),MATCH(P$1,'SALA 2002'!$B$1:$U$1,0))),($A79-1994)/7),INDEX('WPP 2024 середина года'!$B:$U,MATCH($A79,'WPP 2024 середина года'!$A:$A,0),MATCH(P$1,'WPP 2024 середина года'!$B$1:$U$1,0)))))</f>
        <v>2320</v>
      </c>
      <c r="Q79" s="7">
        <f>IF($A79&lt;=1951,INDEX('SALA 1974'!$B:$U,MATCH($A79,'SALA 1974'!$A:$A,0),MATCH(Q$1,'SALA 1974'!$B$1:$U$1,0)),IF($A79&lt;=1994,1000*INDEX('SALA 2002'!$B:$U,MATCH($A79,'SALA 2002'!$A:$A,0),MATCH(Q$1,'SALA 2002'!$B$1:$U$1,0)),IF($A79&lt;=2000,1000*INDEX('SALA 2002'!$B:$U,MATCH($A79,'SALA 2002'!$A:$A,0),MATCH(Q$1,'SALA 2002'!$B$1:$U$1,0))*POWER(INDEX('WPP 2024 середина года'!$B:$U,MATCH($A79,'WPP 2024 середина года'!$A:$A,0),MATCH(Q$1,'WPP 2024 середина года'!$B$1:$U$1,0))/(1000*INDEX('SALA 2002'!$B:$U,MATCH($A79,'SALA 2002'!$A:$A,0),MATCH(Q$1,'SALA 2002'!$B$1:$U$1,0))),($A79-1994)/7),INDEX('WPP 2024 середина года'!$B:$U,MATCH($A79,'WPP 2024 середина года'!$A:$A,0),MATCH(Q$1,'WPP 2024 середина года'!$B$1:$U$1,0)))))</f>
        <v>1790</v>
      </c>
      <c r="R79" s="7">
        <f>IF($A79&lt;=1951,INDEX('SALA 1974'!$B:$U,MATCH($A79,'SALA 1974'!$A:$A,0),MATCH(R$1,'SALA 1974'!$B$1:$U$1,0)),IF($A79&lt;=1994,1000*INDEX('SALA 2002'!$B:$U,MATCH($A79,'SALA 2002'!$A:$A,0),MATCH(R$1,'SALA 2002'!$B$1:$U$1,0)),IF($A79&lt;=2000,1000*INDEX('SALA 2002'!$B:$U,MATCH($A79,'SALA 2002'!$A:$A,0),MATCH(R$1,'SALA 2002'!$B$1:$U$1,0))*POWER(INDEX('WPP 2024 середина года'!$B:$U,MATCH($A79,'WPP 2024 середина года'!$A:$A,0),MATCH(R$1,'WPP 2024 середина года'!$B$1:$U$1,0))/(1000*INDEX('SALA 2002'!$B:$U,MATCH($A79,'SALA 2002'!$A:$A,0),MATCH(R$1,'SALA 2002'!$B$1:$U$1,0))),($A79-1994)/7),INDEX('WPP 2024 середина года'!$B:$U,MATCH($A79,'WPP 2024 середина года'!$A:$A,0),MATCH(R$1,'WPP 2024 середина года'!$B$1:$U$1,0)))))</f>
        <v>2850</v>
      </c>
      <c r="S79" s="7">
        <f>IF($A79&lt;=1951,INDEX('SALA 1974'!$B:$U,MATCH($A79,'SALA 1974'!$A:$A,0),MATCH(S$1,'SALA 1974'!$B$1:$U$1,0)),IF($A79&lt;=1994,1000*INDEX('SALA 2002'!$B:$U,MATCH($A79,'SALA 2002'!$A:$A,0),MATCH(S$1,'SALA 2002'!$B$1:$U$1,0)),IF($A79&lt;=2000,1000*INDEX('SALA 2002'!$B:$U,MATCH($A79,'SALA 2002'!$A:$A,0),MATCH(S$1,'SALA 2002'!$B$1:$U$1,0))*POWER(INDEX('WPP 2024 середина года'!$B:$U,MATCH($A79,'WPP 2024 середина года'!$A:$A,0),MATCH(S$1,'WPP 2024 середина года'!$B$1:$U$1,0))/(1000*INDEX('SALA 2002'!$B:$U,MATCH($A79,'SALA 2002'!$A:$A,0),MATCH(S$1,'SALA 2002'!$B$1:$U$1,0))),($A79-1994)/7),INDEX('WPP 2024 середина года'!$B:$U,MATCH($A79,'WPP 2024 середина года'!$A:$A,0),MATCH(S$1,'WPP 2024 середина года'!$B$1:$U$1,0)))))</f>
        <v>15990</v>
      </c>
      <c r="T79" s="7">
        <f>IF($A79&lt;=1951,INDEX('SALA 1974'!$B:$U,MATCH($A79,'SALA 1974'!$A:$A,0),MATCH(T$1,'SALA 1974'!$B$1:$U$1,0)),IF($A79&lt;=1994,1000*INDEX('SALA 2002'!$B:$U,MATCH($A79,'SALA 2002'!$A:$A,0),MATCH(T$1,'SALA 2002'!$B$1:$U$1,0)),IF($A79&lt;=2000,1000*INDEX('SALA 2002'!$B:$U,MATCH($A79,'SALA 2002'!$A:$A,0),MATCH(T$1,'SALA 2002'!$B$1:$U$1,0))*POWER(INDEX('WPP 2024 середина года'!$B:$U,MATCH($A79,'WPP 2024 середина года'!$A:$A,0),MATCH(T$1,'WPP 2024 середина года'!$B$1:$U$1,0))/(1000*INDEX('SALA 2002'!$B:$U,MATCH($A79,'SALA 2002'!$A:$A,0),MATCH(T$1,'SALA 2002'!$B$1:$U$1,0))),($A79-1994)/7),INDEX('WPP 2024 середина года'!$B:$U,MATCH($A79,'WPP 2024 середина года'!$A:$A,0),MATCH(T$1,'WPP 2024 середина года'!$B$1:$U$1,0)))))</f>
        <v>2860</v>
      </c>
      <c r="U79" s="7">
        <f>IF($A79&lt;=1951,INDEX('SALA 1974'!$B:$U,MATCH($A79,'SALA 1974'!$A:$A,0),MATCH(U$1,'SALA 1974'!$B$1:$U$1,0)),IF($A79&lt;=1994,1000*INDEX('SALA 2002'!$B:$U,MATCH($A79,'SALA 2002'!$A:$A,0),MATCH(U$1,'SALA 2002'!$B$1:$U$1,0)),IF($A79&lt;=2000,1000*INDEX('SALA 2002'!$B:$U,MATCH($A79,'SALA 2002'!$A:$A,0),MATCH(U$1,'SALA 2002'!$B$1:$U$1,0))*POWER(INDEX('WPP 2024 середина года'!$B:$U,MATCH($A79,'WPP 2024 середина года'!$A:$A,0),MATCH(U$1,'WPP 2024 середина года'!$B$1:$U$1,0))/(1000*INDEX('SALA 2002'!$B:$U,MATCH($A79,'SALA 2002'!$A:$A,0),MATCH(U$1,'SALA 2002'!$B$1:$U$1,0))),($A79-1994)/7),INDEX('WPP 2024 середина года'!$B:$U,MATCH($A79,'WPP 2024 середина года'!$A:$A,0),MATCH(U$1,'WPP 2024 середина года'!$B$1:$U$1,0)))))</f>
        <v>13590</v>
      </c>
    </row>
    <row r="80" spans="1:21" x14ac:dyDescent="0.25">
      <c r="A80" s="5">
        <f t="shared" si="1"/>
        <v>1978</v>
      </c>
      <c r="B80" s="7">
        <f>IF($A80&lt;=1951,INDEX('SALA 1974'!$B:$U,MATCH($A80,'SALA 1974'!$A:$A,0),MATCH(B$1,'SALA 1974'!$B$1:$U$1,0)),IF($A80&lt;=1994,1000*INDEX('SALA 2002'!$B:$U,MATCH($A80,'SALA 2002'!$A:$A,0),MATCH(B$1,'SALA 2002'!$B$1:$U$1,0)),IF($A80&lt;=2000,1000*INDEX('SALA 2002'!$B:$U,MATCH($A80,'SALA 2002'!$A:$A,0),MATCH(B$1,'SALA 2002'!$B$1:$U$1,0))*POWER(INDEX('WPP 2024 середина года'!$B:$U,MATCH($A80,'WPP 2024 середина года'!$A:$A,0),MATCH(B$1,'WPP 2024 середина года'!$B$1:$U$1,0))/(1000*INDEX('SALA 2002'!$B:$U,MATCH($A80,'SALA 2002'!$A:$A,0),MATCH(B$1,'SALA 2002'!$B$1:$U$1,0))),($A80-1994)/7),INDEX('WPP 2024 середина года'!$B:$U,MATCH($A80,'WPP 2024 середина года'!$A:$A,0),MATCH(B$1,'WPP 2024 середина года'!$B$1:$U$1,0)))))</f>
        <v>27350</v>
      </c>
      <c r="C80" s="7">
        <f>IF($A80&lt;=1951,INDEX('SALA 1974'!$B:$U,MATCH($A80,'SALA 1974'!$A:$A,0),MATCH(C$1,'SALA 1974'!$B$1:$U$1,0)),IF($A80&lt;=1994,1000*INDEX('SALA 2002'!$B:$U,MATCH($A80,'SALA 2002'!$A:$A,0),MATCH(C$1,'SALA 2002'!$B$1:$U$1,0)),IF($A80&lt;=2000,1000*INDEX('SALA 2002'!$B:$U,MATCH($A80,'SALA 2002'!$A:$A,0),MATCH(C$1,'SALA 2002'!$B$1:$U$1,0))*POWER(INDEX('WPP 2024 середина года'!$B:$U,MATCH($A80,'WPP 2024 середина года'!$A:$A,0),MATCH(C$1,'WPP 2024 середина года'!$B$1:$U$1,0))/(1000*INDEX('SALA 2002'!$B:$U,MATCH($A80,'SALA 2002'!$A:$A,0),MATCH(C$1,'SALA 2002'!$B$1:$U$1,0))),($A80-1994)/7),INDEX('WPP 2024 середина года'!$B:$U,MATCH($A80,'WPP 2024 середина года'!$A:$A,0),MATCH(C$1,'WPP 2024 середина года'!$B$1:$U$1,0)))))</f>
        <v>5300</v>
      </c>
      <c r="D80" s="7">
        <f>IF($A80&lt;=1951,INDEX('SALA 1974'!$B:$U,MATCH($A80,'SALA 1974'!$A:$A,0),MATCH(D$1,'SALA 1974'!$B$1:$U$1,0)),IF($A80&lt;=1994,1000*INDEX('SALA 2002'!$B:$U,MATCH($A80,'SALA 2002'!$A:$A,0),MATCH(D$1,'SALA 2002'!$B$1:$U$1,0)),IF($A80&lt;=2000,1000*INDEX('SALA 2002'!$B:$U,MATCH($A80,'SALA 2002'!$A:$A,0),MATCH(D$1,'SALA 2002'!$B$1:$U$1,0))*POWER(INDEX('WPP 2024 середина года'!$B:$U,MATCH($A80,'WPP 2024 середина года'!$A:$A,0),MATCH(D$1,'WPP 2024 середина года'!$B$1:$U$1,0))/(1000*INDEX('SALA 2002'!$B:$U,MATCH($A80,'SALA 2002'!$A:$A,0),MATCH(D$1,'SALA 2002'!$B$1:$U$1,0))),($A80-1994)/7),INDEX('WPP 2024 середина года'!$B:$U,MATCH($A80,'WPP 2024 середина года'!$A:$A,0),MATCH(D$1,'WPP 2024 середина года'!$B$1:$U$1,0)))))</f>
        <v>112940</v>
      </c>
      <c r="E80" s="7">
        <f>IF($A80&lt;=1951,INDEX('SALA 1974'!$B:$U,MATCH($A80,'SALA 1974'!$A:$A,0),MATCH(E$1,'SALA 1974'!$B$1:$U$1,0)),IF($A80&lt;=1994,1000*INDEX('SALA 2002'!$B:$U,MATCH($A80,'SALA 2002'!$A:$A,0),MATCH(E$1,'SALA 2002'!$B$1:$U$1,0)),IF($A80&lt;=2000,1000*INDEX('SALA 2002'!$B:$U,MATCH($A80,'SALA 2002'!$A:$A,0),MATCH(E$1,'SALA 2002'!$B$1:$U$1,0))*POWER(INDEX('WPP 2024 середина года'!$B:$U,MATCH($A80,'WPP 2024 середина года'!$A:$A,0),MATCH(E$1,'WPP 2024 середина года'!$B$1:$U$1,0))/(1000*INDEX('SALA 2002'!$B:$U,MATCH($A80,'SALA 2002'!$A:$A,0),MATCH(E$1,'SALA 2002'!$B$1:$U$1,0))),($A80-1994)/7),INDEX('WPP 2024 середина года'!$B:$U,MATCH($A80,'WPP 2024 середина года'!$A:$A,0),MATCH(E$1,'WPP 2024 середина года'!$B$1:$U$1,0)))))</f>
        <v>10820</v>
      </c>
      <c r="F80" s="7">
        <f>IF($A80&lt;=1947,INDEX('SALA 1974'!$B:$U,MATCH($A80,'SALA 1974'!$A:$A,0),MATCH(F$1,'SALA 1974'!$B$1:$U$1,0)),IF($A80&lt;=1994,1000*INDEX('SALA 2002'!$B:$U,MATCH($A80,'SALA 2002'!$A:$A,0),MATCH(F$1,'SALA 2002'!$B$1:$U$1,0)),IF($A80&lt;=2000,1000*INDEX('SALA 2002'!$B:$U,MATCH($A80,'SALA 2002'!$A:$A,0),MATCH(F$1,'SALA 2002'!$B$1:$U$1,0))*POWER(INDEX('WPP 2024 середина года'!$B:$U,MATCH($A80,'WPP 2024 середина года'!$A:$A,0),MATCH(F$1,'WPP 2024 середина года'!$B$1:$U$1,0))/(1000*INDEX('SALA 2002'!$B:$U,MATCH($A80,'SALA 2002'!$A:$A,0),MATCH(F$1,'SALA 2002'!$B$1:$U$1,0))),($A80-1994)/7),INDEX('WPP 2024 середина года'!$B:$U,MATCH($A80,'WPP 2024 середина года'!$A:$A,0),MATCH(F$1,'WPP 2024 середина года'!$B$1:$U$1,0)))))</f>
        <v>24910</v>
      </c>
      <c r="G80" s="7">
        <f>IF($A80&lt;=1951,INDEX('SALA 1974'!$B:$U,MATCH($A80,'SALA 1974'!$A:$A,0),MATCH(G$1,'SALA 1974'!$B$1:$U$1,0)),IF($A80&lt;=1994,1000*INDEX('SALA 2002'!$B:$U,MATCH($A80,'SALA 2002'!$A:$A,0),MATCH(G$1,'SALA 2002'!$B$1:$U$1,0)),IF($A80&lt;=2000,1000*INDEX('SALA 2002'!$B:$U,MATCH($A80,'SALA 2002'!$A:$A,0),MATCH(G$1,'SALA 2002'!$B$1:$U$1,0))*POWER(INDEX('WPP 2024 середина года'!$B:$U,MATCH($A80,'WPP 2024 середина года'!$A:$A,0),MATCH(G$1,'WPP 2024 середина года'!$B$1:$U$1,0))/(1000*INDEX('SALA 2002'!$B:$U,MATCH($A80,'SALA 2002'!$A:$A,0),MATCH(G$1,'SALA 2002'!$B$1:$U$1,0))),($A80-1994)/7),INDEX('WPP 2024 середина года'!$B:$U,MATCH($A80,'WPP 2024 середина года'!$A:$A,0),MATCH(G$1,'WPP 2024 середина года'!$B$1:$U$1,0)))))</f>
        <v>2120</v>
      </c>
      <c r="H80" s="7">
        <f>IF($A80&lt;=1951,INDEX('SALA 1974'!$B:$U,MATCH($A80,'SALA 1974'!$A:$A,0),MATCH(H$1,'SALA 1974'!$B$1:$U$1,0)),IF($A80&lt;=1994,1000*INDEX('SALA 2002'!$B:$U,MATCH($A80,'SALA 2002'!$A:$A,0),MATCH(H$1,'SALA 2002'!$B$1:$U$1,0)),IF($A80&lt;=2000,1000*INDEX('SALA 2002'!$B:$U,MATCH($A80,'SALA 2002'!$A:$A,0),MATCH(H$1,'SALA 2002'!$B$1:$U$1,0))*POWER(INDEX('WPP 2024 середина года'!$B:$U,MATCH($A80,'WPP 2024 середина года'!$A:$A,0),MATCH(H$1,'WPP 2024 середина года'!$B$1:$U$1,0))/(1000*INDEX('SALA 2002'!$B:$U,MATCH($A80,'SALA 2002'!$A:$A,0),MATCH(H$1,'SALA 2002'!$B$1:$U$1,0))),($A80-1994)/7),INDEX('WPP 2024 середина года'!$B:$U,MATCH($A80,'WPP 2024 середина года'!$A:$A,0),MATCH(H$1,'WPP 2024 середина года'!$B$1:$U$1,0)))))</f>
        <v>9640</v>
      </c>
      <c r="I80" s="7">
        <f>IF($A80&lt;=1951,INDEX('SALA 1974'!$B:$U,MATCH($A80,'SALA 1974'!$A:$A,0),MATCH(I$1,'SALA 1974'!$B$1:$U$1,0)),IF($A80&lt;=1994,1000*INDEX('SALA 2002'!$B:$U,MATCH($A80,'SALA 2002'!$A:$A,0),MATCH(I$1,'SALA 2002'!$B$1:$U$1,0)),IF($A80&lt;=2000,1000*INDEX('SALA 2002'!$B:$U,MATCH($A80,'SALA 2002'!$A:$A,0),MATCH(I$1,'SALA 2002'!$B$1:$U$1,0))*POWER(INDEX('WPP 2024 середина года'!$B:$U,MATCH($A80,'WPP 2024 середина года'!$A:$A,0),MATCH(I$1,'WPP 2024 середина года'!$B$1:$U$1,0))/(1000*INDEX('SALA 2002'!$B:$U,MATCH($A80,'SALA 2002'!$A:$A,0),MATCH(I$1,'SALA 2002'!$B$1:$U$1,0))),($A80-1994)/7),INDEX('WPP 2024 середина года'!$B:$U,MATCH($A80,'WPP 2024 середина года'!$A:$A,0),MATCH(I$1,'WPP 2024 середина года'!$B$1:$U$1,0)))))</f>
        <v>5170</v>
      </c>
      <c r="J80" s="7">
        <f>IF($A80&lt;=1951,INDEX('SALA 1974'!$B:$U,MATCH($A80,'SALA 1974'!$A:$A,0),MATCH(J$1,'SALA 1974'!$B$1:$U$1,0)),IF($A80&lt;=1994,1000*INDEX('SALA 2002'!$B:$U,MATCH($A80,'SALA 2002'!$A:$A,0),MATCH(J$1,'SALA 2002'!$B$1:$U$1,0)),IF($A80&lt;=2000,1000*INDEX('SALA 2002'!$B:$U,MATCH($A80,'SALA 2002'!$A:$A,0),MATCH(J$1,'SALA 2002'!$B$1:$U$1,0))*POWER(INDEX('WPP 2024 середина года'!$B:$U,MATCH($A80,'WPP 2024 середина года'!$A:$A,0),MATCH(J$1,'WPP 2024 середина года'!$B$1:$U$1,0))/(1000*INDEX('SALA 2002'!$B:$U,MATCH($A80,'SALA 2002'!$A:$A,0),MATCH(J$1,'SALA 2002'!$B$1:$U$1,0))),($A80-1994)/7),INDEX('WPP 2024 середина года'!$B:$U,MATCH($A80,'WPP 2024 середина года'!$A:$A,0),MATCH(J$1,'WPP 2024 середина года'!$B$1:$U$1,0)))))</f>
        <v>7670</v>
      </c>
      <c r="K80" s="7">
        <f>IF($A80&lt;=1951,INDEX('SALA 1974'!$B:$U,MATCH($A80,'SALA 1974'!$A:$A,0),MATCH(K$1,'SALA 1974'!$B$1:$U$1,0)),IF($A80&lt;=1994,1000*INDEX('SALA 2002'!$B:$U,MATCH($A80,'SALA 2002'!$A:$A,0),MATCH(K$1,'SALA 2002'!$B$1:$U$1,0)),IF($A80&lt;=2000,1000*INDEX('SALA 2002'!$B:$U,MATCH($A80,'SALA 2002'!$A:$A,0),MATCH(K$1,'SALA 2002'!$B$1:$U$1,0))*POWER(INDEX('WPP 2024 середина года'!$B:$U,MATCH($A80,'WPP 2024 середина года'!$A:$A,0),MATCH(K$1,'WPP 2024 середина года'!$B$1:$U$1,0))/(1000*INDEX('SALA 2002'!$B:$U,MATCH($A80,'SALA 2002'!$A:$A,0),MATCH(K$1,'SALA 2002'!$B$1:$U$1,0))),($A80-1994)/7),INDEX('WPP 2024 середина года'!$B:$U,MATCH($A80,'WPP 2024 середина года'!$A:$A,0),MATCH(K$1,'WPP 2024 середина года'!$B$1:$U$1,0)))))</f>
        <v>4350</v>
      </c>
      <c r="L80" s="7">
        <f>IF($A80&lt;=1951,INDEX('SALA 1974'!$B:$U,MATCH($A80,'SALA 1974'!$A:$A,0),MATCH(L$1,'SALA 1974'!$B$1:$U$1,0)),IF($A80&lt;=1994,1000*INDEX('SALA 2002'!$B:$U,MATCH($A80,'SALA 2002'!$A:$A,0),MATCH(L$1,'SALA 2002'!$B$1:$U$1,0)),IF($A80&lt;=2000,1000*INDEX('SALA 2002'!$B:$U,MATCH($A80,'SALA 2002'!$A:$A,0),MATCH(L$1,'SALA 2002'!$B$1:$U$1,0))*POWER(INDEX('WPP 2024 середина года'!$B:$U,MATCH($A80,'WPP 2024 середина года'!$A:$A,0),MATCH(L$1,'WPP 2024 середина года'!$B$1:$U$1,0))/(1000*INDEX('SALA 2002'!$B:$U,MATCH($A80,'SALA 2002'!$A:$A,0),MATCH(L$1,'SALA 2002'!$B$1:$U$1,0))),($A80-1994)/7),INDEX('WPP 2024 середина года'!$B:$U,MATCH($A80,'WPP 2024 середина года'!$A:$A,0),MATCH(L$1,'WPP 2024 середина года'!$B$1:$U$1,0)))))</f>
        <v>6540</v>
      </c>
      <c r="M80" s="7">
        <f>IF($A80&lt;=1951,INDEX('SALA 1974'!$B:$U,MATCH($A80,'SALA 1974'!$A:$A,0),MATCH(M$1,'SALA 1974'!$B$1:$U$1,0)),IF($A80&lt;=1994,1000*INDEX('SALA 2002'!$B:$U,MATCH($A80,'SALA 2002'!$A:$A,0),MATCH(M$1,'SALA 2002'!$B$1:$U$1,0)),IF($A80&lt;=2000,1000*INDEX('SALA 2002'!$B:$U,MATCH($A80,'SALA 2002'!$A:$A,0),MATCH(M$1,'SALA 2002'!$B$1:$U$1,0))*POWER(INDEX('WPP 2024 середина года'!$B:$U,MATCH($A80,'WPP 2024 середина года'!$A:$A,0),MATCH(M$1,'WPP 2024 середина года'!$B$1:$U$1,0))/(1000*INDEX('SALA 2002'!$B:$U,MATCH($A80,'SALA 2002'!$A:$A,0),MATCH(M$1,'SALA 2002'!$B$1:$U$1,0))),($A80-1994)/7),INDEX('WPP 2024 середина года'!$B:$U,MATCH($A80,'WPP 2024 середина года'!$A:$A,0),MATCH(M$1,'WPP 2024 середина года'!$B$1:$U$1,0)))))</f>
        <v>4830</v>
      </c>
      <c r="N80" s="7">
        <f>IF($A80&lt;=1951,INDEX('SALA 1974'!$B:$U,MATCH($A80,'SALA 1974'!$A:$A,0),MATCH(N$1,'SALA 1974'!$B$1:$U$1,0)),IF($A80&lt;=1994,1000*INDEX('SALA 2002'!$B:$U,MATCH($A80,'SALA 2002'!$A:$A,0),MATCH(N$1,'SALA 2002'!$B$1:$U$1,0)),IF($A80&lt;=2000,1000*INDEX('SALA 2002'!$B:$U,MATCH($A80,'SALA 2002'!$A:$A,0),MATCH(N$1,'SALA 2002'!$B$1:$U$1,0))*POWER(INDEX('WPP 2024 середина года'!$B:$U,MATCH($A80,'WPP 2024 середина года'!$A:$A,0),MATCH(N$1,'WPP 2024 середина года'!$B$1:$U$1,0))/(1000*INDEX('SALA 2002'!$B:$U,MATCH($A80,'SALA 2002'!$A:$A,0),MATCH(N$1,'SALA 2002'!$B$1:$U$1,0))),($A80-1994)/7),INDEX('WPP 2024 середина года'!$B:$U,MATCH($A80,'WPP 2024 середина года'!$A:$A,0),MATCH(N$1,'WPP 2024 середина года'!$B$1:$U$1,0)))))</f>
        <v>3440</v>
      </c>
      <c r="O80" s="7">
        <f>IF($A80&lt;=1951,INDEX('SALA 1974'!$B:$U,MATCH($A80,'SALA 1974'!$A:$A,0),MATCH(O$1,'SALA 1974'!$B$1:$U$1,0)),IF($A80&lt;=1994,1000*INDEX('SALA 2002'!$B:$U,MATCH($A80,'SALA 2002'!$A:$A,0),MATCH(O$1,'SALA 2002'!$B$1:$U$1,0)),IF($A80&lt;=2000,1000*INDEX('SALA 2002'!$B:$U,MATCH($A80,'SALA 2002'!$A:$A,0),MATCH(O$1,'SALA 2002'!$B$1:$U$1,0))*POWER(INDEX('WPP 2024 середина года'!$B:$U,MATCH($A80,'WPP 2024 середина года'!$A:$A,0),MATCH(O$1,'WPP 2024 середина года'!$B$1:$U$1,0))/(1000*INDEX('SALA 2002'!$B:$U,MATCH($A80,'SALA 2002'!$A:$A,0),MATCH(O$1,'SALA 2002'!$B$1:$U$1,0))),($A80-1994)/7),INDEX('WPP 2024 середина года'!$B:$U,MATCH($A80,'WPP 2024 середина года'!$A:$A,0),MATCH(O$1,'WPP 2024 середина года'!$B$1:$U$1,0)))))</f>
        <v>65660</v>
      </c>
      <c r="P80" s="7">
        <f>IF($A80&lt;=1951,INDEX('SALA 1974'!$B:$U,MATCH($A80,'SALA 1974'!$A:$A,0),MATCH(P$1,'SALA 1974'!$B$1:$U$1,0)),IF($A80&lt;=1994,1000*INDEX('SALA 2002'!$B:$U,MATCH($A80,'SALA 2002'!$A:$A,0),MATCH(P$1,'SALA 2002'!$B$1:$U$1,0)),IF($A80&lt;=2000,1000*INDEX('SALA 2002'!$B:$U,MATCH($A80,'SALA 2002'!$A:$A,0),MATCH(P$1,'SALA 2002'!$B$1:$U$1,0))*POWER(INDEX('WPP 2024 середина года'!$B:$U,MATCH($A80,'WPP 2024 середина года'!$A:$A,0),MATCH(P$1,'WPP 2024 середина года'!$B$1:$U$1,0))/(1000*INDEX('SALA 2002'!$B:$U,MATCH($A80,'SALA 2002'!$A:$A,0),MATCH(P$1,'SALA 2002'!$B$1:$U$1,0))),($A80-1994)/7),INDEX('WPP 2024 середина года'!$B:$U,MATCH($A80,'WPP 2024 середина года'!$A:$A,0),MATCH(P$1,'WPP 2024 середина года'!$B$1:$U$1,0)))))</f>
        <v>2410</v>
      </c>
      <c r="Q80" s="7">
        <f>IF($A80&lt;=1951,INDEX('SALA 1974'!$B:$U,MATCH($A80,'SALA 1974'!$A:$A,0),MATCH(Q$1,'SALA 1974'!$B$1:$U$1,0)),IF($A80&lt;=1994,1000*INDEX('SALA 2002'!$B:$U,MATCH($A80,'SALA 2002'!$A:$A,0),MATCH(Q$1,'SALA 2002'!$B$1:$U$1,0)),IF($A80&lt;=2000,1000*INDEX('SALA 2002'!$B:$U,MATCH($A80,'SALA 2002'!$A:$A,0),MATCH(Q$1,'SALA 2002'!$B$1:$U$1,0))*POWER(INDEX('WPP 2024 середина года'!$B:$U,MATCH($A80,'WPP 2024 середина года'!$A:$A,0),MATCH(Q$1,'WPP 2024 середина года'!$B$1:$U$1,0))/(1000*INDEX('SALA 2002'!$B:$U,MATCH($A80,'SALA 2002'!$A:$A,0),MATCH(Q$1,'SALA 2002'!$B$1:$U$1,0))),($A80-1994)/7),INDEX('WPP 2024 середина года'!$B:$U,MATCH($A80,'WPP 2024 середина года'!$A:$A,0),MATCH(Q$1,'WPP 2024 середина года'!$B$1:$U$1,0)))))</f>
        <v>1840</v>
      </c>
      <c r="R80" s="7">
        <f>IF($A80&lt;=1951,INDEX('SALA 1974'!$B:$U,MATCH($A80,'SALA 1974'!$A:$A,0),MATCH(R$1,'SALA 1974'!$B$1:$U$1,0)),IF($A80&lt;=1994,1000*INDEX('SALA 2002'!$B:$U,MATCH($A80,'SALA 2002'!$A:$A,0),MATCH(R$1,'SALA 2002'!$B$1:$U$1,0)),IF($A80&lt;=2000,1000*INDEX('SALA 2002'!$B:$U,MATCH($A80,'SALA 2002'!$A:$A,0),MATCH(R$1,'SALA 2002'!$B$1:$U$1,0))*POWER(INDEX('WPP 2024 середина года'!$B:$U,MATCH($A80,'WPP 2024 середина года'!$A:$A,0),MATCH(R$1,'WPP 2024 середина года'!$B$1:$U$1,0))/(1000*INDEX('SALA 2002'!$B:$U,MATCH($A80,'SALA 2002'!$A:$A,0),MATCH(R$1,'SALA 2002'!$B$1:$U$1,0))),($A80-1994)/7),INDEX('WPP 2024 середина года'!$B:$U,MATCH($A80,'WPP 2024 середина года'!$A:$A,0),MATCH(R$1,'WPP 2024 середина года'!$B$1:$U$1,0)))))</f>
        <v>2950</v>
      </c>
      <c r="S80" s="7">
        <f>IF($A80&lt;=1951,INDEX('SALA 1974'!$B:$U,MATCH($A80,'SALA 1974'!$A:$A,0),MATCH(S$1,'SALA 1974'!$B$1:$U$1,0)),IF($A80&lt;=1994,1000*INDEX('SALA 2002'!$B:$U,MATCH($A80,'SALA 2002'!$A:$A,0),MATCH(S$1,'SALA 2002'!$B$1:$U$1,0)),IF($A80&lt;=2000,1000*INDEX('SALA 2002'!$B:$U,MATCH($A80,'SALA 2002'!$A:$A,0),MATCH(S$1,'SALA 2002'!$B$1:$U$1,0))*POWER(INDEX('WPP 2024 середина года'!$B:$U,MATCH($A80,'WPP 2024 середина года'!$A:$A,0),MATCH(S$1,'WPP 2024 середина года'!$B$1:$U$1,0))/(1000*INDEX('SALA 2002'!$B:$U,MATCH($A80,'SALA 2002'!$A:$A,0),MATCH(S$1,'SALA 2002'!$B$1:$U$1,0))),($A80-1994)/7),INDEX('WPP 2024 середина года'!$B:$U,MATCH($A80,'WPP 2024 середина года'!$A:$A,0),MATCH(S$1,'WPP 2024 середина года'!$B$1:$U$1,0)))))</f>
        <v>16410</v>
      </c>
      <c r="T80" s="7">
        <f>IF($A80&lt;=1951,INDEX('SALA 1974'!$B:$U,MATCH($A80,'SALA 1974'!$A:$A,0),MATCH(T$1,'SALA 1974'!$B$1:$U$1,0)),IF($A80&lt;=1994,1000*INDEX('SALA 2002'!$B:$U,MATCH($A80,'SALA 2002'!$A:$A,0),MATCH(T$1,'SALA 2002'!$B$1:$U$1,0)),IF($A80&lt;=2000,1000*INDEX('SALA 2002'!$B:$U,MATCH($A80,'SALA 2002'!$A:$A,0),MATCH(T$1,'SALA 2002'!$B$1:$U$1,0))*POWER(INDEX('WPP 2024 середина года'!$B:$U,MATCH($A80,'WPP 2024 середина года'!$A:$A,0),MATCH(T$1,'WPP 2024 середина года'!$B$1:$U$1,0))/(1000*INDEX('SALA 2002'!$B:$U,MATCH($A80,'SALA 2002'!$A:$A,0),MATCH(T$1,'SALA 2002'!$B$1:$U$1,0))),($A80-1994)/7),INDEX('WPP 2024 середина года'!$B:$U,MATCH($A80,'WPP 2024 середина года'!$A:$A,0),MATCH(T$1,'WPP 2024 середина года'!$B$1:$U$1,0)))))</f>
        <v>2880</v>
      </c>
      <c r="U80" s="7">
        <f>IF($A80&lt;=1951,INDEX('SALA 1974'!$B:$U,MATCH($A80,'SALA 1974'!$A:$A,0),MATCH(U$1,'SALA 1974'!$B$1:$U$1,0)),IF($A80&lt;=1994,1000*INDEX('SALA 2002'!$B:$U,MATCH($A80,'SALA 2002'!$A:$A,0),MATCH(U$1,'SALA 2002'!$B$1:$U$1,0)),IF($A80&lt;=2000,1000*INDEX('SALA 2002'!$B:$U,MATCH($A80,'SALA 2002'!$A:$A,0),MATCH(U$1,'SALA 2002'!$B$1:$U$1,0))*POWER(INDEX('WPP 2024 середина года'!$B:$U,MATCH($A80,'WPP 2024 середина года'!$A:$A,0),MATCH(U$1,'WPP 2024 середина года'!$B$1:$U$1,0))/(1000*INDEX('SALA 2002'!$B:$U,MATCH($A80,'SALA 2002'!$A:$A,0),MATCH(U$1,'SALA 2002'!$B$1:$U$1,0))),($A80-1994)/7),INDEX('WPP 2024 середина года'!$B:$U,MATCH($A80,'WPP 2024 середина года'!$A:$A,0),MATCH(U$1,'WPP 2024 середина года'!$B$1:$U$1,0)))))</f>
        <v>14070</v>
      </c>
    </row>
    <row r="81" spans="1:21" x14ac:dyDescent="0.25">
      <c r="A81" s="5">
        <f t="shared" si="1"/>
        <v>1979</v>
      </c>
      <c r="B81" s="7">
        <f>IF($A81&lt;=1951,INDEX('SALA 1974'!$B:$U,MATCH($A81,'SALA 1974'!$A:$A,0),MATCH(B$1,'SALA 1974'!$B$1:$U$1,0)),IF($A81&lt;=1994,1000*INDEX('SALA 2002'!$B:$U,MATCH($A81,'SALA 2002'!$A:$A,0),MATCH(B$1,'SALA 2002'!$B$1:$U$1,0)),IF($A81&lt;=2000,1000*INDEX('SALA 2002'!$B:$U,MATCH($A81,'SALA 2002'!$A:$A,0),MATCH(B$1,'SALA 2002'!$B$1:$U$1,0))*POWER(INDEX('WPP 2024 середина года'!$B:$U,MATCH($A81,'WPP 2024 середина года'!$A:$A,0),MATCH(B$1,'WPP 2024 середина года'!$B$1:$U$1,0))/(1000*INDEX('SALA 2002'!$B:$U,MATCH($A81,'SALA 2002'!$A:$A,0),MATCH(B$1,'SALA 2002'!$B$1:$U$1,0))),($A81-1994)/7),INDEX('WPP 2024 середина года'!$B:$U,MATCH($A81,'WPP 2024 середина года'!$A:$A,0),MATCH(B$1,'WPP 2024 середина года'!$B$1:$U$1,0)))))</f>
        <v>27790</v>
      </c>
      <c r="C81" s="7">
        <f>IF($A81&lt;=1951,INDEX('SALA 1974'!$B:$U,MATCH($A81,'SALA 1974'!$A:$A,0),MATCH(C$1,'SALA 1974'!$B$1:$U$1,0)),IF($A81&lt;=1994,1000*INDEX('SALA 2002'!$B:$U,MATCH($A81,'SALA 2002'!$A:$A,0),MATCH(C$1,'SALA 2002'!$B$1:$U$1,0)),IF($A81&lt;=2000,1000*INDEX('SALA 2002'!$B:$U,MATCH($A81,'SALA 2002'!$A:$A,0),MATCH(C$1,'SALA 2002'!$B$1:$U$1,0))*POWER(INDEX('WPP 2024 середина года'!$B:$U,MATCH($A81,'WPP 2024 середина года'!$A:$A,0),MATCH(C$1,'WPP 2024 середина года'!$B$1:$U$1,0))/(1000*INDEX('SALA 2002'!$B:$U,MATCH($A81,'SALA 2002'!$A:$A,0),MATCH(C$1,'SALA 2002'!$B$1:$U$1,0))),($A81-1994)/7),INDEX('WPP 2024 середина года'!$B:$U,MATCH($A81,'WPP 2024 середина года'!$A:$A,0),MATCH(C$1,'WPP 2024 середина года'!$B$1:$U$1,0)))))</f>
        <v>5450</v>
      </c>
      <c r="D81" s="7">
        <f>IF($A81&lt;=1951,INDEX('SALA 1974'!$B:$U,MATCH($A81,'SALA 1974'!$A:$A,0),MATCH(D$1,'SALA 1974'!$B$1:$U$1,0)),IF($A81&lt;=1994,1000*INDEX('SALA 2002'!$B:$U,MATCH($A81,'SALA 2002'!$A:$A,0),MATCH(D$1,'SALA 2002'!$B$1:$U$1,0)),IF($A81&lt;=2000,1000*INDEX('SALA 2002'!$B:$U,MATCH($A81,'SALA 2002'!$A:$A,0),MATCH(D$1,'SALA 2002'!$B$1:$U$1,0))*POWER(INDEX('WPP 2024 середина года'!$B:$U,MATCH($A81,'WPP 2024 середина года'!$A:$A,0),MATCH(D$1,'WPP 2024 середина года'!$B$1:$U$1,0))/(1000*INDEX('SALA 2002'!$B:$U,MATCH($A81,'SALA 2002'!$A:$A,0),MATCH(D$1,'SALA 2002'!$B$1:$U$1,0))),($A81-1994)/7),INDEX('WPP 2024 середина года'!$B:$U,MATCH($A81,'WPP 2024 середина года'!$A:$A,0),MATCH(D$1,'WPP 2024 середина года'!$B$1:$U$1,0)))))</f>
        <v>115740</v>
      </c>
      <c r="E81" s="7">
        <f>IF($A81&lt;=1951,INDEX('SALA 1974'!$B:$U,MATCH($A81,'SALA 1974'!$A:$A,0),MATCH(E$1,'SALA 1974'!$B$1:$U$1,0)),IF($A81&lt;=1994,1000*INDEX('SALA 2002'!$B:$U,MATCH($A81,'SALA 2002'!$A:$A,0),MATCH(E$1,'SALA 2002'!$B$1:$U$1,0)),IF($A81&lt;=2000,1000*INDEX('SALA 2002'!$B:$U,MATCH($A81,'SALA 2002'!$A:$A,0),MATCH(E$1,'SALA 2002'!$B$1:$U$1,0))*POWER(INDEX('WPP 2024 середина года'!$B:$U,MATCH($A81,'WPP 2024 середина года'!$A:$A,0),MATCH(E$1,'WPP 2024 середина года'!$B$1:$U$1,0))/(1000*INDEX('SALA 2002'!$B:$U,MATCH($A81,'SALA 2002'!$A:$A,0),MATCH(E$1,'SALA 2002'!$B$1:$U$1,0))),($A81-1994)/7),INDEX('WPP 2024 середина года'!$B:$U,MATCH($A81,'WPP 2024 середина года'!$A:$A,0),MATCH(E$1,'WPP 2024 середина года'!$B$1:$U$1,0)))))</f>
        <v>10980</v>
      </c>
      <c r="F81" s="7">
        <f>IF($A81&lt;=1947,INDEX('SALA 1974'!$B:$U,MATCH($A81,'SALA 1974'!$A:$A,0),MATCH(F$1,'SALA 1974'!$B$1:$U$1,0)),IF($A81&lt;=1994,1000*INDEX('SALA 2002'!$B:$U,MATCH($A81,'SALA 2002'!$A:$A,0),MATCH(F$1,'SALA 2002'!$B$1:$U$1,0)),IF($A81&lt;=2000,1000*INDEX('SALA 2002'!$B:$U,MATCH($A81,'SALA 2002'!$A:$A,0),MATCH(F$1,'SALA 2002'!$B$1:$U$1,0))*POWER(INDEX('WPP 2024 середина года'!$B:$U,MATCH($A81,'WPP 2024 середина года'!$A:$A,0),MATCH(F$1,'WPP 2024 середина года'!$B$1:$U$1,0))/(1000*INDEX('SALA 2002'!$B:$U,MATCH($A81,'SALA 2002'!$A:$A,0),MATCH(F$1,'SALA 2002'!$B$1:$U$1,0))),($A81-1994)/7),INDEX('WPP 2024 середина года'!$B:$U,MATCH($A81,'WPP 2024 середина года'!$A:$A,0),MATCH(F$1,'WPP 2024 середина года'!$B$1:$U$1,0)))))</f>
        <v>25380</v>
      </c>
      <c r="G81" s="7">
        <f>IF($A81&lt;=1951,INDEX('SALA 1974'!$B:$U,MATCH($A81,'SALA 1974'!$A:$A,0),MATCH(G$1,'SALA 1974'!$B$1:$U$1,0)),IF($A81&lt;=1994,1000*INDEX('SALA 2002'!$B:$U,MATCH($A81,'SALA 2002'!$A:$A,0),MATCH(G$1,'SALA 2002'!$B$1:$U$1,0)),IF($A81&lt;=2000,1000*INDEX('SALA 2002'!$B:$U,MATCH($A81,'SALA 2002'!$A:$A,0),MATCH(G$1,'SALA 2002'!$B$1:$U$1,0))*POWER(INDEX('WPP 2024 середина года'!$B:$U,MATCH($A81,'WPP 2024 середина года'!$A:$A,0),MATCH(G$1,'WPP 2024 середина года'!$B$1:$U$1,0))/(1000*INDEX('SALA 2002'!$B:$U,MATCH($A81,'SALA 2002'!$A:$A,0),MATCH(G$1,'SALA 2002'!$B$1:$U$1,0))),($A81-1994)/7),INDEX('WPP 2024 середина года'!$B:$U,MATCH($A81,'WPP 2024 середина года'!$A:$A,0),MATCH(G$1,'WPP 2024 середина года'!$B$1:$U$1,0)))))</f>
        <v>2170</v>
      </c>
      <c r="H81" s="7">
        <f>IF($A81&lt;=1951,INDEX('SALA 1974'!$B:$U,MATCH($A81,'SALA 1974'!$A:$A,0),MATCH(H$1,'SALA 1974'!$B$1:$U$1,0)),IF($A81&lt;=1994,1000*INDEX('SALA 2002'!$B:$U,MATCH($A81,'SALA 2002'!$A:$A,0),MATCH(H$1,'SALA 2002'!$B$1:$U$1,0)),IF($A81&lt;=2000,1000*INDEX('SALA 2002'!$B:$U,MATCH($A81,'SALA 2002'!$A:$A,0),MATCH(H$1,'SALA 2002'!$B$1:$U$1,0))*POWER(INDEX('WPP 2024 середина года'!$B:$U,MATCH($A81,'WPP 2024 середина года'!$A:$A,0),MATCH(H$1,'WPP 2024 середина года'!$B$1:$U$1,0))/(1000*INDEX('SALA 2002'!$B:$U,MATCH($A81,'SALA 2002'!$A:$A,0),MATCH(H$1,'SALA 2002'!$B$1:$U$1,0))),($A81-1994)/7),INDEX('WPP 2024 середина года'!$B:$U,MATCH($A81,'WPP 2024 середина года'!$A:$A,0),MATCH(H$1,'WPP 2024 середина года'!$B$1:$U$1,0)))))</f>
        <v>9720</v>
      </c>
      <c r="I81" s="7">
        <f>IF($A81&lt;=1951,INDEX('SALA 1974'!$B:$U,MATCH($A81,'SALA 1974'!$A:$A,0),MATCH(I$1,'SALA 1974'!$B$1:$U$1,0)),IF($A81&lt;=1994,1000*INDEX('SALA 2002'!$B:$U,MATCH($A81,'SALA 2002'!$A:$A,0),MATCH(I$1,'SALA 2002'!$B$1:$U$1,0)),IF($A81&lt;=2000,1000*INDEX('SALA 2002'!$B:$U,MATCH($A81,'SALA 2002'!$A:$A,0),MATCH(I$1,'SALA 2002'!$B$1:$U$1,0))*POWER(INDEX('WPP 2024 середина года'!$B:$U,MATCH($A81,'WPP 2024 середина года'!$A:$A,0),MATCH(I$1,'WPP 2024 середина года'!$B$1:$U$1,0))/(1000*INDEX('SALA 2002'!$B:$U,MATCH($A81,'SALA 2002'!$A:$A,0),MATCH(I$1,'SALA 2002'!$B$1:$U$1,0))),($A81-1994)/7),INDEX('WPP 2024 середина года'!$B:$U,MATCH($A81,'WPP 2024 середина года'!$A:$A,0),MATCH(I$1,'WPP 2024 середина года'!$B$1:$U$1,0)))))</f>
        <v>5300</v>
      </c>
      <c r="J81" s="7">
        <f>IF($A81&lt;=1951,INDEX('SALA 1974'!$B:$U,MATCH($A81,'SALA 1974'!$A:$A,0),MATCH(J$1,'SALA 1974'!$B$1:$U$1,0)),IF($A81&lt;=1994,1000*INDEX('SALA 2002'!$B:$U,MATCH($A81,'SALA 2002'!$A:$A,0),MATCH(J$1,'SALA 2002'!$B$1:$U$1,0)),IF($A81&lt;=2000,1000*INDEX('SALA 2002'!$B:$U,MATCH($A81,'SALA 2002'!$A:$A,0),MATCH(J$1,'SALA 2002'!$B$1:$U$1,0))*POWER(INDEX('WPP 2024 середина года'!$B:$U,MATCH($A81,'WPP 2024 середина года'!$A:$A,0),MATCH(J$1,'WPP 2024 середина года'!$B$1:$U$1,0))/(1000*INDEX('SALA 2002'!$B:$U,MATCH($A81,'SALA 2002'!$A:$A,0),MATCH(J$1,'SALA 2002'!$B$1:$U$1,0))),($A81-1994)/7),INDEX('WPP 2024 середина года'!$B:$U,MATCH($A81,'WPP 2024 середина года'!$A:$A,0),MATCH(J$1,'WPP 2024 середина года'!$B$1:$U$1,0)))))</f>
        <v>7890</v>
      </c>
      <c r="K81" s="7">
        <f>IF($A81&lt;=1951,INDEX('SALA 1974'!$B:$U,MATCH($A81,'SALA 1974'!$A:$A,0),MATCH(K$1,'SALA 1974'!$B$1:$U$1,0)),IF($A81&lt;=1994,1000*INDEX('SALA 2002'!$B:$U,MATCH($A81,'SALA 2002'!$A:$A,0),MATCH(K$1,'SALA 2002'!$B$1:$U$1,0)),IF($A81&lt;=2000,1000*INDEX('SALA 2002'!$B:$U,MATCH($A81,'SALA 2002'!$A:$A,0),MATCH(K$1,'SALA 2002'!$B$1:$U$1,0))*POWER(INDEX('WPP 2024 середина года'!$B:$U,MATCH($A81,'WPP 2024 середина года'!$A:$A,0),MATCH(K$1,'WPP 2024 середина года'!$B$1:$U$1,0))/(1000*INDEX('SALA 2002'!$B:$U,MATCH($A81,'SALA 2002'!$A:$A,0),MATCH(K$1,'SALA 2002'!$B$1:$U$1,0))),($A81-1994)/7),INDEX('WPP 2024 середина года'!$B:$U,MATCH($A81,'WPP 2024 середина года'!$A:$A,0),MATCH(K$1,'WPP 2024 середина года'!$B$1:$U$1,0)))))</f>
        <v>4440</v>
      </c>
      <c r="L81" s="7">
        <f>IF($A81&lt;=1951,INDEX('SALA 1974'!$B:$U,MATCH($A81,'SALA 1974'!$A:$A,0),MATCH(L$1,'SALA 1974'!$B$1:$U$1,0)),IF($A81&lt;=1994,1000*INDEX('SALA 2002'!$B:$U,MATCH($A81,'SALA 2002'!$A:$A,0),MATCH(L$1,'SALA 2002'!$B$1:$U$1,0)),IF($A81&lt;=2000,1000*INDEX('SALA 2002'!$B:$U,MATCH($A81,'SALA 2002'!$A:$A,0),MATCH(L$1,'SALA 2002'!$B$1:$U$1,0))*POWER(INDEX('WPP 2024 середина года'!$B:$U,MATCH($A81,'WPP 2024 середина года'!$A:$A,0),MATCH(L$1,'WPP 2024 середина года'!$B$1:$U$1,0))/(1000*INDEX('SALA 2002'!$B:$U,MATCH($A81,'SALA 2002'!$A:$A,0),MATCH(L$1,'SALA 2002'!$B$1:$U$1,0))),($A81-1994)/7),INDEX('WPP 2024 середина года'!$B:$U,MATCH($A81,'WPP 2024 середина года'!$A:$A,0),MATCH(L$1,'WPP 2024 середина года'!$B$1:$U$1,0)))))</f>
        <v>6730</v>
      </c>
      <c r="M81" s="7">
        <f>IF($A81&lt;=1951,INDEX('SALA 1974'!$B:$U,MATCH($A81,'SALA 1974'!$A:$A,0),MATCH(M$1,'SALA 1974'!$B$1:$U$1,0)),IF($A81&lt;=1994,1000*INDEX('SALA 2002'!$B:$U,MATCH($A81,'SALA 2002'!$A:$A,0),MATCH(M$1,'SALA 2002'!$B$1:$U$1,0)),IF($A81&lt;=2000,1000*INDEX('SALA 2002'!$B:$U,MATCH($A81,'SALA 2002'!$A:$A,0),MATCH(M$1,'SALA 2002'!$B$1:$U$1,0))*POWER(INDEX('WPP 2024 середина года'!$B:$U,MATCH($A81,'WPP 2024 середина года'!$A:$A,0),MATCH(M$1,'WPP 2024 середина года'!$B$1:$U$1,0))/(1000*INDEX('SALA 2002'!$B:$U,MATCH($A81,'SALA 2002'!$A:$A,0),MATCH(M$1,'SALA 2002'!$B$1:$U$1,0))),($A81-1994)/7),INDEX('WPP 2024 середина года'!$B:$U,MATCH($A81,'WPP 2024 середина года'!$A:$A,0),MATCH(M$1,'WPP 2024 середина года'!$B$1:$U$1,0)))))</f>
        <v>4920</v>
      </c>
      <c r="N81" s="7">
        <f>IF($A81&lt;=1951,INDEX('SALA 1974'!$B:$U,MATCH($A81,'SALA 1974'!$A:$A,0),MATCH(N$1,'SALA 1974'!$B$1:$U$1,0)),IF($A81&lt;=1994,1000*INDEX('SALA 2002'!$B:$U,MATCH($A81,'SALA 2002'!$A:$A,0),MATCH(N$1,'SALA 2002'!$B$1:$U$1,0)),IF($A81&lt;=2000,1000*INDEX('SALA 2002'!$B:$U,MATCH($A81,'SALA 2002'!$A:$A,0),MATCH(N$1,'SALA 2002'!$B$1:$U$1,0))*POWER(INDEX('WPP 2024 середина года'!$B:$U,MATCH($A81,'WPP 2024 середина года'!$A:$A,0),MATCH(N$1,'WPP 2024 середина года'!$B$1:$U$1,0))/(1000*INDEX('SALA 2002'!$B:$U,MATCH($A81,'SALA 2002'!$A:$A,0),MATCH(N$1,'SALA 2002'!$B$1:$U$1,0))),($A81-1994)/7),INDEX('WPP 2024 середина года'!$B:$U,MATCH($A81,'WPP 2024 середина года'!$A:$A,0),MATCH(N$1,'WPP 2024 середина года'!$B$1:$U$1,0)))))</f>
        <v>3560</v>
      </c>
      <c r="O81" s="7">
        <f>IF($A81&lt;=1951,INDEX('SALA 1974'!$B:$U,MATCH($A81,'SALA 1974'!$A:$A,0),MATCH(O$1,'SALA 1974'!$B$1:$U$1,0)),IF($A81&lt;=1994,1000*INDEX('SALA 2002'!$B:$U,MATCH($A81,'SALA 2002'!$A:$A,0),MATCH(O$1,'SALA 2002'!$B$1:$U$1,0)),IF($A81&lt;=2000,1000*INDEX('SALA 2002'!$B:$U,MATCH($A81,'SALA 2002'!$A:$A,0),MATCH(O$1,'SALA 2002'!$B$1:$U$1,0))*POWER(INDEX('WPP 2024 середина года'!$B:$U,MATCH($A81,'WPP 2024 середина года'!$A:$A,0),MATCH(O$1,'WPP 2024 середина года'!$B$1:$U$1,0))/(1000*INDEX('SALA 2002'!$B:$U,MATCH($A81,'SALA 2002'!$A:$A,0),MATCH(O$1,'SALA 2002'!$B$1:$U$1,0))),($A81-1994)/7),INDEX('WPP 2024 середина года'!$B:$U,MATCH($A81,'WPP 2024 середина года'!$A:$A,0),MATCH(O$1,'WPP 2024 середина года'!$B$1:$U$1,0)))))</f>
        <v>67520</v>
      </c>
      <c r="P81" s="7">
        <f>IF($A81&lt;=1951,INDEX('SALA 1974'!$B:$U,MATCH($A81,'SALA 1974'!$A:$A,0),MATCH(P$1,'SALA 1974'!$B$1:$U$1,0)),IF($A81&lt;=1994,1000*INDEX('SALA 2002'!$B:$U,MATCH($A81,'SALA 2002'!$A:$A,0),MATCH(P$1,'SALA 2002'!$B$1:$U$1,0)),IF($A81&lt;=2000,1000*INDEX('SALA 2002'!$B:$U,MATCH($A81,'SALA 2002'!$A:$A,0),MATCH(P$1,'SALA 2002'!$B$1:$U$1,0))*POWER(INDEX('WPP 2024 середина года'!$B:$U,MATCH($A81,'WPP 2024 середина года'!$A:$A,0),MATCH(P$1,'WPP 2024 середина года'!$B$1:$U$1,0))/(1000*INDEX('SALA 2002'!$B:$U,MATCH($A81,'SALA 2002'!$A:$A,0),MATCH(P$1,'SALA 2002'!$B$1:$U$1,0))),($A81-1994)/7),INDEX('WPP 2024 середина года'!$B:$U,MATCH($A81,'WPP 2024 середина года'!$A:$A,0),MATCH(P$1,'WPP 2024 середина года'!$B$1:$U$1,0)))))</f>
        <v>2640</v>
      </c>
      <c r="Q81" s="7">
        <f>IF($A81&lt;=1951,INDEX('SALA 1974'!$B:$U,MATCH($A81,'SALA 1974'!$A:$A,0),MATCH(Q$1,'SALA 1974'!$B$1:$U$1,0)),IF($A81&lt;=1994,1000*INDEX('SALA 2002'!$B:$U,MATCH($A81,'SALA 2002'!$A:$A,0),MATCH(Q$1,'SALA 2002'!$B$1:$U$1,0)),IF($A81&lt;=2000,1000*INDEX('SALA 2002'!$B:$U,MATCH($A81,'SALA 2002'!$A:$A,0),MATCH(Q$1,'SALA 2002'!$B$1:$U$1,0))*POWER(INDEX('WPP 2024 середина года'!$B:$U,MATCH($A81,'WPP 2024 середина года'!$A:$A,0),MATCH(Q$1,'WPP 2024 середина года'!$B$1:$U$1,0))/(1000*INDEX('SALA 2002'!$B:$U,MATCH($A81,'SALA 2002'!$A:$A,0),MATCH(Q$1,'SALA 2002'!$B$1:$U$1,0))),($A81-1994)/7),INDEX('WPP 2024 середина года'!$B:$U,MATCH($A81,'WPP 2024 середина года'!$A:$A,0),MATCH(Q$1,'WPP 2024 середина года'!$B$1:$U$1,0)))))</f>
        <v>1880</v>
      </c>
      <c r="R81" s="7">
        <f>IF($A81&lt;=1951,INDEX('SALA 1974'!$B:$U,MATCH($A81,'SALA 1974'!$A:$A,0),MATCH(R$1,'SALA 1974'!$B$1:$U$1,0)),IF($A81&lt;=1994,1000*INDEX('SALA 2002'!$B:$U,MATCH($A81,'SALA 2002'!$A:$A,0),MATCH(R$1,'SALA 2002'!$B$1:$U$1,0)),IF($A81&lt;=2000,1000*INDEX('SALA 2002'!$B:$U,MATCH($A81,'SALA 2002'!$A:$A,0),MATCH(R$1,'SALA 2002'!$B$1:$U$1,0))*POWER(INDEX('WPP 2024 середина года'!$B:$U,MATCH($A81,'WPP 2024 середина года'!$A:$A,0),MATCH(R$1,'WPP 2024 середина года'!$B$1:$U$1,0))/(1000*INDEX('SALA 2002'!$B:$U,MATCH($A81,'SALA 2002'!$A:$A,0),MATCH(R$1,'SALA 2002'!$B$1:$U$1,0))),($A81-1994)/7),INDEX('WPP 2024 середина года'!$B:$U,MATCH($A81,'WPP 2024 середина года'!$A:$A,0),MATCH(R$1,'WPP 2024 середина года'!$B$1:$U$1,0)))))</f>
        <v>3050</v>
      </c>
      <c r="S81" s="7">
        <f>IF($A81&lt;=1951,INDEX('SALA 1974'!$B:$U,MATCH($A81,'SALA 1974'!$A:$A,0),MATCH(S$1,'SALA 1974'!$B$1:$U$1,0)),IF($A81&lt;=1994,1000*INDEX('SALA 2002'!$B:$U,MATCH($A81,'SALA 2002'!$A:$A,0),MATCH(S$1,'SALA 2002'!$B$1:$U$1,0)),IF($A81&lt;=2000,1000*INDEX('SALA 2002'!$B:$U,MATCH($A81,'SALA 2002'!$A:$A,0),MATCH(S$1,'SALA 2002'!$B$1:$U$1,0))*POWER(INDEX('WPP 2024 середина года'!$B:$U,MATCH($A81,'WPP 2024 середина года'!$A:$A,0),MATCH(S$1,'WPP 2024 середина года'!$B$1:$U$1,0))/(1000*INDEX('SALA 2002'!$B:$U,MATCH($A81,'SALA 2002'!$A:$A,0),MATCH(S$1,'SALA 2002'!$B$1:$U$1,0))),($A81-1994)/7),INDEX('WPP 2024 середина года'!$B:$U,MATCH($A81,'WPP 2024 середина года'!$A:$A,0),MATCH(S$1,'WPP 2024 середина года'!$B$1:$U$1,0)))))</f>
        <v>16850</v>
      </c>
      <c r="T81" s="7">
        <f>IF($A81&lt;=1951,INDEX('SALA 1974'!$B:$U,MATCH($A81,'SALA 1974'!$A:$A,0),MATCH(T$1,'SALA 1974'!$B$1:$U$1,0)),IF($A81&lt;=1994,1000*INDEX('SALA 2002'!$B:$U,MATCH($A81,'SALA 2002'!$A:$A,0),MATCH(T$1,'SALA 2002'!$B$1:$U$1,0)),IF($A81&lt;=2000,1000*INDEX('SALA 2002'!$B:$U,MATCH($A81,'SALA 2002'!$A:$A,0),MATCH(T$1,'SALA 2002'!$B$1:$U$1,0))*POWER(INDEX('WPP 2024 середина года'!$B:$U,MATCH($A81,'WPP 2024 середина года'!$A:$A,0),MATCH(T$1,'WPP 2024 середина года'!$B$1:$U$1,0))/(1000*INDEX('SALA 2002'!$B:$U,MATCH($A81,'SALA 2002'!$A:$A,0),MATCH(T$1,'SALA 2002'!$B$1:$U$1,0))),($A81-1994)/7),INDEX('WPP 2024 середина года'!$B:$U,MATCH($A81,'WPP 2024 середина года'!$A:$A,0),MATCH(T$1,'WPP 2024 середина года'!$B$1:$U$1,0)))))</f>
        <v>2890</v>
      </c>
      <c r="U81" s="7">
        <f>IF($A81&lt;=1951,INDEX('SALA 1974'!$B:$U,MATCH($A81,'SALA 1974'!$A:$A,0),MATCH(U$1,'SALA 1974'!$B$1:$U$1,0)),IF($A81&lt;=1994,1000*INDEX('SALA 2002'!$B:$U,MATCH($A81,'SALA 2002'!$A:$A,0),MATCH(U$1,'SALA 2002'!$B$1:$U$1,0)),IF($A81&lt;=2000,1000*INDEX('SALA 2002'!$B:$U,MATCH($A81,'SALA 2002'!$A:$A,0),MATCH(U$1,'SALA 2002'!$B$1:$U$1,0))*POWER(INDEX('WPP 2024 середина года'!$B:$U,MATCH($A81,'WPP 2024 середина года'!$A:$A,0),MATCH(U$1,'WPP 2024 середина года'!$B$1:$U$1,0))/(1000*INDEX('SALA 2002'!$B:$U,MATCH($A81,'SALA 2002'!$A:$A,0),MATCH(U$1,'SALA 2002'!$B$1:$U$1,0))),($A81-1994)/7),INDEX('WPP 2024 середина года'!$B:$U,MATCH($A81,'WPP 2024 середина года'!$A:$A,0),MATCH(U$1,'WPP 2024 середина года'!$B$1:$U$1,0)))))</f>
        <v>14550</v>
      </c>
    </row>
    <row r="82" spans="1:21" x14ac:dyDescent="0.25">
      <c r="A82" s="5">
        <f t="shared" si="1"/>
        <v>1980</v>
      </c>
      <c r="B82" s="7">
        <f>IF($A82&lt;=1951,INDEX('SALA 1974'!$B:$U,MATCH($A82,'SALA 1974'!$A:$A,0),MATCH(B$1,'SALA 1974'!$B$1:$U$1,0)),IF($A82&lt;=1994,1000*INDEX('SALA 2002'!$B:$U,MATCH($A82,'SALA 2002'!$A:$A,0),MATCH(B$1,'SALA 2002'!$B$1:$U$1,0)),IF($A82&lt;=2000,1000*INDEX('SALA 2002'!$B:$U,MATCH($A82,'SALA 2002'!$A:$A,0),MATCH(B$1,'SALA 2002'!$B$1:$U$1,0))*POWER(INDEX('WPP 2024 середина года'!$B:$U,MATCH($A82,'WPP 2024 середина года'!$A:$A,0),MATCH(B$1,'WPP 2024 середина года'!$B$1:$U$1,0))/(1000*INDEX('SALA 2002'!$B:$U,MATCH($A82,'SALA 2002'!$A:$A,0),MATCH(B$1,'SALA 2002'!$B$1:$U$1,0))),($A82-1994)/7),INDEX('WPP 2024 середина года'!$B:$U,MATCH($A82,'WPP 2024 середина года'!$A:$A,0),MATCH(B$1,'WPP 2024 середина года'!$B$1:$U$1,0)))))</f>
        <v>28240</v>
      </c>
      <c r="C82" s="7">
        <f>IF($A82&lt;=1951,INDEX('SALA 1974'!$B:$U,MATCH($A82,'SALA 1974'!$A:$A,0),MATCH(C$1,'SALA 1974'!$B$1:$U$1,0)),IF($A82&lt;=1994,1000*INDEX('SALA 2002'!$B:$U,MATCH($A82,'SALA 2002'!$A:$A,0),MATCH(C$1,'SALA 2002'!$B$1:$U$1,0)),IF($A82&lt;=2000,1000*INDEX('SALA 2002'!$B:$U,MATCH($A82,'SALA 2002'!$A:$A,0),MATCH(C$1,'SALA 2002'!$B$1:$U$1,0))*POWER(INDEX('WPP 2024 середина года'!$B:$U,MATCH($A82,'WPP 2024 середина года'!$A:$A,0),MATCH(C$1,'WPP 2024 середина года'!$B$1:$U$1,0))/(1000*INDEX('SALA 2002'!$B:$U,MATCH($A82,'SALA 2002'!$A:$A,0),MATCH(C$1,'SALA 2002'!$B$1:$U$1,0))),($A82-1994)/7),INDEX('WPP 2024 середина года'!$B:$U,MATCH($A82,'WPP 2024 середина года'!$A:$A,0),MATCH(C$1,'WPP 2024 середина года'!$B$1:$U$1,0)))))</f>
        <v>5600</v>
      </c>
      <c r="D82" s="7">
        <f>IF($A82&lt;=1951,INDEX('SALA 1974'!$B:$U,MATCH($A82,'SALA 1974'!$A:$A,0),MATCH(D$1,'SALA 1974'!$B$1:$U$1,0)),IF($A82&lt;=1994,1000*INDEX('SALA 2002'!$B:$U,MATCH($A82,'SALA 2002'!$A:$A,0),MATCH(D$1,'SALA 2002'!$B$1:$U$1,0)),IF($A82&lt;=2000,1000*INDEX('SALA 2002'!$B:$U,MATCH($A82,'SALA 2002'!$A:$A,0),MATCH(D$1,'SALA 2002'!$B$1:$U$1,0))*POWER(INDEX('WPP 2024 середина года'!$B:$U,MATCH($A82,'WPP 2024 середина года'!$A:$A,0),MATCH(D$1,'WPP 2024 середина года'!$B$1:$U$1,0))/(1000*INDEX('SALA 2002'!$B:$U,MATCH($A82,'SALA 2002'!$A:$A,0),MATCH(D$1,'SALA 2002'!$B$1:$U$1,0))),($A82-1994)/7),INDEX('WPP 2024 середина года'!$B:$U,MATCH($A82,'WPP 2024 середина года'!$A:$A,0),MATCH(D$1,'WPP 2024 середина года'!$B$1:$U$1,0)))))</f>
        <v>121290</v>
      </c>
      <c r="E82" s="7">
        <f>IF($A82&lt;=1951,INDEX('SALA 1974'!$B:$U,MATCH($A82,'SALA 1974'!$A:$A,0),MATCH(E$1,'SALA 1974'!$B$1:$U$1,0)),IF($A82&lt;=1994,1000*INDEX('SALA 2002'!$B:$U,MATCH($A82,'SALA 2002'!$A:$A,0),MATCH(E$1,'SALA 2002'!$B$1:$U$1,0)),IF($A82&lt;=2000,1000*INDEX('SALA 2002'!$B:$U,MATCH($A82,'SALA 2002'!$A:$A,0),MATCH(E$1,'SALA 2002'!$B$1:$U$1,0))*POWER(INDEX('WPP 2024 середина года'!$B:$U,MATCH($A82,'WPP 2024 середина года'!$A:$A,0),MATCH(E$1,'WPP 2024 середина года'!$B$1:$U$1,0))/(1000*INDEX('SALA 2002'!$B:$U,MATCH($A82,'SALA 2002'!$A:$A,0),MATCH(E$1,'SALA 2002'!$B$1:$U$1,0))),($A82-1994)/7),INDEX('WPP 2024 середина года'!$B:$U,MATCH($A82,'WPP 2024 середина года'!$A:$A,0),MATCH(E$1,'WPP 2024 середина года'!$B$1:$U$1,0)))))</f>
        <v>11150</v>
      </c>
      <c r="F82" s="7">
        <f>IF($A82&lt;=1947,INDEX('SALA 1974'!$B:$U,MATCH($A82,'SALA 1974'!$A:$A,0),MATCH(F$1,'SALA 1974'!$B$1:$U$1,0)),IF($A82&lt;=1994,1000*INDEX('SALA 2002'!$B:$U,MATCH($A82,'SALA 2002'!$A:$A,0),MATCH(F$1,'SALA 2002'!$B$1:$U$1,0)),IF($A82&lt;=2000,1000*INDEX('SALA 2002'!$B:$U,MATCH($A82,'SALA 2002'!$A:$A,0),MATCH(F$1,'SALA 2002'!$B$1:$U$1,0))*POWER(INDEX('WPP 2024 середина года'!$B:$U,MATCH($A82,'WPP 2024 середина года'!$A:$A,0),MATCH(F$1,'WPP 2024 середина года'!$B$1:$U$1,0))/(1000*INDEX('SALA 2002'!$B:$U,MATCH($A82,'SALA 2002'!$A:$A,0),MATCH(F$1,'SALA 2002'!$B$1:$U$1,0))),($A82-1994)/7),INDEX('WPP 2024 середина года'!$B:$U,MATCH($A82,'WPP 2024 середина года'!$A:$A,0),MATCH(F$1,'WPP 2024 середина года'!$B$1:$U$1,0)))))</f>
        <v>25890</v>
      </c>
      <c r="G82" s="7">
        <f>IF($A82&lt;=1951,INDEX('SALA 1974'!$B:$U,MATCH($A82,'SALA 1974'!$A:$A,0),MATCH(G$1,'SALA 1974'!$B$1:$U$1,0)),IF($A82&lt;=1994,1000*INDEX('SALA 2002'!$B:$U,MATCH($A82,'SALA 2002'!$A:$A,0),MATCH(G$1,'SALA 2002'!$B$1:$U$1,0)),IF($A82&lt;=2000,1000*INDEX('SALA 2002'!$B:$U,MATCH($A82,'SALA 2002'!$A:$A,0),MATCH(G$1,'SALA 2002'!$B$1:$U$1,0))*POWER(INDEX('WPP 2024 середина года'!$B:$U,MATCH($A82,'WPP 2024 середина года'!$A:$A,0),MATCH(G$1,'WPP 2024 середина года'!$B$1:$U$1,0))/(1000*INDEX('SALA 2002'!$B:$U,MATCH($A82,'SALA 2002'!$A:$A,0),MATCH(G$1,'SALA 2002'!$B$1:$U$1,0))),($A82-1994)/7),INDEX('WPP 2024 середина года'!$B:$U,MATCH($A82,'WPP 2024 середина года'!$A:$A,0),MATCH(G$1,'WPP 2024 середина года'!$B$1:$U$1,0)))))</f>
        <v>2250</v>
      </c>
      <c r="H82" s="7">
        <f>IF($A82&lt;=1951,INDEX('SALA 1974'!$B:$U,MATCH($A82,'SALA 1974'!$A:$A,0),MATCH(H$1,'SALA 1974'!$B$1:$U$1,0)),IF($A82&lt;=1994,1000*INDEX('SALA 2002'!$B:$U,MATCH($A82,'SALA 2002'!$A:$A,0),MATCH(H$1,'SALA 2002'!$B$1:$U$1,0)),IF($A82&lt;=2000,1000*INDEX('SALA 2002'!$B:$U,MATCH($A82,'SALA 2002'!$A:$A,0),MATCH(H$1,'SALA 2002'!$B$1:$U$1,0))*POWER(INDEX('WPP 2024 середина года'!$B:$U,MATCH($A82,'WPP 2024 середина года'!$A:$A,0),MATCH(H$1,'WPP 2024 середина года'!$B$1:$U$1,0))/(1000*INDEX('SALA 2002'!$B:$U,MATCH($A82,'SALA 2002'!$A:$A,0),MATCH(H$1,'SALA 2002'!$B$1:$U$1,0))),($A82-1994)/7),INDEX('WPP 2024 середина года'!$B:$U,MATCH($A82,'WPP 2024 середина года'!$A:$A,0),MATCH(H$1,'WPP 2024 середина года'!$B$1:$U$1,0)))))</f>
        <v>9720</v>
      </c>
      <c r="I82" s="7">
        <f>IF($A82&lt;=1951,INDEX('SALA 1974'!$B:$U,MATCH($A82,'SALA 1974'!$A:$A,0),MATCH(I$1,'SALA 1974'!$B$1:$U$1,0)),IF($A82&lt;=1994,1000*INDEX('SALA 2002'!$B:$U,MATCH($A82,'SALA 2002'!$A:$A,0),MATCH(I$1,'SALA 2002'!$B$1:$U$1,0)),IF($A82&lt;=2000,1000*INDEX('SALA 2002'!$B:$U,MATCH($A82,'SALA 2002'!$A:$A,0),MATCH(I$1,'SALA 2002'!$B$1:$U$1,0))*POWER(INDEX('WPP 2024 середина года'!$B:$U,MATCH($A82,'WPP 2024 середина года'!$A:$A,0),MATCH(I$1,'WPP 2024 середина года'!$B$1:$U$1,0))/(1000*INDEX('SALA 2002'!$B:$U,MATCH($A82,'SALA 2002'!$A:$A,0),MATCH(I$1,'SALA 2002'!$B$1:$U$1,0))),($A82-1994)/7),INDEX('WPP 2024 середина года'!$B:$U,MATCH($A82,'WPP 2024 середина года'!$A:$A,0),MATCH(I$1,'WPP 2024 середина года'!$B$1:$U$1,0)))))</f>
        <v>5440</v>
      </c>
      <c r="J82" s="7">
        <f>IF($A82&lt;=1951,INDEX('SALA 1974'!$B:$U,MATCH($A82,'SALA 1974'!$A:$A,0),MATCH(J$1,'SALA 1974'!$B$1:$U$1,0)),IF($A82&lt;=1994,1000*INDEX('SALA 2002'!$B:$U,MATCH($A82,'SALA 2002'!$A:$A,0),MATCH(J$1,'SALA 2002'!$B$1:$U$1,0)),IF($A82&lt;=2000,1000*INDEX('SALA 2002'!$B:$U,MATCH($A82,'SALA 2002'!$A:$A,0),MATCH(J$1,'SALA 2002'!$B$1:$U$1,0))*POWER(INDEX('WPP 2024 середина года'!$B:$U,MATCH($A82,'WPP 2024 середина года'!$A:$A,0),MATCH(J$1,'WPP 2024 середина года'!$B$1:$U$1,0))/(1000*INDEX('SALA 2002'!$B:$U,MATCH($A82,'SALA 2002'!$A:$A,0),MATCH(J$1,'SALA 2002'!$B$1:$U$1,0))),($A82-1994)/7),INDEX('WPP 2024 середина года'!$B:$U,MATCH($A82,'WPP 2024 середина года'!$A:$A,0),MATCH(J$1,'WPP 2024 середина года'!$B$1:$U$1,0)))))</f>
        <v>8119.9999999999991</v>
      </c>
      <c r="K82" s="7">
        <f>IF($A82&lt;=1951,INDEX('SALA 1974'!$B:$U,MATCH($A82,'SALA 1974'!$A:$A,0),MATCH(K$1,'SALA 1974'!$B$1:$U$1,0)),IF($A82&lt;=1994,1000*INDEX('SALA 2002'!$B:$U,MATCH($A82,'SALA 2002'!$A:$A,0),MATCH(K$1,'SALA 2002'!$B$1:$U$1,0)),IF($A82&lt;=2000,1000*INDEX('SALA 2002'!$B:$U,MATCH($A82,'SALA 2002'!$A:$A,0),MATCH(K$1,'SALA 2002'!$B$1:$U$1,0))*POWER(INDEX('WPP 2024 середина года'!$B:$U,MATCH($A82,'WPP 2024 середина года'!$A:$A,0),MATCH(K$1,'WPP 2024 середина года'!$B$1:$U$1,0))/(1000*INDEX('SALA 2002'!$B:$U,MATCH($A82,'SALA 2002'!$A:$A,0),MATCH(K$1,'SALA 2002'!$B$1:$U$1,0))),($A82-1994)/7),INDEX('WPP 2024 середина года'!$B:$U,MATCH($A82,'WPP 2024 середина года'!$A:$A,0),MATCH(K$1,'WPP 2024 середина года'!$B$1:$U$1,0)))))</f>
        <v>4510</v>
      </c>
      <c r="L82" s="7">
        <f>IF($A82&lt;=1951,INDEX('SALA 1974'!$B:$U,MATCH($A82,'SALA 1974'!$A:$A,0),MATCH(L$1,'SALA 1974'!$B$1:$U$1,0)),IF($A82&lt;=1994,1000*INDEX('SALA 2002'!$B:$U,MATCH($A82,'SALA 2002'!$A:$A,0),MATCH(L$1,'SALA 2002'!$B$1:$U$1,0)),IF($A82&lt;=2000,1000*INDEX('SALA 2002'!$B:$U,MATCH($A82,'SALA 2002'!$A:$A,0),MATCH(L$1,'SALA 2002'!$B$1:$U$1,0))*POWER(INDEX('WPP 2024 середина года'!$B:$U,MATCH($A82,'WPP 2024 середина года'!$A:$A,0),MATCH(L$1,'WPP 2024 середина года'!$B$1:$U$1,0))/(1000*INDEX('SALA 2002'!$B:$U,MATCH($A82,'SALA 2002'!$A:$A,0),MATCH(L$1,'SALA 2002'!$B$1:$U$1,0))),($A82-1994)/7),INDEX('WPP 2024 середина года'!$B:$U,MATCH($A82,'WPP 2024 середина года'!$A:$A,0),MATCH(L$1,'WPP 2024 середина года'!$B$1:$U$1,0)))))</f>
        <v>6920</v>
      </c>
      <c r="M82" s="7">
        <f>IF($A82&lt;=1951,INDEX('SALA 1974'!$B:$U,MATCH($A82,'SALA 1974'!$A:$A,0),MATCH(M$1,'SALA 1974'!$B$1:$U$1,0)),IF($A82&lt;=1994,1000*INDEX('SALA 2002'!$B:$U,MATCH($A82,'SALA 2002'!$A:$A,0),MATCH(M$1,'SALA 2002'!$B$1:$U$1,0)),IF($A82&lt;=2000,1000*INDEX('SALA 2002'!$B:$U,MATCH($A82,'SALA 2002'!$A:$A,0),MATCH(M$1,'SALA 2002'!$B$1:$U$1,0))*POWER(INDEX('WPP 2024 середина года'!$B:$U,MATCH($A82,'WPP 2024 середина года'!$A:$A,0),MATCH(M$1,'WPP 2024 середина года'!$B$1:$U$1,0))/(1000*INDEX('SALA 2002'!$B:$U,MATCH($A82,'SALA 2002'!$A:$A,0),MATCH(M$1,'SALA 2002'!$B$1:$U$1,0))),($A82-1994)/7),INDEX('WPP 2024 середина года'!$B:$U,MATCH($A82,'WPP 2024 середина года'!$A:$A,0),MATCH(M$1,'WPP 2024 середина года'!$B$1:$U$1,0)))))</f>
        <v>5010</v>
      </c>
      <c r="N82" s="7">
        <f>IF($A82&lt;=1951,INDEX('SALA 1974'!$B:$U,MATCH($A82,'SALA 1974'!$A:$A,0),MATCH(N$1,'SALA 1974'!$B$1:$U$1,0)),IF($A82&lt;=1994,1000*INDEX('SALA 2002'!$B:$U,MATCH($A82,'SALA 2002'!$A:$A,0),MATCH(N$1,'SALA 2002'!$B$1:$U$1,0)),IF($A82&lt;=2000,1000*INDEX('SALA 2002'!$B:$U,MATCH($A82,'SALA 2002'!$A:$A,0),MATCH(N$1,'SALA 2002'!$B$1:$U$1,0))*POWER(INDEX('WPP 2024 середина года'!$B:$U,MATCH($A82,'WPP 2024 середина года'!$A:$A,0),MATCH(N$1,'WPP 2024 середина года'!$B$1:$U$1,0))/(1000*INDEX('SALA 2002'!$B:$U,MATCH($A82,'SALA 2002'!$A:$A,0),MATCH(N$1,'SALA 2002'!$B$1:$U$1,0))),($A82-1994)/7),INDEX('WPP 2024 середина года'!$B:$U,MATCH($A82,'WPP 2024 середина года'!$A:$A,0),MATCH(N$1,'WPP 2024 середина года'!$B$1:$U$1,0)))))</f>
        <v>3690</v>
      </c>
      <c r="O82" s="7">
        <f>IF($A82&lt;=1951,INDEX('SALA 1974'!$B:$U,MATCH($A82,'SALA 1974'!$A:$A,0),MATCH(O$1,'SALA 1974'!$B$1:$U$1,0)),IF($A82&lt;=1994,1000*INDEX('SALA 2002'!$B:$U,MATCH($A82,'SALA 2002'!$A:$A,0),MATCH(O$1,'SALA 2002'!$B$1:$U$1,0)),IF($A82&lt;=2000,1000*INDEX('SALA 2002'!$B:$U,MATCH($A82,'SALA 2002'!$A:$A,0),MATCH(O$1,'SALA 2002'!$B$1:$U$1,0))*POWER(INDEX('WPP 2024 середина года'!$B:$U,MATCH($A82,'WPP 2024 середина года'!$A:$A,0),MATCH(O$1,'WPP 2024 середина года'!$B$1:$U$1,0))/(1000*INDEX('SALA 2002'!$B:$U,MATCH($A82,'SALA 2002'!$A:$A,0),MATCH(O$1,'SALA 2002'!$B$1:$U$1,0))),($A82-1994)/7),INDEX('WPP 2024 середина года'!$B:$U,MATCH($A82,'WPP 2024 середина года'!$A:$A,0),MATCH(O$1,'WPP 2024 середина года'!$B$1:$U$1,0)))))</f>
        <v>69660</v>
      </c>
      <c r="P82" s="7">
        <f>IF($A82&lt;=1951,INDEX('SALA 1974'!$B:$U,MATCH($A82,'SALA 1974'!$A:$A,0),MATCH(P$1,'SALA 1974'!$B$1:$U$1,0)),IF($A82&lt;=1994,1000*INDEX('SALA 2002'!$B:$U,MATCH($A82,'SALA 2002'!$A:$A,0),MATCH(P$1,'SALA 2002'!$B$1:$U$1,0)),IF($A82&lt;=2000,1000*INDEX('SALA 2002'!$B:$U,MATCH($A82,'SALA 2002'!$A:$A,0),MATCH(P$1,'SALA 2002'!$B$1:$U$1,0))*POWER(INDEX('WPP 2024 середина года'!$B:$U,MATCH($A82,'WPP 2024 середина года'!$A:$A,0),MATCH(P$1,'WPP 2024 середина года'!$B$1:$U$1,0))/(1000*INDEX('SALA 2002'!$B:$U,MATCH($A82,'SALA 2002'!$A:$A,0),MATCH(P$1,'SALA 2002'!$B$1:$U$1,0))),($A82-1994)/7),INDEX('WPP 2024 середина года'!$B:$U,MATCH($A82,'WPP 2024 середина года'!$A:$A,0),MATCH(P$1,'WPP 2024 середина года'!$B$1:$U$1,0)))))</f>
        <v>2730</v>
      </c>
      <c r="Q82" s="7">
        <f>IF($A82&lt;=1951,INDEX('SALA 1974'!$B:$U,MATCH($A82,'SALA 1974'!$A:$A,0),MATCH(Q$1,'SALA 1974'!$B$1:$U$1,0)),IF($A82&lt;=1994,1000*INDEX('SALA 2002'!$B:$U,MATCH($A82,'SALA 2002'!$A:$A,0),MATCH(Q$1,'SALA 2002'!$B$1:$U$1,0)),IF($A82&lt;=2000,1000*INDEX('SALA 2002'!$B:$U,MATCH($A82,'SALA 2002'!$A:$A,0),MATCH(Q$1,'SALA 2002'!$B$1:$U$1,0))*POWER(INDEX('WPP 2024 середина года'!$B:$U,MATCH($A82,'WPP 2024 середина года'!$A:$A,0),MATCH(Q$1,'WPP 2024 середина года'!$B$1:$U$1,0))/(1000*INDEX('SALA 2002'!$B:$U,MATCH($A82,'SALA 2002'!$A:$A,0),MATCH(Q$1,'SALA 2002'!$B$1:$U$1,0))),($A82-1994)/7),INDEX('WPP 2024 середина года'!$B:$U,MATCH($A82,'WPP 2024 середина года'!$A:$A,0),MATCH(Q$1,'WPP 2024 середина года'!$B$1:$U$1,0)))))</f>
        <v>1960</v>
      </c>
      <c r="R82" s="7">
        <f>IF($A82&lt;=1951,INDEX('SALA 1974'!$B:$U,MATCH($A82,'SALA 1974'!$A:$A,0),MATCH(R$1,'SALA 1974'!$B$1:$U$1,0)),IF($A82&lt;=1994,1000*INDEX('SALA 2002'!$B:$U,MATCH($A82,'SALA 2002'!$A:$A,0),MATCH(R$1,'SALA 2002'!$B$1:$U$1,0)),IF($A82&lt;=2000,1000*INDEX('SALA 2002'!$B:$U,MATCH($A82,'SALA 2002'!$A:$A,0),MATCH(R$1,'SALA 2002'!$B$1:$U$1,0))*POWER(INDEX('WPP 2024 середина года'!$B:$U,MATCH($A82,'WPP 2024 середина года'!$A:$A,0),MATCH(R$1,'WPP 2024 середина года'!$B$1:$U$1,0))/(1000*INDEX('SALA 2002'!$B:$U,MATCH($A82,'SALA 2002'!$A:$A,0),MATCH(R$1,'SALA 2002'!$B$1:$U$1,0))),($A82-1994)/7),INDEX('WPP 2024 середина года'!$B:$U,MATCH($A82,'WPP 2024 середина года'!$A:$A,0),MATCH(R$1,'WPP 2024 середина года'!$B$1:$U$1,0)))))</f>
        <v>3150</v>
      </c>
      <c r="S82" s="7">
        <f>IF($A82&lt;=1951,INDEX('SALA 1974'!$B:$U,MATCH($A82,'SALA 1974'!$A:$A,0),MATCH(S$1,'SALA 1974'!$B$1:$U$1,0)),IF($A82&lt;=1994,1000*INDEX('SALA 2002'!$B:$U,MATCH($A82,'SALA 2002'!$A:$A,0),MATCH(S$1,'SALA 2002'!$B$1:$U$1,0)),IF($A82&lt;=2000,1000*INDEX('SALA 2002'!$B:$U,MATCH($A82,'SALA 2002'!$A:$A,0),MATCH(S$1,'SALA 2002'!$B$1:$U$1,0))*POWER(INDEX('WPP 2024 середина года'!$B:$U,MATCH($A82,'WPP 2024 середина года'!$A:$A,0),MATCH(S$1,'WPP 2024 середина года'!$B$1:$U$1,0))/(1000*INDEX('SALA 2002'!$B:$U,MATCH($A82,'SALA 2002'!$A:$A,0),MATCH(S$1,'SALA 2002'!$B$1:$U$1,0))),($A82-1994)/7),INDEX('WPP 2024 середина года'!$B:$U,MATCH($A82,'WPP 2024 середина года'!$A:$A,0),MATCH(S$1,'WPP 2024 середина года'!$B$1:$U$1,0)))))</f>
        <v>17300</v>
      </c>
      <c r="T82" s="7">
        <f>IF($A82&lt;=1951,INDEX('SALA 1974'!$B:$U,MATCH($A82,'SALA 1974'!$A:$A,0),MATCH(T$1,'SALA 1974'!$B$1:$U$1,0)),IF($A82&lt;=1994,1000*INDEX('SALA 2002'!$B:$U,MATCH($A82,'SALA 2002'!$A:$A,0),MATCH(T$1,'SALA 2002'!$B$1:$U$1,0)),IF($A82&lt;=2000,1000*INDEX('SALA 2002'!$B:$U,MATCH($A82,'SALA 2002'!$A:$A,0),MATCH(T$1,'SALA 2002'!$B$1:$U$1,0))*POWER(INDEX('WPP 2024 середина года'!$B:$U,MATCH($A82,'WPP 2024 середина года'!$A:$A,0),MATCH(T$1,'WPP 2024 середина года'!$B$1:$U$1,0))/(1000*INDEX('SALA 2002'!$B:$U,MATCH($A82,'SALA 2002'!$A:$A,0),MATCH(T$1,'SALA 2002'!$B$1:$U$1,0))),($A82-1994)/7),INDEX('WPP 2024 середина года'!$B:$U,MATCH($A82,'WPP 2024 середина года'!$A:$A,0),MATCH(T$1,'WPP 2024 середина года'!$B$1:$U$1,0)))))</f>
        <v>2910</v>
      </c>
      <c r="U82" s="7">
        <f>IF($A82&lt;=1951,INDEX('SALA 1974'!$B:$U,MATCH($A82,'SALA 1974'!$A:$A,0),MATCH(U$1,'SALA 1974'!$B$1:$U$1,0)),IF($A82&lt;=1994,1000*INDEX('SALA 2002'!$B:$U,MATCH($A82,'SALA 2002'!$A:$A,0),MATCH(U$1,'SALA 2002'!$B$1:$U$1,0)),IF($A82&lt;=2000,1000*INDEX('SALA 2002'!$B:$U,MATCH($A82,'SALA 2002'!$A:$A,0),MATCH(U$1,'SALA 2002'!$B$1:$U$1,0))*POWER(INDEX('WPP 2024 середина года'!$B:$U,MATCH($A82,'WPP 2024 середина года'!$A:$A,0),MATCH(U$1,'WPP 2024 середина года'!$B$1:$U$1,0))/(1000*INDEX('SALA 2002'!$B:$U,MATCH($A82,'SALA 2002'!$A:$A,0),MATCH(U$1,'SALA 2002'!$B$1:$U$1,0))),($A82-1994)/7),INDEX('WPP 2024 середина года'!$B:$U,MATCH($A82,'WPP 2024 середина года'!$A:$A,0),MATCH(U$1,'WPP 2024 середина года'!$B$1:$U$1,0)))))</f>
        <v>15020</v>
      </c>
    </row>
    <row r="83" spans="1:21" x14ac:dyDescent="0.25">
      <c r="A83" s="5">
        <f t="shared" si="1"/>
        <v>1981</v>
      </c>
      <c r="B83" s="7">
        <f>IF($A83&lt;=1951,INDEX('SALA 1974'!$B:$U,MATCH($A83,'SALA 1974'!$A:$A,0),MATCH(B$1,'SALA 1974'!$B$1:$U$1,0)),IF($A83&lt;=1994,1000*INDEX('SALA 2002'!$B:$U,MATCH($A83,'SALA 2002'!$A:$A,0),MATCH(B$1,'SALA 2002'!$B$1:$U$1,0)),IF($A83&lt;=2000,1000*INDEX('SALA 2002'!$B:$U,MATCH($A83,'SALA 2002'!$A:$A,0),MATCH(B$1,'SALA 2002'!$B$1:$U$1,0))*POWER(INDEX('WPP 2024 середина года'!$B:$U,MATCH($A83,'WPP 2024 середина года'!$A:$A,0),MATCH(B$1,'WPP 2024 середина года'!$B$1:$U$1,0))/(1000*INDEX('SALA 2002'!$B:$U,MATCH($A83,'SALA 2002'!$A:$A,0),MATCH(B$1,'SALA 2002'!$B$1:$U$1,0))),($A83-1994)/7),INDEX('WPP 2024 середина года'!$B:$U,MATCH($A83,'WPP 2024 середина года'!$A:$A,0),MATCH(B$1,'WPP 2024 середина года'!$B$1:$U$1,0)))))</f>
        <v>28660</v>
      </c>
      <c r="C83" s="7">
        <f>IF($A83&lt;=1951,INDEX('SALA 1974'!$B:$U,MATCH($A83,'SALA 1974'!$A:$A,0),MATCH(C$1,'SALA 1974'!$B$1:$U$1,0)),IF($A83&lt;=1994,1000*INDEX('SALA 2002'!$B:$U,MATCH($A83,'SALA 2002'!$A:$A,0),MATCH(C$1,'SALA 2002'!$B$1:$U$1,0)),IF($A83&lt;=2000,1000*INDEX('SALA 2002'!$B:$U,MATCH($A83,'SALA 2002'!$A:$A,0),MATCH(C$1,'SALA 2002'!$B$1:$U$1,0))*POWER(INDEX('WPP 2024 середина года'!$B:$U,MATCH($A83,'WPP 2024 середина года'!$A:$A,0),MATCH(C$1,'WPP 2024 середина года'!$B$1:$U$1,0))/(1000*INDEX('SALA 2002'!$B:$U,MATCH($A83,'SALA 2002'!$A:$A,0),MATCH(C$1,'SALA 2002'!$B$1:$U$1,0))),($A83-1994)/7),INDEX('WPP 2024 середина года'!$B:$U,MATCH($A83,'WPP 2024 середина года'!$A:$A,0),MATCH(C$1,'WPP 2024 середина года'!$B$1:$U$1,0)))))</f>
        <v>5760</v>
      </c>
      <c r="D83" s="7">
        <f>IF($A83&lt;=1951,INDEX('SALA 1974'!$B:$U,MATCH($A83,'SALA 1974'!$A:$A,0),MATCH(D$1,'SALA 1974'!$B$1:$U$1,0)),IF($A83&lt;=1994,1000*INDEX('SALA 2002'!$B:$U,MATCH($A83,'SALA 2002'!$A:$A,0),MATCH(D$1,'SALA 2002'!$B$1:$U$1,0)),IF($A83&lt;=2000,1000*INDEX('SALA 2002'!$B:$U,MATCH($A83,'SALA 2002'!$A:$A,0),MATCH(D$1,'SALA 2002'!$B$1:$U$1,0))*POWER(INDEX('WPP 2024 середина года'!$B:$U,MATCH($A83,'WPP 2024 середина года'!$A:$A,0),MATCH(D$1,'WPP 2024 середина года'!$B$1:$U$1,0))/(1000*INDEX('SALA 2002'!$B:$U,MATCH($A83,'SALA 2002'!$A:$A,0),MATCH(D$1,'SALA 2002'!$B$1:$U$1,0))),($A83-1994)/7),INDEX('WPP 2024 середина года'!$B:$U,MATCH($A83,'WPP 2024 середина года'!$A:$A,0),MATCH(D$1,'WPP 2024 середина года'!$B$1:$U$1,0)))))</f>
        <v>124070</v>
      </c>
      <c r="E83" s="7">
        <f>IF($A83&lt;=1951,INDEX('SALA 1974'!$B:$U,MATCH($A83,'SALA 1974'!$A:$A,0),MATCH(E$1,'SALA 1974'!$B$1:$U$1,0)),IF($A83&lt;=1994,1000*INDEX('SALA 2002'!$B:$U,MATCH($A83,'SALA 2002'!$A:$A,0),MATCH(E$1,'SALA 2002'!$B$1:$U$1,0)),IF($A83&lt;=2000,1000*INDEX('SALA 2002'!$B:$U,MATCH($A83,'SALA 2002'!$A:$A,0),MATCH(E$1,'SALA 2002'!$B$1:$U$1,0))*POWER(INDEX('WPP 2024 середина года'!$B:$U,MATCH($A83,'WPP 2024 середина года'!$A:$A,0),MATCH(E$1,'WPP 2024 середина года'!$B$1:$U$1,0))/(1000*INDEX('SALA 2002'!$B:$U,MATCH($A83,'SALA 2002'!$A:$A,0),MATCH(E$1,'SALA 2002'!$B$1:$U$1,0))),($A83-1994)/7),INDEX('WPP 2024 середина года'!$B:$U,MATCH($A83,'WPP 2024 середина года'!$A:$A,0),MATCH(E$1,'WPP 2024 середина года'!$B$1:$U$1,0)))))</f>
        <v>11330</v>
      </c>
      <c r="F83" s="7">
        <f>IF($A83&lt;=1947,INDEX('SALA 1974'!$B:$U,MATCH($A83,'SALA 1974'!$A:$A,0),MATCH(F$1,'SALA 1974'!$B$1:$U$1,0)),IF($A83&lt;=1994,1000*INDEX('SALA 2002'!$B:$U,MATCH($A83,'SALA 2002'!$A:$A,0),MATCH(F$1,'SALA 2002'!$B$1:$U$1,0)),IF($A83&lt;=2000,1000*INDEX('SALA 2002'!$B:$U,MATCH($A83,'SALA 2002'!$A:$A,0),MATCH(F$1,'SALA 2002'!$B$1:$U$1,0))*POWER(INDEX('WPP 2024 середина года'!$B:$U,MATCH($A83,'WPP 2024 середина года'!$A:$A,0),MATCH(F$1,'WPP 2024 середина года'!$B$1:$U$1,0))/(1000*INDEX('SALA 2002'!$B:$U,MATCH($A83,'SALA 2002'!$A:$A,0),MATCH(F$1,'SALA 2002'!$B$1:$U$1,0))),($A83-1994)/7),INDEX('WPP 2024 середина года'!$B:$U,MATCH($A83,'WPP 2024 середина года'!$A:$A,0),MATCH(F$1,'WPP 2024 середина года'!$B$1:$U$1,0)))))</f>
        <v>26430</v>
      </c>
      <c r="G83" s="7">
        <f>IF($A83&lt;=1951,INDEX('SALA 1974'!$B:$U,MATCH($A83,'SALA 1974'!$A:$A,0),MATCH(G$1,'SALA 1974'!$B$1:$U$1,0)),IF($A83&lt;=1994,1000*INDEX('SALA 2002'!$B:$U,MATCH($A83,'SALA 2002'!$A:$A,0),MATCH(G$1,'SALA 2002'!$B$1:$U$1,0)),IF($A83&lt;=2000,1000*INDEX('SALA 2002'!$B:$U,MATCH($A83,'SALA 2002'!$A:$A,0),MATCH(G$1,'SALA 2002'!$B$1:$U$1,0))*POWER(INDEX('WPP 2024 середина года'!$B:$U,MATCH($A83,'WPP 2024 середина года'!$A:$A,0),MATCH(G$1,'WPP 2024 середина года'!$B$1:$U$1,0))/(1000*INDEX('SALA 2002'!$B:$U,MATCH($A83,'SALA 2002'!$A:$A,0),MATCH(G$1,'SALA 2002'!$B$1:$U$1,0))),($A83-1994)/7),INDEX('WPP 2024 середина года'!$B:$U,MATCH($A83,'WPP 2024 середина года'!$A:$A,0),MATCH(G$1,'WPP 2024 середина года'!$B$1:$U$1,0)))))</f>
        <v>2270</v>
      </c>
      <c r="H83" s="7">
        <f>IF($A83&lt;=1951,INDEX('SALA 1974'!$B:$U,MATCH($A83,'SALA 1974'!$A:$A,0),MATCH(H$1,'SALA 1974'!$B$1:$U$1,0)),IF($A83&lt;=1994,1000*INDEX('SALA 2002'!$B:$U,MATCH($A83,'SALA 2002'!$A:$A,0),MATCH(H$1,'SALA 2002'!$B$1:$U$1,0)),IF($A83&lt;=2000,1000*INDEX('SALA 2002'!$B:$U,MATCH($A83,'SALA 2002'!$A:$A,0),MATCH(H$1,'SALA 2002'!$B$1:$U$1,0))*POWER(INDEX('WPP 2024 середина года'!$B:$U,MATCH($A83,'WPP 2024 середина года'!$A:$A,0),MATCH(H$1,'WPP 2024 середина года'!$B$1:$U$1,0))/(1000*INDEX('SALA 2002'!$B:$U,MATCH($A83,'SALA 2002'!$A:$A,0),MATCH(H$1,'SALA 2002'!$B$1:$U$1,0))),($A83-1994)/7),INDEX('WPP 2024 середина года'!$B:$U,MATCH($A83,'WPP 2024 середина года'!$A:$A,0),MATCH(H$1,'WPP 2024 середина года'!$B$1:$U$1,0)))))</f>
        <v>9720</v>
      </c>
      <c r="I83" s="7">
        <f>IF($A83&lt;=1951,INDEX('SALA 1974'!$B:$U,MATCH($A83,'SALA 1974'!$A:$A,0),MATCH(I$1,'SALA 1974'!$B$1:$U$1,0)),IF($A83&lt;=1994,1000*INDEX('SALA 2002'!$B:$U,MATCH($A83,'SALA 2002'!$A:$A,0),MATCH(I$1,'SALA 2002'!$B$1:$U$1,0)),IF($A83&lt;=2000,1000*INDEX('SALA 2002'!$B:$U,MATCH($A83,'SALA 2002'!$A:$A,0),MATCH(I$1,'SALA 2002'!$B$1:$U$1,0))*POWER(INDEX('WPP 2024 середина года'!$B:$U,MATCH($A83,'WPP 2024 середина года'!$A:$A,0),MATCH(I$1,'WPP 2024 середина года'!$B$1:$U$1,0))/(1000*INDEX('SALA 2002'!$B:$U,MATCH($A83,'SALA 2002'!$A:$A,0),MATCH(I$1,'SALA 2002'!$B$1:$U$1,0))),($A83-1994)/7),INDEX('WPP 2024 середина года'!$B:$U,MATCH($A83,'WPP 2024 середина года'!$A:$A,0),MATCH(I$1,'WPP 2024 середина года'!$B$1:$U$1,0)))))</f>
        <v>5580</v>
      </c>
      <c r="J83" s="7">
        <f>IF($A83&lt;=1951,INDEX('SALA 1974'!$B:$U,MATCH($A83,'SALA 1974'!$A:$A,0),MATCH(J$1,'SALA 1974'!$B$1:$U$1,0)),IF($A83&lt;=1994,1000*INDEX('SALA 2002'!$B:$U,MATCH($A83,'SALA 2002'!$A:$A,0),MATCH(J$1,'SALA 2002'!$B$1:$U$1,0)),IF($A83&lt;=2000,1000*INDEX('SALA 2002'!$B:$U,MATCH($A83,'SALA 2002'!$A:$A,0),MATCH(J$1,'SALA 2002'!$B$1:$U$1,0))*POWER(INDEX('WPP 2024 середина года'!$B:$U,MATCH($A83,'WPP 2024 середина года'!$A:$A,0),MATCH(J$1,'WPP 2024 середина года'!$B$1:$U$1,0))/(1000*INDEX('SALA 2002'!$B:$U,MATCH($A83,'SALA 2002'!$A:$A,0),MATCH(J$1,'SALA 2002'!$B$1:$U$1,0))),($A83-1994)/7),INDEX('WPP 2024 середина года'!$B:$U,MATCH($A83,'WPP 2024 середина года'!$A:$A,0),MATCH(J$1,'WPP 2024 середина года'!$B$1:$U$1,0)))))</f>
        <v>8360</v>
      </c>
      <c r="K83" s="7">
        <f>IF($A83&lt;=1951,INDEX('SALA 1974'!$B:$U,MATCH($A83,'SALA 1974'!$A:$A,0),MATCH(K$1,'SALA 1974'!$B$1:$U$1,0)),IF($A83&lt;=1994,1000*INDEX('SALA 2002'!$B:$U,MATCH($A83,'SALA 2002'!$A:$A,0),MATCH(K$1,'SALA 2002'!$B$1:$U$1,0)),IF($A83&lt;=2000,1000*INDEX('SALA 2002'!$B:$U,MATCH($A83,'SALA 2002'!$A:$A,0),MATCH(K$1,'SALA 2002'!$B$1:$U$1,0))*POWER(INDEX('WPP 2024 середина года'!$B:$U,MATCH($A83,'WPP 2024 середина года'!$A:$A,0),MATCH(K$1,'WPP 2024 середина года'!$B$1:$U$1,0))/(1000*INDEX('SALA 2002'!$B:$U,MATCH($A83,'SALA 2002'!$A:$A,0),MATCH(K$1,'SALA 2002'!$B$1:$U$1,0))),($A83-1994)/7),INDEX('WPP 2024 середина года'!$B:$U,MATCH($A83,'WPP 2024 середина года'!$A:$A,0),MATCH(K$1,'WPP 2024 середина года'!$B$1:$U$1,0)))))</f>
        <v>4590</v>
      </c>
      <c r="L83" s="7">
        <f>IF($A83&lt;=1951,INDEX('SALA 1974'!$B:$U,MATCH($A83,'SALA 1974'!$A:$A,0),MATCH(L$1,'SALA 1974'!$B$1:$U$1,0)),IF($A83&lt;=1994,1000*INDEX('SALA 2002'!$B:$U,MATCH($A83,'SALA 2002'!$A:$A,0),MATCH(L$1,'SALA 2002'!$B$1:$U$1,0)),IF($A83&lt;=2000,1000*INDEX('SALA 2002'!$B:$U,MATCH($A83,'SALA 2002'!$A:$A,0),MATCH(L$1,'SALA 2002'!$B$1:$U$1,0))*POWER(INDEX('WPP 2024 середина года'!$B:$U,MATCH($A83,'WPP 2024 середина года'!$A:$A,0),MATCH(L$1,'WPP 2024 середина года'!$B$1:$U$1,0))/(1000*INDEX('SALA 2002'!$B:$U,MATCH($A83,'SALA 2002'!$A:$A,0),MATCH(L$1,'SALA 2002'!$B$1:$U$1,0))),($A83-1994)/7),INDEX('WPP 2024 середина года'!$B:$U,MATCH($A83,'WPP 2024 середина года'!$A:$A,0),MATCH(L$1,'WPP 2024 середина года'!$B$1:$U$1,0)))))</f>
        <v>7110</v>
      </c>
      <c r="M83" s="7">
        <f>IF($A83&lt;=1951,INDEX('SALA 1974'!$B:$U,MATCH($A83,'SALA 1974'!$A:$A,0),MATCH(M$1,'SALA 1974'!$B$1:$U$1,0)),IF($A83&lt;=1994,1000*INDEX('SALA 2002'!$B:$U,MATCH($A83,'SALA 2002'!$A:$A,0),MATCH(M$1,'SALA 2002'!$B$1:$U$1,0)),IF($A83&lt;=2000,1000*INDEX('SALA 2002'!$B:$U,MATCH($A83,'SALA 2002'!$A:$A,0),MATCH(M$1,'SALA 2002'!$B$1:$U$1,0))*POWER(INDEX('WPP 2024 середина года'!$B:$U,MATCH($A83,'WPP 2024 середина года'!$A:$A,0),MATCH(M$1,'WPP 2024 середина года'!$B$1:$U$1,0))/(1000*INDEX('SALA 2002'!$B:$U,MATCH($A83,'SALA 2002'!$A:$A,0),MATCH(M$1,'SALA 2002'!$B$1:$U$1,0))),($A83-1994)/7),INDEX('WPP 2024 середина года'!$B:$U,MATCH($A83,'WPP 2024 середина года'!$A:$A,0),MATCH(M$1,'WPP 2024 середина года'!$B$1:$U$1,0)))))</f>
        <v>5100</v>
      </c>
      <c r="N83" s="7">
        <f>IF($A83&lt;=1951,INDEX('SALA 1974'!$B:$U,MATCH($A83,'SALA 1974'!$A:$A,0),MATCH(N$1,'SALA 1974'!$B$1:$U$1,0)),IF($A83&lt;=1994,1000*INDEX('SALA 2002'!$B:$U,MATCH($A83,'SALA 2002'!$A:$A,0),MATCH(N$1,'SALA 2002'!$B$1:$U$1,0)),IF($A83&lt;=2000,1000*INDEX('SALA 2002'!$B:$U,MATCH($A83,'SALA 2002'!$A:$A,0),MATCH(N$1,'SALA 2002'!$B$1:$U$1,0))*POWER(INDEX('WPP 2024 середина года'!$B:$U,MATCH($A83,'WPP 2024 середина года'!$A:$A,0),MATCH(N$1,'WPP 2024 середина года'!$B$1:$U$1,0))/(1000*INDEX('SALA 2002'!$B:$U,MATCH($A83,'SALA 2002'!$A:$A,0),MATCH(N$1,'SALA 2002'!$B$1:$U$1,0))),($A83-1994)/7),INDEX('WPP 2024 середина года'!$B:$U,MATCH($A83,'WPP 2024 середина года'!$A:$A,0),MATCH(N$1,'WPP 2024 середина года'!$B$1:$U$1,0)))))</f>
        <v>3820</v>
      </c>
      <c r="O83" s="7">
        <f>IF($A83&lt;=1951,INDEX('SALA 1974'!$B:$U,MATCH($A83,'SALA 1974'!$A:$A,0),MATCH(O$1,'SALA 1974'!$B$1:$U$1,0)),IF($A83&lt;=1994,1000*INDEX('SALA 2002'!$B:$U,MATCH($A83,'SALA 2002'!$A:$A,0),MATCH(O$1,'SALA 2002'!$B$1:$U$1,0)),IF($A83&lt;=2000,1000*INDEX('SALA 2002'!$B:$U,MATCH($A83,'SALA 2002'!$A:$A,0),MATCH(O$1,'SALA 2002'!$B$1:$U$1,0))*POWER(INDEX('WPP 2024 середина года'!$B:$U,MATCH($A83,'WPP 2024 середина года'!$A:$A,0),MATCH(O$1,'WPP 2024 середина года'!$B$1:$U$1,0))/(1000*INDEX('SALA 2002'!$B:$U,MATCH($A83,'SALA 2002'!$A:$A,0),MATCH(O$1,'SALA 2002'!$B$1:$U$1,0))),($A83-1994)/7),INDEX('WPP 2024 середина года'!$B:$U,MATCH($A83,'WPP 2024 середина года'!$A:$A,0),MATCH(O$1,'WPP 2024 середина года'!$B$1:$U$1,0)))))</f>
        <v>71350</v>
      </c>
      <c r="P83" s="7">
        <f>IF($A83&lt;=1951,INDEX('SALA 1974'!$B:$U,MATCH($A83,'SALA 1974'!$A:$A,0),MATCH(P$1,'SALA 1974'!$B$1:$U$1,0)),IF($A83&lt;=1994,1000*INDEX('SALA 2002'!$B:$U,MATCH($A83,'SALA 2002'!$A:$A,0),MATCH(P$1,'SALA 2002'!$B$1:$U$1,0)),IF($A83&lt;=2000,1000*INDEX('SALA 2002'!$B:$U,MATCH($A83,'SALA 2002'!$A:$A,0),MATCH(P$1,'SALA 2002'!$B$1:$U$1,0))*POWER(INDEX('WPP 2024 середина года'!$B:$U,MATCH($A83,'WPP 2024 середина года'!$A:$A,0),MATCH(P$1,'WPP 2024 середина года'!$B$1:$U$1,0))/(1000*INDEX('SALA 2002'!$B:$U,MATCH($A83,'SALA 2002'!$A:$A,0),MATCH(P$1,'SALA 2002'!$B$1:$U$1,0))),($A83-1994)/7),INDEX('WPP 2024 середина года'!$B:$U,MATCH($A83,'WPP 2024 середина года'!$A:$A,0),MATCH(P$1,'WPP 2024 середина года'!$B$1:$U$1,0)))))</f>
        <v>2860</v>
      </c>
      <c r="Q83" s="7">
        <f>IF($A83&lt;=1951,INDEX('SALA 1974'!$B:$U,MATCH($A83,'SALA 1974'!$A:$A,0),MATCH(Q$1,'SALA 1974'!$B$1:$U$1,0)),IF($A83&lt;=1994,1000*INDEX('SALA 2002'!$B:$U,MATCH($A83,'SALA 2002'!$A:$A,0),MATCH(Q$1,'SALA 2002'!$B$1:$U$1,0)),IF($A83&lt;=2000,1000*INDEX('SALA 2002'!$B:$U,MATCH($A83,'SALA 2002'!$A:$A,0),MATCH(Q$1,'SALA 2002'!$B$1:$U$1,0))*POWER(INDEX('WPP 2024 середина года'!$B:$U,MATCH($A83,'WPP 2024 середина года'!$A:$A,0),MATCH(Q$1,'WPP 2024 середина года'!$B$1:$U$1,0))/(1000*INDEX('SALA 2002'!$B:$U,MATCH($A83,'SALA 2002'!$A:$A,0),MATCH(Q$1,'SALA 2002'!$B$1:$U$1,0))),($A83-1994)/7),INDEX('WPP 2024 середина года'!$B:$U,MATCH($A83,'WPP 2024 середина года'!$A:$A,0),MATCH(Q$1,'WPP 2024 середина года'!$B$1:$U$1,0)))))</f>
        <v>2000</v>
      </c>
      <c r="R83" s="7">
        <f>IF($A83&lt;=1951,INDEX('SALA 1974'!$B:$U,MATCH($A83,'SALA 1974'!$A:$A,0),MATCH(R$1,'SALA 1974'!$B$1:$U$1,0)),IF($A83&lt;=1994,1000*INDEX('SALA 2002'!$B:$U,MATCH($A83,'SALA 2002'!$A:$A,0),MATCH(R$1,'SALA 2002'!$B$1:$U$1,0)),IF($A83&lt;=2000,1000*INDEX('SALA 2002'!$B:$U,MATCH($A83,'SALA 2002'!$A:$A,0),MATCH(R$1,'SALA 2002'!$B$1:$U$1,0))*POWER(INDEX('WPP 2024 середина года'!$B:$U,MATCH($A83,'WPP 2024 середина года'!$A:$A,0),MATCH(R$1,'WPP 2024 середина года'!$B$1:$U$1,0))/(1000*INDEX('SALA 2002'!$B:$U,MATCH($A83,'SALA 2002'!$A:$A,0),MATCH(R$1,'SALA 2002'!$B$1:$U$1,0))),($A83-1994)/7),INDEX('WPP 2024 середина года'!$B:$U,MATCH($A83,'WPP 2024 середина года'!$A:$A,0),MATCH(R$1,'WPP 2024 середина года'!$B$1:$U$1,0)))))</f>
        <v>3250</v>
      </c>
      <c r="S83" s="7">
        <f>IF($A83&lt;=1951,INDEX('SALA 1974'!$B:$U,MATCH($A83,'SALA 1974'!$A:$A,0),MATCH(S$1,'SALA 1974'!$B$1:$U$1,0)),IF($A83&lt;=1994,1000*INDEX('SALA 2002'!$B:$U,MATCH($A83,'SALA 2002'!$A:$A,0),MATCH(S$1,'SALA 2002'!$B$1:$U$1,0)),IF($A83&lt;=2000,1000*INDEX('SALA 2002'!$B:$U,MATCH($A83,'SALA 2002'!$A:$A,0),MATCH(S$1,'SALA 2002'!$B$1:$U$1,0))*POWER(INDEX('WPP 2024 середина года'!$B:$U,MATCH($A83,'WPP 2024 середина года'!$A:$A,0),MATCH(S$1,'WPP 2024 середина года'!$B$1:$U$1,0))/(1000*INDEX('SALA 2002'!$B:$U,MATCH($A83,'SALA 2002'!$A:$A,0),MATCH(S$1,'SALA 2002'!$B$1:$U$1,0))),($A83-1994)/7),INDEX('WPP 2024 середина года'!$B:$U,MATCH($A83,'WPP 2024 середина года'!$A:$A,0),MATCH(S$1,'WPP 2024 середина года'!$B$1:$U$1,0)))))</f>
        <v>17760</v>
      </c>
      <c r="T83" s="7">
        <f>IF($A83&lt;=1951,INDEX('SALA 1974'!$B:$U,MATCH($A83,'SALA 1974'!$A:$A,0),MATCH(T$1,'SALA 1974'!$B$1:$U$1,0)),IF($A83&lt;=1994,1000*INDEX('SALA 2002'!$B:$U,MATCH($A83,'SALA 2002'!$A:$A,0),MATCH(T$1,'SALA 2002'!$B$1:$U$1,0)),IF($A83&lt;=2000,1000*INDEX('SALA 2002'!$B:$U,MATCH($A83,'SALA 2002'!$A:$A,0),MATCH(T$1,'SALA 2002'!$B$1:$U$1,0))*POWER(INDEX('WPP 2024 середина года'!$B:$U,MATCH($A83,'WPP 2024 середина года'!$A:$A,0),MATCH(T$1,'WPP 2024 середина года'!$B$1:$U$1,0))/(1000*INDEX('SALA 2002'!$B:$U,MATCH($A83,'SALA 2002'!$A:$A,0),MATCH(T$1,'SALA 2002'!$B$1:$U$1,0))),($A83-1994)/7),INDEX('WPP 2024 середина года'!$B:$U,MATCH($A83,'WPP 2024 середина года'!$A:$A,0),MATCH(T$1,'WPP 2024 середина года'!$B$1:$U$1,0)))))</f>
        <v>2930</v>
      </c>
      <c r="U83" s="7">
        <f>IF($A83&lt;=1951,INDEX('SALA 1974'!$B:$U,MATCH($A83,'SALA 1974'!$A:$A,0),MATCH(U$1,'SALA 1974'!$B$1:$U$1,0)),IF($A83&lt;=1994,1000*INDEX('SALA 2002'!$B:$U,MATCH($A83,'SALA 2002'!$A:$A,0),MATCH(U$1,'SALA 2002'!$B$1:$U$1,0)),IF($A83&lt;=2000,1000*INDEX('SALA 2002'!$B:$U,MATCH($A83,'SALA 2002'!$A:$A,0),MATCH(U$1,'SALA 2002'!$B$1:$U$1,0))*POWER(INDEX('WPP 2024 середина года'!$B:$U,MATCH($A83,'WPP 2024 середина года'!$A:$A,0),MATCH(U$1,'WPP 2024 середина года'!$B$1:$U$1,0))/(1000*INDEX('SALA 2002'!$B:$U,MATCH($A83,'SALA 2002'!$A:$A,0),MATCH(U$1,'SALA 2002'!$B$1:$U$1,0))),($A83-1994)/7),INDEX('WPP 2024 середина года'!$B:$U,MATCH($A83,'WPP 2024 середина года'!$A:$A,0),MATCH(U$1,'WPP 2024 середина года'!$B$1:$U$1,0)))))</f>
        <v>15480</v>
      </c>
    </row>
    <row r="84" spans="1:21" x14ac:dyDescent="0.25">
      <c r="A84" s="5">
        <f t="shared" si="1"/>
        <v>1982</v>
      </c>
      <c r="B84" s="7">
        <f>IF($A84&lt;=1951,INDEX('SALA 1974'!$B:$U,MATCH($A84,'SALA 1974'!$A:$A,0),MATCH(B$1,'SALA 1974'!$B$1:$U$1,0)),IF($A84&lt;=1994,1000*INDEX('SALA 2002'!$B:$U,MATCH($A84,'SALA 2002'!$A:$A,0),MATCH(B$1,'SALA 2002'!$B$1:$U$1,0)),IF($A84&lt;=2000,1000*INDEX('SALA 2002'!$B:$U,MATCH($A84,'SALA 2002'!$A:$A,0),MATCH(B$1,'SALA 2002'!$B$1:$U$1,0))*POWER(INDEX('WPP 2024 середина года'!$B:$U,MATCH($A84,'WPP 2024 середина года'!$A:$A,0),MATCH(B$1,'WPP 2024 середина года'!$B$1:$U$1,0))/(1000*INDEX('SALA 2002'!$B:$U,MATCH($A84,'SALA 2002'!$A:$A,0),MATCH(B$1,'SALA 2002'!$B$1:$U$1,0))),($A84-1994)/7),INDEX('WPP 2024 середина года'!$B:$U,MATCH($A84,'WPP 2024 середина года'!$A:$A,0),MATCH(B$1,'WPP 2024 середина года'!$B$1:$U$1,0)))))</f>
        <v>29090</v>
      </c>
      <c r="C84" s="7">
        <f>IF($A84&lt;=1951,INDEX('SALA 1974'!$B:$U,MATCH($A84,'SALA 1974'!$A:$A,0),MATCH(C$1,'SALA 1974'!$B$1:$U$1,0)),IF($A84&lt;=1994,1000*INDEX('SALA 2002'!$B:$U,MATCH($A84,'SALA 2002'!$A:$A,0),MATCH(C$1,'SALA 2002'!$B$1:$U$1,0)),IF($A84&lt;=2000,1000*INDEX('SALA 2002'!$B:$U,MATCH($A84,'SALA 2002'!$A:$A,0),MATCH(C$1,'SALA 2002'!$B$1:$U$1,0))*POWER(INDEX('WPP 2024 середина года'!$B:$U,MATCH($A84,'WPP 2024 середина года'!$A:$A,0),MATCH(C$1,'WPP 2024 середина года'!$B$1:$U$1,0))/(1000*INDEX('SALA 2002'!$B:$U,MATCH($A84,'SALA 2002'!$A:$A,0),MATCH(C$1,'SALA 2002'!$B$1:$U$1,0))),($A84-1994)/7),INDEX('WPP 2024 середина года'!$B:$U,MATCH($A84,'WPP 2024 середина года'!$A:$A,0),MATCH(C$1,'WPP 2024 середина года'!$B$1:$U$1,0)))))</f>
        <v>5920</v>
      </c>
      <c r="D84" s="7">
        <f>IF($A84&lt;=1951,INDEX('SALA 1974'!$B:$U,MATCH($A84,'SALA 1974'!$A:$A,0),MATCH(D$1,'SALA 1974'!$B$1:$U$1,0)),IF($A84&lt;=1994,1000*INDEX('SALA 2002'!$B:$U,MATCH($A84,'SALA 2002'!$A:$A,0),MATCH(D$1,'SALA 2002'!$B$1:$U$1,0)),IF($A84&lt;=2000,1000*INDEX('SALA 2002'!$B:$U,MATCH($A84,'SALA 2002'!$A:$A,0),MATCH(D$1,'SALA 2002'!$B$1:$U$1,0))*POWER(INDEX('WPP 2024 середина года'!$B:$U,MATCH($A84,'WPP 2024 середина года'!$A:$A,0),MATCH(D$1,'WPP 2024 середина года'!$B$1:$U$1,0))/(1000*INDEX('SALA 2002'!$B:$U,MATCH($A84,'SALA 2002'!$A:$A,0),MATCH(D$1,'SALA 2002'!$B$1:$U$1,0))),($A84-1994)/7),INDEX('WPP 2024 середина года'!$B:$U,MATCH($A84,'WPP 2024 середина года'!$A:$A,0),MATCH(D$1,'WPP 2024 середина года'!$B$1:$U$1,0)))))</f>
        <v>126900</v>
      </c>
      <c r="E84" s="7">
        <f>IF($A84&lt;=1951,INDEX('SALA 1974'!$B:$U,MATCH($A84,'SALA 1974'!$A:$A,0),MATCH(E$1,'SALA 1974'!$B$1:$U$1,0)),IF($A84&lt;=1994,1000*INDEX('SALA 2002'!$B:$U,MATCH($A84,'SALA 2002'!$A:$A,0),MATCH(E$1,'SALA 2002'!$B$1:$U$1,0)),IF($A84&lt;=2000,1000*INDEX('SALA 2002'!$B:$U,MATCH($A84,'SALA 2002'!$A:$A,0),MATCH(E$1,'SALA 2002'!$B$1:$U$1,0))*POWER(INDEX('WPP 2024 середина года'!$B:$U,MATCH($A84,'WPP 2024 середина года'!$A:$A,0),MATCH(E$1,'WPP 2024 середина года'!$B$1:$U$1,0))/(1000*INDEX('SALA 2002'!$B:$U,MATCH($A84,'SALA 2002'!$A:$A,0),MATCH(E$1,'SALA 2002'!$B$1:$U$1,0))),($A84-1994)/7),INDEX('WPP 2024 середина года'!$B:$U,MATCH($A84,'WPP 2024 середина года'!$A:$A,0),MATCH(E$1,'WPP 2024 середина года'!$B$1:$U$1,0)))))</f>
        <v>11520</v>
      </c>
      <c r="F84" s="7">
        <f>IF($A84&lt;=1947,INDEX('SALA 1974'!$B:$U,MATCH($A84,'SALA 1974'!$A:$A,0),MATCH(F$1,'SALA 1974'!$B$1:$U$1,0)),IF($A84&lt;=1994,1000*INDEX('SALA 2002'!$B:$U,MATCH($A84,'SALA 2002'!$A:$A,0),MATCH(F$1,'SALA 2002'!$B$1:$U$1,0)),IF($A84&lt;=2000,1000*INDEX('SALA 2002'!$B:$U,MATCH($A84,'SALA 2002'!$A:$A,0),MATCH(F$1,'SALA 2002'!$B$1:$U$1,0))*POWER(INDEX('WPP 2024 середина года'!$B:$U,MATCH($A84,'WPP 2024 середина года'!$A:$A,0),MATCH(F$1,'WPP 2024 середина года'!$B$1:$U$1,0))/(1000*INDEX('SALA 2002'!$B:$U,MATCH($A84,'SALA 2002'!$A:$A,0),MATCH(F$1,'SALA 2002'!$B$1:$U$1,0))),($A84-1994)/7),INDEX('WPP 2024 середина года'!$B:$U,MATCH($A84,'WPP 2024 середина года'!$A:$A,0),MATCH(F$1,'WPP 2024 середина года'!$B$1:$U$1,0)))))</f>
        <v>26970</v>
      </c>
      <c r="G84" s="7">
        <f>IF($A84&lt;=1951,INDEX('SALA 1974'!$B:$U,MATCH($A84,'SALA 1974'!$A:$A,0),MATCH(G$1,'SALA 1974'!$B$1:$U$1,0)),IF($A84&lt;=1994,1000*INDEX('SALA 2002'!$B:$U,MATCH($A84,'SALA 2002'!$A:$A,0),MATCH(G$1,'SALA 2002'!$B$1:$U$1,0)),IF($A84&lt;=2000,1000*INDEX('SALA 2002'!$B:$U,MATCH($A84,'SALA 2002'!$A:$A,0),MATCH(G$1,'SALA 2002'!$B$1:$U$1,0))*POWER(INDEX('WPP 2024 середина года'!$B:$U,MATCH($A84,'WPP 2024 середина года'!$A:$A,0),MATCH(G$1,'WPP 2024 середина года'!$B$1:$U$1,0))/(1000*INDEX('SALA 2002'!$B:$U,MATCH($A84,'SALA 2002'!$A:$A,0),MATCH(G$1,'SALA 2002'!$B$1:$U$1,0))),($A84-1994)/7),INDEX('WPP 2024 середина года'!$B:$U,MATCH($A84,'WPP 2024 середина года'!$A:$A,0),MATCH(G$1,'WPP 2024 середина года'!$B$1:$U$1,0)))))</f>
        <v>2420</v>
      </c>
      <c r="H84" s="7">
        <f>IF($A84&lt;=1951,INDEX('SALA 1974'!$B:$U,MATCH($A84,'SALA 1974'!$A:$A,0),MATCH(H$1,'SALA 1974'!$B$1:$U$1,0)),IF($A84&lt;=1994,1000*INDEX('SALA 2002'!$B:$U,MATCH($A84,'SALA 2002'!$A:$A,0),MATCH(H$1,'SALA 2002'!$B$1:$U$1,0)),IF($A84&lt;=2000,1000*INDEX('SALA 2002'!$B:$U,MATCH($A84,'SALA 2002'!$A:$A,0),MATCH(H$1,'SALA 2002'!$B$1:$U$1,0))*POWER(INDEX('WPP 2024 середина года'!$B:$U,MATCH($A84,'WPP 2024 середина года'!$A:$A,0),MATCH(H$1,'WPP 2024 середина года'!$B$1:$U$1,0))/(1000*INDEX('SALA 2002'!$B:$U,MATCH($A84,'SALA 2002'!$A:$A,0),MATCH(H$1,'SALA 2002'!$B$1:$U$1,0))),($A84-1994)/7),INDEX('WPP 2024 середина года'!$B:$U,MATCH($A84,'WPP 2024 середина года'!$A:$A,0),MATCH(H$1,'WPP 2024 середина года'!$B$1:$U$1,0)))))</f>
        <v>9800</v>
      </c>
      <c r="I84" s="7">
        <f>IF($A84&lt;=1951,INDEX('SALA 1974'!$B:$U,MATCH($A84,'SALA 1974'!$A:$A,0),MATCH(I$1,'SALA 1974'!$B$1:$U$1,0)),IF($A84&lt;=1994,1000*INDEX('SALA 2002'!$B:$U,MATCH($A84,'SALA 2002'!$A:$A,0),MATCH(I$1,'SALA 2002'!$B$1:$U$1,0)),IF($A84&lt;=2000,1000*INDEX('SALA 2002'!$B:$U,MATCH($A84,'SALA 2002'!$A:$A,0),MATCH(I$1,'SALA 2002'!$B$1:$U$1,0))*POWER(INDEX('WPP 2024 середина года'!$B:$U,MATCH($A84,'WPP 2024 середина года'!$A:$A,0),MATCH(I$1,'WPP 2024 середина года'!$B$1:$U$1,0))/(1000*INDEX('SALA 2002'!$B:$U,MATCH($A84,'SALA 2002'!$A:$A,0),MATCH(I$1,'SALA 2002'!$B$1:$U$1,0))),($A84-1994)/7),INDEX('WPP 2024 середина года'!$B:$U,MATCH($A84,'WPP 2024 середина года'!$A:$A,0),MATCH(I$1,'WPP 2024 середина года'!$B$1:$U$1,0)))))</f>
        <v>5980</v>
      </c>
      <c r="J84" s="7">
        <f>IF($A84&lt;=1951,INDEX('SALA 1974'!$B:$U,MATCH($A84,'SALA 1974'!$A:$A,0),MATCH(J$1,'SALA 1974'!$B$1:$U$1,0)),IF($A84&lt;=1994,1000*INDEX('SALA 2002'!$B:$U,MATCH($A84,'SALA 2002'!$A:$A,0),MATCH(J$1,'SALA 2002'!$B$1:$U$1,0)),IF($A84&lt;=2000,1000*INDEX('SALA 2002'!$B:$U,MATCH($A84,'SALA 2002'!$A:$A,0),MATCH(J$1,'SALA 2002'!$B$1:$U$1,0))*POWER(INDEX('WPP 2024 середина года'!$B:$U,MATCH($A84,'WPP 2024 середина года'!$A:$A,0),MATCH(J$1,'WPP 2024 середина года'!$B$1:$U$1,0))/(1000*INDEX('SALA 2002'!$B:$U,MATCH($A84,'SALA 2002'!$A:$A,0),MATCH(J$1,'SALA 2002'!$B$1:$U$1,0))),($A84-1994)/7),INDEX('WPP 2024 середина года'!$B:$U,MATCH($A84,'WPP 2024 середина года'!$A:$A,0),MATCH(J$1,'WPP 2024 середина года'!$B$1:$U$1,0)))))</f>
        <v>8610</v>
      </c>
      <c r="K84" s="7">
        <f>IF($A84&lt;=1951,INDEX('SALA 1974'!$B:$U,MATCH($A84,'SALA 1974'!$A:$A,0),MATCH(K$1,'SALA 1974'!$B$1:$U$1,0)),IF($A84&lt;=1994,1000*INDEX('SALA 2002'!$B:$U,MATCH($A84,'SALA 2002'!$A:$A,0),MATCH(K$1,'SALA 2002'!$B$1:$U$1,0)),IF($A84&lt;=2000,1000*INDEX('SALA 2002'!$B:$U,MATCH($A84,'SALA 2002'!$A:$A,0),MATCH(K$1,'SALA 2002'!$B$1:$U$1,0))*POWER(INDEX('WPP 2024 середина года'!$B:$U,MATCH($A84,'WPP 2024 середина года'!$A:$A,0),MATCH(K$1,'WPP 2024 середина года'!$B$1:$U$1,0))/(1000*INDEX('SALA 2002'!$B:$U,MATCH($A84,'SALA 2002'!$A:$A,0),MATCH(K$1,'SALA 2002'!$B$1:$U$1,0))),($A84-1994)/7),INDEX('WPP 2024 середина года'!$B:$U,MATCH($A84,'WPP 2024 середина года'!$A:$A,0),MATCH(K$1,'WPP 2024 середина года'!$B$1:$U$1,0)))))</f>
        <v>4660</v>
      </c>
      <c r="L84" s="7">
        <f>IF($A84&lt;=1951,INDEX('SALA 1974'!$B:$U,MATCH($A84,'SALA 1974'!$A:$A,0),MATCH(L$1,'SALA 1974'!$B$1:$U$1,0)),IF($A84&lt;=1994,1000*INDEX('SALA 2002'!$B:$U,MATCH($A84,'SALA 2002'!$A:$A,0),MATCH(L$1,'SALA 2002'!$B$1:$U$1,0)),IF($A84&lt;=2000,1000*INDEX('SALA 2002'!$B:$U,MATCH($A84,'SALA 2002'!$A:$A,0),MATCH(L$1,'SALA 2002'!$B$1:$U$1,0))*POWER(INDEX('WPP 2024 середина года'!$B:$U,MATCH($A84,'WPP 2024 середина года'!$A:$A,0),MATCH(L$1,'WPP 2024 середина года'!$B$1:$U$1,0))/(1000*INDEX('SALA 2002'!$B:$U,MATCH($A84,'SALA 2002'!$A:$A,0),MATCH(L$1,'SALA 2002'!$B$1:$U$1,0))),($A84-1994)/7),INDEX('WPP 2024 середина года'!$B:$U,MATCH($A84,'WPP 2024 середина года'!$A:$A,0),MATCH(L$1,'WPP 2024 середина года'!$B$1:$U$1,0)))))</f>
        <v>7320</v>
      </c>
      <c r="M84" s="7">
        <f>IF($A84&lt;=1951,INDEX('SALA 1974'!$B:$U,MATCH($A84,'SALA 1974'!$A:$A,0),MATCH(M$1,'SALA 1974'!$B$1:$U$1,0)),IF($A84&lt;=1994,1000*INDEX('SALA 2002'!$B:$U,MATCH($A84,'SALA 2002'!$A:$A,0),MATCH(M$1,'SALA 2002'!$B$1:$U$1,0)),IF($A84&lt;=2000,1000*INDEX('SALA 2002'!$B:$U,MATCH($A84,'SALA 2002'!$A:$A,0),MATCH(M$1,'SALA 2002'!$B$1:$U$1,0))*POWER(INDEX('WPP 2024 середина года'!$B:$U,MATCH($A84,'WPP 2024 середина года'!$A:$A,0),MATCH(M$1,'WPP 2024 середина года'!$B$1:$U$1,0))/(1000*INDEX('SALA 2002'!$B:$U,MATCH($A84,'SALA 2002'!$A:$A,0),MATCH(M$1,'SALA 2002'!$B$1:$U$1,0))),($A84-1994)/7),INDEX('WPP 2024 середина года'!$B:$U,MATCH($A84,'WPP 2024 середина года'!$A:$A,0),MATCH(M$1,'WPP 2024 середина года'!$B$1:$U$1,0)))))</f>
        <v>5560</v>
      </c>
      <c r="N84" s="7">
        <f>IF($A84&lt;=1951,INDEX('SALA 1974'!$B:$U,MATCH($A84,'SALA 1974'!$A:$A,0),MATCH(N$1,'SALA 1974'!$B$1:$U$1,0)),IF($A84&lt;=1994,1000*INDEX('SALA 2002'!$B:$U,MATCH($A84,'SALA 2002'!$A:$A,0),MATCH(N$1,'SALA 2002'!$B$1:$U$1,0)),IF($A84&lt;=2000,1000*INDEX('SALA 2002'!$B:$U,MATCH($A84,'SALA 2002'!$A:$A,0),MATCH(N$1,'SALA 2002'!$B$1:$U$1,0))*POWER(INDEX('WPP 2024 середина года'!$B:$U,MATCH($A84,'WPP 2024 середина года'!$A:$A,0),MATCH(N$1,'WPP 2024 середина года'!$B$1:$U$1,0))/(1000*INDEX('SALA 2002'!$B:$U,MATCH($A84,'SALA 2002'!$A:$A,0),MATCH(N$1,'SALA 2002'!$B$1:$U$1,0))),($A84-1994)/7),INDEX('WPP 2024 середина года'!$B:$U,MATCH($A84,'WPP 2024 середина года'!$A:$A,0),MATCH(N$1,'WPP 2024 середина года'!$B$1:$U$1,0)))))</f>
        <v>3960</v>
      </c>
      <c r="O84" s="7">
        <f>IF($A84&lt;=1951,INDEX('SALA 1974'!$B:$U,MATCH($A84,'SALA 1974'!$A:$A,0),MATCH(O$1,'SALA 1974'!$B$1:$U$1,0)),IF($A84&lt;=1994,1000*INDEX('SALA 2002'!$B:$U,MATCH($A84,'SALA 2002'!$A:$A,0),MATCH(O$1,'SALA 2002'!$B$1:$U$1,0)),IF($A84&lt;=2000,1000*INDEX('SALA 2002'!$B:$U,MATCH($A84,'SALA 2002'!$A:$A,0),MATCH(O$1,'SALA 2002'!$B$1:$U$1,0))*POWER(INDEX('WPP 2024 середина года'!$B:$U,MATCH($A84,'WPP 2024 середина года'!$A:$A,0),MATCH(O$1,'WPP 2024 середина года'!$B$1:$U$1,0))/(1000*INDEX('SALA 2002'!$B:$U,MATCH($A84,'SALA 2002'!$A:$A,0),MATCH(O$1,'SALA 2002'!$B$1:$U$1,0))),($A84-1994)/7),INDEX('WPP 2024 середина года'!$B:$U,MATCH($A84,'WPP 2024 середина года'!$A:$A,0),MATCH(O$1,'WPP 2024 середина года'!$B$1:$U$1,0)))))</f>
        <v>73020</v>
      </c>
      <c r="P84" s="7">
        <f>IF($A84&lt;=1951,INDEX('SALA 1974'!$B:$U,MATCH($A84,'SALA 1974'!$A:$A,0),MATCH(P$1,'SALA 1974'!$B$1:$U$1,0)),IF($A84&lt;=1994,1000*INDEX('SALA 2002'!$B:$U,MATCH($A84,'SALA 2002'!$A:$A,0),MATCH(P$1,'SALA 2002'!$B$1:$U$1,0)),IF($A84&lt;=2000,1000*INDEX('SALA 2002'!$B:$U,MATCH($A84,'SALA 2002'!$A:$A,0),MATCH(P$1,'SALA 2002'!$B$1:$U$1,0))*POWER(INDEX('WPP 2024 середина года'!$B:$U,MATCH($A84,'WPP 2024 середина года'!$A:$A,0),MATCH(P$1,'WPP 2024 середина года'!$B$1:$U$1,0))/(1000*INDEX('SALA 2002'!$B:$U,MATCH($A84,'SALA 2002'!$A:$A,0),MATCH(P$1,'SALA 2002'!$B$1:$U$1,0))),($A84-1994)/7),INDEX('WPP 2024 середина года'!$B:$U,MATCH($A84,'WPP 2024 середина года'!$A:$A,0),MATCH(P$1,'WPP 2024 середина года'!$B$1:$U$1,0)))))</f>
        <v>2960</v>
      </c>
      <c r="Q84" s="7">
        <f>IF($A84&lt;=1951,INDEX('SALA 1974'!$B:$U,MATCH($A84,'SALA 1974'!$A:$A,0),MATCH(Q$1,'SALA 1974'!$B$1:$U$1,0)),IF($A84&lt;=1994,1000*INDEX('SALA 2002'!$B:$U,MATCH($A84,'SALA 2002'!$A:$A,0),MATCH(Q$1,'SALA 2002'!$B$1:$U$1,0)),IF($A84&lt;=2000,1000*INDEX('SALA 2002'!$B:$U,MATCH($A84,'SALA 2002'!$A:$A,0),MATCH(Q$1,'SALA 2002'!$B$1:$U$1,0))*POWER(INDEX('WPP 2024 середина года'!$B:$U,MATCH($A84,'WPP 2024 середина года'!$A:$A,0),MATCH(Q$1,'WPP 2024 середина года'!$B$1:$U$1,0))/(1000*INDEX('SALA 2002'!$B:$U,MATCH($A84,'SALA 2002'!$A:$A,0),MATCH(Q$1,'SALA 2002'!$B$1:$U$1,0))),($A84-1994)/7),INDEX('WPP 2024 середина года'!$B:$U,MATCH($A84,'WPP 2024 середина года'!$A:$A,0),MATCH(Q$1,'WPP 2024 середина года'!$B$1:$U$1,0)))))</f>
        <v>2040</v>
      </c>
      <c r="R84" s="7">
        <f>IF($A84&lt;=1951,INDEX('SALA 1974'!$B:$U,MATCH($A84,'SALA 1974'!$A:$A,0),MATCH(R$1,'SALA 1974'!$B$1:$U$1,0)),IF($A84&lt;=1994,1000*INDEX('SALA 2002'!$B:$U,MATCH($A84,'SALA 2002'!$A:$A,0),MATCH(R$1,'SALA 2002'!$B$1:$U$1,0)),IF($A84&lt;=2000,1000*INDEX('SALA 2002'!$B:$U,MATCH($A84,'SALA 2002'!$A:$A,0),MATCH(R$1,'SALA 2002'!$B$1:$U$1,0))*POWER(INDEX('WPP 2024 середина года'!$B:$U,MATCH($A84,'WPP 2024 середина года'!$A:$A,0),MATCH(R$1,'WPP 2024 середина года'!$B$1:$U$1,0))/(1000*INDEX('SALA 2002'!$B:$U,MATCH($A84,'SALA 2002'!$A:$A,0),MATCH(R$1,'SALA 2002'!$B$1:$U$1,0))),($A84-1994)/7),INDEX('WPP 2024 середина года'!$B:$U,MATCH($A84,'WPP 2024 середина года'!$A:$A,0),MATCH(R$1,'WPP 2024 середина года'!$B$1:$U$1,0)))))</f>
        <v>3360</v>
      </c>
      <c r="S84" s="7">
        <f>IF($A84&lt;=1951,INDEX('SALA 1974'!$B:$U,MATCH($A84,'SALA 1974'!$A:$A,0),MATCH(S$1,'SALA 1974'!$B$1:$U$1,0)),IF($A84&lt;=1994,1000*INDEX('SALA 2002'!$B:$U,MATCH($A84,'SALA 2002'!$A:$A,0),MATCH(S$1,'SALA 2002'!$B$1:$U$1,0)),IF($A84&lt;=2000,1000*INDEX('SALA 2002'!$B:$U,MATCH($A84,'SALA 2002'!$A:$A,0),MATCH(S$1,'SALA 2002'!$B$1:$U$1,0))*POWER(INDEX('WPP 2024 середина года'!$B:$U,MATCH($A84,'WPP 2024 середина года'!$A:$A,0),MATCH(S$1,'WPP 2024 середина года'!$B$1:$U$1,0))/(1000*INDEX('SALA 2002'!$B:$U,MATCH($A84,'SALA 2002'!$A:$A,0),MATCH(S$1,'SALA 2002'!$B$1:$U$1,0))),($A84-1994)/7),INDEX('WPP 2024 середина года'!$B:$U,MATCH($A84,'WPP 2024 середина года'!$A:$A,0),MATCH(S$1,'WPP 2024 середина года'!$B$1:$U$1,0)))))</f>
        <v>18140</v>
      </c>
      <c r="T84" s="7">
        <f>IF($A84&lt;=1951,INDEX('SALA 1974'!$B:$U,MATCH($A84,'SALA 1974'!$A:$A,0),MATCH(T$1,'SALA 1974'!$B$1:$U$1,0)),IF($A84&lt;=1994,1000*INDEX('SALA 2002'!$B:$U,MATCH($A84,'SALA 2002'!$A:$A,0),MATCH(T$1,'SALA 2002'!$B$1:$U$1,0)),IF($A84&lt;=2000,1000*INDEX('SALA 2002'!$B:$U,MATCH($A84,'SALA 2002'!$A:$A,0),MATCH(T$1,'SALA 2002'!$B$1:$U$1,0))*POWER(INDEX('WPP 2024 середина года'!$B:$U,MATCH($A84,'WPP 2024 середина года'!$A:$A,0),MATCH(T$1,'WPP 2024 середина года'!$B$1:$U$1,0))/(1000*INDEX('SALA 2002'!$B:$U,MATCH($A84,'SALA 2002'!$A:$A,0),MATCH(T$1,'SALA 2002'!$B$1:$U$1,0))),($A84-1994)/7),INDEX('WPP 2024 середина года'!$B:$U,MATCH($A84,'WPP 2024 середина года'!$A:$A,0),MATCH(T$1,'WPP 2024 середина года'!$B$1:$U$1,0)))))</f>
        <v>2950</v>
      </c>
      <c r="U84" s="7">
        <f>IF($A84&lt;=1951,INDEX('SALA 1974'!$B:$U,MATCH($A84,'SALA 1974'!$A:$A,0),MATCH(U$1,'SALA 1974'!$B$1:$U$1,0)),IF($A84&lt;=1994,1000*INDEX('SALA 2002'!$B:$U,MATCH($A84,'SALA 2002'!$A:$A,0),MATCH(U$1,'SALA 2002'!$B$1:$U$1,0)),IF($A84&lt;=2000,1000*INDEX('SALA 2002'!$B:$U,MATCH($A84,'SALA 2002'!$A:$A,0),MATCH(U$1,'SALA 2002'!$B$1:$U$1,0))*POWER(INDEX('WPP 2024 середина года'!$B:$U,MATCH($A84,'WPP 2024 середина года'!$A:$A,0),MATCH(U$1,'WPP 2024 середина года'!$B$1:$U$1,0))/(1000*INDEX('SALA 2002'!$B:$U,MATCH($A84,'SALA 2002'!$A:$A,0),MATCH(U$1,'SALA 2002'!$B$1:$U$1,0))),($A84-1994)/7),INDEX('WPP 2024 середина года'!$B:$U,MATCH($A84,'WPP 2024 середина года'!$A:$A,0),MATCH(U$1,'WPP 2024 середина года'!$B$1:$U$1,0)))))</f>
        <v>15940</v>
      </c>
    </row>
    <row r="85" spans="1:21" x14ac:dyDescent="0.25">
      <c r="A85" s="5">
        <f t="shared" si="1"/>
        <v>1983</v>
      </c>
      <c r="B85" s="7">
        <f>IF($A85&lt;=1951,INDEX('SALA 1974'!$B:$U,MATCH($A85,'SALA 1974'!$A:$A,0),MATCH(B$1,'SALA 1974'!$B$1:$U$1,0)),IF($A85&lt;=1994,1000*INDEX('SALA 2002'!$B:$U,MATCH($A85,'SALA 2002'!$A:$A,0),MATCH(B$1,'SALA 2002'!$B$1:$U$1,0)),IF($A85&lt;=2000,1000*INDEX('SALA 2002'!$B:$U,MATCH($A85,'SALA 2002'!$A:$A,0),MATCH(B$1,'SALA 2002'!$B$1:$U$1,0))*POWER(INDEX('WPP 2024 середина года'!$B:$U,MATCH($A85,'WPP 2024 середина года'!$A:$A,0),MATCH(B$1,'WPP 2024 середина года'!$B$1:$U$1,0))/(1000*INDEX('SALA 2002'!$B:$U,MATCH($A85,'SALA 2002'!$A:$A,0),MATCH(B$1,'SALA 2002'!$B$1:$U$1,0))),($A85-1994)/7),INDEX('WPP 2024 середина года'!$B:$U,MATCH($A85,'WPP 2024 середина года'!$A:$A,0),MATCH(B$1,'WPP 2024 середина года'!$B$1:$U$1,0)))))</f>
        <v>29510</v>
      </c>
      <c r="C85" s="7">
        <f>IF($A85&lt;=1951,INDEX('SALA 1974'!$B:$U,MATCH($A85,'SALA 1974'!$A:$A,0),MATCH(C$1,'SALA 1974'!$B$1:$U$1,0)),IF($A85&lt;=1994,1000*INDEX('SALA 2002'!$B:$U,MATCH($A85,'SALA 2002'!$A:$A,0),MATCH(C$1,'SALA 2002'!$B$1:$U$1,0)),IF($A85&lt;=2000,1000*INDEX('SALA 2002'!$B:$U,MATCH($A85,'SALA 2002'!$A:$A,0),MATCH(C$1,'SALA 2002'!$B$1:$U$1,0))*POWER(INDEX('WPP 2024 середина года'!$B:$U,MATCH($A85,'WPP 2024 середина года'!$A:$A,0),MATCH(C$1,'WPP 2024 середина года'!$B$1:$U$1,0))/(1000*INDEX('SALA 2002'!$B:$U,MATCH($A85,'SALA 2002'!$A:$A,0),MATCH(C$1,'SALA 2002'!$B$1:$U$1,0))),($A85-1994)/7),INDEX('WPP 2024 середина года'!$B:$U,MATCH($A85,'WPP 2024 середина года'!$A:$A,0),MATCH(C$1,'WPP 2024 середина года'!$B$1:$U$1,0)))))</f>
        <v>6080</v>
      </c>
      <c r="D85" s="7">
        <f>IF($A85&lt;=1951,INDEX('SALA 1974'!$B:$U,MATCH($A85,'SALA 1974'!$A:$A,0),MATCH(D$1,'SALA 1974'!$B$1:$U$1,0)),IF($A85&lt;=1994,1000*INDEX('SALA 2002'!$B:$U,MATCH($A85,'SALA 2002'!$A:$A,0),MATCH(D$1,'SALA 2002'!$B$1:$U$1,0)),IF($A85&lt;=2000,1000*INDEX('SALA 2002'!$B:$U,MATCH($A85,'SALA 2002'!$A:$A,0),MATCH(D$1,'SALA 2002'!$B$1:$U$1,0))*POWER(INDEX('WPP 2024 середина года'!$B:$U,MATCH($A85,'WPP 2024 середина года'!$A:$A,0),MATCH(D$1,'WPP 2024 середина года'!$B$1:$U$1,0))/(1000*INDEX('SALA 2002'!$B:$U,MATCH($A85,'SALA 2002'!$A:$A,0),MATCH(D$1,'SALA 2002'!$B$1:$U$1,0))),($A85-1994)/7),INDEX('WPP 2024 середина года'!$B:$U,MATCH($A85,'WPP 2024 середина года'!$A:$A,0),MATCH(D$1,'WPP 2024 середина года'!$B$1:$U$1,0)))))</f>
        <v>129770.00000000001</v>
      </c>
      <c r="E85" s="7">
        <f>IF($A85&lt;=1951,INDEX('SALA 1974'!$B:$U,MATCH($A85,'SALA 1974'!$A:$A,0),MATCH(E$1,'SALA 1974'!$B$1:$U$1,0)),IF($A85&lt;=1994,1000*INDEX('SALA 2002'!$B:$U,MATCH($A85,'SALA 2002'!$A:$A,0),MATCH(E$1,'SALA 2002'!$B$1:$U$1,0)),IF($A85&lt;=2000,1000*INDEX('SALA 2002'!$B:$U,MATCH($A85,'SALA 2002'!$A:$A,0),MATCH(E$1,'SALA 2002'!$B$1:$U$1,0))*POWER(INDEX('WPP 2024 середина года'!$B:$U,MATCH($A85,'WPP 2024 середина года'!$A:$A,0),MATCH(E$1,'WPP 2024 середина года'!$B$1:$U$1,0))/(1000*INDEX('SALA 2002'!$B:$U,MATCH($A85,'SALA 2002'!$A:$A,0),MATCH(E$1,'SALA 2002'!$B$1:$U$1,0))),($A85-1994)/7),INDEX('WPP 2024 середина года'!$B:$U,MATCH($A85,'WPP 2024 середина года'!$A:$A,0),MATCH(E$1,'WPP 2024 середина года'!$B$1:$U$1,0)))))</f>
        <v>11720</v>
      </c>
      <c r="F85" s="7">
        <f>IF($A85&lt;=1947,INDEX('SALA 1974'!$B:$U,MATCH($A85,'SALA 1974'!$A:$A,0),MATCH(F$1,'SALA 1974'!$B$1:$U$1,0)),IF($A85&lt;=1994,1000*INDEX('SALA 2002'!$B:$U,MATCH($A85,'SALA 2002'!$A:$A,0),MATCH(F$1,'SALA 2002'!$B$1:$U$1,0)),IF($A85&lt;=2000,1000*INDEX('SALA 2002'!$B:$U,MATCH($A85,'SALA 2002'!$A:$A,0),MATCH(F$1,'SALA 2002'!$B$1:$U$1,0))*POWER(INDEX('WPP 2024 середина года'!$B:$U,MATCH($A85,'WPP 2024 середина года'!$A:$A,0),MATCH(F$1,'WPP 2024 середина года'!$B$1:$U$1,0))/(1000*INDEX('SALA 2002'!$B:$U,MATCH($A85,'SALA 2002'!$A:$A,0),MATCH(F$1,'SALA 2002'!$B$1:$U$1,0))),($A85-1994)/7),INDEX('WPP 2024 середина года'!$B:$U,MATCH($A85,'WPP 2024 середина года'!$A:$A,0),MATCH(F$1,'WPP 2024 середина года'!$B$1:$U$1,0)))))</f>
        <v>27500</v>
      </c>
      <c r="G85" s="7">
        <f>IF($A85&lt;=1951,INDEX('SALA 1974'!$B:$U,MATCH($A85,'SALA 1974'!$A:$A,0),MATCH(G$1,'SALA 1974'!$B$1:$U$1,0)),IF($A85&lt;=1994,1000*INDEX('SALA 2002'!$B:$U,MATCH($A85,'SALA 2002'!$A:$A,0),MATCH(G$1,'SALA 2002'!$B$1:$U$1,0)),IF($A85&lt;=2000,1000*INDEX('SALA 2002'!$B:$U,MATCH($A85,'SALA 2002'!$A:$A,0),MATCH(G$1,'SALA 2002'!$B$1:$U$1,0))*POWER(INDEX('WPP 2024 середина года'!$B:$U,MATCH($A85,'WPP 2024 середина года'!$A:$A,0),MATCH(G$1,'WPP 2024 середина года'!$B$1:$U$1,0))/(1000*INDEX('SALA 2002'!$B:$U,MATCH($A85,'SALA 2002'!$A:$A,0),MATCH(G$1,'SALA 2002'!$B$1:$U$1,0))),($A85-1994)/7),INDEX('WPP 2024 середина года'!$B:$U,MATCH($A85,'WPP 2024 середина года'!$A:$A,0),MATCH(G$1,'WPP 2024 середина года'!$B$1:$U$1,0)))))</f>
        <v>2500</v>
      </c>
      <c r="H85" s="7">
        <f>IF($A85&lt;=1951,INDEX('SALA 1974'!$B:$U,MATCH($A85,'SALA 1974'!$A:$A,0),MATCH(H$1,'SALA 1974'!$B$1:$U$1,0)),IF($A85&lt;=1994,1000*INDEX('SALA 2002'!$B:$U,MATCH($A85,'SALA 2002'!$A:$A,0),MATCH(H$1,'SALA 2002'!$B$1:$U$1,0)),IF($A85&lt;=2000,1000*INDEX('SALA 2002'!$B:$U,MATCH($A85,'SALA 2002'!$A:$A,0),MATCH(H$1,'SALA 2002'!$B$1:$U$1,0))*POWER(INDEX('WPP 2024 середина года'!$B:$U,MATCH($A85,'WPP 2024 середина года'!$A:$A,0),MATCH(H$1,'WPP 2024 середина года'!$B$1:$U$1,0))/(1000*INDEX('SALA 2002'!$B:$U,MATCH($A85,'SALA 2002'!$A:$A,0),MATCH(H$1,'SALA 2002'!$B$1:$U$1,0))),($A85-1994)/7),INDEX('WPP 2024 середина года'!$B:$U,MATCH($A85,'WPP 2024 середина года'!$A:$A,0),MATCH(H$1,'WPP 2024 середина года'!$B$1:$U$1,0)))))</f>
        <v>9900</v>
      </c>
      <c r="I85" s="7">
        <f>IF($A85&lt;=1951,INDEX('SALA 1974'!$B:$U,MATCH($A85,'SALA 1974'!$A:$A,0),MATCH(I$1,'SALA 1974'!$B$1:$U$1,0)),IF($A85&lt;=1994,1000*INDEX('SALA 2002'!$B:$U,MATCH($A85,'SALA 2002'!$A:$A,0),MATCH(I$1,'SALA 2002'!$B$1:$U$1,0)),IF($A85&lt;=2000,1000*INDEX('SALA 2002'!$B:$U,MATCH($A85,'SALA 2002'!$A:$A,0),MATCH(I$1,'SALA 2002'!$B$1:$U$1,0))*POWER(INDEX('WPP 2024 середина года'!$B:$U,MATCH($A85,'WPP 2024 середина года'!$A:$A,0),MATCH(I$1,'WPP 2024 середина года'!$B$1:$U$1,0))/(1000*INDEX('SALA 2002'!$B:$U,MATCH($A85,'SALA 2002'!$A:$A,0),MATCH(I$1,'SALA 2002'!$B$1:$U$1,0))),($A85-1994)/7),INDEX('WPP 2024 середина года'!$B:$U,MATCH($A85,'WPP 2024 середина года'!$A:$A,0),MATCH(I$1,'WPP 2024 середина года'!$B$1:$U$1,0)))))</f>
        <v>6120</v>
      </c>
      <c r="J85" s="7">
        <f>IF($A85&lt;=1951,INDEX('SALA 1974'!$B:$U,MATCH($A85,'SALA 1974'!$A:$A,0),MATCH(J$1,'SALA 1974'!$B$1:$U$1,0)),IF($A85&lt;=1994,1000*INDEX('SALA 2002'!$B:$U,MATCH($A85,'SALA 2002'!$A:$A,0),MATCH(J$1,'SALA 2002'!$B$1:$U$1,0)),IF($A85&lt;=2000,1000*INDEX('SALA 2002'!$B:$U,MATCH($A85,'SALA 2002'!$A:$A,0),MATCH(J$1,'SALA 2002'!$B$1:$U$1,0))*POWER(INDEX('WPP 2024 середина года'!$B:$U,MATCH($A85,'WPP 2024 середина года'!$A:$A,0),MATCH(J$1,'WPP 2024 середина года'!$B$1:$U$1,0))/(1000*INDEX('SALA 2002'!$B:$U,MATCH($A85,'SALA 2002'!$A:$A,0),MATCH(J$1,'SALA 2002'!$B$1:$U$1,0))),($A85-1994)/7),INDEX('WPP 2024 середина года'!$B:$U,MATCH($A85,'WPP 2024 середина года'!$A:$A,0),MATCH(J$1,'WPP 2024 середина года'!$B$1:$U$1,0)))))</f>
        <v>8860</v>
      </c>
      <c r="K85" s="7">
        <f>IF($A85&lt;=1951,INDEX('SALA 1974'!$B:$U,MATCH($A85,'SALA 1974'!$A:$A,0),MATCH(K$1,'SALA 1974'!$B$1:$U$1,0)),IF($A85&lt;=1994,1000*INDEX('SALA 2002'!$B:$U,MATCH($A85,'SALA 2002'!$A:$A,0),MATCH(K$1,'SALA 2002'!$B$1:$U$1,0)),IF($A85&lt;=2000,1000*INDEX('SALA 2002'!$B:$U,MATCH($A85,'SALA 2002'!$A:$A,0),MATCH(K$1,'SALA 2002'!$B$1:$U$1,0))*POWER(INDEX('WPP 2024 середина года'!$B:$U,MATCH($A85,'WPP 2024 середина года'!$A:$A,0),MATCH(K$1,'WPP 2024 середина года'!$B$1:$U$1,0))/(1000*INDEX('SALA 2002'!$B:$U,MATCH($A85,'SALA 2002'!$A:$A,0),MATCH(K$1,'SALA 2002'!$B$1:$U$1,0))),($A85-1994)/7),INDEX('WPP 2024 середина года'!$B:$U,MATCH($A85,'WPP 2024 середина года'!$A:$A,0),MATCH(K$1,'WPP 2024 середина года'!$B$1:$U$1,0)))))</f>
        <v>4720</v>
      </c>
      <c r="L85" s="7">
        <f>IF($A85&lt;=1951,INDEX('SALA 1974'!$B:$U,MATCH($A85,'SALA 1974'!$A:$A,0),MATCH(L$1,'SALA 1974'!$B$1:$U$1,0)),IF($A85&lt;=1994,1000*INDEX('SALA 2002'!$B:$U,MATCH($A85,'SALA 2002'!$A:$A,0),MATCH(L$1,'SALA 2002'!$B$1:$U$1,0)),IF($A85&lt;=2000,1000*INDEX('SALA 2002'!$B:$U,MATCH($A85,'SALA 2002'!$A:$A,0),MATCH(L$1,'SALA 2002'!$B$1:$U$1,0))*POWER(INDEX('WPP 2024 середина года'!$B:$U,MATCH($A85,'WPP 2024 середина года'!$A:$A,0),MATCH(L$1,'WPP 2024 середина года'!$B$1:$U$1,0))/(1000*INDEX('SALA 2002'!$B:$U,MATCH($A85,'SALA 2002'!$A:$A,0),MATCH(L$1,'SALA 2002'!$B$1:$U$1,0))),($A85-1994)/7),INDEX('WPP 2024 середина года'!$B:$U,MATCH($A85,'WPP 2024 середина года'!$A:$A,0),MATCH(L$1,'WPP 2024 середина года'!$B$1:$U$1,0)))))</f>
        <v>7520</v>
      </c>
      <c r="M85" s="7">
        <f>IF($A85&lt;=1951,INDEX('SALA 1974'!$B:$U,MATCH($A85,'SALA 1974'!$A:$A,0),MATCH(M$1,'SALA 1974'!$B$1:$U$1,0)),IF($A85&lt;=1994,1000*INDEX('SALA 2002'!$B:$U,MATCH($A85,'SALA 2002'!$A:$A,0),MATCH(M$1,'SALA 2002'!$B$1:$U$1,0)),IF($A85&lt;=2000,1000*INDEX('SALA 2002'!$B:$U,MATCH($A85,'SALA 2002'!$A:$A,0),MATCH(M$1,'SALA 2002'!$B$1:$U$1,0))*POWER(INDEX('WPP 2024 середина года'!$B:$U,MATCH($A85,'WPP 2024 середина года'!$A:$A,0),MATCH(M$1,'WPP 2024 середина года'!$B$1:$U$1,0))/(1000*INDEX('SALA 2002'!$B:$U,MATCH($A85,'SALA 2002'!$A:$A,0),MATCH(M$1,'SALA 2002'!$B$1:$U$1,0))),($A85-1994)/7),INDEX('WPP 2024 середина года'!$B:$U,MATCH($A85,'WPP 2024 середина года'!$A:$A,0),MATCH(M$1,'WPP 2024 середина года'!$B$1:$U$1,0)))))</f>
        <v>5660</v>
      </c>
      <c r="N85" s="7">
        <f>IF($A85&lt;=1951,INDEX('SALA 1974'!$B:$U,MATCH($A85,'SALA 1974'!$A:$A,0),MATCH(N$1,'SALA 1974'!$B$1:$U$1,0)),IF($A85&lt;=1994,1000*INDEX('SALA 2002'!$B:$U,MATCH($A85,'SALA 2002'!$A:$A,0),MATCH(N$1,'SALA 2002'!$B$1:$U$1,0)),IF($A85&lt;=2000,1000*INDEX('SALA 2002'!$B:$U,MATCH($A85,'SALA 2002'!$A:$A,0),MATCH(N$1,'SALA 2002'!$B$1:$U$1,0))*POWER(INDEX('WPP 2024 середина года'!$B:$U,MATCH($A85,'WPP 2024 середина года'!$A:$A,0),MATCH(N$1,'WPP 2024 середина года'!$B$1:$U$1,0))/(1000*INDEX('SALA 2002'!$B:$U,MATCH($A85,'SALA 2002'!$A:$A,0),MATCH(N$1,'SALA 2002'!$B$1:$U$1,0))),($A85-1994)/7),INDEX('WPP 2024 середина года'!$B:$U,MATCH($A85,'WPP 2024 середина года'!$A:$A,0),MATCH(N$1,'WPP 2024 середина года'!$B$1:$U$1,0)))))</f>
        <v>4090</v>
      </c>
      <c r="O85" s="7">
        <f>IF($A85&lt;=1951,INDEX('SALA 1974'!$B:$U,MATCH($A85,'SALA 1974'!$A:$A,0),MATCH(O$1,'SALA 1974'!$B$1:$U$1,0)),IF($A85&lt;=1994,1000*INDEX('SALA 2002'!$B:$U,MATCH($A85,'SALA 2002'!$A:$A,0),MATCH(O$1,'SALA 2002'!$B$1:$U$1,0)),IF($A85&lt;=2000,1000*INDEX('SALA 2002'!$B:$U,MATCH($A85,'SALA 2002'!$A:$A,0),MATCH(O$1,'SALA 2002'!$B$1:$U$1,0))*POWER(INDEX('WPP 2024 середина года'!$B:$U,MATCH($A85,'WPP 2024 середина года'!$A:$A,0),MATCH(O$1,'WPP 2024 середина года'!$B$1:$U$1,0))/(1000*INDEX('SALA 2002'!$B:$U,MATCH($A85,'SALA 2002'!$A:$A,0),MATCH(O$1,'SALA 2002'!$B$1:$U$1,0))),($A85-1994)/7),INDEX('WPP 2024 середина года'!$B:$U,MATCH($A85,'WPP 2024 середина года'!$A:$A,0),MATCH(O$1,'WPP 2024 середина года'!$B$1:$U$1,0)))))</f>
        <v>74670</v>
      </c>
      <c r="P85" s="7">
        <f>IF($A85&lt;=1951,INDEX('SALA 1974'!$B:$U,MATCH($A85,'SALA 1974'!$A:$A,0),MATCH(P$1,'SALA 1974'!$B$1:$U$1,0)),IF($A85&lt;=1994,1000*INDEX('SALA 2002'!$B:$U,MATCH($A85,'SALA 2002'!$A:$A,0),MATCH(P$1,'SALA 2002'!$B$1:$U$1,0)),IF($A85&lt;=2000,1000*INDEX('SALA 2002'!$B:$U,MATCH($A85,'SALA 2002'!$A:$A,0),MATCH(P$1,'SALA 2002'!$B$1:$U$1,0))*POWER(INDEX('WPP 2024 середина года'!$B:$U,MATCH($A85,'WPP 2024 середина года'!$A:$A,0),MATCH(P$1,'WPP 2024 середина года'!$B$1:$U$1,0))/(1000*INDEX('SALA 2002'!$B:$U,MATCH($A85,'SALA 2002'!$A:$A,0),MATCH(P$1,'SALA 2002'!$B$1:$U$1,0))),($A85-1994)/7),INDEX('WPP 2024 середина года'!$B:$U,MATCH($A85,'WPP 2024 середина года'!$A:$A,0),MATCH(P$1,'WPP 2024 середина года'!$B$1:$U$1,0)))))</f>
        <v>3060</v>
      </c>
      <c r="Q85" s="7">
        <f>IF($A85&lt;=1951,INDEX('SALA 1974'!$B:$U,MATCH($A85,'SALA 1974'!$A:$A,0),MATCH(Q$1,'SALA 1974'!$B$1:$U$1,0)),IF($A85&lt;=1994,1000*INDEX('SALA 2002'!$B:$U,MATCH($A85,'SALA 2002'!$A:$A,0),MATCH(Q$1,'SALA 2002'!$B$1:$U$1,0)),IF($A85&lt;=2000,1000*INDEX('SALA 2002'!$B:$U,MATCH($A85,'SALA 2002'!$A:$A,0),MATCH(Q$1,'SALA 2002'!$B$1:$U$1,0))*POWER(INDEX('WPP 2024 середина года'!$B:$U,MATCH($A85,'WPP 2024 середина года'!$A:$A,0),MATCH(Q$1,'WPP 2024 середина года'!$B$1:$U$1,0))/(1000*INDEX('SALA 2002'!$B:$U,MATCH($A85,'SALA 2002'!$A:$A,0),MATCH(Q$1,'SALA 2002'!$B$1:$U$1,0))),($A85-1994)/7),INDEX('WPP 2024 середина года'!$B:$U,MATCH($A85,'WPP 2024 середина года'!$A:$A,0),MATCH(Q$1,'WPP 2024 середина года'!$B$1:$U$1,0)))))</f>
        <v>2090</v>
      </c>
      <c r="R85" s="7">
        <f>IF($A85&lt;=1951,INDEX('SALA 1974'!$B:$U,MATCH($A85,'SALA 1974'!$A:$A,0),MATCH(R$1,'SALA 1974'!$B$1:$U$1,0)),IF($A85&lt;=1994,1000*INDEX('SALA 2002'!$B:$U,MATCH($A85,'SALA 2002'!$A:$A,0),MATCH(R$1,'SALA 2002'!$B$1:$U$1,0)),IF($A85&lt;=2000,1000*INDEX('SALA 2002'!$B:$U,MATCH($A85,'SALA 2002'!$A:$A,0),MATCH(R$1,'SALA 2002'!$B$1:$U$1,0))*POWER(INDEX('WPP 2024 середина года'!$B:$U,MATCH($A85,'WPP 2024 середина года'!$A:$A,0),MATCH(R$1,'WPP 2024 середина года'!$B$1:$U$1,0))/(1000*INDEX('SALA 2002'!$B:$U,MATCH($A85,'SALA 2002'!$A:$A,0),MATCH(R$1,'SALA 2002'!$B$1:$U$1,0))),($A85-1994)/7),INDEX('WPP 2024 середина года'!$B:$U,MATCH($A85,'WPP 2024 середина года'!$A:$A,0),MATCH(R$1,'WPP 2024 середина года'!$B$1:$U$1,0)))))</f>
        <v>3470</v>
      </c>
      <c r="S85" s="7">
        <f>IF($A85&lt;=1951,INDEX('SALA 1974'!$B:$U,MATCH($A85,'SALA 1974'!$A:$A,0),MATCH(S$1,'SALA 1974'!$B$1:$U$1,0)),IF($A85&lt;=1994,1000*INDEX('SALA 2002'!$B:$U,MATCH($A85,'SALA 2002'!$A:$A,0),MATCH(S$1,'SALA 2002'!$B$1:$U$1,0)),IF($A85&lt;=2000,1000*INDEX('SALA 2002'!$B:$U,MATCH($A85,'SALA 2002'!$A:$A,0),MATCH(S$1,'SALA 2002'!$B$1:$U$1,0))*POWER(INDEX('WPP 2024 середина года'!$B:$U,MATCH($A85,'WPP 2024 середина года'!$A:$A,0),MATCH(S$1,'WPP 2024 середина года'!$B$1:$U$1,0))/(1000*INDEX('SALA 2002'!$B:$U,MATCH($A85,'SALA 2002'!$A:$A,0),MATCH(S$1,'SALA 2002'!$B$1:$U$1,0))),($A85-1994)/7),INDEX('WPP 2024 середина года'!$B:$U,MATCH($A85,'WPP 2024 середина года'!$A:$A,0),MATCH(S$1,'WPP 2024 середина года'!$B$1:$U$1,0)))))</f>
        <v>18570</v>
      </c>
      <c r="T85" s="7">
        <f>IF($A85&lt;=1951,INDEX('SALA 1974'!$B:$U,MATCH($A85,'SALA 1974'!$A:$A,0),MATCH(T$1,'SALA 1974'!$B$1:$U$1,0)),IF($A85&lt;=1994,1000*INDEX('SALA 2002'!$B:$U,MATCH($A85,'SALA 2002'!$A:$A,0),MATCH(T$1,'SALA 2002'!$B$1:$U$1,0)),IF($A85&lt;=2000,1000*INDEX('SALA 2002'!$B:$U,MATCH($A85,'SALA 2002'!$A:$A,0),MATCH(T$1,'SALA 2002'!$B$1:$U$1,0))*POWER(INDEX('WPP 2024 середина года'!$B:$U,MATCH($A85,'WPP 2024 середина года'!$A:$A,0),MATCH(T$1,'WPP 2024 середина года'!$B$1:$U$1,0))/(1000*INDEX('SALA 2002'!$B:$U,MATCH($A85,'SALA 2002'!$A:$A,0),MATCH(T$1,'SALA 2002'!$B$1:$U$1,0))),($A85-1994)/7),INDEX('WPP 2024 середина года'!$B:$U,MATCH($A85,'WPP 2024 середина года'!$A:$A,0),MATCH(T$1,'WPP 2024 середина года'!$B$1:$U$1,0)))))</f>
        <v>2970</v>
      </c>
      <c r="U85" s="7">
        <f>IF($A85&lt;=1951,INDEX('SALA 1974'!$B:$U,MATCH($A85,'SALA 1974'!$A:$A,0),MATCH(U$1,'SALA 1974'!$B$1:$U$1,0)),IF($A85&lt;=1994,1000*INDEX('SALA 2002'!$B:$U,MATCH($A85,'SALA 2002'!$A:$A,0),MATCH(U$1,'SALA 2002'!$B$1:$U$1,0)),IF($A85&lt;=2000,1000*INDEX('SALA 2002'!$B:$U,MATCH($A85,'SALA 2002'!$A:$A,0),MATCH(U$1,'SALA 2002'!$B$1:$U$1,0))*POWER(INDEX('WPP 2024 середина года'!$B:$U,MATCH($A85,'WPP 2024 середина года'!$A:$A,0),MATCH(U$1,'WPP 2024 середина года'!$B$1:$U$1,0))/(1000*INDEX('SALA 2002'!$B:$U,MATCH($A85,'SALA 2002'!$A:$A,0),MATCH(U$1,'SALA 2002'!$B$1:$U$1,0))),($A85-1994)/7),INDEX('WPP 2024 середина года'!$B:$U,MATCH($A85,'WPP 2024 середина года'!$A:$A,0),MATCH(U$1,'WPP 2024 середина года'!$B$1:$U$1,0)))))</f>
        <v>16390</v>
      </c>
    </row>
    <row r="86" spans="1:21" x14ac:dyDescent="0.25">
      <c r="A86" s="5">
        <f t="shared" si="1"/>
        <v>1984</v>
      </c>
      <c r="B86" s="7">
        <f>IF($A86&lt;=1951,INDEX('SALA 1974'!$B:$U,MATCH($A86,'SALA 1974'!$A:$A,0),MATCH(B$1,'SALA 1974'!$B$1:$U$1,0)),IF($A86&lt;=1994,1000*INDEX('SALA 2002'!$B:$U,MATCH($A86,'SALA 2002'!$A:$A,0),MATCH(B$1,'SALA 2002'!$B$1:$U$1,0)),IF($A86&lt;=2000,1000*INDEX('SALA 2002'!$B:$U,MATCH($A86,'SALA 2002'!$A:$A,0),MATCH(B$1,'SALA 2002'!$B$1:$U$1,0))*POWER(INDEX('WPP 2024 середина года'!$B:$U,MATCH($A86,'WPP 2024 середина года'!$A:$A,0),MATCH(B$1,'WPP 2024 середина года'!$B$1:$U$1,0))/(1000*INDEX('SALA 2002'!$B:$U,MATCH($A86,'SALA 2002'!$A:$A,0),MATCH(B$1,'SALA 2002'!$B$1:$U$1,0))),($A86-1994)/7),INDEX('WPP 2024 середина года'!$B:$U,MATCH($A86,'WPP 2024 середина года'!$A:$A,0),MATCH(B$1,'WPP 2024 середина года'!$B$1:$U$1,0)))))</f>
        <v>29880</v>
      </c>
      <c r="C86" s="7">
        <f>IF($A86&lt;=1951,INDEX('SALA 1974'!$B:$U,MATCH($A86,'SALA 1974'!$A:$A,0),MATCH(C$1,'SALA 1974'!$B$1:$U$1,0)),IF($A86&lt;=1994,1000*INDEX('SALA 2002'!$B:$U,MATCH($A86,'SALA 2002'!$A:$A,0),MATCH(C$1,'SALA 2002'!$B$1:$U$1,0)),IF($A86&lt;=2000,1000*INDEX('SALA 2002'!$B:$U,MATCH($A86,'SALA 2002'!$A:$A,0),MATCH(C$1,'SALA 2002'!$B$1:$U$1,0))*POWER(INDEX('WPP 2024 середина года'!$B:$U,MATCH($A86,'WPP 2024 середина года'!$A:$A,0),MATCH(C$1,'WPP 2024 середина года'!$B$1:$U$1,0))/(1000*INDEX('SALA 2002'!$B:$U,MATCH($A86,'SALA 2002'!$A:$A,0),MATCH(C$1,'SALA 2002'!$B$1:$U$1,0))),($A86-1994)/7),INDEX('WPP 2024 середина года'!$B:$U,MATCH($A86,'WPP 2024 середина года'!$A:$A,0),MATCH(C$1,'WPP 2024 середина года'!$B$1:$U$1,0)))))</f>
        <v>5780</v>
      </c>
      <c r="D86" s="7">
        <f>IF($A86&lt;=1951,INDEX('SALA 1974'!$B:$U,MATCH($A86,'SALA 1974'!$A:$A,0),MATCH(D$1,'SALA 1974'!$B$1:$U$1,0)),IF($A86&lt;=1994,1000*INDEX('SALA 2002'!$B:$U,MATCH($A86,'SALA 2002'!$A:$A,0),MATCH(D$1,'SALA 2002'!$B$1:$U$1,0)),IF($A86&lt;=2000,1000*INDEX('SALA 2002'!$B:$U,MATCH($A86,'SALA 2002'!$A:$A,0),MATCH(D$1,'SALA 2002'!$B$1:$U$1,0))*POWER(INDEX('WPP 2024 середина года'!$B:$U,MATCH($A86,'WPP 2024 середина года'!$A:$A,0),MATCH(D$1,'WPP 2024 середина года'!$B$1:$U$1,0))/(1000*INDEX('SALA 2002'!$B:$U,MATCH($A86,'SALA 2002'!$A:$A,0),MATCH(D$1,'SALA 2002'!$B$1:$U$1,0))),($A86-1994)/7),INDEX('WPP 2024 середина года'!$B:$U,MATCH($A86,'WPP 2024 середина года'!$A:$A,0),MATCH(D$1,'WPP 2024 середина года'!$B$1:$U$1,0)))))</f>
        <v>129320</v>
      </c>
      <c r="E86" s="7">
        <f>IF($A86&lt;=1951,INDEX('SALA 1974'!$B:$U,MATCH($A86,'SALA 1974'!$A:$A,0),MATCH(E$1,'SALA 1974'!$B$1:$U$1,0)),IF($A86&lt;=1994,1000*INDEX('SALA 2002'!$B:$U,MATCH($A86,'SALA 2002'!$A:$A,0),MATCH(E$1,'SALA 2002'!$B$1:$U$1,0)),IF($A86&lt;=2000,1000*INDEX('SALA 2002'!$B:$U,MATCH($A86,'SALA 2002'!$A:$A,0),MATCH(E$1,'SALA 2002'!$B$1:$U$1,0))*POWER(INDEX('WPP 2024 середина года'!$B:$U,MATCH($A86,'WPP 2024 середина года'!$A:$A,0),MATCH(E$1,'WPP 2024 середина года'!$B$1:$U$1,0))/(1000*INDEX('SALA 2002'!$B:$U,MATCH($A86,'SALA 2002'!$A:$A,0),MATCH(E$1,'SALA 2002'!$B$1:$U$1,0))),($A86-1994)/7),INDEX('WPP 2024 середина года'!$B:$U,MATCH($A86,'WPP 2024 середина года'!$A:$A,0),MATCH(E$1,'WPP 2024 середина года'!$B$1:$U$1,0)))))</f>
        <v>11920</v>
      </c>
      <c r="F86" s="7">
        <f>IF($A86&lt;=1947,INDEX('SALA 1974'!$B:$U,MATCH($A86,'SALA 1974'!$A:$A,0),MATCH(F$1,'SALA 1974'!$B$1:$U$1,0)),IF($A86&lt;=1994,1000*INDEX('SALA 2002'!$B:$U,MATCH($A86,'SALA 2002'!$A:$A,0),MATCH(F$1,'SALA 2002'!$B$1:$U$1,0)),IF($A86&lt;=2000,1000*INDEX('SALA 2002'!$B:$U,MATCH($A86,'SALA 2002'!$A:$A,0),MATCH(F$1,'SALA 2002'!$B$1:$U$1,0))*POWER(INDEX('WPP 2024 середина года'!$B:$U,MATCH($A86,'WPP 2024 середина года'!$A:$A,0),MATCH(F$1,'WPP 2024 середина года'!$B$1:$U$1,0))/(1000*INDEX('SALA 2002'!$B:$U,MATCH($A86,'SALA 2002'!$A:$A,0),MATCH(F$1,'SALA 2002'!$B$1:$U$1,0))),($A86-1994)/7),INDEX('WPP 2024 середина года'!$B:$U,MATCH($A86,'WPP 2024 середина года'!$A:$A,0),MATCH(F$1,'WPP 2024 середина года'!$B$1:$U$1,0)))))</f>
        <v>28060</v>
      </c>
      <c r="G86" s="7">
        <f>IF($A86&lt;=1951,INDEX('SALA 1974'!$B:$U,MATCH($A86,'SALA 1974'!$A:$A,0),MATCH(G$1,'SALA 1974'!$B$1:$U$1,0)),IF($A86&lt;=1994,1000*INDEX('SALA 2002'!$B:$U,MATCH($A86,'SALA 2002'!$A:$A,0),MATCH(G$1,'SALA 2002'!$B$1:$U$1,0)),IF($A86&lt;=2000,1000*INDEX('SALA 2002'!$B:$U,MATCH($A86,'SALA 2002'!$A:$A,0),MATCH(G$1,'SALA 2002'!$B$1:$U$1,0))*POWER(INDEX('WPP 2024 середина года'!$B:$U,MATCH($A86,'WPP 2024 середина года'!$A:$A,0),MATCH(G$1,'WPP 2024 середина года'!$B$1:$U$1,0))/(1000*INDEX('SALA 2002'!$B:$U,MATCH($A86,'SALA 2002'!$A:$A,0),MATCH(G$1,'SALA 2002'!$B$1:$U$1,0))),($A86-1994)/7),INDEX('WPP 2024 середина года'!$B:$U,MATCH($A86,'WPP 2024 середина года'!$A:$A,0),MATCH(G$1,'WPP 2024 середина года'!$B$1:$U$1,0)))))</f>
        <v>2570</v>
      </c>
      <c r="H86" s="7">
        <f>IF($A86&lt;=1951,INDEX('SALA 1974'!$B:$U,MATCH($A86,'SALA 1974'!$A:$A,0),MATCH(H$1,'SALA 1974'!$B$1:$U$1,0)),IF($A86&lt;=1994,1000*INDEX('SALA 2002'!$B:$U,MATCH($A86,'SALA 2002'!$A:$A,0),MATCH(H$1,'SALA 2002'!$B$1:$U$1,0)),IF($A86&lt;=2000,1000*INDEX('SALA 2002'!$B:$U,MATCH($A86,'SALA 2002'!$A:$A,0),MATCH(H$1,'SALA 2002'!$B$1:$U$1,0))*POWER(INDEX('WPP 2024 середина года'!$B:$U,MATCH($A86,'WPP 2024 середина года'!$A:$A,0),MATCH(H$1,'WPP 2024 середина года'!$B$1:$U$1,0))/(1000*INDEX('SALA 2002'!$B:$U,MATCH($A86,'SALA 2002'!$A:$A,0),MATCH(H$1,'SALA 2002'!$B$1:$U$1,0))),($A86-1994)/7),INDEX('WPP 2024 середина года'!$B:$U,MATCH($A86,'WPP 2024 середина года'!$A:$A,0),MATCH(H$1,'WPP 2024 середина года'!$B$1:$U$1,0)))))</f>
        <v>9990</v>
      </c>
      <c r="I86" s="7">
        <f>IF($A86&lt;=1951,INDEX('SALA 1974'!$B:$U,MATCH($A86,'SALA 1974'!$A:$A,0),MATCH(I$1,'SALA 1974'!$B$1:$U$1,0)),IF($A86&lt;=1994,1000*INDEX('SALA 2002'!$B:$U,MATCH($A86,'SALA 2002'!$A:$A,0),MATCH(I$1,'SALA 2002'!$B$1:$U$1,0)),IF($A86&lt;=2000,1000*INDEX('SALA 2002'!$B:$U,MATCH($A86,'SALA 2002'!$A:$A,0),MATCH(I$1,'SALA 2002'!$B$1:$U$1,0))*POWER(INDEX('WPP 2024 середина года'!$B:$U,MATCH($A86,'WPP 2024 середина года'!$A:$A,0),MATCH(I$1,'WPP 2024 середина года'!$B$1:$U$1,0))/(1000*INDEX('SALA 2002'!$B:$U,MATCH($A86,'SALA 2002'!$A:$A,0),MATCH(I$1,'SALA 2002'!$B$1:$U$1,0))),($A86-1994)/7),INDEX('WPP 2024 середина года'!$B:$U,MATCH($A86,'WPP 2024 середина года'!$A:$A,0),MATCH(I$1,'WPP 2024 середина года'!$B$1:$U$1,0)))))</f>
        <v>6270</v>
      </c>
      <c r="J86" s="7">
        <f>IF($A86&lt;=1951,INDEX('SALA 1974'!$B:$U,MATCH($A86,'SALA 1974'!$A:$A,0),MATCH(J$1,'SALA 1974'!$B$1:$U$1,0)),IF($A86&lt;=1994,1000*INDEX('SALA 2002'!$B:$U,MATCH($A86,'SALA 2002'!$A:$A,0),MATCH(J$1,'SALA 2002'!$B$1:$U$1,0)),IF($A86&lt;=2000,1000*INDEX('SALA 2002'!$B:$U,MATCH($A86,'SALA 2002'!$A:$A,0),MATCH(J$1,'SALA 2002'!$B$1:$U$1,0))*POWER(INDEX('WPP 2024 середина года'!$B:$U,MATCH($A86,'WPP 2024 середина года'!$A:$A,0),MATCH(J$1,'WPP 2024 середина года'!$B$1:$U$1,0))/(1000*INDEX('SALA 2002'!$B:$U,MATCH($A86,'SALA 2002'!$A:$A,0),MATCH(J$1,'SALA 2002'!$B$1:$U$1,0))),($A86-1994)/7),INDEX('WPP 2024 середина года'!$B:$U,MATCH($A86,'WPP 2024 середина года'!$A:$A,0),MATCH(J$1,'WPP 2024 середина года'!$B$1:$U$1,0)))))</f>
        <v>8870</v>
      </c>
      <c r="K86" s="7">
        <f>IF($A86&lt;=1951,INDEX('SALA 1974'!$B:$U,MATCH($A86,'SALA 1974'!$A:$A,0),MATCH(K$1,'SALA 1974'!$B$1:$U$1,0)),IF($A86&lt;=1994,1000*INDEX('SALA 2002'!$B:$U,MATCH($A86,'SALA 2002'!$A:$A,0),MATCH(K$1,'SALA 2002'!$B$1:$U$1,0)),IF($A86&lt;=2000,1000*INDEX('SALA 2002'!$B:$U,MATCH($A86,'SALA 2002'!$A:$A,0),MATCH(K$1,'SALA 2002'!$B$1:$U$1,0))*POWER(INDEX('WPP 2024 середина года'!$B:$U,MATCH($A86,'WPP 2024 середина года'!$A:$A,0),MATCH(K$1,'WPP 2024 середина года'!$B$1:$U$1,0))/(1000*INDEX('SALA 2002'!$B:$U,MATCH($A86,'SALA 2002'!$A:$A,0),MATCH(K$1,'SALA 2002'!$B$1:$U$1,0))),($A86-1994)/7),INDEX('WPP 2024 середина года'!$B:$U,MATCH($A86,'WPP 2024 середина года'!$A:$A,0),MATCH(K$1,'WPP 2024 середина года'!$B$1:$U$1,0)))))</f>
        <v>4780</v>
      </c>
      <c r="L86" s="7">
        <f>IF($A86&lt;=1951,INDEX('SALA 1974'!$B:$U,MATCH($A86,'SALA 1974'!$A:$A,0),MATCH(L$1,'SALA 1974'!$B$1:$U$1,0)),IF($A86&lt;=1994,1000*INDEX('SALA 2002'!$B:$U,MATCH($A86,'SALA 2002'!$A:$A,0),MATCH(L$1,'SALA 2002'!$B$1:$U$1,0)),IF($A86&lt;=2000,1000*INDEX('SALA 2002'!$B:$U,MATCH($A86,'SALA 2002'!$A:$A,0),MATCH(L$1,'SALA 2002'!$B$1:$U$1,0))*POWER(INDEX('WPP 2024 середина года'!$B:$U,MATCH($A86,'WPP 2024 середина года'!$A:$A,0),MATCH(L$1,'WPP 2024 середина года'!$B$1:$U$1,0))/(1000*INDEX('SALA 2002'!$B:$U,MATCH($A86,'SALA 2002'!$A:$A,0),MATCH(L$1,'SALA 2002'!$B$1:$U$1,0))),($A86-1994)/7),INDEX('WPP 2024 середина года'!$B:$U,MATCH($A86,'WPP 2024 середина года'!$A:$A,0),MATCH(L$1,'WPP 2024 середина года'!$B$1:$U$1,0)))))</f>
        <v>7740</v>
      </c>
      <c r="M86" s="7">
        <f>IF($A86&lt;=1951,INDEX('SALA 1974'!$B:$U,MATCH($A86,'SALA 1974'!$A:$A,0),MATCH(M$1,'SALA 1974'!$B$1:$U$1,0)),IF($A86&lt;=1994,1000*INDEX('SALA 2002'!$B:$U,MATCH($A86,'SALA 2002'!$A:$A,0),MATCH(M$1,'SALA 2002'!$B$1:$U$1,0)),IF($A86&lt;=2000,1000*INDEX('SALA 2002'!$B:$U,MATCH($A86,'SALA 2002'!$A:$A,0),MATCH(M$1,'SALA 2002'!$B$1:$U$1,0))*POWER(INDEX('WPP 2024 середина года'!$B:$U,MATCH($A86,'WPP 2024 середина года'!$A:$A,0),MATCH(M$1,'WPP 2024 середина года'!$B$1:$U$1,0))/(1000*INDEX('SALA 2002'!$B:$U,MATCH($A86,'SALA 2002'!$A:$A,0),MATCH(M$1,'SALA 2002'!$B$1:$U$1,0))),($A86-1994)/7),INDEX('WPP 2024 середина года'!$B:$U,MATCH($A86,'WPP 2024 середина года'!$A:$A,0),MATCH(M$1,'WPP 2024 середина года'!$B$1:$U$1,0)))))</f>
        <v>5760</v>
      </c>
      <c r="N86" s="7">
        <f>IF($A86&lt;=1951,INDEX('SALA 1974'!$B:$U,MATCH($A86,'SALA 1974'!$A:$A,0),MATCH(N$1,'SALA 1974'!$B$1:$U$1,0)),IF($A86&lt;=1994,1000*INDEX('SALA 2002'!$B:$U,MATCH($A86,'SALA 2002'!$A:$A,0),MATCH(N$1,'SALA 2002'!$B$1:$U$1,0)),IF($A86&lt;=2000,1000*INDEX('SALA 2002'!$B:$U,MATCH($A86,'SALA 2002'!$A:$A,0),MATCH(N$1,'SALA 2002'!$B$1:$U$1,0))*POWER(INDEX('WPP 2024 середина года'!$B:$U,MATCH($A86,'WPP 2024 середина года'!$A:$A,0),MATCH(N$1,'WPP 2024 середина года'!$B$1:$U$1,0))/(1000*INDEX('SALA 2002'!$B:$U,MATCH($A86,'SALA 2002'!$A:$A,0),MATCH(N$1,'SALA 2002'!$B$1:$U$1,0))),($A86-1994)/7),INDEX('WPP 2024 середина года'!$B:$U,MATCH($A86,'WPP 2024 середина года'!$A:$A,0),MATCH(N$1,'WPP 2024 середина года'!$B$1:$U$1,0)))))</f>
        <v>4230</v>
      </c>
      <c r="O86" s="7">
        <f>IF($A86&lt;=1951,INDEX('SALA 1974'!$B:$U,MATCH($A86,'SALA 1974'!$A:$A,0),MATCH(O$1,'SALA 1974'!$B$1:$U$1,0)),IF($A86&lt;=1994,1000*INDEX('SALA 2002'!$B:$U,MATCH($A86,'SALA 2002'!$A:$A,0),MATCH(O$1,'SALA 2002'!$B$1:$U$1,0)),IF($A86&lt;=2000,1000*INDEX('SALA 2002'!$B:$U,MATCH($A86,'SALA 2002'!$A:$A,0),MATCH(O$1,'SALA 2002'!$B$1:$U$1,0))*POWER(INDEX('WPP 2024 середина года'!$B:$U,MATCH($A86,'WPP 2024 середина года'!$A:$A,0),MATCH(O$1,'WPP 2024 середина года'!$B$1:$U$1,0))/(1000*INDEX('SALA 2002'!$B:$U,MATCH($A86,'SALA 2002'!$A:$A,0),MATCH(O$1,'SALA 2002'!$B$1:$U$1,0))),($A86-1994)/7),INDEX('WPP 2024 середина года'!$B:$U,MATCH($A86,'WPP 2024 середина года'!$A:$A,0),MATCH(O$1,'WPP 2024 середина года'!$B$1:$U$1,0)))))</f>
        <v>76310</v>
      </c>
      <c r="P86" s="7">
        <f>IF($A86&lt;=1951,INDEX('SALA 1974'!$B:$U,MATCH($A86,'SALA 1974'!$A:$A,0),MATCH(P$1,'SALA 1974'!$B$1:$U$1,0)),IF($A86&lt;=1994,1000*INDEX('SALA 2002'!$B:$U,MATCH($A86,'SALA 2002'!$A:$A,0),MATCH(P$1,'SALA 2002'!$B$1:$U$1,0)),IF($A86&lt;=2000,1000*INDEX('SALA 2002'!$B:$U,MATCH($A86,'SALA 2002'!$A:$A,0),MATCH(P$1,'SALA 2002'!$B$1:$U$1,0))*POWER(INDEX('WPP 2024 середина года'!$B:$U,MATCH($A86,'WPP 2024 середина года'!$A:$A,0),MATCH(P$1,'WPP 2024 середина года'!$B$1:$U$1,0))/(1000*INDEX('SALA 2002'!$B:$U,MATCH($A86,'SALA 2002'!$A:$A,0),MATCH(P$1,'SALA 2002'!$B$1:$U$1,0))),($A86-1994)/7),INDEX('WPP 2024 середина года'!$B:$U,MATCH($A86,'WPP 2024 середина года'!$A:$A,0),MATCH(P$1,'WPP 2024 середина года'!$B$1:$U$1,0)))))</f>
        <v>3160</v>
      </c>
      <c r="Q86" s="7">
        <f>IF($A86&lt;=1951,INDEX('SALA 1974'!$B:$U,MATCH($A86,'SALA 1974'!$A:$A,0),MATCH(Q$1,'SALA 1974'!$B$1:$U$1,0)),IF($A86&lt;=1994,1000*INDEX('SALA 2002'!$B:$U,MATCH($A86,'SALA 2002'!$A:$A,0),MATCH(Q$1,'SALA 2002'!$B$1:$U$1,0)),IF($A86&lt;=2000,1000*INDEX('SALA 2002'!$B:$U,MATCH($A86,'SALA 2002'!$A:$A,0),MATCH(Q$1,'SALA 2002'!$B$1:$U$1,0))*POWER(INDEX('WPP 2024 середина года'!$B:$U,MATCH($A86,'WPP 2024 середина года'!$A:$A,0),MATCH(Q$1,'WPP 2024 середина года'!$B$1:$U$1,0))/(1000*INDEX('SALA 2002'!$B:$U,MATCH($A86,'SALA 2002'!$A:$A,0),MATCH(Q$1,'SALA 2002'!$B$1:$U$1,0))),($A86-1994)/7),INDEX('WPP 2024 середина года'!$B:$U,MATCH($A86,'WPP 2024 середина года'!$A:$A,0),MATCH(Q$1,'WPP 2024 середина года'!$B$1:$U$1,0)))))</f>
        <v>2130</v>
      </c>
      <c r="R86" s="7">
        <f>IF($A86&lt;=1951,INDEX('SALA 1974'!$B:$U,MATCH($A86,'SALA 1974'!$A:$A,0),MATCH(R$1,'SALA 1974'!$B$1:$U$1,0)),IF($A86&lt;=1994,1000*INDEX('SALA 2002'!$B:$U,MATCH($A86,'SALA 2002'!$A:$A,0),MATCH(R$1,'SALA 2002'!$B$1:$U$1,0)),IF($A86&lt;=2000,1000*INDEX('SALA 2002'!$B:$U,MATCH($A86,'SALA 2002'!$A:$A,0),MATCH(R$1,'SALA 2002'!$B$1:$U$1,0))*POWER(INDEX('WPP 2024 середина года'!$B:$U,MATCH($A86,'WPP 2024 середина года'!$A:$A,0),MATCH(R$1,'WPP 2024 середина года'!$B$1:$U$1,0))/(1000*INDEX('SALA 2002'!$B:$U,MATCH($A86,'SALA 2002'!$A:$A,0),MATCH(R$1,'SALA 2002'!$B$1:$U$1,0))),($A86-1994)/7),INDEX('WPP 2024 середина года'!$B:$U,MATCH($A86,'WPP 2024 середина года'!$A:$A,0),MATCH(R$1,'WPP 2024 середина года'!$B$1:$U$1,0)))))</f>
        <v>3580</v>
      </c>
      <c r="S86" s="7">
        <f>IF($A86&lt;=1951,INDEX('SALA 1974'!$B:$U,MATCH($A86,'SALA 1974'!$A:$A,0),MATCH(S$1,'SALA 1974'!$B$1:$U$1,0)),IF($A86&lt;=1994,1000*INDEX('SALA 2002'!$B:$U,MATCH($A86,'SALA 2002'!$A:$A,0),MATCH(S$1,'SALA 2002'!$B$1:$U$1,0)),IF($A86&lt;=2000,1000*INDEX('SALA 2002'!$B:$U,MATCH($A86,'SALA 2002'!$A:$A,0),MATCH(S$1,'SALA 2002'!$B$1:$U$1,0))*POWER(INDEX('WPP 2024 середина года'!$B:$U,MATCH($A86,'WPP 2024 середина года'!$A:$A,0),MATCH(S$1,'WPP 2024 середина года'!$B$1:$U$1,0))/(1000*INDEX('SALA 2002'!$B:$U,MATCH($A86,'SALA 2002'!$A:$A,0),MATCH(S$1,'SALA 2002'!$B$1:$U$1,0))),($A86-1994)/7),INDEX('WPP 2024 середина года'!$B:$U,MATCH($A86,'WPP 2024 середина года'!$A:$A,0),MATCH(S$1,'WPP 2024 середина года'!$B$1:$U$1,0)))))</f>
        <v>18990</v>
      </c>
      <c r="T86" s="7">
        <f>IF($A86&lt;=1951,INDEX('SALA 1974'!$B:$U,MATCH($A86,'SALA 1974'!$A:$A,0),MATCH(T$1,'SALA 1974'!$B$1:$U$1,0)),IF($A86&lt;=1994,1000*INDEX('SALA 2002'!$B:$U,MATCH($A86,'SALA 2002'!$A:$A,0),MATCH(T$1,'SALA 2002'!$B$1:$U$1,0)),IF($A86&lt;=2000,1000*INDEX('SALA 2002'!$B:$U,MATCH($A86,'SALA 2002'!$A:$A,0),MATCH(T$1,'SALA 2002'!$B$1:$U$1,0))*POWER(INDEX('WPP 2024 середина года'!$B:$U,MATCH($A86,'WPP 2024 середина года'!$A:$A,0),MATCH(T$1,'WPP 2024 середина года'!$B$1:$U$1,0))/(1000*INDEX('SALA 2002'!$B:$U,MATCH($A86,'SALA 2002'!$A:$A,0),MATCH(T$1,'SALA 2002'!$B$1:$U$1,0))),($A86-1994)/7),INDEX('WPP 2024 середина года'!$B:$U,MATCH($A86,'WPP 2024 середина года'!$A:$A,0),MATCH(T$1,'WPP 2024 середина года'!$B$1:$U$1,0)))))</f>
        <v>2990</v>
      </c>
      <c r="U86" s="7">
        <f>IF($A86&lt;=1951,INDEX('SALA 1974'!$B:$U,MATCH($A86,'SALA 1974'!$A:$A,0),MATCH(U$1,'SALA 1974'!$B$1:$U$1,0)),IF($A86&lt;=1994,1000*INDEX('SALA 2002'!$B:$U,MATCH($A86,'SALA 2002'!$A:$A,0),MATCH(U$1,'SALA 2002'!$B$1:$U$1,0)),IF($A86&lt;=2000,1000*INDEX('SALA 2002'!$B:$U,MATCH($A86,'SALA 2002'!$A:$A,0),MATCH(U$1,'SALA 2002'!$B$1:$U$1,0))*POWER(INDEX('WPP 2024 середина года'!$B:$U,MATCH($A86,'WPP 2024 середина года'!$A:$A,0),MATCH(U$1,'WPP 2024 середина года'!$B$1:$U$1,0))/(1000*INDEX('SALA 2002'!$B:$U,MATCH($A86,'SALA 2002'!$A:$A,0),MATCH(U$1,'SALA 2002'!$B$1:$U$1,0))),($A86-1994)/7),INDEX('WPP 2024 середина года'!$B:$U,MATCH($A86,'WPP 2024 середина года'!$A:$A,0),MATCH(U$1,'WPP 2024 середина года'!$B$1:$U$1,0)))))</f>
        <v>16850</v>
      </c>
    </row>
    <row r="87" spans="1:21" x14ac:dyDescent="0.25">
      <c r="A87" s="5">
        <f t="shared" si="1"/>
        <v>1985</v>
      </c>
      <c r="B87" s="7">
        <f>IF($A87&lt;=1951,INDEX('SALA 1974'!$B:$U,MATCH($A87,'SALA 1974'!$A:$A,0),MATCH(B$1,'SALA 1974'!$B$1:$U$1,0)),IF($A87&lt;=1994,1000*INDEX('SALA 2002'!$B:$U,MATCH($A87,'SALA 2002'!$A:$A,0),MATCH(B$1,'SALA 2002'!$B$1:$U$1,0)),IF($A87&lt;=2000,1000*INDEX('SALA 2002'!$B:$U,MATCH($A87,'SALA 2002'!$A:$A,0),MATCH(B$1,'SALA 2002'!$B$1:$U$1,0))*POWER(INDEX('WPP 2024 середина года'!$B:$U,MATCH($A87,'WPP 2024 середина года'!$A:$A,0),MATCH(B$1,'WPP 2024 середина года'!$B$1:$U$1,0))/(1000*INDEX('SALA 2002'!$B:$U,MATCH($A87,'SALA 2002'!$A:$A,0),MATCH(B$1,'SALA 2002'!$B$1:$U$1,0))),($A87-1994)/7),INDEX('WPP 2024 середина года'!$B:$U,MATCH($A87,'WPP 2024 середина года'!$A:$A,0),MATCH(B$1,'WPP 2024 середина года'!$B$1:$U$1,0)))))</f>
        <v>30320</v>
      </c>
      <c r="C87" s="7">
        <f>IF($A87&lt;=1951,INDEX('SALA 1974'!$B:$U,MATCH($A87,'SALA 1974'!$A:$A,0),MATCH(C$1,'SALA 1974'!$B$1:$U$1,0)),IF($A87&lt;=1994,1000*INDEX('SALA 2002'!$B:$U,MATCH($A87,'SALA 2002'!$A:$A,0),MATCH(C$1,'SALA 2002'!$B$1:$U$1,0)),IF($A87&lt;=2000,1000*INDEX('SALA 2002'!$B:$U,MATCH($A87,'SALA 2002'!$A:$A,0),MATCH(C$1,'SALA 2002'!$B$1:$U$1,0))*POWER(INDEX('WPP 2024 середина года'!$B:$U,MATCH($A87,'WPP 2024 середина года'!$A:$A,0),MATCH(C$1,'WPP 2024 середина года'!$B$1:$U$1,0))/(1000*INDEX('SALA 2002'!$B:$U,MATCH($A87,'SALA 2002'!$A:$A,0),MATCH(C$1,'SALA 2002'!$B$1:$U$1,0))),($A87-1994)/7),INDEX('WPP 2024 середина года'!$B:$U,MATCH($A87,'WPP 2024 середина года'!$A:$A,0),MATCH(C$1,'WPP 2024 середина года'!$B$1:$U$1,0)))))</f>
        <v>5900</v>
      </c>
      <c r="D87" s="7">
        <f>IF($A87&lt;=1951,INDEX('SALA 1974'!$B:$U,MATCH($A87,'SALA 1974'!$A:$A,0),MATCH(D$1,'SALA 1974'!$B$1:$U$1,0)),IF($A87&lt;=1994,1000*INDEX('SALA 2002'!$B:$U,MATCH($A87,'SALA 2002'!$A:$A,0),MATCH(D$1,'SALA 2002'!$B$1:$U$1,0)),IF($A87&lt;=2000,1000*INDEX('SALA 2002'!$B:$U,MATCH($A87,'SALA 2002'!$A:$A,0),MATCH(D$1,'SALA 2002'!$B$1:$U$1,0))*POWER(INDEX('WPP 2024 середина года'!$B:$U,MATCH($A87,'WPP 2024 середина года'!$A:$A,0),MATCH(D$1,'WPP 2024 середина года'!$B$1:$U$1,0))/(1000*INDEX('SALA 2002'!$B:$U,MATCH($A87,'SALA 2002'!$A:$A,0),MATCH(D$1,'SALA 2002'!$B$1:$U$1,0))),($A87-1994)/7),INDEX('WPP 2024 середина года'!$B:$U,MATCH($A87,'WPP 2024 середина года'!$A:$A,0),MATCH(D$1,'WPP 2024 середина года'!$B$1:$U$1,0)))))</f>
        <v>131980</v>
      </c>
      <c r="E87" s="7">
        <f>IF($A87&lt;=1951,INDEX('SALA 1974'!$B:$U,MATCH($A87,'SALA 1974'!$A:$A,0),MATCH(E$1,'SALA 1974'!$B$1:$U$1,0)),IF($A87&lt;=1994,1000*INDEX('SALA 2002'!$B:$U,MATCH($A87,'SALA 2002'!$A:$A,0),MATCH(E$1,'SALA 2002'!$B$1:$U$1,0)),IF($A87&lt;=2000,1000*INDEX('SALA 2002'!$B:$U,MATCH($A87,'SALA 2002'!$A:$A,0),MATCH(E$1,'SALA 2002'!$B$1:$U$1,0))*POWER(INDEX('WPP 2024 середина года'!$B:$U,MATCH($A87,'WPP 2024 середина года'!$A:$A,0),MATCH(E$1,'WPP 2024 середина года'!$B$1:$U$1,0))/(1000*INDEX('SALA 2002'!$B:$U,MATCH($A87,'SALA 2002'!$A:$A,0),MATCH(E$1,'SALA 2002'!$B$1:$U$1,0))),($A87-1994)/7),INDEX('WPP 2024 середина года'!$B:$U,MATCH($A87,'WPP 2024 середина года'!$A:$A,0),MATCH(E$1,'WPP 2024 середина года'!$B$1:$U$1,0)))))</f>
        <v>12120</v>
      </c>
      <c r="F87" s="7">
        <f>IF($A87&lt;=1947,INDEX('SALA 1974'!$B:$U,MATCH($A87,'SALA 1974'!$A:$A,0),MATCH(F$1,'SALA 1974'!$B$1:$U$1,0)),IF($A87&lt;=1994,1000*INDEX('SALA 2002'!$B:$U,MATCH($A87,'SALA 2002'!$A:$A,0),MATCH(F$1,'SALA 2002'!$B$1:$U$1,0)),IF($A87&lt;=2000,1000*INDEX('SALA 2002'!$B:$U,MATCH($A87,'SALA 2002'!$A:$A,0),MATCH(F$1,'SALA 2002'!$B$1:$U$1,0))*POWER(INDEX('WPP 2024 середина года'!$B:$U,MATCH($A87,'WPP 2024 середина года'!$A:$A,0),MATCH(F$1,'WPP 2024 середина года'!$B$1:$U$1,0))/(1000*INDEX('SALA 2002'!$B:$U,MATCH($A87,'SALA 2002'!$A:$A,0),MATCH(F$1,'SALA 2002'!$B$1:$U$1,0))),($A87-1994)/7),INDEX('WPP 2024 середина года'!$B:$U,MATCH($A87,'WPP 2024 середина года'!$A:$A,0),MATCH(F$1,'WPP 2024 середина года'!$B$1:$U$1,0)))))</f>
        <v>29480</v>
      </c>
      <c r="G87" s="7">
        <f>IF($A87&lt;=1951,INDEX('SALA 1974'!$B:$U,MATCH($A87,'SALA 1974'!$A:$A,0),MATCH(G$1,'SALA 1974'!$B$1:$U$1,0)),IF($A87&lt;=1994,1000*INDEX('SALA 2002'!$B:$U,MATCH($A87,'SALA 2002'!$A:$A,0),MATCH(G$1,'SALA 2002'!$B$1:$U$1,0)),IF($A87&lt;=2000,1000*INDEX('SALA 2002'!$B:$U,MATCH($A87,'SALA 2002'!$A:$A,0),MATCH(G$1,'SALA 2002'!$B$1:$U$1,0))*POWER(INDEX('WPP 2024 середина года'!$B:$U,MATCH($A87,'WPP 2024 середина года'!$A:$A,0),MATCH(G$1,'WPP 2024 середина года'!$B$1:$U$1,0))/(1000*INDEX('SALA 2002'!$B:$U,MATCH($A87,'SALA 2002'!$A:$A,0),MATCH(G$1,'SALA 2002'!$B$1:$U$1,0))),($A87-1994)/7),INDEX('WPP 2024 середина года'!$B:$U,MATCH($A87,'WPP 2024 середина года'!$A:$A,0),MATCH(G$1,'WPP 2024 середина года'!$B$1:$U$1,0)))))</f>
        <v>2640</v>
      </c>
      <c r="H87" s="7">
        <f>IF($A87&lt;=1951,INDEX('SALA 1974'!$B:$U,MATCH($A87,'SALA 1974'!$A:$A,0),MATCH(H$1,'SALA 1974'!$B$1:$U$1,0)),IF($A87&lt;=1994,1000*INDEX('SALA 2002'!$B:$U,MATCH($A87,'SALA 2002'!$A:$A,0),MATCH(H$1,'SALA 2002'!$B$1:$U$1,0)),IF($A87&lt;=2000,1000*INDEX('SALA 2002'!$B:$U,MATCH($A87,'SALA 2002'!$A:$A,0),MATCH(H$1,'SALA 2002'!$B$1:$U$1,0))*POWER(INDEX('WPP 2024 середина года'!$B:$U,MATCH($A87,'WPP 2024 середина года'!$A:$A,0),MATCH(H$1,'WPP 2024 середина года'!$B$1:$U$1,0))/(1000*INDEX('SALA 2002'!$B:$U,MATCH($A87,'SALA 2002'!$A:$A,0),MATCH(H$1,'SALA 2002'!$B$1:$U$1,0))),($A87-1994)/7),INDEX('WPP 2024 середина года'!$B:$U,MATCH($A87,'WPP 2024 середина года'!$A:$A,0),MATCH(H$1,'WPP 2024 середина года'!$B$1:$U$1,0)))))</f>
        <v>10100</v>
      </c>
      <c r="I87" s="7">
        <f>IF($A87&lt;=1951,INDEX('SALA 1974'!$B:$U,MATCH($A87,'SALA 1974'!$A:$A,0),MATCH(I$1,'SALA 1974'!$B$1:$U$1,0)),IF($A87&lt;=1994,1000*INDEX('SALA 2002'!$B:$U,MATCH($A87,'SALA 2002'!$A:$A,0),MATCH(I$1,'SALA 2002'!$B$1:$U$1,0)),IF($A87&lt;=2000,1000*INDEX('SALA 2002'!$B:$U,MATCH($A87,'SALA 2002'!$A:$A,0),MATCH(I$1,'SALA 2002'!$B$1:$U$1,0))*POWER(INDEX('WPP 2024 середина года'!$B:$U,MATCH($A87,'WPP 2024 середина года'!$A:$A,0),MATCH(I$1,'WPP 2024 середина года'!$B$1:$U$1,0))/(1000*INDEX('SALA 2002'!$B:$U,MATCH($A87,'SALA 2002'!$A:$A,0),MATCH(I$1,'SALA 2002'!$B$1:$U$1,0))),($A87-1994)/7),INDEX('WPP 2024 середина года'!$B:$U,MATCH($A87,'WPP 2024 середина года'!$A:$A,0),MATCH(I$1,'WPP 2024 середина года'!$B$1:$U$1,0)))))</f>
        <v>6420</v>
      </c>
      <c r="J87" s="7">
        <f>IF($A87&lt;=1951,INDEX('SALA 1974'!$B:$U,MATCH($A87,'SALA 1974'!$A:$A,0),MATCH(J$1,'SALA 1974'!$B$1:$U$1,0)),IF($A87&lt;=1994,1000*INDEX('SALA 2002'!$B:$U,MATCH($A87,'SALA 2002'!$A:$A,0),MATCH(J$1,'SALA 2002'!$B$1:$U$1,0)),IF($A87&lt;=2000,1000*INDEX('SALA 2002'!$B:$U,MATCH($A87,'SALA 2002'!$A:$A,0),MATCH(J$1,'SALA 2002'!$B$1:$U$1,0))*POWER(INDEX('WPP 2024 середина года'!$B:$U,MATCH($A87,'WPP 2024 середина года'!$A:$A,0),MATCH(J$1,'WPP 2024 середина года'!$B$1:$U$1,0))/(1000*INDEX('SALA 2002'!$B:$U,MATCH($A87,'SALA 2002'!$A:$A,0),MATCH(J$1,'SALA 2002'!$B$1:$U$1,0))),($A87-1994)/7),INDEX('WPP 2024 середина года'!$B:$U,MATCH($A87,'WPP 2024 середина года'!$A:$A,0),MATCH(J$1,'WPP 2024 середина года'!$B$1:$U$1,0)))))</f>
        <v>9100</v>
      </c>
      <c r="K87" s="7">
        <f>IF($A87&lt;=1951,INDEX('SALA 1974'!$B:$U,MATCH($A87,'SALA 1974'!$A:$A,0),MATCH(K$1,'SALA 1974'!$B$1:$U$1,0)),IF($A87&lt;=1994,1000*INDEX('SALA 2002'!$B:$U,MATCH($A87,'SALA 2002'!$A:$A,0),MATCH(K$1,'SALA 2002'!$B$1:$U$1,0)),IF($A87&lt;=2000,1000*INDEX('SALA 2002'!$B:$U,MATCH($A87,'SALA 2002'!$A:$A,0),MATCH(K$1,'SALA 2002'!$B$1:$U$1,0))*POWER(INDEX('WPP 2024 середина года'!$B:$U,MATCH($A87,'WPP 2024 середина года'!$A:$A,0),MATCH(K$1,'WPP 2024 середина года'!$B$1:$U$1,0))/(1000*INDEX('SALA 2002'!$B:$U,MATCH($A87,'SALA 2002'!$A:$A,0),MATCH(K$1,'SALA 2002'!$B$1:$U$1,0))),($A87-1994)/7),INDEX('WPP 2024 середина года'!$B:$U,MATCH($A87,'WPP 2024 середина года'!$A:$A,0),MATCH(K$1,'WPP 2024 середина года'!$B$1:$U$1,0)))))</f>
        <v>4860</v>
      </c>
      <c r="L87" s="7">
        <f>IF($A87&lt;=1951,INDEX('SALA 1974'!$B:$U,MATCH($A87,'SALA 1974'!$A:$A,0),MATCH(L$1,'SALA 1974'!$B$1:$U$1,0)),IF($A87&lt;=1994,1000*INDEX('SALA 2002'!$B:$U,MATCH($A87,'SALA 2002'!$A:$A,0),MATCH(L$1,'SALA 2002'!$B$1:$U$1,0)),IF($A87&lt;=2000,1000*INDEX('SALA 2002'!$B:$U,MATCH($A87,'SALA 2002'!$A:$A,0),MATCH(L$1,'SALA 2002'!$B$1:$U$1,0))*POWER(INDEX('WPP 2024 середина года'!$B:$U,MATCH($A87,'WPP 2024 середина года'!$A:$A,0),MATCH(L$1,'WPP 2024 середина года'!$B$1:$U$1,0))/(1000*INDEX('SALA 2002'!$B:$U,MATCH($A87,'SALA 2002'!$A:$A,0),MATCH(L$1,'SALA 2002'!$B$1:$U$1,0))),($A87-1994)/7),INDEX('WPP 2024 середина года'!$B:$U,MATCH($A87,'WPP 2024 середина года'!$A:$A,0),MATCH(L$1,'WPP 2024 середина года'!$B$1:$U$1,0)))))</f>
        <v>7960</v>
      </c>
      <c r="M87" s="7">
        <f>IF($A87&lt;=1951,INDEX('SALA 1974'!$B:$U,MATCH($A87,'SALA 1974'!$A:$A,0),MATCH(M$1,'SALA 1974'!$B$1:$U$1,0)),IF($A87&lt;=1994,1000*INDEX('SALA 2002'!$B:$U,MATCH($A87,'SALA 2002'!$A:$A,0),MATCH(M$1,'SALA 2002'!$B$1:$U$1,0)),IF($A87&lt;=2000,1000*INDEX('SALA 2002'!$B:$U,MATCH($A87,'SALA 2002'!$A:$A,0),MATCH(M$1,'SALA 2002'!$B$1:$U$1,0))*POWER(INDEX('WPP 2024 середина года'!$B:$U,MATCH($A87,'WPP 2024 середина года'!$A:$A,0),MATCH(M$1,'WPP 2024 середина года'!$B$1:$U$1,0))/(1000*INDEX('SALA 2002'!$B:$U,MATCH($A87,'SALA 2002'!$A:$A,0),MATCH(M$1,'SALA 2002'!$B$1:$U$1,0))),($A87-1994)/7),INDEX('WPP 2024 середина года'!$B:$U,MATCH($A87,'WPP 2024 середина года'!$A:$A,0),MATCH(M$1,'WPP 2024 середина года'!$B$1:$U$1,0)))))</f>
        <v>5870</v>
      </c>
      <c r="N87" s="7">
        <f>IF($A87&lt;=1951,INDEX('SALA 1974'!$B:$U,MATCH($A87,'SALA 1974'!$A:$A,0),MATCH(N$1,'SALA 1974'!$B$1:$U$1,0)),IF($A87&lt;=1994,1000*INDEX('SALA 2002'!$B:$U,MATCH($A87,'SALA 2002'!$A:$A,0),MATCH(N$1,'SALA 2002'!$B$1:$U$1,0)),IF($A87&lt;=2000,1000*INDEX('SALA 2002'!$B:$U,MATCH($A87,'SALA 2002'!$A:$A,0),MATCH(N$1,'SALA 2002'!$B$1:$U$1,0))*POWER(INDEX('WPP 2024 середина года'!$B:$U,MATCH($A87,'WPP 2024 середина года'!$A:$A,0),MATCH(N$1,'WPP 2024 середина года'!$B$1:$U$1,0))/(1000*INDEX('SALA 2002'!$B:$U,MATCH($A87,'SALA 2002'!$A:$A,0),MATCH(N$1,'SALA 2002'!$B$1:$U$1,0))),($A87-1994)/7),INDEX('WPP 2024 середина года'!$B:$U,MATCH($A87,'WPP 2024 середина года'!$A:$A,0),MATCH(N$1,'WPP 2024 середина года'!$B$1:$U$1,0)))))</f>
        <v>4370</v>
      </c>
      <c r="O87" s="7">
        <f>IF($A87&lt;=1951,INDEX('SALA 1974'!$B:$U,MATCH($A87,'SALA 1974'!$A:$A,0),MATCH(O$1,'SALA 1974'!$B$1:$U$1,0)),IF($A87&lt;=1994,1000*INDEX('SALA 2002'!$B:$U,MATCH($A87,'SALA 2002'!$A:$A,0),MATCH(O$1,'SALA 2002'!$B$1:$U$1,0)),IF($A87&lt;=2000,1000*INDEX('SALA 2002'!$B:$U,MATCH($A87,'SALA 2002'!$A:$A,0),MATCH(O$1,'SALA 2002'!$B$1:$U$1,0))*POWER(INDEX('WPP 2024 середина года'!$B:$U,MATCH($A87,'WPP 2024 середина года'!$A:$A,0),MATCH(O$1,'WPP 2024 середина года'!$B$1:$U$1,0))/(1000*INDEX('SALA 2002'!$B:$U,MATCH($A87,'SALA 2002'!$A:$A,0),MATCH(O$1,'SALA 2002'!$B$1:$U$1,0))),($A87-1994)/7),INDEX('WPP 2024 середина года'!$B:$U,MATCH($A87,'WPP 2024 середина года'!$A:$A,0),MATCH(O$1,'WPP 2024 середина года'!$B$1:$U$1,0)))))</f>
        <v>77940</v>
      </c>
      <c r="P87" s="7">
        <f>IF($A87&lt;=1951,INDEX('SALA 1974'!$B:$U,MATCH($A87,'SALA 1974'!$A:$A,0),MATCH(P$1,'SALA 1974'!$B$1:$U$1,0)),IF($A87&lt;=1994,1000*INDEX('SALA 2002'!$B:$U,MATCH($A87,'SALA 2002'!$A:$A,0),MATCH(P$1,'SALA 2002'!$B$1:$U$1,0)),IF($A87&lt;=2000,1000*INDEX('SALA 2002'!$B:$U,MATCH($A87,'SALA 2002'!$A:$A,0),MATCH(P$1,'SALA 2002'!$B$1:$U$1,0))*POWER(INDEX('WPP 2024 середина года'!$B:$U,MATCH($A87,'WPP 2024 середина года'!$A:$A,0),MATCH(P$1,'WPP 2024 середина года'!$B$1:$U$1,0))/(1000*INDEX('SALA 2002'!$B:$U,MATCH($A87,'SALA 2002'!$A:$A,0),MATCH(P$1,'SALA 2002'!$B$1:$U$1,0))),($A87-1994)/7),INDEX('WPP 2024 середина года'!$B:$U,MATCH($A87,'WPP 2024 середина года'!$A:$A,0),MATCH(P$1,'WPP 2024 середина года'!$B$1:$U$1,0)))))</f>
        <v>3270</v>
      </c>
      <c r="Q87" s="7">
        <f>IF($A87&lt;=1951,INDEX('SALA 1974'!$B:$U,MATCH($A87,'SALA 1974'!$A:$A,0),MATCH(Q$1,'SALA 1974'!$B$1:$U$1,0)),IF($A87&lt;=1994,1000*INDEX('SALA 2002'!$B:$U,MATCH($A87,'SALA 2002'!$A:$A,0),MATCH(Q$1,'SALA 2002'!$B$1:$U$1,0)),IF($A87&lt;=2000,1000*INDEX('SALA 2002'!$B:$U,MATCH($A87,'SALA 2002'!$A:$A,0),MATCH(Q$1,'SALA 2002'!$B$1:$U$1,0))*POWER(INDEX('WPP 2024 середина года'!$B:$U,MATCH($A87,'WPP 2024 середина года'!$A:$A,0),MATCH(Q$1,'WPP 2024 середина года'!$B$1:$U$1,0))/(1000*INDEX('SALA 2002'!$B:$U,MATCH($A87,'SALA 2002'!$A:$A,0),MATCH(Q$1,'SALA 2002'!$B$1:$U$1,0))),($A87-1994)/7),INDEX('WPP 2024 середина года'!$B:$U,MATCH($A87,'WPP 2024 середина года'!$A:$A,0),MATCH(Q$1,'WPP 2024 середина года'!$B$1:$U$1,0)))))</f>
        <v>2180</v>
      </c>
      <c r="R87" s="7">
        <f>IF($A87&lt;=1951,INDEX('SALA 1974'!$B:$U,MATCH($A87,'SALA 1974'!$A:$A,0),MATCH(R$1,'SALA 1974'!$B$1:$U$1,0)),IF($A87&lt;=1994,1000*INDEX('SALA 2002'!$B:$U,MATCH($A87,'SALA 2002'!$A:$A,0),MATCH(R$1,'SALA 2002'!$B$1:$U$1,0)),IF($A87&lt;=2000,1000*INDEX('SALA 2002'!$B:$U,MATCH($A87,'SALA 2002'!$A:$A,0),MATCH(R$1,'SALA 2002'!$B$1:$U$1,0))*POWER(INDEX('WPP 2024 середина года'!$B:$U,MATCH($A87,'WPP 2024 середина года'!$A:$A,0),MATCH(R$1,'WPP 2024 середина года'!$B$1:$U$1,0))/(1000*INDEX('SALA 2002'!$B:$U,MATCH($A87,'SALA 2002'!$A:$A,0),MATCH(R$1,'SALA 2002'!$B$1:$U$1,0))),($A87-1994)/7),INDEX('WPP 2024 середина года'!$B:$U,MATCH($A87,'WPP 2024 середина года'!$A:$A,0),MATCH(R$1,'WPP 2024 середина года'!$B$1:$U$1,0)))))</f>
        <v>3610</v>
      </c>
      <c r="S87" s="7">
        <f>IF($A87&lt;=1951,INDEX('SALA 1974'!$B:$U,MATCH($A87,'SALA 1974'!$A:$A,0),MATCH(S$1,'SALA 1974'!$B$1:$U$1,0)),IF($A87&lt;=1994,1000*INDEX('SALA 2002'!$B:$U,MATCH($A87,'SALA 2002'!$A:$A,0),MATCH(S$1,'SALA 2002'!$B$1:$U$1,0)),IF($A87&lt;=2000,1000*INDEX('SALA 2002'!$B:$U,MATCH($A87,'SALA 2002'!$A:$A,0),MATCH(S$1,'SALA 2002'!$B$1:$U$1,0))*POWER(INDEX('WPP 2024 середина года'!$B:$U,MATCH($A87,'WPP 2024 середина года'!$A:$A,0),MATCH(S$1,'WPP 2024 середина года'!$B$1:$U$1,0))/(1000*INDEX('SALA 2002'!$B:$U,MATCH($A87,'SALA 2002'!$A:$A,0),MATCH(S$1,'SALA 2002'!$B$1:$U$1,0))),($A87-1994)/7),INDEX('WPP 2024 середина года'!$B:$U,MATCH($A87,'WPP 2024 середина года'!$A:$A,0),MATCH(S$1,'WPP 2024 середина года'!$B$1:$U$1,0)))))</f>
        <v>19420</v>
      </c>
      <c r="T87" s="7">
        <f>IF($A87&lt;=1951,INDEX('SALA 1974'!$B:$U,MATCH($A87,'SALA 1974'!$A:$A,0),MATCH(T$1,'SALA 1974'!$B$1:$U$1,0)),IF($A87&lt;=1994,1000*INDEX('SALA 2002'!$B:$U,MATCH($A87,'SALA 2002'!$A:$A,0),MATCH(T$1,'SALA 2002'!$B$1:$U$1,0)),IF($A87&lt;=2000,1000*INDEX('SALA 2002'!$B:$U,MATCH($A87,'SALA 2002'!$A:$A,0),MATCH(T$1,'SALA 2002'!$B$1:$U$1,0))*POWER(INDEX('WPP 2024 середина года'!$B:$U,MATCH($A87,'WPP 2024 середина года'!$A:$A,0),MATCH(T$1,'WPP 2024 середина года'!$B$1:$U$1,0))/(1000*INDEX('SALA 2002'!$B:$U,MATCH($A87,'SALA 2002'!$A:$A,0),MATCH(T$1,'SALA 2002'!$B$1:$U$1,0))),($A87-1994)/7),INDEX('WPP 2024 середина года'!$B:$U,MATCH($A87,'WPP 2024 середина года'!$A:$A,0),MATCH(T$1,'WPP 2024 середина года'!$B$1:$U$1,0)))))</f>
        <v>3010</v>
      </c>
      <c r="U87" s="7">
        <f>IF($A87&lt;=1951,INDEX('SALA 1974'!$B:$U,MATCH($A87,'SALA 1974'!$A:$A,0),MATCH(U$1,'SALA 1974'!$B$1:$U$1,0)),IF($A87&lt;=1994,1000*INDEX('SALA 2002'!$B:$U,MATCH($A87,'SALA 2002'!$A:$A,0),MATCH(U$1,'SALA 2002'!$B$1:$U$1,0)),IF($A87&lt;=2000,1000*INDEX('SALA 2002'!$B:$U,MATCH($A87,'SALA 2002'!$A:$A,0),MATCH(U$1,'SALA 2002'!$B$1:$U$1,0))*POWER(INDEX('WPP 2024 середина года'!$B:$U,MATCH($A87,'WPP 2024 середина года'!$A:$A,0),MATCH(U$1,'WPP 2024 середина года'!$B$1:$U$1,0))/(1000*INDEX('SALA 2002'!$B:$U,MATCH($A87,'SALA 2002'!$A:$A,0),MATCH(U$1,'SALA 2002'!$B$1:$U$1,0))),($A87-1994)/7),INDEX('WPP 2024 середина года'!$B:$U,MATCH($A87,'WPP 2024 середина года'!$A:$A,0),MATCH(U$1,'WPP 2024 середина года'!$B$1:$U$1,0)))))</f>
        <v>17320</v>
      </c>
    </row>
    <row r="88" spans="1:21" x14ac:dyDescent="0.25">
      <c r="A88" s="5">
        <f t="shared" si="1"/>
        <v>1986</v>
      </c>
      <c r="B88" s="7">
        <f>IF($A88&lt;=1951,INDEX('SALA 1974'!$B:$U,MATCH($A88,'SALA 1974'!$A:$A,0),MATCH(B$1,'SALA 1974'!$B$1:$U$1,0)),IF($A88&lt;=1994,1000*INDEX('SALA 2002'!$B:$U,MATCH($A88,'SALA 2002'!$A:$A,0),MATCH(B$1,'SALA 2002'!$B$1:$U$1,0)),IF($A88&lt;=2000,1000*INDEX('SALA 2002'!$B:$U,MATCH($A88,'SALA 2002'!$A:$A,0),MATCH(B$1,'SALA 2002'!$B$1:$U$1,0))*POWER(INDEX('WPP 2024 середина года'!$B:$U,MATCH($A88,'WPP 2024 середина года'!$A:$A,0),MATCH(B$1,'WPP 2024 середина года'!$B$1:$U$1,0))/(1000*INDEX('SALA 2002'!$B:$U,MATCH($A88,'SALA 2002'!$A:$A,0),MATCH(B$1,'SALA 2002'!$B$1:$U$1,0))),($A88-1994)/7),INDEX('WPP 2024 середина года'!$B:$U,MATCH($A88,'WPP 2024 середина года'!$A:$A,0),MATCH(B$1,'WPP 2024 середина года'!$B$1:$U$1,0)))))</f>
        <v>30770</v>
      </c>
      <c r="C88" s="7">
        <f>IF($A88&lt;=1951,INDEX('SALA 1974'!$B:$U,MATCH($A88,'SALA 1974'!$A:$A,0),MATCH(C$1,'SALA 1974'!$B$1:$U$1,0)),IF($A88&lt;=1994,1000*INDEX('SALA 2002'!$B:$U,MATCH($A88,'SALA 2002'!$A:$A,0),MATCH(C$1,'SALA 2002'!$B$1:$U$1,0)),IF($A88&lt;=2000,1000*INDEX('SALA 2002'!$B:$U,MATCH($A88,'SALA 2002'!$A:$A,0),MATCH(C$1,'SALA 2002'!$B$1:$U$1,0))*POWER(INDEX('WPP 2024 середина года'!$B:$U,MATCH($A88,'WPP 2024 середина года'!$A:$A,0),MATCH(C$1,'WPP 2024 середина года'!$B$1:$U$1,0))/(1000*INDEX('SALA 2002'!$B:$U,MATCH($A88,'SALA 2002'!$A:$A,0),MATCH(C$1,'SALA 2002'!$B$1:$U$1,0))),($A88-1994)/7),INDEX('WPP 2024 середина года'!$B:$U,MATCH($A88,'WPP 2024 середина года'!$A:$A,0),MATCH(C$1,'WPP 2024 середина года'!$B$1:$U$1,0)))))</f>
        <v>6020</v>
      </c>
      <c r="D88" s="7">
        <f>IF($A88&lt;=1951,INDEX('SALA 1974'!$B:$U,MATCH($A88,'SALA 1974'!$A:$A,0),MATCH(D$1,'SALA 1974'!$B$1:$U$1,0)),IF($A88&lt;=1994,1000*INDEX('SALA 2002'!$B:$U,MATCH($A88,'SALA 2002'!$A:$A,0),MATCH(D$1,'SALA 2002'!$B$1:$U$1,0)),IF($A88&lt;=2000,1000*INDEX('SALA 2002'!$B:$U,MATCH($A88,'SALA 2002'!$A:$A,0),MATCH(D$1,'SALA 2002'!$B$1:$U$1,0))*POWER(INDEX('WPP 2024 середина года'!$B:$U,MATCH($A88,'WPP 2024 середина года'!$A:$A,0),MATCH(D$1,'WPP 2024 середина года'!$B$1:$U$1,0))/(1000*INDEX('SALA 2002'!$B:$U,MATCH($A88,'SALA 2002'!$A:$A,0),MATCH(D$1,'SALA 2002'!$B$1:$U$1,0))),($A88-1994)/7),INDEX('WPP 2024 середина года'!$B:$U,MATCH($A88,'WPP 2024 середина года'!$A:$A,0),MATCH(D$1,'WPP 2024 середина года'!$B$1:$U$1,0)))))</f>
        <v>134610</v>
      </c>
      <c r="E88" s="7">
        <f>IF($A88&lt;=1951,INDEX('SALA 1974'!$B:$U,MATCH($A88,'SALA 1974'!$A:$A,0),MATCH(E$1,'SALA 1974'!$B$1:$U$1,0)),IF($A88&lt;=1994,1000*INDEX('SALA 2002'!$B:$U,MATCH($A88,'SALA 2002'!$A:$A,0),MATCH(E$1,'SALA 2002'!$B$1:$U$1,0)),IF($A88&lt;=2000,1000*INDEX('SALA 2002'!$B:$U,MATCH($A88,'SALA 2002'!$A:$A,0),MATCH(E$1,'SALA 2002'!$B$1:$U$1,0))*POWER(INDEX('WPP 2024 середина года'!$B:$U,MATCH($A88,'WPP 2024 середина года'!$A:$A,0),MATCH(E$1,'WPP 2024 середина года'!$B$1:$U$1,0))/(1000*INDEX('SALA 2002'!$B:$U,MATCH($A88,'SALA 2002'!$A:$A,0),MATCH(E$1,'SALA 2002'!$B$1:$U$1,0))),($A88-1994)/7),INDEX('WPP 2024 середина года'!$B:$U,MATCH($A88,'WPP 2024 середина года'!$A:$A,0),MATCH(E$1,'WPP 2024 середина года'!$B$1:$U$1,0)))))</f>
        <v>12330</v>
      </c>
      <c r="F88" s="7">
        <f>IF($A88&lt;=1947,INDEX('SALA 1974'!$B:$U,MATCH($A88,'SALA 1974'!$A:$A,0),MATCH(F$1,'SALA 1974'!$B$1:$U$1,0)),IF($A88&lt;=1994,1000*INDEX('SALA 2002'!$B:$U,MATCH($A88,'SALA 2002'!$A:$A,0),MATCH(F$1,'SALA 2002'!$B$1:$U$1,0)),IF($A88&lt;=2000,1000*INDEX('SALA 2002'!$B:$U,MATCH($A88,'SALA 2002'!$A:$A,0),MATCH(F$1,'SALA 2002'!$B$1:$U$1,0))*POWER(INDEX('WPP 2024 середина года'!$B:$U,MATCH($A88,'WPP 2024 середина года'!$A:$A,0),MATCH(F$1,'WPP 2024 середина года'!$B$1:$U$1,0))/(1000*INDEX('SALA 2002'!$B:$U,MATCH($A88,'SALA 2002'!$A:$A,0),MATCH(F$1,'SALA 2002'!$B$1:$U$1,0))),($A88-1994)/7),INDEX('WPP 2024 середина года'!$B:$U,MATCH($A88,'WPP 2024 середина года'!$A:$A,0),MATCH(F$1,'WPP 2024 середина года'!$B$1:$U$1,0)))))</f>
        <v>30020</v>
      </c>
      <c r="G88" s="7">
        <f>IF($A88&lt;=1951,INDEX('SALA 1974'!$B:$U,MATCH($A88,'SALA 1974'!$A:$A,0),MATCH(G$1,'SALA 1974'!$B$1:$U$1,0)),IF($A88&lt;=1994,1000*INDEX('SALA 2002'!$B:$U,MATCH($A88,'SALA 2002'!$A:$A,0),MATCH(G$1,'SALA 2002'!$B$1:$U$1,0)),IF($A88&lt;=2000,1000*INDEX('SALA 2002'!$B:$U,MATCH($A88,'SALA 2002'!$A:$A,0),MATCH(G$1,'SALA 2002'!$B$1:$U$1,0))*POWER(INDEX('WPP 2024 середина года'!$B:$U,MATCH($A88,'WPP 2024 середина года'!$A:$A,0),MATCH(G$1,'WPP 2024 середина года'!$B$1:$U$1,0))/(1000*INDEX('SALA 2002'!$B:$U,MATCH($A88,'SALA 2002'!$A:$A,0),MATCH(G$1,'SALA 2002'!$B$1:$U$1,0))),($A88-1994)/7),INDEX('WPP 2024 середина года'!$B:$U,MATCH($A88,'WPP 2024 середина года'!$A:$A,0),MATCH(G$1,'WPP 2024 середина года'!$B$1:$U$1,0)))))</f>
        <v>2720</v>
      </c>
      <c r="H88" s="7">
        <f>IF($A88&lt;=1951,INDEX('SALA 1974'!$B:$U,MATCH($A88,'SALA 1974'!$A:$A,0),MATCH(H$1,'SALA 1974'!$B$1:$U$1,0)),IF($A88&lt;=1994,1000*INDEX('SALA 2002'!$B:$U,MATCH($A88,'SALA 2002'!$A:$A,0),MATCH(H$1,'SALA 2002'!$B$1:$U$1,0)),IF($A88&lt;=2000,1000*INDEX('SALA 2002'!$B:$U,MATCH($A88,'SALA 2002'!$A:$A,0),MATCH(H$1,'SALA 2002'!$B$1:$U$1,0))*POWER(INDEX('WPP 2024 середина года'!$B:$U,MATCH($A88,'WPP 2024 середина года'!$A:$A,0),MATCH(H$1,'WPP 2024 середина года'!$B$1:$U$1,0))/(1000*INDEX('SALA 2002'!$B:$U,MATCH($A88,'SALA 2002'!$A:$A,0),MATCH(H$1,'SALA 2002'!$B$1:$U$1,0))),($A88-1994)/7),INDEX('WPP 2024 середина года'!$B:$U,MATCH($A88,'WPP 2024 середина года'!$A:$A,0),MATCH(H$1,'WPP 2024 середина года'!$B$1:$U$1,0)))))</f>
        <v>10200</v>
      </c>
      <c r="I88" s="7">
        <f>IF($A88&lt;=1951,INDEX('SALA 1974'!$B:$U,MATCH($A88,'SALA 1974'!$A:$A,0),MATCH(I$1,'SALA 1974'!$B$1:$U$1,0)),IF($A88&lt;=1994,1000*INDEX('SALA 2002'!$B:$U,MATCH($A88,'SALA 2002'!$A:$A,0),MATCH(I$1,'SALA 2002'!$B$1:$U$1,0)),IF($A88&lt;=2000,1000*INDEX('SALA 2002'!$B:$U,MATCH($A88,'SALA 2002'!$A:$A,0),MATCH(I$1,'SALA 2002'!$B$1:$U$1,0))*POWER(INDEX('WPP 2024 середина года'!$B:$U,MATCH($A88,'WPP 2024 середина года'!$A:$A,0),MATCH(I$1,'WPP 2024 середина года'!$B$1:$U$1,0))/(1000*INDEX('SALA 2002'!$B:$U,MATCH($A88,'SALA 2002'!$A:$A,0),MATCH(I$1,'SALA 2002'!$B$1:$U$1,0))),($A88-1994)/7),INDEX('WPP 2024 середина года'!$B:$U,MATCH($A88,'WPP 2024 середина года'!$A:$A,0),MATCH(I$1,'WPP 2024 середина года'!$B$1:$U$1,0)))))</f>
        <v>6570</v>
      </c>
      <c r="J88" s="7">
        <f>IF($A88&lt;=1951,INDEX('SALA 1974'!$B:$U,MATCH($A88,'SALA 1974'!$A:$A,0),MATCH(J$1,'SALA 1974'!$B$1:$U$1,0)),IF($A88&lt;=1994,1000*INDEX('SALA 2002'!$B:$U,MATCH($A88,'SALA 2002'!$A:$A,0),MATCH(J$1,'SALA 2002'!$B$1:$U$1,0)),IF($A88&lt;=2000,1000*INDEX('SALA 2002'!$B:$U,MATCH($A88,'SALA 2002'!$A:$A,0),MATCH(J$1,'SALA 2002'!$B$1:$U$1,0))*POWER(INDEX('WPP 2024 середина года'!$B:$U,MATCH($A88,'WPP 2024 середина года'!$A:$A,0),MATCH(J$1,'WPP 2024 середина года'!$B$1:$U$1,0))/(1000*INDEX('SALA 2002'!$B:$U,MATCH($A88,'SALA 2002'!$A:$A,0),MATCH(J$1,'SALA 2002'!$B$1:$U$1,0))),($A88-1994)/7),INDEX('WPP 2024 середина года'!$B:$U,MATCH($A88,'WPP 2024 середина года'!$A:$A,0),MATCH(J$1,'WPP 2024 середина года'!$B$1:$U$1,0)))))</f>
        <v>9330</v>
      </c>
      <c r="K88" s="7">
        <f>IF($A88&lt;=1951,INDEX('SALA 1974'!$B:$U,MATCH($A88,'SALA 1974'!$A:$A,0),MATCH(K$1,'SALA 1974'!$B$1:$U$1,0)),IF($A88&lt;=1994,1000*INDEX('SALA 2002'!$B:$U,MATCH($A88,'SALA 2002'!$A:$A,0),MATCH(K$1,'SALA 2002'!$B$1:$U$1,0)),IF($A88&lt;=2000,1000*INDEX('SALA 2002'!$B:$U,MATCH($A88,'SALA 2002'!$A:$A,0),MATCH(K$1,'SALA 2002'!$B$1:$U$1,0))*POWER(INDEX('WPP 2024 середина года'!$B:$U,MATCH($A88,'WPP 2024 середина года'!$A:$A,0),MATCH(K$1,'WPP 2024 середина года'!$B$1:$U$1,0))/(1000*INDEX('SALA 2002'!$B:$U,MATCH($A88,'SALA 2002'!$A:$A,0),MATCH(K$1,'SALA 2002'!$B$1:$U$1,0))),($A88-1994)/7),INDEX('WPP 2024 середина года'!$B:$U,MATCH($A88,'WPP 2024 середина года'!$A:$A,0),MATCH(K$1,'WPP 2024 середина года'!$B$1:$U$1,0)))))</f>
        <v>4950</v>
      </c>
      <c r="L88" s="7">
        <f>IF($A88&lt;=1951,INDEX('SALA 1974'!$B:$U,MATCH($A88,'SALA 1974'!$A:$A,0),MATCH(L$1,'SALA 1974'!$B$1:$U$1,0)),IF($A88&lt;=1994,1000*INDEX('SALA 2002'!$B:$U,MATCH($A88,'SALA 2002'!$A:$A,0),MATCH(L$1,'SALA 2002'!$B$1:$U$1,0)),IF($A88&lt;=2000,1000*INDEX('SALA 2002'!$B:$U,MATCH($A88,'SALA 2002'!$A:$A,0),MATCH(L$1,'SALA 2002'!$B$1:$U$1,0))*POWER(INDEX('WPP 2024 середина года'!$B:$U,MATCH($A88,'WPP 2024 середина года'!$A:$A,0),MATCH(L$1,'WPP 2024 середина года'!$B$1:$U$1,0))/(1000*INDEX('SALA 2002'!$B:$U,MATCH($A88,'SALA 2002'!$A:$A,0),MATCH(L$1,'SALA 2002'!$B$1:$U$1,0))),($A88-1994)/7),INDEX('WPP 2024 середина года'!$B:$U,MATCH($A88,'WPP 2024 середина года'!$A:$A,0),MATCH(L$1,'WPP 2024 середина года'!$B$1:$U$1,0)))))</f>
        <v>8200</v>
      </c>
      <c r="M88" s="7">
        <f>IF($A88&lt;=1951,INDEX('SALA 1974'!$B:$U,MATCH($A88,'SALA 1974'!$A:$A,0),MATCH(M$1,'SALA 1974'!$B$1:$U$1,0)),IF($A88&lt;=1994,1000*INDEX('SALA 2002'!$B:$U,MATCH($A88,'SALA 2002'!$A:$A,0),MATCH(M$1,'SALA 2002'!$B$1:$U$1,0)),IF($A88&lt;=2000,1000*INDEX('SALA 2002'!$B:$U,MATCH($A88,'SALA 2002'!$A:$A,0),MATCH(M$1,'SALA 2002'!$B$1:$U$1,0))*POWER(INDEX('WPP 2024 середина года'!$B:$U,MATCH($A88,'WPP 2024 середина года'!$A:$A,0),MATCH(M$1,'WPP 2024 середина года'!$B$1:$U$1,0))/(1000*INDEX('SALA 2002'!$B:$U,MATCH($A88,'SALA 2002'!$A:$A,0),MATCH(M$1,'SALA 2002'!$B$1:$U$1,0))),($A88-1994)/7),INDEX('WPP 2024 середина года'!$B:$U,MATCH($A88,'WPP 2024 середина года'!$A:$A,0),MATCH(M$1,'WPP 2024 середина года'!$B$1:$U$1,0)))))</f>
        <v>5990</v>
      </c>
      <c r="N88" s="7">
        <f>IF($A88&lt;=1951,INDEX('SALA 1974'!$B:$U,MATCH($A88,'SALA 1974'!$A:$A,0),MATCH(N$1,'SALA 1974'!$B$1:$U$1,0)),IF($A88&lt;=1994,1000*INDEX('SALA 2002'!$B:$U,MATCH($A88,'SALA 2002'!$A:$A,0),MATCH(N$1,'SALA 2002'!$B$1:$U$1,0)),IF($A88&lt;=2000,1000*INDEX('SALA 2002'!$B:$U,MATCH($A88,'SALA 2002'!$A:$A,0),MATCH(N$1,'SALA 2002'!$B$1:$U$1,0))*POWER(INDEX('WPP 2024 середина года'!$B:$U,MATCH($A88,'WPP 2024 середина года'!$A:$A,0),MATCH(N$1,'WPP 2024 середина года'!$B$1:$U$1,0))/(1000*INDEX('SALA 2002'!$B:$U,MATCH($A88,'SALA 2002'!$A:$A,0),MATCH(N$1,'SALA 2002'!$B$1:$U$1,0))),($A88-1994)/7),INDEX('WPP 2024 середина года'!$B:$U,MATCH($A88,'WPP 2024 середина года'!$A:$A,0),MATCH(N$1,'WPP 2024 середина года'!$B$1:$U$1,0)))))</f>
        <v>4510</v>
      </c>
      <c r="O88" s="7">
        <f>IF($A88&lt;=1951,INDEX('SALA 1974'!$B:$U,MATCH($A88,'SALA 1974'!$A:$A,0),MATCH(O$1,'SALA 1974'!$B$1:$U$1,0)),IF($A88&lt;=1994,1000*INDEX('SALA 2002'!$B:$U,MATCH($A88,'SALA 2002'!$A:$A,0),MATCH(O$1,'SALA 2002'!$B$1:$U$1,0)),IF($A88&lt;=2000,1000*INDEX('SALA 2002'!$B:$U,MATCH($A88,'SALA 2002'!$A:$A,0),MATCH(O$1,'SALA 2002'!$B$1:$U$1,0))*POWER(INDEX('WPP 2024 середина года'!$B:$U,MATCH($A88,'WPP 2024 середина года'!$A:$A,0),MATCH(O$1,'WPP 2024 середина года'!$B$1:$U$1,0))/(1000*INDEX('SALA 2002'!$B:$U,MATCH($A88,'SALA 2002'!$A:$A,0),MATCH(O$1,'SALA 2002'!$B$1:$U$1,0))),($A88-1994)/7),INDEX('WPP 2024 середина года'!$B:$U,MATCH($A88,'WPP 2024 середина года'!$A:$A,0),MATCH(O$1,'WPP 2024 середина года'!$B$1:$U$1,0)))))</f>
        <v>79570</v>
      </c>
      <c r="P88" s="7">
        <f>IF($A88&lt;=1951,INDEX('SALA 1974'!$B:$U,MATCH($A88,'SALA 1974'!$A:$A,0),MATCH(P$1,'SALA 1974'!$B$1:$U$1,0)),IF($A88&lt;=1994,1000*INDEX('SALA 2002'!$B:$U,MATCH($A88,'SALA 2002'!$A:$A,0),MATCH(P$1,'SALA 2002'!$B$1:$U$1,0)),IF($A88&lt;=2000,1000*INDEX('SALA 2002'!$B:$U,MATCH($A88,'SALA 2002'!$A:$A,0),MATCH(P$1,'SALA 2002'!$B$1:$U$1,0))*POWER(INDEX('WPP 2024 середина года'!$B:$U,MATCH($A88,'WPP 2024 середина года'!$A:$A,0),MATCH(P$1,'WPP 2024 середина года'!$B$1:$U$1,0))/(1000*INDEX('SALA 2002'!$B:$U,MATCH($A88,'SALA 2002'!$A:$A,0),MATCH(P$1,'SALA 2002'!$B$1:$U$1,0))),($A88-1994)/7),INDEX('WPP 2024 середина года'!$B:$U,MATCH($A88,'WPP 2024 середина года'!$A:$A,0),MATCH(P$1,'WPP 2024 середина года'!$B$1:$U$1,0)))))</f>
        <v>3380</v>
      </c>
      <c r="Q88" s="7">
        <f>IF($A88&lt;=1951,INDEX('SALA 1974'!$B:$U,MATCH($A88,'SALA 1974'!$A:$A,0),MATCH(Q$1,'SALA 1974'!$B$1:$U$1,0)),IF($A88&lt;=1994,1000*INDEX('SALA 2002'!$B:$U,MATCH($A88,'SALA 2002'!$A:$A,0),MATCH(Q$1,'SALA 2002'!$B$1:$U$1,0)),IF($A88&lt;=2000,1000*INDEX('SALA 2002'!$B:$U,MATCH($A88,'SALA 2002'!$A:$A,0),MATCH(Q$1,'SALA 2002'!$B$1:$U$1,0))*POWER(INDEX('WPP 2024 середина года'!$B:$U,MATCH($A88,'WPP 2024 середина года'!$A:$A,0),MATCH(Q$1,'WPP 2024 середина года'!$B$1:$U$1,0))/(1000*INDEX('SALA 2002'!$B:$U,MATCH($A88,'SALA 2002'!$A:$A,0),MATCH(Q$1,'SALA 2002'!$B$1:$U$1,0))),($A88-1994)/7),INDEX('WPP 2024 середина года'!$B:$U,MATCH($A88,'WPP 2024 середина года'!$A:$A,0),MATCH(Q$1,'WPP 2024 середина года'!$B$1:$U$1,0)))))</f>
        <v>2230</v>
      </c>
      <c r="R88" s="7">
        <f>IF($A88&lt;=1951,INDEX('SALA 1974'!$B:$U,MATCH($A88,'SALA 1974'!$A:$A,0),MATCH(R$1,'SALA 1974'!$B$1:$U$1,0)),IF($A88&lt;=1994,1000*INDEX('SALA 2002'!$B:$U,MATCH($A88,'SALA 2002'!$A:$A,0),MATCH(R$1,'SALA 2002'!$B$1:$U$1,0)),IF($A88&lt;=2000,1000*INDEX('SALA 2002'!$B:$U,MATCH($A88,'SALA 2002'!$A:$A,0),MATCH(R$1,'SALA 2002'!$B$1:$U$1,0))*POWER(INDEX('WPP 2024 середина года'!$B:$U,MATCH($A88,'WPP 2024 середина года'!$A:$A,0),MATCH(R$1,'WPP 2024 середина года'!$B$1:$U$1,0))/(1000*INDEX('SALA 2002'!$B:$U,MATCH($A88,'SALA 2002'!$A:$A,0),MATCH(R$1,'SALA 2002'!$B$1:$U$1,0))),($A88-1994)/7),INDEX('WPP 2024 середина года'!$B:$U,MATCH($A88,'WPP 2024 середина года'!$A:$A,0),MATCH(R$1,'WPP 2024 середина года'!$B$1:$U$1,0)))))</f>
        <v>3720</v>
      </c>
      <c r="S88" s="7">
        <f>IF($A88&lt;=1951,INDEX('SALA 1974'!$B:$U,MATCH($A88,'SALA 1974'!$A:$A,0),MATCH(S$1,'SALA 1974'!$B$1:$U$1,0)),IF($A88&lt;=1994,1000*INDEX('SALA 2002'!$B:$U,MATCH($A88,'SALA 2002'!$A:$A,0),MATCH(S$1,'SALA 2002'!$B$1:$U$1,0)),IF($A88&lt;=2000,1000*INDEX('SALA 2002'!$B:$U,MATCH($A88,'SALA 2002'!$A:$A,0),MATCH(S$1,'SALA 2002'!$B$1:$U$1,0))*POWER(INDEX('WPP 2024 середина года'!$B:$U,MATCH($A88,'WPP 2024 середина года'!$A:$A,0),MATCH(S$1,'WPP 2024 середина года'!$B$1:$U$1,0))/(1000*INDEX('SALA 2002'!$B:$U,MATCH($A88,'SALA 2002'!$A:$A,0),MATCH(S$1,'SALA 2002'!$B$1:$U$1,0))),($A88-1994)/7),INDEX('WPP 2024 середина года'!$B:$U,MATCH($A88,'WPP 2024 середина года'!$A:$A,0),MATCH(S$1,'WPP 2024 середина года'!$B$1:$U$1,0)))))</f>
        <v>19840</v>
      </c>
      <c r="T88" s="7">
        <f>IF($A88&lt;=1951,INDEX('SALA 1974'!$B:$U,MATCH($A88,'SALA 1974'!$A:$A,0),MATCH(T$1,'SALA 1974'!$B$1:$U$1,0)),IF($A88&lt;=1994,1000*INDEX('SALA 2002'!$B:$U,MATCH($A88,'SALA 2002'!$A:$A,0),MATCH(T$1,'SALA 2002'!$B$1:$U$1,0)),IF($A88&lt;=2000,1000*INDEX('SALA 2002'!$B:$U,MATCH($A88,'SALA 2002'!$A:$A,0),MATCH(T$1,'SALA 2002'!$B$1:$U$1,0))*POWER(INDEX('WPP 2024 середина года'!$B:$U,MATCH($A88,'WPP 2024 середина года'!$A:$A,0),MATCH(T$1,'WPP 2024 середина года'!$B$1:$U$1,0))/(1000*INDEX('SALA 2002'!$B:$U,MATCH($A88,'SALA 2002'!$A:$A,0),MATCH(T$1,'SALA 2002'!$B$1:$U$1,0))),($A88-1994)/7),INDEX('WPP 2024 середина года'!$B:$U,MATCH($A88,'WPP 2024 середина года'!$A:$A,0),MATCH(T$1,'WPP 2024 середина года'!$B$1:$U$1,0)))))</f>
        <v>3030</v>
      </c>
      <c r="U88" s="7">
        <f>IF($A88&lt;=1951,INDEX('SALA 1974'!$B:$U,MATCH($A88,'SALA 1974'!$A:$A,0),MATCH(U$1,'SALA 1974'!$B$1:$U$1,0)),IF($A88&lt;=1994,1000*INDEX('SALA 2002'!$B:$U,MATCH($A88,'SALA 2002'!$A:$A,0),MATCH(U$1,'SALA 2002'!$B$1:$U$1,0)),IF($A88&lt;=2000,1000*INDEX('SALA 2002'!$B:$U,MATCH($A88,'SALA 2002'!$A:$A,0),MATCH(U$1,'SALA 2002'!$B$1:$U$1,0))*POWER(INDEX('WPP 2024 середина года'!$B:$U,MATCH($A88,'WPP 2024 середина года'!$A:$A,0),MATCH(U$1,'WPP 2024 середина года'!$B$1:$U$1,0))/(1000*INDEX('SALA 2002'!$B:$U,MATCH($A88,'SALA 2002'!$A:$A,0),MATCH(U$1,'SALA 2002'!$B$1:$U$1,0))),($A88-1994)/7),INDEX('WPP 2024 середина года'!$B:$U,MATCH($A88,'WPP 2024 середина года'!$A:$A,0),MATCH(U$1,'WPP 2024 середина года'!$B$1:$U$1,0)))))</f>
        <v>17530</v>
      </c>
    </row>
    <row r="89" spans="1:21" x14ac:dyDescent="0.25">
      <c r="A89" s="5">
        <f t="shared" si="1"/>
        <v>1987</v>
      </c>
      <c r="B89" s="7">
        <f>IF($A89&lt;=1951,INDEX('SALA 1974'!$B:$U,MATCH($A89,'SALA 1974'!$A:$A,0),MATCH(B$1,'SALA 1974'!$B$1:$U$1,0)),IF($A89&lt;=1994,1000*INDEX('SALA 2002'!$B:$U,MATCH($A89,'SALA 2002'!$A:$A,0),MATCH(B$1,'SALA 2002'!$B$1:$U$1,0)),IF($A89&lt;=2000,1000*INDEX('SALA 2002'!$B:$U,MATCH($A89,'SALA 2002'!$A:$A,0),MATCH(B$1,'SALA 2002'!$B$1:$U$1,0))*POWER(INDEX('WPP 2024 середина года'!$B:$U,MATCH($A89,'WPP 2024 середина года'!$A:$A,0),MATCH(B$1,'WPP 2024 середина года'!$B$1:$U$1,0))/(1000*INDEX('SALA 2002'!$B:$U,MATCH($A89,'SALA 2002'!$A:$A,0),MATCH(B$1,'SALA 2002'!$B$1:$U$1,0))),($A89-1994)/7),INDEX('WPP 2024 середина года'!$B:$U,MATCH($A89,'WPP 2024 середина года'!$A:$A,0),MATCH(B$1,'WPP 2024 середина года'!$B$1:$U$1,0)))))</f>
        <v>31220</v>
      </c>
      <c r="C89" s="7">
        <f>IF($A89&lt;=1951,INDEX('SALA 1974'!$B:$U,MATCH($A89,'SALA 1974'!$A:$A,0),MATCH(C$1,'SALA 1974'!$B$1:$U$1,0)),IF($A89&lt;=1994,1000*INDEX('SALA 2002'!$B:$U,MATCH($A89,'SALA 2002'!$A:$A,0),MATCH(C$1,'SALA 2002'!$B$1:$U$1,0)),IF($A89&lt;=2000,1000*INDEX('SALA 2002'!$B:$U,MATCH($A89,'SALA 2002'!$A:$A,0),MATCH(C$1,'SALA 2002'!$B$1:$U$1,0))*POWER(INDEX('WPP 2024 середина года'!$B:$U,MATCH($A89,'WPP 2024 середина года'!$A:$A,0),MATCH(C$1,'WPP 2024 середина года'!$B$1:$U$1,0))/(1000*INDEX('SALA 2002'!$B:$U,MATCH($A89,'SALA 2002'!$A:$A,0),MATCH(C$1,'SALA 2002'!$B$1:$U$1,0))),($A89-1994)/7),INDEX('WPP 2024 середина года'!$B:$U,MATCH($A89,'WPP 2024 середина года'!$A:$A,0),MATCH(C$1,'WPP 2024 середина года'!$B$1:$U$1,0)))))</f>
        <v>6160</v>
      </c>
      <c r="D89" s="7">
        <f>IF($A89&lt;=1951,INDEX('SALA 1974'!$B:$U,MATCH($A89,'SALA 1974'!$A:$A,0),MATCH(D$1,'SALA 1974'!$B$1:$U$1,0)),IF($A89&lt;=1994,1000*INDEX('SALA 2002'!$B:$U,MATCH($A89,'SALA 2002'!$A:$A,0),MATCH(D$1,'SALA 2002'!$B$1:$U$1,0)),IF($A89&lt;=2000,1000*INDEX('SALA 2002'!$B:$U,MATCH($A89,'SALA 2002'!$A:$A,0),MATCH(D$1,'SALA 2002'!$B$1:$U$1,0))*POWER(INDEX('WPP 2024 середина года'!$B:$U,MATCH($A89,'WPP 2024 середина года'!$A:$A,0),MATCH(D$1,'WPP 2024 середина года'!$B$1:$U$1,0))/(1000*INDEX('SALA 2002'!$B:$U,MATCH($A89,'SALA 2002'!$A:$A,0),MATCH(D$1,'SALA 2002'!$B$1:$U$1,0))),($A89-1994)/7),INDEX('WPP 2024 середина года'!$B:$U,MATCH($A89,'WPP 2024 середина года'!$A:$A,0),MATCH(D$1,'WPP 2024 середина года'!$B$1:$U$1,0)))))</f>
        <v>137180</v>
      </c>
      <c r="E89" s="7">
        <f>IF($A89&lt;=1951,INDEX('SALA 1974'!$B:$U,MATCH($A89,'SALA 1974'!$A:$A,0),MATCH(E$1,'SALA 1974'!$B$1:$U$1,0)),IF($A89&lt;=1994,1000*INDEX('SALA 2002'!$B:$U,MATCH($A89,'SALA 2002'!$A:$A,0),MATCH(E$1,'SALA 2002'!$B$1:$U$1,0)),IF($A89&lt;=2000,1000*INDEX('SALA 2002'!$B:$U,MATCH($A89,'SALA 2002'!$A:$A,0),MATCH(E$1,'SALA 2002'!$B$1:$U$1,0))*POWER(INDEX('WPP 2024 середина года'!$B:$U,MATCH($A89,'WPP 2024 середина года'!$A:$A,0),MATCH(E$1,'WPP 2024 середина года'!$B$1:$U$1,0))/(1000*INDEX('SALA 2002'!$B:$U,MATCH($A89,'SALA 2002'!$A:$A,0),MATCH(E$1,'SALA 2002'!$B$1:$U$1,0))),($A89-1994)/7),INDEX('WPP 2024 середина года'!$B:$U,MATCH($A89,'WPP 2024 середина года'!$A:$A,0),MATCH(E$1,'WPP 2024 середина года'!$B$1:$U$1,0)))))</f>
        <v>12540</v>
      </c>
      <c r="F89" s="7">
        <f>IF($A89&lt;=1947,INDEX('SALA 1974'!$B:$U,MATCH($A89,'SALA 1974'!$A:$A,0),MATCH(F$1,'SALA 1974'!$B$1:$U$1,0)),IF($A89&lt;=1994,1000*INDEX('SALA 2002'!$B:$U,MATCH($A89,'SALA 2002'!$A:$A,0),MATCH(F$1,'SALA 2002'!$B$1:$U$1,0)),IF($A89&lt;=2000,1000*INDEX('SALA 2002'!$B:$U,MATCH($A89,'SALA 2002'!$A:$A,0),MATCH(F$1,'SALA 2002'!$B$1:$U$1,0))*POWER(INDEX('WPP 2024 середина года'!$B:$U,MATCH($A89,'WPP 2024 середина года'!$A:$A,0),MATCH(F$1,'WPP 2024 середина года'!$B$1:$U$1,0))/(1000*INDEX('SALA 2002'!$B:$U,MATCH($A89,'SALA 2002'!$A:$A,0),MATCH(F$1,'SALA 2002'!$B$1:$U$1,0))),($A89-1994)/7),INDEX('WPP 2024 середина года'!$B:$U,MATCH($A89,'WPP 2024 середина года'!$A:$A,0),MATCH(F$1,'WPP 2024 середина года'!$B$1:$U$1,0)))))</f>
        <v>30580</v>
      </c>
      <c r="G89" s="7">
        <f>IF($A89&lt;=1951,INDEX('SALA 1974'!$B:$U,MATCH($A89,'SALA 1974'!$A:$A,0),MATCH(G$1,'SALA 1974'!$B$1:$U$1,0)),IF($A89&lt;=1994,1000*INDEX('SALA 2002'!$B:$U,MATCH($A89,'SALA 2002'!$A:$A,0),MATCH(G$1,'SALA 2002'!$B$1:$U$1,0)),IF($A89&lt;=2000,1000*INDEX('SALA 2002'!$B:$U,MATCH($A89,'SALA 2002'!$A:$A,0),MATCH(G$1,'SALA 2002'!$B$1:$U$1,0))*POWER(INDEX('WPP 2024 середина года'!$B:$U,MATCH($A89,'WPP 2024 середина года'!$A:$A,0),MATCH(G$1,'WPP 2024 середина года'!$B$1:$U$1,0))/(1000*INDEX('SALA 2002'!$B:$U,MATCH($A89,'SALA 2002'!$A:$A,0),MATCH(G$1,'SALA 2002'!$B$1:$U$1,0))),($A89-1994)/7),INDEX('WPP 2024 середина года'!$B:$U,MATCH($A89,'WPP 2024 середина года'!$A:$A,0),MATCH(G$1,'WPP 2024 середина года'!$B$1:$U$1,0)))))</f>
        <v>2780</v>
      </c>
      <c r="H89" s="7">
        <f>IF($A89&lt;=1951,INDEX('SALA 1974'!$B:$U,MATCH($A89,'SALA 1974'!$A:$A,0),MATCH(H$1,'SALA 1974'!$B$1:$U$1,0)),IF($A89&lt;=1994,1000*INDEX('SALA 2002'!$B:$U,MATCH($A89,'SALA 2002'!$A:$A,0),MATCH(H$1,'SALA 2002'!$B$1:$U$1,0)),IF($A89&lt;=2000,1000*INDEX('SALA 2002'!$B:$U,MATCH($A89,'SALA 2002'!$A:$A,0),MATCH(H$1,'SALA 2002'!$B$1:$U$1,0))*POWER(INDEX('WPP 2024 середина года'!$B:$U,MATCH($A89,'WPP 2024 середина года'!$A:$A,0),MATCH(H$1,'WPP 2024 середина года'!$B$1:$U$1,0))/(1000*INDEX('SALA 2002'!$B:$U,MATCH($A89,'SALA 2002'!$A:$A,0),MATCH(H$1,'SALA 2002'!$B$1:$U$1,0))),($A89-1994)/7),INDEX('WPP 2024 середина года'!$B:$U,MATCH($A89,'WPP 2024 середина года'!$A:$A,0),MATCH(H$1,'WPP 2024 середина года'!$B$1:$U$1,0)))))</f>
        <v>10300</v>
      </c>
      <c r="I89" s="7">
        <f>IF($A89&lt;=1951,INDEX('SALA 1974'!$B:$U,MATCH($A89,'SALA 1974'!$A:$A,0),MATCH(I$1,'SALA 1974'!$B$1:$U$1,0)),IF($A89&lt;=1994,1000*INDEX('SALA 2002'!$B:$U,MATCH($A89,'SALA 2002'!$A:$A,0),MATCH(I$1,'SALA 2002'!$B$1:$U$1,0)),IF($A89&lt;=2000,1000*INDEX('SALA 2002'!$B:$U,MATCH($A89,'SALA 2002'!$A:$A,0),MATCH(I$1,'SALA 2002'!$B$1:$U$1,0))*POWER(INDEX('WPP 2024 середина года'!$B:$U,MATCH($A89,'WPP 2024 середина года'!$A:$A,0),MATCH(I$1,'WPP 2024 середина года'!$B$1:$U$1,0))/(1000*INDEX('SALA 2002'!$B:$U,MATCH($A89,'SALA 2002'!$A:$A,0),MATCH(I$1,'SALA 2002'!$B$1:$U$1,0))),($A89-1994)/7),INDEX('WPP 2024 середина года'!$B:$U,MATCH($A89,'WPP 2024 середина года'!$A:$A,0),MATCH(I$1,'WPP 2024 середина года'!$B$1:$U$1,0)))))</f>
        <v>6720</v>
      </c>
      <c r="J89" s="7">
        <f>IF($A89&lt;=1951,INDEX('SALA 1974'!$B:$U,MATCH($A89,'SALA 1974'!$A:$A,0),MATCH(J$1,'SALA 1974'!$B$1:$U$1,0)),IF($A89&lt;=1994,1000*INDEX('SALA 2002'!$B:$U,MATCH($A89,'SALA 2002'!$A:$A,0),MATCH(J$1,'SALA 2002'!$B$1:$U$1,0)),IF($A89&lt;=2000,1000*INDEX('SALA 2002'!$B:$U,MATCH($A89,'SALA 2002'!$A:$A,0),MATCH(J$1,'SALA 2002'!$B$1:$U$1,0))*POWER(INDEX('WPP 2024 середина года'!$B:$U,MATCH($A89,'WPP 2024 середина года'!$A:$A,0),MATCH(J$1,'WPP 2024 середина года'!$B$1:$U$1,0))/(1000*INDEX('SALA 2002'!$B:$U,MATCH($A89,'SALA 2002'!$A:$A,0),MATCH(J$1,'SALA 2002'!$B$1:$U$1,0))),($A89-1994)/7),INDEX('WPP 2024 середина года'!$B:$U,MATCH($A89,'WPP 2024 середина года'!$A:$A,0),MATCH(J$1,'WPP 2024 середина года'!$B$1:$U$1,0)))))</f>
        <v>9560</v>
      </c>
      <c r="K89" s="7">
        <f>IF($A89&lt;=1951,INDEX('SALA 1974'!$B:$U,MATCH($A89,'SALA 1974'!$A:$A,0),MATCH(K$1,'SALA 1974'!$B$1:$U$1,0)),IF($A89&lt;=1994,1000*INDEX('SALA 2002'!$B:$U,MATCH($A89,'SALA 2002'!$A:$A,0),MATCH(K$1,'SALA 2002'!$B$1:$U$1,0)),IF($A89&lt;=2000,1000*INDEX('SALA 2002'!$B:$U,MATCH($A89,'SALA 2002'!$A:$A,0),MATCH(K$1,'SALA 2002'!$B$1:$U$1,0))*POWER(INDEX('WPP 2024 середина года'!$B:$U,MATCH($A89,'WPP 2024 середина года'!$A:$A,0),MATCH(K$1,'WPP 2024 середина года'!$B$1:$U$1,0))/(1000*INDEX('SALA 2002'!$B:$U,MATCH($A89,'SALA 2002'!$A:$A,0),MATCH(K$1,'SALA 2002'!$B$1:$U$1,0))),($A89-1994)/7),INDEX('WPP 2024 середина года'!$B:$U,MATCH($A89,'WPP 2024 середина года'!$A:$A,0),MATCH(K$1,'WPP 2024 середина года'!$B$1:$U$1,0)))))</f>
        <v>5050</v>
      </c>
      <c r="L89" s="7">
        <f>IF($A89&lt;=1951,INDEX('SALA 1974'!$B:$U,MATCH($A89,'SALA 1974'!$A:$A,0),MATCH(L$1,'SALA 1974'!$B$1:$U$1,0)),IF($A89&lt;=1994,1000*INDEX('SALA 2002'!$B:$U,MATCH($A89,'SALA 2002'!$A:$A,0),MATCH(L$1,'SALA 2002'!$B$1:$U$1,0)),IF($A89&lt;=2000,1000*INDEX('SALA 2002'!$B:$U,MATCH($A89,'SALA 2002'!$A:$A,0),MATCH(L$1,'SALA 2002'!$B$1:$U$1,0))*POWER(INDEX('WPP 2024 середина года'!$B:$U,MATCH($A89,'WPP 2024 середина года'!$A:$A,0),MATCH(L$1,'WPP 2024 середина года'!$B$1:$U$1,0))/(1000*INDEX('SALA 2002'!$B:$U,MATCH($A89,'SALA 2002'!$A:$A,0),MATCH(L$1,'SALA 2002'!$B$1:$U$1,0))),($A89-1994)/7),INDEX('WPP 2024 середина года'!$B:$U,MATCH($A89,'WPP 2024 середина года'!$A:$A,0),MATCH(L$1,'WPP 2024 середина года'!$B$1:$U$1,0)))))</f>
        <v>8430</v>
      </c>
      <c r="M89" s="7">
        <f>IF($A89&lt;=1951,INDEX('SALA 1974'!$B:$U,MATCH($A89,'SALA 1974'!$A:$A,0),MATCH(M$1,'SALA 1974'!$B$1:$U$1,0)),IF($A89&lt;=1994,1000*INDEX('SALA 2002'!$B:$U,MATCH($A89,'SALA 2002'!$A:$A,0),MATCH(M$1,'SALA 2002'!$B$1:$U$1,0)),IF($A89&lt;=2000,1000*INDEX('SALA 2002'!$B:$U,MATCH($A89,'SALA 2002'!$A:$A,0),MATCH(M$1,'SALA 2002'!$B$1:$U$1,0))*POWER(INDEX('WPP 2024 середина года'!$B:$U,MATCH($A89,'WPP 2024 середина года'!$A:$A,0),MATCH(M$1,'WPP 2024 середина года'!$B$1:$U$1,0))/(1000*INDEX('SALA 2002'!$B:$U,MATCH($A89,'SALA 2002'!$A:$A,0),MATCH(M$1,'SALA 2002'!$B$1:$U$1,0))),($A89-1994)/7),INDEX('WPP 2024 середина года'!$B:$U,MATCH($A89,'WPP 2024 середина года'!$A:$A,0),MATCH(M$1,'WPP 2024 середина года'!$B$1:$U$1,0)))))</f>
        <v>6110</v>
      </c>
      <c r="N89" s="7">
        <f>IF($A89&lt;=1951,INDEX('SALA 1974'!$B:$U,MATCH($A89,'SALA 1974'!$A:$A,0),MATCH(N$1,'SALA 1974'!$B$1:$U$1,0)),IF($A89&lt;=1994,1000*INDEX('SALA 2002'!$B:$U,MATCH($A89,'SALA 2002'!$A:$A,0),MATCH(N$1,'SALA 2002'!$B$1:$U$1,0)),IF($A89&lt;=2000,1000*INDEX('SALA 2002'!$B:$U,MATCH($A89,'SALA 2002'!$A:$A,0),MATCH(N$1,'SALA 2002'!$B$1:$U$1,0))*POWER(INDEX('WPP 2024 середина года'!$B:$U,MATCH($A89,'WPP 2024 середина года'!$A:$A,0),MATCH(N$1,'WPP 2024 середина года'!$B$1:$U$1,0))/(1000*INDEX('SALA 2002'!$B:$U,MATCH($A89,'SALA 2002'!$A:$A,0),MATCH(N$1,'SALA 2002'!$B$1:$U$1,0))),($A89-1994)/7),INDEX('WPP 2024 середина года'!$B:$U,MATCH($A89,'WPP 2024 середина года'!$A:$A,0),MATCH(N$1,'WPP 2024 середина года'!$B$1:$U$1,0)))))</f>
        <v>4660</v>
      </c>
      <c r="O89" s="7">
        <f>IF($A89&lt;=1951,INDEX('SALA 1974'!$B:$U,MATCH($A89,'SALA 1974'!$A:$A,0),MATCH(O$1,'SALA 1974'!$B$1:$U$1,0)),IF($A89&lt;=1994,1000*INDEX('SALA 2002'!$B:$U,MATCH($A89,'SALA 2002'!$A:$A,0),MATCH(O$1,'SALA 2002'!$B$1:$U$1,0)),IF($A89&lt;=2000,1000*INDEX('SALA 2002'!$B:$U,MATCH($A89,'SALA 2002'!$A:$A,0),MATCH(O$1,'SALA 2002'!$B$1:$U$1,0))*POWER(INDEX('WPP 2024 середина года'!$B:$U,MATCH($A89,'WPP 2024 середина года'!$A:$A,0),MATCH(O$1,'WPP 2024 середина года'!$B$1:$U$1,0))/(1000*INDEX('SALA 2002'!$B:$U,MATCH($A89,'SALA 2002'!$A:$A,0),MATCH(O$1,'SALA 2002'!$B$1:$U$1,0))),($A89-1994)/7),INDEX('WPP 2024 середина года'!$B:$U,MATCH($A89,'WPP 2024 середина года'!$A:$A,0),MATCH(O$1,'WPP 2024 середина года'!$B$1:$U$1,0)))))</f>
        <v>81200</v>
      </c>
      <c r="P89" s="7">
        <f>IF($A89&lt;=1951,INDEX('SALA 1974'!$B:$U,MATCH($A89,'SALA 1974'!$A:$A,0),MATCH(P$1,'SALA 1974'!$B$1:$U$1,0)),IF($A89&lt;=1994,1000*INDEX('SALA 2002'!$B:$U,MATCH($A89,'SALA 2002'!$A:$A,0),MATCH(P$1,'SALA 2002'!$B$1:$U$1,0)),IF($A89&lt;=2000,1000*INDEX('SALA 2002'!$B:$U,MATCH($A89,'SALA 2002'!$A:$A,0),MATCH(P$1,'SALA 2002'!$B$1:$U$1,0))*POWER(INDEX('WPP 2024 середина года'!$B:$U,MATCH($A89,'WPP 2024 середина года'!$A:$A,0),MATCH(P$1,'WPP 2024 середина года'!$B$1:$U$1,0))/(1000*INDEX('SALA 2002'!$B:$U,MATCH($A89,'SALA 2002'!$A:$A,0),MATCH(P$1,'SALA 2002'!$B$1:$U$1,0))),($A89-1994)/7),INDEX('WPP 2024 середина года'!$B:$U,MATCH($A89,'WPP 2024 середина года'!$A:$A,0),MATCH(P$1,'WPP 2024 середина года'!$B$1:$U$1,0)))))</f>
        <v>3500</v>
      </c>
      <c r="Q89" s="7">
        <f>IF($A89&lt;=1951,INDEX('SALA 1974'!$B:$U,MATCH($A89,'SALA 1974'!$A:$A,0),MATCH(Q$1,'SALA 1974'!$B$1:$U$1,0)),IF($A89&lt;=1994,1000*INDEX('SALA 2002'!$B:$U,MATCH($A89,'SALA 2002'!$A:$A,0),MATCH(Q$1,'SALA 2002'!$B$1:$U$1,0)),IF($A89&lt;=2000,1000*INDEX('SALA 2002'!$B:$U,MATCH($A89,'SALA 2002'!$A:$A,0),MATCH(Q$1,'SALA 2002'!$B$1:$U$1,0))*POWER(INDEX('WPP 2024 середина года'!$B:$U,MATCH($A89,'WPP 2024 середина года'!$A:$A,0),MATCH(Q$1,'WPP 2024 середина года'!$B$1:$U$1,0))/(1000*INDEX('SALA 2002'!$B:$U,MATCH($A89,'SALA 2002'!$A:$A,0),MATCH(Q$1,'SALA 2002'!$B$1:$U$1,0))),($A89-1994)/7),INDEX('WPP 2024 середина года'!$B:$U,MATCH($A89,'WPP 2024 середина года'!$A:$A,0),MATCH(Q$1,'WPP 2024 середина года'!$B$1:$U$1,0)))))</f>
        <v>2270</v>
      </c>
      <c r="R89" s="7">
        <f>IF($A89&lt;=1951,INDEX('SALA 1974'!$B:$U,MATCH($A89,'SALA 1974'!$A:$A,0),MATCH(R$1,'SALA 1974'!$B$1:$U$1,0)),IF($A89&lt;=1994,1000*INDEX('SALA 2002'!$B:$U,MATCH($A89,'SALA 2002'!$A:$A,0),MATCH(R$1,'SALA 2002'!$B$1:$U$1,0)),IF($A89&lt;=2000,1000*INDEX('SALA 2002'!$B:$U,MATCH($A89,'SALA 2002'!$A:$A,0),MATCH(R$1,'SALA 2002'!$B$1:$U$1,0))*POWER(INDEX('WPP 2024 середина года'!$B:$U,MATCH($A89,'WPP 2024 середина года'!$A:$A,0),MATCH(R$1,'WPP 2024 середина года'!$B$1:$U$1,0))/(1000*INDEX('SALA 2002'!$B:$U,MATCH($A89,'SALA 2002'!$A:$A,0),MATCH(R$1,'SALA 2002'!$B$1:$U$1,0))),($A89-1994)/7),INDEX('WPP 2024 середина года'!$B:$U,MATCH($A89,'WPP 2024 середина года'!$A:$A,0),MATCH(R$1,'WPP 2024 середина года'!$B$1:$U$1,0)))))</f>
        <v>3840</v>
      </c>
      <c r="S89" s="7">
        <f>IF($A89&lt;=1951,INDEX('SALA 1974'!$B:$U,MATCH($A89,'SALA 1974'!$A:$A,0),MATCH(S$1,'SALA 1974'!$B$1:$U$1,0)),IF($A89&lt;=1994,1000*INDEX('SALA 2002'!$B:$U,MATCH($A89,'SALA 2002'!$A:$A,0),MATCH(S$1,'SALA 2002'!$B$1:$U$1,0)),IF($A89&lt;=2000,1000*INDEX('SALA 2002'!$B:$U,MATCH($A89,'SALA 2002'!$A:$A,0),MATCH(S$1,'SALA 2002'!$B$1:$U$1,0))*POWER(INDEX('WPP 2024 середина года'!$B:$U,MATCH($A89,'WPP 2024 середина года'!$A:$A,0),MATCH(S$1,'WPP 2024 середина года'!$B$1:$U$1,0))/(1000*INDEX('SALA 2002'!$B:$U,MATCH($A89,'SALA 2002'!$A:$A,0),MATCH(S$1,'SALA 2002'!$B$1:$U$1,0))),($A89-1994)/7),INDEX('WPP 2024 середина года'!$B:$U,MATCH($A89,'WPP 2024 середина года'!$A:$A,0),MATCH(S$1,'WPP 2024 середина года'!$B$1:$U$1,0)))))</f>
        <v>20260</v>
      </c>
      <c r="T89" s="7">
        <f>IF($A89&lt;=1951,INDEX('SALA 1974'!$B:$U,MATCH($A89,'SALA 1974'!$A:$A,0),MATCH(T$1,'SALA 1974'!$B$1:$U$1,0)),IF($A89&lt;=1994,1000*INDEX('SALA 2002'!$B:$U,MATCH($A89,'SALA 2002'!$A:$A,0),MATCH(T$1,'SALA 2002'!$B$1:$U$1,0)),IF($A89&lt;=2000,1000*INDEX('SALA 2002'!$B:$U,MATCH($A89,'SALA 2002'!$A:$A,0),MATCH(T$1,'SALA 2002'!$B$1:$U$1,0))*POWER(INDEX('WPP 2024 середина года'!$B:$U,MATCH($A89,'WPP 2024 середина года'!$A:$A,0),MATCH(T$1,'WPP 2024 середина года'!$B$1:$U$1,0))/(1000*INDEX('SALA 2002'!$B:$U,MATCH($A89,'SALA 2002'!$A:$A,0),MATCH(T$1,'SALA 2002'!$B$1:$U$1,0))),($A89-1994)/7),INDEX('WPP 2024 середина года'!$B:$U,MATCH($A89,'WPP 2024 середина года'!$A:$A,0),MATCH(T$1,'WPP 2024 середина года'!$B$1:$U$1,0)))))</f>
        <v>3040</v>
      </c>
      <c r="U89" s="7">
        <f>IF($A89&lt;=1951,INDEX('SALA 1974'!$B:$U,MATCH($A89,'SALA 1974'!$A:$A,0),MATCH(U$1,'SALA 1974'!$B$1:$U$1,0)),IF($A89&lt;=1994,1000*INDEX('SALA 2002'!$B:$U,MATCH($A89,'SALA 2002'!$A:$A,0),MATCH(U$1,'SALA 2002'!$B$1:$U$1,0)),IF($A89&lt;=2000,1000*INDEX('SALA 2002'!$B:$U,MATCH($A89,'SALA 2002'!$A:$A,0),MATCH(U$1,'SALA 2002'!$B$1:$U$1,0))*POWER(INDEX('WPP 2024 середина года'!$B:$U,MATCH($A89,'WPP 2024 середина года'!$A:$A,0),MATCH(U$1,'WPP 2024 середина года'!$B$1:$U$1,0))/(1000*INDEX('SALA 2002'!$B:$U,MATCH($A89,'SALA 2002'!$A:$A,0),MATCH(U$1,'SALA 2002'!$B$1:$U$1,0))),($A89-1994)/7),INDEX('WPP 2024 середина года'!$B:$U,MATCH($A89,'WPP 2024 середина года'!$A:$A,0),MATCH(U$1,'WPP 2024 середина года'!$B$1:$U$1,0)))))</f>
        <v>17970</v>
      </c>
    </row>
    <row r="90" spans="1:21" x14ac:dyDescent="0.25">
      <c r="A90" s="5">
        <f t="shared" si="1"/>
        <v>1988</v>
      </c>
      <c r="B90" s="7">
        <f>IF($A90&lt;=1951,INDEX('SALA 1974'!$B:$U,MATCH($A90,'SALA 1974'!$A:$A,0),MATCH(B$1,'SALA 1974'!$B$1:$U$1,0)),IF($A90&lt;=1994,1000*INDEX('SALA 2002'!$B:$U,MATCH($A90,'SALA 2002'!$A:$A,0),MATCH(B$1,'SALA 2002'!$B$1:$U$1,0)),IF($A90&lt;=2000,1000*INDEX('SALA 2002'!$B:$U,MATCH($A90,'SALA 2002'!$A:$A,0),MATCH(B$1,'SALA 2002'!$B$1:$U$1,0))*POWER(INDEX('WPP 2024 середина года'!$B:$U,MATCH($A90,'WPP 2024 середина года'!$A:$A,0),MATCH(B$1,'WPP 2024 середина года'!$B$1:$U$1,0))/(1000*INDEX('SALA 2002'!$B:$U,MATCH($A90,'SALA 2002'!$A:$A,0),MATCH(B$1,'SALA 2002'!$B$1:$U$1,0))),($A90-1994)/7),INDEX('WPP 2024 середина года'!$B:$U,MATCH($A90,'WPP 2024 середина года'!$A:$A,0),MATCH(B$1,'WPP 2024 середина года'!$B$1:$U$1,0)))))</f>
        <v>31640</v>
      </c>
      <c r="C90" s="7">
        <f>IF($A90&lt;=1951,INDEX('SALA 1974'!$B:$U,MATCH($A90,'SALA 1974'!$A:$A,0),MATCH(C$1,'SALA 1974'!$B$1:$U$1,0)),IF($A90&lt;=1994,1000*INDEX('SALA 2002'!$B:$U,MATCH($A90,'SALA 2002'!$A:$A,0),MATCH(C$1,'SALA 2002'!$B$1:$U$1,0)),IF($A90&lt;=2000,1000*INDEX('SALA 2002'!$B:$U,MATCH($A90,'SALA 2002'!$A:$A,0),MATCH(C$1,'SALA 2002'!$B$1:$U$1,0))*POWER(INDEX('WPP 2024 середина года'!$B:$U,MATCH($A90,'WPP 2024 середина года'!$A:$A,0),MATCH(C$1,'WPP 2024 середина года'!$B$1:$U$1,0))/(1000*INDEX('SALA 2002'!$B:$U,MATCH($A90,'SALA 2002'!$A:$A,0),MATCH(C$1,'SALA 2002'!$B$1:$U$1,0))),($A90-1994)/7),INDEX('WPP 2024 середина года'!$B:$U,MATCH($A90,'WPP 2024 середина года'!$A:$A,0),MATCH(C$1,'WPP 2024 середина года'!$B$1:$U$1,0)))))</f>
        <v>6290</v>
      </c>
      <c r="D90" s="7">
        <f>IF($A90&lt;=1951,INDEX('SALA 1974'!$B:$U,MATCH($A90,'SALA 1974'!$A:$A,0),MATCH(D$1,'SALA 1974'!$B$1:$U$1,0)),IF($A90&lt;=1994,1000*INDEX('SALA 2002'!$B:$U,MATCH($A90,'SALA 2002'!$A:$A,0),MATCH(D$1,'SALA 2002'!$B$1:$U$1,0)),IF($A90&lt;=2000,1000*INDEX('SALA 2002'!$B:$U,MATCH($A90,'SALA 2002'!$A:$A,0),MATCH(D$1,'SALA 2002'!$B$1:$U$1,0))*POWER(INDEX('WPP 2024 середина года'!$B:$U,MATCH($A90,'WPP 2024 середина года'!$A:$A,0),MATCH(D$1,'WPP 2024 середина года'!$B$1:$U$1,0))/(1000*INDEX('SALA 2002'!$B:$U,MATCH($A90,'SALA 2002'!$A:$A,0),MATCH(D$1,'SALA 2002'!$B$1:$U$1,0))),($A90-1994)/7),INDEX('WPP 2024 середина года'!$B:$U,MATCH($A90,'WPP 2024 середина года'!$A:$A,0),MATCH(D$1,'WPP 2024 середина года'!$B$1:$U$1,0)))))</f>
        <v>139820</v>
      </c>
      <c r="E90" s="7">
        <f>IF($A90&lt;=1951,INDEX('SALA 1974'!$B:$U,MATCH($A90,'SALA 1974'!$A:$A,0),MATCH(E$1,'SALA 1974'!$B$1:$U$1,0)),IF($A90&lt;=1994,1000*INDEX('SALA 2002'!$B:$U,MATCH($A90,'SALA 2002'!$A:$A,0),MATCH(E$1,'SALA 2002'!$B$1:$U$1,0)),IF($A90&lt;=2000,1000*INDEX('SALA 2002'!$B:$U,MATCH($A90,'SALA 2002'!$A:$A,0),MATCH(E$1,'SALA 2002'!$B$1:$U$1,0))*POWER(INDEX('WPP 2024 середина года'!$B:$U,MATCH($A90,'WPP 2024 середина года'!$A:$A,0),MATCH(E$1,'WPP 2024 середина года'!$B$1:$U$1,0))/(1000*INDEX('SALA 2002'!$B:$U,MATCH($A90,'SALA 2002'!$A:$A,0),MATCH(E$1,'SALA 2002'!$B$1:$U$1,0))),($A90-1994)/7),INDEX('WPP 2024 середина года'!$B:$U,MATCH($A90,'WPP 2024 середина года'!$A:$A,0),MATCH(E$1,'WPP 2024 середина года'!$B$1:$U$1,0)))))</f>
        <v>12750</v>
      </c>
      <c r="F90" s="7">
        <f>IF($A90&lt;=1947,INDEX('SALA 1974'!$B:$U,MATCH($A90,'SALA 1974'!$A:$A,0),MATCH(F$1,'SALA 1974'!$B$1:$U$1,0)),IF($A90&lt;=1994,1000*INDEX('SALA 2002'!$B:$U,MATCH($A90,'SALA 2002'!$A:$A,0),MATCH(F$1,'SALA 2002'!$B$1:$U$1,0)),IF($A90&lt;=2000,1000*INDEX('SALA 2002'!$B:$U,MATCH($A90,'SALA 2002'!$A:$A,0),MATCH(F$1,'SALA 2002'!$B$1:$U$1,0))*POWER(INDEX('WPP 2024 середина года'!$B:$U,MATCH($A90,'WPP 2024 середина года'!$A:$A,0),MATCH(F$1,'WPP 2024 середина года'!$B$1:$U$1,0))/(1000*INDEX('SALA 2002'!$B:$U,MATCH($A90,'SALA 2002'!$A:$A,0),MATCH(F$1,'SALA 2002'!$B$1:$U$1,0))),($A90-1994)/7),INDEX('WPP 2024 середина года'!$B:$U,MATCH($A90,'WPP 2024 середина года'!$A:$A,0),MATCH(F$1,'WPP 2024 середина года'!$B$1:$U$1,0)))))</f>
        <v>31140</v>
      </c>
      <c r="G90" s="7">
        <f>IF($A90&lt;=1951,INDEX('SALA 1974'!$B:$U,MATCH($A90,'SALA 1974'!$A:$A,0),MATCH(G$1,'SALA 1974'!$B$1:$U$1,0)),IF($A90&lt;=1994,1000*INDEX('SALA 2002'!$B:$U,MATCH($A90,'SALA 2002'!$A:$A,0),MATCH(G$1,'SALA 2002'!$B$1:$U$1,0)),IF($A90&lt;=2000,1000*INDEX('SALA 2002'!$B:$U,MATCH($A90,'SALA 2002'!$A:$A,0),MATCH(G$1,'SALA 2002'!$B$1:$U$1,0))*POWER(INDEX('WPP 2024 середина года'!$B:$U,MATCH($A90,'WPP 2024 середина года'!$A:$A,0),MATCH(G$1,'WPP 2024 середина года'!$B$1:$U$1,0))/(1000*INDEX('SALA 2002'!$B:$U,MATCH($A90,'SALA 2002'!$A:$A,0),MATCH(G$1,'SALA 2002'!$B$1:$U$1,0))),($A90-1994)/7),INDEX('WPP 2024 середина года'!$B:$U,MATCH($A90,'WPP 2024 середина года'!$A:$A,0),MATCH(G$1,'WPP 2024 середина года'!$B$1:$U$1,0)))))</f>
        <v>2850</v>
      </c>
      <c r="H90" s="7">
        <f>IF($A90&lt;=1951,INDEX('SALA 1974'!$B:$U,MATCH($A90,'SALA 1974'!$A:$A,0),MATCH(H$1,'SALA 1974'!$B$1:$U$1,0)),IF($A90&lt;=1994,1000*INDEX('SALA 2002'!$B:$U,MATCH($A90,'SALA 2002'!$A:$A,0),MATCH(H$1,'SALA 2002'!$B$1:$U$1,0)),IF($A90&lt;=2000,1000*INDEX('SALA 2002'!$B:$U,MATCH($A90,'SALA 2002'!$A:$A,0),MATCH(H$1,'SALA 2002'!$B$1:$U$1,0))*POWER(INDEX('WPP 2024 середина года'!$B:$U,MATCH($A90,'WPP 2024 середина года'!$A:$A,0),MATCH(H$1,'WPP 2024 середина года'!$B$1:$U$1,0))/(1000*INDEX('SALA 2002'!$B:$U,MATCH($A90,'SALA 2002'!$A:$A,0),MATCH(H$1,'SALA 2002'!$B$1:$U$1,0))),($A90-1994)/7),INDEX('WPP 2024 середина года'!$B:$U,MATCH($A90,'WPP 2024 середина года'!$A:$A,0),MATCH(H$1,'WPP 2024 середина года'!$B$1:$U$1,0)))))</f>
        <v>10410</v>
      </c>
      <c r="I90" s="7">
        <f>IF($A90&lt;=1951,INDEX('SALA 1974'!$B:$U,MATCH($A90,'SALA 1974'!$A:$A,0),MATCH(I$1,'SALA 1974'!$B$1:$U$1,0)),IF($A90&lt;=1994,1000*INDEX('SALA 2002'!$B:$U,MATCH($A90,'SALA 2002'!$A:$A,0),MATCH(I$1,'SALA 2002'!$B$1:$U$1,0)),IF($A90&lt;=2000,1000*INDEX('SALA 2002'!$B:$U,MATCH($A90,'SALA 2002'!$A:$A,0),MATCH(I$1,'SALA 2002'!$B$1:$U$1,0))*POWER(INDEX('WPP 2024 середина года'!$B:$U,MATCH($A90,'WPP 2024 середина года'!$A:$A,0),MATCH(I$1,'WPP 2024 середина года'!$B$1:$U$1,0))/(1000*INDEX('SALA 2002'!$B:$U,MATCH($A90,'SALA 2002'!$A:$A,0),MATCH(I$1,'SALA 2002'!$B$1:$U$1,0))),($A90-1994)/7),INDEX('WPP 2024 середина года'!$B:$U,MATCH($A90,'WPP 2024 середина года'!$A:$A,0),MATCH(I$1,'WPP 2024 середина года'!$B$1:$U$1,0)))))</f>
        <v>6870</v>
      </c>
      <c r="J90" s="7">
        <f>IF($A90&lt;=1951,INDEX('SALA 1974'!$B:$U,MATCH($A90,'SALA 1974'!$A:$A,0),MATCH(J$1,'SALA 1974'!$B$1:$U$1,0)),IF($A90&lt;=1994,1000*INDEX('SALA 2002'!$B:$U,MATCH($A90,'SALA 2002'!$A:$A,0),MATCH(J$1,'SALA 2002'!$B$1:$U$1,0)),IF($A90&lt;=2000,1000*INDEX('SALA 2002'!$B:$U,MATCH($A90,'SALA 2002'!$A:$A,0),MATCH(J$1,'SALA 2002'!$B$1:$U$1,0))*POWER(INDEX('WPP 2024 середина года'!$B:$U,MATCH($A90,'WPP 2024 середина года'!$A:$A,0),MATCH(J$1,'WPP 2024 середина года'!$B$1:$U$1,0))/(1000*INDEX('SALA 2002'!$B:$U,MATCH($A90,'SALA 2002'!$A:$A,0),MATCH(J$1,'SALA 2002'!$B$1:$U$1,0))),($A90-1994)/7),INDEX('WPP 2024 середина года'!$B:$U,MATCH($A90,'WPP 2024 середина года'!$A:$A,0),MATCH(J$1,'WPP 2024 середина года'!$B$1:$U$1,0)))))</f>
        <v>9790</v>
      </c>
      <c r="K90" s="7">
        <f>IF($A90&lt;=1951,INDEX('SALA 1974'!$B:$U,MATCH($A90,'SALA 1974'!$A:$A,0),MATCH(K$1,'SALA 1974'!$B$1:$U$1,0)),IF($A90&lt;=1994,1000*INDEX('SALA 2002'!$B:$U,MATCH($A90,'SALA 2002'!$A:$A,0),MATCH(K$1,'SALA 2002'!$B$1:$U$1,0)),IF($A90&lt;=2000,1000*INDEX('SALA 2002'!$B:$U,MATCH($A90,'SALA 2002'!$A:$A,0),MATCH(K$1,'SALA 2002'!$B$1:$U$1,0))*POWER(INDEX('WPP 2024 середина года'!$B:$U,MATCH($A90,'WPP 2024 середина года'!$A:$A,0),MATCH(K$1,'WPP 2024 середина года'!$B$1:$U$1,0))/(1000*INDEX('SALA 2002'!$B:$U,MATCH($A90,'SALA 2002'!$A:$A,0),MATCH(K$1,'SALA 2002'!$B$1:$U$1,0))),($A90-1994)/7),INDEX('WPP 2024 середина года'!$B:$U,MATCH($A90,'WPP 2024 середина года'!$A:$A,0),MATCH(K$1,'WPP 2024 середина года'!$B$1:$U$1,0)))))</f>
        <v>5090</v>
      </c>
      <c r="L90" s="7">
        <f>IF($A90&lt;=1951,INDEX('SALA 1974'!$B:$U,MATCH($A90,'SALA 1974'!$A:$A,0),MATCH(L$1,'SALA 1974'!$B$1:$U$1,0)),IF($A90&lt;=1994,1000*INDEX('SALA 2002'!$B:$U,MATCH($A90,'SALA 2002'!$A:$A,0),MATCH(L$1,'SALA 2002'!$B$1:$U$1,0)),IF($A90&lt;=2000,1000*INDEX('SALA 2002'!$B:$U,MATCH($A90,'SALA 2002'!$A:$A,0),MATCH(L$1,'SALA 2002'!$B$1:$U$1,0))*POWER(INDEX('WPP 2024 середина года'!$B:$U,MATCH($A90,'WPP 2024 середина года'!$A:$A,0),MATCH(L$1,'WPP 2024 середина года'!$B$1:$U$1,0))/(1000*INDEX('SALA 2002'!$B:$U,MATCH($A90,'SALA 2002'!$A:$A,0),MATCH(L$1,'SALA 2002'!$B$1:$U$1,0))),($A90-1994)/7),INDEX('WPP 2024 середина года'!$B:$U,MATCH($A90,'WPP 2024 середина года'!$A:$A,0),MATCH(L$1,'WPP 2024 середина года'!$B$1:$U$1,0)))))</f>
        <v>8680</v>
      </c>
      <c r="M90" s="7">
        <f>IF($A90&lt;=1951,INDEX('SALA 1974'!$B:$U,MATCH($A90,'SALA 1974'!$A:$A,0),MATCH(M$1,'SALA 1974'!$B$1:$U$1,0)),IF($A90&lt;=1994,1000*INDEX('SALA 2002'!$B:$U,MATCH($A90,'SALA 2002'!$A:$A,0),MATCH(M$1,'SALA 2002'!$B$1:$U$1,0)),IF($A90&lt;=2000,1000*INDEX('SALA 2002'!$B:$U,MATCH($A90,'SALA 2002'!$A:$A,0),MATCH(M$1,'SALA 2002'!$B$1:$U$1,0))*POWER(INDEX('WPP 2024 середина года'!$B:$U,MATCH($A90,'WPP 2024 середина года'!$A:$A,0),MATCH(M$1,'WPP 2024 середина года'!$B$1:$U$1,0))/(1000*INDEX('SALA 2002'!$B:$U,MATCH($A90,'SALA 2002'!$A:$A,0),MATCH(M$1,'SALA 2002'!$B$1:$U$1,0))),($A90-1994)/7),INDEX('WPP 2024 середина года'!$B:$U,MATCH($A90,'WPP 2024 середина года'!$A:$A,0),MATCH(M$1,'WPP 2024 середина года'!$B$1:$U$1,0)))))</f>
        <v>6240</v>
      </c>
      <c r="N90" s="7">
        <f>IF($A90&lt;=1951,INDEX('SALA 1974'!$B:$U,MATCH($A90,'SALA 1974'!$A:$A,0),MATCH(N$1,'SALA 1974'!$B$1:$U$1,0)),IF($A90&lt;=1994,1000*INDEX('SALA 2002'!$B:$U,MATCH($A90,'SALA 2002'!$A:$A,0),MATCH(N$1,'SALA 2002'!$B$1:$U$1,0)),IF($A90&lt;=2000,1000*INDEX('SALA 2002'!$B:$U,MATCH($A90,'SALA 2002'!$A:$A,0),MATCH(N$1,'SALA 2002'!$B$1:$U$1,0))*POWER(INDEX('WPP 2024 середина года'!$B:$U,MATCH($A90,'WPP 2024 середина года'!$A:$A,0),MATCH(N$1,'WPP 2024 середина года'!$B$1:$U$1,0))/(1000*INDEX('SALA 2002'!$B:$U,MATCH($A90,'SALA 2002'!$A:$A,0),MATCH(N$1,'SALA 2002'!$B$1:$U$1,0))),($A90-1994)/7),INDEX('WPP 2024 середина года'!$B:$U,MATCH($A90,'WPP 2024 середина года'!$A:$A,0),MATCH(N$1,'WPP 2024 середина года'!$B$1:$U$1,0)))))</f>
        <v>4800</v>
      </c>
      <c r="O90" s="7">
        <f>IF($A90&lt;=1951,INDEX('SALA 1974'!$B:$U,MATCH($A90,'SALA 1974'!$A:$A,0),MATCH(O$1,'SALA 1974'!$B$1:$U$1,0)),IF($A90&lt;=1994,1000*INDEX('SALA 2002'!$B:$U,MATCH($A90,'SALA 2002'!$A:$A,0),MATCH(O$1,'SALA 2002'!$B$1:$U$1,0)),IF($A90&lt;=2000,1000*INDEX('SALA 2002'!$B:$U,MATCH($A90,'SALA 2002'!$A:$A,0),MATCH(O$1,'SALA 2002'!$B$1:$U$1,0))*POWER(INDEX('WPP 2024 середина года'!$B:$U,MATCH($A90,'WPP 2024 середина года'!$A:$A,0),MATCH(O$1,'WPP 2024 середина года'!$B$1:$U$1,0))/(1000*INDEX('SALA 2002'!$B:$U,MATCH($A90,'SALA 2002'!$A:$A,0),MATCH(O$1,'SALA 2002'!$B$1:$U$1,0))),($A90-1994)/7),INDEX('WPP 2024 середина года'!$B:$U,MATCH($A90,'WPP 2024 середина года'!$A:$A,0),MATCH(O$1,'WPP 2024 середина года'!$B$1:$U$1,0)))))</f>
        <v>82720</v>
      </c>
      <c r="P90" s="7">
        <f>IF($A90&lt;=1951,INDEX('SALA 1974'!$B:$U,MATCH($A90,'SALA 1974'!$A:$A,0),MATCH(P$1,'SALA 1974'!$B$1:$U$1,0)),IF($A90&lt;=1994,1000*INDEX('SALA 2002'!$B:$U,MATCH($A90,'SALA 2002'!$A:$A,0),MATCH(P$1,'SALA 2002'!$B$1:$U$1,0)),IF($A90&lt;=2000,1000*INDEX('SALA 2002'!$B:$U,MATCH($A90,'SALA 2002'!$A:$A,0),MATCH(P$1,'SALA 2002'!$B$1:$U$1,0))*POWER(INDEX('WPP 2024 середина года'!$B:$U,MATCH($A90,'WPP 2024 середина года'!$A:$A,0),MATCH(P$1,'WPP 2024 середина года'!$B$1:$U$1,0))/(1000*INDEX('SALA 2002'!$B:$U,MATCH($A90,'SALA 2002'!$A:$A,0),MATCH(P$1,'SALA 2002'!$B$1:$U$1,0))),($A90-1994)/7),INDEX('WPP 2024 середина года'!$B:$U,MATCH($A90,'WPP 2024 середина года'!$A:$A,0),MATCH(P$1,'WPP 2024 середина года'!$B$1:$U$1,0)))))</f>
        <v>3620</v>
      </c>
      <c r="Q90" s="7">
        <f>IF($A90&lt;=1951,INDEX('SALA 1974'!$B:$U,MATCH($A90,'SALA 1974'!$A:$A,0),MATCH(Q$1,'SALA 1974'!$B$1:$U$1,0)),IF($A90&lt;=1994,1000*INDEX('SALA 2002'!$B:$U,MATCH($A90,'SALA 2002'!$A:$A,0),MATCH(Q$1,'SALA 2002'!$B$1:$U$1,0)),IF($A90&lt;=2000,1000*INDEX('SALA 2002'!$B:$U,MATCH($A90,'SALA 2002'!$A:$A,0),MATCH(Q$1,'SALA 2002'!$B$1:$U$1,0))*POWER(INDEX('WPP 2024 середина года'!$B:$U,MATCH($A90,'WPP 2024 середина года'!$A:$A,0),MATCH(Q$1,'WPP 2024 середина года'!$B$1:$U$1,0))/(1000*INDEX('SALA 2002'!$B:$U,MATCH($A90,'SALA 2002'!$A:$A,0),MATCH(Q$1,'SALA 2002'!$B$1:$U$1,0))),($A90-1994)/7),INDEX('WPP 2024 середина года'!$B:$U,MATCH($A90,'WPP 2024 середина года'!$A:$A,0),MATCH(Q$1,'WPP 2024 середина года'!$B$1:$U$1,0)))))</f>
        <v>2300</v>
      </c>
      <c r="R90" s="7">
        <f>IF($A90&lt;=1951,INDEX('SALA 1974'!$B:$U,MATCH($A90,'SALA 1974'!$A:$A,0),MATCH(R$1,'SALA 1974'!$B$1:$U$1,0)),IF($A90&lt;=1994,1000*INDEX('SALA 2002'!$B:$U,MATCH($A90,'SALA 2002'!$A:$A,0),MATCH(R$1,'SALA 2002'!$B$1:$U$1,0)),IF($A90&lt;=2000,1000*INDEX('SALA 2002'!$B:$U,MATCH($A90,'SALA 2002'!$A:$A,0),MATCH(R$1,'SALA 2002'!$B$1:$U$1,0))*POWER(INDEX('WPP 2024 середина года'!$B:$U,MATCH($A90,'WPP 2024 середина года'!$A:$A,0),MATCH(R$1,'WPP 2024 середина года'!$B$1:$U$1,0))/(1000*INDEX('SALA 2002'!$B:$U,MATCH($A90,'SALA 2002'!$A:$A,0),MATCH(R$1,'SALA 2002'!$B$1:$U$1,0))),($A90-1994)/7),INDEX('WPP 2024 середина года'!$B:$U,MATCH($A90,'WPP 2024 середина года'!$A:$A,0),MATCH(R$1,'WPP 2024 середина года'!$B$1:$U$1,0)))))</f>
        <v>3960</v>
      </c>
      <c r="S90" s="7">
        <f>IF($A90&lt;=1951,INDEX('SALA 1974'!$B:$U,MATCH($A90,'SALA 1974'!$A:$A,0),MATCH(S$1,'SALA 1974'!$B$1:$U$1,0)),IF($A90&lt;=1994,1000*INDEX('SALA 2002'!$B:$U,MATCH($A90,'SALA 2002'!$A:$A,0),MATCH(S$1,'SALA 2002'!$B$1:$U$1,0)),IF($A90&lt;=2000,1000*INDEX('SALA 2002'!$B:$U,MATCH($A90,'SALA 2002'!$A:$A,0),MATCH(S$1,'SALA 2002'!$B$1:$U$1,0))*POWER(INDEX('WPP 2024 середина года'!$B:$U,MATCH($A90,'WPP 2024 середина года'!$A:$A,0),MATCH(S$1,'WPP 2024 середина года'!$B$1:$U$1,0))/(1000*INDEX('SALA 2002'!$B:$U,MATCH($A90,'SALA 2002'!$A:$A,0),MATCH(S$1,'SALA 2002'!$B$1:$U$1,0))),($A90-1994)/7),INDEX('WPP 2024 середина года'!$B:$U,MATCH($A90,'WPP 2024 середина года'!$A:$A,0),MATCH(S$1,'WPP 2024 середина года'!$B$1:$U$1,0)))))</f>
        <v>20680</v>
      </c>
      <c r="T90" s="7">
        <f>IF($A90&lt;=1951,INDEX('SALA 1974'!$B:$U,MATCH($A90,'SALA 1974'!$A:$A,0),MATCH(T$1,'SALA 1974'!$B$1:$U$1,0)),IF($A90&lt;=1994,1000*INDEX('SALA 2002'!$B:$U,MATCH($A90,'SALA 2002'!$A:$A,0),MATCH(T$1,'SALA 2002'!$B$1:$U$1,0)),IF($A90&lt;=2000,1000*INDEX('SALA 2002'!$B:$U,MATCH($A90,'SALA 2002'!$A:$A,0),MATCH(T$1,'SALA 2002'!$B$1:$U$1,0))*POWER(INDEX('WPP 2024 середина года'!$B:$U,MATCH($A90,'WPP 2024 середина года'!$A:$A,0),MATCH(T$1,'WPP 2024 середина года'!$B$1:$U$1,0))/(1000*INDEX('SALA 2002'!$B:$U,MATCH($A90,'SALA 2002'!$A:$A,0),MATCH(T$1,'SALA 2002'!$B$1:$U$1,0))),($A90-1994)/7),INDEX('WPP 2024 середина года'!$B:$U,MATCH($A90,'WPP 2024 середина года'!$A:$A,0),MATCH(T$1,'WPP 2024 середина года'!$B$1:$U$1,0)))))</f>
        <v>3060</v>
      </c>
      <c r="U90" s="7">
        <f>IF($A90&lt;=1951,INDEX('SALA 1974'!$B:$U,MATCH($A90,'SALA 1974'!$A:$A,0),MATCH(U$1,'SALA 1974'!$B$1:$U$1,0)),IF($A90&lt;=1994,1000*INDEX('SALA 2002'!$B:$U,MATCH($A90,'SALA 2002'!$A:$A,0),MATCH(U$1,'SALA 2002'!$B$1:$U$1,0)),IF($A90&lt;=2000,1000*INDEX('SALA 2002'!$B:$U,MATCH($A90,'SALA 2002'!$A:$A,0),MATCH(U$1,'SALA 2002'!$B$1:$U$1,0))*POWER(INDEX('WPP 2024 середина года'!$B:$U,MATCH($A90,'WPP 2024 середина года'!$A:$A,0),MATCH(U$1,'WPP 2024 середина года'!$B$1:$U$1,0))/(1000*INDEX('SALA 2002'!$B:$U,MATCH($A90,'SALA 2002'!$A:$A,0),MATCH(U$1,'SALA 2002'!$B$1:$U$1,0))),($A90-1994)/7),INDEX('WPP 2024 середина года'!$B:$U,MATCH($A90,'WPP 2024 середина года'!$A:$A,0),MATCH(U$1,'WPP 2024 середина года'!$B$1:$U$1,0)))))</f>
        <v>18160</v>
      </c>
    </row>
    <row r="91" spans="1:21" x14ac:dyDescent="0.25">
      <c r="A91" s="5">
        <f t="shared" si="1"/>
        <v>1989</v>
      </c>
      <c r="B91" s="7">
        <f>IF($A91&lt;=1951,INDEX('SALA 1974'!$B:$U,MATCH($A91,'SALA 1974'!$A:$A,0),MATCH(B$1,'SALA 1974'!$B$1:$U$1,0)),IF($A91&lt;=1994,1000*INDEX('SALA 2002'!$B:$U,MATCH($A91,'SALA 2002'!$A:$A,0),MATCH(B$1,'SALA 2002'!$B$1:$U$1,0)),IF($A91&lt;=2000,1000*INDEX('SALA 2002'!$B:$U,MATCH($A91,'SALA 2002'!$A:$A,0),MATCH(B$1,'SALA 2002'!$B$1:$U$1,0))*POWER(INDEX('WPP 2024 середина года'!$B:$U,MATCH($A91,'WPP 2024 середина года'!$A:$A,0),MATCH(B$1,'WPP 2024 середина года'!$B$1:$U$1,0))/(1000*INDEX('SALA 2002'!$B:$U,MATCH($A91,'SALA 2002'!$A:$A,0),MATCH(B$1,'SALA 2002'!$B$1:$U$1,0))),($A91-1994)/7),INDEX('WPP 2024 середина года'!$B:$U,MATCH($A91,'WPP 2024 середина года'!$A:$A,0),MATCH(B$1,'WPP 2024 середина года'!$B$1:$U$1,0)))))</f>
        <v>32080</v>
      </c>
      <c r="C91" s="7">
        <f>IF($A91&lt;=1951,INDEX('SALA 1974'!$B:$U,MATCH($A91,'SALA 1974'!$A:$A,0),MATCH(C$1,'SALA 1974'!$B$1:$U$1,0)),IF($A91&lt;=1994,1000*INDEX('SALA 2002'!$B:$U,MATCH($A91,'SALA 2002'!$A:$A,0),MATCH(C$1,'SALA 2002'!$B$1:$U$1,0)),IF($A91&lt;=2000,1000*INDEX('SALA 2002'!$B:$U,MATCH($A91,'SALA 2002'!$A:$A,0),MATCH(C$1,'SALA 2002'!$B$1:$U$1,0))*POWER(INDEX('WPP 2024 середина года'!$B:$U,MATCH($A91,'WPP 2024 середина года'!$A:$A,0),MATCH(C$1,'WPP 2024 середина года'!$B$1:$U$1,0))/(1000*INDEX('SALA 2002'!$B:$U,MATCH($A91,'SALA 2002'!$A:$A,0),MATCH(C$1,'SALA 2002'!$B$1:$U$1,0))),($A91-1994)/7),INDEX('WPP 2024 середина года'!$B:$U,MATCH($A91,'WPP 2024 середина года'!$A:$A,0),MATCH(C$1,'WPP 2024 середина года'!$B$1:$U$1,0)))))</f>
        <v>6430</v>
      </c>
      <c r="D91" s="7">
        <f>IF($A91&lt;=1951,INDEX('SALA 1974'!$B:$U,MATCH($A91,'SALA 1974'!$A:$A,0),MATCH(D$1,'SALA 1974'!$B$1:$U$1,0)),IF($A91&lt;=1994,1000*INDEX('SALA 2002'!$B:$U,MATCH($A91,'SALA 2002'!$A:$A,0),MATCH(D$1,'SALA 2002'!$B$1:$U$1,0)),IF($A91&lt;=2000,1000*INDEX('SALA 2002'!$B:$U,MATCH($A91,'SALA 2002'!$A:$A,0),MATCH(D$1,'SALA 2002'!$B$1:$U$1,0))*POWER(INDEX('WPP 2024 середина года'!$B:$U,MATCH($A91,'WPP 2024 середина года'!$A:$A,0),MATCH(D$1,'WPP 2024 середина года'!$B$1:$U$1,0))/(1000*INDEX('SALA 2002'!$B:$U,MATCH($A91,'SALA 2002'!$A:$A,0),MATCH(D$1,'SALA 2002'!$B$1:$U$1,0))),($A91-1994)/7),INDEX('WPP 2024 середина года'!$B:$U,MATCH($A91,'WPP 2024 середина года'!$A:$A,0),MATCH(D$1,'WPP 2024 середина года'!$B$1:$U$1,0)))))</f>
        <v>142310</v>
      </c>
      <c r="E91" s="7">
        <f>IF($A91&lt;=1951,INDEX('SALA 1974'!$B:$U,MATCH($A91,'SALA 1974'!$A:$A,0),MATCH(E$1,'SALA 1974'!$B$1:$U$1,0)),IF($A91&lt;=1994,1000*INDEX('SALA 2002'!$B:$U,MATCH($A91,'SALA 2002'!$A:$A,0),MATCH(E$1,'SALA 2002'!$B$1:$U$1,0)),IF($A91&lt;=2000,1000*INDEX('SALA 2002'!$B:$U,MATCH($A91,'SALA 2002'!$A:$A,0),MATCH(E$1,'SALA 2002'!$B$1:$U$1,0))*POWER(INDEX('WPP 2024 середина года'!$B:$U,MATCH($A91,'WPP 2024 середина года'!$A:$A,0),MATCH(E$1,'WPP 2024 середина года'!$B$1:$U$1,0))/(1000*INDEX('SALA 2002'!$B:$U,MATCH($A91,'SALA 2002'!$A:$A,0),MATCH(E$1,'SALA 2002'!$B$1:$U$1,0))),($A91-1994)/7),INDEX('WPP 2024 середина года'!$B:$U,MATCH($A91,'WPP 2024 середина года'!$A:$A,0),MATCH(E$1,'WPP 2024 середина года'!$B$1:$U$1,0)))))</f>
        <v>12960</v>
      </c>
      <c r="F91" s="7">
        <f>IF($A91&lt;=1947,INDEX('SALA 1974'!$B:$U,MATCH($A91,'SALA 1974'!$A:$A,0),MATCH(F$1,'SALA 1974'!$B$1:$U$1,0)),IF($A91&lt;=1994,1000*INDEX('SALA 2002'!$B:$U,MATCH($A91,'SALA 2002'!$A:$A,0),MATCH(F$1,'SALA 2002'!$B$1:$U$1,0)),IF($A91&lt;=2000,1000*INDEX('SALA 2002'!$B:$U,MATCH($A91,'SALA 2002'!$A:$A,0),MATCH(F$1,'SALA 2002'!$B$1:$U$1,0))*POWER(INDEX('WPP 2024 середина года'!$B:$U,MATCH($A91,'WPP 2024 середина года'!$A:$A,0),MATCH(F$1,'WPP 2024 середина года'!$B$1:$U$1,0))/(1000*INDEX('SALA 2002'!$B:$U,MATCH($A91,'SALA 2002'!$A:$A,0),MATCH(F$1,'SALA 2002'!$B$1:$U$1,0))),($A91-1994)/7),INDEX('WPP 2024 середина года'!$B:$U,MATCH($A91,'WPP 2024 середина года'!$A:$A,0),MATCH(F$1,'WPP 2024 середина года'!$B$1:$U$1,0)))))</f>
        <v>31720</v>
      </c>
      <c r="G91" s="7">
        <f>IF($A91&lt;=1951,INDEX('SALA 1974'!$B:$U,MATCH($A91,'SALA 1974'!$A:$A,0),MATCH(G$1,'SALA 1974'!$B$1:$U$1,0)),IF($A91&lt;=1994,1000*INDEX('SALA 2002'!$B:$U,MATCH($A91,'SALA 2002'!$A:$A,0),MATCH(G$1,'SALA 2002'!$B$1:$U$1,0)),IF($A91&lt;=2000,1000*INDEX('SALA 2002'!$B:$U,MATCH($A91,'SALA 2002'!$A:$A,0),MATCH(G$1,'SALA 2002'!$B$1:$U$1,0))*POWER(INDEX('WPP 2024 середина года'!$B:$U,MATCH($A91,'WPP 2024 середина года'!$A:$A,0),MATCH(G$1,'WPP 2024 середина года'!$B$1:$U$1,0))/(1000*INDEX('SALA 2002'!$B:$U,MATCH($A91,'SALA 2002'!$A:$A,0),MATCH(G$1,'SALA 2002'!$B$1:$U$1,0))),($A91-1994)/7),INDEX('WPP 2024 середина года'!$B:$U,MATCH($A91,'WPP 2024 середина года'!$A:$A,0),MATCH(G$1,'WPP 2024 середина года'!$B$1:$U$1,0)))))</f>
        <v>2920</v>
      </c>
      <c r="H91" s="7">
        <f>IF($A91&lt;=1951,INDEX('SALA 1974'!$B:$U,MATCH($A91,'SALA 1974'!$A:$A,0),MATCH(H$1,'SALA 1974'!$B$1:$U$1,0)),IF($A91&lt;=1994,1000*INDEX('SALA 2002'!$B:$U,MATCH($A91,'SALA 2002'!$A:$A,0),MATCH(H$1,'SALA 2002'!$B$1:$U$1,0)),IF($A91&lt;=2000,1000*INDEX('SALA 2002'!$B:$U,MATCH($A91,'SALA 2002'!$A:$A,0),MATCH(H$1,'SALA 2002'!$B$1:$U$1,0))*POWER(INDEX('WPP 2024 середина года'!$B:$U,MATCH($A91,'WPP 2024 середина года'!$A:$A,0),MATCH(H$1,'WPP 2024 середина года'!$B$1:$U$1,0))/(1000*INDEX('SALA 2002'!$B:$U,MATCH($A91,'SALA 2002'!$A:$A,0),MATCH(H$1,'SALA 2002'!$B$1:$U$1,0))),($A91-1994)/7),INDEX('WPP 2024 середина года'!$B:$U,MATCH($A91,'WPP 2024 середина года'!$A:$A,0),MATCH(H$1,'WPP 2024 середина года'!$B$1:$U$1,0)))))</f>
        <v>10520</v>
      </c>
      <c r="I91" s="7">
        <f>IF($A91&lt;=1951,INDEX('SALA 1974'!$B:$U,MATCH($A91,'SALA 1974'!$A:$A,0),MATCH(I$1,'SALA 1974'!$B$1:$U$1,0)),IF($A91&lt;=1994,1000*INDEX('SALA 2002'!$B:$U,MATCH($A91,'SALA 2002'!$A:$A,0),MATCH(I$1,'SALA 2002'!$B$1:$U$1,0)),IF($A91&lt;=2000,1000*INDEX('SALA 2002'!$B:$U,MATCH($A91,'SALA 2002'!$A:$A,0),MATCH(I$1,'SALA 2002'!$B$1:$U$1,0))*POWER(INDEX('WPP 2024 середина года'!$B:$U,MATCH($A91,'WPP 2024 середина года'!$A:$A,0),MATCH(I$1,'WPP 2024 середина года'!$B$1:$U$1,0))/(1000*INDEX('SALA 2002'!$B:$U,MATCH($A91,'SALA 2002'!$A:$A,0),MATCH(I$1,'SALA 2002'!$B$1:$U$1,0))),($A91-1994)/7),INDEX('WPP 2024 середина года'!$B:$U,MATCH($A91,'WPP 2024 середина года'!$A:$A,0),MATCH(I$1,'WPP 2024 середина года'!$B$1:$U$1,0)))))</f>
        <v>7020</v>
      </c>
      <c r="J91" s="7">
        <f>IF($A91&lt;=1951,INDEX('SALA 1974'!$B:$U,MATCH($A91,'SALA 1974'!$A:$A,0),MATCH(J$1,'SALA 1974'!$B$1:$U$1,0)),IF($A91&lt;=1994,1000*INDEX('SALA 2002'!$B:$U,MATCH($A91,'SALA 2002'!$A:$A,0),MATCH(J$1,'SALA 2002'!$B$1:$U$1,0)),IF($A91&lt;=2000,1000*INDEX('SALA 2002'!$B:$U,MATCH($A91,'SALA 2002'!$A:$A,0),MATCH(J$1,'SALA 2002'!$B$1:$U$1,0))*POWER(INDEX('WPP 2024 середина года'!$B:$U,MATCH($A91,'WPP 2024 середина года'!$A:$A,0),MATCH(J$1,'WPP 2024 середина года'!$B$1:$U$1,0))/(1000*INDEX('SALA 2002'!$B:$U,MATCH($A91,'SALA 2002'!$A:$A,0),MATCH(J$1,'SALA 2002'!$B$1:$U$1,0))),($A91-1994)/7),INDEX('WPP 2024 середина года'!$B:$U,MATCH($A91,'WPP 2024 середина года'!$A:$A,0),MATCH(J$1,'WPP 2024 середина года'!$B$1:$U$1,0)))))</f>
        <v>10030</v>
      </c>
      <c r="K91" s="7">
        <f>IF($A91&lt;=1951,INDEX('SALA 1974'!$B:$U,MATCH($A91,'SALA 1974'!$A:$A,0),MATCH(K$1,'SALA 1974'!$B$1:$U$1,0)),IF($A91&lt;=1994,1000*INDEX('SALA 2002'!$B:$U,MATCH($A91,'SALA 2002'!$A:$A,0),MATCH(K$1,'SALA 2002'!$B$1:$U$1,0)),IF($A91&lt;=2000,1000*INDEX('SALA 2002'!$B:$U,MATCH($A91,'SALA 2002'!$A:$A,0),MATCH(K$1,'SALA 2002'!$B$1:$U$1,0))*POWER(INDEX('WPP 2024 середина года'!$B:$U,MATCH($A91,'WPP 2024 середина года'!$A:$A,0),MATCH(K$1,'WPP 2024 середина года'!$B$1:$U$1,0))/(1000*INDEX('SALA 2002'!$B:$U,MATCH($A91,'SALA 2002'!$A:$A,0),MATCH(K$1,'SALA 2002'!$B$1:$U$1,0))),($A91-1994)/7),INDEX('WPP 2024 середина года'!$B:$U,MATCH($A91,'WPP 2024 середина года'!$A:$A,0),MATCH(K$1,'WPP 2024 середина года'!$B$1:$U$1,0)))))</f>
        <v>5190</v>
      </c>
      <c r="L91" s="7">
        <f>IF($A91&lt;=1951,INDEX('SALA 1974'!$B:$U,MATCH($A91,'SALA 1974'!$A:$A,0),MATCH(L$1,'SALA 1974'!$B$1:$U$1,0)),IF($A91&lt;=1994,1000*INDEX('SALA 2002'!$B:$U,MATCH($A91,'SALA 2002'!$A:$A,0),MATCH(L$1,'SALA 2002'!$B$1:$U$1,0)),IF($A91&lt;=2000,1000*INDEX('SALA 2002'!$B:$U,MATCH($A91,'SALA 2002'!$A:$A,0),MATCH(L$1,'SALA 2002'!$B$1:$U$1,0))*POWER(INDEX('WPP 2024 середина года'!$B:$U,MATCH($A91,'WPP 2024 середина года'!$A:$A,0),MATCH(L$1,'WPP 2024 середина года'!$B$1:$U$1,0))/(1000*INDEX('SALA 2002'!$B:$U,MATCH($A91,'SALA 2002'!$A:$A,0),MATCH(L$1,'SALA 2002'!$B$1:$U$1,0))),($A91-1994)/7),INDEX('WPP 2024 середина года'!$B:$U,MATCH($A91,'WPP 2024 середина года'!$A:$A,0),MATCH(L$1,'WPP 2024 середина года'!$B$1:$U$1,0)))))</f>
        <v>8940</v>
      </c>
      <c r="M91" s="7">
        <f>IF($A91&lt;=1951,INDEX('SALA 1974'!$B:$U,MATCH($A91,'SALA 1974'!$A:$A,0),MATCH(M$1,'SALA 1974'!$B$1:$U$1,0)),IF($A91&lt;=1994,1000*INDEX('SALA 2002'!$B:$U,MATCH($A91,'SALA 2002'!$A:$A,0),MATCH(M$1,'SALA 2002'!$B$1:$U$1,0)),IF($A91&lt;=2000,1000*INDEX('SALA 2002'!$B:$U,MATCH($A91,'SALA 2002'!$A:$A,0),MATCH(M$1,'SALA 2002'!$B$1:$U$1,0))*POWER(INDEX('WPP 2024 середина года'!$B:$U,MATCH($A91,'WPP 2024 середина года'!$A:$A,0),MATCH(M$1,'WPP 2024 середина года'!$B$1:$U$1,0))/(1000*INDEX('SALA 2002'!$B:$U,MATCH($A91,'SALA 2002'!$A:$A,0),MATCH(M$1,'SALA 2002'!$B$1:$U$1,0))),($A91-1994)/7),INDEX('WPP 2024 середина года'!$B:$U,MATCH($A91,'WPP 2024 середина года'!$A:$A,0),MATCH(M$1,'WPP 2024 середина года'!$B$1:$U$1,0)))))</f>
        <v>6360</v>
      </c>
      <c r="N91" s="7">
        <f>IF($A91&lt;=1951,INDEX('SALA 1974'!$B:$U,MATCH($A91,'SALA 1974'!$A:$A,0),MATCH(N$1,'SALA 1974'!$B$1:$U$1,0)),IF($A91&lt;=1994,1000*INDEX('SALA 2002'!$B:$U,MATCH($A91,'SALA 2002'!$A:$A,0),MATCH(N$1,'SALA 2002'!$B$1:$U$1,0)),IF($A91&lt;=2000,1000*INDEX('SALA 2002'!$B:$U,MATCH($A91,'SALA 2002'!$A:$A,0),MATCH(N$1,'SALA 2002'!$B$1:$U$1,0))*POWER(INDEX('WPP 2024 середина года'!$B:$U,MATCH($A91,'WPP 2024 середина года'!$A:$A,0),MATCH(N$1,'WPP 2024 середина года'!$B$1:$U$1,0))/(1000*INDEX('SALA 2002'!$B:$U,MATCH($A91,'SALA 2002'!$A:$A,0),MATCH(N$1,'SALA 2002'!$B$1:$U$1,0))),($A91-1994)/7),INDEX('WPP 2024 середина года'!$B:$U,MATCH($A91,'WPP 2024 середина года'!$A:$A,0),MATCH(N$1,'WPP 2024 середина года'!$B$1:$U$1,0)))))</f>
        <v>4600</v>
      </c>
      <c r="O91" s="7">
        <f>IF($A91&lt;=1951,INDEX('SALA 1974'!$B:$U,MATCH($A91,'SALA 1974'!$A:$A,0),MATCH(O$1,'SALA 1974'!$B$1:$U$1,0)),IF($A91&lt;=1994,1000*INDEX('SALA 2002'!$B:$U,MATCH($A91,'SALA 2002'!$A:$A,0),MATCH(O$1,'SALA 2002'!$B$1:$U$1,0)),IF($A91&lt;=2000,1000*INDEX('SALA 2002'!$B:$U,MATCH($A91,'SALA 2002'!$A:$A,0),MATCH(O$1,'SALA 2002'!$B$1:$U$1,0))*POWER(INDEX('WPP 2024 середина года'!$B:$U,MATCH($A91,'WPP 2024 середина года'!$A:$A,0),MATCH(O$1,'WPP 2024 середина года'!$B$1:$U$1,0))/(1000*INDEX('SALA 2002'!$B:$U,MATCH($A91,'SALA 2002'!$A:$A,0),MATCH(O$1,'SALA 2002'!$B$1:$U$1,0))),($A91-1994)/7),INDEX('WPP 2024 середина года'!$B:$U,MATCH($A91,'WPP 2024 середина года'!$A:$A,0),MATCH(O$1,'WPP 2024 середина года'!$B$1:$U$1,0)))))</f>
        <v>81660</v>
      </c>
      <c r="P91" s="7">
        <f>IF($A91&lt;=1951,INDEX('SALA 1974'!$B:$U,MATCH($A91,'SALA 1974'!$A:$A,0),MATCH(P$1,'SALA 1974'!$B$1:$U$1,0)),IF($A91&lt;=1994,1000*INDEX('SALA 2002'!$B:$U,MATCH($A91,'SALA 2002'!$A:$A,0),MATCH(P$1,'SALA 2002'!$B$1:$U$1,0)),IF($A91&lt;=2000,1000*INDEX('SALA 2002'!$B:$U,MATCH($A91,'SALA 2002'!$A:$A,0),MATCH(P$1,'SALA 2002'!$B$1:$U$1,0))*POWER(INDEX('WPP 2024 середина года'!$B:$U,MATCH($A91,'WPP 2024 середина года'!$A:$A,0),MATCH(P$1,'WPP 2024 середина года'!$B$1:$U$1,0))/(1000*INDEX('SALA 2002'!$B:$U,MATCH($A91,'SALA 2002'!$A:$A,0),MATCH(P$1,'SALA 2002'!$B$1:$U$1,0))),($A91-1994)/7),INDEX('WPP 2024 середина года'!$B:$U,MATCH($A91,'WPP 2024 середина года'!$A:$A,0),MATCH(P$1,'WPP 2024 середина года'!$B$1:$U$1,0)))))</f>
        <v>3750</v>
      </c>
      <c r="Q91" s="7">
        <f>IF($A91&lt;=1951,INDEX('SALA 1974'!$B:$U,MATCH($A91,'SALA 1974'!$A:$A,0),MATCH(Q$1,'SALA 1974'!$B$1:$U$1,0)),IF($A91&lt;=1994,1000*INDEX('SALA 2002'!$B:$U,MATCH($A91,'SALA 2002'!$A:$A,0),MATCH(Q$1,'SALA 2002'!$B$1:$U$1,0)),IF($A91&lt;=2000,1000*INDEX('SALA 2002'!$B:$U,MATCH($A91,'SALA 2002'!$A:$A,0),MATCH(Q$1,'SALA 2002'!$B$1:$U$1,0))*POWER(INDEX('WPP 2024 середина года'!$B:$U,MATCH($A91,'WPP 2024 середина года'!$A:$A,0),MATCH(Q$1,'WPP 2024 середина года'!$B$1:$U$1,0))/(1000*INDEX('SALA 2002'!$B:$U,MATCH($A91,'SALA 2002'!$A:$A,0),MATCH(Q$1,'SALA 2002'!$B$1:$U$1,0))),($A91-1994)/7),INDEX('WPP 2024 середина года'!$B:$U,MATCH($A91,'WPP 2024 середина года'!$A:$A,0),MATCH(Q$1,'WPP 2024 середина года'!$B$1:$U$1,0)))))</f>
        <v>2350</v>
      </c>
      <c r="R91" s="7">
        <f>IF($A91&lt;=1951,INDEX('SALA 1974'!$B:$U,MATCH($A91,'SALA 1974'!$A:$A,0),MATCH(R$1,'SALA 1974'!$B$1:$U$1,0)),IF($A91&lt;=1994,1000*INDEX('SALA 2002'!$B:$U,MATCH($A91,'SALA 2002'!$A:$A,0),MATCH(R$1,'SALA 2002'!$B$1:$U$1,0)),IF($A91&lt;=2000,1000*INDEX('SALA 2002'!$B:$U,MATCH($A91,'SALA 2002'!$A:$A,0),MATCH(R$1,'SALA 2002'!$B$1:$U$1,0))*POWER(INDEX('WPP 2024 середина года'!$B:$U,MATCH($A91,'WPP 2024 середина года'!$A:$A,0),MATCH(R$1,'WPP 2024 середина года'!$B$1:$U$1,0))/(1000*INDEX('SALA 2002'!$B:$U,MATCH($A91,'SALA 2002'!$A:$A,0),MATCH(R$1,'SALA 2002'!$B$1:$U$1,0))),($A91-1994)/7),INDEX('WPP 2024 середина года'!$B:$U,MATCH($A91,'WPP 2024 середина года'!$A:$A,0),MATCH(R$1,'WPP 2024 середина года'!$B$1:$U$1,0)))))</f>
        <v>4090</v>
      </c>
      <c r="S91" s="7">
        <f>IF($A91&lt;=1951,INDEX('SALA 1974'!$B:$U,MATCH($A91,'SALA 1974'!$A:$A,0),MATCH(S$1,'SALA 1974'!$B$1:$U$1,0)),IF($A91&lt;=1994,1000*INDEX('SALA 2002'!$B:$U,MATCH($A91,'SALA 2002'!$A:$A,0),MATCH(S$1,'SALA 2002'!$B$1:$U$1,0)),IF($A91&lt;=2000,1000*INDEX('SALA 2002'!$B:$U,MATCH($A91,'SALA 2002'!$A:$A,0),MATCH(S$1,'SALA 2002'!$B$1:$U$1,0))*POWER(INDEX('WPP 2024 середина года'!$B:$U,MATCH($A91,'WPP 2024 середина года'!$A:$A,0),MATCH(S$1,'WPP 2024 середина года'!$B$1:$U$1,0))/(1000*INDEX('SALA 2002'!$B:$U,MATCH($A91,'SALA 2002'!$A:$A,0),MATCH(S$1,'SALA 2002'!$B$1:$U$1,0))),($A91-1994)/7),INDEX('WPP 2024 середина года'!$B:$U,MATCH($A91,'WPP 2024 середина года'!$A:$A,0),MATCH(S$1,'WPP 2024 середина года'!$B$1:$U$1,0)))))</f>
        <v>21110</v>
      </c>
      <c r="T91" s="7">
        <f>IF($A91&lt;=1951,INDEX('SALA 1974'!$B:$U,MATCH($A91,'SALA 1974'!$A:$A,0),MATCH(T$1,'SALA 1974'!$B$1:$U$1,0)),IF($A91&lt;=1994,1000*INDEX('SALA 2002'!$B:$U,MATCH($A91,'SALA 2002'!$A:$A,0),MATCH(T$1,'SALA 2002'!$B$1:$U$1,0)),IF($A91&lt;=2000,1000*INDEX('SALA 2002'!$B:$U,MATCH($A91,'SALA 2002'!$A:$A,0),MATCH(T$1,'SALA 2002'!$B$1:$U$1,0))*POWER(INDEX('WPP 2024 середина года'!$B:$U,MATCH($A91,'WPP 2024 середина года'!$A:$A,0),MATCH(T$1,'WPP 2024 середина года'!$B$1:$U$1,0))/(1000*INDEX('SALA 2002'!$B:$U,MATCH($A91,'SALA 2002'!$A:$A,0),MATCH(T$1,'SALA 2002'!$B$1:$U$1,0))),($A91-1994)/7),INDEX('WPP 2024 середина года'!$B:$U,MATCH($A91,'WPP 2024 середина года'!$A:$A,0),MATCH(T$1,'WPP 2024 середина года'!$B$1:$U$1,0)))))</f>
        <v>3090</v>
      </c>
      <c r="U91" s="7">
        <f>IF($A91&lt;=1951,INDEX('SALA 1974'!$B:$U,MATCH($A91,'SALA 1974'!$A:$A,0),MATCH(U$1,'SALA 1974'!$B$1:$U$1,0)),IF($A91&lt;=1994,1000*INDEX('SALA 2002'!$B:$U,MATCH($A91,'SALA 2002'!$A:$A,0),MATCH(U$1,'SALA 2002'!$B$1:$U$1,0)),IF($A91&lt;=2000,1000*INDEX('SALA 2002'!$B:$U,MATCH($A91,'SALA 2002'!$A:$A,0),MATCH(U$1,'SALA 2002'!$B$1:$U$1,0))*POWER(INDEX('WPP 2024 середина года'!$B:$U,MATCH($A91,'WPP 2024 середина года'!$A:$A,0),MATCH(U$1,'WPP 2024 середина года'!$B$1:$U$1,0))/(1000*INDEX('SALA 2002'!$B:$U,MATCH($A91,'SALA 2002'!$A:$A,0),MATCH(U$1,'SALA 2002'!$B$1:$U$1,0))),($A91-1994)/7),INDEX('WPP 2024 середина года'!$B:$U,MATCH($A91,'WPP 2024 середина года'!$A:$A,0),MATCH(U$1,'WPP 2024 середина года'!$B$1:$U$1,0)))))</f>
        <v>18870</v>
      </c>
    </row>
    <row r="92" spans="1:21" x14ac:dyDescent="0.25">
      <c r="A92" s="5">
        <f t="shared" si="1"/>
        <v>1990</v>
      </c>
      <c r="B92" s="7">
        <f>IF($A92&lt;=1951,INDEX('SALA 1974'!$B:$U,MATCH($A92,'SALA 1974'!$A:$A,0),MATCH(B$1,'SALA 1974'!$B$1:$U$1,0)),IF($A92&lt;=1994,1000*INDEX('SALA 2002'!$B:$U,MATCH($A92,'SALA 2002'!$A:$A,0),MATCH(B$1,'SALA 2002'!$B$1:$U$1,0)),IF($A92&lt;=2000,1000*INDEX('SALA 2002'!$B:$U,MATCH($A92,'SALA 2002'!$A:$A,0),MATCH(B$1,'SALA 2002'!$B$1:$U$1,0))*POWER(INDEX('WPP 2024 середина года'!$B:$U,MATCH($A92,'WPP 2024 середина года'!$A:$A,0),MATCH(B$1,'WPP 2024 середина года'!$B$1:$U$1,0))/(1000*INDEX('SALA 2002'!$B:$U,MATCH($A92,'SALA 2002'!$A:$A,0),MATCH(B$1,'SALA 2002'!$B$1:$U$1,0))),($A92-1994)/7),INDEX('WPP 2024 середина года'!$B:$U,MATCH($A92,'WPP 2024 середина года'!$A:$A,0),MATCH(B$1,'WPP 2024 середина года'!$B$1:$U$1,0)))))</f>
        <v>32530</v>
      </c>
      <c r="C92" s="7">
        <f>IF($A92&lt;=1951,INDEX('SALA 1974'!$B:$U,MATCH($A92,'SALA 1974'!$A:$A,0),MATCH(C$1,'SALA 1974'!$B$1:$U$1,0)),IF($A92&lt;=1994,1000*INDEX('SALA 2002'!$B:$U,MATCH($A92,'SALA 2002'!$A:$A,0),MATCH(C$1,'SALA 2002'!$B$1:$U$1,0)),IF($A92&lt;=2000,1000*INDEX('SALA 2002'!$B:$U,MATCH($A92,'SALA 2002'!$A:$A,0),MATCH(C$1,'SALA 2002'!$B$1:$U$1,0))*POWER(INDEX('WPP 2024 середина года'!$B:$U,MATCH($A92,'WPP 2024 середина года'!$A:$A,0),MATCH(C$1,'WPP 2024 середина года'!$B$1:$U$1,0))/(1000*INDEX('SALA 2002'!$B:$U,MATCH($A92,'SALA 2002'!$A:$A,0),MATCH(C$1,'SALA 2002'!$B$1:$U$1,0))),($A92-1994)/7),INDEX('WPP 2024 середина года'!$B:$U,MATCH($A92,'WPP 2024 середина года'!$A:$A,0),MATCH(C$1,'WPP 2024 середина года'!$B$1:$U$1,0)))))</f>
        <v>6570</v>
      </c>
      <c r="D92" s="7">
        <f>IF($A92&lt;=1951,INDEX('SALA 1974'!$B:$U,MATCH($A92,'SALA 1974'!$A:$A,0),MATCH(D$1,'SALA 1974'!$B$1:$U$1,0)),IF($A92&lt;=1994,1000*INDEX('SALA 2002'!$B:$U,MATCH($A92,'SALA 2002'!$A:$A,0),MATCH(D$1,'SALA 2002'!$B$1:$U$1,0)),IF($A92&lt;=2000,1000*INDEX('SALA 2002'!$B:$U,MATCH($A92,'SALA 2002'!$A:$A,0),MATCH(D$1,'SALA 2002'!$B$1:$U$1,0))*POWER(INDEX('WPP 2024 середина года'!$B:$U,MATCH($A92,'WPP 2024 середина года'!$A:$A,0),MATCH(D$1,'WPP 2024 середина года'!$B$1:$U$1,0))/(1000*INDEX('SALA 2002'!$B:$U,MATCH($A92,'SALA 2002'!$A:$A,0),MATCH(D$1,'SALA 2002'!$B$1:$U$1,0))),($A92-1994)/7),INDEX('WPP 2024 середина года'!$B:$U,MATCH($A92,'WPP 2024 середина года'!$A:$A,0),MATCH(D$1,'WPP 2024 середина года'!$B$1:$U$1,0)))))</f>
        <v>144720</v>
      </c>
      <c r="E92" s="7">
        <f>IF($A92&lt;=1951,INDEX('SALA 1974'!$B:$U,MATCH($A92,'SALA 1974'!$A:$A,0),MATCH(E$1,'SALA 1974'!$B$1:$U$1,0)),IF($A92&lt;=1994,1000*INDEX('SALA 2002'!$B:$U,MATCH($A92,'SALA 2002'!$A:$A,0),MATCH(E$1,'SALA 2002'!$B$1:$U$1,0)),IF($A92&lt;=2000,1000*INDEX('SALA 2002'!$B:$U,MATCH($A92,'SALA 2002'!$A:$A,0),MATCH(E$1,'SALA 2002'!$B$1:$U$1,0))*POWER(INDEX('WPP 2024 середина года'!$B:$U,MATCH($A92,'WPP 2024 середина года'!$A:$A,0),MATCH(E$1,'WPP 2024 середина года'!$B$1:$U$1,0))/(1000*INDEX('SALA 2002'!$B:$U,MATCH($A92,'SALA 2002'!$A:$A,0),MATCH(E$1,'SALA 2002'!$B$1:$U$1,0))),($A92-1994)/7),INDEX('WPP 2024 середина года'!$B:$U,MATCH($A92,'WPP 2024 середина года'!$A:$A,0),MATCH(E$1,'WPP 2024 середина года'!$B$1:$U$1,0)))))</f>
        <v>13100</v>
      </c>
      <c r="F92" s="7">
        <f>IF($A92&lt;=1947,INDEX('SALA 1974'!$B:$U,MATCH($A92,'SALA 1974'!$A:$A,0),MATCH(F$1,'SALA 1974'!$B$1:$U$1,0)),IF($A92&lt;=1994,1000*INDEX('SALA 2002'!$B:$U,MATCH($A92,'SALA 2002'!$A:$A,0),MATCH(F$1,'SALA 2002'!$B$1:$U$1,0)),IF($A92&lt;=2000,1000*INDEX('SALA 2002'!$B:$U,MATCH($A92,'SALA 2002'!$A:$A,0),MATCH(F$1,'SALA 2002'!$B$1:$U$1,0))*POWER(INDEX('WPP 2024 середина года'!$B:$U,MATCH($A92,'WPP 2024 середина года'!$A:$A,0),MATCH(F$1,'WPP 2024 середина года'!$B$1:$U$1,0))/(1000*INDEX('SALA 2002'!$B:$U,MATCH($A92,'SALA 2002'!$A:$A,0),MATCH(F$1,'SALA 2002'!$B$1:$U$1,0))),($A92-1994)/7),INDEX('WPP 2024 середина года'!$B:$U,MATCH($A92,'WPP 2024 середина года'!$A:$A,0),MATCH(F$1,'WPP 2024 середина года'!$B$1:$U$1,0)))))</f>
        <v>32299.999999999996</v>
      </c>
      <c r="G92" s="7">
        <f>IF($A92&lt;=1951,INDEX('SALA 1974'!$B:$U,MATCH($A92,'SALA 1974'!$A:$A,0),MATCH(G$1,'SALA 1974'!$B$1:$U$1,0)),IF($A92&lt;=1994,1000*INDEX('SALA 2002'!$B:$U,MATCH($A92,'SALA 2002'!$A:$A,0),MATCH(G$1,'SALA 2002'!$B$1:$U$1,0)),IF($A92&lt;=2000,1000*INDEX('SALA 2002'!$B:$U,MATCH($A92,'SALA 2002'!$A:$A,0),MATCH(G$1,'SALA 2002'!$B$1:$U$1,0))*POWER(INDEX('WPP 2024 середина года'!$B:$U,MATCH($A92,'WPP 2024 середина года'!$A:$A,0),MATCH(G$1,'WPP 2024 середина года'!$B$1:$U$1,0))/(1000*INDEX('SALA 2002'!$B:$U,MATCH($A92,'SALA 2002'!$A:$A,0),MATCH(G$1,'SALA 2002'!$B$1:$U$1,0))),($A92-1994)/7),INDEX('WPP 2024 середина года'!$B:$U,MATCH($A92,'WPP 2024 середина года'!$A:$A,0),MATCH(G$1,'WPP 2024 середина года'!$B$1:$U$1,0)))))</f>
        <v>2810</v>
      </c>
      <c r="H92" s="7">
        <f>IF($A92&lt;=1951,INDEX('SALA 1974'!$B:$U,MATCH($A92,'SALA 1974'!$A:$A,0),MATCH(H$1,'SALA 1974'!$B$1:$U$1,0)),IF($A92&lt;=1994,1000*INDEX('SALA 2002'!$B:$U,MATCH($A92,'SALA 2002'!$A:$A,0),MATCH(H$1,'SALA 2002'!$B$1:$U$1,0)),IF($A92&lt;=2000,1000*INDEX('SALA 2002'!$B:$U,MATCH($A92,'SALA 2002'!$A:$A,0),MATCH(H$1,'SALA 2002'!$B$1:$U$1,0))*POWER(INDEX('WPP 2024 середина года'!$B:$U,MATCH($A92,'WPP 2024 середина года'!$A:$A,0),MATCH(H$1,'WPP 2024 середина года'!$B$1:$U$1,0))/(1000*INDEX('SALA 2002'!$B:$U,MATCH($A92,'SALA 2002'!$A:$A,0),MATCH(H$1,'SALA 2002'!$B$1:$U$1,0))),($A92-1994)/7),INDEX('WPP 2024 середина года'!$B:$U,MATCH($A92,'WPP 2024 середина года'!$A:$A,0),MATCH(H$1,'WPP 2024 середина года'!$B$1:$U$1,0)))))</f>
        <v>10630</v>
      </c>
      <c r="I92" s="7">
        <f>IF($A92&lt;=1951,INDEX('SALA 1974'!$B:$U,MATCH($A92,'SALA 1974'!$A:$A,0),MATCH(I$1,'SALA 1974'!$B$1:$U$1,0)),IF($A92&lt;=1994,1000*INDEX('SALA 2002'!$B:$U,MATCH($A92,'SALA 2002'!$A:$A,0),MATCH(I$1,'SALA 2002'!$B$1:$U$1,0)),IF($A92&lt;=2000,1000*INDEX('SALA 2002'!$B:$U,MATCH($A92,'SALA 2002'!$A:$A,0),MATCH(I$1,'SALA 2002'!$B$1:$U$1,0))*POWER(INDEX('WPP 2024 середина года'!$B:$U,MATCH($A92,'WPP 2024 середина года'!$A:$A,0),MATCH(I$1,'WPP 2024 середина года'!$B$1:$U$1,0))/(1000*INDEX('SALA 2002'!$B:$U,MATCH($A92,'SALA 2002'!$A:$A,0),MATCH(I$1,'SALA 2002'!$B$1:$U$1,0))),($A92-1994)/7),INDEX('WPP 2024 середина года'!$B:$U,MATCH($A92,'WPP 2024 середина года'!$A:$A,0),MATCH(I$1,'WPP 2024 середина года'!$B$1:$U$1,0)))))</f>
        <v>7170</v>
      </c>
      <c r="J92" s="7">
        <f>IF($A92&lt;=1951,INDEX('SALA 1974'!$B:$U,MATCH($A92,'SALA 1974'!$A:$A,0),MATCH(J$1,'SALA 1974'!$B$1:$U$1,0)),IF($A92&lt;=1994,1000*INDEX('SALA 2002'!$B:$U,MATCH($A92,'SALA 2002'!$A:$A,0),MATCH(J$1,'SALA 2002'!$B$1:$U$1,0)),IF($A92&lt;=2000,1000*INDEX('SALA 2002'!$B:$U,MATCH($A92,'SALA 2002'!$A:$A,0),MATCH(J$1,'SALA 2002'!$B$1:$U$1,0))*POWER(INDEX('WPP 2024 середина года'!$B:$U,MATCH($A92,'WPP 2024 середина года'!$A:$A,0),MATCH(J$1,'WPP 2024 середина года'!$B$1:$U$1,0))/(1000*INDEX('SALA 2002'!$B:$U,MATCH($A92,'SALA 2002'!$A:$A,0),MATCH(J$1,'SALA 2002'!$B$1:$U$1,0))),($A92-1994)/7),INDEX('WPP 2024 середина года'!$B:$U,MATCH($A92,'WPP 2024 середина года'!$A:$A,0),MATCH(J$1,'WPP 2024 середина года'!$B$1:$U$1,0)))))</f>
        <v>10260</v>
      </c>
      <c r="K92" s="7">
        <f>IF($A92&lt;=1951,INDEX('SALA 1974'!$B:$U,MATCH($A92,'SALA 1974'!$A:$A,0),MATCH(K$1,'SALA 1974'!$B$1:$U$1,0)),IF($A92&lt;=1994,1000*INDEX('SALA 2002'!$B:$U,MATCH($A92,'SALA 2002'!$A:$A,0),MATCH(K$1,'SALA 2002'!$B$1:$U$1,0)),IF($A92&lt;=2000,1000*INDEX('SALA 2002'!$B:$U,MATCH($A92,'SALA 2002'!$A:$A,0),MATCH(K$1,'SALA 2002'!$B$1:$U$1,0))*POWER(INDEX('WPP 2024 середина года'!$B:$U,MATCH($A92,'WPP 2024 середина года'!$A:$A,0),MATCH(K$1,'WPP 2024 середина года'!$B$1:$U$1,0))/(1000*INDEX('SALA 2002'!$B:$U,MATCH($A92,'SALA 2002'!$A:$A,0),MATCH(K$1,'SALA 2002'!$B$1:$U$1,0))),($A92-1994)/7),INDEX('WPP 2024 середина года'!$B:$U,MATCH($A92,'WPP 2024 середина года'!$A:$A,0),MATCH(K$1,'WPP 2024 середина года'!$B$1:$U$1,0)))))</f>
        <v>5110</v>
      </c>
      <c r="L92" s="7">
        <f>IF($A92&lt;=1951,INDEX('SALA 1974'!$B:$U,MATCH($A92,'SALA 1974'!$A:$A,0),MATCH(L$1,'SALA 1974'!$B$1:$U$1,0)),IF($A92&lt;=1994,1000*INDEX('SALA 2002'!$B:$U,MATCH($A92,'SALA 2002'!$A:$A,0),MATCH(L$1,'SALA 2002'!$B$1:$U$1,0)),IF($A92&lt;=2000,1000*INDEX('SALA 2002'!$B:$U,MATCH($A92,'SALA 2002'!$A:$A,0),MATCH(L$1,'SALA 2002'!$B$1:$U$1,0))*POWER(INDEX('WPP 2024 середина года'!$B:$U,MATCH($A92,'WPP 2024 середина года'!$A:$A,0),MATCH(L$1,'WPP 2024 середина года'!$B$1:$U$1,0))/(1000*INDEX('SALA 2002'!$B:$U,MATCH($A92,'SALA 2002'!$A:$A,0),MATCH(L$1,'SALA 2002'!$B$1:$U$1,0))),($A92-1994)/7),INDEX('WPP 2024 середина года'!$B:$U,MATCH($A92,'WPP 2024 середина года'!$A:$A,0),MATCH(L$1,'WPP 2024 середина года'!$B$1:$U$1,0)))))</f>
        <v>9200</v>
      </c>
      <c r="M92" s="7">
        <f>IF($A92&lt;=1951,INDEX('SALA 1974'!$B:$U,MATCH($A92,'SALA 1974'!$A:$A,0),MATCH(M$1,'SALA 1974'!$B$1:$U$1,0)),IF($A92&lt;=1994,1000*INDEX('SALA 2002'!$B:$U,MATCH($A92,'SALA 2002'!$A:$A,0),MATCH(M$1,'SALA 2002'!$B$1:$U$1,0)),IF($A92&lt;=2000,1000*INDEX('SALA 2002'!$B:$U,MATCH($A92,'SALA 2002'!$A:$A,0),MATCH(M$1,'SALA 2002'!$B$1:$U$1,0))*POWER(INDEX('WPP 2024 середина года'!$B:$U,MATCH($A92,'WPP 2024 середина года'!$A:$A,0),MATCH(M$1,'WPP 2024 середина года'!$B$1:$U$1,0))/(1000*INDEX('SALA 2002'!$B:$U,MATCH($A92,'SALA 2002'!$A:$A,0),MATCH(M$1,'SALA 2002'!$B$1:$U$1,0))),($A92-1994)/7),INDEX('WPP 2024 середина года'!$B:$U,MATCH($A92,'WPP 2024 середина года'!$A:$A,0),MATCH(M$1,'WPP 2024 середина года'!$B$1:$U$1,0)))))</f>
        <v>6490</v>
      </c>
      <c r="N92" s="7">
        <f>IF($A92&lt;=1951,INDEX('SALA 1974'!$B:$U,MATCH($A92,'SALA 1974'!$A:$A,0),MATCH(N$1,'SALA 1974'!$B$1:$U$1,0)),IF($A92&lt;=1994,1000*INDEX('SALA 2002'!$B:$U,MATCH($A92,'SALA 2002'!$A:$A,0),MATCH(N$1,'SALA 2002'!$B$1:$U$1,0)),IF($A92&lt;=2000,1000*INDEX('SALA 2002'!$B:$U,MATCH($A92,'SALA 2002'!$A:$A,0),MATCH(N$1,'SALA 2002'!$B$1:$U$1,0))*POWER(INDEX('WPP 2024 середина года'!$B:$U,MATCH($A92,'WPP 2024 середина года'!$A:$A,0),MATCH(N$1,'WPP 2024 середина года'!$B$1:$U$1,0))/(1000*INDEX('SALA 2002'!$B:$U,MATCH($A92,'SALA 2002'!$A:$A,0),MATCH(N$1,'SALA 2002'!$B$1:$U$1,0))),($A92-1994)/7),INDEX('WPP 2024 середина года'!$B:$U,MATCH($A92,'WPP 2024 середина года'!$A:$A,0),MATCH(N$1,'WPP 2024 середина года'!$B$1:$U$1,0)))))</f>
        <v>4760</v>
      </c>
      <c r="O92" s="7">
        <f>IF($A92&lt;=1951,INDEX('SALA 1974'!$B:$U,MATCH($A92,'SALA 1974'!$A:$A,0),MATCH(O$1,'SALA 1974'!$B$1:$U$1,0)),IF($A92&lt;=1994,1000*INDEX('SALA 2002'!$B:$U,MATCH($A92,'SALA 2002'!$A:$A,0),MATCH(O$1,'SALA 2002'!$B$1:$U$1,0)),IF($A92&lt;=2000,1000*INDEX('SALA 2002'!$B:$U,MATCH($A92,'SALA 2002'!$A:$A,0),MATCH(O$1,'SALA 2002'!$B$1:$U$1,0))*POWER(INDEX('WPP 2024 середина года'!$B:$U,MATCH($A92,'WPP 2024 середина года'!$A:$A,0),MATCH(O$1,'WPP 2024 середина года'!$B$1:$U$1,0))/(1000*INDEX('SALA 2002'!$B:$U,MATCH($A92,'SALA 2002'!$A:$A,0),MATCH(O$1,'SALA 2002'!$B$1:$U$1,0))),($A92-1994)/7),INDEX('WPP 2024 середина года'!$B:$U,MATCH($A92,'WPP 2024 середина года'!$A:$A,0),MATCH(O$1,'WPP 2024 середина года'!$B$1:$U$1,0)))))</f>
        <v>83230</v>
      </c>
      <c r="P92" s="7">
        <f>IF($A92&lt;=1951,INDEX('SALA 1974'!$B:$U,MATCH($A92,'SALA 1974'!$A:$A,0),MATCH(P$1,'SALA 1974'!$B$1:$U$1,0)),IF($A92&lt;=1994,1000*INDEX('SALA 2002'!$B:$U,MATCH($A92,'SALA 2002'!$A:$A,0),MATCH(P$1,'SALA 2002'!$B$1:$U$1,0)),IF($A92&lt;=2000,1000*INDEX('SALA 2002'!$B:$U,MATCH($A92,'SALA 2002'!$A:$A,0),MATCH(P$1,'SALA 2002'!$B$1:$U$1,0))*POWER(INDEX('WPP 2024 середина года'!$B:$U,MATCH($A92,'WPP 2024 середина года'!$A:$A,0),MATCH(P$1,'WPP 2024 середина года'!$B$1:$U$1,0))/(1000*INDEX('SALA 2002'!$B:$U,MATCH($A92,'SALA 2002'!$A:$A,0),MATCH(P$1,'SALA 2002'!$B$1:$U$1,0))),($A92-1994)/7),INDEX('WPP 2024 середина года'!$B:$U,MATCH($A92,'WPP 2024 середина года'!$A:$A,0),MATCH(P$1,'WPP 2024 середина года'!$B$1:$U$1,0)))))</f>
        <v>3870</v>
      </c>
      <c r="Q92" s="7">
        <f>IF($A92&lt;=1951,INDEX('SALA 1974'!$B:$U,MATCH($A92,'SALA 1974'!$A:$A,0),MATCH(Q$1,'SALA 1974'!$B$1:$U$1,0)),IF($A92&lt;=1994,1000*INDEX('SALA 2002'!$B:$U,MATCH($A92,'SALA 2002'!$A:$A,0),MATCH(Q$1,'SALA 2002'!$B$1:$U$1,0)),IF($A92&lt;=2000,1000*INDEX('SALA 2002'!$B:$U,MATCH($A92,'SALA 2002'!$A:$A,0),MATCH(Q$1,'SALA 2002'!$B$1:$U$1,0))*POWER(INDEX('WPP 2024 середина года'!$B:$U,MATCH($A92,'WPP 2024 середина года'!$A:$A,0),MATCH(Q$1,'WPP 2024 середина года'!$B$1:$U$1,0))/(1000*INDEX('SALA 2002'!$B:$U,MATCH($A92,'SALA 2002'!$A:$A,0),MATCH(Q$1,'SALA 2002'!$B$1:$U$1,0))),($A92-1994)/7),INDEX('WPP 2024 середина года'!$B:$U,MATCH($A92,'WPP 2024 середина года'!$A:$A,0),MATCH(Q$1,'WPP 2024 середина года'!$B$1:$U$1,0)))))</f>
        <v>2400</v>
      </c>
      <c r="R92" s="7">
        <f>IF($A92&lt;=1951,INDEX('SALA 1974'!$B:$U,MATCH($A92,'SALA 1974'!$A:$A,0),MATCH(R$1,'SALA 1974'!$B$1:$U$1,0)),IF($A92&lt;=1994,1000*INDEX('SALA 2002'!$B:$U,MATCH($A92,'SALA 2002'!$A:$A,0),MATCH(R$1,'SALA 2002'!$B$1:$U$1,0)),IF($A92&lt;=2000,1000*INDEX('SALA 2002'!$B:$U,MATCH($A92,'SALA 2002'!$A:$A,0),MATCH(R$1,'SALA 2002'!$B$1:$U$1,0))*POWER(INDEX('WPP 2024 середина года'!$B:$U,MATCH($A92,'WPP 2024 середина года'!$A:$A,0),MATCH(R$1,'WPP 2024 середина года'!$B$1:$U$1,0))/(1000*INDEX('SALA 2002'!$B:$U,MATCH($A92,'SALA 2002'!$A:$A,0),MATCH(R$1,'SALA 2002'!$B$1:$U$1,0))),($A92-1994)/7),INDEX('WPP 2024 середина года'!$B:$U,MATCH($A92,'WPP 2024 середина года'!$A:$A,0),MATCH(R$1,'WPP 2024 середина года'!$B$1:$U$1,0)))))</f>
        <v>4220</v>
      </c>
      <c r="S92" s="7">
        <f>IF($A92&lt;=1951,INDEX('SALA 1974'!$B:$U,MATCH($A92,'SALA 1974'!$A:$A,0),MATCH(S$1,'SALA 1974'!$B$1:$U$1,0)),IF($A92&lt;=1994,1000*INDEX('SALA 2002'!$B:$U,MATCH($A92,'SALA 2002'!$A:$A,0),MATCH(S$1,'SALA 2002'!$B$1:$U$1,0)),IF($A92&lt;=2000,1000*INDEX('SALA 2002'!$B:$U,MATCH($A92,'SALA 2002'!$A:$A,0),MATCH(S$1,'SALA 2002'!$B$1:$U$1,0))*POWER(INDEX('WPP 2024 середина года'!$B:$U,MATCH($A92,'WPP 2024 середина года'!$A:$A,0),MATCH(S$1,'WPP 2024 середина года'!$B$1:$U$1,0))/(1000*INDEX('SALA 2002'!$B:$U,MATCH($A92,'SALA 2002'!$A:$A,0),MATCH(S$1,'SALA 2002'!$B$1:$U$1,0))),($A92-1994)/7),INDEX('WPP 2024 середина года'!$B:$U,MATCH($A92,'WPP 2024 середина года'!$A:$A,0),MATCH(S$1,'WPP 2024 середина года'!$B$1:$U$1,0)))))</f>
        <v>21570</v>
      </c>
      <c r="T92" s="7">
        <f>IF($A92&lt;=1951,INDEX('SALA 1974'!$B:$U,MATCH($A92,'SALA 1974'!$A:$A,0),MATCH(T$1,'SALA 1974'!$B$1:$U$1,0)),IF($A92&lt;=1994,1000*INDEX('SALA 2002'!$B:$U,MATCH($A92,'SALA 2002'!$A:$A,0),MATCH(T$1,'SALA 2002'!$B$1:$U$1,0)),IF($A92&lt;=2000,1000*INDEX('SALA 2002'!$B:$U,MATCH($A92,'SALA 2002'!$A:$A,0),MATCH(T$1,'SALA 2002'!$B$1:$U$1,0))*POWER(INDEX('WPP 2024 середина года'!$B:$U,MATCH($A92,'WPP 2024 середина года'!$A:$A,0),MATCH(T$1,'WPP 2024 середина года'!$B$1:$U$1,0))/(1000*INDEX('SALA 2002'!$B:$U,MATCH($A92,'SALA 2002'!$A:$A,0),MATCH(T$1,'SALA 2002'!$B$1:$U$1,0))),($A92-1994)/7),INDEX('WPP 2024 середина года'!$B:$U,MATCH($A92,'WPP 2024 середина года'!$A:$A,0),MATCH(T$1,'WPP 2024 середина года'!$B$1:$U$1,0)))))</f>
        <v>3110</v>
      </c>
      <c r="U92" s="7">
        <f>IF($A92&lt;=1951,INDEX('SALA 1974'!$B:$U,MATCH($A92,'SALA 1974'!$A:$A,0),MATCH(U$1,'SALA 1974'!$B$1:$U$1,0)),IF($A92&lt;=1994,1000*INDEX('SALA 2002'!$B:$U,MATCH($A92,'SALA 2002'!$A:$A,0),MATCH(U$1,'SALA 2002'!$B$1:$U$1,0)),IF($A92&lt;=2000,1000*INDEX('SALA 2002'!$B:$U,MATCH($A92,'SALA 2002'!$A:$A,0),MATCH(U$1,'SALA 2002'!$B$1:$U$1,0))*POWER(INDEX('WPP 2024 середина года'!$B:$U,MATCH($A92,'WPP 2024 середина года'!$A:$A,0),MATCH(U$1,'WPP 2024 середина года'!$B$1:$U$1,0))/(1000*INDEX('SALA 2002'!$B:$U,MATCH($A92,'SALA 2002'!$A:$A,0),MATCH(U$1,'SALA 2002'!$B$1:$U$1,0))),($A92-1994)/7),INDEX('WPP 2024 середина года'!$B:$U,MATCH($A92,'WPP 2024 середина года'!$A:$A,0),MATCH(U$1,'WPP 2024 середина года'!$B$1:$U$1,0)))))</f>
        <v>19500</v>
      </c>
    </row>
    <row r="93" spans="1:21" x14ac:dyDescent="0.25">
      <c r="A93" s="5">
        <f t="shared" si="1"/>
        <v>1991</v>
      </c>
      <c r="B93" s="7">
        <f>IF($A93&lt;=1951,INDEX('SALA 1974'!$B:$U,MATCH($A93,'SALA 1974'!$A:$A,0),MATCH(B$1,'SALA 1974'!$B$1:$U$1,0)),IF($A93&lt;=1994,1000*INDEX('SALA 2002'!$B:$U,MATCH($A93,'SALA 2002'!$A:$A,0),MATCH(B$1,'SALA 2002'!$B$1:$U$1,0)),IF($A93&lt;=2000,1000*INDEX('SALA 2002'!$B:$U,MATCH($A93,'SALA 2002'!$A:$A,0),MATCH(B$1,'SALA 2002'!$B$1:$U$1,0))*POWER(INDEX('WPP 2024 середина года'!$B:$U,MATCH($A93,'WPP 2024 середина года'!$A:$A,0),MATCH(B$1,'WPP 2024 середина года'!$B$1:$U$1,0))/(1000*INDEX('SALA 2002'!$B:$U,MATCH($A93,'SALA 2002'!$A:$A,0),MATCH(B$1,'SALA 2002'!$B$1:$U$1,0))),($A93-1994)/7),INDEX('WPP 2024 середина года'!$B:$U,MATCH($A93,'WPP 2024 середина года'!$A:$A,0),MATCH(B$1,'WPP 2024 середина года'!$B$1:$U$1,0)))))</f>
        <v>32970</v>
      </c>
      <c r="C93" s="7">
        <f>IF($A93&lt;=1951,INDEX('SALA 1974'!$B:$U,MATCH($A93,'SALA 1974'!$A:$A,0),MATCH(C$1,'SALA 1974'!$B$1:$U$1,0)),IF($A93&lt;=1994,1000*INDEX('SALA 2002'!$B:$U,MATCH($A93,'SALA 2002'!$A:$A,0),MATCH(C$1,'SALA 2002'!$B$1:$U$1,0)),IF($A93&lt;=2000,1000*INDEX('SALA 2002'!$B:$U,MATCH($A93,'SALA 2002'!$A:$A,0),MATCH(C$1,'SALA 2002'!$B$1:$U$1,0))*POWER(INDEX('WPP 2024 середина года'!$B:$U,MATCH($A93,'WPP 2024 середина года'!$A:$A,0),MATCH(C$1,'WPP 2024 середина года'!$B$1:$U$1,0))/(1000*INDEX('SALA 2002'!$B:$U,MATCH($A93,'SALA 2002'!$A:$A,0),MATCH(C$1,'SALA 2002'!$B$1:$U$1,0))),($A93-1994)/7),INDEX('WPP 2024 середина года'!$B:$U,MATCH($A93,'WPP 2024 середина года'!$A:$A,0),MATCH(C$1,'WPP 2024 середина года'!$B$1:$U$1,0)))))</f>
        <v>6730</v>
      </c>
      <c r="D93" s="7">
        <f>IF($A93&lt;=1951,INDEX('SALA 1974'!$B:$U,MATCH($A93,'SALA 1974'!$A:$A,0),MATCH(D$1,'SALA 1974'!$B$1:$U$1,0)),IF($A93&lt;=1994,1000*INDEX('SALA 2002'!$B:$U,MATCH($A93,'SALA 2002'!$A:$A,0),MATCH(D$1,'SALA 2002'!$B$1:$U$1,0)),IF($A93&lt;=2000,1000*INDEX('SALA 2002'!$B:$U,MATCH($A93,'SALA 2002'!$A:$A,0),MATCH(D$1,'SALA 2002'!$B$1:$U$1,0))*POWER(INDEX('WPP 2024 середина года'!$B:$U,MATCH($A93,'WPP 2024 середина года'!$A:$A,0),MATCH(D$1,'WPP 2024 середина года'!$B$1:$U$1,0))/(1000*INDEX('SALA 2002'!$B:$U,MATCH($A93,'SALA 2002'!$A:$A,0),MATCH(D$1,'SALA 2002'!$B$1:$U$1,0))),($A93-1994)/7),INDEX('WPP 2024 середина года'!$B:$U,MATCH($A93,'WPP 2024 середина года'!$A:$A,0),MATCH(D$1,'WPP 2024 середина года'!$B$1:$U$1,0)))))</f>
        <v>147070</v>
      </c>
      <c r="E93" s="7">
        <f>IF($A93&lt;=1951,INDEX('SALA 1974'!$B:$U,MATCH($A93,'SALA 1974'!$A:$A,0),MATCH(E$1,'SALA 1974'!$B$1:$U$1,0)),IF($A93&lt;=1994,1000*INDEX('SALA 2002'!$B:$U,MATCH($A93,'SALA 2002'!$A:$A,0),MATCH(E$1,'SALA 2002'!$B$1:$U$1,0)),IF($A93&lt;=2000,1000*INDEX('SALA 2002'!$B:$U,MATCH($A93,'SALA 2002'!$A:$A,0),MATCH(E$1,'SALA 2002'!$B$1:$U$1,0))*POWER(INDEX('WPP 2024 середина года'!$B:$U,MATCH($A93,'WPP 2024 середина года'!$A:$A,0),MATCH(E$1,'WPP 2024 середина года'!$B$1:$U$1,0))/(1000*INDEX('SALA 2002'!$B:$U,MATCH($A93,'SALA 2002'!$A:$A,0),MATCH(E$1,'SALA 2002'!$B$1:$U$1,0))),($A93-1994)/7),INDEX('WPP 2024 середина года'!$B:$U,MATCH($A93,'WPP 2024 середина года'!$A:$A,0),MATCH(E$1,'WPP 2024 середина года'!$B$1:$U$1,0)))))</f>
        <v>13320</v>
      </c>
      <c r="F93" s="7">
        <f>IF($A93&lt;=1947,INDEX('SALA 1974'!$B:$U,MATCH($A93,'SALA 1974'!$A:$A,0),MATCH(F$1,'SALA 1974'!$B$1:$U$1,0)),IF($A93&lt;=1994,1000*INDEX('SALA 2002'!$B:$U,MATCH($A93,'SALA 2002'!$A:$A,0),MATCH(F$1,'SALA 2002'!$B$1:$U$1,0)),IF($A93&lt;=2000,1000*INDEX('SALA 2002'!$B:$U,MATCH($A93,'SALA 2002'!$A:$A,0),MATCH(F$1,'SALA 2002'!$B$1:$U$1,0))*POWER(INDEX('WPP 2024 середина года'!$B:$U,MATCH($A93,'WPP 2024 середина года'!$A:$A,0),MATCH(F$1,'WPP 2024 середина года'!$B$1:$U$1,0))/(1000*INDEX('SALA 2002'!$B:$U,MATCH($A93,'SALA 2002'!$A:$A,0),MATCH(F$1,'SALA 2002'!$B$1:$U$1,0))),($A93-1994)/7),INDEX('WPP 2024 середина года'!$B:$U,MATCH($A93,'WPP 2024 середина года'!$A:$A,0),MATCH(F$1,'WPP 2024 середина года'!$B$1:$U$1,0)))))</f>
        <v>32840</v>
      </c>
      <c r="G93" s="7">
        <f>IF($A93&lt;=1951,INDEX('SALA 1974'!$B:$U,MATCH($A93,'SALA 1974'!$A:$A,0),MATCH(G$1,'SALA 1974'!$B$1:$U$1,0)),IF($A93&lt;=1994,1000*INDEX('SALA 2002'!$B:$U,MATCH($A93,'SALA 2002'!$A:$A,0),MATCH(G$1,'SALA 2002'!$B$1:$U$1,0)),IF($A93&lt;=2000,1000*INDEX('SALA 2002'!$B:$U,MATCH($A93,'SALA 2002'!$A:$A,0),MATCH(G$1,'SALA 2002'!$B$1:$U$1,0))*POWER(INDEX('WPP 2024 середина года'!$B:$U,MATCH($A93,'WPP 2024 середина года'!$A:$A,0),MATCH(G$1,'WPP 2024 середина года'!$B$1:$U$1,0))/(1000*INDEX('SALA 2002'!$B:$U,MATCH($A93,'SALA 2002'!$A:$A,0),MATCH(G$1,'SALA 2002'!$B$1:$U$1,0))),($A93-1994)/7),INDEX('WPP 2024 середина года'!$B:$U,MATCH($A93,'WPP 2024 середина года'!$A:$A,0),MATCH(G$1,'WPP 2024 середина года'!$B$1:$U$1,0)))))</f>
        <v>2870</v>
      </c>
      <c r="H93" s="7">
        <f>IF($A93&lt;=1951,INDEX('SALA 1974'!$B:$U,MATCH($A93,'SALA 1974'!$A:$A,0),MATCH(H$1,'SALA 1974'!$B$1:$U$1,0)),IF($A93&lt;=1994,1000*INDEX('SALA 2002'!$B:$U,MATCH($A93,'SALA 2002'!$A:$A,0),MATCH(H$1,'SALA 2002'!$B$1:$U$1,0)),IF($A93&lt;=2000,1000*INDEX('SALA 2002'!$B:$U,MATCH($A93,'SALA 2002'!$A:$A,0),MATCH(H$1,'SALA 2002'!$B$1:$U$1,0))*POWER(INDEX('WPP 2024 середина года'!$B:$U,MATCH($A93,'WPP 2024 середина года'!$A:$A,0),MATCH(H$1,'WPP 2024 середина года'!$B$1:$U$1,0))/(1000*INDEX('SALA 2002'!$B:$U,MATCH($A93,'SALA 2002'!$A:$A,0),MATCH(H$1,'SALA 2002'!$B$1:$U$1,0))),($A93-1994)/7),INDEX('WPP 2024 середина года'!$B:$U,MATCH($A93,'WPP 2024 середина года'!$A:$A,0),MATCH(H$1,'WPP 2024 середина года'!$B$1:$U$1,0)))))</f>
        <v>10740</v>
      </c>
      <c r="I93" s="7">
        <f>IF($A93&lt;=1951,INDEX('SALA 1974'!$B:$U,MATCH($A93,'SALA 1974'!$A:$A,0),MATCH(I$1,'SALA 1974'!$B$1:$U$1,0)),IF($A93&lt;=1994,1000*INDEX('SALA 2002'!$B:$U,MATCH($A93,'SALA 2002'!$A:$A,0),MATCH(I$1,'SALA 2002'!$B$1:$U$1,0)),IF($A93&lt;=2000,1000*INDEX('SALA 2002'!$B:$U,MATCH($A93,'SALA 2002'!$A:$A,0),MATCH(I$1,'SALA 2002'!$B$1:$U$1,0))*POWER(INDEX('WPP 2024 середина года'!$B:$U,MATCH($A93,'WPP 2024 середина года'!$A:$A,0),MATCH(I$1,'WPP 2024 середина года'!$B$1:$U$1,0))/(1000*INDEX('SALA 2002'!$B:$U,MATCH($A93,'SALA 2002'!$A:$A,0),MATCH(I$1,'SALA 2002'!$B$1:$U$1,0))),($A93-1994)/7),INDEX('WPP 2024 середина года'!$B:$U,MATCH($A93,'WPP 2024 середина года'!$A:$A,0),MATCH(I$1,'WPP 2024 середина года'!$B$1:$U$1,0)))))</f>
        <v>7320</v>
      </c>
      <c r="J93" s="7">
        <f>IF($A93&lt;=1951,INDEX('SALA 1974'!$B:$U,MATCH($A93,'SALA 1974'!$A:$A,0),MATCH(J$1,'SALA 1974'!$B$1:$U$1,0)),IF($A93&lt;=1994,1000*INDEX('SALA 2002'!$B:$U,MATCH($A93,'SALA 2002'!$A:$A,0),MATCH(J$1,'SALA 2002'!$B$1:$U$1,0)),IF($A93&lt;=2000,1000*INDEX('SALA 2002'!$B:$U,MATCH($A93,'SALA 2002'!$A:$A,0),MATCH(J$1,'SALA 2002'!$B$1:$U$1,0))*POWER(INDEX('WPP 2024 середина года'!$B:$U,MATCH($A93,'WPP 2024 середина года'!$A:$A,0),MATCH(J$1,'WPP 2024 середина года'!$B$1:$U$1,0))/(1000*INDEX('SALA 2002'!$B:$U,MATCH($A93,'SALA 2002'!$A:$A,0),MATCH(J$1,'SALA 2002'!$B$1:$U$1,0))),($A93-1994)/7),INDEX('WPP 2024 середина года'!$B:$U,MATCH($A93,'WPP 2024 середина года'!$A:$A,0),MATCH(J$1,'WPP 2024 середина года'!$B$1:$U$1,0)))))</f>
        <v>10500</v>
      </c>
      <c r="K93" s="7">
        <f>IF($A93&lt;=1951,INDEX('SALA 1974'!$B:$U,MATCH($A93,'SALA 1974'!$A:$A,0),MATCH(K$1,'SALA 1974'!$B$1:$U$1,0)),IF($A93&lt;=1994,1000*INDEX('SALA 2002'!$B:$U,MATCH($A93,'SALA 2002'!$A:$A,0),MATCH(K$1,'SALA 2002'!$B$1:$U$1,0)),IF($A93&lt;=2000,1000*INDEX('SALA 2002'!$B:$U,MATCH($A93,'SALA 2002'!$A:$A,0),MATCH(K$1,'SALA 2002'!$B$1:$U$1,0))*POWER(INDEX('WPP 2024 середина года'!$B:$U,MATCH($A93,'WPP 2024 середина года'!$A:$A,0),MATCH(K$1,'WPP 2024 середина года'!$B$1:$U$1,0))/(1000*INDEX('SALA 2002'!$B:$U,MATCH($A93,'SALA 2002'!$A:$A,0),MATCH(K$1,'SALA 2002'!$B$1:$U$1,0))),($A93-1994)/7),INDEX('WPP 2024 середина года'!$B:$U,MATCH($A93,'WPP 2024 середина года'!$A:$A,0),MATCH(K$1,'WPP 2024 середина года'!$B$1:$U$1,0)))))</f>
        <v>5350</v>
      </c>
      <c r="L93" s="7">
        <f>IF($A93&lt;=1951,INDEX('SALA 1974'!$B:$U,MATCH($A93,'SALA 1974'!$A:$A,0),MATCH(L$1,'SALA 1974'!$B$1:$U$1,0)),IF($A93&lt;=1994,1000*INDEX('SALA 2002'!$B:$U,MATCH($A93,'SALA 2002'!$A:$A,0),MATCH(L$1,'SALA 2002'!$B$1:$U$1,0)),IF($A93&lt;=2000,1000*INDEX('SALA 2002'!$B:$U,MATCH($A93,'SALA 2002'!$A:$A,0),MATCH(L$1,'SALA 2002'!$B$1:$U$1,0))*POWER(INDEX('WPP 2024 середина года'!$B:$U,MATCH($A93,'WPP 2024 середина года'!$A:$A,0),MATCH(L$1,'WPP 2024 середина года'!$B$1:$U$1,0))/(1000*INDEX('SALA 2002'!$B:$U,MATCH($A93,'SALA 2002'!$A:$A,0),MATCH(L$1,'SALA 2002'!$B$1:$U$1,0))),($A93-1994)/7),INDEX('WPP 2024 середина года'!$B:$U,MATCH($A93,'WPP 2024 середина года'!$A:$A,0),MATCH(L$1,'WPP 2024 середина года'!$B$1:$U$1,0)))))</f>
        <v>9470</v>
      </c>
      <c r="M93" s="7">
        <f>IF($A93&lt;=1951,INDEX('SALA 1974'!$B:$U,MATCH($A93,'SALA 1974'!$A:$A,0),MATCH(M$1,'SALA 1974'!$B$1:$U$1,0)),IF($A93&lt;=1994,1000*INDEX('SALA 2002'!$B:$U,MATCH($A93,'SALA 2002'!$A:$A,0),MATCH(M$1,'SALA 2002'!$B$1:$U$1,0)),IF($A93&lt;=2000,1000*INDEX('SALA 2002'!$B:$U,MATCH($A93,'SALA 2002'!$A:$A,0),MATCH(M$1,'SALA 2002'!$B$1:$U$1,0))*POWER(INDEX('WPP 2024 середина года'!$B:$U,MATCH($A93,'WPP 2024 середина года'!$A:$A,0),MATCH(M$1,'WPP 2024 середина года'!$B$1:$U$1,0))/(1000*INDEX('SALA 2002'!$B:$U,MATCH($A93,'SALA 2002'!$A:$A,0),MATCH(M$1,'SALA 2002'!$B$1:$U$1,0))),($A93-1994)/7),INDEX('WPP 2024 середина года'!$B:$U,MATCH($A93,'WPP 2024 середина года'!$A:$A,0),MATCH(M$1,'WPP 2024 середина года'!$B$1:$U$1,0)))))</f>
        <v>6630</v>
      </c>
      <c r="N93" s="7">
        <f>IF($A93&lt;=1951,INDEX('SALA 1974'!$B:$U,MATCH($A93,'SALA 1974'!$A:$A,0),MATCH(N$1,'SALA 1974'!$B$1:$U$1,0)),IF($A93&lt;=1994,1000*INDEX('SALA 2002'!$B:$U,MATCH($A93,'SALA 2002'!$A:$A,0),MATCH(N$1,'SALA 2002'!$B$1:$U$1,0)),IF($A93&lt;=2000,1000*INDEX('SALA 2002'!$B:$U,MATCH($A93,'SALA 2002'!$A:$A,0),MATCH(N$1,'SALA 2002'!$B$1:$U$1,0))*POWER(INDEX('WPP 2024 середина года'!$B:$U,MATCH($A93,'WPP 2024 середина года'!$A:$A,0),MATCH(N$1,'WPP 2024 середина года'!$B$1:$U$1,0))/(1000*INDEX('SALA 2002'!$B:$U,MATCH($A93,'SALA 2002'!$A:$A,0),MATCH(N$1,'SALA 2002'!$B$1:$U$1,0))),($A93-1994)/7),INDEX('WPP 2024 середина года'!$B:$U,MATCH($A93,'WPP 2024 середина года'!$A:$A,0),MATCH(N$1,'WPP 2024 середина года'!$B$1:$U$1,0)))))</f>
        <v>4920</v>
      </c>
      <c r="O93" s="7">
        <f>IF($A93&lt;=1951,INDEX('SALA 1974'!$B:$U,MATCH($A93,'SALA 1974'!$A:$A,0),MATCH(O$1,'SALA 1974'!$B$1:$U$1,0)),IF($A93&lt;=1994,1000*INDEX('SALA 2002'!$B:$U,MATCH($A93,'SALA 2002'!$A:$A,0),MATCH(O$1,'SALA 2002'!$B$1:$U$1,0)),IF($A93&lt;=2000,1000*INDEX('SALA 2002'!$B:$U,MATCH($A93,'SALA 2002'!$A:$A,0),MATCH(O$1,'SALA 2002'!$B$1:$U$1,0))*POWER(INDEX('WPP 2024 середина года'!$B:$U,MATCH($A93,'WPP 2024 середина года'!$A:$A,0),MATCH(O$1,'WPP 2024 середина года'!$B$1:$U$1,0))/(1000*INDEX('SALA 2002'!$B:$U,MATCH($A93,'SALA 2002'!$A:$A,0),MATCH(O$1,'SALA 2002'!$B$1:$U$1,0))),($A93-1994)/7),INDEX('WPP 2024 середина года'!$B:$U,MATCH($A93,'WPP 2024 середина года'!$A:$A,0),MATCH(O$1,'WPP 2024 середина года'!$B$1:$U$1,0)))))</f>
        <v>84800</v>
      </c>
      <c r="P93" s="7">
        <f>IF($A93&lt;=1951,INDEX('SALA 1974'!$B:$U,MATCH($A93,'SALA 1974'!$A:$A,0),MATCH(P$1,'SALA 1974'!$B$1:$U$1,0)),IF($A93&lt;=1994,1000*INDEX('SALA 2002'!$B:$U,MATCH($A93,'SALA 2002'!$A:$A,0),MATCH(P$1,'SALA 2002'!$B$1:$U$1,0)),IF($A93&lt;=2000,1000*INDEX('SALA 2002'!$B:$U,MATCH($A93,'SALA 2002'!$A:$A,0),MATCH(P$1,'SALA 2002'!$B$1:$U$1,0))*POWER(INDEX('WPP 2024 середина года'!$B:$U,MATCH($A93,'WPP 2024 середина года'!$A:$A,0),MATCH(P$1,'WPP 2024 середина года'!$B$1:$U$1,0))/(1000*INDEX('SALA 2002'!$B:$U,MATCH($A93,'SALA 2002'!$A:$A,0),MATCH(P$1,'SALA 2002'!$B$1:$U$1,0))),($A93-1994)/7),INDEX('WPP 2024 середина года'!$B:$U,MATCH($A93,'WPP 2024 середина года'!$A:$A,0),MATCH(P$1,'WPP 2024 середина года'!$B$1:$U$1,0)))))</f>
        <v>4000</v>
      </c>
      <c r="Q93" s="7">
        <f>IF($A93&lt;=1951,INDEX('SALA 1974'!$B:$U,MATCH($A93,'SALA 1974'!$A:$A,0),MATCH(Q$1,'SALA 1974'!$B$1:$U$1,0)),IF($A93&lt;=1994,1000*INDEX('SALA 2002'!$B:$U,MATCH($A93,'SALA 2002'!$A:$A,0),MATCH(Q$1,'SALA 2002'!$B$1:$U$1,0)),IF($A93&lt;=2000,1000*INDEX('SALA 2002'!$B:$U,MATCH($A93,'SALA 2002'!$A:$A,0),MATCH(Q$1,'SALA 2002'!$B$1:$U$1,0))*POWER(INDEX('WPP 2024 середина года'!$B:$U,MATCH($A93,'WPP 2024 середина года'!$A:$A,0),MATCH(Q$1,'WPP 2024 середина года'!$B$1:$U$1,0))/(1000*INDEX('SALA 2002'!$B:$U,MATCH($A93,'SALA 2002'!$A:$A,0),MATCH(Q$1,'SALA 2002'!$B$1:$U$1,0))),($A93-1994)/7),INDEX('WPP 2024 середина года'!$B:$U,MATCH($A93,'WPP 2024 середина года'!$A:$A,0),MATCH(Q$1,'WPP 2024 середина года'!$B$1:$U$1,0)))))</f>
        <v>2440</v>
      </c>
      <c r="R93" s="7">
        <f>IF($A93&lt;=1951,INDEX('SALA 1974'!$B:$U,MATCH($A93,'SALA 1974'!$A:$A,0),MATCH(R$1,'SALA 1974'!$B$1:$U$1,0)),IF($A93&lt;=1994,1000*INDEX('SALA 2002'!$B:$U,MATCH($A93,'SALA 2002'!$A:$A,0),MATCH(R$1,'SALA 2002'!$B$1:$U$1,0)),IF($A93&lt;=2000,1000*INDEX('SALA 2002'!$B:$U,MATCH($A93,'SALA 2002'!$A:$A,0),MATCH(R$1,'SALA 2002'!$B$1:$U$1,0))*POWER(INDEX('WPP 2024 середина года'!$B:$U,MATCH($A93,'WPP 2024 середина года'!$A:$A,0),MATCH(R$1,'WPP 2024 середина года'!$B$1:$U$1,0))/(1000*INDEX('SALA 2002'!$B:$U,MATCH($A93,'SALA 2002'!$A:$A,0),MATCH(R$1,'SALA 2002'!$B$1:$U$1,0))),($A93-1994)/7),INDEX('WPP 2024 середина года'!$B:$U,MATCH($A93,'WPP 2024 середина года'!$A:$A,0),MATCH(R$1,'WPP 2024 середина года'!$B$1:$U$1,0)))))</f>
        <v>4330</v>
      </c>
      <c r="S93" s="7">
        <f>IF($A93&lt;=1951,INDEX('SALA 1974'!$B:$U,MATCH($A93,'SALA 1974'!$A:$A,0),MATCH(S$1,'SALA 1974'!$B$1:$U$1,0)),IF($A93&lt;=1994,1000*INDEX('SALA 2002'!$B:$U,MATCH($A93,'SALA 2002'!$A:$A,0),MATCH(S$1,'SALA 2002'!$B$1:$U$1,0)),IF($A93&lt;=2000,1000*INDEX('SALA 2002'!$B:$U,MATCH($A93,'SALA 2002'!$A:$A,0),MATCH(S$1,'SALA 2002'!$B$1:$U$1,0))*POWER(INDEX('WPP 2024 середина года'!$B:$U,MATCH($A93,'WPP 2024 середина года'!$A:$A,0),MATCH(S$1,'WPP 2024 середина года'!$B$1:$U$1,0))/(1000*INDEX('SALA 2002'!$B:$U,MATCH($A93,'SALA 2002'!$A:$A,0),MATCH(S$1,'SALA 2002'!$B$1:$U$1,0))),($A93-1994)/7),INDEX('WPP 2024 середина года'!$B:$U,MATCH($A93,'WPP 2024 середина года'!$A:$A,0),MATCH(S$1,'WPP 2024 середина года'!$B$1:$U$1,0)))))</f>
        <v>22000</v>
      </c>
      <c r="T93" s="7">
        <f>IF($A93&lt;=1951,INDEX('SALA 1974'!$B:$U,MATCH($A93,'SALA 1974'!$A:$A,0),MATCH(T$1,'SALA 1974'!$B$1:$U$1,0)),IF($A93&lt;=1994,1000*INDEX('SALA 2002'!$B:$U,MATCH($A93,'SALA 2002'!$A:$A,0),MATCH(T$1,'SALA 2002'!$B$1:$U$1,0)),IF($A93&lt;=2000,1000*INDEX('SALA 2002'!$B:$U,MATCH($A93,'SALA 2002'!$A:$A,0),MATCH(T$1,'SALA 2002'!$B$1:$U$1,0))*POWER(INDEX('WPP 2024 середина года'!$B:$U,MATCH($A93,'WPP 2024 середина года'!$A:$A,0),MATCH(T$1,'WPP 2024 середина года'!$B$1:$U$1,0))/(1000*INDEX('SALA 2002'!$B:$U,MATCH($A93,'SALA 2002'!$A:$A,0),MATCH(T$1,'SALA 2002'!$B$1:$U$1,0))),($A93-1994)/7),INDEX('WPP 2024 середина года'!$B:$U,MATCH($A93,'WPP 2024 середина года'!$A:$A,0),MATCH(T$1,'WPP 2024 середина года'!$B$1:$U$1,0)))))</f>
        <v>3130</v>
      </c>
      <c r="U93" s="7">
        <f>IF($A93&lt;=1951,INDEX('SALA 1974'!$B:$U,MATCH($A93,'SALA 1974'!$A:$A,0),MATCH(U$1,'SALA 1974'!$B$1:$U$1,0)),IF($A93&lt;=1994,1000*INDEX('SALA 2002'!$B:$U,MATCH($A93,'SALA 2002'!$A:$A,0),MATCH(U$1,'SALA 2002'!$B$1:$U$1,0)),IF($A93&lt;=2000,1000*INDEX('SALA 2002'!$B:$U,MATCH($A93,'SALA 2002'!$A:$A,0),MATCH(U$1,'SALA 2002'!$B$1:$U$1,0))*POWER(INDEX('WPP 2024 середина года'!$B:$U,MATCH($A93,'WPP 2024 середина года'!$A:$A,0),MATCH(U$1,'WPP 2024 середина года'!$B$1:$U$1,0))/(1000*INDEX('SALA 2002'!$B:$U,MATCH($A93,'SALA 2002'!$A:$A,0),MATCH(U$1,'SALA 2002'!$B$1:$U$1,0))),($A93-1994)/7),INDEX('WPP 2024 середина года'!$B:$U,MATCH($A93,'WPP 2024 середина года'!$A:$A,0),MATCH(U$1,'WPP 2024 середина года'!$B$1:$U$1,0)))))</f>
        <v>19970</v>
      </c>
    </row>
    <row r="94" spans="1:21" x14ac:dyDescent="0.25">
      <c r="A94" s="5">
        <f t="shared" si="1"/>
        <v>1992</v>
      </c>
      <c r="B94" s="7">
        <f>IF($A94&lt;=1951,INDEX('SALA 1974'!$B:$U,MATCH($A94,'SALA 1974'!$A:$A,0),MATCH(B$1,'SALA 1974'!$B$1:$U$1,0)),IF($A94&lt;=1994,1000*INDEX('SALA 2002'!$B:$U,MATCH($A94,'SALA 2002'!$A:$A,0),MATCH(B$1,'SALA 2002'!$B$1:$U$1,0)),IF($A94&lt;=2000,1000*INDEX('SALA 2002'!$B:$U,MATCH($A94,'SALA 2002'!$A:$A,0),MATCH(B$1,'SALA 2002'!$B$1:$U$1,0))*POWER(INDEX('WPP 2024 середина года'!$B:$U,MATCH($A94,'WPP 2024 середина года'!$A:$A,0),MATCH(B$1,'WPP 2024 середина года'!$B$1:$U$1,0))/(1000*INDEX('SALA 2002'!$B:$U,MATCH($A94,'SALA 2002'!$A:$A,0),MATCH(B$1,'SALA 2002'!$B$1:$U$1,0))),($A94-1994)/7),INDEX('WPP 2024 середина года'!$B:$U,MATCH($A94,'WPP 2024 середина года'!$A:$A,0),MATCH(B$1,'WPP 2024 середина года'!$B$1:$U$1,0)))))</f>
        <v>33420</v>
      </c>
      <c r="C94" s="7">
        <f>IF($A94&lt;=1951,INDEX('SALA 1974'!$B:$U,MATCH($A94,'SALA 1974'!$A:$A,0),MATCH(C$1,'SALA 1974'!$B$1:$U$1,0)),IF($A94&lt;=1994,1000*INDEX('SALA 2002'!$B:$U,MATCH($A94,'SALA 2002'!$A:$A,0),MATCH(C$1,'SALA 2002'!$B$1:$U$1,0)),IF($A94&lt;=2000,1000*INDEX('SALA 2002'!$B:$U,MATCH($A94,'SALA 2002'!$A:$A,0),MATCH(C$1,'SALA 2002'!$B$1:$U$1,0))*POWER(INDEX('WPP 2024 середина года'!$B:$U,MATCH($A94,'WPP 2024 середина года'!$A:$A,0),MATCH(C$1,'WPP 2024 середина года'!$B$1:$U$1,0))/(1000*INDEX('SALA 2002'!$B:$U,MATCH($A94,'SALA 2002'!$A:$A,0),MATCH(C$1,'SALA 2002'!$B$1:$U$1,0))),($A94-1994)/7),INDEX('WPP 2024 середина года'!$B:$U,MATCH($A94,'WPP 2024 середина года'!$A:$A,0),MATCH(C$1,'WPP 2024 середина года'!$B$1:$U$1,0)))))</f>
        <v>6900</v>
      </c>
      <c r="D94" s="7">
        <f>IF($A94&lt;=1951,INDEX('SALA 1974'!$B:$U,MATCH($A94,'SALA 1974'!$A:$A,0),MATCH(D$1,'SALA 1974'!$B$1:$U$1,0)),IF($A94&lt;=1994,1000*INDEX('SALA 2002'!$B:$U,MATCH($A94,'SALA 2002'!$A:$A,0),MATCH(D$1,'SALA 2002'!$B$1:$U$1,0)),IF($A94&lt;=2000,1000*INDEX('SALA 2002'!$B:$U,MATCH($A94,'SALA 2002'!$A:$A,0),MATCH(D$1,'SALA 2002'!$B$1:$U$1,0))*POWER(INDEX('WPP 2024 середина года'!$B:$U,MATCH($A94,'WPP 2024 середина года'!$A:$A,0),MATCH(D$1,'WPP 2024 середина года'!$B$1:$U$1,0))/(1000*INDEX('SALA 2002'!$B:$U,MATCH($A94,'SALA 2002'!$A:$A,0),MATCH(D$1,'SALA 2002'!$B$1:$U$1,0))),($A94-1994)/7),INDEX('WPP 2024 середина года'!$B:$U,MATCH($A94,'WPP 2024 середина года'!$A:$A,0),MATCH(D$1,'WPP 2024 середина года'!$B$1:$U$1,0)))))</f>
        <v>149360</v>
      </c>
      <c r="E94" s="7">
        <f>IF($A94&lt;=1951,INDEX('SALA 1974'!$B:$U,MATCH($A94,'SALA 1974'!$A:$A,0),MATCH(E$1,'SALA 1974'!$B$1:$U$1,0)),IF($A94&lt;=1994,1000*INDEX('SALA 2002'!$B:$U,MATCH($A94,'SALA 2002'!$A:$A,0),MATCH(E$1,'SALA 2002'!$B$1:$U$1,0)),IF($A94&lt;=2000,1000*INDEX('SALA 2002'!$B:$U,MATCH($A94,'SALA 2002'!$A:$A,0),MATCH(E$1,'SALA 2002'!$B$1:$U$1,0))*POWER(INDEX('WPP 2024 середина года'!$B:$U,MATCH($A94,'WPP 2024 середина года'!$A:$A,0),MATCH(E$1,'WPP 2024 середина года'!$B$1:$U$1,0))/(1000*INDEX('SALA 2002'!$B:$U,MATCH($A94,'SALA 2002'!$A:$A,0),MATCH(E$1,'SALA 2002'!$B$1:$U$1,0))),($A94-1994)/7),INDEX('WPP 2024 середина года'!$B:$U,MATCH($A94,'WPP 2024 середина года'!$A:$A,0),MATCH(E$1,'WPP 2024 середина года'!$B$1:$U$1,0)))))</f>
        <v>13550</v>
      </c>
      <c r="F94" s="7">
        <f>IF($A94&lt;=1947,INDEX('SALA 1974'!$B:$U,MATCH($A94,'SALA 1974'!$A:$A,0),MATCH(F$1,'SALA 1974'!$B$1:$U$1,0)),IF($A94&lt;=1994,1000*INDEX('SALA 2002'!$B:$U,MATCH($A94,'SALA 2002'!$A:$A,0),MATCH(F$1,'SALA 2002'!$B$1:$U$1,0)),IF($A94&lt;=2000,1000*INDEX('SALA 2002'!$B:$U,MATCH($A94,'SALA 2002'!$A:$A,0),MATCH(F$1,'SALA 2002'!$B$1:$U$1,0))*POWER(INDEX('WPP 2024 середина года'!$B:$U,MATCH($A94,'WPP 2024 середина года'!$A:$A,0),MATCH(F$1,'WPP 2024 середина года'!$B$1:$U$1,0))/(1000*INDEX('SALA 2002'!$B:$U,MATCH($A94,'SALA 2002'!$A:$A,0),MATCH(F$1,'SALA 2002'!$B$1:$U$1,0))),($A94-1994)/7),INDEX('WPP 2024 середина года'!$B:$U,MATCH($A94,'WPP 2024 середина года'!$A:$A,0),MATCH(F$1,'WPP 2024 середина года'!$B$1:$U$1,0)))))</f>
        <v>33390</v>
      </c>
      <c r="G94" s="7">
        <f>IF($A94&lt;=1951,INDEX('SALA 1974'!$B:$U,MATCH($A94,'SALA 1974'!$A:$A,0),MATCH(G$1,'SALA 1974'!$B$1:$U$1,0)),IF($A94&lt;=1994,1000*INDEX('SALA 2002'!$B:$U,MATCH($A94,'SALA 2002'!$A:$A,0),MATCH(G$1,'SALA 2002'!$B$1:$U$1,0)),IF($A94&lt;=2000,1000*INDEX('SALA 2002'!$B:$U,MATCH($A94,'SALA 2002'!$A:$A,0),MATCH(G$1,'SALA 2002'!$B$1:$U$1,0))*POWER(INDEX('WPP 2024 середина года'!$B:$U,MATCH($A94,'WPP 2024 середина года'!$A:$A,0),MATCH(G$1,'WPP 2024 середина года'!$B$1:$U$1,0))/(1000*INDEX('SALA 2002'!$B:$U,MATCH($A94,'SALA 2002'!$A:$A,0),MATCH(G$1,'SALA 2002'!$B$1:$U$1,0))),($A94-1994)/7),INDEX('WPP 2024 середина года'!$B:$U,MATCH($A94,'WPP 2024 середина года'!$A:$A,0),MATCH(G$1,'WPP 2024 середина года'!$B$1:$U$1,0)))))</f>
        <v>2940</v>
      </c>
      <c r="H94" s="7">
        <f>IF($A94&lt;=1951,INDEX('SALA 1974'!$B:$U,MATCH($A94,'SALA 1974'!$A:$A,0),MATCH(H$1,'SALA 1974'!$B$1:$U$1,0)),IF($A94&lt;=1994,1000*INDEX('SALA 2002'!$B:$U,MATCH($A94,'SALA 2002'!$A:$A,0),MATCH(H$1,'SALA 2002'!$B$1:$U$1,0)),IF($A94&lt;=2000,1000*INDEX('SALA 2002'!$B:$U,MATCH($A94,'SALA 2002'!$A:$A,0),MATCH(H$1,'SALA 2002'!$B$1:$U$1,0))*POWER(INDEX('WPP 2024 середина года'!$B:$U,MATCH($A94,'WPP 2024 середина года'!$A:$A,0),MATCH(H$1,'WPP 2024 середина года'!$B$1:$U$1,0))/(1000*INDEX('SALA 2002'!$B:$U,MATCH($A94,'SALA 2002'!$A:$A,0),MATCH(H$1,'SALA 2002'!$B$1:$U$1,0))),($A94-1994)/7),INDEX('WPP 2024 середина года'!$B:$U,MATCH($A94,'WPP 2024 середина года'!$A:$A,0),MATCH(H$1,'WPP 2024 середина года'!$B$1:$U$1,0)))))</f>
        <v>10830</v>
      </c>
      <c r="I94" s="7">
        <f>IF($A94&lt;=1951,INDEX('SALA 1974'!$B:$U,MATCH($A94,'SALA 1974'!$A:$A,0),MATCH(I$1,'SALA 1974'!$B$1:$U$1,0)),IF($A94&lt;=1994,1000*INDEX('SALA 2002'!$B:$U,MATCH($A94,'SALA 2002'!$A:$A,0),MATCH(I$1,'SALA 2002'!$B$1:$U$1,0)),IF($A94&lt;=2000,1000*INDEX('SALA 2002'!$B:$U,MATCH($A94,'SALA 2002'!$A:$A,0),MATCH(I$1,'SALA 2002'!$B$1:$U$1,0))*POWER(INDEX('WPP 2024 середина года'!$B:$U,MATCH($A94,'WPP 2024 середина года'!$A:$A,0),MATCH(I$1,'WPP 2024 середина года'!$B$1:$U$1,0))/(1000*INDEX('SALA 2002'!$B:$U,MATCH($A94,'SALA 2002'!$A:$A,0),MATCH(I$1,'SALA 2002'!$B$1:$U$1,0))),($A94-1994)/7),INDEX('WPP 2024 середина года'!$B:$U,MATCH($A94,'WPP 2024 середина года'!$A:$A,0),MATCH(I$1,'WPP 2024 середина года'!$B$1:$U$1,0)))))</f>
        <v>7470</v>
      </c>
      <c r="J94" s="7">
        <f>IF($A94&lt;=1951,INDEX('SALA 1974'!$B:$U,MATCH($A94,'SALA 1974'!$A:$A,0),MATCH(J$1,'SALA 1974'!$B$1:$U$1,0)),IF($A94&lt;=1994,1000*INDEX('SALA 2002'!$B:$U,MATCH($A94,'SALA 2002'!$A:$A,0),MATCH(J$1,'SALA 2002'!$B$1:$U$1,0)),IF($A94&lt;=2000,1000*INDEX('SALA 2002'!$B:$U,MATCH($A94,'SALA 2002'!$A:$A,0),MATCH(J$1,'SALA 2002'!$B$1:$U$1,0))*POWER(INDEX('WPP 2024 середина года'!$B:$U,MATCH($A94,'WPP 2024 середина года'!$A:$A,0),MATCH(J$1,'WPP 2024 середина года'!$B$1:$U$1,0))/(1000*INDEX('SALA 2002'!$B:$U,MATCH($A94,'SALA 2002'!$A:$A,0),MATCH(J$1,'SALA 2002'!$B$1:$U$1,0))),($A94-1994)/7),INDEX('WPP 2024 середина года'!$B:$U,MATCH($A94,'WPP 2024 середина года'!$A:$A,0),MATCH(J$1,'WPP 2024 середина года'!$B$1:$U$1,0)))))</f>
        <v>10740</v>
      </c>
      <c r="K94" s="7">
        <f>IF($A94&lt;=1951,INDEX('SALA 1974'!$B:$U,MATCH($A94,'SALA 1974'!$A:$A,0),MATCH(K$1,'SALA 1974'!$B$1:$U$1,0)),IF($A94&lt;=1994,1000*INDEX('SALA 2002'!$B:$U,MATCH($A94,'SALA 2002'!$A:$A,0),MATCH(K$1,'SALA 2002'!$B$1:$U$1,0)),IF($A94&lt;=2000,1000*INDEX('SALA 2002'!$B:$U,MATCH($A94,'SALA 2002'!$A:$A,0),MATCH(K$1,'SALA 2002'!$B$1:$U$1,0))*POWER(INDEX('WPP 2024 середина года'!$B:$U,MATCH($A94,'WPP 2024 середина года'!$A:$A,0),MATCH(K$1,'WPP 2024 середина года'!$B$1:$U$1,0))/(1000*INDEX('SALA 2002'!$B:$U,MATCH($A94,'SALA 2002'!$A:$A,0),MATCH(K$1,'SALA 2002'!$B$1:$U$1,0))),($A94-1994)/7),INDEX('WPP 2024 середина года'!$B:$U,MATCH($A94,'WPP 2024 середина года'!$A:$A,0),MATCH(K$1,'WPP 2024 середина года'!$B$1:$U$1,0)))))</f>
        <v>5480</v>
      </c>
      <c r="L94" s="7">
        <f>IF($A94&lt;=1951,INDEX('SALA 1974'!$B:$U,MATCH($A94,'SALA 1974'!$A:$A,0),MATCH(L$1,'SALA 1974'!$B$1:$U$1,0)),IF($A94&lt;=1994,1000*INDEX('SALA 2002'!$B:$U,MATCH($A94,'SALA 2002'!$A:$A,0),MATCH(L$1,'SALA 2002'!$B$1:$U$1,0)),IF($A94&lt;=2000,1000*INDEX('SALA 2002'!$B:$U,MATCH($A94,'SALA 2002'!$A:$A,0),MATCH(L$1,'SALA 2002'!$B$1:$U$1,0))*POWER(INDEX('WPP 2024 середина года'!$B:$U,MATCH($A94,'WPP 2024 середина года'!$A:$A,0),MATCH(L$1,'WPP 2024 середина года'!$B$1:$U$1,0))/(1000*INDEX('SALA 2002'!$B:$U,MATCH($A94,'SALA 2002'!$A:$A,0),MATCH(L$1,'SALA 2002'!$B$1:$U$1,0))),($A94-1994)/7),INDEX('WPP 2024 середина года'!$B:$U,MATCH($A94,'WPP 2024 середина года'!$A:$A,0),MATCH(L$1,'WPP 2024 середина года'!$B$1:$U$1,0)))))</f>
        <v>9750</v>
      </c>
      <c r="M94" s="7">
        <f>IF($A94&lt;=1951,INDEX('SALA 1974'!$B:$U,MATCH($A94,'SALA 1974'!$A:$A,0),MATCH(M$1,'SALA 1974'!$B$1:$U$1,0)),IF($A94&lt;=1994,1000*INDEX('SALA 2002'!$B:$U,MATCH($A94,'SALA 2002'!$A:$A,0),MATCH(M$1,'SALA 2002'!$B$1:$U$1,0)),IF($A94&lt;=2000,1000*INDEX('SALA 2002'!$B:$U,MATCH($A94,'SALA 2002'!$A:$A,0),MATCH(M$1,'SALA 2002'!$B$1:$U$1,0))*POWER(INDEX('WPP 2024 середина года'!$B:$U,MATCH($A94,'WPP 2024 середина года'!$A:$A,0),MATCH(M$1,'WPP 2024 середина года'!$B$1:$U$1,0))/(1000*INDEX('SALA 2002'!$B:$U,MATCH($A94,'SALA 2002'!$A:$A,0),MATCH(M$1,'SALA 2002'!$B$1:$U$1,0))),($A94-1994)/7),INDEX('WPP 2024 середина года'!$B:$U,MATCH($A94,'WPP 2024 середина года'!$A:$A,0),MATCH(M$1,'WPP 2024 середина года'!$B$1:$U$1,0)))))</f>
        <v>6760</v>
      </c>
      <c r="N94" s="7">
        <f>IF($A94&lt;=1951,INDEX('SALA 1974'!$B:$U,MATCH($A94,'SALA 1974'!$A:$A,0),MATCH(N$1,'SALA 1974'!$B$1:$U$1,0)),IF($A94&lt;=1994,1000*INDEX('SALA 2002'!$B:$U,MATCH($A94,'SALA 2002'!$A:$A,0),MATCH(N$1,'SALA 2002'!$B$1:$U$1,0)),IF($A94&lt;=2000,1000*INDEX('SALA 2002'!$B:$U,MATCH($A94,'SALA 2002'!$A:$A,0),MATCH(N$1,'SALA 2002'!$B$1:$U$1,0))*POWER(INDEX('WPP 2024 середина года'!$B:$U,MATCH($A94,'WPP 2024 середина года'!$A:$A,0),MATCH(N$1,'WPP 2024 середина года'!$B$1:$U$1,0))/(1000*INDEX('SALA 2002'!$B:$U,MATCH($A94,'SALA 2002'!$A:$A,0),MATCH(N$1,'SALA 2002'!$B$1:$U$1,0))),($A94-1994)/7),INDEX('WPP 2024 середина года'!$B:$U,MATCH($A94,'WPP 2024 середина года'!$A:$A,0),MATCH(N$1,'WPP 2024 середина года'!$B$1:$U$1,0)))))</f>
        <v>5080</v>
      </c>
      <c r="O94" s="7">
        <f>IF($A94&lt;=1951,INDEX('SALA 1974'!$B:$U,MATCH($A94,'SALA 1974'!$A:$A,0),MATCH(O$1,'SALA 1974'!$B$1:$U$1,0)),IF($A94&lt;=1994,1000*INDEX('SALA 2002'!$B:$U,MATCH($A94,'SALA 2002'!$A:$A,0),MATCH(O$1,'SALA 2002'!$B$1:$U$1,0)),IF($A94&lt;=2000,1000*INDEX('SALA 2002'!$B:$U,MATCH($A94,'SALA 2002'!$A:$A,0),MATCH(O$1,'SALA 2002'!$B$1:$U$1,0))*POWER(INDEX('WPP 2024 середина года'!$B:$U,MATCH($A94,'WPP 2024 середина года'!$A:$A,0),MATCH(O$1,'WPP 2024 середина года'!$B$1:$U$1,0))/(1000*INDEX('SALA 2002'!$B:$U,MATCH($A94,'SALA 2002'!$A:$A,0),MATCH(O$1,'SALA 2002'!$B$1:$U$1,0))),($A94-1994)/7),INDEX('WPP 2024 середина года'!$B:$U,MATCH($A94,'WPP 2024 середина года'!$A:$A,0),MATCH(O$1,'WPP 2024 середина года'!$B$1:$U$1,0)))))</f>
        <v>86390</v>
      </c>
      <c r="P94" s="7">
        <f>IF($A94&lt;=1951,INDEX('SALA 1974'!$B:$U,MATCH($A94,'SALA 1974'!$A:$A,0),MATCH(P$1,'SALA 1974'!$B$1:$U$1,0)),IF($A94&lt;=1994,1000*INDEX('SALA 2002'!$B:$U,MATCH($A94,'SALA 2002'!$A:$A,0),MATCH(P$1,'SALA 2002'!$B$1:$U$1,0)),IF($A94&lt;=2000,1000*INDEX('SALA 2002'!$B:$U,MATCH($A94,'SALA 2002'!$A:$A,0),MATCH(P$1,'SALA 2002'!$B$1:$U$1,0))*POWER(INDEX('WPP 2024 середина года'!$B:$U,MATCH($A94,'WPP 2024 середина года'!$A:$A,0),MATCH(P$1,'WPP 2024 середина года'!$B$1:$U$1,0))/(1000*INDEX('SALA 2002'!$B:$U,MATCH($A94,'SALA 2002'!$A:$A,0),MATCH(P$1,'SALA 2002'!$B$1:$U$1,0))),($A94-1994)/7),INDEX('WPP 2024 середина года'!$B:$U,MATCH($A94,'WPP 2024 середина года'!$A:$A,0),MATCH(P$1,'WPP 2024 середина года'!$B$1:$U$1,0)))))</f>
        <v>4130</v>
      </c>
      <c r="Q94" s="7">
        <f>IF($A94&lt;=1951,INDEX('SALA 1974'!$B:$U,MATCH($A94,'SALA 1974'!$A:$A,0),MATCH(Q$1,'SALA 1974'!$B$1:$U$1,0)),IF($A94&lt;=1994,1000*INDEX('SALA 2002'!$B:$U,MATCH($A94,'SALA 2002'!$A:$A,0),MATCH(Q$1,'SALA 2002'!$B$1:$U$1,0)),IF($A94&lt;=2000,1000*INDEX('SALA 2002'!$B:$U,MATCH($A94,'SALA 2002'!$A:$A,0),MATCH(Q$1,'SALA 2002'!$B$1:$U$1,0))*POWER(INDEX('WPP 2024 середина года'!$B:$U,MATCH($A94,'WPP 2024 середина года'!$A:$A,0),MATCH(Q$1,'WPP 2024 середина года'!$B$1:$U$1,0))/(1000*INDEX('SALA 2002'!$B:$U,MATCH($A94,'SALA 2002'!$A:$A,0),MATCH(Q$1,'SALA 2002'!$B$1:$U$1,0))),($A94-1994)/7),INDEX('WPP 2024 середина года'!$B:$U,MATCH($A94,'WPP 2024 середина года'!$A:$A,0),MATCH(Q$1,'WPP 2024 середина года'!$B$1:$U$1,0)))))</f>
        <v>2490</v>
      </c>
      <c r="R94" s="7">
        <f>IF($A94&lt;=1951,INDEX('SALA 1974'!$B:$U,MATCH($A94,'SALA 1974'!$A:$A,0),MATCH(R$1,'SALA 1974'!$B$1:$U$1,0)),IF($A94&lt;=1994,1000*INDEX('SALA 2002'!$B:$U,MATCH($A94,'SALA 2002'!$A:$A,0),MATCH(R$1,'SALA 2002'!$B$1:$U$1,0)),IF($A94&lt;=2000,1000*INDEX('SALA 2002'!$B:$U,MATCH($A94,'SALA 2002'!$A:$A,0),MATCH(R$1,'SALA 2002'!$B$1:$U$1,0))*POWER(INDEX('WPP 2024 середина года'!$B:$U,MATCH($A94,'WPP 2024 середина года'!$A:$A,0),MATCH(R$1,'WPP 2024 середина года'!$B$1:$U$1,0))/(1000*INDEX('SALA 2002'!$B:$U,MATCH($A94,'SALA 2002'!$A:$A,0),MATCH(R$1,'SALA 2002'!$B$1:$U$1,0))),($A94-1994)/7),INDEX('WPP 2024 середина года'!$B:$U,MATCH($A94,'WPP 2024 середина года'!$A:$A,0),MATCH(R$1,'WPP 2024 середина года'!$B$1:$U$1,0)))))</f>
        <v>4450</v>
      </c>
      <c r="S94" s="7">
        <f>IF($A94&lt;=1951,INDEX('SALA 1974'!$B:$U,MATCH($A94,'SALA 1974'!$A:$A,0),MATCH(S$1,'SALA 1974'!$B$1:$U$1,0)),IF($A94&lt;=1994,1000*INDEX('SALA 2002'!$B:$U,MATCH($A94,'SALA 2002'!$A:$A,0),MATCH(S$1,'SALA 2002'!$B$1:$U$1,0)),IF($A94&lt;=2000,1000*INDEX('SALA 2002'!$B:$U,MATCH($A94,'SALA 2002'!$A:$A,0),MATCH(S$1,'SALA 2002'!$B$1:$U$1,0))*POWER(INDEX('WPP 2024 середина года'!$B:$U,MATCH($A94,'WPP 2024 середина года'!$A:$A,0),MATCH(S$1,'WPP 2024 середина года'!$B$1:$U$1,0))/(1000*INDEX('SALA 2002'!$B:$U,MATCH($A94,'SALA 2002'!$A:$A,0),MATCH(S$1,'SALA 2002'!$B$1:$U$1,0))),($A94-1994)/7),INDEX('WPP 2024 середина года'!$B:$U,MATCH($A94,'WPP 2024 середина года'!$A:$A,0),MATCH(S$1,'WPP 2024 середина года'!$B$1:$U$1,0)))))</f>
        <v>22450</v>
      </c>
      <c r="T94" s="7">
        <f>IF($A94&lt;=1951,INDEX('SALA 1974'!$B:$U,MATCH($A94,'SALA 1974'!$A:$A,0),MATCH(T$1,'SALA 1974'!$B$1:$U$1,0)),IF($A94&lt;=1994,1000*INDEX('SALA 2002'!$B:$U,MATCH($A94,'SALA 2002'!$A:$A,0),MATCH(T$1,'SALA 2002'!$B$1:$U$1,0)),IF($A94&lt;=2000,1000*INDEX('SALA 2002'!$B:$U,MATCH($A94,'SALA 2002'!$A:$A,0),MATCH(T$1,'SALA 2002'!$B$1:$U$1,0))*POWER(INDEX('WPP 2024 середина года'!$B:$U,MATCH($A94,'WPP 2024 середина года'!$A:$A,0),MATCH(T$1,'WPP 2024 середина года'!$B$1:$U$1,0))/(1000*INDEX('SALA 2002'!$B:$U,MATCH($A94,'SALA 2002'!$A:$A,0),MATCH(T$1,'SALA 2002'!$B$1:$U$1,0))),($A94-1994)/7),INDEX('WPP 2024 середина года'!$B:$U,MATCH($A94,'WPP 2024 середина года'!$A:$A,0),MATCH(T$1,'WPP 2024 середина года'!$B$1:$U$1,0)))))</f>
        <v>3150</v>
      </c>
      <c r="U94" s="7">
        <f>IF($A94&lt;=1951,INDEX('SALA 1974'!$B:$U,MATCH($A94,'SALA 1974'!$A:$A,0),MATCH(U$1,'SALA 1974'!$B$1:$U$1,0)),IF($A94&lt;=1994,1000*INDEX('SALA 2002'!$B:$U,MATCH($A94,'SALA 2002'!$A:$A,0),MATCH(U$1,'SALA 2002'!$B$1:$U$1,0)),IF($A94&lt;=2000,1000*INDEX('SALA 2002'!$B:$U,MATCH($A94,'SALA 2002'!$A:$A,0),MATCH(U$1,'SALA 2002'!$B$1:$U$1,0))*POWER(INDEX('WPP 2024 середина года'!$B:$U,MATCH($A94,'WPP 2024 середина года'!$A:$A,0),MATCH(U$1,'WPP 2024 середина года'!$B$1:$U$1,0))/(1000*INDEX('SALA 2002'!$B:$U,MATCH($A94,'SALA 2002'!$A:$A,0),MATCH(U$1,'SALA 2002'!$B$1:$U$1,0))),($A94-1994)/7),INDEX('WPP 2024 середина года'!$B:$U,MATCH($A94,'WPP 2024 середина года'!$A:$A,0),MATCH(U$1,'WPP 2024 середина года'!$B$1:$U$1,0)))))</f>
        <v>20440</v>
      </c>
    </row>
    <row r="95" spans="1:21" x14ac:dyDescent="0.25">
      <c r="A95" s="5">
        <f t="shared" si="1"/>
        <v>1993</v>
      </c>
      <c r="B95" s="7">
        <f>IF($A95&lt;=1951,INDEX('SALA 1974'!$B:$U,MATCH($A95,'SALA 1974'!$A:$A,0),MATCH(B$1,'SALA 1974'!$B$1:$U$1,0)),IF($A95&lt;=1994,1000*INDEX('SALA 2002'!$B:$U,MATCH($A95,'SALA 2002'!$A:$A,0),MATCH(B$1,'SALA 2002'!$B$1:$U$1,0)),IF($A95&lt;=2000,1000*INDEX('SALA 2002'!$B:$U,MATCH($A95,'SALA 2002'!$A:$A,0),MATCH(B$1,'SALA 2002'!$B$1:$U$1,0))*POWER(INDEX('WPP 2024 середина года'!$B:$U,MATCH($A95,'WPP 2024 середина года'!$A:$A,0),MATCH(B$1,'WPP 2024 середина года'!$B$1:$U$1,0))/(1000*INDEX('SALA 2002'!$B:$U,MATCH($A95,'SALA 2002'!$A:$A,0),MATCH(B$1,'SALA 2002'!$B$1:$U$1,0))),($A95-1994)/7),INDEX('WPP 2024 середина года'!$B:$U,MATCH($A95,'WPP 2024 середина года'!$A:$A,0),MATCH(B$1,'WPP 2024 середина года'!$B$1:$U$1,0)))))</f>
        <v>33870</v>
      </c>
      <c r="C95" s="7">
        <f>IF($A95&lt;=1951,INDEX('SALA 1974'!$B:$U,MATCH($A95,'SALA 1974'!$A:$A,0),MATCH(C$1,'SALA 1974'!$B$1:$U$1,0)),IF($A95&lt;=1994,1000*INDEX('SALA 2002'!$B:$U,MATCH($A95,'SALA 2002'!$A:$A,0),MATCH(C$1,'SALA 2002'!$B$1:$U$1,0)),IF($A95&lt;=2000,1000*INDEX('SALA 2002'!$B:$U,MATCH($A95,'SALA 2002'!$A:$A,0),MATCH(C$1,'SALA 2002'!$B$1:$U$1,0))*POWER(INDEX('WPP 2024 середина года'!$B:$U,MATCH($A95,'WPP 2024 середина года'!$A:$A,0),MATCH(C$1,'WPP 2024 середина года'!$B$1:$U$1,0))/(1000*INDEX('SALA 2002'!$B:$U,MATCH($A95,'SALA 2002'!$A:$A,0),MATCH(C$1,'SALA 2002'!$B$1:$U$1,0))),($A95-1994)/7),INDEX('WPP 2024 середина года'!$B:$U,MATCH($A95,'WPP 2024 середина года'!$A:$A,0),MATCH(C$1,'WPP 2024 середина года'!$B$1:$U$1,0)))))</f>
        <v>7070</v>
      </c>
      <c r="D95" s="7">
        <f>IF($A95&lt;=1951,INDEX('SALA 1974'!$B:$U,MATCH($A95,'SALA 1974'!$A:$A,0),MATCH(D$1,'SALA 1974'!$B$1:$U$1,0)),IF($A95&lt;=1994,1000*INDEX('SALA 2002'!$B:$U,MATCH($A95,'SALA 2002'!$A:$A,0),MATCH(D$1,'SALA 2002'!$B$1:$U$1,0)),IF($A95&lt;=2000,1000*INDEX('SALA 2002'!$B:$U,MATCH($A95,'SALA 2002'!$A:$A,0),MATCH(D$1,'SALA 2002'!$B$1:$U$1,0))*POWER(INDEX('WPP 2024 середина года'!$B:$U,MATCH($A95,'WPP 2024 середина года'!$A:$A,0),MATCH(D$1,'WPP 2024 середина года'!$B$1:$U$1,0))/(1000*INDEX('SALA 2002'!$B:$U,MATCH($A95,'SALA 2002'!$A:$A,0),MATCH(D$1,'SALA 2002'!$B$1:$U$1,0))),($A95-1994)/7),INDEX('WPP 2024 середина года'!$B:$U,MATCH($A95,'WPP 2024 середина года'!$A:$A,0),MATCH(D$1,'WPP 2024 середина года'!$B$1:$U$1,0)))))</f>
        <v>151570</v>
      </c>
      <c r="E95" s="7">
        <f>IF($A95&lt;=1951,INDEX('SALA 1974'!$B:$U,MATCH($A95,'SALA 1974'!$A:$A,0),MATCH(E$1,'SALA 1974'!$B$1:$U$1,0)),IF($A95&lt;=1994,1000*INDEX('SALA 2002'!$B:$U,MATCH($A95,'SALA 2002'!$A:$A,0),MATCH(E$1,'SALA 2002'!$B$1:$U$1,0)),IF($A95&lt;=2000,1000*INDEX('SALA 2002'!$B:$U,MATCH($A95,'SALA 2002'!$A:$A,0),MATCH(E$1,'SALA 2002'!$B$1:$U$1,0))*POWER(INDEX('WPP 2024 середина года'!$B:$U,MATCH($A95,'WPP 2024 середина года'!$A:$A,0),MATCH(E$1,'WPP 2024 середина года'!$B$1:$U$1,0))/(1000*INDEX('SALA 2002'!$B:$U,MATCH($A95,'SALA 2002'!$A:$A,0),MATCH(E$1,'SALA 2002'!$B$1:$U$1,0))),($A95-1994)/7),INDEX('WPP 2024 середина года'!$B:$U,MATCH($A95,'WPP 2024 середина года'!$A:$A,0),MATCH(E$1,'WPP 2024 середина года'!$B$1:$U$1,0)))))</f>
        <v>13770</v>
      </c>
      <c r="F95" s="7">
        <f>IF($A95&lt;=1947,INDEX('SALA 1974'!$B:$U,MATCH($A95,'SALA 1974'!$A:$A,0),MATCH(F$1,'SALA 1974'!$B$1:$U$1,0)),IF($A95&lt;=1994,1000*INDEX('SALA 2002'!$B:$U,MATCH($A95,'SALA 2002'!$A:$A,0),MATCH(F$1,'SALA 2002'!$B$1:$U$1,0)),IF($A95&lt;=2000,1000*INDEX('SALA 2002'!$B:$U,MATCH($A95,'SALA 2002'!$A:$A,0),MATCH(F$1,'SALA 2002'!$B$1:$U$1,0))*POWER(INDEX('WPP 2024 середина года'!$B:$U,MATCH($A95,'WPP 2024 середина года'!$A:$A,0),MATCH(F$1,'WPP 2024 середина года'!$B$1:$U$1,0))/(1000*INDEX('SALA 2002'!$B:$U,MATCH($A95,'SALA 2002'!$A:$A,0),MATCH(F$1,'SALA 2002'!$B$1:$U$1,0))),($A95-1994)/7),INDEX('WPP 2024 середина года'!$B:$U,MATCH($A95,'WPP 2024 середина года'!$A:$A,0),MATCH(F$1,'WPP 2024 середина года'!$B$1:$U$1,0)))))</f>
        <v>33950</v>
      </c>
      <c r="G95" s="7">
        <f>IF($A95&lt;=1951,INDEX('SALA 1974'!$B:$U,MATCH($A95,'SALA 1974'!$A:$A,0),MATCH(G$1,'SALA 1974'!$B$1:$U$1,0)),IF($A95&lt;=1994,1000*INDEX('SALA 2002'!$B:$U,MATCH($A95,'SALA 2002'!$A:$A,0),MATCH(G$1,'SALA 2002'!$B$1:$U$1,0)),IF($A95&lt;=2000,1000*INDEX('SALA 2002'!$B:$U,MATCH($A95,'SALA 2002'!$A:$A,0),MATCH(G$1,'SALA 2002'!$B$1:$U$1,0))*POWER(INDEX('WPP 2024 середина года'!$B:$U,MATCH($A95,'WPP 2024 середина года'!$A:$A,0),MATCH(G$1,'WPP 2024 середина года'!$B$1:$U$1,0))/(1000*INDEX('SALA 2002'!$B:$U,MATCH($A95,'SALA 2002'!$A:$A,0),MATCH(G$1,'SALA 2002'!$B$1:$U$1,0))),($A95-1994)/7),INDEX('WPP 2024 середина года'!$B:$U,MATCH($A95,'WPP 2024 середина года'!$A:$A,0),MATCH(G$1,'WPP 2024 середина года'!$B$1:$U$1,0)))))</f>
        <v>3010</v>
      </c>
      <c r="H95" s="7">
        <f>IF($A95&lt;=1951,INDEX('SALA 1974'!$B:$U,MATCH($A95,'SALA 1974'!$A:$A,0),MATCH(H$1,'SALA 1974'!$B$1:$U$1,0)),IF($A95&lt;=1994,1000*INDEX('SALA 2002'!$B:$U,MATCH($A95,'SALA 2002'!$A:$A,0),MATCH(H$1,'SALA 2002'!$B$1:$U$1,0)),IF($A95&lt;=2000,1000*INDEX('SALA 2002'!$B:$U,MATCH($A95,'SALA 2002'!$A:$A,0),MATCH(H$1,'SALA 2002'!$B$1:$U$1,0))*POWER(INDEX('WPP 2024 середина года'!$B:$U,MATCH($A95,'WPP 2024 середина года'!$A:$A,0),MATCH(H$1,'WPP 2024 середина года'!$B$1:$U$1,0))/(1000*INDEX('SALA 2002'!$B:$U,MATCH($A95,'SALA 2002'!$A:$A,0),MATCH(H$1,'SALA 2002'!$B$1:$U$1,0))),($A95-1994)/7),INDEX('WPP 2024 середина года'!$B:$U,MATCH($A95,'WPP 2024 середина года'!$A:$A,0),MATCH(H$1,'WPP 2024 середина года'!$B$1:$U$1,0)))))</f>
        <v>10900</v>
      </c>
      <c r="I95" s="7">
        <f>IF($A95&lt;=1951,INDEX('SALA 1974'!$B:$U,MATCH($A95,'SALA 1974'!$A:$A,0),MATCH(I$1,'SALA 1974'!$B$1:$U$1,0)),IF($A95&lt;=1994,1000*INDEX('SALA 2002'!$B:$U,MATCH($A95,'SALA 2002'!$A:$A,0),MATCH(I$1,'SALA 2002'!$B$1:$U$1,0)),IF($A95&lt;=2000,1000*INDEX('SALA 2002'!$B:$U,MATCH($A95,'SALA 2002'!$A:$A,0),MATCH(I$1,'SALA 2002'!$B$1:$U$1,0))*POWER(INDEX('WPP 2024 середина года'!$B:$U,MATCH($A95,'WPP 2024 середина года'!$A:$A,0),MATCH(I$1,'WPP 2024 середина года'!$B$1:$U$1,0))/(1000*INDEX('SALA 2002'!$B:$U,MATCH($A95,'SALA 2002'!$A:$A,0),MATCH(I$1,'SALA 2002'!$B$1:$U$1,0))),($A95-1994)/7),INDEX('WPP 2024 середина года'!$B:$U,MATCH($A95,'WPP 2024 середина года'!$A:$A,0),MATCH(I$1,'WPP 2024 середина года'!$B$1:$U$1,0)))))</f>
        <v>7620</v>
      </c>
      <c r="J95" s="7">
        <f>IF($A95&lt;=1951,INDEX('SALA 1974'!$B:$U,MATCH($A95,'SALA 1974'!$A:$A,0),MATCH(J$1,'SALA 1974'!$B$1:$U$1,0)),IF($A95&lt;=1994,1000*INDEX('SALA 2002'!$B:$U,MATCH($A95,'SALA 2002'!$A:$A,0),MATCH(J$1,'SALA 2002'!$B$1:$U$1,0)),IF($A95&lt;=2000,1000*INDEX('SALA 2002'!$B:$U,MATCH($A95,'SALA 2002'!$A:$A,0),MATCH(J$1,'SALA 2002'!$B$1:$U$1,0))*POWER(INDEX('WPP 2024 середина года'!$B:$U,MATCH($A95,'WPP 2024 середина года'!$A:$A,0),MATCH(J$1,'WPP 2024 середина года'!$B$1:$U$1,0))/(1000*INDEX('SALA 2002'!$B:$U,MATCH($A95,'SALA 2002'!$A:$A,0),MATCH(J$1,'SALA 2002'!$B$1:$U$1,0))),($A95-1994)/7),INDEX('WPP 2024 середина года'!$B:$U,MATCH($A95,'WPP 2024 середина года'!$A:$A,0),MATCH(J$1,'WPP 2024 середина года'!$B$1:$U$1,0)))))</f>
        <v>10980</v>
      </c>
      <c r="K95" s="7">
        <f>IF($A95&lt;=1951,INDEX('SALA 1974'!$B:$U,MATCH($A95,'SALA 1974'!$A:$A,0),MATCH(K$1,'SALA 1974'!$B$1:$U$1,0)),IF($A95&lt;=1994,1000*INDEX('SALA 2002'!$B:$U,MATCH($A95,'SALA 2002'!$A:$A,0),MATCH(K$1,'SALA 2002'!$B$1:$U$1,0)),IF($A95&lt;=2000,1000*INDEX('SALA 2002'!$B:$U,MATCH($A95,'SALA 2002'!$A:$A,0),MATCH(K$1,'SALA 2002'!$B$1:$U$1,0))*POWER(INDEX('WPP 2024 середина года'!$B:$U,MATCH($A95,'WPP 2024 середина года'!$A:$A,0),MATCH(K$1,'WPP 2024 середина года'!$B$1:$U$1,0))/(1000*INDEX('SALA 2002'!$B:$U,MATCH($A95,'SALA 2002'!$A:$A,0),MATCH(K$1,'SALA 2002'!$B$1:$U$1,0))),($A95-1994)/7),INDEX('WPP 2024 середина года'!$B:$U,MATCH($A95,'WPP 2024 середина года'!$A:$A,0),MATCH(K$1,'WPP 2024 середина года'!$B$1:$U$1,0)))))</f>
        <v>5430</v>
      </c>
      <c r="L95" s="7">
        <f>IF($A95&lt;=1951,INDEX('SALA 1974'!$B:$U,MATCH($A95,'SALA 1974'!$A:$A,0),MATCH(L$1,'SALA 1974'!$B$1:$U$1,0)),IF($A95&lt;=1994,1000*INDEX('SALA 2002'!$B:$U,MATCH($A95,'SALA 2002'!$A:$A,0),MATCH(L$1,'SALA 2002'!$B$1:$U$1,0)),IF($A95&lt;=2000,1000*INDEX('SALA 2002'!$B:$U,MATCH($A95,'SALA 2002'!$A:$A,0),MATCH(L$1,'SALA 2002'!$B$1:$U$1,0))*POWER(INDEX('WPP 2024 середина года'!$B:$U,MATCH($A95,'WPP 2024 середина года'!$A:$A,0),MATCH(L$1,'WPP 2024 середина года'!$B$1:$U$1,0))/(1000*INDEX('SALA 2002'!$B:$U,MATCH($A95,'SALA 2002'!$A:$A,0),MATCH(L$1,'SALA 2002'!$B$1:$U$1,0))),($A95-1994)/7),INDEX('WPP 2024 середина года'!$B:$U,MATCH($A95,'WPP 2024 середина года'!$A:$A,0),MATCH(L$1,'WPP 2024 середина года'!$B$1:$U$1,0)))))</f>
        <v>10030</v>
      </c>
      <c r="M95" s="7">
        <f>IF($A95&lt;=1951,INDEX('SALA 1974'!$B:$U,MATCH($A95,'SALA 1974'!$A:$A,0),MATCH(M$1,'SALA 1974'!$B$1:$U$1,0)),IF($A95&lt;=1994,1000*INDEX('SALA 2002'!$B:$U,MATCH($A95,'SALA 2002'!$A:$A,0),MATCH(M$1,'SALA 2002'!$B$1:$U$1,0)),IF($A95&lt;=2000,1000*INDEX('SALA 2002'!$B:$U,MATCH($A95,'SALA 2002'!$A:$A,0),MATCH(M$1,'SALA 2002'!$B$1:$U$1,0))*POWER(INDEX('WPP 2024 середина года'!$B:$U,MATCH($A95,'WPP 2024 середина года'!$A:$A,0),MATCH(M$1,'WPP 2024 середина года'!$B$1:$U$1,0))/(1000*INDEX('SALA 2002'!$B:$U,MATCH($A95,'SALA 2002'!$A:$A,0),MATCH(M$1,'SALA 2002'!$B$1:$U$1,0))),($A95-1994)/7),INDEX('WPP 2024 середина года'!$B:$U,MATCH($A95,'WPP 2024 середина года'!$A:$A,0),MATCH(M$1,'WPP 2024 середина года'!$B$1:$U$1,0)))))</f>
        <v>6900</v>
      </c>
      <c r="N95" s="7">
        <f>IF($A95&lt;=1951,INDEX('SALA 1974'!$B:$U,MATCH($A95,'SALA 1974'!$A:$A,0),MATCH(N$1,'SALA 1974'!$B$1:$U$1,0)),IF($A95&lt;=1994,1000*INDEX('SALA 2002'!$B:$U,MATCH($A95,'SALA 2002'!$A:$A,0),MATCH(N$1,'SALA 2002'!$B$1:$U$1,0)),IF($A95&lt;=2000,1000*INDEX('SALA 2002'!$B:$U,MATCH($A95,'SALA 2002'!$A:$A,0),MATCH(N$1,'SALA 2002'!$B$1:$U$1,0))*POWER(INDEX('WPP 2024 середина года'!$B:$U,MATCH($A95,'WPP 2024 середина года'!$A:$A,0),MATCH(N$1,'WPP 2024 середина года'!$B$1:$U$1,0))/(1000*INDEX('SALA 2002'!$B:$U,MATCH($A95,'SALA 2002'!$A:$A,0),MATCH(N$1,'SALA 2002'!$B$1:$U$1,0))),($A95-1994)/7),INDEX('WPP 2024 середина года'!$B:$U,MATCH($A95,'WPP 2024 середина года'!$A:$A,0),MATCH(N$1,'WPP 2024 середина года'!$B$1:$U$1,0)))))</f>
        <v>5250</v>
      </c>
      <c r="O95" s="7">
        <f>IF($A95&lt;=1951,INDEX('SALA 1974'!$B:$U,MATCH($A95,'SALA 1974'!$A:$A,0),MATCH(O$1,'SALA 1974'!$B$1:$U$1,0)),IF($A95&lt;=1994,1000*INDEX('SALA 2002'!$B:$U,MATCH($A95,'SALA 2002'!$A:$A,0),MATCH(O$1,'SALA 2002'!$B$1:$U$1,0)),IF($A95&lt;=2000,1000*INDEX('SALA 2002'!$B:$U,MATCH($A95,'SALA 2002'!$A:$A,0),MATCH(O$1,'SALA 2002'!$B$1:$U$1,0))*POWER(INDEX('WPP 2024 середина года'!$B:$U,MATCH($A95,'WPP 2024 середина года'!$A:$A,0),MATCH(O$1,'WPP 2024 середина года'!$B$1:$U$1,0))/(1000*INDEX('SALA 2002'!$B:$U,MATCH($A95,'SALA 2002'!$A:$A,0),MATCH(O$1,'SALA 2002'!$B$1:$U$1,0))),($A95-1994)/7),INDEX('WPP 2024 середина года'!$B:$U,MATCH($A95,'WPP 2024 середина года'!$A:$A,0),MATCH(O$1,'WPP 2024 середина года'!$B$1:$U$1,0)))))</f>
        <v>87980</v>
      </c>
      <c r="P95" s="7">
        <f>IF($A95&lt;=1951,INDEX('SALA 1974'!$B:$U,MATCH($A95,'SALA 1974'!$A:$A,0),MATCH(P$1,'SALA 1974'!$B$1:$U$1,0)),IF($A95&lt;=1994,1000*INDEX('SALA 2002'!$B:$U,MATCH($A95,'SALA 2002'!$A:$A,0),MATCH(P$1,'SALA 2002'!$B$1:$U$1,0)),IF($A95&lt;=2000,1000*INDEX('SALA 2002'!$B:$U,MATCH($A95,'SALA 2002'!$A:$A,0),MATCH(P$1,'SALA 2002'!$B$1:$U$1,0))*POWER(INDEX('WPP 2024 середина года'!$B:$U,MATCH($A95,'WPP 2024 середина года'!$A:$A,0),MATCH(P$1,'WPP 2024 середина года'!$B$1:$U$1,0))/(1000*INDEX('SALA 2002'!$B:$U,MATCH($A95,'SALA 2002'!$A:$A,0),MATCH(P$1,'SALA 2002'!$B$1:$U$1,0))),($A95-1994)/7),INDEX('WPP 2024 середина года'!$B:$U,MATCH($A95,'WPP 2024 середина года'!$A:$A,0),MATCH(P$1,'WPP 2024 середина года'!$B$1:$U$1,0)))))</f>
        <v>4270</v>
      </c>
      <c r="Q95" s="7">
        <f>IF($A95&lt;=1951,INDEX('SALA 1974'!$B:$U,MATCH($A95,'SALA 1974'!$A:$A,0),MATCH(Q$1,'SALA 1974'!$B$1:$U$1,0)),IF($A95&lt;=1994,1000*INDEX('SALA 2002'!$B:$U,MATCH($A95,'SALA 2002'!$A:$A,0),MATCH(Q$1,'SALA 2002'!$B$1:$U$1,0)),IF($A95&lt;=2000,1000*INDEX('SALA 2002'!$B:$U,MATCH($A95,'SALA 2002'!$A:$A,0),MATCH(Q$1,'SALA 2002'!$B$1:$U$1,0))*POWER(INDEX('WPP 2024 середина года'!$B:$U,MATCH($A95,'WPP 2024 середина года'!$A:$A,0),MATCH(Q$1,'WPP 2024 середина года'!$B$1:$U$1,0))/(1000*INDEX('SALA 2002'!$B:$U,MATCH($A95,'SALA 2002'!$A:$A,0),MATCH(Q$1,'SALA 2002'!$B$1:$U$1,0))),($A95-1994)/7),INDEX('WPP 2024 середина года'!$B:$U,MATCH($A95,'WPP 2024 середина года'!$A:$A,0),MATCH(Q$1,'WPP 2024 середина года'!$B$1:$U$1,0)))))</f>
        <v>2540</v>
      </c>
      <c r="R95" s="7">
        <f>IF($A95&lt;=1951,INDEX('SALA 1974'!$B:$U,MATCH($A95,'SALA 1974'!$A:$A,0),MATCH(R$1,'SALA 1974'!$B$1:$U$1,0)),IF($A95&lt;=1994,1000*INDEX('SALA 2002'!$B:$U,MATCH($A95,'SALA 2002'!$A:$A,0),MATCH(R$1,'SALA 2002'!$B$1:$U$1,0)),IF($A95&lt;=2000,1000*INDEX('SALA 2002'!$B:$U,MATCH($A95,'SALA 2002'!$A:$A,0),MATCH(R$1,'SALA 2002'!$B$1:$U$1,0))*POWER(INDEX('WPP 2024 середина года'!$B:$U,MATCH($A95,'WPP 2024 середина года'!$A:$A,0),MATCH(R$1,'WPP 2024 середина года'!$B$1:$U$1,0))/(1000*INDEX('SALA 2002'!$B:$U,MATCH($A95,'SALA 2002'!$A:$A,0),MATCH(R$1,'SALA 2002'!$B$1:$U$1,0))),($A95-1994)/7),INDEX('WPP 2024 середина года'!$B:$U,MATCH($A95,'WPP 2024 середина года'!$A:$A,0),MATCH(R$1,'WPP 2024 середина года'!$B$1:$U$1,0)))))</f>
        <v>4580</v>
      </c>
      <c r="S95" s="7">
        <f>IF($A95&lt;=1951,INDEX('SALA 1974'!$B:$U,MATCH($A95,'SALA 1974'!$A:$A,0),MATCH(S$1,'SALA 1974'!$B$1:$U$1,0)),IF($A95&lt;=1994,1000*INDEX('SALA 2002'!$B:$U,MATCH($A95,'SALA 2002'!$A:$A,0),MATCH(S$1,'SALA 2002'!$B$1:$U$1,0)),IF($A95&lt;=2000,1000*INDEX('SALA 2002'!$B:$U,MATCH($A95,'SALA 2002'!$A:$A,0),MATCH(S$1,'SALA 2002'!$B$1:$U$1,0))*POWER(INDEX('WPP 2024 середина года'!$B:$U,MATCH($A95,'WPP 2024 середина года'!$A:$A,0),MATCH(S$1,'WPP 2024 середина года'!$B$1:$U$1,0))/(1000*INDEX('SALA 2002'!$B:$U,MATCH($A95,'SALA 2002'!$A:$A,0),MATCH(S$1,'SALA 2002'!$B$1:$U$1,0))),($A95-1994)/7),INDEX('WPP 2024 середина года'!$B:$U,MATCH($A95,'WPP 2024 середина года'!$A:$A,0),MATCH(S$1,'WPP 2024 середина года'!$B$1:$U$1,0)))))</f>
        <v>22740</v>
      </c>
      <c r="T95" s="7">
        <f>IF($A95&lt;=1951,INDEX('SALA 1974'!$B:$U,MATCH($A95,'SALA 1974'!$A:$A,0),MATCH(T$1,'SALA 1974'!$B$1:$U$1,0)),IF($A95&lt;=1994,1000*INDEX('SALA 2002'!$B:$U,MATCH($A95,'SALA 2002'!$A:$A,0),MATCH(T$1,'SALA 2002'!$B$1:$U$1,0)),IF($A95&lt;=2000,1000*INDEX('SALA 2002'!$B:$U,MATCH($A95,'SALA 2002'!$A:$A,0),MATCH(T$1,'SALA 2002'!$B$1:$U$1,0))*POWER(INDEX('WPP 2024 середина года'!$B:$U,MATCH($A95,'WPP 2024 середина года'!$A:$A,0),MATCH(T$1,'WPP 2024 середина года'!$B$1:$U$1,0))/(1000*INDEX('SALA 2002'!$B:$U,MATCH($A95,'SALA 2002'!$A:$A,0),MATCH(T$1,'SALA 2002'!$B$1:$U$1,0))),($A95-1994)/7),INDEX('WPP 2024 середина года'!$B:$U,MATCH($A95,'WPP 2024 середина года'!$A:$A,0),MATCH(T$1,'WPP 2024 середина года'!$B$1:$U$1,0)))))</f>
        <v>3170</v>
      </c>
      <c r="U95" s="7">
        <f>IF($A95&lt;=1951,INDEX('SALA 1974'!$B:$U,MATCH($A95,'SALA 1974'!$A:$A,0),MATCH(U$1,'SALA 1974'!$B$1:$U$1,0)),IF($A95&lt;=1994,1000*INDEX('SALA 2002'!$B:$U,MATCH($A95,'SALA 2002'!$A:$A,0),MATCH(U$1,'SALA 2002'!$B$1:$U$1,0)),IF($A95&lt;=2000,1000*INDEX('SALA 2002'!$B:$U,MATCH($A95,'SALA 2002'!$A:$A,0),MATCH(U$1,'SALA 2002'!$B$1:$U$1,0))*POWER(INDEX('WPP 2024 середина года'!$B:$U,MATCH($A95,'WPP 2024 середина года'!$A:$A,0),MATCH(U$1,'WPP 2024 середина года'!$B$1:$U$1,0))/(1000*INDEX('SALA 2002'!$B:$U,MATCH($A95,'SALA 2002'!$A:$A,0),MATCH(U$1,'SALA 2002'!$B$1:$U$1,0))),($A95-1994)/7),INDEX('WPP 2024 середина года'!$B:$U,MATCH($A95,'WPP 2024 середина года'!$A:$A,0),MATCH(U$1,'WPP 2024 середина года'!$B$1:$U$1,0)))))</f>
        <v>20910</v>
      </c>
    </row>
    <row r="96" spans="1:21" x14ac:dyDescent="0.25">
      <c r="A96" s="5">
        <f t="shared" si="1"/>
        <v>1994</v>
      </c>
      <c r="B96" s="7">
        <f>IF($A96&lt;=1951,INDEX('SALA 1974'!$B:$U,MATCH($A96,'SALA 1974'!$A:$A,0),MATCH(B$1,'SALA 1974'!$B$1:$U$1,0)),IF($A96&lt;=1994,1000*INDEX('SALA 2002'!$B:$U,MATCH($A96,'SALA 2002'!$A:$A,0),MATCH(B$1,'SALA 2002'!$B$1:$U$1,0)),IF($A96&lt;=2000,1000*INDEX('SALA 2002'!$B:$U,MATCH($A96,'SALA 2002'!$A:$A,0),MATCH(B$1,'SALA 2002'!$B$1:$U$1,0))*POWER(INDEX('WPP 2024 середина года'!$B:$U,MATCH($A96,'WPP 2024 середина года'!$A:$A,0),MATCH(B$1,'WPP 2024 середина года'!$B$1:$U$1,0))/(1000*INDEX('SALA 2002'!$B:$U,MATCH($A96,'SALA 2002'!$A:$A,0),MATCH(B$1,'SALA 2002'!$B$1:$U$1,0))),($A96-1994)/7),INDEX('WPP 2024 середина года'!$B:$U,MATCH($A96,'WPP 2024 середина года'!$A:$A,0),MATCH(B$1,'WPP 2024 середина года'!$B$1:$U$1,0)))))</f>
        <v>34320</v>
      </c>
      <c r="C96" s="7">
        <f>IF($A96&lt;=1951,INDEX('SALA 1974'!$B:$U,MATCH($A96,'SALA 1974'!$A:$A,0),MATCH(C$1,'SALA 1974'!$B$1:$U$1,0)),IF($A96&lt;=1994,1000*INDEX('SALA 2002'!$B:$U,MATCH($A96,'SALA 2002'!$A:$A,0),MATCH(C$1,'SALA 2002'!$B$1:$U$1,0)),IF($A96&lt;=2000,1000*INDEX('SALA 2002'!$B:$U,MATCH($A96,'SALA 2002'!$A:$A,0),MATCH(C$1,'SALA 2002'!$B$1:$U$1,0))*POWER(INDEX('WPP 2024 середина года'!$B:$U,MATCH($A96,'WPP 2024 середина года'!$A:$A,0),MATCH(C$1,'WPP 2024 середина года'!$B$1:$U$1,0))/(1000*INDEX('SALA 2002'!$B:$U,MATCH($A96,'SALA 2002'!$A:$A,0),MATCH(C$1,'SALA 2002'!$B$1:$U$1,0))),($A96-1994)/7),INDEX('WPP 2024 середина года'!$B:$U,MATCH($A96,'WPP 2024 середина года'!$A:$A,0),MATCH(C$1,'WPP 2024 середина года'!$B$1:$U$1,0)))))</f>
        <v>7240</v>
      </c>
      <c r="D96" s="7">
        <f>IF($A96&lt;=1951,INDEX('SALA 1974'!$B:$U,MATCH($A96,'SALA 1974'!$A:$A,0),MATCH(D$1,'SALA 1974'!$B$1:$U$1,0)),IF($A96&lt;=1994,1000*INDEX('SALA 2002'!$B:$U,MATCH($A96,'SALA 2002'!$A:$A,0),MATCH(D$1,'SALA 2002'!$B$1:$U$1,0)),IF($A96&lt;=2000,1000*INDEX('SALA 2002'!$B:$U,MATCH($A96,'SALA 2002'!$A:$A,0),MATCH(D$1,'SALA 2002'!$B$1:$U$1,0))*POWER(INDEX('WPP 2024 середина года'!$B:$U,MATCH($A96,'WPP 2024 середина года'!$A:$A,0),MATCH(D$1,'WPP 2024 середина года'!$B$1:$U$1,0))/(1000*INDEX('SALA 2002'!$B:$U,MATCH($A96,'SALA 2002'!$A:$A,0),MATCH(D$1,'SALA 2002'!$B$1:$U$1,0))),($A96-1994)/7),INDEX('WPP 2024 середина года'!$B:$U,MATCH($A96,'WPP 2024 середина года'!$A:$A,0),MATCH(D$1,'WPP 2024 середина года'!$B$1:$U$1,0)))))</f>
        <v>153730</v>
      </c>
      <c r="E96" s="7">
        <f>IF($A96&lt;=1951,INDEX('SALA 1974'!$B:$U,MATCH($A96,'SALA 1974'!$A:$A,0),MATCH(E$1,'SALA 1974'!$B$1:$U$1,0)),IF($A96&lt;=1994,1000*INDEX('SALA 2002'!$B:$U,MATCH($A96,'SALA 2002'!$A:$A,0),MATCH(E$1,'SALA 2002'!$B$1:$U$1,0)),IF($A96&lt;=2000,1000*INDEX('SALA 2002'!$B:$U,MATCH($A96,'SALA 2002'!$A:$A,0),MATCH(E$1,'SALA 2002'!$B$1:$U$1,0))*POWER(INDEX('WPP 2024 середина года'!$B:$U,MATCH($A96,'WPP 2024 середина года'!$A:$A,0),MATCH(E$1,'WPP 2024 середина года'!$B$1:$U$1,0))/(1000*INDEX('SALA 2002'!$B:$U,MATCH($A96,'SALA 2002'!$A:$A,0),MATCH(E$1,'SALA 2002'!$B$1:$U$1,0))),($A96-1994)/7),INDEX('WPP 2024 середина года'!$B:$U,MATCH($A96,'WPP 2024 середина года'!$A:$A,0),MATCH(E$1,'WPP 2024 середина года'!$B$1:$U$1,0)))))</f>
        <v>13990</v>
      </c>
      <c r="F96" s="7">
        <f>IF($A96&lt;=1947,INDEX('SALA 1974'!$B:$U,MATCH($A96,'SALA 1974'!$A:$A,0),MATCH(F$1,'SALA 1974'!$B$1:$U$1,0)),IF($A96&lt;=1994,1000*INDEX('SALA 2002'!$B:$U,MATCH($A96,'SALA 2002'!$A:$A,0),MATCH(F$1,'SALA 2002'!$B$1:$U$1,0)),IF($A96&lt;=2000,1000*INDEX('SALA 2002'!$B:$U,MATCH($A96,'SALA 2002'!$A:$A,0),MATCH(F$1,'SALA 2002'!$B$1:$U$1,0))*POWER(INDEX('WPP 2024 середина года'!$B:$U,MATCH($A96,'WPP 2024 середина года'!$A:$A,0),MATCH(F$1,'WPP 2024 середина года'!$B$1:$U$1,0))/(1000*INDEX('SALA 2002'!$B:$U,MATCH($A96,'SALA 2002'!$A:$A,0),MATCH(F$1,'SALA 2002'!$B$1:$U$1,0))),($A96-1994)/7),INDEX('WPP 2024 середина года'!$B:$U,MATCH($A96,'WPP 2024 середина года'!$A:$A,0),MATCH(F$1,'WPP 2024 середина года'!$B$1:$U$1,0)))))</f>
        <v>34520</v>
      </c>
      <c r="G96" s="7">
        <f>IF($A96&lt;=1951,INDEX('SALA 1974'!$B:$U,MATCH($A96,'SALA 1974'!$A:$A,0),MATCH(G$1,'SALA 1974'!$B$1:$U$1,0)),IF($A96&lt;=1994,1000*INDEX('SALA 2002'!$B:$U,MATCH($A96,'SALA 2002'!$A:$A,0),MATCH(G$1,'SALA 2002'!$B$1:$U$1,0)),IF($A96&lt;=2000,1000*INDEX('SALA 2002'!$B:$U,MATCH($A96,'SALA 2002'!$A:$A,0),MATCH(G$1,'SALA 2002'!$B$1:$U$1,0))*POWER(INDEX('WPP 2024 середина года'!$B:$U,MATCH($A96,'WPP 2024 середина года'!$A:$A,0),MATCH(G$1,'WPP 2024 середина года'!$B$1:$U$1,0))/(1000*INDEX('SALA 2002'!$B:$U,MATCH($A96,'SALA 2002'!$A:$A,0),MATCH(G$1,'SALA 2002'!$B$1:$U$1,0))),($A96-1994)/7),INDEX('WPP 2024 середина года'!$B:$U,MATCH($A96,'WPP 2024 середина года'!$A:$A,0),MATCH(G$1,'WPP 2024 середина года'!$B$1:$U$1,0)))))</f>
        <v>3270</v>
      </c>
      <c r="H96" s="7">
        <f>IF($A96&lt;=1951,INDEX('SALA 1974'!$B:$U,MATCH($A96,'SALA 1974'!$A:$A,0),MATCH(H$1,'SALA 1974'!$B$1:$U$1,0)),IF($A96&lt;=1994,1000*INDEX('SALA 2002'!$B:$U,MATCH($A96,'SALA 2002'!$A:$A,0),MATCH(H$1,'SALA 2002'!$B$1:$U$1,0)),IF($A96&lt;=2000,1000*INDEX('SALA 2002'!$B:$U,MATCH($A96,'SALA 2002'!$A:$A,0),MATCH(H$1,'SALA 2002'!$B$1:$U$1,0))*POWER(INDEX('WPP 2024 середина года'!$B:$U,MATCH($A96,'WPP 2024 середина года'!$A:$A,0),MATCH(H$1,'WPP 2024 середина года'!$B$1:$U$1,0))/(1000*INDEX('SALA 2002'!$B:$U,MATCH($A96,'SALA 2002'!$A:$A,0),MATCH(H$1,'SALA 2002'!$B$1:$U$1,0))),($A96-1994)/7),INDEX('WPP 2024 середина года'!$B:$U,MATCH($A96,'WPP 2024 середина года'!$A:$A,0),MATCH(H$1,'WPP 2024 середина года'!$B$1:$U$1,0)))))</f>
        <v>10950</v>
      </c>
      <c r="I96" s="7">
        <f>IF($A96&lt;=1951,INDEX('SALA 1974'!$B:$U,MATCH($A96,'SALA 1974'!$A:$A,0),MATCH(I$1,'SALA 1974'!$B$1:$U$1,0)),IF($A96&lt;=1994,1000*INDEX('SALA 2002'!$B:$U,MATCH($A96,'SALA 2002'!$A:$A,0),MATCH(I$1,'SALA 2002'!$B$1:$U$1,0)),IF($A96&lt;=2000,1000*INDEX('SALA 2002'!$B:$U,MATCH($A96,'SALA 2002'!$A:$A,0),MATCH(I$1,'SALA 2002'!$B$1:$U$1,0))*POWER(INDEX('WPP 2024 середина года'!$B:$U,MATCH($A96,'WPP 2024 середина года'!$A:$A,0),MATCH(I$1,'WPP 2024 середина года'!$B$1:$U$1,0))/(1000*INDEX('SALA 2002'!$B:$U,MATCH($A96,'SALA 2002'!$A:$A,0),MATCH(I$1,'SALA 2002'!$B$1:$U$1,0))),($A96-1994)/7),INDEX('WPP 2024 середина года'!$B:$U,MATCH($A96,'WPP 2024 середина года'!$A:$A,0),MATCH(I$1,'WPP 2024 середина года'!$B$1:$U$1,0)))))</f>
        <v>7770</v>
      </c>
      <c r="J96" s="7">
        <f>IF($A96&lt;=1951,INDEX('SALA 1974'!$B:$U,MATCH($A96,'SALA 1974'!$A:$A,0),MATCH(J$1,'SALA 1974'!$B$1:$U$1,0)),IF($A96&lt;=1994,1000*INDEX('SALA 2002'!$B:$U,MATCH($A96,'SALA 2002'!$A:$A,0),MATCH(J$1,'SALA 2002'!$B$1:$U$1,0)),IF($A96&lt;=2000,1000*INDEX('SALA 2002'!$B:$U,MATCH($A96,'SALA 2002'!$A:$A,0),MATCH(J$1,'SALA 2002'!$B$1:$U$1,0))*POWER(INDEX('WPP 2024 середина года'!$B:$U,MATCH($A96,'WPP 2024 середина года'!$A:$A,0),MATCH(J$1,'WPP 2024 середина года'!$B$1:$U$1,0))/(1000*INDEX('SALA 2002'!$B:$U,MATCH($A96,'SALA 2002'!$A:$A,0),MATCH(J$1,'SALA 2002'!$B$1:$U$1,0))),($A96-1994)/7),INDEX('WPP 2024 середина года'!$B:$U,MATCH($A96,'WPP 2024 середина года'!$A:$A,0),MATCH(J$1,'WPP 2024 середина года'!$B$1:$U$1,0)))))</f>
        <v>11220</v>
      </c>
      <c r="K96" s="7">
        <f>IF($A96&lt;=1951,INDEX('SALA 1974'!$B:$U,MATCH($A96,'SALA 1974'!$A:$A,0),MATCH(K$1,'SALA 1974'!$B$1:$U$1,0)),IF($A96&lt;=1994,1000*INDEX('SALA 2002'!$B:$U,MATCH($A96,'SALA 2002'!$A:$A,0),MATCH(K$1,'SALA 2002'!$B$1:$U$1,0)),IF($A96&lt;=2000,1000*INDEX('SALA 2002'!$B:$U,MATCH($A96,'SALA 2002'!$A:$A,0),MATCH(K$1,'SALA 2002'!$B$1:$U$1,0))*POWER(INDEX('WPP 2024 середина года'!$B:$U,MATCH($A96,'WPP 2024 середина года'!$A:$A,0),MATCH(K$1,'WPP 2024 середина года'!$B$1:$U$1,0))/(1000*INDEX('SALA 2002'!$B:$U,MATCH($A96,'SALA 2002'!$A:$A,0),MATCH(K$1,'SALA 2002'!$B$1:$U$1,0))),($A96-1994)/7),INDEX('WPP 2024 середина года'!$B:$U,MATCH($A96,'WPP 2024 середина года'!$A:$A,0),MATCH(K$1,'WPP 2024 середина года'!$B$1:$U$1,0)))))</f>
        <v>5550</v>
      </c>
      <c r="L96" s="7">
        <f>IF($A96&lt;=1951,INDEX('SALA 1974'!$B:$U,MATCH($A96,'SALA 1974'!$A:$A,0),MATCH(L$1,'SALA 1974'!$B$1:$U$1,0)),IF($A96&lt;=1994,1000*INDEX('SALA 2002'!$B:$U,MATCH($A96,'SALA 2002'!$A:$A,0),MATCH(L$1,'SALA 2002'!$B$1:$U$1,0)),IF($A96&lt;=2000,1000*INDEX('SALA 2002'!$B:$U,MATCH($A96,'SALA 2002'!$A:$A,0),MATCH(L$1,'SALA 2002'!$B$1:$U$1,0))*POWER(INDEX('WPP 2024 середина года'!$B:$U,MATCH($A96,'WPP 2024 середина года'!$A:$A,0),MATCH(L$1,'WPP 2024 середина года'!$B$1:$U$1,0))/(1000*INDEX('SALA 2002'!$B:$U,MATCH($A96,'SALA 2002'!$A:$A,0),MATCH(L$1,'SALA 2002'!$B$1:$U$1,0))),($A96-1994)/7),INDEX('WPP 2024 середина года'!$B:$U,MATCH($A96,'WPP 2024 середина года'!$A:$A,0),MATCH(L$1,'WPP 2024 середина года'!$B$1:$U$1,0)))))</f>
        <v>10320</v>
      </c>
      <c r="M96" s="7">
        <f>IF($A96&lt;=1951,INDEX('SALA 1974'!$B:$U,MATCH($A96,'SALA 1974'!$A:$A,0),MATCH(M$1,'SALA 1974'!$B$1:$U$1,0)),IF($A96&lt;=1994,1000*INDEX('SALA 2002'!$B:$U,MATCH($A96,'SALA 2002'!$A:$A,0),MATCH(M$1,'SALA 2002'!$B$1:$U$1,0)),IF($A96&lt;=2000,1000*INDEX('SALA 2002'!$B:$U,MATCH($A96,'SALA 2002'!$A:$A,0),MATCH(M$1,'SALA 2002'!$B$1:$U$1,0))*POWER(INDEX('WPP 2024 середина года'!$B:$U,MATCH($A96,'WPP 2024 середина года'!$A:$A,0),MATCH(M$1,'WPP 2024 середина года'!$B$1:$U$1,0))/(1000*INDEX('SALA 2002'!$B:$U,MATCH($A96,'SALA 2002'!$A:$A,0),MATCH(M$1,'SALA 2002'!$B$1:$U$1,0))),($A96-1994)/7),INDEX('WPP 2024 середина года'!$B:$U,MATCH($A96,'WPP 2024 середина года'!$A:$A,0),MATCH(M$1,'WPP 2024 середина года'!$B$1:$U$1,0)))))</f>
        <v>7040</v>
      </c>
      <c r="N96" s="7">
        <f>IF($A96&lt;=1951,INDEX('SALA 1974'!$B:$U,MATCH($A96,'SALA 1974'!$A:$A,0),MATCH(N$1,'SALA 1974'!$B$1:$U$1,0)),IF($A96&lt;=1994,1000*INDEX('SALA 2002'!$B:$U,MATCH($A96,'SALA 2002'!$A:$A,0),MATCH(N$1,'SALA 2002'!$B$1:$U$1,0)),IF($A96&lt;=2000,1000*INDEX('SALA 2002'!$B:$U,MATCH($A96,'SALA 2002'!$A:$A,0),MATCH(N$1,'SALA 2002'!$B$1:$U$1,0))*POWER(INDEX('WPP 2024 середина года'!$B:$U,MATCH($A96,'WPP 2024 середина года'!$A:$A,0),MATCH(N$1,'WPP 2024 середина года'!$B$1:$U$1,0))/(1000*INDEX('SALA 2002'!$B:$U,MATCH($A96,'SALA 2002'!$A:$A,0),MATCH(N$1,'SALA 2002'!$B$1:$U$1,0))),($A96-1994)/7),INDEX('WPP 2024 середина года'!$B:$U,MATCH($A96,'WPP 2024 середина года'!$A:$A,0),MATCH(N$1,'WPP 2024 середина года'!$B$1:$U$1,0)))))</f>
        <v>5420</v>
      </c>
      <c r="O96" s="7">
        <f>IF($A96&lt;=1951,INDEX('SALA 1974'!$B:$U,MATCH($A96,'SALA 1974'!$A:$A,0),MATCH(O$1,'SALA 1974'!$B$1:$U$1,0)),IF($A96&lt;=1994,1000*INDEX('SALA 2002'!$B:$U,MATCH($A96,'SALA 2002'!$A:$A,0),MATCH(O$1,'SALA 2002'!$B$1:$U$1,0)),IF($A96&lt;=2000,1000*INDEX('SALA 2002'!$B:$U,MATCH($A96,'SALA 2002'!$A:$A,0),MATCH(O$1,'SALA 2002'!$B$1:$U$1,0))*POWER(INDEX('WPP 2024 середина года'!$B:$U,MATCH($A96,'WPP 2024 середина года'!$A:$A,0),MATCH(O$1,'WPP 2024 середина года'!$B$1:$U$1,0))/(1000*INDEX('SALA 2002'!$B:$U,MATCH($A96,'SALA 2002'!$A:$A,0),MATCH(O$1,'SALA 2002'!$B$1:$U$1,0))),($A96-1994)/7),INDEX('WPP 2024 середина года'!$B:$U,MATCH($A96,'WPP 2024 середина года'!$A:$A,0),MATCH(O$1,'WPP 2024 середина года'!$B$1:$U$1,0)))))</f>
        <v>89560</v>
      </c>
      <c r="P96" s="7">
        <f>IF($A96&lt;=1951,INDEX('SALA 1974'!$B:$U,MATCH($A96,'SALA 1974'!$A:$A,0),MATCH(P$1,'SALA 1974'!$B$1:$U$1,0)),IF($A96&lt;=1994,1000*INDEX('SALA 2002'!$B:$U,MATCH($A96,'SALA 2002'!$A:$A,0),MATCH(P$1,'SALA 2002'!$B$1:$U$1,0)),IF($A96&lt;=2000,1000*INDEX('SALA 2002'!$B:$U,MATCH($A96,'SALA 2002'!$A:$A,0),MATCH(P$1,'SALA 2002'!$B$1:$U$1,0))*POWER(INDEX('WPP 2024 середина года'!$B:$U,MATCH($A96,'WPP 2024 середина года'!$A:$A,0),MATCH(P$1,'WPP 2024 середина года'!$B$1:$U$1,0))/(1000*INDEX('SALA 2002'!$B:$U,MATCH($A96,'SALA 2002'!$A:$A,0),MATCH(P$1,'SALA 2002'!$B$1:$U$1,0))),($A96-1994)/7),INDEX('WPP 2024 середина года'!$B:$U,MATCH($A96,'WPP 2024 середина года'!$A:$A,0),MATCH(P$1,'WPP 2024 середина года'!$B$1:$U$1,0)))))</f>
        <v>4400</v>
      </c>
      <c r="Q96" s="7">
        <f>IF($A96&lt;=1951,INDEX('SALA 1974'!$B:$U,MATCH($A96,'SALA 1974'!$A:$A,0),MATCH(Q$1,'SALA 1974'!$B$1:$U$1,0)),IF($A96&lt;=1994,1000*INDEX('SALA 2002'!$B:$U,MATCH($A96,'SALA 2002'!$A:$A,0),MATCH(Q$1,'SALA 2002'!$B$1:$U$1,0)),IF($A96&lt;=2000,1000*INDEX('SALA 2002'!$B:$U,MATCH($A96,'SALA 2002'!$A:$A,0),MATCH(Q$1,'SALA 2002'!$B$1:$U$1,0))*POWER(INDEX('WPP 2024 середина года'!$B:$U,MATCH($A96,'WPP 2024 середина года'!$A:$A,0),MATCH(Q$1,'WPP 2024 середина года'!$B$1:$U$1,0))/(1000*INDEX('SALA 2002'!$B:$U,MATCH($A96,'SALA 2002'!$A:$A,0),MATCH(Q$1,'SALA 2002'!$B$1:$U$1,0))),($A96-1994)/7),INDEX('WPP 2024 середина года'!$B:$U,MATCH($A96,'WPP 2024 середина года'!$A:$A,0),MATCH(Q$1,'WPP 2024 середина года'!$B$1:$U$1,0)))))</f>
        <v>2580</v>
      </c>
      <c r="R96" s="7">
        <f>IF($A96&lt;=1951,INDEX('SALA 1974'!$B:$U,MATCH($A96,'SALA 1974'!$A:$A,0),MATCH(R$1,'SALA 1974'!$B$1:$U$1,0)),IF($A96&lt;=1994,1000*INDEX('SALA 2002'!$B:$U,MATCH($A96,'SALA 2002'!$A:$A,0),MATCH(R$1,'SALA 2002'!$B$1:$U$1,0)),IF($A96&lt;=2000,1000*INDEX('SALA 2002'!$B:$U,MATCH($A96,'SALA 2002'!$A:$A,0),MATCH(R$1,'SALA 2002'!$B$1:$U$1,0))*POWER(INDEX('WPP 2024 середина года'!$B:$U,MATCH($A96,'WPP 2024 середина года'!$A:$A,0),MATCH(R$1,'WPP 2024 середина года'!$B$1:$U$1,0))/(1000*INDEX('SALA 2002'!$B:$U,MATCH($A96,'SALA 2002'!$A:$A,0),MATCH(R$1,'SALA 2002'!$B$1:$U$1,0))),($A96-1994)/7),INDEX('WPP 2024 середина года'!$B:$U,MATCH($A96,'WPP 2024 середина года'!$A:$A,0),MATCH(R$1,'WPP 2024 середина года'!$B$1:$U$1,0)))))</f>
        <v>4700</v>
      </c>
      <c r="S96" s="7">
        <f>IF($A96&lt;=1951,INDEX('SALA 1974'!$B:$U,MATCH($A96,'SALA 1974'!$A:$A,0),MATCH(S$1,'SALA 1974'!$B$1:$U$1,0)),IF($A96&lt;=1994,1000*INDEX('SALA 2002'!$B:$U,MATCH($A96,'SALA 2002'!$A:$A,0),MATCH(S$1,'SALA 2002'!$B$1:$U$1,0)),IF($A96&lt;=2000,1000*INDEX('SALA 2002'!$B:$U,MATCH($A96,'SALA 2002'!$A:$A,0),MATCH(S$1,'SALA 2002'!$B$1:$U$1,0))*POWER(INDEX('WPP 2024 середина года'!$B:$U,MATCH($A96,'WPP 2024 середина года'!$A:$A,0),MATCH(S$1,'WPP 2024 середина года'!$B$1:$U$1,0))/(1000*INDEX('SALA 2002'!$B:$U,MATCH($A96,'SALA 2002'!$A:$A,0),MATCH(S$1,'SALA 2002'!$B$1:$U$1,0))),($A96-1994)/7),INDEX('WPP 2024 середина года'!$B:$U,MATCH($A96,'WPP 2024 середина года'!$A:$A,0),MATCH(S$1,'WPP 2024 середина года'!$B$1:$U$1,0)))))</f>
        <v>23130</v>
      </c>
      <c r="T96" s="7">
        <f>IF($A96&lt;=1951,INDEX('SALA 1974'!$B:$U,MATCH($A96,'SALA 1974'!$A:$A,0),MATCH(T$1,'SALA 1974'!$B$1:$U$1,0)),IF($A96&lt;=1994,1000*INDEX('SALA 2002'!$B:$U,MATCH($A96,'SALA 2002'!$A:$A,0),MATCH(T$1,'SALA 2002'!$B$1:$U$1,0)),IF($A96&lt;=2000,1000*INDEX('SALA 2002'!$B:$U,MATCH($A96,'SALA 2002'!$A:$A,0),MATCH(T$1,'SALA 2002'!$B$1:$U$1,0))*POWER(INDEX('WPP 2024 середина года'!$B:$U,MATCH($A96,'WPP 2024 середина года'!$A:$A,0),MATCH(T$1,'WPP 2024 середина года'!$B$1:$U$1,0))/(1000*INDEX('SALA 2002'!$B:$U,MATCH($A96,'SALA 2002'!$A:$A,0),MATCH(T$1,'SALA 2002'!$B$1:$U$1,0))),($A96-1994)/7),INDEX('WPP 2024 середина года'!$B:$U,MATCH($A96,'WPP 2024 середина года'!$A:$A,0),MATCH(T$1,'WPP 2024 середина года'!$B$1:$U$1,0)))))</f>
        <v>3200</v>
      </c>
      <c r="U96" s="7">
        <f>IF($A96&lt;=1951,INDEX('SALA 1974'!$B:$U,MATCH($A96,'SALA 1974'!$A:$A,0),MATCH(U$1,'SALA 1974'!$B$1:$U$1,0)),IF($A96&lt;=1994,1000*INDEX('SALA 2002'!$B:$U,MATCH($A96,'SALA 2002'!$A:$A,0),MATCH(U$1,'SALA 2002'!$B$1:$U$1,0)),IF($A96&lt;=2000,1000*INDEX('SALA 2002'!$B:$U,MATCH($A96,'SALA 2002'!$A:$A,0),MATCH(U$1,'SALA 2002'!$B$1:$U$1,0))*POWER(INDEX('WPP 2024 середина года'!$B:$U,MATCH($A96,'WPP 2024 середина года'!$A:$A,0),MATCH(U$1,'WPP 2024 середина года'!$B$1:$U$1,0))/(1000*INDEX('SALA 2002'!$B:$U,MATCH($A96,'SALA 2002'!$A:$A,0),MATCH(U$1,'SALA 2002'!$B$1:$U$1,0))),($A96-1994)/7),INDEX('WPP 2024 середина года'!$B:$U,MATCH($A96,'WPP 2024 середина года'!$A:$A,0),MATCH(U$1,'WPP 2024 середина года'!$B$1:$U$1,0)))))</f>
        <v>21380</v>
      </c>
    </row>
    <row r="97" spans="1:21" x14ac:dyDescent="0.25">
      <c r="A97" s="5">
        <f t="shared" si="1"/>
        <v>1995</v>
      </c>
      <c r="B97" s="7">
        <f>IF($A97&lt;=1951,INDEX('SALA 1974'!$B:$U,MATCH($A97,'SALA 1974'!$A:$A,0),MATCH(B$1,'SALA 1974'!$B$1:$U$1,0)),IF($A97&lt;=1994,1000*INDEX('SALA 2002'!$B:$U,MATCH($A97,'SALA 2002'!$A:$A,0),MATCH(B$1,'SALA 2002'!$B$1:$U$1,0)),IF($A97&lt;=2000,1000*INDEX('SALA 2002'!$B:$U,MATCH($A97,'SALA 2002'!$A:$A,0),MATCH(B$1,'SALA 2002'!$B$1:$U$1,0))*POWER(INDEX('WPP 2024 середина года'!$B:$U,MATCH($A97,'WPP 2024 середина года'!$A:$A,0),MATCH(B$1,'WPP 2024 середина года'!$B$1:$U$1,0))/(1000*INDEX('SALA 2002'!$B:$U,MATCH($A97,'SALA 2002'!$A:$A,0),MATCH(B$1,'SALA 2002'!$B$1:$U$1,0))),($A97-1994)/7),INDEX('WPP 2024 середина года'!$B:$U,MATCH($A97,'WPP 2024 середина года'!$A:$A,0),MATCH(B$1,'WPP 2024 середина года'!$B$1:$U$1,0)))))</f>
        <v>34812.699508314632</v>
      </c>
      <c r="C97" s="7">
        <f>IF($A97&lt;=1951,INDEX('SALA 1974'!$B:$U,MATCH($A97,'SALA 1974'!$A:$A,0),MATCH(C$1,'SALA 1974'!$B$1:$U$1,0)),IF($A97&lt;=1994,1000*INDEX('SALA 2002'!$B:$U,MATCH($A97,'SALA 2002'!$A:$A,0),MATCH(C$1,'SALA 2002'!$B$1:$U$1,0)),IF($A97&lt;=2000,1000*INDEX('SALA 2002'!$B:$U,MATCH($A97,'SALA 2002'!$A:$A,0),MATCH(C$1,'SALA 2002'!$B$1:$U$1,0))*POWER(INDEX('WPP 2024 середина года'!$B:$U,MATCH($A97,'WPP 2024 середина года'!$A:$A,0),MATCH(C$1,'WPP 2024 середина года'!$B$1:$U$1,0))/(1000*INDEX('SALA 2002'!$B:$U,MATCH($A97,'SALA 2002'!$A:$A,0),MATCH(C$1,'SALA 2002'!$B$1:$U$1,0))),($A97-1994)/7),INDEX('WPP 2024 середина года'!$B:$U,MATCH($A97,'WPP 2024 середина года'!$A:$A,0),MATCH(C$1,'WPP 2024 середина года'!$B$1:$U$1,0)))))</f>
        <v>7474.6677859823758</v>
      </c>
      <c r="D97" s="7">
        <f>IF($A97&lt;=1951,INDEX('SALA 1974'!$B:$U,MATCH($A97,'SALA 1974'!$A:$A,0),MATCH(D$1,'SALA 1974'!$B$1:$U$1,0)),IF($A97&lt;=1994,1000*INDEX('SALA 2002'!$B:$U,MATCH($A97,'SALA 2002'!$A:$A,0),MATCH(D$1,'SALA 2002'!$B$1:$U$1,0)),IF($A97&lt;=2000,1000*INDEX('SALA 2002'!$B:$U,MATCH($A97,'SALA 2002'!$A:$A,0),MATCH(D$1,'SALA 2002'!$B$1:$U$1,0))*POWER(INDEX('WPP 2024 середина года'!$B:$U,MATCH($A97,'WPP 2024 середина года'!$A:$A,0),MATCH(D$1,'WPP 2024 середина года'!$B$1:$U$1,0))/(1000*INDEX('SALA 2002'!$B:$U,MATCH($A97,'SALA 2002'!$A:$A,0),MATCH(D$1,'SALA 2002'!$B$1:$U$1,0))),($A97-1994)/7),INDEX('WPP 2024 середина года'!$B:$U,MATCH($A97,'WPP 2024 середина года'!$A:$A,0),MATCH(D$1,'WPP 2024 середина года'!$B$1:$U$1,0)))))</f>
        <v>156651.58126220826</v>
      </c>
      <c r="E97" s="7">
        <f>IF($A97&lt;=1951,INDEX('SALA 1974'!$B:$U,MATCH($A97,'SALA 1974'!$A:$A,0),MATCH(E$1,'SALA 1974'!$B$1:$U$1,0)),IF($A97&lt;=1994,1000*INDEX('SALA 2002'!$B:$U,MATCH($A97,'SALA 2002'!$A:$A,0),MATCH(E$1,'SALA 2002'!$B$1:$U$1,0)),IF($A97&lt;=2000,1000*INDEX('SALA 2002'!$B:$U,MATCH($A97,'SALA 2002'!$A:$A,0),MATCH(E$1,'SALA 2002'!$B$1:$U$1,0))*POWER(INDEX('WPP 2024 середина года'!$B:$U,MATCH($A97,'WPP 2024 середина года'!$A:$A,0),MATCH(E$1,'WPP 2024 середина года'!$B$1:$U$1,0))/(1000*INDEX('SALA 2002'!$B:$U,MATCH($A97,'SALA 2002'!$A:$A,0),MATCH(E$1,'SALA 2002'!$B$1:$U$1,0))),($A97-1994)/7),INDEX('WPP 2024 середина года'!$B:$U,MATCH($A97,'WPP 2024 середина года'!$A:$A,0),MATCH(E$1,'WPP 2024 середина года'!$B$1:$U$1,0)))))</f>
        <v>14254.91470963372</v>
      </c>
      <c r="F97" s="7">
        <f>IF($A97&lt;=1947,INDEX('SALA 1974'!$B:$U,MATCH($A97,'SALA 1974'!$A:$A,0),MATCH(F$1,'SALA 1974'!$B$1:$U$1,0)),IF($A97&lt;=1994,1000*INDEX('SALA 2002'!$B:$U,MATCH($A97,'SALA 2002'!$A:$A,0),MATCH(F$1,'SALA 2002'!$B$1:$U$1,0)),IF($A97&lt;=2000,1000*INDEX('SALA 2002'!$B:$U,MATCH($A97,'SALA 2002'!$A:$A,0),MATCH(F$1,'SALA 2002'!$B$1:$U$1,0))*POWER(INDEX('WPP 2024 середина года'!$B:$U,MATCH($A97,'WPP 2024 середина года'!$A:$A,0),MATCH(F$1,'WPP 2024 середина года'!$B$1:$U$1,0))/(1000*INDEX('SALA 2002'!$B:$U,MATCH($A97,'SALA 2002'!$A:$A,0),MATCH(F$1,'SALA 2002'!$B$1:$U$1,0))),($A97-1994)/7),INDEX('WPP 2024 середина года'!$B:$U,MATCH($A97,'WPP 2024 середина года'!$A:$A,0),MATCH(F$1,'WPP 2024 середина года'!$B$1:$U$1,0)))))</f>
        <v>35199.815825575024</v>
      </c>
      <c r="G97" s="7">
        <f>IF($A97&lt;=1951,INDEX('SALA 1974'!$B:$U,MATCH($A97,'SALA 1974'!$A:$A,0),MATCH(G$1,'SALA 1974'!$B$1:$U$1,0)),IF($A97&lt;=1994,1000*INDEX('SALA 2002'!$B:$U,MATCH($A97,'SALA 2002'!$A:$A,0),MATCH(G$1,'SALA 2002'!$B$1:$U$1,0)),IF($A97&lt;=2000,1000*INDEX('SALA 2002'!$B:$U,MATCH($A97,'SALA 2002'!$A:$A,0),MATCH(G$1,'SALA 2002'!$B$1:$U$1,0))*POWER(INDEX('WPP 2024 середина года'!$B:$U,MATCH($A97,'WPP 2024 середина года'!$A:$A,0),MATCH(G$1,'WPP 2024 середина года'!$B$1:$U$1,0))/(1000*INDEX('SALA 2002'!$B:$U,MATCH($A97,'SALA 2002'!$A:$A,0),MATCH(G$1,'SALA 2002'!$B$1:$U$1,0))),($A97-1994)/7),INDEX('WPP 2024 середина года'!$B:$U,MATCH($A97,'WPP 2024 середина года'!$A:$A,0),MATCH(G$1,'WPP 2024 середина года'!$B$1:$U$1,0)))))</f>
        <v>3358.568407927311</v>
      </c>
      <c r="H97" s="7">
        <f>IF($A97&lt;=1951,INDEX('SALA 1974'!$B:$U,MATCH($A97,'SALA 1974'!$A:$A,0),MATCH(H$1,'SALA 1974'!$B$1:$U$1,0)),IF($A97&lt;=1994,1000*INDEX('SALA 2002'!$B:$U,MATCH($A97,'SALA 2002'!$A:$A,0),MATCH(H$1,'SALA 2002'!$B$1:$U$1,0)),IF($A97&lt;=2000,1000*INDEX('SALA 2002'!$B:$U,MATCH($A97,'SALA 2002'!$A:$A,0),MATCH(H$1,'SALA 2002'!$B$1:$U$1,0))*POWER(INDEX('WPP 2024 середина года'!$B:$U,MATCH($A97,'WPP 2024 середина года'!$A:$A,0),MATCH(H$1,'WPP 2024 середина года'!$B$1:$U$1,0))/(1000*INDEX('SALA 2002'!$B:$U,MATCH($A97,'SALA 2002'!$A:$A,0),MATCH(H$1,'SALA 2002'!$B$1:$U$1,0))),($A97-1994)/7),INDEX('WPP 2024 середина года'!$B:$U,MATCH($A97,'WPP 2024 середина года'!$A:$A,0),MATCH(H$1,'WPP 2024 середина года'!$B$1:$U$1,0)))))</f>
        <v>10972.183325695893</v>
      </c>
      <c r="I97" s="7">
        <f>IF($A97&lt;=1951,INDEX('SALA 1974'!$B:$U,MATCH($A97,'SALA 1974'!$A:$A,0),MATCH(I$1,'SALA 1974'!$B$1:$U$1,0)),IF($A97&lt;=1994,1000*INDEX('SALA 2002'!$B:$U,MATCH($A97,'SALA 2002'!$A:$A,0),MATCH(I$1,'SALA 2002'!$B$1:$U$1,0)),IF($A97&lt;=2000,1000*INDEX('SALA 2002'!$B:$U,MATCH($A97,'SALA 2002'!$A:$A,0),MATCH(I$1,'SALA 2002'!$B$1:$U$1,0))*POWER(INDEX('WPP 2024 середина года'!$B:$U,MATCH($A97,'WPP 2024 середина года'!$A:$A,0),MATCH(I$1,'WPP 2024 середина года'!$B$1:$U$1,0))/(1000*INDEX('SALA 2002'!$B:$U,MATCH($A97,'SALA 2002'!$A:$A,0),MATCH(I$1,'SALA 2002'!$B$1:$U$1,0))),($A97-1994)/7),INDEX('WPP 2024 середина года'!$B:$U,MATCH($A97,'WPP 2024 середина года'!$A:$A,0),MATCH(I$1,'WPP 2024 середина года'!$B$1:$U$1,0)))))</f>
        <v>7915.4349709754379</v>
      </c>
      <c r="J97" s="7">
        <f>IF($A97&lt;=1951,INDEX('SALA 1974'!$B:$U,MATCH($A97,'SALA 1974'!$A:$A,0),MATCH(J$1,'SALA 1974'!$B$1:$U$1,0)),IF($A97&lt;=1994,1000*INDEX('SALA 2002'!$B:$U,MATCH($A97,'SALA 2002'!$A:$A,0),MATCH(J$1,'SALA 2002'!$B$1:$U$1,0)),IF($A97&lt;=2000,1000*INDEX('SALA 2002'!$B:$U,MATCH($A97,'SALA 2002'!$A:$A,0),MATCH(J$1,'SALA 2002'!$B$1:$U$1,0))*POWER(INDEX('WPP 2024 середина года'!$B:$U,MATCH($A97,'WPP 2024 середина года'!$A:$A,0),MATCH(J$1,'WPP 2024 середина года'!$B$1:$U$1,0))/(1000*INDEX('SALA 2002'!$B:$U,MATCH($A97,'SALA 2002'!$A:$A,0),MATCH(J$1,'SALA 2002'!$B$1:$U$1,0))),($A97-1994)/7),INDEX('WPP 2024 середина года'!$B:$U,MATCH($A97,'WPP 2024 середина года'!$A:$A,0),MATCH(J$1,'WPP 2024 середина года'!$B$1:$U$1,0)))))</f>
        <v>11478.552510067544</v>
      </c>
      <c r="K97" s="7">
        <f>IF($A97&lt;=1951,INDEX('SALA 1974'!$B:$U,MATCH($A97,'SALA 1974'!$A:$A,0),MATCH(K$1,'SALA 1974'!$B$1:$U$1,0)),IF($A97&lt;=1994,1000*INDEX('SALA 2002'!$B:$U,MATCH($A97,'SALA 2002'!$A:$A,0),MATCH(K$1,'SALA 2002'!$B$1:$U$1,0)),IF($A97&lt;=2000,1000*INDEX('SALA 2002'!$B:$U,MATCH($A97,'SALA 2002'!$A:$A,0),MATCH(K$1,'SALA 2002'!$B$1:$U$1,0))*POWER(INDEX('WPP 2024 середина года'!$B:$U,MATCH($A97,'WPP 2024 середина года'!$A:$A,0),MATCH(K$1,'WPP 2024 середина года'!$B$1:$U$1,0))/(1000*INDEX('SALA 2002'!$B:$U,MATCH($A97,'SALA 2002'!$A:$A,0),MATCH(K$1,'SALA 2002'!$B$1:$U$1,0))),($A97-1994)/7),INDEX('WPP 2024 середина года'!$B:$U,MATCH($A97,'WPP 2024 середина года'!$A:$A,0),MATCH(K$1,'WPP 2024 середина года'!$B$1:$U$1,0)))))</f>
        <v>5683.0664604999047</v>
      </c>
      <c r="L97" s="7">
        <f>IF($A97&lt;=1951,INDEX('SALA 1974'!$B:$U,MATCH($A97,'SALA 1974'!$A:$A,0),MATCH(L$1,'SALA 1974'!$B$1:$U$1,0)),IF($A97&lt;=1994,1000*INDEX('SALA 2002'!$B:$U,MATCH($A97,'SALA 2002'!$A:$A,0),MATCH(L$1,'SALA 2002'!$B$1:$U$1,0)),IF($A97&lt;=2000,1000*INDEX('SALA 2002'!$B:$U,MATCH($A97,'SALA 2002'!$A:$A,0),MATCH(L$1,'SALA 2002'!$B$1:$U$1,0))*POWER(INDEX('WPP 2024 середина года'!$B:$U,MATCH($A97,'WPP 2024 середина года'!$A:$A,0),MATCH(L$1,'WPP 2024 середина года'!$B$1:$U$1,0))/(1000*INDEX('SALA 2002'!$B:$U,MATCH($A97,'SALA 2002'!$A:$A,0),MATCH(L$1,'SALA 2002'!$B$1:$U$1,0))),($A97-1994)/7),INDEX('WPP 2024 середина года'!$B:$U,MATCH($A97,'WPP 2024 середина года'!$A:$A,0),MATCH(L$1,'WPP 2024 середина года'!$B$1:$U$1,0)))))</f>
        <v>10026.904880721813</v>
      </c>
      <c r="M97" s="7">
        <f>IF($A97&lt;=1951,INDEX('SALA 1974'!$B:$U,MATCH($A97,'SALA 1974'!$A:$A,0),MATCH(M$1,'SALA 1974'!$B$1:$U$1,0)),IF($A97&lt;=1994,1000*INDEX('SALA 2002'!$B:$U,MATCH($A97,'SALA 2002'!$A:$A,0),MATCH(M$1,'SALA 2002'!$B$1:$U$1,0)),IF($A97&lt;=2000,1000*INDEX('SALA 2002'!$B:$U,MATCH($A97,'SALA 2002'!$A:$A,0),MATCH(M$1,'SALA 2002'!$B$1:$U$1,0))*POWER(INDEX('WPP 2024 середина года'!$B:$U,MATCH($A97,'WPP 2024 середина года'!$A:$A,0),MATCH(M$1,'WPP 2024 середина года'!$B$1:$U$1,0))/(1000*INDEX('SALA 2002'!$B:$U,MATCH($A97,'SALA 2002'!$A:$A,0),MATCH(M$1,'SALA 2002'!$B$1:$U$1,0))),($A97-1994)/7),INDEX('WPP 2024 середина года'!$B:$U,MATCH($A97,'WPP 2024 середина года'!$A:$A,0),MATCH(M$1,'WPP 2024 середина года'!$B$1:$U$1,0)))))</f>
        <v>7233.4349299021005</v>
      </c>
      <c r="N97" s="7">
        <f>IF($A97&lt;=1951,INDEX('SALA 1974'!$B:$U,MATCH($A97,'SALA 1974'!$A:$A,0),MATCH(N$1,'SALA 1974'!$B$1:$U$1,0)),IF($A97&lt;=1994,1000*INDEX('SALA 2002'!$B:$U,MATCH($A97,'SALA 2002'!$A:$A,0),MATCH(N$1,'SALA 2002'!$B$1:$U$1,0)),IF($A97&lt;=2000,1000*INDEX('SALA 2002'!$B:$U,MATCH($A97,'SALA 2002'!$A:$A,0),MATCH(N$1,'SALA 2002'!$B$1:$U$1,0))*POWER(INDEX('WPP 2024 середина года'!$B:$U,MATCH($A97,'WPP 2024 середина года'!$A:$A,0),MATCH(N$1,'WPP 2024 середина года'!$B$1:$U$1,0))/(1000*INDEX('SALA 2002'!$B:$U,MATCH($A97,'SALA 2002'!$A:$A,0),MATCH(N$1,'SALA 2002'!$B$1:$U$1,0))),($A97-1994)/7),INDEX('WPP 2024 середина года'!$B:$U,MATCH($A97,'WPP 2024 середина года'!$A:$A,0),MATCH(N$1,'WPP 2024 середина года'!$B$1:$U$1,0)))))</f>
        <v>5619.7330247085229</v>
      </c>
      <c r="O97" s="7">
        <f>IF($A97&lt;=1951,INDEX('SALA 1974'!$B:$U,MATCH($A97,'SALA 1974'!$A:$A,0),MATCH(O$1,'SALA 1974'!$B$1:$U$1,0)),IF($A97&lt;=1994,1000*INDEX('SALA 2002'!$B:$U,MATCH($A97,'SALA 2002'!$A:$A,0),MATCH(O$1,'SALA 2002'!$B$1:$U$1,0)),IF($A97&lt;=2000,1000*INDEX('SALA 2002'!$B:$U,MATCH($A97,'SALA 2002'!$A:$A,0),MATCH(O$1,'SALA 2002'!$B$1:$U$1,0))*POWER(INDEX('WPP 2024 середина года'!$B:$U,MATCH($A97,'WPP 2024 середина года'!$A:$A,0),MATCH(O$1,'WPP 2024 середина года'!$B$1:$U$1,0))/(1000*INDEX('SALA 2002'!$B:$U,MATCH($A97,'SALA 2002'!$A:$A,0),MATCH(O$1,'SALA 2002'!$B$1:$U$1,0))),($A97-1994)/7),INDEX('WPP 2024 середина года'!$B:$U,MATCH($A97,'WPP 2024 середина года'!$A:$A,0),MATCH(O$1,'WPP 2024 середина года'!$B$1:$U$1,0)))))</f>
        <v>90543.120643371687</v>
      </c>
      <c r="P97" s="7">
        <f>IF($A97&lt;=1951,INDEX('SALA 1974'!$B:$U,MATCH($A97,'SALA 1974'!$A:$A,0),MATCH(P$1,'SALA 1974'!$B$1:$U$1,0)),IF($A97&lt;=1994,1000*INDEX('SALA 2002'!$B:$U,MATCH($A97,'SALA 2002'!$A:$A,0),MATCH(P$1,'SALA 2002'!$B$1:$U$1,0)),IF($A97&lt;=2000,1000*INDEX('SALA 2002'!$B:$U,MATCH($A97,'SALA 2002'!$A:$A,0),MATCH(P$1,'SALA 2002'!$B$1:$U$1,0))*POWER(INDEX('WPP 2024 середина года'!$B:$U,MATCH($A97,'WPP 2024 середина года'!$A:$A,0),MATCH(P$1,'WPP 2024 середина года'!$B$1:$U$1,0))/(1000*INDEX('SALA 2002'!$B:$U,MATCH($A97,'SALA 2002'!$A:$A,0),MATCH(P$1,'SALA 2002'!$B$1:$U$1,0))),($A97-1994)/7),INDEX('WPP 2024 середина года'!$B:$U,MATCH($A97,'WPP 2024 середина года'!$A:$A,0),MATCH(P$1,'WPP 2024 середина года'!$B$1:$U$1,0)))))</f>
        <v>4554.5591808466352</v>
      </c>
      <c r="Q97" s="7">
        <f>IF($A97&lt;=1951,INDEX('SALA 1974'!$B:$U,MATCH($A97,'SALA 1974'!$A:$A,0),MATCH(Q$1,'SALA 1974'!$B$1:$U$1,0)),IF($A97&lt;=1994,1000*INDEX('SALA 2002'!$B:$U,MATCH($A97,'SALA 2002'!$A:$A,0),MATCH(Q$1,'SALA 2002'!$B$1:$U$1,0)),IF($A97&lt;=2000,1000*INDEX('SALA 2002'!$B:$U,MATCH($A97,'SALA 2002'!$A:$A,0),MATCH(Q$1,'SALA 2002'!$B$1:$U$1,0))*POWER(INDEX('WPP 2024 середина года'!$B:$U,MATCH($A97,'WPP 2024 середина года'!$A:$A,0),MATCH(Q$1,'WPP 2024 середина года'!$B$1:$U$1,0))/(1000*INDEX('SALA 2002'!$B:$U,MATCH($A97,'SALA 2002'!$A:$A,0),MATCH(Q$1,'SALA 2002'!$B$1:$U$1,0))),($A97-1994)/7),INDEX('WPP 2024 середина года'!$B:$U,MATCH($A97,'WPP 2024 середина года'!$A:$A,0),MATCH(Q$1,'WPP 2024 середина года'!$B$1:$U$1,0)))))</f>
        <v>2643.3104786575677</v>
      </c>
      <c r="R97" s="7">
        <f>IF($A97&lt;=1951,INDEX('SALA 1974'!$B:$U,MATCH($A97,'SALA 1974'!$A:$A,0),MATCH(R$1,'SALA 1974'!$B$1:$U$1,0)),IF($A97&lt;=1994,1000*INDEX('SALA 2002'!$B:$U,MATCH($A97,'SALA 2002'!$A:$A,0),MATCH(R$1,'SALA 2002'!$B$1:$U$1,0)),IF($A97&lt;=2000,1000*INDEX('SALA 2002'!$B:$U,MATCH($A97,'SALA 2002'!$A:$A,0),MATCH(R$1,'SALA 2002'!$B$1:$U$1,0))*POWER(INDEX('WPP 2024 середина года'!$B:$U,MATCH($A97,'WPP 2024 середина года'!$A:$A,0),MATCH(R$1,'WPP 2024 середина года'!$B$1:$U$1,0))/(1000*INDEX('SALA 2002'!$B:$U,MATCH($A97,'SALA 2002'!$A:$A,0),MATCH(R$1,'SALA 2002'!$B$1:$U$1,0))),($A97-1994)/7),INDEX('WPP 2024 середина года'!$B:$U,MATCH($A97,'WPP 2024 середина года'!$A:$A,0),MATCH(R$1,'WPP 2024 середина года'!$B$1:$U$1,0)))))</f>
        <v>4793.4372057618284</v>
      </c>
      <c r="S97" s="7">
        <f>IF($A97&lt;=1951,INDEX('SALA 1974'!$B:$U,MATCH($A97,'SALA 1974'!$A:$A,0),MATCH(S$1,'SALA 1974'!$B$1:$U$1,0)),IF($A97&lt;=1994,1000*INDEX('SALA 2002'!$B:$U,MATCH($A97,'SALA 2002'!$A:$A,0),MATCH(S$1,'SALA 2002'!$B$1:$U$1,0)),IF($A97&lt;=2000,1000*INDEX('SALA 2002'!$B:$U,MATCH($A97,'SALA 2002'!$A:$A,0),MATCH(S$1,'SALA 2002'!$B$1:$U$1,0))*POWER(INDEX('WPP 2024 середина года'!$B:$U,MATCH($A97,'WPP 2024 середина года'!$A:$A,0),MATCH(S$1,'WPP 2024 середина года'!$B$1:$U$1,0))/(1000*INDEX('SALA 2002'!$B:$U,MATCH($A97,'SALA 2002'!$A:$A,0),MATCH(S$1,'SALA 2002'!$B$1:$U$1,0))),($A97-1994)/7),INDEX('WPP 2024 середина года'!$B:$U,MATCH($A97,'WPP 2024 середина года'!$A:$A,0),MATCH(S$1,'WPP 2024 середина года'!$B$1:$U$1,0)))))</f>
        <v>23645.277518720479</v>
      </c>
      <c r="T97" s="7">
        <f>IF($A97&lt;=1951,INDEX('SALA 1974'!$B:$U,MATCH($A97,'SALA 1974'!$A:$A,0),MATCH(T$1,'SALA 1974'!$B$1:$U$1,0)),IF($A97&lt;=1994,1000*INDEX('SALA 2002'!$B:$U,MATCH($A97,'SALA 2002'!$A:$A,0),MATCH(T$1,'SALA 2002'!$B$1:$U$1,0)),IF($A97&lt;=2000,1000*INDEX('SALA 2002'!$B:$U,MATCH($A97,'SALA 2002'!$A:$A,0),MATCH(T$1,'SALA 2002'!$B$1:$U$1,0))*POWER(INDEX('WPP 2024 середина года'!$B:$U,MATCH($A97,'WPP 2024 середина года'!$A:$A,0),MATCH(T$1,'WPP 2024 середина года'!$B$1:$U$1,0))/(1000*INDEX('SALA 2002'!$B:$U,MATCH($A97,'SALA 2002'!$A:$A,0),MATCH(T$1,'SALA 2002'!$B$1:$U$1,0))),($A97-1994)/7),INDEX('WPP 2024 середина года'!$B:$U,MATCH($A97,'WPP 2024 середина года'!$A:$A,0),MATCH(T$1,'WPP 2024 середина года'!$B$1:$U$1,0)))))</f>
        <v>3215.6106621975623</v>
      </c>
      <c r="U97" s="7">
        <f>IF($A97&lt;=1951,INDEX('SALA 1974'!$B:$U,MATCH($A97,'SALA 1974'!$A:$A,0),MATCH(U$1,'SALA 1974'!$B$1:$U$1,0)),IF($A97&lt;=1994,1000*INDEX('SALA 2002'!$B:$U,MATCH($A97,'SALA 2002'!$A:$A,0),MATCH(U$1,'SALA 2002'!$B$1:$U$1,0)),IF($A97&lt;=2000,1000*INDEX('SALA 2002'!$B:$U,MATCH($A97,'SALA 2002'!$A:$A,0),MATCH(U$1,'SALA 2002'!$B$1:$U$1,0))*POWER(INDEX('WPP 2024 середина года'!$B:$U,MATCH($A97,'WPP 2024 середина года'!$A:$A,0),MATCH(U$1,'WPP 2024 середина года'!$B$1:$U$1,0))/(1000*INDEX('SALA 2002'!$B:$U,MATCH($A97,'SALA 2002'!$A:$A,0),MATCH(U$1,'SALA 2002'!$B$1:$U$1,0))),($A97-1994)/7),INDEX('WPP 2024 середина года'!$B:$U,MATCH($A97,'WPP 2024 середина года'!$A:$A,0),MATCH(U$1,'WPP 2024 середина года'!$B$1:$U$1,0)))))</f>
        <v>21890.195432009423</v>
      </c>
    </row>
    <row r="98" spans="1:21" x14ac:dyDescent="0.25">
      <c r="A98" s="5">
        <f t="shared" si="1"/>
        <v>1996</v>
      </c>
      <c r="B98" s="7">
        <f>IF($A98&lt;=1951,INDEX('SALA 1974'!$B:$U,MATCH($A98,'SALA 1974'!$A:$A,0),MATCH(B$1,'SALA 1974'!$B$1:$U$1,0)),IF($A98&lt;=1994,1000*INDEX('SALA 2002'!$B:$U,MATCH($A98,'SALA 2002'!$A:$A,0),MATCH(B$1,'SALA 2002'!$B$1:$U$1,0)),IF($A98&lt;=2000,1000*INDEX('SALA 2002'!$B:$U,MATCH($A98,'SALA 2002'!$A:$A,0),MATCH(B$1,'SALA 2002'!$B$1:$U$1,0))*POWER(INDEX('WPP 2024 середина года'!$B:$U,MATCH($A98,'WPP 2024 середина года'!$A:$A,0),MATCH(B$1,'WPP 2024 середина года'!$B$1:$U$1,0))/(1000*INDEX('SALA 2002'!$B:$U,MATCH($A98,'SALA 2002'!$A:$A,0),MATCH(B$1,'SALA 2002'!$B$1:$U$1,0))),($A98-1994)/7),INDEX('WPP 2024 середина года'!$B:$U,MATCH($A98,'WPP 2024 середина года'!$A:$A,0),MATCH(B$1,'WPP 2024 середина года'!$B$1:$U$1,0)))))</f>
        <v>35303.693957241318</v>
      </c>
      <c r="C98" s="7">
        <f>IF($A98&lt;=1951,INDEX('SALA 1974'!$B:$U,MATCH($A98,'SALA 1974'!$A:$A,0),MATCH(C$1,'SALA 1974'!$B$1:$U$1,0)),IF($A98&lt;=1994,1000*INDEX('SALA 2002'!$B:$U,MATCH($A98,'SALA 2002'!$A:$A,0),MATCH(C$1,'SALA 2002'!$B$1:$U$1,0)),IF($A98&lt;=2000,1000*INDEX('SALA 2002'!$B:$U,MATCH($A98,'SALA 2002'!$A:$A,0),MATCH(C$1,'SALA 2002'!$B$1:$U$1,0))*POWER(INDEX('WPP 2024 середина года'!$B:$U,MATCH($A98,'WPP 2024 середина года'!$A:$A,0),MATCH(C$1,'WPP 2024 середина года'!$B$1:$U$1,0))/(1000*INDEX('SALA 2002'!$B:$U,MATCH($A98,'SALA 2002'!$A:$A,0),MATCH(C$1,'SALA 2002'!$B$1:$U$1,0))),($A98-1994)/7),INDEX('WPP 2024 середина года'!$B:$U,MATCH($A98,'WPP 2024 середина года'!$A:$A,0),MATCH(C$1,'WPP 2024 середина года'!$B$1:$U$1,0)))))</f>
        <v>7710.9157633628492</v>
      </c>
      <c r="D98" s="7">
        <f>IF($A98&lt;=1951,INDEX('SALA 1974'!$B:$U,MATCH($A98,'SALA 1974'!$A:$A,0),MATCH(D$1,'SALA 1974'!$B$1:$U$1,0)),IF($A98&lt;=1994,1000*INDEX('SALA 2002'!$B:$U,MATCH($A98,'SALA 2002'!$A:$A,0),MATCH(D$1,'SALA 2002'!$B$1:$U$1,0)),IF($A98&lt;=2000,1000*INDEX('SALA 2002'!$B:$U,MATCH($A98,'SALA 2002'!$A:$A,0),MATCH(D$1,'SALA 2002'!$B$1:$U$1,0))*POWER(INDEX('WPP 2024 середина года'!$B:$U,MATCH($A98,'WPP 2024 середина года'!$A:$A,0),MATCH(D$1,'WPP 2024 середина года'!$B$1:$U$1,0))/(1000*INDEX('SALA 2002'!$B:$U,MATCH($A98,'SALA 2002'!$A:$A,0),MATCH(D$1,'SALA 2002'!$B$1:$U$1,0))),($A98-1994)/7),INDEX('WPP 2024 середина года'!$B:$U,MATCH($A98,'WPP 2024 середина года'!$A:$A,0),MATCH(D$1,'WPP 2024 середина года'!$B$1:$U$1,0)))))</f>
        <v>159653.94472808507</v>
      </c>
      <c r="E98" s="7">
        <f>IF($A98&lt;=1951,INDEX('SALA 1974'!$B:$U,MATCH($A98,'SALA 1974'!$A:$A,0),MATCH(E$1,'SALA 1974'!$B$1:$U$1,0)),IF($A98&lt;=1994,1000*INDEX('SALA 2002'!$B:$U,MATCH($A98,'SALA 2002'!$A:$A,0),MATCH(E$1,'SALA 2002'!$B$1:$U$1,0)),IF($A98&lt;=2000,1000*INDEX('SALA 2002'!$B:$U,MATCH($A98,'SALA 2002'!$A:$A,0),MATCH(E$1,'SALA 2002'!$B$1:$U$1,0))*POWER(INDEX('WPP 2024 середина года'!$B:$U,MATCH($A98,'WPP 2024 середина года'!$A:$A,0),MATCH(E$1,'WPP 2024 середина года'!$B$1:$U$1,0))/(1000*INDEX('SALA 2002'!$B:$U,MATCH($A98,'SALA 2002'!$A:$A,0),MATCH(E$1,'SALA 2002'!$B$1:$U$1,0))),($A98-1994)/7),INDEX('WPP 2024 середина года'!$B:$U,MATCH($A98,'WPP 2024 середина года'!$A:$A,0),MATCH(E$1,'WPP 2024 середина года'!$B$1:$U$1,0)))))</f>
        <v>14509.025142192035</v>
      </c>
      <c r="F98" s="7">
        <f>IF($A98&lt;=1947,INDEX('SALA 1974'!$B:$U,MATCH($A98,'SALA 1974'!$A:$A,0),MATCH(F$1,'SALA 1974'!$B$1:$U$1,0)),IF($A98&lt;=1994,1000*INDEX('SALA 2002'!$B:$U,MATCH($A98,'SALA 2002'!$A:$A,0),MATCH(F$1,'SALA 2002'!$B$1:$U$1,0)),IF($A98&lt;=2000,1000*INDEX('SALA 2002'!$B:$U,MATCH($A98,'SALA 2002'!$A:$A,0),MATCH(F$1,'SALA 2002'!$B$1:$U$1,0))*POWER(INDEX('WPP 2024 середина года'!$B:$U,MATCH($A98,'WPP 2024 середина года'!$A:$A,0),MATCH(F$1,'WPP 2024 середина года'!$B$1:$U$1,0))/(1000*INDEX('SALA 2002'!$B:$U,MATCH($A98,'SALA 2002'!$A:$A,0),MATCH(F$1,'SALA 2002'!$B$1:$U$1,0))),($A98-1994)/7),INDEX('WPP 2024 середина года'!$B:$U,MATCH($A98,'WPP 2024 середина года'!$A:$A,0),MATCH(F$1,'WPP 2024 середина года'!$B$1:$U$1,0)))))</f>
        <v>35865.954593352646</v>
      </c>
      <c r="G98" s="7">
        <f>IF($A98&lt;=1951,INDEX('SALA 1974'!$B:$U,MATCH($A98,'SALA 1974'!$A:$A,0),MATCH(G$1,'SALA 1974'!$B$1:$U$1,0)),IF($A98&lt;=1994,1000*INDEX('SALA 2002'!$B:$U,MATCH($A98,'SALA 2002'!$A:$A,0),MATCH(G$1,'SALA 2002'!$B$1:$U$1,0)),IF($A98&lt;=2000,1000*INDEX('SALA 2002'!$B:$U,MATCH($A98,'SALA 2002'!$A:$A,0),MATCH(G$1,'SALA 2002'!$B$1:$U$1,0))*POWER(INDEX('WPP 2024 середина года'!$B:$U,MATCH($A98,'WPP 2024 середина года'!$A:$A,0),MATCH(G$1,'WPP 2024 середина года'!$B$1:$U$1,0))/(1000*INDEX('SALA 2002'!$B:$U,MATCH($A98,'SALA 2002'!$A:$A,0),MATCH(G$1,'SALA 2002'!$B$1:$U$1,0))),($A98-1994)/7),INDEX('WPP 2024 середина года'!$B:$U,MATCH($A98,'WPP 2024 середина года'!$A:$A,0),MATCH(G$1,'WPP 2024 середина года'!$B$1:$U$1,0)))))</f>
        <v>3314.5009750770128</v>
      </c>
      <c r="H98" s="7">
        <f>IF($A98&lt;=1951,INDEX('SALA 1974'!$B:$U,MATCH($A98,'SALA 1974'!$A:$A,0),MATCH(H$1,'SALA 1974'!$B$1:$U$1,0)),IF($A98&lt;=1994,1000*INDEX('SALA 2002'!$B:$U,MATCH($A98,'SALA 2002'!$A:$A,0),MATCH(H$1,'SALA 2002'!$B$1:$U$1,0)),IF($A98&lt;=2000,1000*INDEX('SALA 2002'!$B:$U,MATCH($A98,'SALA 2002'!$A:$A,0),MATCH(H$1,'SALA 2002'!$B$1:$U$1,0))*POWER(INDEX('WPP 2024 середина года'!$B:$U,MATCH($A98,'WPP 2024 середина года'!$A:$A,0),MATCH(H$1,'WPP 2024 середина года'!$B$1:$U$1,0))/(1000*INDEX('SALA 2002'!$B:$U,MATCH($A98,'SALA 2002'!$A:$A,0),MATCH(H$1,'SALA 2002'!$B$1:$U$1,0))),($A98-1994)/7),INDEX('WPP 2024 середина года'!$B:$U,MATCH($A98,'WPP 2024 середина года'!$A:$A,0),MATCH(H$1,'WPP 2024 середина года'!$B$1:$U$1,0)))))</f>
        <v>11003.397328108742</v>
      </c>
      <c r="I98" s="7">
        <f>IF($A98&lt;=1951,INDEX('SALA 1974'!$B:$U,MATCH($A98,'SALA 1974'!$A:$A,0),MATCH(I$1,'SALA 1974'!$B$1:$U$1,0)),IF($A98&lt;=1994,1000*INDEX('SALA 2002'!$B:$U,MATCH($A98,'SALA 2002'!$A:$A,0),MATCH(I$1,'SALA 2002'!$B$1:$U$1,0)),IF($A98&lt;=2000,1000*INDEX('SALA 2002'!$B:$U,MATCH($A98,'SALA 2002'!$A:$A,0),MATCH(I$1,'SALA 2002'!$B$1:$U$1,0))*POWER(INDEX('WPP 2024 середина года'!$B:$U,MATCH($A98,'WPP 2024 середина года'!$A:$A,0),MATCH(I$1,'WPP 2024 середина года'!$B$1:$U$1,0))/(1000*INDEX('SALA 2002'!$B:$U,MATCH($A98,'SALA 2002'!$A:$A,0),MATCH(I$1,'SALA 2002'!$B$1:$U$1,0))),($A98-1994)/7),INDEX('WPP 2024 середина года'!$B:$U,MATCH($A98,'WPP 2024 середина года'!$A:$A,0),MATCH(I$1,'WPP 2024 середина года'!$B$1:$U$1,0)))))</f>
        <v>8045.1105746551912</v>
      </c>
      <c r="J98" s="7">
        <f>IF($A98&lt;=1951,INDEX('SALA 1974'!$B:$U,MATCH($A98,'SALA 1974'!$A:$A,0),MATCH(J$1,'SALA 1974'!$B$1:$U$1,0)),IF($A98&lt;=1994,1000*INDEX('SALA 2002'!$B:$U,MATCH($A98,'SALA 2002'!$A:$A,0),MATCH(J$1,'SALA 2002'!$B$1:$U$1,0)),IF($A98&lt;=2000,1000*INDEX('SALA 2002'!$B:$U,MATCH($A98,'SALA 2002'!$A:$A,0),MATCH(J$1,'SALA 2002'!$B$1:$U$1,0))*POWER(INDEX('WPP 2024 середина года'!$B:$U,MATCH($A98,'WPP 2024 середина года'!$A:$A,0),MATCH(J$1,'WPP 2024 середина года'!$B$1:$U$1,0))/(1000*INDEX('SALA 2002'!$B:$U,MATCH($A98,'SALA 2002'!$A:$A,0),MATCH(J$1,'SALA 2002'!$B$1:$U$1,0))),($A98-1994)/7),INDEX('WPP 2024 середина года'!$B:$U,MATCH($A98,'WPP 2024 середина года'!$A:$A,0),MATCH(J$1,'WPP 2024 середина года'!$B$1:$U$1,0)))))</f>
        <v>11731.607407711179</v>
      </c>
      <c r="K98" s="7">
        <f>IF($A98&lt;=1951,INDEX('SALA 1974'!$B:$U,MATCH($A98,'SALA 1974'!$A:$A,0),MATCH(K$1,'SALA 1974'!$B$1:$U$1,0)),IF($A98&lt;=1994,1000*INDEX('SALA 2002'!$B:$U,MATCH($A98,'SALA 2002'!$A:$A,0),MATCH(K$1,'SALA 2002'!$B$1:$U$1,0)),IF($A98&lt;=2000,1000*INDEX('SALA 2002'!$B:$U,MATCH($A98,'SALA 2002'!$A:$A,0),MATCH(K$1,'SALA 2002'!$B$1:$U$1,0))*POWER(INDEX('WPP 2024 середина года'!$B:$U,MATCH($A98,'WPP 2024 середина года'!$A:$A,0),MATCH(K$1,'WPP 2024 середина года'!$B$1:$U$1,0))/(1000*INDEX('SALA 2002'!$B:$U,MATCH($A98,'SALA 2002'!$A:$A,0),MATCH(K$1,'SALA 2002'!$B$1:$U$1,0))),($A98-1994)/7),INDEX('WPP 2024 середина года'!$B:$U,MATCH($A98,'WPP 2024 середина года'!$A:$A,0),MATCH(K$1,'WPP 2024 середина года'!$B$1:$U$1,0)))))</f>
        <v>5794.3673092742874</v>
      </c>
      <c r="L98" s="7">
        <f>IF($A98&lt;=1951,INDEX('SALA 1974'!$B:$U,MATCH($A98,'SALA 1974'!$A:$A,0),MATCH(L$1,'SALA 1974'!$B$1:$U$1,0)),IF($A98&lt;=1994,1000*INDEX('SALA 2002'!$B:$U,MATCH($A98,'SALA 2002'!$A:$A,0),MATCH(L$1,'SALA 2002'!$B$1:$U$1,0)),IF($A98&lt;=2000,1000*INDEX('SALA 2002'!$B:$U,MATCH($A98,'SALA 2002'!$A:$A,0),MATCH(L$1,'SALA 2002'!$B$1:$U$1,0))*POWER(INDEX('WPP 2024 середина года'!$B:$U,MATCH($A98,'WPP 2024 середина года'!$A:$A,0),MATCH(L$1,'WPP 2024 середина года'!$B$1:$U$1,0))/(1000*INDEX('SALA 2002'!$B:$U,MATCH($A98,'SALA 2002'!$A:$A,0),MATCH(L$1,'SALA 2002'!$B$1:$U$1,0))),($A98-1994)/7),INDEX('WPP 2024 середина года'!$B:$U,MATCH($A98,'WPP 2024 середина года'!$A:$A,0),MATCH(L$1,'WPP 2024 середина года'!$B$1:$U$1,0)))))</f>
        <v>10336.989110874891</v>
      </c>
      <c r="M98" s="7">
        <f>IF($A98&lt;=1951,INDEX('SALA 1974'!$B:$U,MATCH($A98,'SALA 1974'!$A:$A,0),MATCH(M$1,'SALA 1974'!$B$1:$U$1,0)),IF($A98&lt;=1994,1000*INDEX('SALA 2002'!$B:$U,MATCH($A98,'SALA 2002'!$A:$A,0),MATCH(M$1,'SALA 2002'!$B$1:$U$1,0)),IF($A98&lt;=2000,1000*INDEX('SALA 2002'!$B:$U,MATCH($A98,'SALA 2002'!$A:$A,0),MATCH(M$1,'SALA 2002'!$B$1:$U$1,0))*POWER(INDEX('WPP 2024 середина года'!$B:$U,MATCH($A98,'WPP 2024 середина года'!$A:$A,0),MATCH(M$1,'WPP 2024 середина года'!$B$1:$U$1,0))/(1000*INDEX('SALA 2002'!$B:$U,MATCH($A98,'SALA 2002'!$A:$A,0),MATCH(M$1,'SALA 2002'!$B$1:$U$1,0))),($A98-1994)/7),INDEX('WPP 2024 середина года'!$B:$U,MATCH($A98,'WPP 2024 середина года'!$A:$A,0),MATCH(M$1,'WPP 2024 середина года'!$B$1:$U$1,0)))))</f>
        <v>7443.2019947313647</v>
      </c>
      <c r="N98" s="7">
        <f>IF($A98&lt;=1951,INDEX('SALA 1974'!$B:$U,MATCH($A98,'SALA 1974'!$A:$A,0),MATCH(N$1,'SALA 1974'!$B$1:$U$1,0)),IF($A98&lt;=1994,1000*INDEX('SALA 2002'!$B:$U,MATCH($A98,'SALA 2002'!$A:$A,0),MATCH(N$1,'SALA 2002'!$B$1:$U$1,0)),IF($A98&lt;=2000,1000*INDEX('SALA 2002'!$B:$U,MATCH($A98,'SALA 2002'!$A:$A,0),MATCH(N$1,'SALA 2002'!$B$1:$U$1,0))*POWER(INDEX('WPP 2024 середина года'!$B:$U,MATCH($A98,'WPP 2024 середина года'!$A:$A,0),MATCH(N$1,'WPP 2024 середина года'!$B$1:$U$1,0))/(1000*INDEX('SALA 2002'!$B:$U,MATCH($A98,'SALA 2002'!$A:$A,0),MATCH(N$1,'SALA 2002'!$B$1:$U$1,0))),($A98-1994)/7),INDEX('WPP 2024 середина года'!$B:$U,MATCH($A98,'WPP 2024 середина года'!$A:$A,0),MATCH(N$1,'WPP 2024 середина года'!$B$1:$U$1,0)))))</f>
        <v>5829.5259235274707</v>
      </c>
      <c r="O98" s="7">
        <f>IF($A98&lt;=1951,INDEX('SALA 1974'!$B:$U,MATCH($A98,'SALA 1974'!$A:$A,0),MATCH(O$1,'SALA 1974'!$B$1:$U$1,0)),IF($A98&lt;=1994,1000*INDEX('SALA 2002'!$B:$U,MATCH($A98,'SALA 2002'!$A:$A,0),MATCH(O$1,'SALA 2002'!$B$1:$U$1,0)),IF($A98&lt;=2000,1000*INDEX('SALA 2002'!$B:$U,MATCH($A98,'SALA 2002'!$A:$A,0),MATCH(O$1,'SALA 2002'!$B$1:$U$1,0))*POWER(INDEX('WPP 2024 середина года'!$B:$U,MATCH($A98,'WPP 2024 середина года'!$A:$A,0),MATCH(O$1,'WPP 2024 середина года'!$B$1:$U$1,0))/(1000*INDEX('SALA 2002'!$B:$U,MATCH($A98,'SALA 2002'!$A:$A,0),MATCH(O$1,'SALA 2002'!$B$1:$U$1,0))),($A98-1994)/7),INDEX('WPP 2024 середина года'!$B:$U,MATCH($A98,'WPP 2024 середина года'!$A:$A,0),MATCH(O$1,'WPP 2024 середина года'!$B$1:$U$1,0)))))</f>
        <v>92643.549809803517</v>
      </c>
      <c r="P98" s="7">
        <f>IF($A98&lt;=1951,INDEX('SALA 1974'!$B:$U,MATCH($A98,'SALA 1974'!$A:$A,0),MATCH(P$1,'SALA 1974'!$B$1:$U$1,0)),IF($A98&lt;=1994,1000*INDEX('SALA 2002'!$B:$U,MATCH($A98,'SALA 2002'!$A:$A,0),MATCH(P$1,'SALA 2002'!$B$1:$U$1,0)),IF($A98&lt;=2000,1000*INDEX('SALA 2002'!$B:$U,MATCH($A98,'SALA 2002'!$A:$A,0),MATCH(P$1,'SALA 2002'!$B$1:$U$1,0))*POWER(INDEX('WPP 2024 середина года'!$B:$U,MATCH($A98,'WPP 2024 середина года'!$A:$A,0),MATCH(P$1,'WPP 2024 середина года'!$B$1:$U$1,0))/(1000*INDEX('SALA 2002'!$B:$U,MATCH($A98,'SALA 2002'!$A:$A,0),MATCH(P$1,'SALA 2002'!$B$1:$U$1,0))),($A98-1994)/7),INDEX('WPP 2024 середина года'!$B:$U,MATCH($A98,'WPP 2024 середина года'!$A:$A,0),MATCH(P$1,'WPP 2024 середина года'!$B$1:$U$1,0)))))</f>
        <v>4600.7179486843088</v>
      </c>
      <c r="Q98" s="7">
        <f>IF($A98&lt;=1951,INDEX('SALA 1974'!$B:$U,MATCH($A98,'SALA 1974'!$A:$A,0),MATCH(Q$1,'SALA 1974'!$B$1:$U$1,0)),IF($A98&lt;=1994,1000*INDEX('SALA 2002'!$B:$U,MATCH($A98,'SALA 2002'!$A:$A,0),MATCH(Q$1,'SALA 2002'!$B$1:$U$1,0)),IF($A98&lt;=2000,1000*INDEX('SALA 2002'!$B:$U,MATCH($A98,'SALA 2002'!$A:$A,0),MATCH(Q$1,'SALA 2002'!$B$1:$U$1,0))*POWER(INDEX('WPP 2024 середина года'!$B:$U,MATCH($A98,'WPP 2024 середина года'!$A:$A,0),MATCH(Q$1,'WPP 2024 середина года'!$B$1:$U$1,0))/(1000*INDEX('SALA 2002'!$B:$U,MATCH($A98,'SALA 2002'!$A:$A,0),MATCH(Q$1,'SALA 2002'!$B$1:$U$1,0))),($A98-1994)/7),INDEX('WPP 2024 середина года'!$B:$U,MATCH($A98,'WPP 2024 середина года'!$A:$A,0),MATCH(Q$1,'WPP 2024 середина года'!$B$1:$U$1,0)))))</f>
        <v>2701.032247627963</v>
      </c>
      <c r="R98" s="7">
        <f>IF($A98&lt;=1951,INDEX('SALA 1974'!$B:$U,MATCH($A98,'SALA 1974'!$A:$A,0),MATCH(R$1,'SALA 1974'!$B$1:$U$1,0)),IF($A98&lt;=1994,1000*INDEX('SALA 2002'!$B:$U,MATCH($A98,'SALA 2002'!$A:$A,0),MATCH(R$1,'SALA 2002'!$B$1:$U$1,0)),IF($A98&lt;=2000,1000*INDEX('SALA 2002'!$B:$U,MATCH($A98,'SALA 2002'!$A:$A,0),MATCH(R$1,'SALA 2002'!$B$1:$U$1,0))*POWER(INDEX('WPP 2024 середина года'!$B:$U,MATCH($A98,'WPP 2024 середина года'!$A:$A,0),MATCH(R$1,'WPP 2024 середина года'!$B$1:$U$1,0))/(1000*INDEX('SALA 2002'!$B:$U,MATCH($A98,'SALA 2002'!$A:$A,0),MATCH(R$1,'SALA 2002'!$B$1:$U$1,0))),($A98-1994)/7),INDEX('WPP 2024 середина года'!$B:$U,MATCH($A98,'WPP 2024 середина года'!$A:$A,0),MATCH(R$1,'WPP 2024 середина года'!$B$1:$U$1,0)))))</f>
        <v>4880.5653788120544</v>
      </c>
      <c r="S98" s="7">
        <f>IF($A98&lt;=1951,INDEX('SALA 1974'!$B:$U,MATCH($A98,'SALA 1974'!$A:$A,0),MATCH(S$1,'SALA 1974'!$B$1:$U$1,0)),IF($A98&lt;=1994,1000*INDEX('SALA 2002'!$B:$U,MATCH($A98,'SALA 2002'!$A:$A,0),MATCH(S$1,'SALA 2002'!$B$1:$U$1,0)),IF($A98&lt;=2000,1000*INDEX('SALA 2002'!$B:$U,MATCH($A98,'SALA 2002'!$A:$A,0),MATCH(S$1,'SALA 2002'!$B$1:$U$1,0))*POWER(INDEX('WPP 2024 середина года'!$B:$U,MATCH($A98,'WPP 2024 середина года'!$A:$A,0),MATCH(S$1,'WPP 2024 середина года'!$B$1:$U$1,0))/(1000*INDEX('SALA 2002'!$B:$U,MATCH($A98,'SALA 2002'!$A:$A,0),MATCH(S$1,'SALA 2002'!$B$1:$U$1,0))),($A98-1994)/7),INDEX('WPP 2024 середина года'!$B:$U,MATCH($A98,'WPP 2024 середина года'!$A:$A,0),MATCH(S$1,'WPP 2024 середина года'!$B$1:$U$1,0)))))</f>
        <v>24192.960605839417</v>
      </c>
      <c r="T98" s="7">
        <f>IF($A98&lt;=1951,INDEX('SALA 1974'!$B:$U,MATCH($A98,'SALA 1974'!$A:$A,0),MATCH(T$1,'SALA 1974'!$B$1:$U$1,0)),IF($A98&lt;=1994,1000*INDEX('SALA 2002'!$B:$U,MATCH($A98,'SALA 2002'!$A:$A,0),MATCH(T$1,'SALA 2002'!$B$1:$U$1,0)),IF($A98&lt;=2000,1000*INDEX('SALA 2002'!$B:$U,MATCH($A98,'SALA 2002'!$A:$A,0),MATCH(T$1,'SALA 2002'!$B$1:$U$1,0))*POWER(INDEX('WPP 2024 середина года'!$B:$U,MATCH($A98,'WPP 2024 середина года'!$A:$A,0),MATCH(T$1,'WPP 2024 середина года'!$B$1:$U$1,0))/(1000*INDEX('SALA 2002'!$B:$U,MATCH($A98,'SALA 2002'!$A:$A,0),MATCH(T$1,'SALA 2002'!$B$1:$U$1,0))),($A98-1994)/7),INDEX('WPP 2024 середина года'!$B:$U,MATCH($A98,'WPP 2024 середина года'!$A:$A,0),MATCH(T$1,'WPP 2024 середина года'!$B$1:$U$1,0)))))</f>
        <v>3230.3354469621613</v>
      </c>
      <c r="U98" s="7">
        <f>IF($A98&lt;=1951,INDEX('SALA 1974'!$B:$U,MATCH($A98,'SALA 1974'!$A:$A,0),MATCH(U$1,'SALA 1974'!$B$1:$U$1,0)),IF($A98&lt;=1994,1000*INDEX('SALA 2002'!$B:$U,MATCH($A98,'SALA 2002'!$A:$A,0),MATCH(U$1,'SALA 2002'!$B$1:$U$1,0)),IF($A98&lt;=2000,1000*INDEX('SALA 2002'!$B:$U,MATCH($A98,'SALA 2002'!$A:$A,0),MATCH(U$1,'SALA 2002'!$B$1:$U$1,0))*POWER(INDEX('WPP 2024 середина года'!$B:$U,MATCH($A98,'WPP 2024 середина года'!$A:$A,0),MATCH(U$1,'WPP 2024 середина года'!$B$1:$U$1,0))/(1000*INDEX('SALA 2002'!$B:$U,MATCH($A98,'SALA 2002'!$A:$A,0),MATCH(U$1,'SALA 2002'!$B$1:$U$1,0))),($A98-1994)/7),INDEX('WPP 2024 середина года'!$B:$U,MATCH($A98,'WPP 2024 середина года'!$A:$A,0),MATCH(U$1,'WPP 2024 середина года'!$B$1:$U$1,0)))))</f>
        <v>22410.038029085237</v>
      </c>
    </row>
    <row r="99" spans="1:21" x14ac:dyDescent="0.25">
      <c r="A99" s="5">
        <f t="shared" si="1"/>
        <v>1997</v>
      </c>
      <c r="B99" s="7">
        <f>IF($A99&lt;=1951,INDEX('SALA 1974'!$B:$U,MATCH($A99,'SALA 1974'!$A:$A,0),MATCH(B$1,'SALA 1974'!$B$1:$U$1,0)),IF($A99&lt;=1994,1000*INDEX('SALA 2002'!$B:$U,MATCH($A99,'SALA 2002'!$A:$A,0),MATCH(B$1,'SALA 2002'!$B$1:$U$1,0)),IF($A99&lt;=2000,1000*INDEX('SALA 2002'!$B:$U,MATCH($A99,'SALA 2002'!$A:$A,0),MATCH(B$1,'SALA 2002'!$B$1:$U$1,0))*POWER(INDEX('WPP 2024 середина года'!$B:$U,MATCH($A99,'WPP 2024 середина года'!$A:$A,0),MATCH(B$1,'WPP 2024 середина года'!$B$1:$U$1,0))/(1000*INDEX('SALA 2002'!$B:$U,MATCH($A99,'SALA 2002'!$A:$A,0),MATCH(B$1,'SALA 2002'!$B$1:$U$1,0))),($A99-1994)/7),INDEX('WPP 2024 середина года'!$B:$U,MATCH($A99,'WPP 2024 середина года'!$A:$A,0),MATCH(B$1,'WPP 2024 середина года'!$B$1:$U$1,0)))))</f>
        <v>35788.793297114426</v>
      </c>
      <c r="C99" s="7">
        <f>IF($A99&lt;=1951,INDEX('SALA 1974'!$B:$U,MATCH($A99,'SALA 1974'!$A:$A,0),MATCH(C$1,'SALA 1974'!$B$1:$U$1,0)),IF($A99&lt;=1994,1000*INDEX('SALA 2002'!$B:$U,MATCH($A99,'SALA 2002'!$A:$A,0),MATCH(C$1,'SALA 2002'!$B$1:$U$1,0)),IF($A99&lt;=2000,1000*INDEX('SALA 2002'!$B:$U,MATCH($A99,'SALA 2002'!$A:$A,0),MATCH(C$1,'SALA 2002'!$B$1:$U$1,0))*POWER(INDEX('WPP 2024 середина года'!$B:$U,MATCH($A99,'WPP 2024 середина года'!$A:$A,0),MATCH(C$1,'WPP 2024 середина года'!$B$1:$U$1,0))/(1000*INDEX('SALA 2002'!$B:$U,MATCH($A99,'SALA 2002'!$A:$A,0),MATCH(C$1,'SALA 2002'!$B$1:$U$1,0))),($A99-1994)/7),INDEX('WPP 2024 середина года'!$B:$U,MATCH($A99,'WPP 2024 середина года'!$A:$A,0),MATCH(C$1,'WPP 2024 середина года'!$B$1:$U$1,0)))))</f>
        <v>7938.0983078137906</v>
      </c>
      <c r="D99" s="7">
        <f>IF($A99&lt;=1951,INDEX('SALA 1974'!$B:$U,MATCH($A99,'SALA 1974'!$A:$A,0),MATCH(D$1,'SALA 1974'!$B$1:$U$1,0)),IF($A99&lt;=1994,1000*INDEX('SALA 2002'!$B:$U,MATCH($A99,'SALA 2002'!$A:$A,0),MATCH(D$1,'SALA 2002'!$B$1:$U$1,0)),IF($A99&lt;=2000,1000*INDEX('SALA 2002'!$B:$U,MATCH($A99,'SALA 2002'!$A:$A,0),MATCH(D$1,'SALA 2002'!$B$1:$U$1,0))*POWER(INDEX('WPP 2024 середина года'!$B:$U,MATCH($A99,'WPP 2024 середина года'!$A:$A,0),MATCH(D$1,'WPP 2024 середина года'!$B$1:$U$1,0))/(1000*INDEX('SALA 2002'!$B:$U,MATCH($A99,'SALA 2002'!$A:$A,0),MATCH(D$1,'SALA 2002'!$B$1:$U$1,0))),($A99-1994)/7),INDEX('WPP 2024 середина года'!$B:$U,MATCH($A99,'WPP 2024 середина года'!$A:$A,0),MATCH(D$1,'WPP 2024 середина года'!$B$1:$U$1,0)))))</f>
        <v>162554.11485700932</v>
      </c>
      <c r="E99" s="7">
        <f>IF($A99&lt;=1951,INDEX('SALA 1974'!$B:$U,MATCH($A99,'SALA 1974'!$A:$A,0),MATCH(E$1,'SALA 1974'!$B$1:$U$1,0)),IF($A99&lt;=1994,1000*INDEX('SALA 2002'!$B:$U,MATCH($A99,'SALA 2002'!$A:$A,0),MATCH(E$1,'SALA 2002'!$B$1:$U$1,0)),IF($A99&lt;=2000,1000*INDEX('SALA 2002'!$B:$U,MATCH($A99,'SALA 2002'!$A:$A,0),MATCH(E$1,'SALA 2002'!$B$1:$U$1,0))*POWER(INDEX('WPP 2024 середина года'!$B:$U,MATCH($A99,'WPP 2024 середина года'!$A:$A,0),MATCH(E$1,'WPP 2024 середина года'!$B$1:$U$1,0))/(1000*INDEX('SALA 2002'!$B:$U,MATCH($A99,'SALA 2002'!$A:$A,0),MATCH(E$1,'SALA 2002'!$B$1:$U$1,0))),($A99-1994)/7),INDEX('WPP 2024 середина года'!$B:$U,MATCH($A99,'WPP 2024 середина года'!$A:$A,0),MATCH(E$1,'WPP 2024 середина года'!$B$1:$U$1,0)))))</f>
        <v>14753.077348363753</v>
      </c>
      <c r="F99" s="7">
        <f>IF($A99&lt;=1947,INDEX('SALA 1974'!$B:$U,MATCH($A99,'SALA 1974'!$A:$A,0),MATCH(F$1,'SALA 1974'!$B$1:$U$1,0)),IF($A99&lt;=1994,1000*INDEX('SALA 2002'!$B:$U,MATCH($A99,'SALA 2002'!$A:$A,0),MATCH(F$1,'SALA 2002'!$B$1:$U$1,0)),IF($A99&lt;=2000,1000*INDEX('SALA 2002'!$B:$U,MATCH($A99,'SALA 2002'!$A:$A,0),MATCH(F$1,'SALA 2002'!$B$1:$U$1,0))*POWER(INDEX('WPP 2024 середина года'!$B:$U,MATCH($A99,'WPP 2024 середина года'!$A:$A,0),MATCH(F$1,'WPP 2024 середина года'!$B$1:$U$1,0))/(1000*INDEX('SALA 2002'!$B:$U,MATCH($A99,'SALA 2002'!$A:$A,0),MATCH(F$1,'SALA 2002'!$B$1:$U$1,0))),($A99-1994)/7),INDEX('WPP 2024 середина года'!$B:$U,MATCH($A99,'WPP 2024 середина года'!$A:$A,0),MATCH(F$1,'WPP 2024 середина года'!$B$1:$U$1,0)))))</f>
        <v>36568.814839135935</v>
      </c>
      <c r="G99" s="7">
        <f>IF($A99&lt;=1951,INDEX('SALA 1974'!$B:$U,MATCH($A99,'SALA 1974'!$A:$A,0),MATCH(G$1,'SALA 1974'!$B$1:$U$1,0)),IF($A99&lt;=1994,1000*INDEX('SALA 2002'!$B:$U,MATCH($A99,'SALA 2002'!$A:$A,0),MATCH(G$1,'SALA 2002'!$B$1:$U$1,0)),IF($A99&lt;=2000,1000*INDEX('SALA 2002'!$B:$U,MATCH($A99,'SALA 2002'!$A:$A,0),MATCH(G$1,'SALA 2002'!$B$1:$U$1,0))*POWER(INDEX('WPP 2024 середина года'!$B:$U,MATCH($A99,'WPP 2024 середина года'!$A:$A,0),MATCH(G$1,'WPP 2024 середина года'!$B$1:$U$1,0))/(1000*INDEX('SALA 2002'!$B:$U,MATCH($A99,'SALA 2002'!$A:$A,0),MATCH(G$1,'SALA 2002'!$B$1:$U$1,0))),($A99-1994)/7),INDEX('WPP 2024 середина года'!$B:$U,MATCH($A99,'WPP 2024 середина года'!$A:$A,0),MATCH(G$1,'WPP 2024 середина года'!$B$1:$U$1,0)))))</f>
        <v>3448.4807786976444</v>
      </c>
      <c r="H99" s="7">
        <f>IF($A99&lt;=1951,INDEX('SALA 1974'!$B:$U,MATCH($A99,'SALA 1974'!$A:$A,0),MATCH(H$1,'SALA 1974'!$B$1:$U$1,0)),IF($A99&lt;=1994,1000*INDEX('SALA 2002'!$B:$U,MATCH($A99,'SALA 2002'!$A:$A,0),MATCH(H$1,'SALA 2002'!$B$1:$U$1,0)),IF($A99&lt;=2000,1000*INDEX('SALA 2002'!$B:$U,MATCH($A99,'SALA 2002'!$A:$A,0),MATCH(H$1,'SALA 2002'!$B$1:$U$1,0))*POWER(INDEX('WPP 2024 середина года'!$B:$U,MATCH($A99,'WPP 2024 середина года'!$A:$A,0),MATCH(H$1,'WPP 2024 середина года'!$B$1:$U$1,0))/(1000*INDEX('SALA 2002'!$B:$U,MATCH($A99,'SALA 2002'!$A:$A,0),MATCH(H$1,'SALA 2002'!$B$1:$U$1,0))),($A99-1994)/7),INDEX('WPP 2024 середина года'!$B:$U,MATCH($A99,'WPP 2024 середина года'!$A:$A,0),MATCH(H$1,'WPP 2024 середина года'!$B$1:$U$1,0)))))</f>
        <v>11033.342892646486</v>
      </c>
      <c r="I99" s="7">
        <f>IF($A99&lt;=1951,INDEX('SALA 1974'!$B:$U,MATCH($A99,'SALA 1974'!$A:$A,0),MATCH(I$1,'SALA 1974'!$B$1:$U$1,0)),IF($A99&lt;=1994,1000*INDEX('SALA 2002'!$B:$U,MATCH($A99,'SALA 2002'!$A:$A,0),MATCH(I$1,'SALA 2002'!$B$1:$U$1,0)),IF($A99&lt;=2000,1000*INDEX('SALA 2002'!$B:$U,MATCH($A99,'SALA 2002'!$A:$A,0),MATCH(I$1,'SALA 2002'!$B$1:$U$1,0))*POWER(INDEX('WPP 2024 середина года'!$B:$U,MATCH($A99,'WPP 2024 середина года'!$A:$A,0),MATCH(I$1,'WPP 2024 середина года'!$B$1:$U$1,0))/(1000*INDEX('SALA 2002'!$B:$U,MATCH($A99,'SALA 2002'!$A:$A,0),MATCH(I$1,'SALA 2002'!$B$1:$U$1,0))),($A99-1994)/7),INDEX('WPP 2024 середина года'!$B:$U,MATCH($A99,'WPP 2024 середина года'!$A:$A,0),MATCH(I$1,'WPP 2024 середина года'!$B$1:$U$1,0)))))</f>
        <v>8131.67453284369</v>
      </c>
      <c r="J99" s="7">
        <f>IF($A99&lt;=1951,INDEX('SALA 1974'!$B:$U,MATCH($A99,'SALA 1974'!$A:$A,0),MATCH(J$1,'SALA 1974'!$B$1:$U$1,0)),IF($A99&lt;=1994,1000*INDEX('SALA 2002'!$B:$U,MATCH($A99,'SALA 2002'!$A:$A,0),MATCH(J$1,'SALA 2002'!$B$1:$U$1,0)),IF($A99&lt;=2000,1000*INDEX('SALA 2002'!$B:$U,MATCH($A99,'SALA 2002'!$A:$A,0),MATCH(J$1,'SALA 2002'!$B$1:$U$1,0))*POWER(INDEX('WPP 2024 середина года'!$B:$U,MATCH($A99,'WPP 2024 середина года'!$A:$A,0),MATCH(J$1,'WPP 2024 середина года'!$B$1:$U$1,0))/(1000*INDEX('SALA 2002'!$B:$U,MATCH($A99,'SALA 2002'!$A:$A,0),MATCH(J$1,'SALA 2002'!$B$1:$U$1,0))),($A99-1994)/7),INDEX('WPP 2024 середина года'!$B:$U,MATCH($A99,'WPP 2024 середина года'!$A:$A,0),MATCH(J$1,'WPP 2024 середина года'!$B$1:$U$1,0)))))</f>
        <v>11978.958084263864</v>
      </c>
      <c r="K99" s="7">
        <f>IF($A99&lt;=1951,INDEX('SALA 1974'!$B:$U,MATCH($A99,'SALA 1974'!$A:$A,0),MATCH(K$1,'SALA 1974'!$B$1:$U$1,0)),IF($A99&lt;=1994,1000*INDEX('SALA 2002'!$B:$U,MATCH($A99,'SALA 2002'!$A:$A,0),MATCH(K$1,'SALA 2002'!$B$1:$U$1,0)),IF($A99&lt;=2000,1000*INDEX('SALA 2002'!$B:$U,MATCH($A99,'SALA 2002'!$A:$A,0),MATCH(K$1,'SALA 2002'!$B$1:$U$1,0))*POWER(INDEX('WPP 2024 середина года'!$B:$U,MATCH($A99,'WPP 2024 середина года'!$A:$A,0),MATCH(K$1,'WPP 2024 середина года'!$B$1:$U$1,0))/(1000*INDEX('SALA 2002'!$B:$U,MATCH($A99,'SALA 2002'!$A:$A,0),MATCH(K$1,'SALA 2002'!$B$1:$U$1,0))),($A99-1994)/7),INDEX('WPP 2024 середина года'!$B:$U,MATCH($A99,'WPP 2024 середина года'!$A:$A,0),MATCH(K$1,'WPP 2024 середина года'!$B$1:$U$1,0)))))</f>
        <v>5881.8822929615881</v>
      </c>
      <c r="L99" s="7">
        <f>IF($A99&lt;=1951,INDEX('SALA 1974'!$B:$U,MATCH($A99,'SALA 1974'!$A:$A,0),MATCH(L$1,'SALA 1974'!$B$1:$U$1,0)),IF($A99&lt;=1994,1000*INDEX('SALA 2002'!$B:$U,MATCH($A99,'SALA 2002'!$A:$A,0),MATCH(L$1,'SALA 2002'!$B$1:$U$1,0)),IF($A99&lt;=2000,1000*INDEX('SALA 2002'!$B:$U,MATCH($A99,'SALA 2002'!$A:$A,0),MATCH(L$1,'SALA 2002'!$B$1:$U$1,0))*POWER(INDEX('WPP 2024 середина года'!$B:$U,MATCH($A99,'WPP 2024 середина года'!$A:$A,0),MATCH(L$1,'WPP 2024 середина года'!$B$1:$U$1,0))/(1000*INDEX('SALA 2002'!$B:$U,MATCH($A99,'SALA 2002'!$A:$A,0),MATCH(L$1,'SALA 2002'!$B$1:$U$1,0))),($A99-1994)/7),INDEX('WPP 2024 середина года'!$B:$U,MATCH($A99,'WPP 2024 середина года'!$A:$A,0),MATCH(L$1,'WPP 2024 середина года'!$B$1:$U$1,0)))))</f>
        <v>10663.465131928011</v>
      </c>
      <c r="M99" s="7">
        <f>IF($A99&lt;=1951,INDEX('SALA 1974'!$B:$U,MATCH($A99,'SALA 1974'!$A:$A,0),MATCH(M$1,'SALA 1974'!$B$1:$U$1,0)),IF($A99&lt;=1994,1000*INDEX('SALA 2002'!$B:$U,MATCH($A99,'SALA 2002'!$A:$A,0),MATCH(M$1,'SALA 2002'!$B$1:$U$1,0)),IF($A99&lt;=2000,1000*INDEX('SALA 2002'!$B:$U,MATCH($A99,'SALA 2002'!$A:$A,0),MATCH(M$1,'SALA 2002'!$B$1:$U$1,0))*POWER(INDEX('WPP 2024 середина года'!$B:$U,MATCH($A99,'WPP 2024 середина года'!$A:$A,0),MATCH(M$1,'WPP 2024 середина года'!$B$1:$U$1,0))/(1000*INDEX('SALA 2002'!$B:$U,MATCH($A99,'SALA 2002'!$A:$A,0),MATCH(M$1,'SALA 2002'!$B$1:$U$1,0))),($A99-1994)/7),INDEX('WPP 2024 середина года'!$B:$U,MATCH($A99,'WPP 2024 середина года'!$A:$A,0),MATCH(M$1,'WPP 2024 середина года'!$B$1:$U$1,0)))))</f>
        <v>7644.0125176503343</v>
      </c>
      <c r="N99" s="7">
        <f>IF($A99&lt;=1951,INDEX('SALA 1974'!$B:$U,MATCH($A99,'SALA 1974'!$A:$A,0),MATCH(N$1,'SALA 1974'!$B$1:$U$1,0)),IF($A99&lt;=1994,1000*INDEX('SALA 2002'!$B:$U,MATCH($A99,'SALA 2002'!$A:$A,0),MATCH(N$1,'SALA 2002'!$B$1:$U$1,0)),IF($A99&lt;=2000,1000*INDEX('SALA 2002'!$B:$U,MATCH($A99,'SALA 2002'!$A:$A,0),MATCH(N$1,'SALA 2002'!$B$1:$U$1,0))*POWER(INDEX('WPP 2024 середина года'!$B:$U,MATCH($A99,'WPP 2024 середина года'!$A:$A,0),MATCH(N$1,'WPP 2024 середина года'!$B$1:$U$1,0))/(1000*INDEX('SALA 2002'!$B:$U,MATCH($A99,'SALA 2002'!$A:$A,0),MATCH(N$1,'SALA 2002'!$B$1:$U$1,0))),($A99-1994)/7),INDEX('WPP 2024 середина года'!$B:$U,MATCH($A99,'WPP 2024 середина года'!$A:$A,0),MATCH(N$1,'WPP 2024 середина года'!$B$1:$U$1,0)))))</f>
        <v>6019.044212663196</v>
      </c>
      <c r="O99" s="7">
        <f>IF($A99&lt;=1951,INDEX('SALA 1974'!$B:$U,MATCH($A99,'SALA 1974'!$A:$A,0),MATCH(O$1,'SALA 1974'!$B$1:$U$1,0)),IF($A99&lt;=1994,1000*INDEX('SALA 2002'!$B:$U,MATCH($A99,'SALA 2002'!$A:$A,0),MATCH(O$1,'SALA 2002'!$B$1:$U$1,0)),IF($A99&lt;=2000,1000*INDEX('SALA 2002'!$B:$U,MATCH($A99,'SALA 2002'!$A:$A,0),MATCH(O$1,'SALA 2002'!$B$1:$U$1,0))*POWER(INDEX('WPP 2024 середина года'!$B:$U,MATCH($A99,'WPP 2024 середина года'!$A:$A,0),MATCH(O$1,'WPP 2024 середина года'!$B$1:$U$1,0))/(1000*INDEX('SALA 2002'!$B:$U,MATCH($A99,'SALA 2002'!$A:$A,0),MATCH(O$1,'SALA 2002'!$B$1:$U$1,0))),($A99-1994)/7),INDEX('WPP 2024 середина года'!$B:$U,MATCH($A99,'WPP 2024 середина года'!$A:$A,0),MATCH(O$1,'WPP 2024 середина года'!$B$1:$U$1,0)))))</f>
        <v>94168.998600025821</v>
      </c>
      <c r="P99" s="7">
        <f>IF($A99&lt;=1951,INDEX('SALA 1974'!$B:$U,MATCH($A99,'SALA 1974'!$A:$A,0),MATCH(P$1,'SALA 1974'!$B$1:$U$1,0)),IF($A99&lt;=1994,1000*INDEX('SALA 2002'!$B:$U,MATCH($A99,'SALA 2002'!$A:$A,0),MATCH(P$1,'SALA 2002'!$B$1:$U$1,0)),IF($A99&lt;=2000,1000*INDEX('SALA 2002'!$B:$U,MATCH($A99,'SALA 2002'!$A:$A,0),MATCH(P$1,'SALA 2002'!$B$1:$U$1,0))*POWER(INDEX('WPP 2024 середина года'!$B:$U,MATCH($A99,'WPP 2024 середина года'!$A:$A,0),MATCH(P$1,'WPP 2024 середина года'!$B$1:$U$1,0))/(1000*INDEX('SALA 2002'!$B:$U,MATCH($A99,'SALA 2002'!$A:$A,0),MATCH(P$1,'SALA 2002'!$B$1:$U$1,0))),($A99-1994)/7),INDEX('WPP 2024 середина года'!$B:$U,MATCH($A99,'WPP 2024 середина года'!$A:$A,0),MATCH(P$1,'WPP 2024 середина года'!$B$1:$U$1,0)))))</f>
        <v>4746.6622423573945</v>
      </c>
      <c r="Q99" s="7">
        <f>IF($A99&lt;=1951,INDEX('SALA 1974'!$B:$U,MATCH($A99,'SALA 1974'!$A:$A,0),MATCH(Q$1,'SALA 1974'!$B$1:$U$1,0)),IF($A99&lt;=1994,1000*INDEX('SALA 2002'!$B:$U,MATCH($A99,'SALA 2002'!$A:$A,0),MATCH(Q$1,'SALA 2002'!$B$1:$U$1,0)),IF($A99&lt;=2000,1000*INDEX('SALA 2002'!$B:$U,MATCH($A99,'SALA 2002'!$A:$A,0),MATCH(Q$1,'SALA 2002'!$B$1:$U$1,0))*POWER(INDEX('WPP 2024 середина года'!$B:$U,MATCH($A99,'WPP 2024 середина года'!$A:$A,0),MATCH(Q$1,'WPP 2024 середина года'!$B$1:$U$1,0))/(1000*INDEX('SALA 2002'!$B:$U,MATCH($A99,'SALA 2002'!$A:$A,0),MATCH(Q$1,'SALA 2002'!$B$1:$U$1,0))),($A99-1994)/7),INDEX('WPP 2024 середина года'!$B:$U,MATCH($A99,'WPP 2024 середина года'!$A:$A,0),MATCH(Q$1,'WPP 2024 середина года'!$B$1:$U$1,0)))))</f>
        <v>2769.4146002166285</v>
      </c>
      <c r="R99" s="7">
        <f>IF($A99&lt;=1951,INDEX('SALA 1974'!$B:$U,MATCH($A99,'SALA 1974'!$A:$A,0),MATCH(R$1,'SALA 1974'!$B$1:$U$1,0)),IF($A99&lt;=1994,1000*INDEX('SALA 2002'!$B:$U,MATCH($A99,'SALA 2002'!$A:$A,0),MATCH(R$1,'SALA 2002'!$B$1:$U$1,0)),IF($A99&lt;=2000,1000*INDEX('SALA 2002'!$B:$U,MATCH($A99,'SALA 2002'!$A:$A,0),MATCH(R$1,'SALA 2002'!$B$1:$U$1,0))*POWER(INDEX('WPP 2024 середина года'!$B:$U,MATCH($A99,'WPP 2024 середина года'!$A:$A,0),MATCH(R$1,'WPP 2024 середина года'!$B$1:$U$1,0))/(1000*INDEX('SALA 2002'!$B:$U,MATCH($A99,'SALA 2002'!$A:$A,0),MATCH(R$1,'SALA 2002'!$B$1:$U$1,0))),($A99-1994)/7),INDEX('WPP 2024 середина года'!$B:$U,MATCH($A99,'WPP 2024 середина года'!$A:$A,0),MATCH(R$1,'WPP 2024 середина года'!$B$1:$U$1,0)))))</f>
        <v>4961.1457843182116</v>
      </c>
      <c r="S99" s="7">
        <f>IF($A99&lt;=1951,INDEX('SALA 1974'!$B:$U,MATCH($A99,'SALA 1974'!$A:$A,0),MATCH(S$1,'SALA 1974'!$B$1:$U$1,0)),IF($A99&lt;=1994,1000*INDEX('SALA 2002'!$B:$U,MATCH($A99,'SALA 2002'!$A:$A,0),MATCH(S$1,'SALA 2002'!$B$1:$U$1,0)),IF($A99&lt;=2000,1000*INDEX('SALA 2002'!$B:$U,MATCH($A99,'SALA 2002'!$A:$A,0),MATCH(S$1,'SALA 2002'!$B$1:$U$1,0))*POWER(INDEX('WPP 2024 середина года'!$B:$U,MATCH($A99,'WPP 2024 середина года'!$A:$A,0),MATCH(S$1,'WPP 2024 середина года'!$B$1:$U$1,0))/(1000*INDEX('SALA 2002'!$B:$U,MATCH($A99,'SALA 2002'!$A:$A,0),MATCH(S$1,'SALA 2002'!$B$1:$U$1,0))),($A99-1994)/7),INDEX('WPP 2024 середина года'!$B:$U,MATCH($A99,'WPP 2024 середина года'!$A:$A,0),MATCH(S$1,'WPP 2024 середина года'!$B$1:$U$1,0)))))</f>
        <v>24753.442311447547</v>
      </c>
      <c r="T99" s="7">
        <f>IF($A99&lt;=1951,INDEX('SALA 1974'!$B:$U,MATCH($A99,'SALA 1974'!$A:$A,0),MATCH(T$1,'SALA 1974'!$B$1:$U$1,0)),IF($A99&lt;=1994,1000*INDEX('SALA 2002'!$B:$U,MATCH($A99,'SALA 2002'!$A:$A,0),MATCH(T$1,'SALA 2002'!$B$1:$U$1,0)),IF($A99&lt;=2000,1000*INDEX('SALA 2002'!$B:$U,MATCH($A99,'SALA 2002'!$A:$A,0),MATCH(T$1,'SALA 2002'!$B$1:$U$1,0))*POWER(INDEX('WPP 2024 середина года'!$B:$U,MATCH($A99,'WPP 2024 середина года'!$A:$A,0),MATCH(T$1,'WPP 2024 середина года'!$B$1:$U$1,0))/(1000*INDEX('SALA 2002'!$B:$U,MATCH($A99,'SALA 2002'!$A:$A,0),MATCH(T$1,'SALA 2002'!$B$1:$U$1,0))),($A99-1994)/7),INDEX('WPP 2024 середина года'!$B:$U,MATCH($A99,'WPP 2024 середина года'!$A:$A,0),MATCH(T$1,'WPP 2024 середина года'!$B$1:$U$1,0)))))</f>
        <v>3249.9034317198593</v>
      </c>
      <c r="U99" s="7">
        <f>IF($A99&lt;=1951,INDEX('SALA 1974'!$B:$U,MATCH($A99,'SALA 1974'!$A:$A,0),MATCH(U$1,'SALA 1974'!$B$1:$U$1,0)),IF($A99&lt;=1994,1000*INDEX('SALA 2002'!$B:$U,MATCH($A99,'SALA 2002'!$A:$A,0),MATCH(U$1,'SALA 2002'!$B$1:$U$1,0)),IF($A99&lt;=2000,1000*INDEX('SALA 2002'!$B:$U,MATCH($A99,'SALA 2002'!$A:$A,0),MATCH(U$1,'SALA 2002'!$B$1:$U$1,0))*POWER(INDEX('WPP 2024 середина года'!$B:$U,MATCH($A99,'WPP 2024 середина года'!$A:$A,0),MATCH(U$1,'WPP 2024 середина года'!$B$1:$U$1,0))/(1000*INDEX('SALA 2002'!$B:$U,MATCH($A99,'SALA 2002'!$A:$A,0),MATCH(U$1,'SALA 2002'!$B$1:$U$1,0))),($A99-1994)/7),INDEX('WPP 2024 середина года'!$B:$U,MATCH($A99,'WPP 2024 середина года'!$A:$A,0),MATCH(U$1,'WPP 2024 середина года'!$B$1:$U$1,0)))))</f>
        <v>22930.069011153802</v>
      </c>
    </row>
    <row r="100" spans="1:21" x14ac:dyDescent="0.25">
      <c r="A100" s="5">
        <f t="shared" si="1"/>
        <v>1998</v>
      </c>
      <c r="B100" s="7">
        <f>IF($A100&lt;=1951,INDEX('SALA 1974'!$B:$U,MATCH($A100,'SALA 1974'!$A:$A,0),MATCH(B$1,'SALA 1974'!$B$1:$U$1,0)),IF($A100&lt;=1994,1000*INDEX('SALA 2002'!$B:$U,MATCH($A100,'SALA 2002'!$A:$A,0),MATCH(B$1,'SALA 2002'!$B$1:$U$1,0)),IF($A100&lt;=2000,1000*INDEX('SALA 2002'!$B:$U,MATCH($A100,'SALA 2002'!$A:$A,0),MATCH(B$1,'SALA 2002'!$B$1:$U$1,0))*POWER(INDEX('WPP 2024 середина года'!$B:$U,MATCH($A100,'WPP 2024 середина года'!$A:$A,0),MATCH(B$1,'WPP 2024 середина года'!$B$1:$U$1,0))/(1000*INDEX('SALA 2002'!$B:$U,MATCH($A100,'SALA 2002'!$A:$A,0),MATCH(B$1,'SALA 2002'!$B$1:$U$1,0))),($A100-1994)/7),INDEX('WPP 2024 середина года'!$B:$U,MATCH($A100,'WPP 2024 середина года'!$A:$A,0),MATCH(B$1,'WPP 2024 середина года'!$B$1:$U$1,0)))))</f>
        <v>36264.298182700913</v>
      </c>
      <c r="C100" s="7">
        <f>IF($A100&lt;=1951,INDEX('SALA 1974'!$B:$U,MATCH($A100,'SALA 1974'!$A:$A,0),MATCH(C$1,'SALA 1974'!$B$1:$U$1,0)),IF($A100&lt;=1994,1000*INDEX('SALA 2002'!$B:$U,MATCH($A100,'SALA 2002'!$A:$A,0),MATCH(C$1,'SALA 2002'!$B$1:$U$1,0)),IF($A100&lt;=2000,1000*INDEX('SALA 2002'!$B:$U,MATCH($A100,'SALA 2002'!$A:$A,0),MATCH(C$1,'SALA 2002'!$B$1:$U$1,0))*POWER(INDEX('WPP 2024 середина года'!$B:$U,MATCH($A100,'WPP 2024 середина года'!$A:$A,0),MATCH(C$1,'WPP 2024 середина года'!$B$1:$U$1,0))/(1000*INDEX('SALA 2002'!$B:$U,MATCH($A100,'SALA 2002'!$A:$A,0),MATCH(C$1,'SALA 2002'!$B$1:$U$1,0))),($A100-1994)/7),INDEX('WPP 2024 середина года'!$B:$U,MATCH($A100,'WPP 2024 середина года'!$A:$A,0),MATCH(C$1,'WPP 2024 середина года'!$B$1:$U$1,0)))))</f>
        <v>8155.6661936408873</v>
      </c>
      <c r="D100" s="7">
        <f>IF($A100&lt;=1951,INDEX('SALA 1974'!$B:$U,MATCH($A100,'SALA 1974'!$A:$A,0),MATCH(D$1,'SALA 1974'!$B$1:$U$1,0)),IF($A100&lt;=1994,1000*INDEX('SALA 2002'!$B:$U,MATCH($A100,'SALA 2002'!$A:$A,0),MATCH(D$1,'SALA 2002'!$B$1:$U$1,0)),IF($A100&lt;=2000,1000*INDEX('SALA 2002'!$B:$U,MATCH($A100,'SALA 2002'!$A:$A,0),MATCH(D$1,'SALA 2002'!$B$1:$U$1,0))*POWER(INDEX('WPP 2024 середина года'!$B:$U,MATCH($A100,'WPP 2024 середина года'!$A:$A,0),MATCH(D$1,'WPP 2024 середина года'!$B$1:$U$1,0))/(1000*INDEX('SALA 2002'!$B:$U,MATCH($A100,'SALA 2002'!$A:$A,0),MATCH(D$1,'SALA 2002'!$B$1:$U$1,0))),($A100-1994)/7),INDEX('WPP 2024 середина года'!$B:$U,MATCH($A100,'WPP 2024 середина года'!$A:$A,0),MATCH(D$1,'WPP 2024 середина года'!$B$1:$U$1,0)))))</f>
        <v>165961.01905287174</v>
      </c>
      <c r="E100" s="7">
        <f>IF($A100&lt;=1951,INDEX('SALA 1974'!$B:$U,MATCH($A100,'SALA 1974'!$A:$A,0),MATCH(E$1,'SALA 1974'!$B$1:$U$1,0)),IF($A100&lt;=1994,1000*INDEX('SALA 2002'!$B:$U,MATCH($A100,'SALA 2002'!$A:$A,0),MATCH(E$1,'SALA 2002'!$B$1:$U$1,0)),IF($A100&lt;=2000,1000*INDEX('SALA 2002'!$B:$U,MATCH($A100,'SALA 2002'!$A:$A,0),MATCH(E$1,'SALA 2002'!$B$1:$U$1,0))*POWER(INDEX('WPP 2024 середина года'!$B:$U,MATCH($A100,'WPP 2024 середина года'!$A:$A,0),MATCH(E$1,'WPP 2024 середина года'!$B$1:$U$1,0))/(1000*INDEX('SALA 2002'!$B:$U,MATCH($A100,'SALA 2002'!$A:$A,0),MATCH(E$1,'SALA 2002'!$B$1:$U$1,0))),($A100-1994)/7),INDEX('WPP 2024 середина года'!$B:$U,MATCH($A100,'WPP 2024 середина года'!$A:$A,0),MATCH(E$1,'WPP 2024 середина года'!$B$1:$U$1,0)))))</f>
        <v>14995.110571822019</v>
      </c>
      <c r="F100" s="7">
        <f>IF($A100&lt;=1947,INDEX('SALA 1974'!$B:$U,MATCH($A100,'SALA 1974'!$A:$A,0),MATCH(F$1,'SALA 1974'!$B$1:$U$1,0)),IF($A100&lt;=1994,1000*INDEX('SALA 2002'!$B:$U,MATCH($A100,'SALA 2002'!$A:$A,0),MATCH(F$1,'SALA 2002'!$B$1:$U$1,0)),IF($A100&lt;=2000,1000*INDEX('SALA 2002'!$B:$U,MATCH($A100,'SALA 2002'!$A:$A,0),MATCH(F$1,'SALA 2002'!$B$1:$U$1,0))*POWER(INDEX('WPP 2024 середина года'!$B:$U,MATCH($A100,'WPP 2024 середина года'!$A:$A,0),MATCH(F$1,'WPP 2024 середина года'!$B$1:$U$1,0))/(1000*INDEX('SALA 2002'!$B:$U,MATCH($A100,'SALA 2002'!$A:$A,0),MATCH(F$1,'SALA 2002'!$B$1:$U$1,0))),($A100-1994)/7),INDEX('WPP 2024 середина года'!$B:$U,MATCH($A100,'WPP 2024 середина года'!$A:$A,0),MATCH(F$1,'WPP 2024 середина года'!$B$1:$U$1,0)))))</f>
        <v>37320.189595852164</v>
      </c>
      <c r="G100" s="7">
        <f>IF($A100&lt;=1951,INDEX('SALA 1974'!$B:$U,MATCH($A100,'SALA 1974'!$A:$A,0),MATCH(G$1,'SALA 1974'!$B$1:$U$1,0)),IF($A100&lt;=1994,1000*INDEX('SALA 2002'!$B:$U,MATCH($A100,'SALA 2002'!$A:$A,0),MATCH(G$1,'SALA 2002'!$B$1:$U$1,0)),IF($A100&lt;=2000,1000*INDEX('SALA 2002'!$B:$U,MATCH($A100,'SALA 2002'!$A:$A,0),MATCH(G$1,'SALA 2002'!$B$1:$U$1,0))*POWER(INDEX('WPP 2024 середина года'!$B:$U,MATCH($A100,'WPP 2024 середина года'!$A:$A,0),MATCH(G$1,'WPP 2024 середина года'!$B$1:$U$1,0))/(1000*INDEX('SALA 2002'!$B:$U,MATCH($A100,'SALA 2002'!$A:$A,0),MATCH(G$1,'SALA 2002'!$B$1:$U$1,0))),($A100-1994)/7),INDEX('WPP 2024 середина года'!$B:$U,MATCH($A100,'WPP 2024 середина года'!$A:$A,0),MATCH(G$1,'WPP 2024 середина года'!$B$1:$U$1,0)))))</f>
        <v>3586.2606088648704</v>
      </c>
      <c r="H100" s="7">
        <f>IF($A100&lt;=1951,INDEX('SALA 1974'!$B:$U,MATCH($A100,'SALA 1974'!$A:$A,0),MATCH(H$1,'SALA 1974'!$B$1:$U$1,0)),IF($A100&lt;=1994,1000*INDEX('SALA 2002'!$B:$U,MATCH($A100,'SALA 2002'!$A:$A,0),MATCH(H$1,'SALA 2002'!$B$1:$U$1,0)),IF($A100&lt;=2000,1000*INDEX('SALA 2002'!$B:$U,MATCH($A100,'SALA 2002'!$A:$A,0),MATCH(H$1,'SALA 2002'!$B$1:$U$1,0))*POWER(INDEX('WPP 2024 середина года'!$B:$U,MATCH($A100,'WPP 2024 середина года'!$A:$A,0),MATCH(H$1,'WPP 2024 середина года'!$B$1:$U$1,0))/(1000*INDEX('SALA 2002'!$B:$U,MATCH($A100,'SALA 2002'!$A:$A,0),MATCH(H$1,'SALA 2002'!$B$1:$U$1,0))),($A100-1994)/7),INDEX('WPP 2024 середина года'!$B:$U,MATCH($A100,'WPP 2024 середина года'!$A:$A,0),MATCH(H$1,'WPP 2024 середина года'!$B$1:$U$1,0)))))</f>
        <v>11071.176727435612</v>
      </c>
      <c r="I100" s="7">
        <f>IF($A100&lt;=1951,INDEX('SALA 1974'!$B:$U,MATCH($A100,'SALA 1974'!$A:$A,0),MATCH(I$1,'SALA 1974'!$B$1:$U$1,0)),IF($A100&lt;=1994,1000*INDEX('SALA 2002'!$B:$U,MATCH($A100,'SALA 2002'!$A:$A,0),MATCH(I$1,'SALA 2002'!$B$1:$U$1,0)),IF($A100&lt;=2000,1000*INDEX('SALA 2002'!$B:$U,MATCH($A100,'SALA 2002'!$A:$A,0),MATCH(I$1,'SALA 2002'!$B$1:$U$1,0))*POWER(INDEX('WPP 2024 середина года'!$B:$U,MATCH($A100,'WPP 2024 середина года'!$A:$A,0),MATCH(I$1,'WPP 2024 середина года'!$B$1:$U$1,0))/(1000*INDEX('SALA 2002'!$B:$U,MATCH($A100,'SALA 2002'!$A:$A,0),MATCH(I$1,'SALA 2002'!$B$1:$U$1,0))),($A100-1994)/7),INDEX('WPP 2024 середина года'!$B:$U,MATCH($A100,'WPP 2024 середина года'!$A:$A,0),MATCH(I$1,'WPP 2024 середина года'!$B$1:$U$1,0)))))</f>
        <v>8219.5675119722637</v>
      </c>
      <c r="J100" s="7">
        <f>IF($A100&lt;=1951,INDEX('SALA 1974'!$B:$U,MATCH($A100,'SALA 1974'!$A:$A,0),MATCH(J$1,'SALA 1974'!$B$1:$U$1,0)),IF($A100&lt;=1994,1000*INDEX('SALA 2002'!$B:$U,MATCH($A100,'SALA 2002'!$A:$A,0),MATCH(J$1,'SALA 2002'!$B$1:$U$1,0)),IF($A100&lt;=2000,1000*INDEX('SALA 2002'!$B:$U,MATCH($A100,'SALA 2002'!$A:$A,0),MATCH(J$1,'SALA 2002'!$B$1:$U$1,0))*POWER(INDEX('WPP 2024 середина года'!$B:$U,MATCH($A100,'WPP 2024 середина года'!$A:$A,0),MATCH(J$1,'WPP 2024 середина года'!$B$1:$U$1,0))/(1000*INDEX('SALA 2002'!$B:$U,MATCH($A100,'SALA 2002'!$A:$A,0),MATCH(J$1,'SALA 2002'!$B$1:$U$1,0))),($A100-1994)/7),INDEX('WPP 2024 середина года'!$B:$U,MATCH($A100,'WPP 2024 середина года'!$A:$A,0),MATCH(J$1,'WPP 2024 середина года'!$B$1:$U$1,0)))))</f>
        <v>12216.333869746069</v>
      </c>
      <c r="K100" s="7">
        <f>IF($A100&lt;=1951,INDEX('SALA 1974'!$B:$U,MATCH($A100,'SALA 1974'!$A:$A,0),MATCH(K$1,'SALA 1974'!$B$1:$U$1,0)),IF($A100&lt;=1994,1000*INDEX('SALA 2002'!$B:$U,MATCH($A100,'SALA 2002'!$A:$A,0),MATCH(K$1,'SALA 2002'!$B$1:$U$1,0)),IF($A100&lt;=2000,1000*INDEX('SALA 2002'!$B:$U,MATCH($A100,'SALA 2002'!$A:$A,0),MATCH(K$1,'SALA 2002'!$B$1:$U$1,0))*POWER(INDEX('WPP 2024 середина года'!$B:$U,MATCH($A100,'WPP 2024 середина года'!$A:$A,0),MATCH(K$1,'WPP 2024 середина года'!$B$1:$U$1,0))/(1000*INDEX('SALA 2002'!$B:$U,MATCH($A100,'SALA 2002'!$A:$A,0),MATCH(K$1,'SALA 2002'!$B$1:$U$1,0))),($A100-1994)/7),INDEX('WPP 2024 середина года'!$B:$U,MATCH($A100,'WPP 2024 середина года'!$A:$A,0),MATCH(K$1,'WPP 2024 середина года'!$B$1:$U$1,0)))))</f>
        <v>5944.2854110859562</v>
      </c>
      <c r="L100" s="7">
        <f>IF($A100&lt;=1951,INDEX('SALA 1974'!$B:$U,MATCH($A100,'SALA 1974'!$A:$A,0),MATCH(L$1,'SALA 1974'!$B$1:$U$1,0)),IF($A100&lt;=1994,1000*INDEX('SALA 2002'!$B:$U,MATCH($A100,'SALA 2002'!$A:$A,0),MATCH(L$1,'SALA 2002'!$B$1:$U$1,0)),IF($A100&lt;=2000,1000*INDEX('SALA 2002'!$B:$U,MATCH($A100,'SALA 2002'!$A:$A,0),MATCH(L$1,'SALA 2002'!$B$1:$U$1,0))*POWER(INDEX('WPP 2024 середина года'!$B:$U,MATCH($A100,'WPP 2024 середина года'!$A:$A,0),MATCH(L$1,'WPP 2024 середина года'!$B$1:$U$1,0))/(1000*INDEX('SALA 2002'!$B:$U,MATCH($A100,'SALA 2002'!$A:$A,0),MATCH(L$1,'SALA 2002'!$B$1:$U$1,0))),($A100-1994)/7),INDEX('WPP 2024 середина года'!$B:$U,MATCH($A100,'WPP 2024 середина года'!$A:$A,0),MATCH(L$1,'WPP 2024 середина года'!$B$1:$U$1,0)))))</f>
        <v>10992.486829482181</v>
      </c>
      <c r="M100" s="7">
        <f>IF($A100&lt;=1951,INDEX('SALA 1974'!$B:$U,MATCH($A100,'SALA 1974'!$A:$A,0),MATCH(M$1,'SALA 1974'!$B$1:$U$1,0)),IF($A100&lt;=1994,1000*INDEX('SALA 2002'!$B:$U,MATCH($A100,'SALA 2002'!$A:$A,0),MATCH(M$1,'SALA 2002'!$B$1:$U$1,0)),IF($A100&lt;=2000,1000*INDEX('SALA 2002'!$B:$U,MATCH($A100,'SALA 2002'!$A:$A,0),MATCH(M$1,'SALA 2002'!$B$1:$U$1,0))*POWER(INDEX('WPP 2024 середина года'!$B:$U,MATCH($A100,'WPP 2024 середина года'!$A:$A,0),MATCH(M$1,'WPP 2024 середина года'!$B$1:$U$1,0))/(1000*INDEX('SALA 2002'!$B:$U,MATCH($A100,'SALA 2002'!$A:$A,0),MATCH(M$1,'SALA 2002'!$B$1:$U$1,0))),($A100-1994)/7),INDEX('WPP 2024 середина года'!$B:$U,MATCH($A100,'WPP 2024 середина года'!$A:$A,0),MATCH(M$1,'WPP 2024 середина года'!$B$1:$U$1,0)))))</f>
        <v>7849.2579295917303</v>
      </c>
      <c r="N100" s="7">
        <f>IF($A100&lt;=1951,INDEX('SALA 1974'!$B:$U,MATCH($A100,'SALA 1974'!$A:$A,0),MATCH(N$1,'SALA 1974'!$B$1:$U$1,0)),IF($A100&lt;=1994,1000*INDEX('SALA 2002'!$B:$U,MATCH($A100,'SALA 2002'!$A:$A,0),MATCH(N$1,'SALA 2002'!$B$1:$U$1,0)),IF($A100&lt;=2000,1000*INDEX('SALA 2002'!$B:$U,MATCH($A100,'SALA 2002'!$A:$A,0),MATCH(N$1,'SALA 2002'!$B$1:$U$1,0))*POWER(INDEX('WPP 2024 середина года'!$B:$U,MATCH($A100,'WPP 2024 середина года'!$A:$A,0),MATCH(N$1,'WPP 2024 середина года'!$B$1:$U$1,0))/(1000*INDEX('SALA 2002'!$B:$U,MATCH($A100,'SALA 2002'!$A:$A,0),MATCH(N$1,'SALA 2002'!$B$1:$U$1,0))),($A100-1994)/7),INDEX('WPP 2024 середина года'!$B:$U,MATCH($A100,'WPP 2024 середина года'!$A:$A,0),MATCH(N$1,'WPP 2024 середина года'!$B$1:$U$1,0)))))</f>
        <v>6211.0273227437538</v>
      </c>
      <c r="O100" s="7">
        <f>IF($A100&lt;=1951,INDEX('SALA 1974'!$B:$U,MATCH($A100,'SALA 1974'!$A:$A,0),MATCH(O$1,'SALA 1974'!$B$1:$U$1,0)),IF($A100&lt;=1994,1000*INDEX('SALA 2002'!$B:$U,MATCH($A100,'SALA 2002'!$A:$A,0),MATCH(O$1,'SALA 2002'!$B$1:$U$1,0)),IF($A100&lt;=2000,1000*INDEX('SALA 2002'!$B:$U,MATCH($A100,'SALA 2002'!$A:$A,0),MATCH(O$1,'SALA 2002'!$B$1:$U$1,0))*POWER(INDEX('WPP 2024 середина года'!$B:$U,MATCH($A100,'WPP 2024 середина года'!$A:$A,0),MATCH(O$1,'WPP 2024 середина года'!$B$1:$U$1,0))/(1000*INDEX('SALA 2002'!$B:$U,MATCH($A100,'SALA 2002'!$A:$A,0),MATCH(O$1,'SALA 2002'!$B$1:$U$1,0))),($A100-1994)/7),INDEX('WPP 2024 середина года'!$B:$U,MATCH($A100,'WPP 2024 середина года'!$A:$A,0),MATCH(O$1,'WPP 2024 середина года'!$B$1:$U$1,0)))))</f>
        <v>95684.316937892974</v>
      </c>
      <c r="P100" s="7">
        <f>IF($A100&lt;=1951,INDEX('SALA 1974'!$B:$U,MATCH($A100,'SALA 1974'!$A:$A,0),MATCH(P$1,'SALA 1974'!$B$1:$U$1,0)),IF($A100&lt;=1994,1000*INDEX('SALA 2002'!$B:$U,MATCH($A100,'SALA 2002'!$A:$A,0),MATCH(P$1,'SALA 2002'!$B$1:$U$1,0)),IF($A100&lt;=2000,1000*INDEX('SALA 2002'!$B:$U,MATCH($A100,'SALA 2002'!$A:$A,0),MATCH(P$1,'SALA 2002'!$B$1:$U$1,0))*POWER(INDEX('WPP 2024 середина года'!$B:$U,MATCH($A100,'WPP 2024 середина года'!$A:$A,0),MATCH(P$1,'WPP 2024 середина года'!$B$1:$U$1,0))/(1000*INDEX('SALA 2002'!$B:$U,MATCH($A100,'SALA 2002'!$A:$A,0),MATCH(P$1,'SALA 2002'!$B$1:$U$1,0))),($A100-1994)/7),INDEX('WPP 2024 середина года'!$B:$U,MATCH($A100,'WPP 2024 середина года'!$A:$A,0),MATCH(P$1,'WPP 2024 середина года'!$B$1:$U$1,0)))))</f>
        <v>4851.9770098797944</v>
      </c>
      <c r="Q100" s="7">
        <f>IF($A100&lt;=1951,INDEX('SALA 1974'!$B:$U,MATCH($A100,'SALA 1974'!$A:$A,0),MATCH(Q$1,'SALA 1974'!$B$1:$U$1,0)),IF($A100&lt;=1994,1000*INDEX('SALA 2002'!$B:$U,MATCH($A100,'SALA 2002'!$A:$A,0),MATCH(Q$1,'SALA 2002'!$B$1:$U$1,0)),IF($A100&lt;=2000,1000*INDEX('SALA 2002'!$B:$U,MATCH($A100,'SALA 2002'!$A:$A,0),MATCH(Q$1,'SALA 2002'!$B$1:$U$1,0))*POWER(INDEX('WPP 2024 середина года'!$B:$U,MATCH($A100,'WPP 2024 середина года'!$A:$A,0),MATCH(Q$1,'WPP 2024 середина года'!$B$1:$U$1,0))/(1000*INDEX('SALA 2002'!$B:$U,MATCH($A100,'SALA 2002'!$A:$A,0),MATCH(Q$1,'SALA 2002'!$B$1:$U$1,0))),($A100-1994)/7),INDEX('WPP 2024 середина года'!$B:$U,MATCH($A100,'WPP 2024 середина года'!$A:$A,0),MATCH(Q$1,'WPP 2024 середина года'!$B$1:$U$1,0)))))</f>
        <v>2835.7366985149906</v>
      </c>
      <c r="R100" s="7">
        <f>IF($A100&lt;=1951,INDEX('SALA 1974'!$B:$U,MATCH($A100,'SALA 1974'!$A:$A,0),MATCH(R$1,'SALA 1974'!$B$1:$U$1,0)),IF($A100&lt;=1994,1000*INDEX('SALA 2002'!$B:$U,MATCH($A100,'SALA 2002'!$A:$A,0),MATCH(R$1,'SALA 2002'!$B$1:$U$1,0)),IF($A100&lt;=2000,1000*INDEX('SALA 2002'!$B:$U,MATCH($A100,'SALA 2002'!$A:$A,0),MATCH(R$1,'SALA 2002'!$B$1:$U$1,0))*POWER(INDEX('WPP 2024 середина года'!$B:$U,MATCH($A100,'WPP 2024 середина года'!$A:$A,0),MATCH(R$1,'WPP 2024 середина года'!$B$1:$U$1,0))/(1000*INDEX('SALA 2002'!$B:$U,MATCH($A100,'SALA 2002'!$A:$A,0),MATCH(R$1,'SALA 2002'!$B$1:$U$1,0))),($A100-1994)/7),INDEX('WPP 2024 середина года'!$B:$U,MATCH($A100,'WPP 2024 середина года'!$A:$A,0),MATCH(R$1,'WPP 2024 середина года'!$B$1:$U$1,0)))))</f>
        <v>5034.667947633272</v>
      </c>
      <c r="S100" s="7">
        <f>IF($A100&lt;=1951,INDEX('SALA 1974'!$B:$U,MATCH($A100,'SALA 1974'!$A:$A,0),MATCH(S$1,'SALA 1974'!$B$1:$U$1,0)),IF($A100&lt;=1994,1000*INDEX('SALA 2002'!$B:$U,MATCH($A100,'SALA 2002'!$A:$A,0),MATCH(S$1,'SALA 2002'!$B$1:$U$1,0)),IF($A100&lt;=2000,1000*INDEX('SALA 2002'!$B:$U,MATCH($A100,'SALA 2002'!$A:$A,0),MATCH(S$1,'SALA 2002'!$B$1:$U$1,0))*POWER(INDEX('WPP 2024 середина года'!$B:$U,MATCH($A100,'WPP 2024 середина года'!$A:$A,0),MATCH(S$1,'WPP 2024 середина года'!$B$1:$U$1,0))/(1000*INDEX('SALA 2002'!$B:$U,MATCH($A100,'SALA 2002'!$A:$A,0),MATCH(S$1,'SALA 2002'!$B$1:$U$1,0))),($A100-1994)/7),INDEX('WPP 2024 середина года'!$B:$U,MATCH($A100,'WPP 2024 середина года'!$A:$A,0),MATCH(S$1,'WPP 2024 середина года'!$B$1:$U$1,0)))))</f>
        <v>25331.788538076442</v>
      </c>
      <c r="T100" s="7">
        <f>IF($A100&lt;=1951,INDEX('SALA 1974'!$B:$U,MATCH($A100,'SALA 1974'!$A:$A,0),MATCH(T$1,'SALA 1974'!$B$1:$U$1,0)),IF($A100&lt;=1994,1000*INDEX('SALA 2002'!$B:$U,MATCH($A100,'SALA 2002'!$A:$A,0),MATCH(T$1,'SALA 2002'!$B$1:$U$1,0)),IF($A100&lt;=2000,1000*INDEX('SALA 2002'!$B:$U,MATCH($A100,'SALA 2002'!$A:$A,0),MATCH(T$1,'SALA 2002'!$B$1:$U$1,0))*POWER(INDEX('WPP 2024 середина года'!$B:$U,MATCH($A100,'WPP 2024 середина года'!$A:$A,0),MATCH(T$1,'WPP 2024 середина года'!$B$1:$U$1,0))/(1000*INDEX('SALA 2002'!$B:$U,MATCH($A100,'SALA 2002'!$A:$A,0),MATCH(T$1,'SALA 2002'!$B$1:$U$1,0))),($A100-1994)/7),INDEX('WPP 2024 середина года'!$B:$U,MATCH($A100,'WPP 2024 середина года'!$A:$A,0),MATCH(T$1,'WPP 2024 середина года'!$B$1:$U$1,0)))))</f>
        <v>3260.9321928683335</v>
      </c>
      <c r="U100" s="7">
        <f>IF($A100&lt;=1951,INDEX('SALA 1974'!$B:$U,MATCH($A100,'SALA 1974'!$A:$A,0),MATCH(U$1,'SALA 1974'!$B$1:$U$1,0)),IF($A100&lt;=1994,1000*INDEX('SALA 2002'!$B:$U,MATCH($A100,'SALA 2002'!$A:$A,0),MATCH(U$1,'SALA 2002'!$B$1:$U$1,0)),IF($A100&lt;=2000,1000*INDEX('SALA 2002'!$B:$U,MATCH($A100,'SALA 2002'!$A:$A,0),MATCH(U$1,'SALA 2002'!$B$1:$U$1,0))*POWER(INDEX('WPP 2024 середина года'!$B:$U,MATCH($A100,'WPP 2024 середина года'!$A:$A,0),MATCH(U$1,'WPP 2024 середина года'!$B$1:$U$1,0))/(1000*INDEX('SALA 2002'!$B:$U,MATCH($A100,'SALA 2002'!$A:$A,0),MATCH(U$1,'SALA 2002'!$B$1:$U$1,0))),($A100-1994)/7),INDEX('WPP 2024 середина года'!$B:$U,MATCH($A100,'WPP 2024 середина года'!$A:$A,0),MATCH(U$1,'WPP 2024 середина года'!$B$1:$U$1,0)))))</f>
        <v>23445.77439846352</v>
      </c>
    </row>
    <row r="101" spans="1:21" x14ac:dyDescent="0.25">
      <c r="A101" s="5">
        <f t="shared" si="1"/>
        <v>1999</v>
      </c>
      <c r="B101" s="7">
        <f>IF($A101&lt;=1951,INDEX('SALA 1974'!$B:$U,MATCH($A101,'SALA 1974'!$A:$A,0),MATCH(B$1,'SALA 1974'!$B$1:$U$1,0)),IF($A101&lt;=1994,1000*INDEX('SALA 2002'!$B:$U,MATCH($A101,'SALA 2002'!$A:$A,0),MATCH(B$1,'SALA 2002'!$B$1:$U$1,0)),IF($A101&lt;=2000,1000*INDEX('SALA 2002'!$B:$U,MATCH($A101,'SALA 2002'!$A:$A,0),MATCH(B$1,'SALA 2002'!$B$1:$U$1,0))*POWER(INDEX('WPP 2024 середина года'!$B:$U,MATCH($A101,'WPP 2024 середина года'!$A:$A,0),MATCH(B$1,'WPP 2024 середина года'!$B$1:$U$1,0))/(1000*INDEX('SALA 2002'!$B:$U,MATCH($A101,'SALA 2002'!$A:$A,0),MATCH(B$1,'SALA 2002'!$B$1:$U$1,0))),($A101-1994)/7),INDEX('WPP 2024 середина года'!$B:$U,MATCH($A101,'WPP 2024 середина года'!$A:$A,0),MATCH(B$1,'WPP 2024 середина года'!$B$1:$U$1,0)))))</f>
        <v>36733.228879040376</v>
      </c>
      <c r="C101" s="7">
        <f>IF($A101&lt;=1951,INDEX('SALA 1974'!$B:$U,MATCH($A101,'SALA 1974'!$A:$A,0),MATCH(C$1,'SALA 1974'!$B$1:$U$1,0)),IF($A101&lt;=1994,1000*INDEX('SALA 2002'!$B:$U,MATCH($A101,'SALA 2002'!$A:$A,0),MATCH(C$1,'SALA 2002'!$B$1:$U$1,0)),IF($A101&lt;=2000,1000*INDEX('SALA 2002'!$B:$U,MATCH($A101,'SALA 2002'!$A:$A,0),MATCH(C$1,'SALA 2002'!$B$1:$U$1,0))*POWER(INDEX('WPP 2024 середина года'!$B:$U,MATCH($A101,'WPP 2024 середина года'!$A:$A,0),MATCH(C$1,'WPP 2024 середина года'!$B$1:$U$1,0))/(1000*INDEX('SALA 2002'!$B:$U,MATCH($A101,'SALA 2002'!$A:$A,0),MATCH(C$1,'SALA 2002'!$B$1:$U$1,0))),($A101-1994)/7),INDEX('WPP 2024 середина года'!$B:$U,MATCH($A101,'WPP 2024 середина года'!$A:$A,0),MATCH(C$1,'WPP 2024 середина года'!$B$1:$U$1,0)))))</f>
        <v>8367.1676311994106</v>
      </c>
      <c r="D101" s="7">
        <f>IF($A101&lt;=1951,INDEX('SALA 1974'!$B:$U,MATCH($A101,'SALA 1974'!$A:$A,0),MATCH(D$1,'SALA 1974'!$B$1:$U$1,0)),IF($A101&lt;=1994,1000*INDEX('SALA 2002'!$B:$U,MATCH($A101,'SALA 2002'!$A:$A,0),MATCH(D$1,'SALA 2002'!$B$1:$U$1,0)),IF($A101&lt;=2000,1000*INDEX('SALA 2002'!$B:$U,MATCH($A101,'SALA 2002'!$A:$A,0),MATCH(D$1,'SALA 2002'!$B$1:$U$1,0))*POWER(INDEX('WPP 2024 середина года'!$B:$U,MATCH($A101,'WPP 2024 середина года'!$A:$A,0),MATCH(D$1,'WPP 2024 середина года'!$B$1:$U$1,0))/(1000*INDEX('SALA 2002'!$B:$U,MATCH($A101,'SALA 2002'!$A:$A,0),MATCH(D$1,'SALA 2002'!$B$1:$U$1,0))),($A101-1994)/7),INDEX('WPP 2024 середина года'!$B:$U,MATCH($A101,'WPP 2024 середина года'!$A:$A,0),MATCH(D$1,'WPP 2024 середина года'!$B$1:$U$1,0)))))</f>
        <v>170590.1897773637</v>
      </c>
      <c r="E101" s="7">
        <f>IF($A101&lt;=1951,INDEX('SALA 1974'!$B:$U,MATCH($A101,'SALA 1974'!$A:$A,0),MATCH(E$1,'SALA 1974'!$B$1:$U$1,0)),IF($A101&lt;=1994,1000*INDEX('SALA 2002'!$B:$U,MATCH($A101,'SALA 2002'!$A:$A,0),MATCH(E$1,'SALA 2002'!$B$1:$U$1,0)),IF($A101&lt;=2000,1000*INDEX('SALA 2002'!$B:$U,MATCH($A101,'SALA 2002'!$A:$A,0),MATCH(E$1,'SALA 2002'!$B$1:$U$1,0))*POWER(INDEX('WPP 2024 середина года'!$B:$U,MATCH($A101,'WPP 2024 середина года'!$A:$A,0),MATCH(E$1,'WPP 2024 середина года'!$B$1:$U$1,0))/(1000*INDEX('SALA 2002'!$B:$U,MATCH($A101,'SALA 2002'!$A:$A,0),MATCH(E$1,'SALA 2002'!$B$1:$U$1,0))),($A101-1994)/7),INDEX('WPP 2024 середина года'!$B:$U,MATCH($A101,'WPP 2024 середина года'!$A:$A,0),MATCH(E$1,'WPP 2024 середина года'!$B$1:$U$1,0)))))</f>
        <v>15233.182273516399</v>
      </c>
      <c r="F101" s="7">
        <f>IF($A101&lt;=1947,INDEX('SALA 1974'!$B:$U,MATCH($A101,'SALA 1974'!$A:$A,0),MATCH(F$1,'SALA 1974'!$B$1:$U$1,0)),IF($A101&lt;=1994,1000*INDEX('SALA 2002'!$B:$U,MATCH($A101,'SALA 2002'!$A:$A,0),MATCH(F$1,'SALA 2002'!$B$1:$U$1,0)),IF($A101&lt;=2000,1000*INDEX('SALA 2002'!$B:$U,MATCH($A101,'SALA 2002'!$A:$A,0),MATCH(F$1,'SALA 2002'!$B$1:$U$1,0))*POWER(INDEX('WPP 2024 середина года'!$B:$U,MATCH($A101,'WPP 2024 середина года'!$A:$A,0),MATCH(F$1,'WPP 2024 середина года'!$B$1:$U$1,0))/(1000*INDEX('SALA 2002'!$B:$U,MATCH($A101,'SALA 2002'!$A:$A,0),MATCH(F$1,'SALA 2002'!$B$1:$U$1,0))),($A101-1994)/7),INDEX('WPP 2024 середина года'!$B:$U,MATCH($A101,'WPP 2024 середина года'!$A:$A,0),MATCH(F$1,'WPP 2024 середина года'!$B$1:$U$1,0)))))</f>
        <v>39317.606584835528</v>
      </c>
      <c r="G101" s="7">
        <f>IF($A101&lt;=1951,INDEX('SALA 1974'!$B:$U,MATCH($A101,'SALA 1974'!$A:$A,0),MATCH(G$1,'SALA 1974'!$B$1:$U$1,0)),IF($A101&lt;=1994,1000*INDEX('SALA 2002'!$B:$U,MATCH($A101,'SALA 2002'!$A:$A,0),MATCH(G$1,'SALA 2002'!$B$1:$U$1,0)),IF($A101&lt;=2000,1000*INDEX('SALA 2002'!$B:$U,MATCH($A101,'SALA 2002'!$A:$A,0),MATCH(G$1,'SALA 2002'!$B$1:$U$1,0))*POWER(INDEX('WPP 2024 середина года'!$B:$U,MATCH($A101,'WPP 2024 середина года'!$A:$A,0),MATCH(G$1,'WPP 2024 середина года'!$B$1:$U$1,0))/(1000*INDEX('SALA 2002'!$B:$U,MATCH($A101,'SALA 2002'!$A:$A,0),MATCH(G$1,'SALA 2002'!$B$1:$U$1,0))),($A101-1994)/7),INDEX('WPP 2024 середина года'!$B:$U,MATCH($A101,'WPP 2024 середина года'!$A:$A,0),MATCH(G$1,'WPP 2024 середина года'!$B$1:$U$1,0)))))</f>
        <v>3881.3793973863249</v>
      </c>
      <c r="H101" s="7">
        <f>IF($A101&lt;=1951,INDEX('SALA 1974'!$B:$U,MATCH($A101,'SALA 1974'!$A:$A,0),MATCH(H$1,'SALA 1974'!$B$1:$U$1,0)),IF($A101&lt;=1994,1000*INDEX('SALA 2002'!$B:$U,MATCH($A101,'SALA 2002'!$A:$A,0),MATCH(H$1,'SALA 2002'!$B$1:$U$1,0)),IF($A101&lt;=2000,1000*INDEX('SALA 2002'!$B:$U,MATCH($A101,'SALA 2002'!$A:$A,0),MATCH(H$1,'SALA 2002'!$B$1:$U$1,0))*POWER(INDEX('WPP 2024 середина года'!$B:$U,MATCH($A101,'WPP 2024 середина года'!$A:$A,0),MATCH(H$1,'WPP 2024 середина года'!$B$1:$U$1,0))/(1000*INDEX('SALA 2002'!$B:$U,MATCH($A101,'SALA 2002'!$A:$A,0),MATCH(H$1,'SALA 2002'!$B$1:$U$1,0))),($A101-1994)/7),INDEX('WPP 2024 середина года'!$B:$U,MATCH($A101,'WPP 2024 середина года'!$A:$A,0),MATCH(H$1,'WPP 2024 середина года'!$B$1:$U$1,0)))))</f>
        <v>11097.214990219891</v>
      </c>
      <c r="I101" s="7">
        <f>IF($A101&lt;=1951,INDEX('SALA 1974'!$B:$U,MATCH($A101,'SALA 1974'!$A:$A,0),MATCH(I$1,'SALA 1974'!$B$1:$U$1,0)),IF($A101&lt;=1994,1000*INDEX('SALA 2002'!$B:$U,MATCH($A101,'SALA 2002'!$A:$A,0),MATCH(I$1,'SALA 2002'!$B$1:$U$1,0)),IF($A101&lt;=2000,1000*INDEX('SALA 2002'!$B:$U,MATCH($A101,'SALA 2002'!$A:$A,0),MATCH(I$1,'SALA 2002'!$B$1:$U$1,0))*POWER(INDEX('WPP 2024 середина года'!$B:$U,MATCH($A101,'WPP 2024 середина года'!$A:$A,0),MATCH(I$1,'WPP 2024 середина года'!$B$1:$U$1,0))/(1000*INDEX('SALA 2002'!$B:$U,MATCH($A101,'SALA 2002'!$A:$A,0),MATCH(I$1,'SALA 2002'!$B$1:$U$1,0))),($A101-1994)/7),INDEX('WPP 2024 середина года'!$B:$U,MATCH($A101,'WPP 2024 середина года'!$A:$A,0),MATCH(I$1,'WPP 2024 середина года'!$B$1:$U$1,0)))))</f>
        <v>8421.4811322498572</v>
      </c>
      <c r="J101" s="7">
        <f>IF($A101&lt;=1951,INDEX('SALA 1974'!$B:$U,MATCH($A101,'SALA 1974'!$A:$A,0),MATCH(J$1,'SALA 1974'!$B$1:$U$1,0)),IF($A101&lt;=1994,1000*INDEX('SALA 2002'!$B:$U,MATCH($A101,'SALA 2002'!$A:$A,0),MATCH(J$1,'SALA 2002'!$B$1:$U$1,0)),IF($A101&lt;=2000,1000*INDEX('SALA 2002'!$B:$U,MATCH($A101,'SALA 2002'!$A:$A,0),MATCH(J$1,'SALA 2002'!$B$1:$U$1,0))*POWER(INDEX('WPP 2024 середина года'!$B:$U,MATCH($A101,'WPP 2024 середина года'!$A:$A,0),MATCH(J$1,'WPP 2024 середина года'!$B$1:$U$1,0))/(1000*INDEX('SALA 2002'!$B:$U,MATCH($A101,'SALA 2002'!$A:$A,0),MATCH(J$1,'SALA 2002'!$B$1:$U$1,0))),($A101-1994)/7),INDEX('WPP 2024 середина года'!$B:$U,MATCH($A101,'WPP 2024 середина года'!$A:$A,0),MATCH(J$1,'WPP 2024 середина года'!$B$1:$U$1,0)))))</f>
        <v>12453.39823957091</v>
      </c>
      <c r="K101" s="7">
        <f>IF($A101&lt;=1951,INDEX('SALA 1974'!$B:$U,MATCH($A101,'SALA 1974'!$A:$A,0),MATCH(K$1,'SALA 1974'!$B$1:$U$1,0)),IF($A101&lt;=1994,1000*INDEX('SALA 2002'!$B:$U,MATCH($A101,'SALA 2002'!$A:$A,0),MATCH(K$1,'SALA 2002'!$B$1:$U$1,0)),IF($A101&lt;=2000,1000*INDEX('SALA 2002'!$B:$U,MATCH($A101,'SALA 2002'!$A:$A,0),MATCH(K$1,'SALA 2002'!$B$1:$U$1,0))*POWER(INDEX('WPP 2024 середина года'!$B:$U,MATCH($A101,'WPP 2024 середина года'!$A:$A,0),MATCH(K$1,'WPP 2024 середина года'!$B$1:$U$1,0))/(1000*INDEX('SALA 2002'!$B:$U,MATCH($A101,'SALA 2002'!$A:$A,0),MATCH(K$1,'SALA 2002'!$B$1:$U$1,0))),($A101-1994)/7),INDEX('WPP 2024 середина года'!$B:$U,MATCH($A101,'WPP 2024 середина года'!$A:$A,0),MATCH(K$1,'WPP 2024 середина года'!$B$1:$U$1,0)))))</f>
        <v>5980.4166916810173</v>
      </c>
      <c r="L101" s="7">
        <f>IF($A101&lt;=1951,INDEX('SALA 1974'!$B:$U,MATCH($A101,'SALA 1974'!$A:$A,0),MATCH(L$1,'SALA 1974'!$B$1:$U$1,0)),IF($A101&lt;=1994,1000*INDEX('SALA 2002'!$B:$U,MATCH($A101,'SALA 2002'!$A:$A,0),MATCH(L$1,'SALA 2002'!$B$1:$U$1,0)),IF($A101&lt;=2000,1000*INDEX('SALA 2002'!$B:$U,MATCH($A101,'SALA 2002'!$A:$A,0),MATCH(L$1,'SALA 2002'!$B$1:$U$1,0))*POWER(INDEX('WPP 2024 середина года'!$B:$U,MATCH($A101,'WPP 2024 середина года'!$A:$A,0),MATCH(L$1,'WPP 2024 середина года'!$B$1:$U$1,0))/(1000*INDEX('SALA 2002'!$B:$U,MATCH($A101,'SALA 2002'!$A:$A,0),MATCH(L$1,'SALA 2002'!$B$1:$U$1,0))),($A101-1994)/7),INDEX('WPP 2024 середина года'!$B:$U,MATCH($A101,'WPP 2024 середина года'!$A:$A,0),MATCH(L$1,'WPP 2024 середина года'!$B$1:$U$1,0)))))</f>
        <v>11326.849745030166</v>
      </c>
      <c r="M101" s="7">
        <f>IF($A101&lt;=1951,INDEX('SALA 1974'!$B:$U,MATCH($A101,'SALA 1974'!$A:$A,0),MATCH(M$1,'SALA 1974'!$B$1:$U$1,0)),IF($A101&lt;=1994,1000*INDEX('SALA 2002'!$B:$U,MATCH($A101,'SALA 2002'!$A:$A,0),MATCH(M$1,'SALA 2002'!$B$1:$U$1,0)),IF($A101&lt;=2000,1000*INDEX('SALA 2002'!$B:$U,MATCH($A101,'SALA 2002'!$A:$A,0),MATCH(M$1,'SALA 2002'!$B$1:$U$1,0))*POWER(INDEX('WPP 2024 середина года'!$B:$U,MATCH($A101,'WPP 2024 середина года'!$A:$A,0),MATCH(M$1,'WPP 2024 середина года'!$B$1:$U$1,0))/(1000*INDEX('SALA 2002'!$B:$U,MATCH($A101,'SALA 2002'!$A:$A,0),MATCH(M$1,'SALA 2002'!$B$1:$U$1,0))),($A101-1994)/7),INDEX('WPP 2024 середина года'!$B:$U,MATCH($A101,'WPP 2024 середина года'!$A:$A,0),MATCH(M$1,'WPP 2024 середина года'!$B$1:$U$1,0)))))</f>
        <v>8133.7384710291217</v>
      </c>
      <c r="N101" s="7">
        <f>IF($A101&lt;=1951,INDEX('SALA 1974'!$B:$U,MATCH($A101,'SALA 1974'!$A:$A,0),MATCH(N$1,'SALA 1974'!$B$1:$U$1,0)),IF($A101&lt;=1994,1000*INDEX('SALA 2002'!$B:$U,MATCH($A101,'SALA 2002'!$A:$A,0),MATCH(N$1,'SALA 2002'!$B$1:$U$1,0)),IF($A101&lt;=2000,1000*INDEX('SALA 2002'!$B:$U,MATCH($A101,'SALA 2002'!$A:$A,0),MATCH(N$1,'SALA 2002'!$B$1:$U$1,0))*POWER(INDEX('WPP 2024 середина года'!$B:$U,MATCH($A101,'WPP 2024 середина года'!$A:$A,0),MATCH(N$1,'WPP 2024 середина года'!$B$1:$U$1,0))/(1000*INDEX('SALA 2002'!$B:$U,MATCH($A101,'SALA 2002'!$A:$A,0),MATCH(N$1,'SALA 2002'!$B$1:$U$1,0))),($A101-1994)/7),INDEX('WPP 2024 середина года'!$B:$U,MATCH($A101,'WPP 2024 середина года'!$A:$A,0),MATCH(N$1,'WPP 2024 середина года'!$B$1:$U$1,0)))))</f>
        <v>6377.3959388633994</v>
      </c>
      <c r="O101" s="7">
        <f>IF($A101&lt;=1951,INDEX('SALA 1974'!$B:$U,MATCH($A101,'SALA 1974'!$A:$A,0),MATCH(O$1,'SALA 1974'!$B$1:$U$1,0)),IF($A101&lt;=1994,1000*INDEX('SALA 2002'!$B:$U,MATCH($A101,'SALA 2002'!$A:$A,0),MATCH(O$1,'SALA 2002'!$B$1:$U$1,0)),IF($A101&lt;=2000,1000*INDEX('SALA 2002'!$B:$U,MATCH($A101,'SALA 2002'!$A:$A,0),MATCH(O$1,'SALA 2002'!$B$1:$U$1,0))*POWER(INDEX('WPP 2024 середина года'!$B:$U,MATCH($A101,'WPP 2024 середина года'!$A:$A,0),MATCH(O$1,'WPP 2024 середина года'!$B$1:$U$1,0))/(1000*INDEX('SALA 2002'!$B:$U,MATCH($A101,'SALA 2002'!$A:$A,0),MATCH(O$1,'SALA 2002'!$B$1:$U$1,0))),($A101-1994)/7),INDEX('WPP 2024 середина года'!$B:$U,MATCH($A101,'WPP 2024 середина года'!$A:$A,0),MATCH(O$1,'WPP 2024 середина года'!$B$1:$U$1,0)))))</f>
        <v>97185.437380766365</v>
      </c>
      <c r="P101" s="7">
        <f>IF($A101&lt;=1951,INDEX('SALA 1974'!$B:$U,MATCH($A101,'SALA 1974'!$A:$A,0),MATCH(P$1,'SALA 1974'!$B$1:$U$1,0)),IF($A101&lt;=1994,1000*INDEX('SALA 2002'!$B:$U,MATCH($A101,'SALA 2002'!$A:$A,0),MATCH(P$1,'SALA 2002'!$B$1:$U$1,0)),IF($A101&lt;=2000,1000*INDEX('SALA 2002'!$B:$U,MATCH($A101,'SALA 2002'!$A:$A,0),MATCH(P$1,'SALA 2002'!$B$1:$U$1,0))*POWER(INDEX('WPP 2024 середина года'!$B:$U,MATCH($A101,'WPP 2024 середина года'!$A:$A,0),MATCH(P$1,'WPP 2024 середина года'!$B$1:$U$1,0))/(1000*INDEX('SALA 2002'!$B:$U,MATCH($A101,'SALA 2002'!$A:$A,0),MATCH(P$1,'SALA 2002'!$B$1:$U$1,0))),($A101-1994)/7),INDEX('WPP 2024 середина года'!$B:$U,MATCH($A101,'WPP 2024 середина года'!$A:$A,0),MATCH(P$1,'WPP 2024 середина года'!$B$1:$U$1,0)))))</f>
        <v>4949.9959563263628</v>
      </c>
      <c r="Q101" s="7">
        <f>IF($A101&lt;=1951,INDEX('SALA 1974'!$B:$U,MATCH($A101,'SALA 1974'!$A:$A,0),MATCH(Q$1,'SALA 1974'!$B$1:$U$1,0)),IF($A101&lt;=1994,1000*INDEX('SALA 2002'!$B:$U,MATCH($A101,'SALA 2002'!$A:$A,0),MATCH(Q$1,'SALA 2002'!$B$1:$U$1,0)),IF($A101&lt;=2000,1000*INDEX('SALA 2002'!$B:$U,MATCH($A101,'SALA 2002'!$A:$A,0),MATCH(Q$1,'SALA 2002'!$B$1:$U$1,0))*POWER(INDEX('WPP 2024 середина года'!$B:$U,MATCH($A101,'WPP 2024 середина года'!$A:$A,0),MATCH(Q$1,'WPP 2024 середина года'!$B$1:$U$1,0))/(1000*INDEX('SALA 2002'!$B:$U,MATCH($A101,'SALA 2002'!$A:$A,0),MATCH(Q$1,'SALA 2002'!$B$1:$U$1,0))),($A101-1994)/7),INDEX('WPP 2024 середина года'!$B:$U,MATCH($A101,'WPP 2024 середина года'!$A:$A,0),MATCH(Q$1,'WPP 2024 середина года'!$B$1:$U$1,0)))))</f>
        <v>2910.5709012304328</v>
      </c>
      <c r="R101" s="7">
        <f>IF($A101&lt;=1951,INDEX('SALA 1974'!$B:$U,MATCH($A101,'SALA 1974'!$A:$A,0),MATCH(R$1,'SALA 1974'!$B$1:$U$1,0)),IF($A101&lt;=1994,1000*INDEX('SALA 2002'!$B:$U,MATCH($A101,'SALA 2002'!$A:$A,0),MATCH(R$1,'SALA 2002'!$B$1:$U$1,0)),IF($A101&lt;=2000,1000*INDEX('SALA 2002'!$B:$U,MATCH($A101,'SALA 2002'!$A:$A,0),MATCH(R$1,'SALA 2002'!$B$1:$U$1,0))*POWER(INDEX('WPP 2024 середина года'!$B:$U,MATCH($A101,'WPP 2024 середина года'!$A:$A,0),MATCH(R$1,'WPP 2024 середина года'!$B$1:$U$1,0))/(1000*INDEX('SALA 2002'!$B:$U,MATCH($A101,'SALA 2002'!$A:$A,0),MATCH(R$1,'SALA 2002'!$B$1:$U$1,0))),($A101-1994)/7),INDEX('WPP 2024 середина года'!$B:$U,MATCH($A101,'WPP 2024 середина года'!$A:$A,0),MATCH(R$1,'WPP 2024 середина года'!$B$1:$U$1,0)))))</f>
        <v>5102.5745275280015</v>
      </c>
      <c r="S101" s="7">
        <f>IF($A101&lt;=1951,INDEX('SALA 1974'!$B:$U,MATCH($A101,'SALA 1974'!$A:$A,0),MATCH(S$1,'SALA 1974'!$B$1:$U$1,0)),IF($A101&lt;=1994,1000*INDEX('SALA 2002'!$B:$U,MATCH($A101,'SALA 2002'!$A:$A,0),MATCH(S$1,'SALA 2002'!$B$1:$U$1,0)),IF($A101&lt;=2000,1000*INDEX('SALA 2002'!$B:$U,MATCH($A101,'SALA 2002'!$A:$A,0),MATCH(S$1,'SALA 2002'!$B$1:$U$1,0))*POWER(INDEX('WPP 2024 середина года'!$B:$U,MATCH($A101,'WPP 2024 середина года'!$A:$A,0),MATCH(S$1,'WPP 2024 середина года'!$B$1:$U$1,0))/(1000*INDEX('SALA 2002'!$B:$U,MATCH($A101,'SALA 2002'!$A:$A,0),MATCH(S$1,'SALA 2002'!$B$1:$U$1,0))),($A101-1994)/7),INDEX('WPP 2024 середина года'!$B:$U,MATCH($A101,'WPP 2024 середина года'!$A:$A,0),MATCH(S$1,'WPP 2024 середина года'!$B$1:$U$1,0)))))</f>
        <v>25909.572922573196</v>
      </c>
      <c r="T101" s="7">
        <f>IF($A101&lt;=1951,INDEX('SALA 1974'!$B:$U,MATCH($A101,'SALA 1974'!$A:$A,0),MATCH(T$1,'SALA 1974'!$B$1:$U$1,0)),IF($A101&lt;=1994,1000*INDEX('SALA 2002'!$B:$U,MATCH($A101,'SALA 2002'!$A:$A,0),MATCH(T$1,'SALA 2002'!$B$1:$U$1,0)),IF($A101&lt;=2000,1000*INDEX('SALA 2002'!$B:$U,MATCH($A101,'SALA 2002'!$A:$A,0),MATCH(T$1,'SALA 2002'!$B$1:$U$1,0))*POWER(INDEX('WPP 2024 середина года'!$B:$U,MATCH($A101,'WPP 2024 середина года'!$A:$A,0),MATCH(T$1,'WPP 2024 середина года'!$B$1:$U$1,0))/(1000*INDEX('SALA 2002'!$B:$U,MATCH($A101,'SALA 2002'!$A:$A,0),MATCH(T$1,'SALA 2002'!$B$1:$U$1,0))),($A101-1994)/7),INDEX('WPP 2024 середина года'!$B:$U,MATCH($A101,'WPP 2024 середина года'!$A:$A,0),MATCH(T$1,'WPP 2024 середина года'!$B$1:$U$1,0)))))</f>
        <v>3269.9026154303715</v>
      </c>
      <c r="U101" s="7">
        <f>IF($A101&lt;=1951,INDEX('SALA 1974'!$B:$U,MATCH($A101,'SALA 1974'!$A:$A,0),MATCH(U$1,'SALA 1974'!$B$1:$U$1,0)),IF($A101&lt;=1994,1000*INDEX('SALA 2002'!$B:$U,MATCH($A101,'SALA 2002'!$A:$A,0),MATCH(U$1,'SALA 2002'!$B$1:$U$1,0)),IF($A101&lt;=2000,1000*INDEX('SALA 2002'!$B:$U,MATCH($A101,'SALA 2002'!$A:$A,0),MATCH(U$1,'SALA 2002'!$B$1:$U$1,0))*POWER(INDEX('WPP 2024 середина года'!$B:$U,MATCH($A101,'WPP 2024 середина года'!$A:$A,0),MATCH(U$1,'WPP 2024 середина года'!$B$1:$U$1,0))/(1000*INDEX('SALA 2002'!$B:$U,MATCH($A101,'SALA 2002'!$A:$A,0),MATCH(U$1,'SALA 2002'!$B$1:$U$1,0))),($A101-1994)/7),INDEX('WPP 2024 середина года'!$B:$U,MATCH($A101,'WPP 2024 середина года'!$A:$A,0),MATCH(U$1,'WPP 2024 середина года'!$B$1:$U$1,0)))))</f>
        <v>23964.170508990788</v>
      </c>
    </row>
    <row r="102" spans="1:21" x14ac:dyDescent="0.25">
      <c r="A102" s="5">
        <f t="shared" si="1"/>
        <v>2000</v>
      </c>
      <c r="B102" s="7">
        <f>IF($A102&lt;=1951,INDEX('SALA 1974'!$B:$U,MATCH($A102,'SALA 1974'!$A:$A,0),MATCH(B$1,'SALA 1974'!$B$1:$U$1,0)),IF($A102&lt;=1994,1000*INDEX('SALA 2002'!$B:$U,MATCH($A102,'SALA 2002'!$A:$A,0),MATCH(B$1,'SALA 2002'!$B$1:$U$1,0)),IF($A102&lt;=2000,1000*INDEX('SALA 2002'!$B:$U,MATCH($A102,'SALA 2002'!$A:$A,0),MATCH(B$1,'SALA 2002'!$B$1:$U$1,0))*POWER(INDEX('WPP 2024 середина года'!$B:$U,MATCH($A102,'WPP 2024 середина года'!$A:$A,0),MATCH(B$1,'WPP 2024 середина года'!$B$1:$U$1,0))/(1000*INDEX('SALA 2002'!$B:$U,MATCH($A102,'SALA 2002'!$A:$A,0),MATCH(B$1,'SALA 2002'!$B$1:$U$1,0))),($A102-1994)/7),INDEX('WPP 2024 середина года'!$B:$U,MATCH($A102,'WPP 2024 середина года'!$A:$A,0),MATCH(B$1,'WPP 2024 середина года'!$B$1:$U$1,0)))))</f>
        <v>37187.658414716716</v>
      </c>
      <c r="C102" s="7">
        <f>IF($A102&lt;=1951,INDEX('SALA 1974'!$B:$U,MATCH($A102,'SALA 1974'!$A:$A,0),MATCH(C$1,'SALA 1974'!$B$1:$U$1,0)),IF($A102&lt;=1994,1000*INDEX('SALA 2002'!$B:$U,MATCH($A102,'SALA 2002'!$A:$A,0),MATCH(C$1,'SALA 2002'!$B$1:$U$1,0)),IF($A102&lt;=2000,1000*INDEX('SALA 2002'!$B:$U,MATCH($A102,'SALA 2002'!$A:$A,0),MATCH(C$1,'SALA 2002'!$B$1:$U$1,0))*POWER(INDEX('WPP 2024 середина года'!$B:$U,MATCH($A102,'WPP 2024 середина года'!$A:$A,0),MATCH(C$1,'WPP 2024 середина года'!$B$1:$U$1,0))/(1000*INDEX('SALA 2002'!$B:$U,MATCH($A102,'SALA 2002'!$A:$A,0),MATCH(C$1,'SALA 2002'!$B$1:$U$1,0))),($A102-1994)/7),INDEX('WPP 2024 середина года'!$B:$U,MATCH($A102,'WPP 2024 середина года'!$A:$A,0),MATCH(C$1,'WPP 2024 середина года'!$B$1:$U$1,0)))))</f>
        <v>8566.2744358858472</v>
      </c>
      <c r="D102" s="7">
        <f>IF($A102&lt;=1951,INDEX('SALA 1974'!$B:$U,MATCH($A102,'SALA 1974'!$A:$A,0),MATCH(D$1,'SALA 1974'!$B$1:$U$1,0)),IF($A102&lt;=1994,1000*INDEX('SALA 2002'!$B:$U,MATCH($A102,'SALA 2002'!$A:$A,0),MATCH(D$1,'SALA 2002'!$B$1:$U$1,0)),IF($A102&lt;=2000,1000*INDEX('SALA 2002'!$B:$U,MATCH($A102,'SALA 2002'!$A:$A,0),MATCH(D$1,'SALA 2002'!$B$1:$U$1,0))*POWER(INDEX('WPP 2024 середина года'!$B:$U,MATCH($A102,'WPP 2024 середина года'!$A:$A,0),MATCH(D$1,'WPP 2024 середина года'!$B$1:$U$1,0))/(1000*INDEX('SALA 2002'!$B:$U,MATCH($A102,'SALA 2002'!$A:$A,0),MATCH(D$1,'SALA 2002'!$B$1:$U$1,0))),($A102-1994)/7),INDEX('WPP 2024 середина года'!$B:$U,MATCH($A102,'WPP 2024 середина года'!$A:$A,0),MATCH(D$1,'WPP 2024 середина года'!$B$1:$U$1,0)))))</f>
        <v>173455.97800928514</v>
      </c>
      <c r="E102" s="7">
        <f>IF($A102&lt;=1951,INDEX('SALA 1974'!$B:$U,MATCH($A102,'SALA 1974'!$A:$A,0),MATCH(E$1,'SALA 1974'!$B$1:$U$1,0)),IF($A102&lt;=1994,1000*INDEX('SALA 2002'!$B:$U,MATCH($A102,'SALA 2002'!$A:$A,0),MATCH(E$1,'SALA 2002'!$B$1:$U$1,0)),IF($A102&lt;=2000,1000*INDEX('SALA 2002'!$B:$U,MATCH($A102,'SALA 2002'!$A:$A,0),MATCH(E$1,'SALA 2002'!$B$1:$U$1,0))*POWER(INDEX('WPP 2024 середина года'!$B:$U,MATCH($A102,'WPP 2024 середина года'!$A:$A,0),MATCH(E$1,'WPP 2024 середина года'!$B$1:$U$1,0))/(1000*INDEX('SALA 2002'!$B:$U,MATCH($A102,'SALA 2002'!$A:$A,0),MATCH(E$1,'SALA 2002'!$B$1:$U$1,0))),($A102-1994)/7),INDEX('WPP 2024 середина года'!$B:$U,MATCH($A102,'WPP 2024 середина года'!$A:$A,0),MATCH(E$1,'WPP 2024 середина года'!$B$1:$U$1,0)))))</f>
        <v>15461.312685453864</v>
      </c>
      <c r="F102" s="7">
        <f>IF($A102&lt;=1947,INDEX('SALA 1974'!$B:$U,MATCH($A102,'SALA 1974'!$A:$A,0),MATCH(F$1,'SALA 1974'!$B$1:$U$1,0)),IF($A102&lt;=1994,1000*INDEX('SALA 2002'!$B:$U,MATCH($A102,'SALA 2002'!$A:$A,0),MATCH(F$1,'SALA 2002'!$B$1:$U$1,0)),IF($A102&lt;=2000,1000*INDEX('SALA 2002'!$B:$U,MATCH($A102,'SALA 2002'!$A:$A,0),MATCH(F$1,'SALA 2002'!$B$1:$U$1,0))*POWER(INDEX('WPP 2024 середина года'!$B:$U,MATCH($A102,'WPP 2024 середина года'!$A:$A,0),MATCH(F$1,'WPP 2024 середина года'!$B$1:$U$1,0))/(1000*INDEX('SALA 2002'!$B:$U,MATCH($A102,'SALA 2002'!$A:$A,0),MATCH(F$1,'SALA 2002'!$B$1:$U$1,0))),($A102-1994)/7),INDEX('WPP 2024 середина года'!$B:$U,MATCH($A102,'WPP 2024 середина года'!$A:$A,0),MATCH(F$1,'WPP 2024 середина года'!$B$1:$U$1,0)))))</f>
        <v>39535.790868903525</v>
      </c>
      <c r="G102" s="7">
        <f>IF($A102&lt;=1951,INDEX('SALA 1974'!$B:$U,MATCH($A102,'SALA 1974'!$A:$A,0),MATCH(G$1,'SALA 1974'!$B$1:$U$1,0)),IF($A102&lt;=1994,1000*INDEX('SALA 2002'!$B:$U,MATCH($A102,'SALA 2002'!$A:$A,0),MATCH(G$1,'SALA 2002'!$B$1:$U$1,0)),IF($A102&lt;=2000,1000*INDEX('SALA 2002'!$B:$U,MATCH($A102,'SALA 2002'!$A:$A,0),MATCH(G$1,'SALA 2002'!$B$1:$U$1,0))*POWER(INDEX('WPP 2024 середина года'!$B:$U,MATCH($A102,'WPP 2024 середина года'!$A:$A,0),MATCH(G$1,'WPP 2024 середина года'!$B$1:$U$1,0))/(1000*INDEX('SALA 2002'!$B:$U,MATCH($A102,'SALA 2002'!$A:$A,0),MATCH(G$1,'SALA 2002'!$B$1:$U$1,0))),($A102-1994)/7),INDEX('WPP 2024 середина года'!$B:$U,MATCH($A102,'WPP 2024 середина года'!$A:$A,0),MATCH(G$1,'WPP 2024 середина года'!$B$1:$U$1,0)))))</f>
        <v>3949.3531723653614</v>
      </c>
      <c r="H102" s="7">
        <f>IF($A102&lt;=1951,INDEX('SALA 1974'!$B:$U,MATCH($A102,'SALA 1974'!$A:$A,0),MATCH(H$1,'SALA 1974'!$B$1:$U$1,0)),IF($A102&lt;=1994,1000*INDEX('SALA 2002'!$B:$U,MATCH($A102,'SALA 2002'!$A:$A,0),MATCH(H$1,'SALA 2002'!$B$1:$U$1,0)),IF($A102&lt;=2000,1000*INDEX('SALA 2002'!$B:$U,MATCH($A102,'SALA 2002'!$A:$A,0),MATCH(H$1,'SALA 2002'!$B$1:$U$1,0))*POWER(INDEX('WPP 2024 середина года'!$B:$U,MATCH($A102,'WPP 2024 середина года'!$A:$A,0),MATCH(H$1,'WPP 2024 середина года'!$B$1:$U$1,0))/(1000*INDEX('SALA 2002'!$B:$U,MATCH($A102,'SALA 2002'!$A:$A,0),MATCH(H$1,'SALA 2002'!$B$1:$U$1,0))),($A102-1994)/7),INDEX('WPP 2024 середина года'!$B:$U,MATCH($A102,'WPP 2024 середина года'!$A:$A,0),MATCH(H$1,'WPP 2024 середина года'!$B$1:$U$1,0)))))</f>
        <v>11122.040405600002</v>
      </c>
      <c r="I102" s="7">
        <f>IF($A102&lt;=1951,INDEX('SALA 1974'!$B:$U,MATCH($A102,'SALA 1974'!$A:$A,0),MATCH(I$1,'SALA 1974'!$B$1:$U$1,0)),IF($A102&lt;=1994,1000*INDEX('SALA 2002'!$B:$U,MATCH($A102,'SALA 2002'!$A:$A,0),MATCH(I$1,'SALA 2002'!$B$1:$U$1,0)),IF($A102&lt;=2000,1000*INDEX('SALA 2002'!$B:$U,MATCH($A102,'SALA 2002'!$A:$A,0),MATCH(I$1,'SALA 2002'!$B$1:$U$1,0))*POWER(INDEX('WPP 2024 середина года'!$B:$U,MATCH($A102,'WPP 2024 середина года'!$A:$A,0),MATCH(I$1,'WPP 2024 середина года'!$B$1:$U$1,0))/(1000*INDEX('SALA 2002'!$B:$U,MATCH($A102,'SALA 2002'!$A:$A,0),MATCH(I$1,'SALA 2002'!$B$1:$U$1,0))),($A102-1994)/7),INDEX('WPP 2024 середина года'!$B:$U,MATCH($A102,'WPP 2024 середина года'!$A:$A,0),MATCH(I$1,'WPP 2024 середина года'!$B$1:$U$1,0)))))</f>
        <v>8572.120554426363</v>
      </c>
      <c r="J102" s="7">
        <f>IF($A102&lt;=1951,INDEX('SALA 1974'!$B:$U,MATCH($A102,'SALA 1974'!$A:$A,0),MATCH(J$1,'SALA 1974'!$B$1:$U$1,0)),IF($A102&lt;=1994,1000*INDEX('SALA 2002'!$B:$U,MATCH($A102,'SALA 2002'!$A:$A,0),MATCH(J$1,'SALA 2002'!$B$1:$U$1,0)),IF($A102&lt;=2000,1000*INDEX('SALA 2002'!$B:$U,MATCH($A102,'SALA 2002'!$A:$A,0),MATCH(J$1,'SALA 2002'!$B$1:$U$1,0))*POWER(INDEX('WPP 2024 середина года'!$B:$U,MATCH($A102,'WPP 2024 середина года'!$A:$A,0),MATCH(J$1,'WPP 2024 середина года'!$B$1:$U$1,0))/(1000*INDEX('SALA 2002'!$B:$U,MATCH($A102,'SALA 2002'!$A:$A,0),MATCH(J$1,'SALA 2002'!$B$1:$U$1,0))),($A102-1994)/7),INDEX('WPP 2024 середина года'!$B:$U,MATCH($A102,'WPP 2024 середина года'!$A:$A,0),MATCH(J$1,'WPP 2024 середина года'!$B$1:$U$1,0)))))</f>
        <v>12683.592571610867</v>
      </c>
      <c r="K102" s="7">
        <f>IF($A102&lt;=1951,INDEX('SALA 1974'!$B:$U,MATCH($A102,'SALA 1974'!$A:$A,0),MATCH(K$1,'SALA 1974'!$B$1:$U$1,0)),IF($A102&lt;=1994,1000*INDEX('SALA 2002'!$B:$U,MATCH($A102,'SALA 2002'!$A:$A,0),MATCH(K$1,'SALA 2002'!$B$1:$U$1,0)),IF($A102&lt;=2000,1000*INDEX('SALA 2002'!$B:$U,MATCH($A102,'SALA 2002'!$A:$A,0),MATCH(K$1,'SALA 2002'!$B$1:$U$1,0))*POWER(INDEX('WPP 2024 середина года'!$B:$U,MATCH($A102,'WPP 2024 середина года'!$A:$A,0),MATCH(K$1,'WPP 2024 середина года'!$B$1:$U$1,0))/(1000*INDEX('SALA 2002'!$B:$U,MATCH($A102,'SALA 2002'!$A:$A,0),MATCH(K$1,'SALA 2002'!$B$1:$U$1,0))),($A102-1994)/7),INDEX('WPP 2024 середина года'!$B:$U,MATCH($A102,'WPP 2024 середина года'!$A:$A,0),MATCH(K$1,'WPP 2024 середина года'!$B$1:$U$1,0)))))</f>
        <v>5990.357918970908</v>
      </c>
      <c r="L102" s="7">
        <f>IF($A102&lt;=1951,INDEX('SALA 1974'!$B:$U,MATCH($A102,'SALA 1974'!$A:$A,0),MATCH(L$1,'SALA 1974'!$B$1:$U$1,0)),IF($A102&lt;=1994,1000*INDEX('SALA 2002'!$B:$U,MATCH($A102,'SALA 2002'!$A:$A,0),MATCH(L$1,'SALA 2002'!$B$1:$U$1,0)),IF($A102&lt;=2000,1000*INDEX('SALA 2002'!$B:$U,MATCH($A102,'SALA 2002'!$A:$A,0),MATCH(L$1,'SALA 2002'!$B$1:$U$1,0))*POWER(INDEX('WPP 2024 середина года'!$B:$U,MATCH($A102,'WPP 2024 середина года'!$A:$A,0),MATCH(L$1,'WPP 2024 середина года'!$B$1:$U$1,0))/(1000*INDEX('SALA 2002'!$B:$U,MATCH($A102,'SALA 2002'!$A:$A,0),MATCH(L$1,'SALA 2002'!$B$1:$U$1,0))),($A102-1994)/7),INDEX('WPP 2024 середина года'!$B:$U,MATCH($A102,'WPP 2024 середина года'!$A:$A,0),MATCH(L$1,'WPP 2024 середина года'!$B$1:$U$1,0)))))</f>
        <v>11651.691576240171</v>
      </c>
      <c r="M102" s="7">
        <f>IF($A102&lt;=1951,INDEX('SALA 1974'!$B:$U,MATCH($A102,'SALA 1974'!$A:$A,0),MATCH(M$1,'SALA 1974'!$B$1:$U$1,0)),IF($A102&lt;=1994,1000*INDEX('SALA 2002'!$B:$U,MATCH($A102,'SALA 2002'!$A:$A,0),MATCH(M$1,'SALA 2002'!$B$1:$U$1,0)),IF($A102&lt;=2000,1000*INDEX('SALA 2002'!$B:$U,MATCH($A102,'SALA 2002'!$A:$A,0),MATCH(M$1,'SALA 2002'!$B$1:$U$1,0))*POWER(INDEX('WPP 2024 середина года'!$B:$U,MATCH($A102,'WPP 2024 середина года'!$A:$A,0),MATCH(M$1,'WPP 2024 середина года'!$B$1:$U$1,0))/(1000*INDEX('SALA 2002'!$B:$U,MATCH($A102,'SALA 2002'!$A:$A,0),MATCH(M$1,'SALA 2002'!$B$1:$U$1,0))),($A102-1994)/7),INDEX('WPP 2024 середина года'!$B:$U,MATCH($A102,'WPP 2024 середина года'!$A:$A,0),MATCH(M$1,'WPP 2024 середина года'!$B$1:$U$1,0)))))</f>
        <v>8291.2629249771526</v>
      </c>
      <c r="N102" s="7">
        <f>IF($A102&lt;=1951,INDEX('SALA 1974'!$B:$U,MATCH($A102,'SALA 1974'!$A:$A,0),MATCH(N$1,'SALA 1974'!$B$1:$U$1,0)),IF($A102&lt;=1994,1000*INDEX('SALA 2002'!$B:$U,MATCH($A102,'SALA 2002'!$A:$A,0),MATCH(N$1,'SALA 2002'!$B$1:$U$1,0)),IF($A102&lt;=2000,1000*INDEX('SALA 2002'!$B:$U,MATCH($A102,'SALA 2002'!$A:$A,0),MATCH(N$1,'SALA 2002'!$B$1:$U$1,0))*POWER(INDEX('WPP 2024 середина года'!$B:$U,MATCH($A102,'WPP 2024 середина года'!$A:$A,0),MATCH(N$1,'WPP 2024 середина года'!$B$1:$U$1,0))/(1000*INDEX('SALA 2002'!$B:$U,MATCH($A102,'SALA 2002'!$A:$A,0),MATCH(N$1,'SALA 2002'!$B$1:$U$1,0))),($A102-1994)/7),INDEX('WPP 2024 середина года'!$B:$U,MATCH($A102,'WPP 2024 середина года'!$A:$A,0),MATCH(N$1,'WPP 2024 середина года'!$B$1:$U$1,0)))))</f>
        <v>6563.7387161106062</v>
      </c>
      <c r="O102" s="7">
        <f>IF($A102&lt;=1951,INDEX('SALA 1974'!$B:$U,MATCH($A102,'SALA 1974'!$A:$A,0),MATCH(O$1,'SALA 1974'!$B$1:$U$1,0)),IF($A102&lt;=1994,1000*INDEX('SALA 2002'!$B:$U,MATCH($A102,'SALA 2002'!$A:$A,0),MATCH(O$1,'SALA 2002'!$B$1:$U$1,0)),IF($A102&lt;=2000,1000*INDEX('SALA 2002'!$B:$U,MATCH($A102,'SALA 2002'!$A:$A,0),MATCH(O$1,'SALA 2002'!$B$1:$U$1,0))*POWER(INDEX('WPP 2024 середина года'!$B:$U,MATCH($A102,'WPP 2024 середина года'!$A:$A,0),MATCH(O$1,'WPP 2024 середина года'!$B$1:$U$1,0))/(1000*INDEX('SALA 2002'!$B:$U,MATCH($A102,'SALA 2002'!$A:$A,0),MATCH(O$1,'SALA 2002'!$B$1:$U$1,0))),($A102-1994)/7),INDEX('WPP 2024 середина года'!$B:$U,MATCH($A102,'WPP 2024 середина года'!$A:$A,0),MATCH(O$1,'WPP 2024 середина года'!$B$1:$U$1,0)))))</f>
        <v>98661.902744897772</v>
      </c>
      <c r="P102" s="7">
        <f>IF($A102&lt;=1951,INDEX('SALA 1974'!$B:$U,MATCH($A102,'SALA 1974'!$A:$A,0),MATCH(P$1,'SALA 1974'!$B$1:$U$1,0)),IF($A102&lt;=1994,1000*INDEX('SALA 2002'!$B:$U,MATCH($A102,'SALA 2002'!$A:$A,0),MATCH(P$1,'SALA 2002'!$B$1:$U$1,0)),IF($A102&lt;=2000,1000*INDEX('SALA 2002'!$B:$U,MATCH($A102,'SALA 2002'!$A:$A,0),MATCH(P$1,'SALA 2002'!$B$1:$U$1,0))*POWER(INDEX('WPP 2024 середина года'!$B:$U,MATCH($A102,'WPP 2024 середина года'!$A:$A,0),MATCH(P$1,'WPP 2024 середина года'!$B$1:$U$1,0))/(1000*INDEX('SALA 2002'!$B:$U,MATCH($A102,'SALA 2002'!$A:$A,0),MATCH(P$1,'SALA 2002'!$B$1:$U$1,0))),($A102-1994)/7),INDEX('WPP 2024 середина года'!$B:$U,MATCH($A102,'WPP 2024 середина года'!$A:$A,0),MATCH(P$1,'WPP 2024 середина года'!$B$1:$U$1,0)))))</f>
        <v>5029.3441999480738</v>
      </c>
      <c r="Q102" s="7">
        <f>IF($A102&lt;=1951,INDEX('SALA 1974'!$B:$U,MATCH($A102,'SALA 1974'!$A:$A,0),MATCH(Q$1,'SALA 1974'!$B$1:$U$1,0)),IF($A102&lt;=1994,1000*INDEX('SALA 2002'!$B:$U,MATCH($A102,'SALA 2002'!$A:$A,0),MATCH(Q$1,'SALA 2002'!$B$1:$U$1,0)),IF($A102&lt;=2000,1000*INDEX('SALA 2002'!$B:$U,MATCH($A102,'SALA 2002'!$A:$A,0),MATCH(Q$1,'SALA 2002'!$B$1:$U$1,0))*POWER(INDEX('WPP 2024 середина года'!$B:$U,MATCH($A102,'WPP 2024 середина года'!$A:$A,0),MATCH(Q$1,'WPP 2024 середина года'!$B$1:$U$1,0))/(1000*INDEX('SALA 2002'!$B:$U,MATCH($A102,'SALA 2002'!$A:$A,0),MATCH(Q$1,'SALA 2002'!$B$1:$U$1,0))),($A102-1994)/7),INDEX('WPP 2024 середина года'!$B:$U,MATCH($A102,'WPP 2024 середина года'!$A:$A,0),MATCH(Q$1,'WPP 2024 середина года'!$B$1:$U$1,0)))))</f>
        <v>2988.4394884566964</v>
      </c>
      <c r="R102" s="7">
        <f>IF($A102&lt;=1951,INDEX('SALA 1974'!$B:$U,MATCH($A102,'SALA 1974'!$A:$A,0),MATCH(R$1,'SALA 1974'!$B$1:$U$1,0)),IF($A102&lt;=1994,1000*INDEX('SALA 2002'!$B:$U,MATCH($A102,'SALA 2002'!$A:$A,0),MATCH(R$1,'SALA 2002'!$B$1:$U$1,0)),IF($A102&lt;=2000,1000*INDEX('SALA 2002'!$B:$U,MATCH($A102,'SALA 2002'!$A:$A,0),MATCH(R$1,'SALA 2002'!$B$1:$U$1,0))*POWER(INDEX('WPP 2024 середина года'!$B:$U,MATCH($A102,'WPP 2024 середина года'!$A:$A,0),MATCH(R$1,'WPP 2024 середина года'!$B$1:$U$1,0))/(1000*INDEX('SALA 2002'!$B:$U,MATCH($A102,'SALA 2002'!$A:$A,0),MATCH(R$1,'SALA 2002'!$B$1:$U$1,0))),($A102-1994)/7),INDEX('WPP 2024 середина года'!$B:$U,MATCH($A102,'WPP 2024 середина года'!$A:$A,0),MATCH(R$1,'WPP 2024 середина года'!$B$1:$U$1,0)))))</f>
        <v>5156.0902051536686</v>
      </c>
      <c r="S102" s="7">
        <f>IF($A102&lt;=1951,INDEX('SALA 1974'!$B:$U,MATCH($A102,'SALA 1974'!$A:$A,0),MATCH(S$1,'SALA 1974'!$B$1:$U$1,0)),IF($A102&lt;=1994,1000*INDEX('SALA 2002'!$B:$U,MATCH($A102,'SALA 2002'!$A:$A,0),MATCH(S$1,'SALA 2002'!$B$1:$U$1,0)),IF($A102&lt;=2000,1000*INDEX('SALA 2002'!$B:$U,MATCH($A102,'SALA 2002'!$A:$A,0),MATCH(S$1,'SALA 2002'!$B$1:$U$1,0))*POWER(INDEX('WPP 2024 середина года'!$B:$U,MATCH($A102,'WPP 2024 середина года'!$A:$A,0),MATCH(S$1,'WPP 2024 середина года'!$B$1:$U$1,0))/(1000*INDEX('SALA 2002'!$B:$U,MATCH($A102,'SALA 2002'!$A:$A,0),MATCH(S$1,'SALA 2002'!$B$1:$U$1,0))),($A102-1994)/7),INDEX('WPP 2024 середина года'!$B:$U,MATCH($A102,'WPP 2024 середина года'!$A:$A,0),MATCH(S$1,'WPP 2024 середина года'!$B$1:$U$1,0)))))</f>
        <v>26462.185203163459</v>
      </c>
      <c r="T102" s="7">
        <f>IF($A102&lt;=1951,INDEX('SALA 1974'!$B:$U,MATCH($A102,'SALA 1974'!$A:$A,0),MATCH(T$1,'SALA 1974'!$B$1:$U$1,0)),IF($A102&lt;=1994,1000*INDEX('SALA 2002'!$B:$U,MATCH($A102,'SALA 2002'!$A:$A,0),MATCH(T$1,'SALA 2002'!$B$1:$U$1,0)),IF($A102&lt;=2000,1000*INDEX('SALA 2002'!$B:$U,MATCH($A102,'SALA 2002'!$A:$A,0),MATCH(T$1,'SALA 2002'!$B$1:$U$1,0))*POWER(INDEX('WPP 2024 середина года'!$B:$U,MATCH($A102,'WPP 2024 середина года'!$A:$A,0),MATCH(T$1,'WPP 2024 середина года'!$B$1:$U$1,0))/(1000*INDEX('SALA 2002'!$B:$U,MATCH($A102,'SALA 2002'!$A:$A,0),MATCH(T$1,'SALA 2002'!$B$1:$U$1,0))),($A102-1994)/7),INDEX('WPP 2024 середина года'!$B:$U,MATCH($A102,'WPP 2024 середина года'!$A:$A,0),MATCH(T$1,'WPP 2024 середина года'!$B$1:$U$1,0)))))</f>
        <v>3276.6421697030642</v>
      </c>
      <c r="U102" s="7">
        <f>IF($A102&lt;=1951,INDEX('SALA 1974'!$B:$U,MATCH($A102,'SALA 1974'!$A:$A,0),MATCH(U$1,'SALA 1974'!$B$1:$U$1,0)),IF($A102&lt;=1994,1000*INDEX('SALA 2002'!$B:$U,MATCH($A102,'SALA 2002'!$A:$A,0),MATCH(U$1,'SALA 2002'!$B$1:$U$1,0)),IF($A102&lt;=2000,1000*INDEX('SALA 2002'!$B:$U,MATCH($A102,'SALA 2002'!$A:$A,0),MATCH(U$1,'SALA 2002'!$B$1:$U$1,0))*POWER(INDEX('WPP 2024 середина года'!$B:$U,MATCH($A102,'WPP 2024 середина года'!$A:$A,0),MATCH(U$1,'WPP 2024 середина года'!$B$1:$U$1,0))/(1000*INDEX('SALA 2002'!$B:$U,MATCH($A102,'SALA 2002'!$A:$A,0),MATCH(U$1,'SALA 2002'!$B$1:$U$1,0))),($A102-1994)/7),INDEX('WPP 2024 середина года'!$B:$U,MATCH($A102,'WPP 2024 середина года'!$A:$A,0),MATCH(U$1,'WPP 2024 середина года'!$B$1:$U$1,0)))))</f>
        <v>24475.422359050637</v>
      </c>
    </row>
    <row r="103" spans="1:21" x14ac:dyDescent="0.25">
      <c r="A103" s="5">
        <f t="shared" si="1"/>
        <v>2001</v>
      </c>
      <c r="B103" s="7">
        <f>IF($A103&lt;=1951,INDEX('SALA 1974'!$B:$U,MATCH($A103,'SALA 1974'!$A:$A,0),MATCH(B$1,'SALA 1974'!$B$1:$U$1,0)),IF($A103&lt;=1994,1000*INDEX('SALA 2002'!$B:$U,MATCH($A103,'SALA 2002'!$A:$A,0),MATCH(B$1,'SALA 2002'!$B$1:$U$1,0)),IF($A103&lt;=2000,1000*INDEX('SALA 2002'!$B:$U,MATCH($A103,'SALA 2002'!$A:$A,0),MATCH(B$1,'SALA 2002'!$B$1:$U$1,0))*POWER(INDEX('WPP 2024 середина года'!$B:$U,MATCH($A103,'WPP 2024 середина года'!$A:$A,0),MATCH(B$1,'WPP 2024 середина года'!$B$1:$U$1,0))/(1000*INDEX('SALA 2002'!$B:$U,MATCH($A103,'SALA 2002'!$A:$A,0),MATCH(B$1,'SALA 2002'!$B$1:$U$1,0))),($A103-1994)/7),INDEX('WPP 2024 середина года'!$B:$U,MATCH($A103,'WPP 2024 середина года'!$A:$A,0),MATCH(B$1,'WPP 2024 середина года'!$B$1:$U$1,0)))))</f>
        <v>37624.800000000003</v>
      </c>
      <c r="C103" s="7">
        <f>IF($A103&lt;=1951,INDEX('SALA 1974'!$B:$U,MATCH($A103,'SALA 1974'!$A:$A,0),MATCH(C$1,'SALA 1974'!$B$1:$U$1,0)),IF($A103&lt;=1994,1000*INDEX('SALA 2002'!$B:$U,MATCH($A103,'SALA 2002'!$A:$A,0),MATCH(C$1,'SALA 2002'!$B$1:$U$1,0)),IF($A103&lt;=2000,1000*INDEX('SALA 2002'!$B:$U,MATCH($A103,'SALA 2002'!$A:$A,0),MATCH(C$1,'SALA 2002'!$B$1:$U$1,0))*POWER(INDEX('WPP 2024 середина года'!$B:$U,MATCH($A103,'WPP 2024 середина года'!$A:$A,0),MATCH(C$1,'WPP 2024 середина года'!$B$1:$U$1,0))/(1000*INDEX('SALA 2002'!$B:$U,MATCH($A103,'SALA 2002'!$A:$A,0),MATCH(C$1,'SALA 2002'!$B$1:$U$1,0))),($A103-1994)/7),INDEX('WPP 2024 середина года'!$B:$U,MATCH($A103,'WPP 2024 середина года'!$A:$A,0),MATCH(C$1,'WPP 2024 середина года'!$B$1:$U$1,0)))))</f>
        <v>8752.7000000000007</v>
      </c>
      <c r="D103" s="7">
        <f>IF($A103&lt;=1951,INDEX('SALA 1974'!$B:$U,MATCH($A103,'SALA 1974'!$A:$A,0),MATCH(D$1,'SALA 1974'!$B$1:$U$1,0)),IF($A103&lt;=1994,1000*INDEX('SALA 2002'!$B:$U,MATCH($A103,'SALA 2002'!$A:$A,0),MATCH(D$1,'SALA 2002'!$B$1:$U$1,0)),IF($A103&lt;=2000,1000*INDEX('SALA 2002'!$B:$U,MATCH($A103,'SALA 2002'!$A:$A,0),MATCH(D$1,'SALA 2002'!$B$1:$U$1,0))*POWER(INDEX('WPP 2024 середина года'!$B:$U,MATCH($A103,'WPP 2024 середина года'!$A:$A,0),MATCH(D$1,'WPP 2024 середина года'!$B$1:$U$1,0))/(1000*INDEX('SALA 2002'!$B:$U,MATCH($A103,'SALA 2002'!$A:$A,0),MATCH(D$1,'SALA 2002'!$B$1:$U$1,0))),($A103-1994)/7),INDEX('WPP 2024 середина года'!$B:$U,MATCH($A103,'WPP 2024 середина года'!$A:$A,0),MATCH(D$1,'WPP 2024 середина года'!$B$1:$U$1,0)))))</f>
        <v>176301.2</v>
      </c>
      <c r="E103" s="7">
        <f>IF($A103&lt;=1951,INDEX('SALA 1974'!$B:$U,MATCH($A103,'SALA 1974'!$A:$A,0),MATCH(E$1,'SALA 1974'!$B$1:$U$1,0)),IF($A103&lt;=1994,1000*INDEX('SALA 2002'!$B:$U,MATCH($A103,'SALA 2002'!$A:$A,0),MATCH(E$1,'SALA 2002'!$B$1:$U$1,0)),IF($A103&lt;=2000,1000*INDEX('SALA 2002'!$B:$U,MATCH($A103,'SALA 2002'!$A:$A,0),MATCH(E$1,'SALA 2002'!$B$1:$U$1,0))*POWER(INDEX('WPP 2024 середина года'!$B:$U,MATCH($A103,'WPP 2024 середина года'!$A:$A,0),MATCH(E$1,'WPP 2024 середина года'!$B$1:$U$1,0))/(1000*INDEX('SALA 2002'!$B:$U,MATCH($A103,'SALA 2002'!$A:$A,0),MATCH(E$1,'SALA 2002'!$B$1:$U$1,0))),($A103-1994)/7),INDEX('WPP 2024 середина года'!$B:$U,MATCH($A103,'WPP 2024 середина года'!$A:$A,0),MATCH(E$1,'WPP 2024 середина года'!$B$1:$U$1,0)))))</f>
        <v>15683.8</v>
      </c>
      <c r="F103" s="7">
        <f>IF($A103&lt;=1947,INDEX('SALA 1974'!$B:$U,MATCH($A103,'SALA 1974'!$A:$A,0),MATCH(F$1,'SALA 1974'!$B$1:$U$1,0)),IF($A103&lt;=1994,1000*INDEX('SALA 2002'!$B:$U,MATCH($A103,'SALA 2002'!$A:$A,0),MATCH(F$1,'SALA 2002'!$B$1:$U$1,0)),IF($A103&lt;=2000,1000*INDEX('SALA 2002'!$B:$U,MATCH($A103,'SALA 2002'!$A:$A,0),MATCH(F$1,'SALA 2002'!$B$1:$U$1,0))*POWER(INDEX('WPP 2024 середина года'!$B:$U,MATCH($A103,'WPP 2024 середина года'!$A:$A,0),MATCH(F$1,'WPP 2024 середина года'!$B$1:$U$1,0))/(1000*INDEX('SALA 2002'!$B:$U,MATCH($A103,'SALA 2002'!$A:$A,0),MATCH(F$1,'SALA 2002'!$B$1:$U$1,0))),($A103-1994)/7),INDEX('WPP 2024 середина года'!$B:$U,MATCH($A103,'WPP 2024 середина года'!$A:$A,0),MATCH(F$1,'WPP 2024 середина года'!$B$1:$U$1,0)))))</f>
        <v>39709.300000000003</v>
      </c>
      <c r="G103" s="7">
        <f>IF($A103&lt;=1951,INDEX('SALA 1974'!$B:$U,MATCH($A103,'SALA 1974'!$A:$A,0),MATCH(G$1,'SALA 1974'!$B$1:$U$1,0)),IF($A103&lt;=1994,1000*INDEX('SALA 2002'!$B:$U,MATCH($A103,'SALA 2002'!$A:$A,0),MATCH(G$1,'SALA 2002'!$B$1:$U$1,0)),IF($A103&lt;=2000,1000*INDEX('SALA 2002'!$B:$U,MATCH($A103,'SALA 2002'!$A:$A,0),MATCH(G$1,'SALA 2002'!$B$1:$U$1,0))*POWER(INDEX('WPP 2024 середина года'!$B:$U,MATCH($A103,'WPP 2024 середина года'!$A:$A,0),MATCH(G$1,'WPP 2024 середина года'!$B$1:$U$1,0))/(1000*INDEX('SALA 2002'!$B:$U,MATCH($A103,'SALA 2002'!$A:$A,0),MATCH(G$1,'SALA 2002'!$B$1:$U$1,0))),($A103-1994)/7),INDEX('WPP 2024 середина года'!$B:$U,MATCH($A103,'WPP 2024 середина года'!$A:$A,0),MATCH(G$1,'WPP 2024 середина года'!$B$1:$U$1,0)))))</f>
        <v>4008.9</v>
      </c>
      <c r="H103" s="7">
        <f>IF($A103&lt;=1951,INDEX('SALA 1974'!$B:$U,MATCH($A103,'SALA 1974'!$A:$A,0),MATCH(H$1,'SALA 1974'!$B$1:$U$1,0)),IF($A103&lt;=1994,1000*INDEX('SALA 2002'!$B:$U,MATCH($A103,'SALA 2002'!$A:$A,0),MATCH(H$1,'SALA 2002'!$B$1:$U$1,0)),IF($A103&lt;=2000,1000*INDEX('SALA 2002'!$B:$U,MATCH($A103,'SALA 2002'!$A:$A,0),MATCH(H$1,'SALA 2002'!$B$1:$U$1,0))*POWER(INDEX('WPP 2024 середина года'!$B:$U,MATCH($A103,'WPP 2024 середина года'!$A:$A,0),MATCH(H$1,'WPP 2024 середина года'!$B$1:$U$1,0))/(1000*INDEX('SALA 2002'!$B:$U,MATCH($A103,'SALA 2002'!$A:$A,0),MATCH(H$1,'SALA 2002'!$B$1:$U$1,0))),($A103-1994)/7),INDEX('WPP 2024 середина года'!$B:$U,MATCH($A103,'WPP 2024 середина года'!$A:$A,0),MATCH(H$1,'WPP 2024 середина года'!$B$1:$U$1,0)))))</f>
        <v>11144.1</v>
      </c>
      <c r="I103" s="7">
        <f>IF($A103&lt;=1951,INDEX('SALA 1974'!$B:$U,MATCH($A103,'SALA 1974'!$A:$A,0),MATCH(I$1,'SALA 1974'!$B$1:$U$1,0)),IF($A103&lt;=1994,1000*INDEX('SALA 2002'!$B:$U,MATCH($A103,'SALA 2002'!$A:$A,0),MATCH(I$1,'SALA 2002'!$B$1:$U$1,0)),IF($A103&lt;=2000,1000*INDEX('SALA 2002'!$B:$U,MATCH($A103,'SALA 2002'!$A:$A,0),MATCH(I$1,'SALA 2002'!$B$1:$U$1,0))*POWER(INDEX('WPP 2024 середина года'!$B:$U,MATCH($A103,'WPP 2024 середина года'!$A:$A,0),MATCH(I$1,'WPP 2024 середина года'!$B$1:$U$1,0))/(1000*INDEX('SALA 2002'!$B:$U,MATCH($A103,'SALA 2002'!$A:$A,0),MATCH(I$1,'SALA 2002'!$B$1:$U$1,0))),($A103-1994)/7),INDEX('WPP 2024 середина года'!$B:$U,MATCH($A103,'WPP 2024 середина года'!$A:$A,0),MATCH(I$1,'WPP 2024 середина года'!$B$1:$U$1,0)))))</f>
        <v>8720.2999999999993</v>
      </c>
      <c r="J103" s="7">
        <f>IF($A103&lt;=1951,INDEX('SALA 1974'!$B:$U,MATCH($A103,'SALA 1974'!$A:$A,0),MATCH(J$1,'SALA 1974'!$B$1:$U$1,0)),IF($A103&lt;=1994,1000*INDEX('SALA 2002'!$B:$U,MATCH($A103,'SALA 2002'!$A:$A,0),MATCH(J$1,'SALA 2002'!$B$1:$U$1,0)),IF($A103&lt;=2000,1000*INDEX('SALA 2002'!$B:$U,MATCH($A103,'SALA 2002'!$A:$A,0),MATCH(J$1,'SALA 2002'!$B$1:$U$1,0))*POWER(INDEX('WPP 2024 середина года'!$B:$U,MATCH($A103,'WPP 2024 середина года'!$A:$A,0),MATCH(J$1,'WPP 2024 середина года'!$B$1:$U$1,0))/(1000*INDEX('SALA 2002'!$B:$U,MATCH($A103,'SALA 2002'!$A:$A,0),MATCH(J$1,'SALA 2002'!$B$1:$U$1,0))),($A103-1994)/7),INDEX('WPP 2024 середина года'!$B:$U,MATCH($A103,'WPP 2024 середина года'!$A:$A,0),MATCH(J$1,'WPP 2024 середина года'!$B$1:$U$1,0)))))</f>
        <v>12910.7</v>
      </c>
      <c r="K103" s="7">
        <f>IF($A103&lt;=1951,INDEX('SALA 1974'!$B:$U,MATCH($A103,'SALA 1974'!$A:$A,0),MATCH(K$1,'SALA 1974'!$B$1:$U$1,0)),IF($A103&lt;=1994,1000*INDEX('SALA 2002'!$B:$U,MATCH($A103,'SALA 2002'!$A:$A,0),MATCH(K$1,'SALA 2002'!$B$1:$U$1,0)),IF($A103&lt;=2000,1000*INDEX('SALA 2002'!$B:$U,MATCH($A103,'SALA 2002'!$A:$A,0),MATCH(K$1,'SALA 2002'!$B$1:$U$1,0))*POWER(INDEX('WPP 2024 середина года'!$B:$U,MATCH($A103,'WPP 2024 середина года'!$A:$A,0),MATCH(K$1,'WPP 2024 середина года'!$B$1:$U$1,0))/(1000*INDEX('SALA 2002'!$B:$U,MATCH($A103,'SALA 2002'!$A:$A,0),MATCH(K$1,'SALA 2002'!$B$1:$U$1,0))),($A103-1994)/7),INDEX('WPP 2024 середина года'!$B:$U,MATCH($A103,'WPP 2024 середина года'!$A:$A,0),MATCH(K$1,'WPP 2024 середина года'!$B$1:$U$1,0)))))</f>
        <v>5968.1</v>
      </c>
      <c r="L103" s="7">
        <f>IF($A103&lt;=1951,INDEX('SALA 1974'!$B:$U,MATCH($A103,'SALA 1974'!$A:$A,0),MATCH(L$1,'SALA 1974'!$B$1:$U$1,0)),IF($A103&lt;=1994,1000*INDEX('SALA 2002'!$B:$U,MATCH($A103,'SALA 2002'!$A:$A,0),MATCH(L$1,'SALA 2002'!$B$1:$U$1,0)),IF($A103&lt;=2000,1000*INDEX('SALA 2002'!$B:$U,MATCH($A103,'SALA 2002'!$A:$A,0),MATCH(L$1,'SALA 2002'!$B$1:$U$1,0))*POWER(INDEX('WPP 2024 середина года'!$B:$U,MATCH($A103,'WPP 2024 середина года'!$A:$A,0),MATCH(L$1,'WPP 2024 середина года'!$B$1:$U$1,0))/(1000*INDEX('SALA 2002'!$B:$U,MATCH($A103,'SALA 2002'!$A:$A,0),MATCH(L$1,'SALA 2002'!$B$1:$U$1,0))),($A103-1994)/7),INDEX('WPP 2024 середина года'!$B:$U,MATCH($A103,'WPP 2024 середина года'!$A:$A,0),MATCH(L$1,'WPP 2024 середина года'!$B$1:$U$1,0)))))</f>
        <v>11969.4</v>
      </c>
      <c r="M103" s="7">
        <f>IF($A103&lt;=1951,INDEX('SALA 1974'!$B:$U,MATCH($A103,'SALA 1974'!$A:$A,0),MATCH(M$1,'SALA 1974'!$B$1:$U$1,0)),IF($A103&lt;=1994,1000*INDEX('SALA 2002'!$B:$U,MATCH($A103,'SALA 2002'!$A:$A,0),MATCH(M$1,'SALA 2002'!$B$1:$U$1,0)),IF($A103&lt;=2000,1000*INDEX('SALA 2002'!$B:$U,MATCH($A103,'SALA 2002'!$A:$A,0),MATCH(M$1,'SALA 2002'!$B$1:$U$1,0))*POWER(INDEX('WPP 2024 середина года'!$B:$U,MATCH($A103,'WPP 2024 середина года'!$A:$A,0),MATCH(M$1,'WPP 2024 середина года'!$B$1:$U$1,0))/(1000*INDEX('SALA 2002'!$B:$U,MATCH($A103,'SALA 2002'!$A:$A,0),MATCH(M$1,'SALA 2002'!$B$1:$U$1,0))),($A103-1994)/7),INDEX('WPP 2024 середина года'!$B:$U,MATCH($A103,'WPP 2024 середина года'!$A:$A,0),MATCH(M$1,'WPP 2024 середина года'!$B$1:$U$1,0)))))</f>
        <v>8455.9</v>
      </c>
      <c r="N103" s="7">
        <f>IF($A103&lt;=1951,INDEX('SALA 1974'!$B:$U,MATCH($A103,'SALA 1974'!$A:$A,0),MATCH(N$1,'SALA 1974'!$B$1:$U$1,0)),IF($A103&lt;=1994,1000*INDEX('SALA 2002'!$B:$U,MATCH($A103,'SALA 2002'!$A:$A,0),MATCH(N$1,'SALA 2002'!$B$1:$U$1,0)),IF($A103&lt;=2000,1000*INDEX('SALA 2002'!$B:$U,MATCH($A103,'SALA 2002'!$A:$A,0),MATCH(N$1,'SALA 2002'!$B$1:$U$1,0))*POWER(INDEX('WPP 2024 середина года'!$B:$U,MATCH($A103,'WPP 2024 середина года'!$A:$A,0),MATCH(N$1,'WPP 2024 середина года'!$B$1:$U$1,0))/(1000*INDEX('SALA 2002'!$B:$U,MATCH($A103,'SALA 2002'!$A:$A,0),MATCH(N$1,'SALA 2002'!$B$1:$U$1,0))),($A103-1994)/7),INDEX('WPP 2024 середина года'!$B:$U,MATCH($A103,'WPP 2024 середина года'!$A:$A,0),MATCH(N$1,'WPP 2024 середина года'!$B$1:$U$1,0)))))</f>
        <v>6758</v>
      </c>
      <c r="O103" s="7">
        <f>IF($A103&lt;=1951,INDEX('SALA 1974'!$B:$U,MATCH($A103,'SALA 1974'!$A:$A,0),MATCH(O$1,'SALA 1974'!$B$1:$U$1,0)),IF($A103&lt;=1994,1000*INDEX('SALA 2002'!$B:$U,MATCH($A103,'SALA 2002'!$A:$A,0),MATCH(O$1,'SALA 2002'!$B$1:$U$1,0)),IF($A103&lt;=2000,1000*INDEX('SALA 2002'!$B:$U,MATCH($A103,'SALA 2002'!$A:$A,0),MATCH(O$1,'SALA 2002'!$B$1:$U$1,0))*POWER(INDEX('WPP 2024 середина года'!$B:$U,MATCH($A103,'WPP 2024 середина года'!$A:$A,0),MATCH(O$1,'WPP 2024 середина года'!$B$1:$U$1,0))/(1000*INDEX('SALA 2002'!$B:$U,MATCH($A103,'SALA 2002'!$A:$A,0),MATCH(O$1,'SALA 2002'!$B$1:$U$1,0))),($A103-1994)/7),INDEX('WPP 2024 середина года'!$B:$U,MATCH($A103,'WPP 2024 середина года'!$A:$A,0),MATCH(O$1,'WPP 2024 середина года'!$B$1:$U$1,0)))))</f>
        <v>100099.1</v>
      </c>
      <c r="P103" s="7">
        <f>IF($A103&lt;=1951,INDEX('SALA 1974'!$B:$U,MATCH($A103,'SALA 1974'!$A:$A,0),MATCH(P$1,'SALA 1974'!$B$1:$U$1,0)),IF($A103&lt;=1994,1000*INDEX('SALA 2002'!$B:$U,MATCH($A103,'SALA 2002'!$A:$A,0),MATCH(P$1,'SALA 2002'!$B$1:$U$1,0)),IF($A103&lt;=2000,1000*INDEX('SALA 2002'!$B:$U,MATCH($A103,'SALA 2002'!$A:$A,0),MATCH(P$1,'SALA 2002'!$B$1:$U$1,0))*POWER(INDEX('WPP 2024 середина года'!$B:$U,MATCH($A103,'WPP 2024 середина года'!$A:$A,0),MATCH(P$1,'WPP 2024 середина года'!$B$1:$U$1,0))/(1000*INDEX('SALA 2002'!$B:$U,MATCH($A103,'SALA 2002'!$A:$A,0),MATCH(P$1,'SALA 2002'!$B$1:$U$1,0))),($A103-1994)/7),INDEX('WPP 2024 середина года'!$B:$U,MATCH($A103,'WPP 2024 середина года'!$A:$A,0),MATCH(P$1,'WPP 2024 середина года'!$B$1:$U$1,0)))))</f>
        <v>5087.8</v>
      </c>
      <c r="Q103" s="7">
        <f>IF($A103&lt;=1951,INDEX('SALA 1974'!$B:$U,MATCH($A103,'SALA 1974'!$A:$A,0),MATCH(Q$1,'SALA 1974'!$B$1:$U$1,0)),IF($A103&lt;=1994,1000*INDEX('SALA 2002'!$B:$U,MATCH($A103,'SALA 2002'!$A:$A,0),MATCH(Q$1,'SALA 2002'!$B$1:$U$1,0)),IF($A103&lt;=2000,1000*INDEX('SALA 2002'!$B:$U,MATCH($A103,'SALA 2002'!$A:$A,0),MATCH(Q$1,'SALA 2002'!$B$1:$U$1,0))*POWER(INDEX('WPP 2024 середина года'!$B:$U,MATCH($A103,'WPP 2024 середина года'!$A:$A,0),MATCH(Q$1,'WPP 2024 середина года'!$B$1:$U$1,0))/(1000*INDEX('SALA 2002'!$B:$U,MATCH($A103,'SALA 2002'!$A:$A,0),MATCH(Q$1,'SALA 2002'!$B$1:$U$1,0))),($A103-1994)/7),INDEX('WPP 2024 середина года'!$B:$U,MATCH($A103,'WPP 2024 середина года'!$A:$A,0),MATCH(Q$1,'WPP 2024 середина года'!$B$1:$U$1,0)))))</f>
        <v>3069.5</v>
      </c>
      <c r="R103" s="7">
        <f>IF($A103&lt;=1951,INDEX('SALA 1974'!$B:$U,MATCH($A103,'SALA 1974'!$A:$A,0),MATCH(R$1,'SALA 1974'!$B$1:$U$1,0)),IF($A103&lt;=1994,1000*INDEX('SALA 2002'!$B:$U,MATCH($A103,'SALA 2002'!$A:$A,0),MATCH(R$1,'SALA 2002'!$B$1:$U$1,0)),IF($A103&lt;=2000,1000*INDEX('SALA 2002'!$B:$U,MATCH($A103,'SALA 2002'!$A:$A,0),MATCH(R$1,'SALA 2002'!$B$1:$U$1,0))*POWER(INDEX('WPP 2024 середина года'!$B:$U,MATCH($A103,'WPP 2024 середина года'!$A:$A,0),MATCH(R$1,'WPP 2024 середина года'!$B$1:$U$1,0))/(1000*INDEX('SALA 2002'!$B:$U,MATCH($A103,'SALA 2002'!$A:$A,0),MATCH(R$1,'SALA 2002'!$B$1:$U$1,0))),($A103-1994)/7),INDEX('WPP 2024 середина года'!$B:$U,MATCH($A103,'WPP 2024 середина года'!$A:$A,0),MATCH(R$1,'WPP 2024 середина года'!$B$1:$U$1,0)))))</f>
        <v>5187.7</v>
      </c>
      <c r="S103" s="7">
        <f>IF($A103&lt;=1951,INDEX('SALA 1974'!$B:$U,MATCH($A103,'SALA 1974'!$A:$A,0),MATCH(S$1,'SALA 1974'!$B$1:$U$1,0)),IF($A103&lt;=1994,1000*INDEX('SALA 2002'!$B:$U,MATCH($A103,'SALA 2002'!$A:$A,0),MATCH(S$1,'SALA 2002'!$B$1:$U$1,0)),IF($A103&lt;=2000,1000*INDEX('SALA 2002'!$B:$U,MATCH($A103,'SALA 2002'!$A:$A,0),MATCH(S$1,'SALA 2002'!$B$1:$U$1,0))*POWER(INDEX('WPP 2024 середина года'!$B:$U,MATCH($A103,'WPP 2024 середина года'!$A:$A,0),MATCH(S$1,'WPP 2024 середина года'!$B$1:$U$1,0))/(1000*INDEX('SALA 2002'!$B:$U,MATCH($A103,'SALA 2002'!$A:$A,0),MATCH(S$1,'SALA 2002'!$B$1:$U$1,0))),($A103-1994)/7),INDEX('WPP 2024 середина года'!$B:$U,MATCH($A103,'WPP 2024 середина года'!$A:$A,0),MATCH(S$1,'WPP 2024 середина года'!$B$1:$U$1,0)))))</f>
        <v>26964.6</v>
      </c>
      <c r="T103" s="7">
        <f>IF($A103&lt;=1951,INDEX('SALA 1974'!$B:$U,MATCH($A103,'SALA 1974'!$A:$A,0),MATCH(T$1,'SALA 1974'!$B$1:$U$1,0)),IF($A103&lt;=1994,1000*INDEX('SALA 2002'!$B:$U,MATCH($A103,'SALA 2002'!$A:$A,0),MATCH(T$1,'SALA 2002'!$B$1:$U$1,0)),IF($A103&lt;=2000,1000*INDEX('SALA 2002'!$B:$U,MATCH($A103,'SALA 2002'!$A:$A,0),MATCH(T$1,'SALA 2002'!$B$1:$U$1,0))*POWER(INDEX('WPP 2024 середина года'!$B:$U,MATCH($A103,'WPP 2024 середина года'!$A:$A,0),MATCH(T$1,'WPP 2024 середина года'!$B$1:$U$1,0))/(1000*INDEX('SALA 2002'!$B:$U,MATCH($A103,'SALA 2002'!$A:$A,0),MATCH(T$1,'SALA 2002'!$B$1:$U$1,0))),($A103-1994)/7),INDEX('WPP 2024 середина года'!$B:$U,MATCH($A103,'WPP 2024 середина года'!$A:$A,0),MATCH(T$1,'WPP 2024 середина года'!$B$1:$U$1,0)))))</f>
        <v>3274.3</v>
      </c>
      <c r="U103" s="7">
        <f>IF($A103&lt;=1951,INDEX('SALA 1974'!$B:$U,MATCH($A103,'SALA 1974'!$A:$A,0),MATCH(U$1,'SALA 1974'!$B$1:$U$1,0)),IF($A103&lt;=1994,1000*INDEX('SALA 2002'!$B:$U,MATCH($A103,'SALA 2002'!$A:$A,0),MATCH(U$1,'SALA 2002'!$B$1:$U$1,0)),IF($A103&lt;=2000,1000*INDEX('SALA 2002'!$B:$U,MATCH($A103,'SALA 2002'!$A:$A,0),MATCH(U$1,'SALA 2002'!$B$1:$U$1,0))*POWER(INDEX('WPP 2024 середина года'!$B:$U,MATCH($A103,'WPP 2024 середина года'!$A:$A,0),MATCH(U$1,'WPP 2024 середина года'!$B$1:$U$1,0))/(1000*INDEX('SALA 2002'!$B:$U,MATCH($A103,'SALA 2002'!$A:$A,0),MATCH(U$1,'SALA 2002'!$B$1:$U$1,0))),($A103-1994)/7),INDEX('WPP 2024 середина года'!$B:$U,MATCH($A103,'WPP 2024 середина года'!$A:$A,0),MATCH(U$1,'WPP 2024 середина года'!$B$1:$U$1,0)))))</f>
        <v>24979.9</v>
      </c>
    </row>
    <row r="104" spans="1:21" x14ac:dyDescent="0.25">
      <c r="A104" s="5">
        <f t="shared" si="1"/>
        <v>2002</v>
      </c>
      <c r="B104" s="7">
        <f>IF($A104&lt;=1951,INDEX('SALA 1974'!$B:$U,MATCH($A104,'SALA 1974'!$A:$A,0),MATCH(B$1,'SALA 1974'!$B$1:$U$1,0)),IF($A104&lt;=1994,1000*INDEX('SALA 2002'!$B:$U,MATCH($A104,'SALA 2002'!$A:$A,0),MATCH(B$1,'SALA 2002'!$B$1:$U$1,0)),IF($A104&lt;=2000,1000*INDEX('SALA 2002'!$B:$U,MATCH($A104,'SALA 2002'!$A:$A,0),MATCH(B$1,'SALA 2002'!$B$1:$U$1,0))*POWER(INDEX('WPP 2024 середина года'!$B:$U,MATCH($A104,'WPP 2024 середина года'!$A:$A,0),MATCH(B$1,'WPP 2024 середина года'!$B$1:$U$1,0))/(1000*INDEX('SALA 2002'!$B:$U,MATCH($A104,'SALA 2002'!$A:$A,0),MATCH(B$1,'SALA 2002'!$B$1:$U$1,0))),($A104-1994)/7),INDEX('WPP 2024 середина года'!$B:$U,MATCH($A104,'WPP 2024 середина года'!$A:$A,0),MATCH(B$1,'WPP 2024 середина года'!$B$1:$U$1,0)))))</f>
        <v>38029.300000000003</v>
      </c>
      <c r="C104" s="7">
        <f>IF($A104&lt;=1951,INDEX('SALA 1974'!$B:$U,MATCH($A104,'SALA 1974'!$A:$A,0),MATCH(C$1,'SALA 1974'!$B$1:$U$1,0)),IF($A104&lt;=1994,1000*INDEX('SALA 2002'!$B:$U,MATCH($A104,'SALA 2002'!$A:$A,0),MATCH(C$1,'SALA 2002'!$B$1:$U$1,0)),IF($A104&lt;=2000,1000*INDEX('SALA 2002'!$B:$U,MATCH($A104,'SALA 2002'!$A:$A,0),MATCH(C$1,'SALA 2002'!$B$1:$U$1,0))*POWER(INDEX('WPP 2024 середина года'!$B:$U,MATCH($A104,'WPP 2024 середина года'!$A:$A,0),MATCH(C$1,'WPP 2024 середина года'!$B$1:$U$1,0))/(1000*INDEX('SALA 2002'!$B:$U,MATCH($A104,'SALA 2002'!$A:$A,0),MATCH(C$1,'SALA 2002'!$B$1:$U$1,0))),($A104-1994)/7),INDEX('WPP 2024 середина года'!$B:$U,MATCH($A104,'WPP 2024 середина года'!$A:$A,0),MATCH(C$1,'WPP 2024 середина года'!$B$1:$U$1,0)))))</f>
        <v>8900.4</v>
      </c>
      <c r="D104" s="7">
        <f>IF($A104&lt;=1951,INDEX('SALA 1974'!$B:$U,MATCH($A104,'SALA 1974'!$A:$A,0),MATCH(D$1,'SALA 1974'!$B$1:$U$1,0)),IF($A104&lt;=1994,1000*INDEX('SALA 2002'!$B:$U,MATCH($A104,'SALA 2002'!$A:$A,0),MATCH(D$1,'SALA 2002'!$B$1:$U$1,0)),IF($A104&lt;=2000,1000*INDEX('SALA 2002'!$B:$U,MATCH($A104,'SALA 2002'!$A:$A,0),MATCH(D$1,'SALA 2002'!$B$1:$U$1,0))*POWER(INDEX('WPP 2024 середина года'!$B:$U,MATCH($A104,'WPP 2024 середина года'!$A:$A,0),MATCH(D$1,'WPP 2024 середина года'!$B$1:$U$1,0))/(1000*INDEX('SALA 2002'!$B:$U,MATCH($A104,'SALA 2002'!$A:$A,0),MATCH(D$1,'SALA 2002'!$B$1:$U$1,0))),($A104-1994)/7),INDEX('WPP 2024 середина года'!$B:$U,MATCH($A104,'WPP 2024 середина года'!$A:$A,0),MATCH(D$1,'WPP 2024 середина года'!$B$1:$U$1,0)))))</f>
        <v>178503.5</v>
      </c>
      <c r="E104" s="7">
        <f>IF($A104&lt;=1951,INDEX('SALA 1974'!$B:$U,MATCH($A104,'SALA 1974'!$A:$A,0),MATCH(E$1,'SALA 1974'!$B$1:$U$1,0)),IF($A104&lt;=1994,1000*INDEX('SALA 2002'!$B:$U,MATCH($A104,'SALA 2002'!$A:$A,0),MATCH(E$1,'SALA 2002'!$B$1:$U$1,0)),IF($A104&lt;=2000,1000*INDEX('SALA 2002'!$B:$U,MATCH($A104,'SALA 2002'!$A:$A,0),MATCH(E$1,'SALA 2002'!$B$1:$U$1,0))*POWER(INDEX('WPP 2024 середина года'!$B:$U,MATCH($A104,'WPP 2024 середина года'!$A:$A,0),MATCH(E$1,'WPP 2024 середина года'!$B$1:$U$1,0))/(1000*INDEX('SALA 2002'!$B:$U,MATCH($A104,'SALA 2002'!$A:$A,0),MATCH(E$1,'SALA 2002'!$B$1:$U$1,0))),($A104-1994)/7),INDEX('WPP 2024 середина года'!$B:$U,MATCH($A104,'WPP 2024 середина года'!$A:$A,0),MATCH(E$1,'WPP 2024 середина года'!$B$1:$U$1,0)))))</f>
        <v>15857.9</v>
      </c>
      <c r="F104" s="7">
        <f>IF($A104&lt;=1947,INDEX('SALA 1974'!$B:$U,MATCH($A104,'SALA 1974'!$A:$A,0),MATCH(F$1,'SALA 1974'!$B$1:$U$1,0)),IF($A104&lt;=1994,1000*INDEX('SALA 2002'!$B:$U,MATCH($A104,'SALA 2002'!$A:$A,0),MATCH(F$1,'SALA 2002'!$B$1:$U$1,0)),IF($A104&lt;=2000,1000*INDEX('SALA 2002'!$B:$U,MATCH($A104,'SALA 2002'!$A:$A,0),MATCH(F$1,'SALA 2002'!$B$1:$U$1,0))*POWER(INDEX('WPP 2024 середина года'!$B:$U,MATCH($A104,'WPP 2024 середина года'!$A:$A,0),MATCH(F$1,'WPP 2024 середина года'!$B$1:$U$1,0))/(1000*INDEX('SALA 2002'!$B:$U,MATCH($A104,'SALA 2002'!$A:$A,0),MATCH(F$1,'SALA 2002'!$B$1:$U$1,0))),($A104-1994)/7),INDEX('WPP 2024 середина года'!$B:$U,MATCH($A104,'WPP 2024 середина года'!$A:$A,0),MATCH(F$1,'WPP 2024 середина года'!$B$1:$U$1,0)))))</f>
        <v>40324.699999999997</v>
      </c>
      <c r="G104" s="7">
        <f>IF($A104&lt;=1951,INDEX('SALA 1974'!$B:$U,MATCH($A104,'SALA 1974'!$A:$A,0),MATCH(G$1,'SALA 1974'!$B$1:$U$1,0)),IF($A104&lt;=1994,1000*INDEX('SALA 2002'!$B:$U,MATCH($A104,'SALA 2002'!$A:$A,0),MATCH(G$1,'SALA 2002'!$B$1:$U$1,0)),IF($A104&lt;=2000,1000*INDEX('SALA 2002'!$B:$U,MATCH($A104,'SALA 2002'!$A:$A,0),MATCH(G$1,'SALA 2002'!$B$1:$U$1,0))*POWER(INDEX('WPP 2024 середина года'!$B:$U,MATCH($A104,'WPP 2024 середина года'!$A:$A,0),MATCH(G$1,'WPP 2024 середина года'!$B$1:$U$1,0))/(1000*INDEX('SALA 2002'!$B:$U,MATCH($A104,'SALA 2002'!$A:$A,0),MATCH(G$1,'SALA 2002'!$B$1:$U$1,0))),($A104-1994)/7),INDEX('WPP 2024 середина года'!$B:$U,MATCH($A104,'WPP 2024 середина года'!$A:$A,0),MATCH(G$1,'WPP 2024 середина года'!$B$1:$U$1,0)))))</f>
        <v>4075.7</v>
      </c>
      <c r="H104" s="7">
        <f>IF($A104&lt;=1951,INDEX('SALA 1974'!$B:$U,MATCH($A104,'SALA 1974'!$A:$A,0),MATCH(H$1,'SALA 1974'!$B$1:$U$1,0)),IF($A104&lt;=1994,1000*INDEX('SALA 2002'!$B:$U,MATCH($A104,'SALA 2002'!$A:$A,0),MATCH(H$1,'SALA 2002'!$B$1:$U$1,0)),IF($A104&lt;=2000,1000*INDEX('SALA 2002'!$B:$U,MATCH($A104,'SALA 2002'!$A:$A,0),MATCH(H$1,'SALA 2002'!$B$1:$U$1,0))*POWER(INDEX('WPP 2024 середина года'!$B:$U,MATCH($A104,'WPP 2024 середина года'!$A:$A,0),MATCH(H$1,'WPP 2024 середина года'!$B$1:$U$1,0))/(1000*INDEX('SALA 2002'!$B:$U,MATCH($A104,'SALA 2002'!$A:$A,0),MATCH(H$1,'SALA 2002'!$B$1:$U$1,0))),($A104-1994)/7),INDEX('WPP 2024 середина года'!$B:$U,MATCH($A104,'WPP 2024 середина года'!$A:$A,0),MATCH(H$1,'WPP 2024 середина года'!$B$1:$U$1,0)))))</f>
        <v>11177.4</v>
      </c>
      <c r="I104" s="7">
        <f>IF($A104&lt;=1951,INDEX('SALA 1974'!$B:$U,MATCH($A104,'SALA 1974'!$A:$A,0),MATCH(I$1,'SALA 1974'!$B$1:$U$1,0)),IF($A104&lt;=1994,1000*INDEX('SALA 2002'!$B:$U,MATCH($A104,'SALA 2002'!$A:$A,0),MATCH(I$1,'SALA 2002'!$B$1:$U$1,0)),IF($A104&lt;=2000,1000*INDEX('SALA 2002'!$B:$U,MATCH($A104,'SALA 2002'!$A:$A,0),MATCH(I$1,'SALA 2002'!$B$1:$U$1,0))*POWER(INDEX('WPP 2024 середина года'!$B:$U,MATCH($A104,'WPP 2024 середина года'!$A:$A,0),MATCH(I$1,'WPP 2024 середина года'!$B$1:$U$1,0))/(1000*INDEX('SALA 2002'!$B:$U,MATCH($A104,'SALA 2002'!$A:$A,0),MATCH(I$1,'SALA 2002'!$B$1:$U$1,0))),($A104-1994)/7),INDEX('WPP 2024 середина года'!$B:$U,MATCH($A104,'WPP 2024 середина года'!$A:$A,0),MATCH(I$1,'WPP 2024 середина года'!$B$1:$U$1,0)))))</f>
        <v>8852.2000000000007</v>
      </c>
      <c r="J104" s="7">
        <f>IF($A104&lt;=1951,INDEX('SALA 1974'!$B:$U,MATCH($A104,'SALA 1974'!$A:$A,0),MATCH(J$1,'SALA 1974'!$B$1:$U$1,0)),IF($A104&lt;=1994,1000*INDEX('SALA 2002'!$B:$U,MATCH($A104,'SALA 2002'!$A:$A,0),MATCH(J$1,'SALA 2002'!$B$1:$U$1,0)),IF($A104&lt;=2000,1000*INDEX('SALA 2002'!$B:$U,MATCH($A104,'SALA 2002'!$A:$A,0),MATCH(J$1,'SALA 2002'!$B$1:$U$1,0))*POWER(INDEX('WPP 2024 середина года'!$B:$U,MATCH($A104,'WPP 2024 середина года'!$A:$A,0),MATCH(J$1,'WPP 2024 середина года'!$B$1:$U$1,0))/(1000*INDEX('SALA 2002'!$B:$U,MATCH($A104,'SALA 2002'!$A:$A,0),MATCH(J$1,'SALA 2002'!$B$1:$U$1,0))),($A104-1994)/7),INDEX('WPP 2024 середина года'!$B:$U,MATCH($A104,'WPP 2024 середина года'!$A:$A,0),MATCH(J$1,'WPP 2024 середина года'!$B$1:$U$1,0)))))</f>
        <v>13138.5</v>
      </c>
      <c r="K104" s="7">
        <f>IF($A104&lt;=1951,INDEX('SALA 1974'!$B:$U,MATCH($A104,'SALA 1974'!$A:$A,0),MATCH(K$1,'SALA 1974'!$B$1:$U$1,0)),IF($A104&lt;=1994,1000*INDEX('SALA 2002'!$B:$U,MATCH($A104,'SALA 2002'!$A:$A,0),MATCH(K$1,'SALA 2002'!$B$1:$U$1,0)),IF($A104&lt;=2000,1000*INDEX('SALA 2002'!$B:$U,MATCH($A104,'SALA 2002'!$A:$A,0),MATCH(K$1,'SALA 2002'!$B$1:$U$1,0))*POWER(INDEX('WPP 2024 середина года'!$B:$U,MATCH($A104,'WPP 2024 середина года'!$A:$A,0),MATCH(K$1,'WPP 2024 середина года'!$B$1:$U$1,0))/(1000*INDEX('SALA 2002'!$B:$U,MATCH($A104,'SALA 2002'!$A:$A,0),MATCH(K$1,'SALA 2002'!$B$1:$U$1,0))),($A104-1994)/7),INDEX('WPP 2024 середина года'!$B:$U,MATCH($A104,'WPP 2024 середина года'!$A:$A,0),MATCH(K$1,'WPP 2024 середина года'!$B$1:$U$1,0)))))</f>
        <v>5986.6</v>
      </c>
      <c r="L104" s="7">
        <f>IF($A104&lt;=1951,INDEX('SALA 1974'!$B:$U,MATCH($A104,'SALA 1974'!$A:$A,0),MATCH(L$1,'SALA 1974'!$B$1:$U$1,0)),IF($A104&lt;=1994,1000*INDEX('SALA 2002'!$B:$U,MATCH($A104,'SALA 2002'!$A:$A,0),MATCH(L$1,'SALA 2002'!$B$1:$U$1,0)),IF($A104&lt;=2000,1000*INDEX('SALA 2002'!$B:$U,MATCH($A104,'SALA 2002'!$A:$A,0),MATCH(L$1,'SALA 2002'!$B$1:$U$1,0))*POWER(INDEX('WPP 2024 середина года'!$B:$U,MATCH($A104,'WPP 2024 середина года'!$A:$A,0),MATCH(L$1,'WPP 2024 середина года'!$B$1:$U$1,0))/(1000*INDEX('SALA 2002'!$B:$U,MATCH($A104,'SALA 2002'!$A:$A,0),MATCH(L$1,'SALA 2002'!$B$1:$U$1,0))),($A104-1994)/7),INDEX('WPP 2024 середина года'!$B:$U,MATCH($A104,'WPP 2024 середина года'!$A:$A,0),MATCH(L$1,'WPP 2024 середина года'!$B$1:$U$1,0)))))</f>
        <v>12246.9</v>
      </c>
      <c r="M104" s="7">
        <f>IF($A104&lt;=1951,INDEX('SALA 1974'!$B:$U,MATCH($A104,'SALA 1974'!$A:$A,0),MATCH(M$1,'SALA 1974'!$B$1:$U$1,0)),IF($A104&lt;=1994,1000*INDEX('SALA 2002'!$B:$U,MATCH($A104,'SALA 2002'!$A:$A,0),MATCH(M$1,'SALA 2002'!$B$1:$U$1,0)),IF($A104&lt;=2000,1000*INDEX('SALA 2002'!$B:$U,MATCH($A104,'SALA 2002'!$A:$A,0),MATCH(M$1,'SALA 2002'!$B$1:$U$1,0))*POWER(INDEX('WPP 2024 середина года'!$B:$U,MATCH($A104,'WPP 2024 середина года'!$A:$A,0),MATCH(M$1,'WPP 2024 середина года'!$B$1:$U$1,0))/(1000*INDEX('SALA 2002'!$B:$U,MATCH($A104,'SALA 2002'!$A:$A,0),MATCH(M$1,'SALA 2002'!$B$1:$U$1,0))),($A104-1994)/7),INDEX('WPP 2024 середина года'!$B:$U,MATCH($A104,'WPP 2024 середина года'!$A:$A,0),MATCH(M$1,'WPP 2024 середина года'!$B$1:$U$1,0)))))</f>
        <v>8607.6</v>
      </c>
      <c r="N104" s="7">
        <f>IF($A104&lt;=1951,INDEX('SALA 1974'!$B:$U,MATCH($A104,'SALA 1974'!$A:$A,0),MATCH(N$1,'SALA 1974'!$B$1:$U$1,0)),IF($A104&lt;=1994,1000*INDEX('SALA 2002'!$B:$U,MATCH($A104,'SALA 2002'!$A:$A,0),MATCH(N$1,'SALA 2002'!$B$1:$U$1,0)),IF($A104&lt;=2000,1000*INDEX('SALA 2002'!$B:$U,MATCH($A104,'SALA 2002'!$A:$A,0),MATCH(N$1,'SALA 2002'!$B$1:$U$1,0))*POWER(INDEX('WPP 2024 середина года'!$B:$U,MATCH($A104,'WPP 2024 середина года'!$A:$A,0),MATCH(N$1,'WPP 2024 середина года'!$B$1:$U$1,0))/(1000*INDEX('SALA 2002'!$B:$U,MATCH($A104,'SALA 2002'!$A:$A,0),MATCH(N$1,'SALA 2002'!$B$1:$U$1,0))),($A104-1994)/7),INDEX('WPP 2024 середина года'!$B:$U,MATCH($A104,'WPP 2024 середина года'!$A:$A,0),MATCH(N$1,'WPP 2024 середина года'!$B$1:$U$1,0)))))</f>
        <v>6938.9</v>
      </c>
      <c r="O104" s="7">
        <f>IF($A104&lt;=1951,INDEX('SALA 1974'!$B:$U,MATCH($A104,'SALA 1974'!$A:$A,0),MATCH(O$1,'SALA 1974'!$B$1:$U$1,0)),IF($A104&lt;=1994,1000*INDEX('SALA 2002'!$B:$U,MATCH($A104,'SALA 2002'!$A:$A,0),MATCH(O$1,'SALA 2002'!$B$1:$U$1,0)),IF($A104&lt;=2000,1000*INDEX('SALA 2002'!$B:$U,MATCH($A104,'SALA 2002'!$A:$A,0),MATCH(O$1,'SALA 2002'!$B$1:$U$1,0))*POWER(INDEX('WPP 2024 середина года'!$B:$U,MATCH($A104,'WPP 2024 середина года'!$A:$A,0),MATCH(O$1,'WPP 2024 середина года'!$B$1:$U$1,0))/(1000*INDEX('SALA 2002'!$B:$U,MATCH($A104,'SALA 2002'!$A:$A,0),MATCH(O$1,'SALA 2002'!$B$1:$U$1,0))),($A104-1994)/7),INDEX('WPP 2024 середина года'!$B:$U,MATCH($A104,'WPP 2024 середина года'!$A:$A,0),MATCH(O$1,'WPP 2024 середина года'!$B$1:$U$1,0)))))</f>
        <v>101548.6</v>
      </c>
      <c r="P104" s="7">
        <f>IF($A104&lt;=1951,INDEX('SALA 1974'!$B:$U,MATCH($A104,'SALA 1974'!$A:$A,0),MATCH(P$1,'SALA 1974'!$B$1:$U$1,0)),IF($A104&lt;=1994,1000*INDEX('SALA 2002'!$B:$U,MATCH($A104,'SALA 2002'!$A:$A,0),MATCH(P$1,'SALA 2002'!$B$1:$U$1,0)),IF($A104&lt;=2000,1000*INDEX('SALA 2002'!$B:$U,MATCH($A104,'SALA 2002'!$A:$A,0),MATCH(P$1,'SALA 2002'!$B$1:$U$1,0))*POWER(INDEX('WPP 2024 середина года'!$B:$U,MATCH($A104,'WPP 2024 середина года'!$A:$A,0),MATCH(P$1,'WPP 2024 середина года'!$B$1:$U$1,0))/(1000*INDEX('SALA 2002'!$B:$U,MATCH($A104,'SALA 2002'!$A:$A,0),MATCH(P$1,'SALA 2002'!$B$1:$U$1,0))),($A104-1994)/7),INDEX('WPP 2024 середина года'!$B:$U,MATCH($A104,'WPP 2024 середина года'!$A:$A,0),MATCH(P$1,'WPP 2024 середина года'!$B$1:$U$1,0)))))</f>
        <v>5149.8999999999996</v>
      </c>
      <c r="Q104" s="7">
        <f>IF($A104&lt;=1951,INDEX('SALA 1974'!$B:$U,MATCH($A104,'SALA 1974'!$A:$A,0),MATCH(Q$1,'SALA 1974'!$B$1:$U$1,0)),IF($A104&lt;=1994,1000*INDEX('SALA 2002'!$B:$U,MATCH($A104,'SALA 2002'!$A:$A,0),MATCH(Q$1,'SALA 2002'!$B$1:$U$1,0)),IF($A104&lt;=2000,1000*INDEX('SALA 2002'!$B:$U,MATCH($A104,'SALA 2002'!$A:$A,0),MATCH(Q$1,'SALA 2002'!$B$1:$U$1,0))*POWER(INDEX('WPP 2024 середина года'!$B:$U,MATCH($A104,'WPP 2024 середина года'!$A:$A,0),MATCH(Q$1,'WPP 2024 середина года'!$B$1:$U$1,0))/(1000*INDEX('SALA 2002'!$B:$U,MATCH($A104,'SALA 2002'!$A:$A,0),MATCH(Q$1,'SALA 2002'!$B$1:$U$1,0))),($A104-1994)/7),INDEX('WPP 2024 середина года'!$B:$U,MATCH($A104,'WPP 2024 середина года'!$A:$A,0),MATCH(Q$1,'WPP 2024 середина года'!$B$1:$U$1,0)))))</f>
        <v>3129.3</v>
      </c>
      <c r="R104" s="7">
        <f>IF($A104&lt;=1951,INDEX('SALA 1974'!$B:$U,MATCH($A104,'SALA 1974'!$A:$A,0),MATCH(R$1,'SALA 1974'!$B$1:$U$1,0)),IF($A104&lt;=1994,1000*INDEX('SALA 2002'!$B:$U,MATCH($A104,'SALA 2002'!$A:$A,0),MATCH(R$1,'SALA 2002'!$B$1:$U$1,0)),IF($A104&lt;=2000,1000*INDEX('SALA 2002'!$B:$U,MATCH($A104,'SALA 2002'!$A:$A,0),MATCH(R$1,'SALA 2002'!$B$1:$U$1,0))*POWER(INDEX('WPP 2024 середина года'!$B:$U,MATCH($A104,'WPP 2024 середина года'!$A:$A,0),MATCH(R$1,'WPP 2024 середина года'!$B$1:$U$1,0))/(1000*INDEX('SALA 2002'!$B:$U,MATCH($A104,'SALA 2002'!$A:$A,0),MATCH(R$1,'SALA 2002'!$B$1:$U$1,0))),($A104-1994)/7),INDEX('WPP 2024 середина года'!$B:$U,MATCH($A104,'WPP 2024 середина года'!$A:$A,0),MATCH(R$1,'WPP 2024 середина года'!$B$1:$U$1,0)))))</f>
        <v>5261.3</v>
      </c>
      <c r="S104" s="7">
        <f>IF($A104&lt;=1951,INDEX('SALA 1974'!$B:$U,MATCH($A104,'SALA 1974'!$A:$A,0),MATCH(S$1,'SALA 1974'!$B$1:$U$1,0)),IF($A104&lt;=1994,1000*INDEX('SALA 2002'!$B:$U,MATCH($A104,'SALA 2002'!$A:$A,0),MATCH(S$1,'SALA 2002'!$B$1:$U$1,0)),IF($A104&lt;=2000,1000*INDEX('SALA 2002'!$B:$U,MATCH($A104,'SALA 2002'!$A:$A,0),MATCH(S$1,'SALA 2002'!$B$1:$U$1,0))*POWER(INDEX('WPP 2024 середина года'!$B:$U,MATCH($A104,'WPP 2024 середина года'!$A:$A,0),MATCH(S$1,'WPP 2024 середина года'!$B$1:$U$1,0))/(1000*INDEX('SALA 2002'!$B:$U,MATCH($A104,'SALA 2002'!$A:$A,0),MATCH(S$1,'SALA 2002'!$B$1:$U$1,0))),($A104-1994)/7),INDEX('WPP 2024 середина года'!$B:$U,MATCH($A104,'WPP 2024 середина года'!$A:$A,0),MATCH(S$1,'WPP 2024 середина года'!$B$1:$U$1,0)))))</f>
        <v>27288.2</v>
      </c>
      <c r="T104" s="7">
        <f>IF($A104&lt;=1951,INDEX('SALA 1974'!$B:$U,MATCH($A104,'SALA 1974'!$A:$A,0),MATCH(T$1,'SALA 1974'!$B$1:$U$1,0)),IF($A104&lt;=1994,1000*INDEX('SALA 2002'!$B:$U,MATCH($A104,'SALA 2002'!$A:$A,0),MATCH(T$1,'SALA 2002'!$B$1:$U$1,0)),IF($A104&lt;=2000,1000*INDEX('SALA 2002'!$B:$U,MATCH($A104,'SALA 2002'!$A:$A,0),MATCH(T$1,'SALA 2002'!$B$1:$U$1,0))*POWER(INDEX('WPP 2024 середина года'!$B:$U,MATCH($A104,'WPP 2024 середина года'!$A:$A,0),MATCH(T$1,'WPP 2024 середина года'!$B$1:$U$1,0))/(1000*INDEX('SALA 2002'!$B:$U,MATCH($A104,'SALA 2002'!$A:$A,0),MATCH(T$1,'SALA 2002'!$B$1:$U$1,0))),($A104-1994)/7),INDEX('WPP 2024 середина года'!$B:$U,MATCH($A104,'WPP 2024 середина года'!$A:$A,0),MATCH(T$1,'WPP 2024 середина года'!$B$1:$U$1,0)))))</f>
        <v>3278.9</v>
      </c>
      <c r="U104" s="7">
        <f>IF($A104&lt;=1951,INDEX('SALA 1974'!$B:$U,MATCH($A104,'SALA 1974'!$A:$A,0),MATCH(U$1,'SALA 1974'!$B$1:$U$1,0)),IF($A104&lt;=1994,1000*INDEX('SALA 2002'!$B:$U,MATCH($A104,'SALA 2002'!$A:$A,0),MATCH(U$1,'SALA 2002'!$B$1:$U$1,0)),IF($A104&lt;=2000,1000*INDEX('SALA 2002'!$B:$U,MATCH($A104,'SALA 2002'!$A:$A,0),MATCH(U$1,'SALA 2002'!$B$1:$U$1,0))*POWER(INDEX('WPP 2024 середина года'!$B:$U,MATCH($A104,'WPP 2024 середина года'!$A:$A,0),MATCH(U$1,'WPP 2024 середина года'!$B$1:$U$1,0))/(1000*INDEX('SALA 2002'!$B:$U,MATCH($A104,'SALA 2002'!$A:$A,0),MATCH(U$1,'SALA 2002'!$B$1:$U$1,0))),($A104-1994)/7),INDEX('WPP 2024 середина года'!$B:$U,MATCH($A104,'WPP 2024 середина года'!$A:$A,0),MATCH(U$1,'WPP 2024 середина года'!$B$1:$U$1,0)))))</f>
        <v>25435.7</v>
      </c>
    </row>
    <row r="105" spans="1:21" x14ac:dyDescent="0.25">
      <c r="A105" s="5">
        <f t="shared" si="1"/>
        <v>2003</v>
      </c>
      <c r="B105" s="7">
        <f>IF($A105&lt;=1951,INDEX('SALA 1974'!$B:$U,MATCH($A105,'SALA 1974'!$A:$A,0),MATCH(B$1,'SALA 1974'!$B$1:$U$1,0)),IF($A105&lt;=1994,1000*INDEX('SALA 2002'!$B:$U,MATCH($A105,'SALA 2002'!$A:$A,0),MATCH(B$1,'SALA 2002'!$B$1:$U$1,0)),IF($A105&lt;=2000,1000*INDEX('SALA 2002'!$B:$U,MATCH($A105,'SALA 2002'!$A:$A,0),MATCH(B$1,'SALA 2002'!$B$1:$U$1,0))*POWER(INDEX('WPP 2024 середина года'!$B:$U,MATCH($A105,'WPP 2024 середина года'!$A:$A,0),MATCH(B$1,'WPP 2024 середина года'!$B$1:$U$1,0))/(1000*INDEX('SALA 2002'!$B:$U,MATCH($A105,'SALA 2002'!$A:$A,0),MATCH(B$1,'SALA 2002'!$B$1:$U$1,0))),($A105-1994)/7),INDEX('WPP 2024 середина года'!$B:$U,MATCH($A105,'WPP 2024 середина года'!$A:$A,0),MATCH(B$1,'WPP 2024 середина года'!$B$1:$U$1,0)))))</f>
        <v>38424.300000000003</v>
      </c>
      <c r="C105" s="7">
        <f>IF($A105&lt;=1951,INDEX('SALA 1974'!$B:$U,MATCH($A105,'SALA 1974'!$A:$A,0),MATCH(C$1,'SALA 1974'!$B$1:$U$1,0)),IF($A105&lt;=1994,1000*INDEX('SALA 2002'!$B:$U,MATCH($A105,'SALA 2002'!$A:$A,0),MATCH(C$1,'SALA 2002'!$B$1:$U$1,0)),IF($A105&lt;=2000,1000*INDEX('SALA 2002'!$B:$U,MATCH($A105,'SALA 2002'!$A:$A,0),MATCH(C$1,'SALA 2002'!$B$1:$U$1,0))*POWER(INDEX('WPP 2024 середина года'!$B:$U,MATCH($A105,'WPP 2024 середина года'!$A:$A,0),MATCH(C$1,'WPP 2024 середина года'!$B$1:$U$1,0))/(1000*INDEX('SALA 2002'!$B:$U,MATCH($A105,'SALA 2002'!$A:$A,0),MATCH(C$1,'SALA 2002'!$B$1:$U$1,0))),($A105-1994)/7),INDEX('WPP 2024 середина года'!$B:$U,MATCH($A105,'WPP 2024 середина года'!$A:$A,0),MATCH(C$1,'WPP 2024 середина года'!$B$1:$U$1,0)))))</f>
        <v>9050.7000000000007</v>
      </c>
      <c r="D105" s="7">
        <f>IF($A105&lt;=1951,INDEX('SALA 1974'!$B:$U,MATCH($A105,'SALA 1974'!$A:$A,0),MATCH(D$1,'SALA 1974'!$B$1:$U$1,0)),IF($A105&lt;=1994,1000*INDEX('SALA 2002'!$B:$U,MATCH($A105,'SALA 2002'!$A:$A,0),MATCH(D$1,'SALA 2002'!$B$1:$U$1,0)),IF($A105&lt;=2000,1000*INDEX('SALA 2002'!$B:$U,MATCH($A105,'SALA 2002'!$A:$A,0),MATCH(D$1,'SALA 2002'!$B$1:$U$1,0))*POWER(INDEX('WPP 2024 середина года'!$B:$U,MATCH($A105,'WPP 2024 середина года'!$A:$A,0),MATCH(D$1,'WPP 2024 середина года'!$B$1:$U$1,0))/(1000*INDEX('SALA 2002'!$B:$U,MATCH($A105,'SALA 2002'!$A:$A,0),MATCH(D$1,'SALA 2002'!$B$1:$U$1,0))),($A105-1994)/7),INDEX('WPP 2024 середина года'!$B:$U,MATCH($A105,'WPP 2024 середина года'!$A:$A,0),MATCH(D$1,'WPP 2024 середина года'!$B$1:$U$1,0)))))</f>
        <v>180622.7</v>
      </c>
      <c r="E105" s="7">
        <f>IF($A105&lt;=1951,INDEX('SALA 1974'!$B:$U,MATCH($A105,'SALA 1974'!$A:$A,0),MATCH(E$1,'SALA 1974'!$B$1:$U$1,0)),IF($A105&lt;=1994,1000*INDEX('SALA 2002'!$B:$U,MATCH($A105,'SALA 2002'!$A:$A,0),MATCH(E$1,'SALA 2002'!$B$1:$U$1,0)),IF($A105&lt;=2000,1000*INDEX('SALA 2002'!$B:$U,MATCH($A105,'SALA 2002'!$A:$A,0),MATCH(E$1,'SALA 2002'!$B$1:$U$1,0))*POWER(INDEX('WPP 2024 середина года'!$B:$U,MATCH($A105,'WPP 2024 середина года'!$A:$A,0),MATCH(E$1,'WPP 2024 середина года'!$B$1:$U$1,0))/(1000*INDEX('SALA 2002'!$B:$U,MATCH($A105,'SALA 2002'!$A:$A,0),MATCH(E$1,'SALA 2002'!$B$1:$U$1,0))),($A105-1994)/7),INDEX('WPP 2024 середина года'!$B:$U,MATCH($A105,'WPP 2024 середина года'!$A:$A,0),MATCH(E$1,'WPP 2024 середина года'!$B$1:$U$1,0)))))</f>
        <v>16024.8</v>
      </c>
      <c r="F105" s="7">
        <f>IF($A105&lt;=1947,INDEX('SALA 1974'!$B:$U,MATCH($A105,'SALA 1974'!$A:$A,0),MATCH(F$1,'SALA 1974'!$B$1:$U$1,0)),IF($A105&lt;=1994,1000*INDEX('SALA 2002'!$B:$U,MATCH($A105,'SALA 2002'!$A:$A,0),MATCH(F$1,'SALA 2002'!$B$1:$U$1,0)),IF($A105&lt;=2000,1000*INDEX('SALA 2002'!$B:$U,MATCH($A105,'SALA 2002'!$A:$A,0),MATCH(F$1,'SALA 2002'!$B$1:$U$1,0))*POWER(INDEX('WPP 2024 середина года'!$B:$U,MATCH($A105,'WPP 2024 середина года'!$A:$A,0),MATCH(F$1,'WPP 2024 середина года'!$B$1:$U$1,0))/(1000*INDEX('SALA 2002'!$B:$U,MATCH($A105,'SALA 2002'!$A:$A,0),MATCH(F$1,'SALA 2002'!$B$1:$U$1,0))),($A105-1994)/7),INDEX('WPP 2024 середина года'!$B:$U,MATCH($A105,'WPP 2024 середина года'!$A:$A,0),MATCH(F$1,'WPP 2024 середина года'!$B$1:$U$1,0)))))</f>
        <v>40937.4</v>
      </c>
      <c r="G105" s="7">
        <f>IF($A105&lt;=1951,INDEX('SALA 1974'!$B:$U,MATCH($A105,'SALA 1974'!$A:$A,0),MATCH(G$1,'SALA 1974'!$B$1:$U$1,0)),IF($A105&lt;=1994,1000*INDEX('SALA 2002'!$B:$U,MATCH($A105,'SALA 2002'!$A:$A,0),MATCH(G$1,'SALA 2002'!$B$1:$U$1,0)),IF($A105&lt;=2000,1000*INDEX('SALA 2002'!$B:$U,MATCH($A105,'SALA 2002'!$A:$A,0),MATCH(G$1,'SALA 2002'!$B$1:$U$1,0))*POWER(INDEX('WPP 2024 середина года'!$B:$U,MATCH($A105,'WPP 2024 середина года'!$A:$A,0),MATCH(G$1,'WPP 2024 середина года'!$B$1:$U$1,0))/(1000*INDEX('SALA 2002'!$B:$U,MATCH($A105,'SALA 2002'!$A:$A,0),MATCH(G$1,'SALA 2002'!$B$1:$U$1,0))),($A105-1994)/7),INDEX('WPP 2024 середина года'!$B:$U,MATCH($A105,'WPP 2024 середина года'!$A:$A,0),MATCH(G$1,'WPP 2024 середина года'!$B$1:$U$1,0)))))</f>
        <v>4138.8</v>
      </c>
      <c r="H105" s="7">
        <f>IF($A105&lt;=1951,INDEX('SALA 1974'!$B:$U,MATCH($A105,'SALA 1974'!$A:$A,0),MATCH(H$1,'SALA 1974'!$B$1:$U$1,0)),IF($A105&lt;=1994,1000*INDEX('SALA 2002'!$B:$U,MATCH($A105,'SALA 2002'!$A:$A,0),MATCH(H$1,'SALA 2002'!$B$1:$U$1,0)),IF($A105&lt;=2000,1000*INDEX('SALA 2002'!$B:$U,MATCH($A105,'SALA 2002'!$A:$A,0),MATCH(H$1,'SALA 2002'!$B$1:$U$1,0))*POWER(INDEX('WPP 2024 середина года'!$B:$U,MATCH($A105,'WPP 2024 середина года'!$A:$A,0),MATCH(H$1,'WPP 2024 середина года'!$B$1:$U$1,0))/(1000*INDEX('SALA 2002'!$B:$U,MATCH($A105,'SALA 2002'!$A:$A,0),MATCH(H$1,'SALA 2002'!$B$1:$U$1,0))),($A105-1994)/7),INDEX('WPP 2024 середина года'!$B:$U,MATCH($A105,'WPP 2024 середина года'!$A:$A,0),MATCH(H$1,'WPP 2024 середина года'!$B$1:$U$1,0)))))</f>
        <v>11209.4</v>
      </c>
      <c r="I105" s="7">
        <f>IF($A105&lt;=1951,INDEX('SALA 1974'!$B:$U,MATCH($A105,'SALA 1974'!$A:$A,0),MATCH(I$1,'SALA 1974'!$B$1:$U$1,0)),IF($A105&lt;=1994,1000*INDEX('SALA 2002'!$B:$U,MATCH($A105,'SALA 2002'!$A:$A,0),MATCH(I$1,'SALA 2002'!$B$1:$U$1,0)),IF($A105&lt;=2000,1000*INDEX('SALA 2002'!$B:$U,MATCH($A105,'SALA 2002'!$A:$A,0),MATCH(I$1,'SALA 2002'!$B$1:$U$1,0))*POWER(INDEX('WPP 2024 середина года'!$B:$U,MATCH($A105,'WPP 2024 середина года'!$A:$A,0),MATCH(I$1,'WPP 2024 середина года'!$B$1:$U$1,0))/(1000*INDEX('SALA 2002'!$B:$U,MATCH($A105,'SALA 2002'!$A:$A,0),MATCH(I$1,'SALA 2002'!$B$1:$U$1,0))),($A105-1994)/7),INDEX('WPP 2024 середина года'!$B:$U,MATCH($A105,'WPP 2024 середина года'!$A:$A,0),MATCH(I$1,'WPP 2024 середина года'!$B$1:$U$1,0)))))</f>
        <v>8980.6</v>
      </c>
      <c r="J105" s="7">
        <f>IF($A105&lt;=1951,INDEX('SALA 1974'!$B:$U,MATCH($A105,'SALA 1974'!$A:$A,0),MATCH(J$1,'SALA 1974'!$B$1:$U$1,0)),IF($A105&lt;=1994,1000*INDEX('SALA 2002'!$B:$U,MATCH($A105,'SALA 2002'!$A:$A,0),MATCH(J$1,'SALA 2002'!$B$1:$U$1,0)),IF($A105&lt;=2000,1000*INDEX('SALA 2002'!$B:$U,MATCH($A105,'SALA 2002'!$A:$A,0),MATCH(J$1,'SALA 2002'!$B$1:$U$1,0))*POWER(INDEX('WPP 2024 середина года'!$B:$U,MATCH($A105,'WPP 2024 середина года'!$A:$A,0),MATCH(J$1,'WPP 2024 середина года'!$B$1:$U$1,0))/(1000*INDEX('SALA 2002'!$B:$U,MATCH($A105,'SALA 2002'!$A:$A,0),MATCH(J$1,'SALA 2002'!$B$1:$U$1,0))),($A105-1994)/7),INDEX('WPP 2024 середина года'!$B:$U,MATCH($A105,'WPP 2024 середина года'!$A:$A,0),MATCH(J$1,'WPP 2024 середина года'!$B$1:$U$1,0)))))</f>
        <v>13372.3</v>
      </c>
      <c r="K105" s="7">
        <f>IF($A105&lt;=1951,INDEX('SALA 1974'!$B:$U,MATCH($A105,'SALA 1974'!$A:$A,0),MATCH(K$1,'SALA 1974'!$B$1:$U$1,0)),IF($A105&lt;=1994,1000*INDEX('SALA 2002'!$B:$U,MATCH($A105,'SALA 2002'!$A:$A,0),MATCH(K$1,'SALA 2002'!$B$1:$U$1,0)),IF($A105&lt;=2000,1000*INDEX('SALA 2002'!$B:$U,MATCH($A105,'SALA 2002'!$A:$A,0),MATCH(K$1,'SALA 2002'!$B$1:$U$1,0))*POWER(INDEX('WPP 2024 середина года'!$B:$U,MATCH($A105,'WPP 2024 середина года'!$A:$A,0),MATCH(K$1,'WPP 2024 середина года'!$B$1:$U$1,0))/(1000*INDEX('SALA 2002'!$B:$U,MATCH($A105,'SALA 2002'!$A:$A,0),MATCH(K$1,'SALA 2002'!$B$1:$U$1,0))),($A105-1994)/7),INDEX('WPP 2024 середина года'!$B:$U,MATCH($A105,'WPP 2024 середина года'!$A:$A,0),MATCH(K$1,'WPP 2024 середина года'!$B$1:$U$1,0)))))</f>
        <v>5998.6</v>
      </c>
      <c r="L105" s="7">
        <f>IF($A105&lt;=1951,INDEX('SALA 1974'!$B:$U,MATCH($A105,'SALA 1974'!$A:$A,0),MATCH(L$1,'SALA 1974'!$B$1:$U$1,0)),IF($A105&lt;=1994,1000*INDEX('SALA 2002'!$B:$U,MATCH($A105,'SALA 2002'!$A:$A,0),MATCH(L$1,'SALA 2002'!$B$1:$U$1,0)),IF($A105&lt;=2000,1000*INDEX('SALA 2002'!$B:$U,MATCH($A105,'SALA 2002'!$A:$A,0),MATCH(L$1,'SALA 2002'!$B$1:$U$1,0))*POWER(INDEX('WPP 2024 середина года'!$B:$U,MATCH($A105,'WPP 2024 середина года'!$A:$A,0),MATCH(L$1,'WPP 2024 середина года'!$B$1:$U$1,0))/(1000*INDEX('SALA 2002'!$B:$U,MATCH($A105,'SALA 2002'!$A:$A,0),MATCH(L$1,'SALA 2002'!$B$1:$U$1,0))),($A105-1994)/7),INDEX('WPP 2024 середина года'!$B:$U,MATCH($A105,'WPP 2024 середина года'!$A:$A,0),MATCH(L$1,'WPP 2024 середина года'!$B$1:$U$1,0)))))</f>
        <v>12525.8</v>
      </c>
      <c r="M105" s="7">
        <f>IF($A105&lt;=1951,INDEX('SALA 1974'!$B:$U,MATCH($A105,'SALA 1974'!$A:$A,0),MATCH(M$1,'SALA 1974'!$B$1:$U$1,0)),IF($A105&lt;=1994,1000*INDEX('SALA 2002'!$B:$U,MATCH($A105,'SALA 2002'!$A:$A,0),MATCH(M$1,'SALA 2002'!$B$1:$U$1,0)),IF($A105&lt;=2000,1000*INDEX('SALA 2002'!$B:$U,MATCH($A105,'SALA 2002'!$A:$A,0),MATCH(M$1,'SALA 2002'!$B$1:$U$1,0))*POWER(INDEX('WPP 2024 середина года'!$B:$U,MATCH($A105,'WPP 2024 середина года'!$A:$A,0),MATCH(M$1,'WPP 2024 середина года'!$B$1:$U$1,0))/(1000*INDEX('SALA 2002'!$B:$U,MATCH($A105,'SALA 2002'!$A:$A,0),MATCH(M$1,'SALA 2002'!$B$1:$U$1,0))),($A105-1994)/7),INDEX('WPP 2024 середина года'!$B:$U,MATCH($A105,'WPP 2024 середина года'!$A:$A,0),MATCH(M$1,'WPP 2024 середина года'!$B$1:$U$1,0)))))</f>
        <v>8759.9</v>
      </c>
      <c r="N105" s="7">
        <f>IF($A105&lt;=1951,INDEX('SALA 1974'!$B:$U,MATCH($A105,'SALA 1974'!$A:$A,0),MATCH(N$1,'SALA 1974'!$B$1:$U$1,0)),IF($A105&lt;=1994,1000*INDEX('SALA 2002'!$B:$U,MATCH($A105,'SALA 2002'!$A:$A,0),MATCH(N$1,'SALA 2002'!$B$1:$U$1,0)),IF($A105&lt;=2000,1000*INDEX('SALA 2002'!$B:$U,MATCH($A105,'SALA 2002'!$A:$A,0),MATCH(N$1,'SALA 2002'!$B$1:$U$1,0))*POWER(INDEX('WPP 2024 середина года'!$B:$U,MATCH($A105,'WPP 2024 середина года'!$A:$A,0),MATCH(N$1,'WPP 2024 середина года'!$B$1:$U$1,0))/(1000*INDEX('SALA 2002'!$B:$U,MATCH($A105,'SALA 2002'!$A:$A,0),MATCH(N$1,'SALA 2002'!$B$1:$U$1,0))),($A105-1994)/7),INDEX('WPP 2024 середина года'!$B:$U,MATCH($A105,'WPP 2024 середина года'!$A:$A,0),MATCH(N$1,'WPP 2024 середина года'!$B$1:$U$1,0)))))</f>
        <v>7119.2</v>
      </c>
      <c r="O105" s="7">
        <f>IF($A105&lt;=1951,INDEX('SALA 1974'!$B:$U,MATCH($A105,'SALA 1974'!$A:$A,0),MATCH(O$1,'SALA 1974'!$B$1:$U$1,0)),IF($A105&lt;=1994,1000*INDEX('SALA 2002'!$B:$U,MATCH($A105,'SALA 2002'!$A:$A,0),MATCH(O$1,'SALA 2002'!$B$1:$U$1,0)),IF($A105&lt;=2000,1000*INDEX('SALA 2002'!$B:$U,MATCH($A105,'SALA 2002'!$A:$A,0),MATCH(O$1,'SALA 2002'!$B$1:$U$1,0))*POWER(INDEX('WPP 2024 середина года'!$B:$U,MATCH($A105,'WPP 2024 середина года'!$A:$A,0),MATCH(O$1,'WPP 2024 середина года'!$B$1:$U$1,0))/(1000*INDEX('SALA 2002'!$B:$U,MATCH($A105,'SALA 2002'!$A:$A,0),MATCH(O$1,'SALA 2002'!$B$1:$U$1,0))),($A105-1994)/7),INDEX('WPP 2024 середина года'!$B:$U,MATCH($A105,'WPP 2024 середина года'!$A:$A,0),MATCH(O$1,'WPP 2024 середина года'!$B$1:$U$1,0)))))</f>
        <v>102978.5</v>
      </c>
      <c r="P105" s="7">
        <f>IF($A105&lt;=1951,INDEX('SALA 1974'!$B:$U,MATCH($A105,'SALA 1974'!$A:$A,0),MATCH(P$1,'SALA 1974'!$B$1:$U$1,0)),IF($A105&lt;=1994,1000*INDEX('SALA 2002'!$B:$U,MATCH($A105,'SALA 2002'!$A:$A,0),MATCH(P$1,'SALA 2002'!$B$1:$U$1,0)),IF($A105&lt;=2000,1000*INDEX('SALA 2002'!$B:$U,MATCH($A105,'SALA 2002'!$A:$A,0),MATCH(P$1,'SALA 2002'!$B$1:$U$1,0))*POWER(INDEX('WPP 2024 середина года'!$B:$U,MATCH($A105,'WPP 2024 середина года'!$A:$A,0),MATCH(P$1,'WPP 2024 середина года'!$B$1:$U$1,0))/(1000*INDEX('SALA 2002'!$B:$U,MATCH($A105,'SALA 2002'!$A:$A,0),MATCH(P$1,'SALA 2002'!$B$1:$U$1,0))),($A105-1994)/7),INDEX('WPP 2024 середина года'!$B:$U,MATCH($A105,'WPP 2024 середина года'!$A:$A,0),MATCH(P$1,'WPP 2024 середина года'!$B$1:$U$1,0)))))</f>
        <v>5211</v>
      </c>
      <c r="Q105" s="7">
        <f>IF($A105&lt;=1951,INDEX('SALA 1974'!$B:$U,MATCH($A105,'SALA 1974'!$A:$A,0),MATCH(Q$1,'SALA 1974'!$B$1:$U$1,0)),IF($A105&lt;=1994,1000*INDEX('SALA 2002'!$B:$U,MATCH($A105,'SALA 2002'!$A:$A,0),MATCH(Q$1,'SALA 2002'!$B$1:$U$1,0)),IF($A105&lt;=2000,1000*INDEX('SALA 2002'!$B:$U,MATCH($A105,'SALA 2002'!$A:$A,0),MATCH(Q$1,'SALA 2002'!$B$1:$U$1,0))*POWER(INDEX('WPP 2024 середина года'!$B:$U,MATCH($A105,'WPP 2024 середина года'!$A:$A,0),MATCH(Q$1,'WPP 2024 середина года'!$B$1:$U$1,0))/(1000*INDEX('SALA 2002'!$B:$U,MATCH($A105,'SALA 2002'!$A:$A,0),MATCH(Q$1,'SALA 2002'!$B$1:$U$1,0))),($A105-1994)/7),INDEX('WPP 2024 середина года'!$B:$U,MATCH($A105,'WPP 2024 середина года'!$A:$A,0),MATCH(Q$1,'WPP 2024 середина года'!$B$1:$U$1,0)))))</f>
        <v>3189.8</v>
      </c>
      <c r="R105" s="7">
        <f>IF($A105&lt;=1951,INDEX('SALA 1974'!$B:$U,MATCH($A105,'SALA 1974'!$A:$A,0),MATCH(R$1,'SALA 1974'!$B$1:$U$1,0)),IF($A105&lt;=1994,1000*INDEX('SALA 2002'!$B:$U,MATCH($A105,'SALA 2002'!$A:$A,0),MATCH(R$1,'SALA 2002'!$B$1:$U$1,0)),IF($A105&lt;=2000,1000*INDEX('SALA 2002'!$B:$U,MATCH($A105,'SALA 2002'!$A:$A,0),MATCH(R$1,'SALA 2002'!$B$1:$U$1,0))*POWER(INDEX('WPP 2024 середина года'!$B:$U,MATCH($A105,'WPP 2024 середина года'!$A:$A,0),MATCH(R$1,'WPP 2024 середина года'!$B$1:$U$1,0))/(1000*INDEX('SALA 2002'!$B:$U,MATCH($A105,'SALA 2002'!$A:$A,0),MATCH(R$1,'SALA 2002'!$B$1:$U$1,0))),($A105-1994)/7),INDEX('WPP 2024 середина года'!$B:$U,MATCH($A105,'WPP 2024 середина года'!$A:$A,0),MATCH(R$1,'WPP 2024 середина года'!$B$1:$U$1,0)))))</f>
        <v>5326.4</v>
      </c>
      <c r="S105" s="7">
        <f>IF($A105&lt;=1951,INDEX('SALA 1974'!$B:$U,MATCH($A105,'SALA 1974'!$A:$A,0),MATCH(S$1,'SALA 1974'!$B$1:$U$1,0)),IF($A105&lt;=1994,1000*INDEX('SALA 2002'!$B:$U,MATCH($A105,'SALA 2002'!$A:$A,0),MATCH(S$1,'SALA 2002'!$B$1:$U$1,0)),IF($A105&lt;=2000,1000*INDEX('SALA 2002'!$B:$U,MATCH($A105,'SALA 2002'!$A:$A,0),MATCH(S$1,'SALA 2002'!$B$1:$U$1,0))*POWER(INDEX('WPP 2024 середина года'!$B:$U,MATCH($A105,'WPP 2024 середина года'!$A:$A,0),MATCH(S$1,'WPP 2024 середина года'!$B$1:$U$1,0))/(1000*INDEX('SALA 2002'!$B:$U,MATCH($A105,'SALA 2002'!$A:$A,0),MATCH(S$1,'SALA 2002'!$B$1:$U$1,0))),($A105-1994)/7),INDEX('WPP 2024 середина года'!$B:$U,MATCH($A105,'WPP 2024 середина года'!$A:$A,0),MATCH(S$1,'WPP 2024 середина года'!$B$1:$U$1,0)))))</f>
        <v>27580.5</v>
      </c>
      <c r="T105" s="7">
        <f>IF($A105&lt;=1951,INDEX('SALA 1974'!$B:$U,MATCH($A105,'SALA 1974'!$A:$A,0),MATCH(T$1,'SALA 1974'!$B$1:$U$1,0)),IF($A105&lt;=1994,1000*INDEX('SALA 2002'!$B:$U,MATCH($A105,'SALA 2002'!$A:$A,0),MATCH(T$1,'SALA 2002'!$B$1:$U$1,0)),IF($A105&lt;=2000,1000*INDEX('SALA 2002'!$B:$U,MATCH($A105,'SALA 2002'!$A:$A,0),MATCH(T$1,'SALA 2002'!$B$1:$U$1,0))*POWER(INDEX('WPP 2024 середина года'!$B:$U,MATCH($A105,'WPP 2024 середина года'!$A:$A,0),MATCH(T$1,'WPP 2024 середина года'!$B$1:$U$1,0))/(1000*INDEX('SALA 2002'!$B:$U,MATCH($A105,'SALA 2002'!$A:$A,0),MATCH(T$1,'SALA 2002'!$B$1:$U$1,0))),($A105-1994)/7),INDEX('WPP 2024 середина года'!$B:$U,MATCH($A105,'WPP 2024 середина года'!$A:$A,0),MATCH(T$1,'WPP 2024 середина года'!$B$1:$U$1,0)))))</f>
        <v>3281.2</v>
      </c>
      <c r="U105" s="7">
        <f>IF($A105&lt;=1951,INDEX('SALA 1974'!$B:$U,MATCH($A105,'SALA 1974'!$A:$A,0),MATCH(U$1,'SALA 1974'!$B$1:$U$1,0)),IF($A105&lt;=1994,1000*INDEX('SALA 2002'!$B:$U,MATCH($A105,'SALA 2002'!$A:$A,0),MATCH(U$1,'SALA 2002'!$B$1:$U$1,0)),IF($A105&lt;=2000,1000*INDEX('SALA 2002'!$B:$U,MATCH($A105,'SALA 2002'!$A:$A,0),MATCH(U$1,'SALA 2002'!$B$1:$U$1,0))*POWER(INDEX('WPP 2024 середина года'!$B:$U,MATCH($A105,'WPP 2024 середина года'!$A:$A,0),MATCH(U$1,'WPP 2024 середина года'!$B$1:$U$1,0))/(1000*INDEX('SALA 2002'!$B:$U,MATCH($A105,'SALA 2002'!$A:$A,0),MATCH(U$1,'SALA 2002'!$B$1:$U$1,0))),($A105-1994)/7),INDEX('WPP 2024 середина года'!$B:$U,MATCH($A105,'WPP 2024 середина года'!$A:$A,0),MATCH(U$1,'WPP 2024 середина года'!$B$1:$U$1,0)))))</f>
        <v>25892.7</v>
      </c>
    </row>
    <row r="106" spans="1:21" x14ac:dyDescent="0.25">
      <c r="A106" s="5">
        <f t="shared" si="1"/>
        <v>2004</v>
      </c>
      <c r="B106" s="7">
        <f>IF($A106&lt;=1951,INDEX('SALA 1974'!$B:$U,MATCH($A106,'SALA 1974'!$A:$A,0),MATCH(B$1,'SALA 1974'!$B$1:$U$1,0)),IF($A106&lt;=1994,1000*INDEX('SALA 2002'!$B:$U,MATCH($A106,'SALA 2002'!$A:$A,0),MATCH(B$1,'SALA 2002'!$B$1:$U$1,0)),IF($A106&lt;=2000,1000*INDEX('SALA 2002'!$B:$U,MATCH($A106,'SALA 2002'!$A:$A,0),MATCH(B$1,'SALA 2002'!$B$1:$U$1,0))*POWER(INDEX('WPP 2024 середина года'!$B:$U,MATCH($A106,'WPP 2024 середина года'!$A:$A,0),MATCH(B$1,'WPP 2024 середина года'!$B$1:$U$1,0))/(1000*INDEX('SALA 2002'!$B:$U,MATCH($A106,'SALA 2002'!$A:$A,0),MATCH(B$1,'SALA 2002'!$B$1:$U$1,0))),($A106-1994)/7),INDEX('WPP 2024 середина года'!$B:$U,MATCH($A106,'WPP 2024 середина года'!$A:$A,0),MATCH(B$1,'WPP 2024 середина года'!$B$1:$U$1,0)))))</f>
        <v>38815.9</v>
      </c>
      <c r="C106" s="7">
        <f>IF($A106&lt;=1951,INDEX('SALA 1974'!$B:$U,MATCH($A106,'SALA 1974'!$A:$A,0),MATCH(C$1,'SALA 1974'!$B$1:$U$1,0)),IF($A106&lt;=1994,1000*INDEX('SALA 2002'!$B:$U,MATCH($A106,'SALA 2002'!$A:$A,0),MATCH(C$1,'SALA 2002'!$B$1:$U$1,0)),IF($A106&lt;=2000,1000*INDEX('SALA 2002'!$B:$U,MATCH($A106,'SALA 2002'!$A:$A,0),MATCH(C$1,'SALA 2002'!$B$1:$U$1,0))*POWER(INDEX('WPP 2024 середина года'!$B:$U,MATCH($A106,'WPP 2024 середина года'!$A:$A,0),MATCH(C$1,'WPP 2024 середина года'!$B$1:$U$1,0))/(1000*INDEX('SALA 2002'!$B:$U,MATCH($A106,'SALA 2002'!$A:$A,0),MATCH(C$1,'SALA 2002'!$B$1:$U$1,0))),($A106-1994)/7),INDEX('WPP 2024 середина года'!$B:$U,MATCH($A106,'WPP 2024 середина года'!$A:$A,0),MATCH(C$1,'WPP 2024 середина года'!$B$1:$U$1,0)))))</f>
        <v>9204.2999999999993</v>
      </c>
      <c r="D106" s="7">
        <f>IF($A106&lt;=1951,INDEX('SALA 1974'!$B:$U,MATCH($A106,'SALA 1974'!$A:$A,0),MATCH(D$1,'SALA 1974'!$B$1:$U$1,0)),IF($A106&lt;=1994,1000*INDEX('SALA 2002'!$B:$U,MATCH($A106,'SALA 2002'!$A:$A,0),MATCH(D$1,'SALA 2002'!$B$1:$U$1,0)),IF($A106&lt;=2000,1000*INDEX('SALA 2002'!$B:$U,MATCH($A106,'SALA 2002'!$A:$A,0),MATCH(D$1,'SALA 2002'!$B$1:$U$1,0))*POWER(INDEX('WPP 2024 середина года'!$B:$U,MATCH($A106,'WPP 2024 середина года'!$A:$A,0),MATCH(D$1,'WPP 2024 середина года'!$B$1:$U$1,0))/(1000*INDEX('SALA 2002'!$B:$U,MATCH($A106,'SALA 2002'!$A:$A,0),MATCH(D$1,'SALA 2002'!$B$1:$U$1,0))),($A106-1994)/7),INDEX('WPP 2024 середина года'!$B:$U,MATCH($A106,'WPP 2024 середина года'!$A:$A,0),MATCH(D$1,'WPP 2024 середина года'!$B$1:$U$1,0)))))</f>
        <v>182675.1</v>
      </c>
      <c r="E106" s="7">
        <f>IF($A106&lt;=1951,INDEX('SALA 1974'!$B:$U,MATCH($A106,'SALA 1974'!$A:$A,0),MATCH(E$1,'SALA 1974'!$B$1:$U$1,0)),IF($A106&lt;=1994,1000*INDEX('SALA 2002'!$B:$U,MATCH($A106,'SALA 2002'!$A:$A,0),MATCH(E$1,'SALA 2002'!$B$1:$U$1,0)),IF($A106&lt;=2000,1000*INDEX('SALA 2002'!$B:$U,MATCH($A106,'SALA 2002'!$A:$A,0),MATCH(E$1,'SALA 2002'!$B$1:$U$1,0))*POWER(INDEX('WPP 2024 середина года'!$B:$U,MATCH($A106,'WPP 2024 середина года'!$A:$A,0),MATCH(E$1,'WPP 2024 середина года'!$B$1:$U$1,0))/(1000*INDEX('SALA 2002'!$B:$U,MATCH($A106,'SALA 2002'!$A:$A,0),MATCH(E$1,'SALA 2002'!$B$1:$U$1,0))),($A106-1994)/7),INDEX('WPP 2024 середина года'!$B:$U,MATCH($A106,'WPP 2024 середина года'!$A:$A,0),MATCH(E$1,'WPP 2024 середина года'!$B$1:$U$1,0)))))</f>
        <v>16187.3</v>
      </c>
      <c r="F106" s="7">
        <f>IF($A106&lt;=1947,INDEX('SALA 1974'!$B:$U,MATCH($A106,'SALA 1974'!$A:$A,0),MATCH(F$1,'SALA 1974'!$B$1:$U$1,0)),IF($A106&lt;=1994,1000*INDEX('SALA 2002'!$B:$U,MATCH($A106,'SALA 2002'!$A:$A,0),MATCH(F$1,'SALA 2002'!$B$1:$U$1,0)),IF($A106&lt;=2000,1000*INDEX('SALA 2002'!$B:$U,MATCH($A106,'SALA 2002'!$A:$A,0),MATCH(F$1,'SALA 2002'!$B$1:$U$1,0))*POWER(INDEX('WPP 2024 середина года'!$B:$U,MATCH($A106,'WPP 2024 середина года'!$A:$A,0),MATCH(F$1,'WPP 2024 середина года'!$B$1:$U$1,0))/(1000*INDEX('SALA 2002'!$B:$U,MATCH($A106,'SALA 2002'!$A:$A,0),MATCH(F$1,'SALA 2002'!$B$1:$U$1,0))),($A106-1994)/7),INDEX('WPP 2024 середина года'!$B:$U,MATCH($A106,'WPP 2024 середина года'!$A:$A,0),MATCH(F$1,'WPP 2024 середина года'!$B$1:$U$1,0)))))</f>
        <v>41543.199999999997</v>
      </c>
      <c r="G106" s="7">
        <f>IF($A106&lt;=1951,INDEX('SALA 1974'!$B:$U,MATCH($A106,'SALA 1974'!$A:$A,0),MATCH(G$1,'SALA 1974'!$B$1:$U$1,0)),IF($A106&lt;=1994,1000*INDEX('SALA 2002'!$B:$U,MATCH($A106,'SALA 2002'!$A:$A,0),MATCH(G$1,'SALA 2002'!$B$1:$U$1,0)),IF($A106&lt;=2000,1000*INDEX('SALA 2002'!$B:$U,MATCH($A106,'SALA 2002'!$A:$A,0),MATCH(G$1,'SALA 2002'!$B$1:$U$1,0))*POWER(INDEX('WPP 2024 середина года'!$B:$U,MATCH($A106,'WPP 2024 середина года'!$A:$A,0),MATCH(G$1,'WPP 2024 середина года'!$B$1:$U$1,0))/(1000*INDEX('SALA 2002'!$B:$U,MATCH($A106,'SALA 2002'!$A:$A,0),MATCH(G$1,'SALA 2002'!$B$1:$U$1,0))),($A106-1994)/7),INDEX('WPP 2024 середина года'!$B:$U,MATCH($A106,'WPP 2024 середина года'!$A:$A,0),MATCH(G$1,'WPP 2024 середина года'!$B$1:$U$1,0)))))</f>
        <v>4200.1000000000004</v>
      </c>
      <c r="H106" s="7">
        <f>IF($A106&lt;=1951,INDEX('SALA 1974'!$B:$U,MATCH($A106,'SALA 1974'!$A:$A,0),MATCH(H$1,'SALA 1974'!$B$1:$U$1,0)),IF($A106&lt;=1994,1000*INDEX('SALA 2002'!$B:$U,MATCH($A106,'SALA 2002'!$A:$A,0),MATCH(H$1,'SALA 2002'!$B$1:$U$1,0)),IF($A106&lt;=2000,1000*INDEX('SALA 2002'!$B:$U,MATCH($A106,'SALA 2002'!$A:$A,0),MATCH(H$1,'SALA 2002'!$B$1:$U$1,0))*POWER(INDEX('WPP 2024 середина года'!$B:$U,MATCH($A106,'WPP 2024 середина года'!$A:$A,0),MATCH(H$1,'WPP 2024 середина года'!$B$1:$U$1,0))/(1000*INDEX('SALA 2002'!$B:$U,MATCH($A106,'SALA 2002'!$A:$A,0),MATCH(H$1,'SALA 2002'!$B$1:$U$1,0))),($A106-1994)/7),INDEX('WPP 2024 середина года'!$B:$U,MATCH($A106,'WPP 2024 середина года'!$A:$A,0),MATCH(H$1,'WPP 2024 середина года'!$B$1:$U$1,0)))))</f>
        <v>11238.8</v>
      </c>
      <c r="I106" s="7">
        <f>IF($A106&lt;=1951,INDEX('SALA 1974'!$B:$U,MATCH($A106,'SALA 1974'!$A:$A,0),MATCH(I$1,'SALA 1974'!$B$1:$U$1,0)),IF($A106&lt;=1994,1000*INDEX('SALA 2002'!$B:$U,MATCH($A106,'SALA 2002'!$A:$A,0),MATCH(I$1,'SALA 2002'!$B$1:$U$1,0)),IF($A106&lt;=2000,1000*INDEX('SALA 2002'!$B:$U,MATCH($A106,'SALA 2002'!$A:$A,0),MATCH(I$1,'SALA 2002'!$B$1:$U$1,0))*POWER(INDEX('WPP 2024 середина года'!$B:$U,MATCH($A106,'WPP 2024 середина года'!$A:$A,0),MATCH(I$1,'WPP 2024 середина года'!$B$1:$U$1,0))/(1000*INDEX('SALA 2002'!$B:$U,MATCH($A106,'SALA 2002'!$A:$A,0),MATCH(I$1,'SALA 2002'!$B$1:$U$1,0))),($A106-1994)/7),INDEX('WPP 2024 середина года'!$B:$U,MATCH($A106,'WPP 2024 середина года'!$A:$A,0),MATCH(I$1,'WPP 2024 середина года'!$B$1:$U$1,0)))))</f>
        <v>9104.9</v>
      </c>
      <c r="J106" s="7">
        <f>IF($A106&lt;=1951,INDEX('SALA 1974'!$B:$U,MATCH($A106,'SALA 1974'!$A:$A,0),MATCH(J$1,'SALA 1974'!$B$1:$U$1,0)),IF($A106&lt;=1994,1000*INDEX('SALA 2002'!$B:$U,MATCH($A106,'SALA 2002'!$A:$A,0),MATCH(J$1,'SALA 2002'!$B$1:$U$1,0)),IF($A106&lt;=2000,1000*INDEX('SALA 2002'!$B:$U,MATCH($A106,'SALA 2002'!$A:$A,0),MATCH(J$1,'SALA 2002'!$B$1:$U$1,0))*POWER(INDEX('WPP 2024 середина года'!$B:$U,MATCH($A106,'WPP 2024 середина года'!$A:$A,0),MATCH(J$1,'WPP 2024 середина года'!$B$1:$U$1,0))/(1000*INDEX('SALA 2002'!$B:$U,MATCH($A106,'SALA 2002'!$A:$A,0),MATCH(J$1,'SALA 2002'!$B$1:$U$1,0))),($A106-1994)/7),INDEX('WPP 2024 середина года'!$B:$U,MATCH($A106,'WPP 2024 середина года'!$A:$A,0),MATCH(J$1,'WPP 2024 середина года'!$B$1:$U$1,0)))))</f>
        <v>13608.7</v>
      </c>
      <c r="K106" s="7">
        <f>IF($A106&lt;=1951,INDEX('SALA 1974'!$B:$U,MATCH($A106,'SALA 1974'!$A:$A,0),MATCH(K$1,'SALA 1974'!$B$1:$U$1,0)),IF($A106&lt;=1994,1000*INDEX('SALA 2002'!$B:$U,MATCH($A106,'SALA 2002'!$A:$A,0),MATCH(K$1,'SALA 2002'!$B$1:$U$1,0)),IF($A106&lt;=2000,1000*INDEX('SALA 2002'!$B:$U,MATCH($A106,'SALA 2002'!$A:$A,0),MATCH(K$1,'SALA 2002'!$B$1:$U$1,0))*POWER(INDEX('WPP 2024 середина года'!$B:$U,MATCH($A106,'WPP 2024 середина года'!$A:$A,0),MATCH(K$1,'WPP 2024 середина года'!$B$1:$U$1,0))/(1000*INDEX('SALA 2002'!$B:$U,MATCH($A106,'SALA 2002'!$A:$A,0),MATCH(K$1,'SALA 2002'!$B$1:$U$1,0))),($A106-1994)/7),INDEX('WPP 2024 середина года'!$B:$U,MATCH($A106,'WPP 2024 середина года'!$A:$A,0),MATCH(K$1,'WPP 2024 середина года'!$B$1:$U$1,0)))))</f>
        <v>6004.7</v>
      </c>
      <c r="L106" s="7">
        <f>IF($A106&lt;=1951,INDEX('SALA 1974'!$B:$U,MATCH($A106,'SALA 1974'!$A:$A,0),MATCH(L$1,'SALA 1974'!$B$1:$U$1,0)),IF($A106&lt;=1994,1000*INDEX('SALA 2002'!$B:$U,MATCH($A106,'SALA 2002'!$A:$A,0),MATCH(L$1,'SALA 2002'!$B$1:$U$1,0)),IF($A106&lt;=2000,1000*INDEX('SALA 2002'!$B:$U,MATCH($A106,'SALA 2002'!$A:$A,0),MATCH(L$1,'SALA 2002'!$B$1:$U$1,0))*POWER(INDEX('WPP 2024 середина года'!$B:$U,MATCH($A106,'WPP 2024 середина года'!$A:$A,0),MATCH(L$1,'WPP 2024 середина года'!$B$1:$U$1,0))/(1000*INDEX('SALA 2002'!$B:$U,MATCH($A106,'SALA 2002'!$A:$A,0),MATCH(L$1,'SALA 2002'!$B$1:$U$1,0))),($A106-1994)/7),INDEX('WPP 2024 середина года'!$B:$U,MATCH($A106,'WPP 2024 середина года'!$A:$A,0),MATCH(L$1,'WPP 2024 середина года'!$B$1:$U$1,0)))))</f>
        <v>12807.4</v>
      </c>
      <c r="M106" s="7">
        <f>IF($A106&lt;=1951,INDEX('SALA 1974'!$B:$U,MATCH($A106,'SALA 1974'!$A:$A,0),MATCH(M$1,'SALA 1974'!$B$1:$U$1,0)),IF($A106&lt;=1994,1000*INDEX('SALA 2002'!$B:$U,MATCH($A106,'SALA 2002'!$A:$A,0),MATCH(M$1,'SALA 2002'!$B$1:$U$1,0)),IF($A106&lt;=2000,1000*INDEX('SALA 2002'!$B:$U,MATCH($A106,'SALA 2002'!$A:$A,0),MATCH(M$1,'SALA 2002'!$B$1:$U$1,0))*POWER(INDEX('WPP 2024 середина года'!$B:$U,MATCH($A106,'WPP 2024 середина года'!$A:$A,0),MATCH(M$1,'WPP 2024 середина года'!$B$1:$U$1,0))/(1000*INDEX('SALA 2002'!$B:$U,MATCH($A106,'SALA 2002'!$A:$A,0),MATCH(M$1,'SALA 2002'!$B$1:$U$1,0))),($A106-1994)/7),INDEX('WPP 2024 середина года'!$B:$U,MATCH($A106,'WPP 2024 середина года'!$A:$A,0),MATCH(M$1,'WPP 2024 середина года'!$B$1:$U$1,0)))))</f>
        <v>8910.2999999999993</v>
      </c>
      <c r="N106" s="7">
        <f>IF($A106&lt;=1951,INDEX('SALA 1974'!$B:$U,MATCH($A106,'SALA 1974'!$A:$A,0),MATCH(N$1,'SALA 1974'!$B$1:$U$1,0)),IF($A106&lt;=1994,1000*INDEX('SALA 2002'!$B:$U,MATCH($A106,'SALA 2002'!$A:$A,0),MATCH(N$1,'SALA 2002'!$B$1:$U$1,0)),IF($A106&lt;=2000,1000*INDEX('SALA 2002'!$B:$U,MATCH($A106,'SALA 2002'!$A:$A,0),MATCH(N$1,'SALA 2002'!$B$1:$U$1,0))*POWER(INDEX('WPP 2024 середина года'!$B:$U,MATCH($A106,'WPP 2024 середина года'!$A:$A,0),MATCH(N$1,'WPP 2024 середина года'!$B$1:$U$1,0))/(1000*INDEX('SALA 2002'!$B:$U,MATCH($A106,'SALA 2002'!$A:$A,0),MATCH(N$1,'SALA 2002'!$B$1:$U$1,0))),($A106-1994)/7),INDEX('WPP 2024 середина года'!$B:$U,MATCH($A106,'WPP 2024 середина года'!$A:$A,0),MATCH(N$1,'WPP 2024 середина года'!$B$1:$U$1,0)))))</f>
        <v>7299</v>
      </c>
      <c r="O106" s="7">
        <f>IF($A106&lt;=1951,INDEX('SALA 1974'!$B:$U,MATCH($A106,'SALA 1974'!$A:$A,0),MATCH(O$1,'SALA 1974'!$B$1:$U$1,0)),IF($A106&lt;=1994,1000*INDEX('SALA 2002'!$B:$U,MATCH($A106,'SALA 2002'!$A:$A,0),MATCH(O$1,'SALA 2002'!$B$1:$U$1,0)),IF($A106&lt;=2000,1000*INDEX('SALA 2002'!$B:$U,MATCH($A106,'SALA 2002'!$A:$A,0),MATCH(O$1,'SALA 2002'!$B$1:$U$1,0))*POWER(INDEX('WPP 2024 середина года'!$B:$U,MATCH($A106,'WPP 2024 середина года'!$A:$A,0),MATCH(O$1,'WPP 2024 середина года'!$B$1:$U$1,0))/(1000*INDEX('SALA 2002'!$B:$U,MATCH($A106,'SALA 2002'!$A:$A,0),MATCH(O$1,'SALA 2002'!$B$1:$U$1,0))),($A106-1994)/7),INDEX('WPP 2024 середина года'!$B:$U,MATCH($A106,'WPP 2024 середина года'!$A:$A,0),MATCH(O$1,'WPP 2024 середина года'!$B$1:$U$1,0)))))</f>
        <v>104394.1</v>
      </c>
      <c r="P106" s="7">
        <f>IF($A106&lt;=1951,INDEX('SALA 1974'!$B:$U,MATCH($A106,'SALA 1974'!$A:$A,0),MATCH(P$1,'SALA 1974'!$B$1:$U$1,0)),IF($A106&lt;=1994,1000*INDEX('SALA 2002'!$B:$U,MATCH($A106,'SALA 2002'!$A:$A,0),MATCH(P$1,'SALA 2002'!$B$1:$U$1,0)),IF($A106&lt;=2000,1000*INDEX('SALA 2002'!$B:$U,MATCH($A106,'SALA 2002'!$A:$A,0),MATCH(P$1,'SALA 2002'!$B$1:$U$1,0))*POWER(INDEX('WPP 2024 середина года'!$B:$U,MATCH($A106,'WPP 2024 середина года'!$A:$A,0),MATCH(P$1,'WPP 2024 середина года'!$B$1:$U$1,0))/(1000*INDEX('SALA 2002'!$B:$U,MATCH($A106,'SALA 2002'!$A:$A,0),MATCH(P$1,'SALA 2002'!$B$1:$U$1,0))),($A106-1994)/7),INDEX('WPP 2024 середина года'!$B:$U,MATCH($A106,'WPP 2024 середина года'!$A:$A,0),MATCH(P$1,'WPP 2024 середина года'!$B$1:$U$1,0)))))</f>
        <v>5272.9</v>
      </c>
      <c r="Q106" s="7">
        <f>IF($A106&lt;=1951,INDEX('SALA 1974'!$B:$U,MATCH($A106,'SALA 1974'!$A:$A,0),MATCH(Q$1,'SALA 1974'!$B$1:$U$1,0)),IF($A106&lt;=1994,1000*INDEX('SALA 2002'!$B:$U,MATCH($A106,'SALA 2002'!$A:$A,0),MATCH(Q$1,'SALA 2002'!$B$1:$U$1,0)),IF($A106&lt;=2000,1000*INDEX('SALA 2002'!$B:$U,MATCH($A106,'SALA 2002'!$A:$A,0),MATCH(Q$1,'SALA 2002'!$B$1:$U$1,0))*POWER(INDEX('WPP 2024 середина года'!$B:$U,MATCH($A106,'WPP 2024 середина года'!$A:$A,0),MATCH(Q$1,'WPP 2024 середина года'!$B$1:$U$1,0))/(1000*INDEX('SALA 2002'!$B:$U,MATCH($A106,'SALA 2002'!$A:$A,0),MATCH(Q$1,'SALA 2002'!$B$1:$U$1,0))),($A106-1994)/7),INDEX('WPP 2024 середина года'!$B:$U,MATCH($A106,'WPP 2024 середина года'!$A:$A,0),MATCH(Q$1,'WPP 2024 середина года'!$B$1:$U$1,0)))))</f>
        <v>3251.2</v>
      </c>
      <c r="R106" s="7">
        <f>IF($A106&lt;=1951,INDEX('SALA 1974'!$B:$U,MATCH($A106,'SALA 1974'!$A:$A,0),MATCH(R$1,'SALA 1974'!$B$1:$U$1,0)),IF($A106&lt;=1994,1000*INDEX('SALA 2002'!$B:$U,MATCH($A106,'SALA 2002'!$A:$A,0),MATCH(R$1,'SALA 2002'!$B$1:$U$1,0)),IF($A106&lt;=2000,1000*INDEX('SALA 2002'!$B:$U,MATCH($A106,'SALA 2002'!$A:$A,0),MATCH(R$1,'SALA 2002'!$B$1:$U$1,0))*POWER(INDEX('WPP 2024 середина года'!$B:$U,MATCH($A106,'WPP 2024 середина года'!$A:$A,0),MATCH(R$1,'WPP 2024 середина года'!$B$1:$U$1,0))/(1000*INDEX('SALA 2002'!$B:$U,MATCH($A106,'SALA 2002'!$A:$A,0),MATCH(R$1,'SALA 2002'!$B$1:$U$1,0))),($A106-1994)/7),INDEX('WPP 2024 середина года'!$B:$U,MATCH($A106,'WPP 2024 середина года'!$A:$A,0),MATCH(R$1,'WPP 2024 середина года'!$B$1:$U$1,0)))))</f>
        <v>5388.2</v>
      </c>
      <c r="S106" s="7">
        <f>IF($A106&lt;=1951,INDEX('SALA 1974'!$B:$U,MATCH($A106,'SALA 1974'!$A:$A,0),MATCH(S$1,'SALA 1974'!$B$1:$U$1,0)),IF($A106&lt;=1994,1000*INDEX('SALA 2002'!$B:$U,MATCH($A106,'SALA 2002'!$A:$A,0),MATCH(S$1,'SALA 2002'!$B$1:$U$1,0)),IF($A106&lt;=2000,1000*INDEX('SALA 2002'!$B:$U,MATCH($A106,'SALA 2002'!$A:$A,0),MATCH(S$1,'SALA 2002'!$B$1:$U$1,0))*POWER(INDEX('WPP 2024 середина года'!$B:$U,MATCH($A106,'WPP 2024 середина года'!$A:$A,0),MATCH(S$1,'WPP 2024 середина года'!$B$1:$U$1,0))/(1000*INDEX('SALA 2002'!$B:$U,MATCH($A106,'SALA 2002'!$A:$A,0),MATCH(S$1,'SALA 2002'!$B$1:$U$1,0))),($A106-1994)/7),INDEX('WPP 2024 середина года'!$B:$U,MATCH($A106,'WPP 2024 середина года'!$A:$A,0),MATCH(S$1,'WPP 2024 середина года'!$B$1:$U$1,0)))))</f>
        <v>27852.2</v>
      </c>
      <c r="T106" s="7">
        <f>IF($A106&lt;=1951,INDEX('SALA 1974'!$B:$U,MATCH($A106,'SALA 1974'!$A:$A,0),MATCH(T$1,'SALA 1974'!$B$1:$U$1,0)),IF($A106&lt;=1994,1000*INDEX('SALA 2002'!$B:$U,MATCH($A106,'SALA 2002'!$A:$A,0),MATCH(T$1,'SALA 2002'!$B$1:$U$1,0)),IF($A106&lt;=2000,1000*INDEX('SALA 2002'!$B:$U,MATCH($A106,'SALA 2002'!$A:$A,0),MATCH(T$1,'SALA 2002'!$B$1:$U$1,0))*POWER(INDEX('WPP 2024 середина года'!$B:$U,MATCH($A106,'WPP 2024 середина года'!$A:$A,0),MATCH(T$1,'WPP 2024 середина года'!$B$1:$U$1,0))/(1000*INDEX('SALA 2002'!$B:$U,MATCH($A106,'SALA 2002'!$A:$A,0),MATCH(T$1,'SALA 2002'!$B$1:$U$1,0))),($A106-1994)/7),INDEX('WPP 2024 середина года'!$B:$U,MATCH($A106,'WPP 2024 середина года'!$A:$A,0),MATCH(T$1,'WPP 2024 середина года'!$B$1:$U$1,0)))))</f>
        <v>3283.1</v>
      </c>
      <c r="U106" s="7">
        <f>IF($A106&lt;=1951,INDEX('SALA 1974'!$B:$U,MATCH($A106,'SALA 1974'!$A:$A,0),MATCH(U$1,'SALA 1974'!$B$1:$U$1,0)),IF($A106&lt;=1994,1000*INDEX('SALA 2002'!$B:$U,MATCH($A106,'SALA 2002'!$A:$A,0),MATCH(U$1,'SALA 2002'!$B$1:$U$1,0)),IF($A106&lt;=2000,1000*INDEX('SALA 2002'!$B:$U,MATCH($A106,'SALA 2002'!$A:$A,0),MATCH(U$1,'SALA 2002'!$B$1:$U$1,0))*POWER(INDEX('WPP 2024 середина года'!$B:$U,MATCH($A106,'WPP 2024 середина года'!$A:$A,0),MATCH(U$1,'WPP 2024 середина года'!$B$1:$U$1,0))/(1000*INDEX('SALA 2002'!$B:$U,MATCH($A106,'SALA 2002'!$A:$A,0),MATCH(U$1,'SALA 2002'!$B$1:$U$1,0))),($A106-1994)/7),INDEX('WPP 2024 середина года'!$B:$U,MATCH($A106,'WPP 2024 середина года'!$A:$A,0),MATCH(U$1,'WPP 2024 середина года'!$B$1:$U$1,0)))))</f>
        <v>26340.799999999999</v>
      </c>
    </row>
    <row r="107" spans="1:21" x14ac:dyDescent="0.25">
      <c r="A107" s="5">
        <f t="shared" si="1"/>
        <v>2005</v>
      </c>
      <c r="B107" s="7">
        <f>IF($A107&lt;=1951,INDEX('SALA 1974'!$B:$U,MATCH($A107,'SALA 1974'!$A:$A,0),MATCH(B$1,'SALA 1974'!$B$1:$U$1,0)),IF($A107&lt;=1994,1000*INDEX('SALA 2002'!$B:$U,MATCH($A107,'SALA 2002'!$A:$A,0),MATCH(B$1,'SALA 2002'!$B$1:$U$1,0)),IF($A107&lt;=2000,1000*INDEX('SALA 2002'!$B:$U,MATCH($A107,'SALA 2002'!$A:$A,0),MATCH(B$1,'SALA 2002'!$B$1:$U$1,0))*POWER(INDEX('WPP 2024 середина года'!$B:$U,MATCH($A107,'WPP 2024 середина года'!$A:$A,0),MATCH(B$1,'WPP 2024 середина года'!$B$1:$U$1,0))/(1000*INDEX('SALA 2002'!$B:$U,MATCH($A107,'SALA 2002'!$A:$A,0),MATCH(B$1,'SALA 2002'!$B$1:$U$1,0))),($A107-1994)/7),INDEX('WPP 2024 середина года'!$B:$U,MATCH($A107,'WPP 2024 середина года'!$A:$A,0),MATCH(B$1,'WPP 2024 середина года'!$B$1:$U$1,0)))))</f>
        <v>39216.800000000003</v>
      </c>
      <c r="C107" s="7">
        <f>IF($A107&lt;=1951,INDEX('SALA 1974'!$B:$U,MATCH($A107,'SALA 1974'!$A:$A,0),MATCH(C$1,'SALA 1974'!$B$1:$U$1,0)),IF($A107&lt;=1994,1000*INDEX('SALA 2002'!$B:$U,MATCH($A107,'SALA 2002'!$A:$A,0),MATCH(C$1,'SALA 2002'!$B$1:$U$1,0)),IF($A107&lt;=2000,1000*INDEX('SALA 2002'!$B:$U,MATCH($A107,'SALA 2002'!$A:$A,0),MATCH(C$1,'SALA 2002'!$B$1:$U$1,0))*POWER(INDEX('WPP 2024 середина года'!$B:$U,MATCH($A107,'WPP 2024 середина года'!$A:$A,0),MATCH(C$1,'WPP 2024 середина года'!$B$1:$U$1,0))/(1000*INDEX('SALA 2002'!$B:$U,MATCH($A107,'SALA 2002'!$A:$A,0),MATCH(C$1,'SALA 2002'!$B$1:$U$1,0))),($A107-1994)/7),INDEX('WPP 2024 середина года'!$B:$U,MATCH($A107,'WPP 2024 середина года'!$A:$A,0),MATCH(C$1,'WPP 2024 середина года'!$B$1:$U$1,0)))))</f>
        <v>9360.7999999999993</v>
      </c>
      <c r="D107" s="7">
        <f>IF($A107&lt;=1951,INDEX('SALA 1974'!$B:$U,MATCH($A107,'SALA 1974'!$A:$A,0),MATCH(D$1,'SALA 1974'!$B$1:$U$1,0)),IF($A107&lt;=1994,1000*INDEX('SALA 2002'!$B:$U,MATCH($A107,'SALA 2002'!$A:$A,0),MATCH(D$1,'SALA 2002'!$B$1:$U$1,0)),IF($A107&lt;=2000,1000*INDEX('SALA 2002'!$B:$U,MATCH($A107,'SALA 2002'!$A:$A,0),MATCH(D$1,'SALA 2002'!$B$1:$U$1,0))*POWER(INDEX('WPP 2024 середина года'!$B:$U,MATCH($A107,'WPP 2024 середина года'!$A:$A,0),MATCH(D$1,'WPP 2024 середина года'!$B$1:$U$1,0))/(1000*INDEX('SALA 2002'!$B:$U,MATCH($A107,'SALA 2002'!$A:$A,0),MATCH(D$1,'SALA 2002'!$B$1:$U$1,0))),($A107-1994)/7),INDEX('WPP 2024 середина года'!$B:$U,MATCH($A107,'WPP 2024 середина года'!$A:$A,0),MATCH(D$1,'WPP 2024 середина года'!$B$1:$U$1,0)))))</f>
        <v>184688.1</v>
      </c>
      <c r="E107" s="7">
        <f>IF($A107&lt;=1951,INDEX('SALA 1974'!$B:$U,MATCH($A107,'SALA 1974'!$A:$A,0),MATCH(E$1,'SALA 1974'!$B$1:$U$1,0)),IF($A107&lt;=1994,1000*INDEX('SALA 2002'!$B:$U,MATCH($A107,'SALA 2002'!$A:$A,0),MATCH(E$1,'SALA 2002'!$B$1:$U$1,0)),IF($A107&lt;=2000,1000*INDEX('SALA 2002'!$B:$U,MATCH($A107,'SALA 2002'!$A:$A,0),MATCH(E$1,'SALA 2002'!$B$1:$U$1,0))*POWER(INDEX('WPP 2024 середина года'!$B:$U,MATCH($A107,'WPP 2024 середина года'!$A:$A,0),MATCH(E$1,'WPP 2024 середина года'!$B$1:$U$1,0))/(1000*INDEX('SALA 2002'!$B:$U,MATCH($A107,'SALA 2002'!$A:$A,0),MATCH(E$1,'SALA 2002'!$B$1:$U$1,0))),($A107-1994)/7),INDEX('WPP 2024 середина года'!$B:$U,MATCH($A107,'WPP 2024 середина года'!$A:$A,0),MATCH(E$1,'WPP 2024 середина года'!$B$1:$U$1,0)))))</f>
        <v>16348.8</v>
      </c>
      <c r="F107" s="7">
        <f>IF($A107&lt;=1947,INDEX('SALA 1974'!$B:$U,MATCH($A107,'SALA 1974'!$A:$A,0),MATCH(F$1,'SALA 1974'!$B$1:$U$1,0)),IF($A107&lt;=1994,1000*INDEX('SALA 2002'!$B:$U,MATCH($A107,'SALA 2002'!$A:$A,0),MATCH(F$1,'SALA 2002'!$B$1:$U$1,0)),IF($A107&lt;=2000,1000*INDEX('SALA 2002'!$B:$U,MATCH($A107,'SALA 2002'!$A:$A,0),MATCH(F$1,'SALA 2002'!$B$1:$U$1,0))*POWER(INDEX('WPP 2024 середина года'!$B:$U,MATCH($A107,'WPP 2024 середина года'!$A:$A,0),MATCH(F$1,'WPP 2024 середина года'!$B$1:$U$1,0))/(1000*INDEX('SALA 2002'!$B:$U,MATCH($A107,'SALA 2002'!$A:$A,0),MATCH(F$1,'SALA 2002'!$B$1:$U$1,0))),($A107-1994)/7),INDEX('WPP 2024 середина года'!$B:$U,MATCH($A107,'WPP 2024 середина года'!$A:$A,0),MATCH(F$1,'WPP 2024 середина года'!$B$1:$U$1,0)))))</f>
        <v>42129</v>
      </c>
      <c r="G107" s="7">
        <f>IF($A107&lt;=1951,INDEX('SALA 1974'!$B:$U,MATCH($A107,'SALA 1974'!$A:$A,0),MATCH(G$1,'SALA 1974'!$B$1:$U$1,0)),IF($A107&lt;=1994,1000*INDEX('SALA 2002'!$B:$U,MATCH($A107,'SALA 2002'!$A:$A,0),MATCH(G$1,'SALA 2002'!$B$1:$U$1,0)),IF($A107&lt;=2000,1000*INDEX('SALA 2002'!$B:$U,MATCH($A107,'SALA 2002'!$A:$A,0),MATCH(G$1,'SALA 2002'!$B$1:$U$1,0))*POWER(INDEX('WPP 2024 середина года'!$B:$U,MATCH($A107,'WPP 2024 середина года'!$A:$A,0),MATCH(G$1,'WPP 2024 середина года'!$B$1:$U$1,0))/(1000*INDEX('SALA 2002'!$B:$U,MATCH($A107,'SALA 2002'!$A:$A,0),MATCH(G$1,'SALA 2002'!$B$1:$U$1,0))),($A107-1994)/7),INDEX('WPP 2024 середина года'!$B:$U,MATCH($A107,'WPP 2024 середина года'!$A:$A,0),MATCH(G$1,'WPP 2024 середина года'!$B$1:$U$1,0)))))</f>
        <v>4261.2</v>
      </c>
      <c r="H107" s="7">
        <f>IF($A107&lt;=1951,INDEX('SALA 1974'!$B:$U,MATCH($A107,'SALA 1974'!$A:$A,0),MATCH(H$1,'SALA 1974'!$B$1:$U$1,0)),IF($A107&lt;=1994,1000*INDEX('SALA 2002'!$B:$U,MATCH($A107,'SALA 2002'!$A:$A,0),MATCH(H$1,'SALA 2002'!$B$1:$U$1,0)),IF($A107&lt;=2000,1000*INDEX('SALA 2002'!$B:$U,MATCH($A107,'SALA 2002'!$A:$A,0),MATCH(H$1,'SALA 2002'!$B$1:$U$1,0))*POWER(INDEX('WPP 2024 середина года'!$B:$U,MATCH($A107,'WPP 2024 середина года'!$A:$A,0),MATCH(H$1,'WPP 2024 середина года'!$B$1:$U$1,0))/(1000*INDEX('SALA 2002'!$B:$U,MATCH($A107,'SALA 2002'!$A:$A,0),MATCH(H$1,'SALA 2002'!$B$1:$U$1,0))),($A107-1994)/7),INDEX('WPP 2024 середина года'!$B:$U,MATCH($A107,'WPP 2024 середина года'!$A:$A,0),MATCH(H$1,'WPP 2024 середина года'!$B$1:$U$1,0)))))</f>
        <v>11262.6</v>
      </c>
      <c r="I107" s="7">
        <f>IF($A107&lt;=1951,INDEX('SALA 1974'!$B:$U,MATCH($A107,'SALA 1974'!$A:$A,0),MATCH(I$1,'SALA 1974'!$B$1:$U$1,0)),IF($A107&lt;=1994,1000*INDEX('SALA 2002'!$B:$U,MATCH($A107,'SALA 2002'!$A:$A,0),MATCH(I$1,'SALA 2002'!$B$1:$U$1,0)),IF($A107&lt;=2000,1000*INDEX('SALA 2002'!$B:$U,MATCH($A107,'SALA 2002'!$A:$A,0),MATCH(I$1,'SALA 2002'!$B$1:$U$1,0))*POWER(INDEX('WPP 2024 середина года'!$B:$U,MATCH($A107,'WPP 2024 середина года'!$A:$A,0),MATCH(I$1,'WPP 2024 середина года'!$B$1:$U$1,0))/(1000*INDEX('SALA 2002'!$B:$U,MATCH($A107,'SALA 2002'!$A:$A,0),MATCH(I$1,'SALA 2002'!$B$1:$U$1,0))),($A107-1994)/7),INDEX('WPP 2024 середина года'!$B:$U,MATCH($A107,'WPP 2024 середина года'!$A:$A,0),MATCH(I$1,'WPP 2024 середина года'!$B$1:$U$1,0)))))</f>
        <v>9225</v>
      </c>
      <c r="J107" s="7">
        <f>IF($A107&lt;=1951,INDEX('SALA 1974'!$B:$U,MATCH($A107,'SALA 1974'!$A:$A,0),MATCH(J$1,'SALA 1974'!$B$1:$U$1,0)),IF($A107&lt;=1994,1000*INDEX('SALA 2002'!$B:$U,MATCH($A107,'SALA 2002'!$A:$A,0),MATCH(J$1,'SALA 2002'!$B$1:$U$1,0)),IF($A107&lt;=2000,1000*INDEX('SALA 2002'!$B:$U,MATCH($A107,'SALA 2002'!$A:$A,0),MATCH(J$1,'SALA 2002'!$B$1:$U$1,0))*POWER(INDEX('WPP 2024 середина года'!$B:$U,MATCH($A107,'WPP 2024 середина года'!$A:$A,0),MATCH(J$1,'WPP 2024 середина года'!$B$1:$U$1,0))/(1000*INDEX('SALA 2002'!$B:$U,MATCH($A107,'SALA 2002'!$A:$A,0),MATCH(J$1,'SALA 2002'!$B$1:$U$1,0))),($A107-1994)/7),INDEX('WPP 2024 середина года'!$B:$U,MATCH($A107,'WPP 2024 середина года'!$A:$A,0),MATCH(J$1,'WPP 2024 середина года'!$B$1:$U$1,0)))))</f>
        <v>13846.2</v>
      </c>
      <c r="K107" s="7">
        <f>IF($A107&lt;=1951,INDEX('SALA 1974'!$B:$U,MATCH($A107,'SALA 1974'!$A:$A,0),MATCH(K$1,'SALA 1974'!$B$1:$U$1,0)),IF($A107&lt;=1994,1000*INDEX('SALA 2002'!$B:$U,MATCH($A107,'SALA 2002'!$A:$A,0),MATCH(K$1,'SALA 2002'!$B$1:$U$1,0)),IF($A107&lt;=2000,1000*INDEX('SALA 2002'!$B:$U,MATCH($A107,'SALA 2002'!$A:$A,0),MATCH(K$1,'SALA 2002'!$B$1:$U$1,0))*POWER(INDEX('WPP 2024 середина года'!$B:$U,MATCH($A107,'WPP 2024 середина года'!$A:$A,0),MATCH(K$1,'WPP 2024 середина года'!$B$1:$U$1,0))/(1000*INDEX('SALA 2002'!$B:$U,MATCH($A107,'SALA 2002'!$A:$A,0),MATCH(K$1,'SALA 2002'!$B$1:$U$1,0))),($A107-1994)/7),INDEX('WPP 2024 середина года'!$B:$U,MATCH($A107,'WPP 2024 середина года'!$A:$A,0),MATCH(K$1,'WPP 2024 середина года'!$B$1:$U$1,0)))))</f>
        <v>6005.6</v>
      </c>
      <c r="L107" s="7">
        <f>IF($A107&lt;=1951,INDEX('SALA 1974'!$B:$U,MATCH($A107,'SALA 1974'!$A:$A,0),MATCH(L$1,'SALA 1974'!$B$1:$U$1,0)),IF($A107&lt;=1994,1000*INDEX('SALA 2002'!$B:$U,MATCH($A107,'SALA 2002'!$A:$A,0),MATCH(L$1,'SALA 2002'!$B$1:$U$1,0)),IF($A107&lt;=2000,1000*INDEX('SALA 2002'!$B:$U,MATCH($A107,'SALA 2002'!$A:$A,0),MATCH(L$1,'SALA 2002'!$B$1:$U$1,0))*POWER(INDEX('WPP 2024 середина года'!$B:$U,MATCH($A107,'WPP 2024 середина года'!$A:$A,0),MATCH(L$1,'WPP 2024 середина года'!$B$1:$U$1,0))/(1000*INDEX('SALA 2002'!$B:$U,MATCH($A107,'SALA 2002'!$A:$A,0),MATCH(L$1,'SALA 2002'!$B$1:$U$1,0))),($A107-1994)/7),INDEX('WPP 2024 середина года'!$B:$U,MATCH($A107,'WPP 2024 середина года'!$A:$A,0),MATCH(L$1,'WPP 2024 середина года'!$B$1:$U$1,0)))))</f>
        <v>13087.6</v>
      </c>
      <c r="M107" s="7">
        <f>IF($A107&lt;=1951,INDEX('SALA 1974'!$B:$U,MATCH($A107,'SALA 1974'!$A:$A,0),MATCH(M$1,'SALA 1974'!$B$1:$U$1,0)),IF($A107&lt;=1994,1000*INDEX('SALA 2002'!$B:$U,MATCH($A107,'SALA 2002'!$A:$A,0),MATCH(M$1,'SALA 2002'!$B$1:$U$1,0)),IF($A107&lt;=2000,1000*INDEX('SALA 2002'!$B:$U,MATCH($A107,'SALA 2002'!$A:$A,0),MATCH(M$1,'SALA 2002'!$B$1:$U$1,0))*POWER(INDEX('WPP 2024 середина года'!$B:$U,MATCH($A107,'WPP 2024 середина года'!$A:$A,0),MATCH(M$1,'WPP 2024 середина года'!$B$1:$U$1,0))/(1000*INDEX('SALA 2002'!$B:$U,MATCH($A107,'SALA 2002'!$A:$A,0),MATCH(M$1,'SALA 2002'!$B$1:$U$1,0))),($A107-1994)/7),INDEX('WPP 2024 середина года'!$B:$U,MATCH($A107,'WPP 2024 середина года'!$A:$A,0),MATCH(M$1,'WPP 2024 середина года'!$B$1:$U$1,0)))))</f>
        <v>9061.2999999999993</v>
      </c>
      <c r="N107" s="7">
        <f>IF($A107&lt;=1951,INDEX('SALA 1974'!$B:$U,MATCH($A107,'SALA 1974'!$A:$A,0),MATCH(N$1,'SALA 1974'!$B$1:$U$1,0)),IF($A107&lt;=1994,1000*INDEX('SALA 2002'!$B:$U,MATCH($A107,'SALA 2002'!$A:$A,0),MATCH(N$1,'SALA 2002'!$B$1:$U$1,0)),IF($A107&lt;=2000,1000*INDEX('SALA 2002'!$B:$U,MATCH($A107,'SALA 2002'!$A:$A,0),MATCH(N$1,'SALA 2002'!$B$1:$U$1,0))*POWER(INDEX('WPP 2024 середина года'!$B:$U,MATCH($A107,'WPP 2024 середина года'!$A:$A,0),MATCH(N$1,'WPP 2024 середина года'!$B$1:$U$1,0))/(1000*INDEX('SALA 2002'!$B:$U,MATCH($A107,'SALA 2002'!$A:$A,0),MATCH(N$1,'SALA 2002'!$B$1:$U$1,0))),($A107-1994)/7),INDEX('WPP 2024 середина года'!$B:$U,MATCH($A107,'WPP 2024 середина года'!$A:$A,0),MATCH(N$1,'WPP 2024 середина года'!$B$1:$U$1,0)))))</f>
        <v>7478.4</v>
      </c>
      <c r="O107" s="7">
        <f>IF($A107&lt;=1951,INDEX('SALA 1974'!$B:$U,MATCH($A107,'SALA 1974'!$A:$A,0),MATCH(O$1,'SALA 1974'!$B$1:$U$1,0)),IF($A107&lt;=1994,1000*INDEX('SALA 2002'!$B:$U,MATCH($A107,'SALA 2002'!$A:$A,0),MATCH(O$1,'SALA 2002'!$B$1:$U$1,0)),IF($A107&lt;=2000,1000*INDEX('SALA 2002'!$B:$U,MATCH($A107,'SALA 2002'!$A:$A,0),MATCH(O$1,'SALA 2002'!$B$1:$U$1,0))*POWER(INDEX('WPP 2024 середина года'!$B:$U,MATCH($A107,'WPP 2024 середина года'!$A:$A,0),MATCH(O$1,'WPP 2024 середина года'!$B$1:$U$1,0))/(1000*INDEX('SALA 2002'!$B:$U,MATCH($A107,'SALA 2002'!$A:$A,0),MATCH(O$1,'SALA 2002'!$B$1:$U$1,0))),($A107-1994)/7),INDEX('WPP 2024 середина года'!$B:$U,MATCH($A107,'WPP 2024 середина года'!$A:$A,0),MATCH(O$1,'WPP 2024 середина года'!$B$1:$U$1,0)))))</f>
        <v>105811.5</v>
      </c>
      <c r="P107" s="7">
        <f>IF($A107&lt;=1951,INDEX('SALA 1974'!$B:$U,MATCH($A107,'SALA 1974'!$A:$A,0),MATCH(P$1,'SALA 1974'!$B$1:$U$1,0)),IF($A107&lt;=1994,1000*INDEX('SALA 2002'!$B:$U,MATCH($A107,'SALA 2002'!$A:$A,0),MATCH(P$1,'SALA 2002'!$B$1:$U$1,0)),IF($A107&lt;=2000,1000*INDEX('SALA 2002'!$B:$U,MATCH($A107,'SALA 2002'!$A:$A,0),MATCH(P$1,'SALA 2002'!$B$1:$U$1,0))*POWER(INDEX('WPP 2024 середина года'!$B:$U,MATCH($A107,'WPP 2024 середина года'!$A:$A,0),MATCH(P$1,'WPP 2024 середина года'!$B$1:$U$1,0))/(1000*INDEX('SALA 2002'!$B:$U,MATCH($A107,'SALA 2002'!$A:$A,0),MATCH(P$1,'SALA 2002'!$B$1:$U$1,0))),($A107-1994)/7),INDEX('WPP 2024 середина года'!$B:$U,MATCH($A107,'WPP 2024 середина года'!$A:$A,0),MATCH(P$1,'WPP 2024 середина года'!$B$1:$U$1,0)))))</f>
        <v>5342.1</v>
      </c>
      <c r="Q107" s="7">
        <f>IF($A107&lt;=1951,INDEX('SALA 1974'!$B:$U,MATCH($A107,'SALA 1974'!$A:$A,0),MATCH(Q$1,'SALA 1974'!$B$1:$U$1,0)),IF($A107&lt;=1994,1000*INDEX('SALA 2002'!$B:$U,MATCH($A107,'SALA 2002'!$A:$A,0),MATCH(Q$1,'SALA 2002'!$B$1:$U$1,0)),IF($A107&lt;=2000,1000*INDEX('SALA 2002'!$B:$U,MATCH($A107,'SALA 2002'!$A:$A,0),MATCH(Q$1,'SALA 2002'!$B$1:$U$1,0))*POWER(INDEX('WPP 2024 середина года'!$B:$U,MATCH($A107,'WPP 2024 середина года'!$A:$A,0),MATCH(Q$1,'WPP 2024 середина года'!$B$1:$U$1,0))/(1000*INDEX('SALA 2002'!$B:$U,MATCH($A107,'SALA 2002'!$A:$A,0),MATCH(Q$1,'SALA 2002'!$B$1:$U$1,0))),($A107-1994)/7),INDEX('WPP 2024 середина года'!$B:$U,MATCH($A107,'WPP 2024 середина года'!$A:$A,0),MATCH(Q$1,'WPP 2024 середина года'!$B$1:$U$1,0)))))</f>
        <v>3313</v>
      </c>
      <c r="R107" s="7">
        <f>IF($A107&lt;=1951,INDEX('SALA 1974'!$B:$U,MATCH($A107,'SALA 1974'!$A:$A,0),MATCH(R$1,'SALA 1974'!$B$1:$U$1,0)),IF($A107&lt;=1994,1000*INDEX('SALA 2002'!$B:$U,MATCH($A107,'SALA 2002'!$A:$A,0),MATCH(R$1,'SALA 2002'!$B$1:$U$1,0)),IF($A107&lt;=2000,1000*INDEX('SALA 2002'!$B:$U,MATCH($A107,'SALA 2002'!$A:$A,0),MATCH(R$1,'SALA 2002'!$B$1:$U$1,0))*POWER(INDEX('WPP 2024 середина года'!$B:$U,MATCH($A107,'WPP 2024 середина года'!$A:$A,0),MATCH(R$1,'WPP 2024 середина года'!$B$1:$U$1,0))/(1000*INDEX('SALA 2002'!$B:$U,MATCH($A107,'SALA 2002'!$A:$A,0),MATCH(R$1,'SALA 2002'!$B$1:$U$1,0))),($A107-1994)/7),INDEX('WPP 2024 середина года'!$B:$U,MATCH($A107,'WPP 2024 середина года'!$A:$A,0),MATCH(R$1,'WPP 2024 середина года'!$B$1:$U$1,0)))))</f>
        <v>5448.1</v>
      </c>
      <c r="S107" s="7">
        <f>IF($A107&lt;=1951,INDEX('SALA 1974'!$B:$U,MATCH($A107,'SALA 1974'!$A:$A,0),MATCH(S$1,'SALA 1974'!$B$1:$U$1,0)),IF($A107&lt;=1994,1000*INDEX('SALA 2002'!$B:$U,MATCH($A107,'SALA 2002'!$A:$A,0),MATCH(S$1,'SALA 2002'!$B$1:$U$1,0)),IF($A107&lt;=2000,1000*INDEX('SALA 2002'!$B:$U,MATCH($A107,'SALA 2002'!$A:$A,0),MATCH(S$1,'SALA 2002'!$B$1:$U$1,0))*POWER(INDEX('WPP 2024 середина года'!$B:$U,MATCH($A107,'WPP 2024 середина года'!$A:$A,0),MATCH(S$1,'WPP 2024 середина года'!$B$1:$U$1,0))/(1000*INDEX('SALA 2002'!$B:$U,MATCH($A107,'SALA 2002'!$A:$A,0),MATCH(S$1,'SALA 2002'!$B$1:$U$1,0))),($A107-1994)/7),INDEX('WPP 2024 середина года'!$B:$U,MATCH($A107,'WPP 2024 середина года'!$A:$A,0),MATCH(S$1,'WPP 2024 середина года'!$B$1:$U$1,0)))))</f>
        <v>28101.200000000001</v>
      </c>
      <c r="T107" s="7">
        <f>IF($A107&lt;=1951,INDEX('SALA 1974'!$B:$U,MATCH($A107,'SALA 1974'!$A:$A,0),MATCH(T$1,'SALA 1974'!$B$1:$U$1,0)),IF($A107&lt;=1994,1000*INDEX('SALA 2002'!$B:$U,MATCH($A107,'SALA 2002'!$A:$A,0),MATCH(T$1,'SALA 2002'!$B$1:$U$1,0)),IF($A107&lt;=2000,1000*INDEX('SALA 2002'!$B:$U,MATCH($A107,'SALA 2002'!$A:$A,0),MATCH(T$1,'SALA 2002'!$B$1:$U$1,0))*POWER(INDEX('WPP 2024 середина года'!$B:$U,MATCH($A107,'WPP 2024 середина года'!$A:$A,0),MATCH(T$1,'WPP 2024 середина года'!$B$1:$U$1,0))/(1000*INDEX('SALA 2002'!$B:$U,MATCH($A107,'SALA 2002'!$A:$A,0),MATCH(T$1,'SALA 2002'!$B$1:$U$1,0))),($A107-1994)/7),INDEX('WPP 2024 середина года'!$B:$U,MATCH($A107,'WPP 2024 середина года'!$A:$A,0),MATCH(T$1,'WPP 2024 середина года'!$B$1:$U$1,0)))))</f>
        <v>3285.8</v>
      </c>
      <c r="U107" s="7">
        <f>IF($A107&lt;=1951,INDEX('SALA 1974'!$B:$U,MATCH($A107,'SALA 1974'!$A:$A,0),MATCH(U$1,'SALA 1974'!$B$1:$U$1,0)),IF($A107&lt;=1994,1000*INDEX('SALA 2002'!$B:$U,MATCH($A107,'SALA 2002'!$A:$A,0),MATCH(U$1,'SALA 2002'!$B$1:$U$1,0)),IF($A107&lt;=2000,1000*INDEX('SALA 2002'!$B:$U,MATCH($A107,'SALA 2002'!$A:$A,0),MATCH(U$1,'SALA 2002'!$B$1:$U$1,0))*POWER(INDEX('WPP 2024 середина года'!$B:$U,MATCH($A107,'WPP 2024 середина года'!$A:$A,0),MATCH(U$1,'WPP 2024 середина года'!$B$1:$U$1,0))/(1000*INDEX('SALA 2002'!$B:$U,MATCH($A107,'SALA 2002'!$A:$A,0),MATCH(U$1,'SALA 2002'!$B$1:$U$1,0))),($A107-1994)/7),INDEX('WPP 2024 середина года'!$B:$U,MATCH($A107,'WPP 2024 середина года'!$A:$A,0),MATCH(U$1,'WPP 2024 середина года'!$B$1:$U$1,0)))))</f>
        <v>26785.8</v>
      </c>
    </row>
    <row r="108" spans="1:21" x14ac:dyDescent="0.25">
      <c r="A108" s="5">
        <f t="shared" si="1"/>
        <v>2006</v>
      </c>
      <c r="B108" s="7">
        <f>IF($A108&lt;=1951,INDEX('SALA 1974'!$B:$U,MATCH($A108,'SALA 1974'!$A:$A,0),MATCH(B$1,'SALA 1974'!$B$1:$U$1,0)),IF($A108&lt;=1994,1000*INDEX('SALA 2002'!$B:$U,MATCH($A108,'SALA 2002'!$A:$A,0),MATCH(B$1,'SALA 2002'!$B$1:$U$1,0)),IF($A108&lt;=2000,1000*INDEX('SALA 2002'!$B:$U,MATCH($A108,'SALA 2002'!$A:$A,0),MATCH(B$1,'SALA 2002'!$B$1:$U$1,0))*POWER(INDEX('WPP 2024 середина года'!$B:$U,MATCH($A108,'WPP 2024 середина года'!$A:$A,0),MATCH(B$1,'WPP 2024 середина года'!$B$1:$U$1,0))/(1000*INDEX('SALA 2002'!$B:$U,MATCH($A108,'SALA 2002'!$A:$A,0),MATCH(B$1,'SALA 2002'!$B$1:$U$1,0))),($A108-1994)/7),INDEX('WPP 2024 середина года'!$B:$U,MATCH($A108,'WPP 2024 середина года'!$A:$A,0),MATCH(B$1,'WPP 2024 середина года'!$B$1:$U$1,0)))))</f>
        <v>39622.1</v>
      </c>
      <c r="C108" s="7">
        <f>IF($A108&lt;=1951,INDEX('SALA 1974'!$B:$U,MATCH($A108,'SALA 1974'!$A:$A,0),MATCH(C$1,'SALA 1974'!$B$1:$U$1,0)),IF($A108&lt;=1994,1000*INDEX('SALA 2002'!$B:$U,MATCH($A108,'SALA 2002'!$A:$A,0),MATCH(C$1,'SALA 2002'!$B$1:$U$1,0)),IF($A108&lt;=2000,1000*INDEX('SALA 2002'!$B:$U,MATCH($A108,'SALA 2002'!$A:$A,0),MATCH(C$1,'SALA 2002'!$B$1:$U$1,0))*POWER(INDEX('WPP 2024 середина года'!$B:$U,MATCH($A108,'WPP 2024 середина года'!$A:$A,0),MATCH(C$1,'WPP 2024 середина года'!$B$1:$U$1,0))/(1000*INDEX('SALA 2002'!$B:$U,MATCH($A108,'SALA 2002'!$A:$A,0),MATCH(C$1,'SALA 2002'!$B$1:$U$1,0))),($A108-1994)/7),INDEX('WPP 2024 середина года'!$B:$U,MATCH($A108,'WPP 2024 середина года'!$A:$A,0),MATCH(C$1,'WPP 2024 середина года'!$B$1:$U$1,0)))))</f>
        <v>9521.7000000000007</v>
      </c>
      <c r="D108" s="7">
        <f>IF($A108&lt;=1951,INDEX('SALA 1974'!$B:$U,MATCH($A108,'SALA 1974'!$A:$A,0),MATCH(D$1,'SALA 1974'!$B$1:$U$1,0)),IF($A108&lt;=1994,1000*INDEX('SALA 2002'!$B:$U,MATCH($A108,'SALA 2002'!$A:$A,0),MATCH(D$1,'SALA 2002'!$B$1:$U$1,0)),IF($A108&lt;=2000,1000*INDEX('SALA 2002'!$B:$U,MATCH($A108,'SALA 2002'!$A:$A,0),MATCH(D$1,'SALA 2002'!$B$1:$U$1,0))*POWER(INDEX('WPP 2024 середина года'!$B:$U,MATCH($A108,'WPP 2024 середина года'!$A:$A,0),MATCH(D$1,'WPP 2024 середина года'!$B$1:$U$1,0))/(1000*INDEX('SALA 2002'!$B:$U,MATCH($A108,'SALA 2002'!$A:$A,0),MATCH(D$1,'SALA 2002'!$B$1:$U$1,0))),($A108-1994)/7),INDEX('WPP 2024 середина года'!$B:$U,MATCH($A108,'WPP 2024 середина года'!$A:$A,0),MATCH(D$1,'WPP 2024 середина года'!$B$1:$U$1,0)))))</f>
        <v>186653.1</v>
      </c>
      <c r="E108" s="7">
        <f>IF($A108&lt;=1951,INDEX('SALA 1974'!$B:$U,MATCH($A108,'SALA 1974'!$A:$A,0),MATCH(E$1,'SALA 1974'!$B$1:$U$1,0)),IF($A108&lt;=1994,1000*INDEX('SALA 2002'!$B:$U,MATCH($A108,'SALA 2002'!$A:$A,0),MATCH(E$1,'SALA 2002'!$B$1:$U$1,0)),IF($A108&lt;=2000,1000*INDEX('SALA 2002'!$B:$U,MATCH($A108,'SALA 2002'!$A:$A,0),MATCH(E$1,'SALA 2002'!$B$1:$U$1,0))*POWER(INDEX('WPP 2024 середина года'!$B:$U,MATCH($A108,'WPP 2024 середина года'!$A:$A,0),MATCH(E$1,'WPP 2024 середина года'!$B$1:$U$1,0))/(1000*INDEX('SALA 2002'!$B:$U,MATCH($A108,'SALA 2002'!$A:$A,0),MATCH(E$1,'SALA 2002'!$B$1:$U$1,0))),($A108-1994)/7),INDEX('WPP 2024 середина года'!$B:$U,MATCH($A108,'WPP 2024 середина года'!$A:$A,0),MATCH(E$1,'WPP 2024 середина года'!$B$1:$U$1,0)))))</f>
        <v>16509.2</v>
      </c>
      <c r="F108" s="7">
        <f>IF($A108&lt;=1947,INDEX('SALA 1974'!$B:$U,MATCH($A108,'SALA 1974'!$A:$A,0),MATCH(F$1,'SALA 1974'!$B$1:$U$1,0)),IF($A108&lt;=1994,1000*INDEX('SALA 2002'!$B:$U,MATCH($A108,'SALA 2002'!$A:$A,0),MATCH(F$1,'SALA 2002'!$B$1:$U$1,0)),IF($A108&lt;=2000,1000*INDEX('SALA 2002'!$B:$U,MATCH($A108,'SALA 2002'!$A:$A,0),MATCH(F$1,'SALA 2002'!$B$1:$U$1,0))*POWER(INDEX('WPP 2024 середина года'!$B:$U,MATCH($A108,'WPP 2024 середина года'!$A:$A,0),MATCH(F$1,'WPP 2024 середина года'!$B$1:$U$1,0))/(1000*INDEX('SALA 2002'!$B:$U,MATCH($A108,'SALA 2002'!$A:$A,0),MATCH(F$1,'SALA 2002'!$B$1:$U$1,0))),($A108-1994)/7),INDEX('WPP 2024 середина года'!$B:$U,MATCH($A108,'WPP 2024 середина года'!$A:$A,0),MATCH(F$1,'WPP 2024 середина года'!$B$1:$U$1,0)))))</f>
        <v>42691.1</v>
      </c>
      <c r="G108" s="7">
        <f>IF($A108&lt;=1951,INDEX('SALA 1974'!$B:$U,MATCH($A108,'SALA 1974'!$A:$A,0),MATCH(G$1,'SALA 1974'!$B$1:$U$1,0)),IF($A108&lt;=1994,1000*INDEX('SALA 2002'!$B:$U,MATCH($A108,'SALA 2002'!$A:$A,0),MATCH(G$1,'SALA 2002'!$B$1:$U$1,0)),IF($A108&lt;=2000,1000*INDEX('SALA 2002'!$B:$U,MATCH($A108,'SALA 2002'!$A:$A,0),MATCH(G$1,'SALA 2002'!$B$1:$U$1,0))*POWER(INDEX('WPP 2024 середина года'!$B:$U,MATCH($A108,'WPP 2024 середина года'!$A:$A,0),MATCH(G$1,'WPP 2024 середина года'!$B$1:$U$1,0))/(1000*INDEX('SALA 2002'!$B:$U,MATCH($A108,'SALA 2002'!$A:$A,0),MATCH(G$1,'SALA 2002'!$B$1:$U$1,0))),($A108-1994)/7),INDEX('WPP 2024 середина года'!$B:$U,MATCH($A108,'WPP 2024 середина года'!$A:$A,0),MATCH(G$1,'WPP 2024 середина года'!$B$1:$U$1,0)))))</f>
        <v>4321.3</v>
      </c>
      <c r="H108" s="7">
        <f>IF($A108&lt;=1951,INDEX('SALA 1974'!$B:$U,MATCH($A108,'SALA 1974'!$A:$A,0),MATCH(H$1,'SALA 1974'!$B$1:$U$1,0)),IF($A108&lt;=1994,1000*INDEX('SALA 2002'!$B:$U,MATCH($A108,'SALA 2002'!$A:$A,0),MATCH(H$1,'SALA 2002'!$B$1:$U$1,0)),IF($A108&lt;=2000,1000*INDEX('SALA 2002'!$B:$U,MATCH($A108,'SALA 2002'!$A:$A,0),MATCH(H$1,'SALA 2002'!$B$1:$U$1,0))*POWER(INDEX('WPP 2024 середина года'!$B:$U,MATCH($A108,'WPP 2024 середина года'!$A:$A,0),MATCH(H$1,'WPP 2024 середина года'!$B$1:$U$1,0))/(1000*INDEX('SALA 2002'!$B:$U,MATCH($A108,'SALA 2002'!$A:$A,0),MATCH(H$1,'SALA 2002'!$B$1:$U$1,0))),($A108-1994)/7),INDEX('WPP 2024 середина года'!$B:$U,MATCH($A108,'WPP 2024 середина года'!$A:$A,0),MATCH(H$1,'WPP 2024 середина года'!$B$1:$U$1,0)))))</f>
        <v>11278.6</v>
      </c>
      <c r="I108" s="7">
        <f>IF($A108&lt;=1951,INDEX('SALA 1974'!$B:$U,MATCH($A108,'SALA 1974'!$A:$A,0),MATCH(I$1,'SALA 1974'!$B$1:$U$1,0)),IF($A108&lt;=1994,1000*INDEX('SALA 2002'!$B:$U,MATCH($A108,'SALA 2002'!$A:$A,0),MATCH(I$1,'SALA 2002'!$B$1:$U$1,0)),IF($A108&lt;=2000,1000*INDEX('SALA 2002'!$B:$U,MATCH($A108,'SALA 2002'!$A:$A,0),MATCH(I$1,'SALA 2002'!$B$1:$U$1,0))*POWER(INDEX('WPP 2024 середина года'!$B:$U,MATCH($A108,'WPP 2024 середина года'!$A:$A,0),MATCH(I$1,'WPP 2024 середина года'!$B$1:$U$1,0))/(1000*INDEX('SALA 2002'!$B:$U,MATCH($A108,'SALA 2002'!$A:$A,0),MATCH(I$1,'SALA 2002'!$B$1:$U$1,0))),($A108-1994)/7),INDEX('WPP 2024 середина года'!$B:$U,MATCH($A108,'WPP 2024 середина года'!$A:$A,0),MATCH(I$1,'WPP 2024 середина года'!$B$1:$U$1,0)))))</f>
        <v>9341.2000000000007</v>
      </c>
      <c r="J108" s="7">
        <f>IF($A108&lt;=1951,INDEX('SALA 1974'!$B:$U,MATCH($A108,'SALA 1974'!$A:$A,0),MATCH(J$1,'SALA 1974'!$B$1:$U$1,0)),IF($A108&lt;=1994,1000*INDEX('SALA 2002'!$B:$U,MATCH($A108,'SALA 2002'!$A:$A,0),MATCH(J$1,'SALA 2002'!$B$1:$U$1,0)),IF($A108&lt;=2000,1000*INDEX('SALA 2002'!$B:$U,MATCH($A108,'SALA 2002'!$A:$A,0),MATCH(J$1,'SALA 2002'!$B$1:$U$1,0))*POWER(INDEX('WPP 2024 середина года'!$B:$U,MATCH($A108,'WPP 2024 середина года'!$A:$A,0),MATCH(J$1,'WPP 2024 середина года'!$B$1:$U$1,0))/(1000*INDEX('SALA 2002'!$B:$U,MATCH($A108,'SALA 2002'!$A:$A,0),MATCH(J$1,'SALA 2002'!$B$1:$U$1,0))),($A108-1994)/7),INDEX('WPP 2024 середина года'!$B:$U,MATCH($A108,'WPP 2024 середина года'!$A:$A,0),MATCH(J$1,'WPP 2024 середина года'!$B$1:$U$1,0)))))</f>
        <v>14086.1</v>
      </c>
      <c r="K108" s="7">
        <f>IF($A108&lt;=1951,INDEX('SALA 1974'!$B:$U,MATCH($A108,'SALA 1974'!$A:$A,0),MATCH(K$1,'SALA 1974'!$B$1:$U$1,0)),IF($A108&lt;=1994,1000*INDEX('SALA 2002'!$B:$U,MATCH($A108,'SALA 2002'!$A:$A,0),MATCH(K$1,'SALA 2002'!$B$1:$U$1,0)),IF($A108&lt;=2000,1000*INDEX('SALA 2002'!$B:$U,MATCH($A108,'SALA 2002'!$A:$A,0),MATCH(K$1,'SALA 2002'!$B$1:$U$1,0))*POWER(INDEX('WPP 2024 середина года'!$B:$U,MATCH($A108,'WPP 2024 середина года'!$A:$A,0),MATCH(K$1,'WPP 2024 середина года'!$B$1:$U$1,0))/(1000*INDEX('SALA 2002'!$B:$U,MATCH($A108,'SALA 2002'!$A:$A,0),MATCH(K$1,'SALA 2002'!$B$1:$U$1,0))),($A108-1994)/7),INDEX('WPP 2024 середина года'!$B:$U,MATCH($A108,'WPP 2024 середина года'!$A:$A,0),MATCH(K$1,'WPP 2024 середина года'!$B$1:$U$1,0)))))</f>
        <v>6002.3</v>
      </c>
      <c r="L108" s="7">
        <f>IF($A108&lt;=1951,INDEX('SALA 1974'!$B:$U,MATCH($A108,'SALA 1974'!$A:$A,0),MATCH(L$1,'SALA 1974'!$B$1:$U$1,0)),IF($A108&lt;=1994,1000*INDEX('SALA 2002'!$B:$U,MATCH($A108,'SALA 2002'!$A:$A,0),MATCH(L$1,'SALA 2002'!$B$1:$U$1,0)),IF($A108&lt;=2000,1000*INDEX('SALA 2002'!$B:$U,MATCH($A108,'SALA 2002'!$A:$A,0),MATCH(L$1,'SALA 2002'!$B$1:$U$1,0))*POWER(INDEX('WPP 2024 середина года'!$B:$U,MATCH($A108,'WPP 2024 середина года'!$A:$A,0),MATCH(L$1,'WPP 2024 середина года'!$B$1:$U$1,0))/(1000*INDEX('SALA 2002'!$B:$U,MATCH($A108,'SALA 2002'!$A:$A,0),MATCH(L$1,'SALA 2002'!$B$1:$U$1,0))),($A108-1994)/7),INDEX('WPP 2024 середина года'!$B:$U,MATCH($A108,'WPP 2024 середина года'!$A:$A,0),MATCH(L$1,'WPP 2024 середина года'!$B$1:$U$1,0)))))</f>
        <v>13367.5</v>
      </c>
      <c r="M108" s="7">
        <f>IF($A108&lt;=1951,INDEX('SALA 1974'!$B:$U,MATCH($A108,'SALA 1974'!$A:$A,0),MATCH(M$1,'SALA 1974'!$B$1:$U$1,0)),IF($A108&lt;=1994,1000*INDEX('SALA 2002'!$B:$U,MATCH($A108,'SALA 2002'!$A:$A,0),MATCH(M$1,'SALA 2002'!$B$1:$U$1,0)),IF($A108&lt;=2000,1000*INDEX('SALA 2002'!$B:$U,MATCH($A108,'SALA 2002'!$A:$A,0),MATCH(M$1,'SALA 2002'!$B$1:$U$1,0))*POWER(INDEX('WPP 2024 середина года'!$B:$U,MATCH($A108,'WPP 2024 середина года'!$A:$A,0),MATCH(M$1,'WPP 2024 середина года'!$B$1:$U$1,0))/(1000*INDEX('SALA 2002'!$B:$U,MATCH($A108,'SALA 2002'!$A:$A,0),MATCH(M$1,'SALA 2002'!$B$1:$U$1,0))),($A108-1994)/7),INDEX('WPP 2024 середина года'!$B:$U,MATCH($A108,'WPP 2024 середина года'!$A:$A,0),MATCH(M$1,'WPP 2024 середина года'!$B$1:$U$1,0)))))</f>
        <v>9216.6</v>
      </c>
      <c r="N108" s="7">
        <f>IF($A108&lt;=1951,INDEX('SALA 1974'!$B:$U,MATCH($A108,'SALA 1974'!$A:$A,0),MATCH(N$1,'SALA 1974'!$B$1:$U$1,0)),IF($A108&lt;=1994,1000*INDEX('SALA 2002'!$B:$U,MATCH($A108,'SALA 2002'!$A:$A,0),MATCH(N$1,'SALA 2002'!$B$1:$U$1,0)),IF($A108&lt;=2000,1000*INDEX('SALA 2002'!$B:$U,MATCH($A108,'SALA 2002'!$A:$A,0),MATCH(N$1,'SALA 2002'!$B$1:$U$1,0))*POWER(INDEX('WPP 2024 середина года'!$B:$U,MATCH($A108,'WPP 2024 середина года'!$A:$A,0),MATCH(N$1,'WPP 2024 середина года'!$B$1:$U$1,0))/(1000*INDEX('SALA 2002'!$B:$U,MATCH($A108,'SALA 2002'!$A:$A,0),MATCH(N$1,'SALA 2002'!$B$1:$U$1,0))),($A108-1994)/7),INDEX('WPP 2024 середина года'!$B:$U,MATCH($A108,'WPP 2024 середина года'!$A:$A,0),MATCH(N$1,'WPP 2024 середина года'!$B$1:$U$1,0)))))</f>
        <v>7656.8</v>
      </c>
      <c r="O108" s="7">
        <f>IF($A108&lt;=1951,INDEX('SALA 1974'!$B:$U,MATCH($A108,'SALA 1974'!$A:$A,0),MATCH(O$1,'SALA 1974'!$B$1:$U$1,0)),IF($A108&lt;=1994,1000*INDEX('SALA 2002'!$B:$U,MATCH($A108,'SALA 2002'!$A:$A,0),MATCH(O$1,'SALA 2002'!$B$1:$U$1,0)),IF($A108&lt;=2000,1000*INDEX('SALA 2002'!$B:$U,MATCH($A108,'SALA 2002'!$A:$A,0),MATCH(O$1,'SALA 2002'!$B$1:$U$1,0))*POWER(INDEX('WPP 2024 середина года'!$B:$U,MATCH($A108,'WPP 2024 середина года'!$A:$A,0),MATCH(O$1,'WPP 2024 середина года'!$B$1:$U$1,0))/(1000*INDEX('SALA 2002'!$B:$U,MATCH($A108,'SALA 2002'!$A:$A,0),MATCH(O$1,'SALA 2002'!$B$1:$U$1,0))),($A108-1994)/7),INDEX('WPP 2024 середина года'!$B:$U,MATCH($A108,'WPP 2024 середина года'!$A:$A,0),MATCH(O$1,'WPP 2024 середина года'!$B$1:$U$1,0)))))</f>
        <v>107253.7</v>
      </c>
      <c r="P108" s="7">
        <f>IF($A108&lt;=1951,INDEX('SALA 1974'!$B:$U,MATCH($A108,'SALA 1974'!$A:$A,0),MATCH(P$1,'SALA 1974'!$B$1:$U$1,0)),IF($A108&lt;=1994,1000*INDEX('SALA 2002'!$B:$U,MATCH($A108,'SALA 2002'!$A:$A,0),MATCH(P$1,'SALA 2002'!$B$1:$U$1,0)),IF($A108&lt;=2000,1000*INDEX('SALA 2002'!$B:$U,MATCH($A108,'SALA 2002'!$A:$A,0),MATCH(P$1,'SALA 2002'!$B$1:$U$1,0))*POWER(INDEX('WPP 2024 середина года'!$B:$U,MATCH($A108,'WPP 2024 середина года'!$A:$A,0),MATCH(P$1,'WPP 2024 середина года'!$B$1:$U$1,0))/(1000*INDEX('SALA 2002'!$B:$U,MATCH($A108,'SALA 2002'!$A:$A,0),MATCH(P$1,'SALA 2002'!$B$1:$U$1,0))),($A108-1994)/7),INDEX('WPP 2024 середина года'!$B:$U,MATCH($A108,'WPP 2024 середина года'!$A:$A,0),MATCH(P$1,'WPP 2024 середина года'!$B$1:$U$1,0)))))</f>
        <v>5418.9</v>
      </c>
      <c r="Q108" s="7">
        <f>IF($A108&lt;=1951,INDEX('SALA 1974'!$B:$U,MATCH($A108,'SALA 1974'!$A:$A,0),MATCH(Q$1,'SALA 1974'!$B$1:$U$1,0)),IF($A108&lt;=1994,1000*INDEX('SALA 2002'!$B:$U,MATCH($A108,'SALA 2002'!$A:$A,0),MATCH(Q$1,'SALA 2002'!$B$1:$U$1,0)),IF($A108&lt;=2000,1000*INDEX('SALA 2002'!$B:$U,MATCH($A108,'SALA 2002'!$A:$A,0),MATCH(Q$1,'SALA 2002'!$B$1:$U$1,0))*POWER(INDEX('WPP 2024 середина года'!$B:$U,MATCH($A108,'WPP 2024 середина года'!$A:$A,0),MATCH(Q$1,'WPP 2024 середина года'!$B$1:$U$1,0))/(1000*INDEX('SALA 2002'!$B:$U,MATCH($A108,'SALA 2002'!$A:$A,0),MATCH(Q$1,'SALA 2002'!$B$1:$U$1,0))),($A108-1994)/7),INDEX('WPP 2024 середина года'!$B:$U,MATCH($A108,'WPP 2024 середина года'!$A:$A,0),MATCH(Q$1,'WPP 2024 середина года'!$B$1:$U$1,0)))))</f>
        <v>3375</v>
      </c>
      <c r="R108" s="7">
        <f>IF($A108&lt;=1951,INDEX('SALA 1974'!$B:$U,MATCH($A108,'SALA 1974'!$A:$A,0),MATCH(R$1,'SALA 1974'!$B$1:$U$1,0)),IF($A108&lt;=1994,1000*INDEX('SALA 2002'!$B:$U,MATCH($A108,'SALA 2002'!$A:$A,0),MATCH(R$1,'SALA 2002'!$B$1:$U$1,0)),IF($A108&lt;=2000,1000*INDEX('SALA 2002'!$B:$U,MATCH($A108,'SALA 2002'!$A:$A,0),MATCH(R$1,'SALA 2002'!$B$1:$U$1,0))*POWER(INDEX('WPP 2024 середина года'!$B:$U,MATCH($A108,'WPP 2024 середина года'!$A:$A,0),MATCH(R$1,'WPP 2024 середина года'!$B$1:$U$1,0))/(1000*INDEX('SALA 2002'!$B:$U,MATCH($A108,'SALA 2002'!$A:$A,0),MATCH(R$1,'SALA 2002'!$B$1:$U$1,0))),($A108-1994)/7),INDEX('WPP 2024 середина года'!$B:$U,MATCH($A108,'WPP 2024 середина года'!$A:$A,0),MATCH(R$1,'WPP 2024 середина года'!$B$1:$U$1,0)))))</f>
        <v>5505.1</v>
      </c>
      <c r="S108" s="7">
        <f>IF($A108&lt;=1951,INDEX('SALA 1974'!$B:$U,MATCH($A108,'SALA 1974'!$A:$A,0),MATCH(S$1,'SALA 1974'!$B$1:$U$1,0)),IF($A108&lt;=1994,1000*INDEX('SALA 2002'!$B:$U,MATCH($A108,'SALA 2002'!$A:$A,0),MATCH(S$1,'SALA 2002'!$B$1:$U$1,0)),IF($A108&lt;=2000,1000*INDEX('SALA 2002'!$B:$U,MATCH($A108,'SALA 2002'!$A:$A,0),MATCH(S$1,'SALA 2002'!$B$1:$U$1,0))*POWER(INDEX('WPP 2024 середина года'!$B:$U,MATCH($A108,'WPP 2024 середина года'!$A:$A,0),MATCH(S$1,'WPP 2024 середина года'!$B$1:$U$1,0))/(1000*INDEX('SALA 2002'!$B:$U,MATCH($A108,'SALA 2002'!$A:$A,0),MATCH(S$1,'SALA 2002'!$B$1:$U$1,0))),($A108-1994)/7),INDEX('WPP 2024 середина года'!$B:$U,MATCH($A108,'WPP 2024 середина года'!$A:$A,0),MATCH(S$1,'WPP 2024 середина года'!$B$1:$U$1,0)))))</f>
        <v>28324.5</v>
      </c>
      <c r="T108" s="7">
        <f>IF($A108&lt;=1951,INDEX('SALA 1974'!$B:$U,MATCH($A108,'SALA 1974'!$A:$A,0),MATCH(T$1,'SALA 1974'!$B$1:$U$1,0)),IF($A108&lt;=1994,1000*INDEX('SALA 2002'!$B:$U,MATCH($A108,'SALA 2002'!$A:$A,0),MATCH(T$1,'SALA 2002'!$B$1:$U$1,0)),IF($A108&lt;=2000,1000*INDEX('SALA 2002'!$B:$U,MATCH($A108,'SALA 2002'!$A:$A,0),MATCH(T$1,'SALA 2002'!$B$1:$U$1,0))*POWER(INDEX('WPP 2024 середина года'!$B:$U,MATCH($A108,'WPP 2024 середина года'!$A:$A,0),MATCH(T$1,'WPP 2024 середина года'!$B$1:$U$1,0))/(1000*INDEX('SALA 2002'!$B:$U,MATCH($A108,'SALA 2002'!$A:$A,0),MATCH(T$1,'SALA 2002'!$B$1:$U$1,0))),($A108-1994)/7),INDEX('WPP 2024 середина года'!$B:$U,MATCH($A108,'WPP 2024 середина года'!$A:$A,0),MATCH(T$1,'WPP 2024 середина года'!$B$1:$U$1,0)))))</f>
        <v>3289.5</v>
      </c>
      <c r="U108" s="7">
        <f>IF($A108&lt;=1951,INDEX('SALA 1974'!$B:$U,MATCH($A108,'SALA 1974'!$A:$A,0),MATCH(U$1,'SALA 1974'!$B$1:$U$1,0)),IF($A108&lt;=1994,1000*INDEX('SALA 2002'!$B:$U,MATCH($A108,'SALA 2002'!$A:$A,0),MATCH(U$1,'SALA 2002'!$B$1:$U$1,0)),IF($A108&lt;=2000,1000*INDEX('SALA 2002'!$B:$U,MATCH($A108,'SALA 2002'!$A:$A,0),MATCH(U$1,'SALA 2002'!$B$1:$U$1,0))*POWER(INDEX('WPP 2024 середина года'!$B:$U,MATCH($A108,'WPP 2024 середина года'!$A:$A,0),MATCH(U$1,'WPP 2024 середина года'!$B$1:$U$1,0))/(1000*INDEX('SALA 2002'!$B:$U,MATCH($A108,'SALA 2002'!$A:$A,0),MATCH(U$1,'SALA 2002'!$B$1:$U$1,0))),($A108-1994)/7),INDEX('WPP 2024 середина года'!$B:$U,MATCH($A108,'WPP 2024 середина года'!$A:$A,0),MATCH(U$1,'WPP 2024 середина года'!$B$1:$U$1,0)))))</f>
        <v>27224.7</v>
      </c>
    </row>
    <row r="109" spans="1:21" x14ac:dyDescent="0.25">
      <c r="A109" s="5">
        <f t="shared" si="1"/>
        <v>2007</v>
      </c>
      <c r="B109" s="7">
        <f>IF($A109&lt;=1951,INDEX('SALA 1974'!$B:$U,MATCH($A109,'SALA 1974'!$A:$A,0),MATCH(B$1,'SALA 1974'!$B$1:$U$1,0)),IF($A109&lt;=1994,1000*INDEX('SALA 2002'!$B:$U,MATCH($A109,'SALA 2002'!$A:$A,0),MATCH(B$1,'SALA 2002'!$B$1:$U$1,0)),IF($A109&lt;=2000,1000*INDEX('SALA 2002'!$B:$U,MATCH($A109,'SALA 2002'!$A:$A,0),MATCH(B$1,'SALA 2002'!$B$1:$U$1,0))*POWER(INDEX('WPP 2024 середина года'!$B:$U,MATCH($A109,'WPP 2024 середина года'!$A:$A,0),MATCH(B$1,'WPP 2024 середина года'!$B$1:$U$1,0))/(1000*INDEX('SALA 2002'!$B:$U,MATCH($A109,'SALA 2002'!$A:$A,0),MATCH(B$1,'SALA 2002'!$B$1:$U$1,0))),($A109-1994)/7),INDEX('WPP 2024 середина года'!$B:$U,MATCH($A109,'WPP 2024 середина года'!$A:$A,0),MATCH(B$1,'WPP 2024 середина года'!$B$1:$U$1,0)))))</f>
        <v>40016.800000000003</v>
      </c>
      <c r="C109" s="7">
        <f>IF($A109&lt;=1951,INDEX('SALA 1974'!$B:$U,MATCH($A109,'SALA 1974'!$A:$A,0),MATCH(C$1,'SALA 1974'!$B$1:$U$1,0)),IF($A109&lt;=1994,1000*INDEX('SALA 2002'!$B:$U,MATCH($A109,'SALA 2002'!$A:$A,0),MATCH(C$1,'SALA 2002'!$B$1:$U$1,0)),IF($A109&lt;=2000,1000*INDEX('SALA 2002'!$B:$U,MATCH($A109,'SALA 2002'!$A:$A,0),MATCH(C$1,'SALA 2002'!$B$1:$U$1,0))*POWER(INDEX('WPP 2024 середина года'!$B:$U,MATCH($A109,'WPP 2024 середина года'!$A:$A,0),MATCH(C$1,'WPP 2024 середина года'!$B$1:$U$1,0))/(1000*INDEX('SALA 2002'!$B:$U,MATCH($A109,'SALA 2002'!$A:$A,0),MATCH(C$1,'SALA 2002'!$B$1:$U$1,0))),($A109-1994)/7),INDEX('WPP 2024 середина года'!$B:$U,MATCH($A109,'WPP 2024 середина года'!$A:$A,0),MATCH(C$1,'WPP 2024 середина года'!$B$1:$U$1,0)))))</f>
        <v>9686</v>
      </c>
      <c r="D109" s="7">
        <f>IF($A109&lt;=1951,INDEX('SALA 1974'!$B:$U,MATCH($A109,'SALA 1974'!$A:$A,0),MATCH(D$1,'SALA 1974'!$B$1:$U$1,0)),IF($A109&lt;=1994,1000*INDEX('SALA 2002'!$B:$U,MATCH($A109,'SALA 2002'!$A:$A,0),MATCH(D$1,'SALA 2002'!$B$1:$U$1,0)),IF($A109&lt;=2000,1000*INDEX('SALA 2002'!$B:$U,MATCH($A109,'SALA 2002'!$A:$A,0),MATCH(D$1,'SALA 2002'!$B$1:$U$1,0))*POWER(INDEX('WPP 2024 середина года'!$B:$U,MATCH($A109,'WPP 2024 середина года'!$A:$A,0),MATCH(D$1,'WPP 2024 середина года'!$B$1:$U$1,0))/(1000*INDEX('SALA 2002'!$B:$U,MATCH($A109,'SALA 2002'!$A:$A,0),MATCH(D$1,'SALA 2002'!$B$1:$U$1,0))),($A109-1994)/7),INDEX('WPP 2024 середина года'!$B:$U,MATCH($A109,'WPP 2024 середина года'!$A:$A,0),MATCH(D$1,'WPP 2024 середина года'!$B$1:$U$1,0)))))</f>
        <v>188552.3</v>
      </c>
      <c r="E109" s="7">
        <f>IF($A109&lt;=1951,INDEX('SALA 1974'!$B:$U,MATCH($A109,'SALA 1974'!$A:$A,0),MATCH(E$1,'SALA 1974'!$B$1:$U$1,0)),IF($A109&lt;=1994,1000*INDEX('SALA 2002'!$B:$U,MATCH($A109,'SALA 2002'!$A:$A,0),MATCH(E$1,'SALA 2002'!$B$1:$U$1,0)),IF($A109&lt;=2000,1000*INDEX('SALA 2002'!$B:$U,MATCH($A109,'SALA 2002'!$A:$A,0),MATCH(E$1,'SALA 2002'!$B$1:$U$1,0))*POWER(INDEX('WPP 2024 середина года'!$B:$U,MATCH($A109,'WPP 2024 середина года'!$A:$A,0),MATCH(E$1,'WPP 2024 середина года'!$B$1:$U$1,0))/(1000*INDEX('SALA 2002'!$B:$U,MATCH($A109,'SALA 2002'!$A:$A,0),MATCH(E$1,'SALA 2002'!$B$1:$U$1,0))),($A109-1994)/7),INDEX('WPP 2024 середина года'!$B:$U,MATCH($A109,'WPP 2024 середина года'!$A:$A,0),MATCH(E$1,'WPP 2024 середина года'!$B$1:$U$1,0)))))</f>
        <v>16671.599999999999</v>
      </c>
      <c r="F109" s="7">
        <f>IF($A109&lt;=1947,INDEX('SALA 1974'!$B:$U,MATCH($A109,'SALA 1974'!$A:$A,0),MATCH(F$1,'SALA 1974'!$B$1:$U$1,0)),IF($A109&lt;=1994,1000*INDEX('SALA 2002'!$B:$U,MATCH($A109,'SALA 2002'!$A:$A,0),MATCH(F$1,'SALA 2002'!$B$1:$U$1,0)),IF($A109&lt;=2000,1000*INDEX('SALA 2002'!$B:$U,MATCH($A109,'SALA 2002'!$A:$A,0),MATCH(F$1,'SALA 2002'!$B$1:$U$1,0))*POWER(INDEX('WPP 2024 середина года'!$B:$U,MATCH($A109,'WPP 2024 середина года'!$A:$A,0),MATCH(F$1,'WPP 2024 середина года'!$B$1:$U$1,0))/(1000*INDEX('SALA 2002'!$B:$U,MATCH($A109,'SALA 2002'!$A:$A,0),MATCH(F$1,'SALA 2002'!$B$1:$U$1,0))),($A109-1994)/7),INDEX('WPP 2024 середина года'!$B:$U,MATCH($A109,'WPP 2024 середина года'!$A:$A,0),MATCH(F$1,'WPP 2024 середина года'!$B$1:$U$1,0)))))</f>
        <v>43235.4</v>
      </c>
      <c r="G109" s="7">
        <f>IF($A109&lt;=1951,INDEX('SALA 1974'!$B:$U,MATCH($A109,'SALA 1974'!$A:$A,0),MATCH(G$1,'SALA 1974'!$B$1:$U$1,0)),IF($A109&lt;=1994,1000*INDEX('SALA 2002'!$B:$U,MATCH($A109,'SALA 2002'!$A:$A,0),MATCH(G$1,'SALA 2002'!$B$1:$U$1,0)),IF($A109&lt;=2000,1000*INDEX('SALA 2002'!$B:$U,MATCH($A109,'SALA 2002'!$A:$A,0),MATCH(G$1,'SALA 2002'!$B$1:$U$1,0))*POWER(INDEX('WPP 2024 середина года'!$B:$U,MATCH($A109,'WPP 2024 середина года'!$A:$A,0),MATCH(G$1,'WPP 2024 середина года'!$B$1:$U$1,0))/(1000*INDEX('SALA 2002'!$B:$U,MATCH($A109,'SALA 2002'!$A:$A,0),MATCH(G$1,'SALA 2002'!$B$1:$U$1,0))),($A109-1994)/7),INDEX('WPP 2024 середина года'!$B:$U,MATCH($A109,'WPP 2024 середина года'!$A:$A,0),MATCH(G$1,'WPP 2024 середина года'!$B$1:$U$1,0)))))</f>
        <v>4380.2</v>
      </c>
      <c r="H109" s="7">
        <f>IF($A109&lt;=1951,INDEX('SALA 1974'!$B:$U,MATCH($A109,'SALA 1974'!$A:$A,0),MATCH(H$1,'SALA 1974'!$B$1:$U$1,0)),IF($A109&lt;=1994,1000*INDEX('SALA 2002'!$B:$U,MATCH($A109,'SALA 2002'!$A:$A,0),MATCH(H$1,'SALA 2002'!$B$1:$U$1,0)),IF($A109&lt;=2000,1000*INDEX('SALA 2002'!$B:$U,MATCH($A109,'SALA 2002'!$A:$A,0),MATCH(H$1,'SALA 2002'!$B$1:$U$1,0))*POWER(INDEX('WPP 2024 середина года'!$B:$U,MATCH($A109,'WPP 2024 середина года'!$A:$A,0),MATCH(H$1,'WPP 2024 середина года'!$B$1:$U$1,0))/(1000*INDEX('SALA 2002'!$B:$U,MATCH($A109,'SALA 2002'!$A:$A,0),MATCH(H$1,'SALA 2002'!$B$1:$U$1,0))),($A109-1994)/7),INDEX('WPP 2024 середина года'!$B:$U,MATCH($A109,'WPP 2024 середина года'!$A:$A,0),MATCH(H$1,'WPP 2024 середина года'!$B$1:$U$1,0)))))</f>
        <v>11287.3</v>
      </c>
      <c r="I109" s="7">
        <f>IF($A109&lt;=1951,INDEX('SALA 1974'!$B:$U,MATCH($A109,'SALA 1974'!$A:$A,0),MATCH(I$1,'SALA 1974'!$B$1:$U$1,0)),IF($A109&lt;=1994,1000*INDEX('SALA 2002'!$B:$U,MATCH($A109,'SALA 2002'!$A:$A,0),MATCH(I$1,'SALA 2002'!$B$1:$U$1,0)),IF($A109&lt;=2000,1000*INDEX('SALA 2002'!$B:$U,MATCH($A109,'SALA 2002'!$A:$A,0),MATCH(I$1,'SALA 2002'!$B$1:$U$1,0))*POWER(INDEX('WPP 2024 середина года'!$B:$U,MATCH($A109,'WPP 2024 середина года'!$A:$A,0),MATCH(I$1,'WPP 2024 середина года'!$B$1:$U$1,0))/(1000*INDEX('SALA 2002'!$B:$U,MATCH($A109,'SALA 2002'!$A:$A,0),MATCH(I$1,'SALA 2002'!$B$1:$U$1,0))),($A109-1994)/7),INDEX('WPP 2024 середина года'!$B:$U,MATCH($A109,'WPP 2024 середина года'!$A:$A,0),MATCH(I$1,'WPP 2024 середина года'!$B$1:$U$1,0)))))</f>
        <v>9455.7000000000007</v>
      </c>
      <c r="J109" s="7">
        <f>IF($A109&lt;=1951,INDEX('SALA 1974'!$B:$U,MATCH($A109,'SALA 1974'!$A:$A,0),MATCH(J$1,'SALA 1974'!$B$1:$U$1,0)),IF($A109&lt;=1994,1000*INDEX('SALA 2002'!$B:$U,MATCH($A109,'SALA 2002'!$A:$A,0),MATCH(J$1,'SALA 2002'!$B$1:$U$1,0)),IF($A109&lt;=2000,1000*INDEX('SALA 2002'!$B:$U,MATCH($A109,'SALA 2002'!$A:$A,0),MATCH(J$1,'SALA 2002'!$B$1:$U$1,0))*POWER(INDEX('WPP 2024 середина года'!$B:$U,MATCH($A109,'WPP 2024 середина года'!$A:$A,0),MATCH(J$1,'WPP 2024 середина года'!$B$1:$U$1,0))/(1000*INDEX('SALA 2002'!$B:$U,MATCH($A109,'SALA 2002'!$A:$A,0),MATCH(J$1,'SALA 2002'!$B$1:$U$1,0))),($A109-1994)/7),INDEX('WPP 2024 середина года'!$B:$U,MATCH($A109,'WPP 2024 середина года'!$A:$A,0),MATCH(J$1,'WPP 2024 середина года'!$B$1:$U$1,0)))))</f>
        <v>14328.8</v>
      </c>
      <c r="K109" s="7">
        <f>IF($A109&lt;=1951,INDEX('SALA 1974'!$B:$U,MATCH($A109,'SALA 1974'!$A:$A,0),MATCH(K$1,'SALA 1974'!$B$1:$U$1,0)),IF($A109&lt;=1994,1000*INDEX('SALA 2002'!$B:$U,MATCH($A109,'SALA 2002'!$A:$A,0),MATCH(K$1,'SALA 2002'!$B$1:$U$1,0)),IF($A109&lt;=2000,1000*INDEX('SALA 2002'!$B:$U,MATCH($A109,'SALA 2002'!$A:$A,0),MATCH(K$1,'SALA 2002'!$B$1:$U$1,0))*POWER(INDEX('WPP 2024 середина года'!$B:$U,MATCH($A109,'WPP 2024 середина года'!$A:$A,0),MATCH(K$1,'WPP 2024 середина года'!$B$1:$U$1,0))/(1000*INDEX('SALA 2002'!$B:$U,MATCH($A109,'SALA 2002'!$A:$A,0),MATCH(K$1,'SALA 2002'!$B$1:$U$1,0))),($A109-1994)/7),INDEX('WPP 2024 середина года'!$B:$U,MATCH($A109,'WPP 2024 середина года'!$A:$A,0),MATCH(K$1,'WPP 2024 середина года'!$B$1:$U$1,0)))))</f>
        <v>6009.8</v>
      </c>
      <c r="L109" s="7">
        <f>IF($A109&lt;=1951,INDEX('SALA 1974'!$B:$U,MATCH($A109,'SALA 1974'!$A:$A,0),MATCH(L$1,'SALA 1974'!$B$1:$U$1,0)),IF($A109&lt;=1994,1000*INDEX('SALA 2002'!$B:$U,MATCH($A109,'SALA 2002'!$A:$A,0),MATCH(L$1,'SALA 2002'!$B$1:$U$1,0)),IF($A109&lt;=2000,1000*INDEX('SALA 2002'!$B:$U,MATCH($A109,'SALA 2002'!$A:$A,0),MATCH(L$1,'SALA 2002'!$B$1:$U$1,0))*POWER(INDEX('WPP 2024 середина года'!$B:$U,MATCH($A109,'WPP 2024 середина года'!$A:$A,0),MATCH(L$1,'WPP 2024 середина года'!$B$1:$U$1,0))/(1000*INDEX('SALA 2002'!$B:$U,MATCH($A109,'SALA 2002'!$A:$A,0),MATCH(L$1,'SALA 2002'!$B$1:$U$1,0))),($A109-1994)/7),INDEX('WPP 2024 середина года'!$B:$U,MATCH($A109,'WPP 2024 середина года'!$A:$A,0),MATCH(L$1,'WPP 2024 середина года'!$B$1:$U$1,0)))))</f>
        <v>13652</v>
      </c>
      <c r="M109" s="7">
        <f>IF($A109&lt;=1951,INDEX('SALA 1974'!$B:$U,MATCH($A109,'SALA 1974'!$A:$A,0),MATCH(M$1,'SALA 1974'!$B$1:$U$1,0)),IF($A109&lt;=1994,1000*INDEX('SALA 2002'!$B:$U,MATCH($A109,'SALA 2002'!$A:$A,0),MATCH(M$1,'SALA 2002'!$B$1:$U$1,0)),IF($A109&lt;=2000,1000*INDEX('SALA 2002'!$B:$U,MATCH($A109,'SALA 2002'!$A:$A,0),MATCH(M$1,'SALA 2002'!$B$1:$U$1,0))*POWER(INDEX('WPP 2024 середина года'!$B:$U,MATCH($A109,'WPP 2024 середина года'!$A:$A,0),MATCH(M$1,'WPP 2024 середина года'!$B$1:$U$1,0))/(1000*INDEX('SALA 2002'!$B:$U,MATCH($A109,'SALA 2002'!$A:$A,0),MATCH(M$1,'SALA 2002'!$B$1:$U$1,0))),($A109-1994)/7),INDEX('WPP 2024 середина года'!$B:$U,MATCH($A109,'WPP 2024 середина года'!$A:$A,0),MATCH(M$1,'WPP 2024 середина года'!$B$1:$U$1,0)))))</f>
        <v>9373.2999999999993</v>
      </c>
      <c r="N109" s="7">
        <f>IF($A109&lt;=1951,INDEX('SALA 1974'!$B:$U,MATCH($A109,'SALA 1974'!$A:$A,0),MATCH(N$1,'SALA 1974'!$B$1:$U$1,0)),IF($A109&lt;=1994,1000*INDEX('SALA 2002'!$B:$U,MATCH($A109,'SALA 2002'!$A:$A,0),MATCH(N$1,'SALA 2002'!$B$1:$U$1,0)),IF($A109&lt;=2000,1000*INDEX('SALA 2002'!$B:$U,MATCH($A109,'SALA 2002'!$A:$A,0),MATCH(N$1,'SALA 2002'!$B$1:$U$1,0))*POWER(INDEX('WPP 2024 середина года'!$B:$U,MATCH($A109,'WPP 2024 середина года'!$A:$A,0),MATCH(N$1,'WPP 2024 середина года'!$B$1:$U$1,0))/(1000*INDEX('SALA 2002'!$B:$U,MATCH($A109,'SALA 2002'!$A:$A,0),MATCH(N$1,'SALA 2002'!$B$1:$U$1,0))),($A109-1994)/7),INDEX('WPP 2024 середина года'!$B:$U,MATCH($A109,'WPP 2024 середина года'!$A:$A,0),MATCH(N$1,'WPP 2024 середина года'!$B$1:$U$1,0)))))</f>
        <v>7834.8</v>
      </c>
      <c r="O109" s="7">
        <f>IF($A109&lt;=1951,INDEX('SALA 1974'!$B:$U,MATCH($A109,'SALA 1974'!$A:$A,0),MATCH(O$1,'SALA 1974'!$B$1:$U$1,0)),IF($A109&lt;=1994,1000*INDEX('SALA 2002'!$B:$U,MATCH($A109,'SALA 2002'!$A:$A,0),MATCH(O$1,'SALA 2002'!$B$1:$U$1,0)),IF($A109&lt;=2000,1000*INDEX('SALA 2002'!$B:$U,MATCH($A109,'SALA 2002'!$A:$A,0),MATCH(O$1,'SALA 2002'!$B$1:$U$1,0))*POWER(INDEX('WPP 2024 середина года'!$B:$U,MATCH($A109,'WPP 2024 середина года'!$A:$A,0),MATCH(O$1,'WPP 2024 середина года'!$B$1:$U$1,0))/(1000*INDEX('SALA 2002'!$B:$U,MATCH($A109,'SALA 2002'!$A:$A,0),MATCH(O$1,'SALA 2002'!$B$1:$U$1,0))),($A109-1994)/7),INDEX('WPP 2024 середина года'!$B:$U,MATCH($A109,'WPP 2024 середина года'!$A:$A,0),MATCH(O$1,'WPP 2024 середина года'!$B$1:$U$1,0)))))</f>
        <v>108774.39999999999</v>
      </c>
      <c r="P109" s="7">
        <f>IF($A109&lt;=1951,INDEX('SALA 1974'!$B:$U,MATCH($A109,'SALA 1974'!$A:$A,0),MATCH(P$1,'SALA 1974'!$B$1:$U$1,0)),IF($A109&lt;=1994,1000*INDEX('SALA 2002'!$B:$U,MATCH($A109,'SALA 2002'!$A:$A,0),MATCH(P$1,'SALA 2002'!$B$1:$U$1,0)),IF($A109&lt;=2000,1000*INDEX('SALA 2002'!$B:$U,MATCH($A109,'SALA 2002'!$A:$A,0),MATCH(P$1,'SALA 2002'!$B$1:$U$1,0))*POWER(INDEX('WPP 2024 середина года'!$B:$U,MATCH($A109,'WPP 2024 середина года'!$A:$A,0),MATCH(P$1,'WPP 2024 середина года'!$B$1:$U$1,0))/(1000*INDEX('SALA 2002'!$B:$U,MATCH($A109,'SALA 2002'!$A:$A,0),MATCH(P$1,'SALA 2002'!$B$1:$U$1,0))),($A109-1994)/7),INDEX('WPP 2024 середина года'!$B:$U,MATCH($A109,'WPP 2024 середина года'!$A:$A,0),MATCH(P$1,'WPP 2024 середина года'!$B$1:$U$1,0)))))</f>
        <v>5497.2</v>
      </c>
      <c r="Q109" s="7">
        <f>IF($A109&lt;=1951,INDEX('SALA 1974'!$B:$U,MATCH($A109,'SALA 1974'!$A:$A,0),MATCH(Q$1,'SALA 1974'!$B$1:$U$1,0)),IF($A109&lt;=1994,1000*INDEX('SALA 2002'!$B:$U,MATCH($A109,'SALA 2002'!$A:$A,0),MATCH(Q$1,'SALA 2002'!$B$1:$U$1,0)),IF($A109&lt;=2000,1000*INDEX('SALA 2002'!$B:$U,MATCH($A109,'SALA 2002'!$A:$A,0),MATCH(Q$1,'SALA 2002'!$B$1:$U$1,0))*POWER(INDEX('WPP 2024 середина года'!$B:$U,MATCH($A109,'WPP 2024 середина года'!$A:$A,0),MATCH(Q$1,'WPP 2024 середина года'!$B$1:$U$1,0))/(1000*INDEX('SALA 2002'!$B:$U,MATCH($A109,'SALA 2002'!$A:$A,0),MATCH(Q$1,'SALA 2002'!$B$1:$U$1,0))),($A109-1994)/7),INDEX('WPP 2024 середина года'!$B:$U,MATCH($A109,'WPP 2024 середина года'!$A:$A,0),MATCH(Q$1,'WPP 2024 середина года'!$B$1:$U$1,0)))))</f>
        <v>3437.5</v>
      </c>
      <c r="R109" s="7">
        <f>IF($A109&lt;=1951,INDEX('SALA 1974'!$B:$U,MATCH($A109,'SALA 1974'!$A:$A,0),MATCH(R$1,'SALA 1974'!$B$1:$U$1,0)),IF($A109&lt;=1994,1000*INDEX('SALA 2002'!$B:$U,MATCH($A109,'SALA 2002'!$A:$A,0),MATCH(R$1,'SALA 2002'!$B$1:$U$1,0)),IF($A109&lt;=2000,1000*INDEX('SALA 2002'!$B:$U,MATCH($A109,'SALA 2002'!$A:$A,0),MATCH(R$1,'SALA 2002'!$B$1:$U$1,0))*POWER(INDEX('WPP 2024 середина года'!$B:$U,MATCH($A109,'WPP 2024 середина года'!$A:$A,0),MATCH(R$1,'WPP 2024 середина года'!$B$1:$U$1,0))/(1000*INDEX('SALA 2002'!$B:$U,MATCH($A109,'SALA 2002'!$A:$A,0),MATCH(R$1,'SALA 2002'!$B$1:$U$1,0))),($A109-1994)/7),INDEX('WPP 2024 середина года'!$B:$U,MATCH($A109,'WPP 2024 середина года'!$A:$A,0),MATCH(R$1,'WPP 2024 середина года'!$B$1:$U$1,0)))))</f>
        <v>5559.4</v>
      </c>
      <c r="S109" s="7">
        <f>IF($A109&lt;=1951,INDEX('SALA 1974'!$B:$U,MATCH($A109,'SALA 1974'!$A:$A,0),MATCH(S$1,'SALA 1974'!$B$1:$U$1,0)),IF($A109&lt;=1994,1000*INDEX('SALA 2002'!$B:$U,MATCH($A109,'SALA 2002'!$A:$A,0),MATCH(S$1,'SALA 2002'!$B$1:$U$1,0)),IF($A109&lt;=2000,1000*INDEX('SALA 2002'!$B:$U,MATCH($A109,'SALA 2002'!$A:$A,0),MATCH(S$1,'SALA 2002'!$B$1:$U$1,0))*POWER(INDEX('WPP 2024 середина года'!$B:$U,MATCH($A109,'WPP 2024 середина года'!$A:$A,0),MATCH(S$1,'WPP 2024 середина года'!$B$1:$U$1,0))/(1000*INDEX('SALA 2002'!$B:$U,MATCH($A109,'SALA 2002'!$A:$A,0),MATCH(S$1,'SALA 2002'!$B$1:$U$1,0))),($A109-1994)/7),INDEX('WPP 2024 середина года'!$B:$U,MATCH($A109,'WPP 2024 середина года'!$A:$A,0),MATCH(S$1,'WPP 2024 середина года'!$B$1:$U$1,0)))))</f>
        <v>28530.7</v>
      </c>
      <c r="T109" s="7">
        <f>IF($A109&lt;=1951,INDEX('SALA 1974'!$B:$U,MATCH($A109,'SALA 1974'!$A:$A,0),MATCH(T$1,'SALA 1974'!$B$1:$U$1,0)),IF($A109&lt;=1994,1000*INDEX('SALA 2002'!$B:$U,MATCH($A109,'SALA 2002'!$A:$A,0),MATCH(T$1,'SALA 2002'!$B$1:$U$1,0)),IF($A109&lt;=2000,1000*INDEX('SALA 2002'!$B:$U,MATCH($A109,'SALA 2002'!$A:$A,0),MATCH(T$1,'SALA 2002'!$B$1:$U$1,0))*POWER(INDEX('WPP 2024 середина года'!$B:$U,MATCH($A109,'WPP 2024 середина года'!$A:$A,0),MATCH(T$1,'WPP 2024 середина года'!$B$1:$U$1,0))/(1000*INDEX('SALA 2002'!$B:$U,MATCH($A109,'SALA 2002'!$A:$A,0),MATCH(T$1,'SALA 2002'!$B$1:$U$1,0))),($A109-1994)/7),INDEX('WPP 2024 середина года'!$B:$U,MATCH($A109,'WPP 2024 середина года'!$A:$A,0),MATCH(T$1,'WPP 2024 середина года'!$B$1:$U$1,0)))))</f>
        <v>3295.2</v>
      </c>
      <c r="U109" s="7">
        <f>IF($A109&lt;=1951,INDEX('SALA 1974'!$B:$U,MATCH($A109,'SALA 1974'!$A:$A,0),MATCH(U$1,'SALA 1974'!$B$1:$U$1,0)),IF($A109&lt;=1994,1000*INDEX('SALA 2002'!$B:$U,MATCH($A109,'SALA 2002'!$A:$A,0),MATCH(U$1,'SALA 2002'!$B$1:$U$1,0)),IF($A109&lt;=2000,1000*INDEX('SALA 2002'!$B:$U,MATCH($A109,'SALA 2002'!$A:$A,0),MATCH(U$1,'SALA 2002'!$B$1:$U$1,0))*POWER(INDEX('WPP 2024 середина года'!$B:$U,MATCH($A109,'WPP 2024 середина года'!$A:$A,0),MATCH(U$1,'WPP 2024 середина года'!$B$1:$U$1,0))/(1000*INDEX('SALA 2002'!$B:$U,MATCH($A109,'SALA 2002'!$A:$A,0),MATCH(U$1,'SALA 2002'!$B$1:$U$1,0))),($A109-1994)/7),INDEX('WPP 2024 середина года'!$B:$U,MATCH($A109,'WPP 2024 середина года'!$A:$A,0),MATCH(U$1,'WPP 2024 середина года'!$B$1:$U$1,0)))))</f>
        <v>27649.4</v>
      </c>
    </row>
    <row r="110" spans="1:21" x14ac:dyDescent="0.25">
      <c r="A110" s="5">
        <f t="shared" si="1"/>
        <v>2008</v>
      </c>
      <c r="B110" s="7">
        <f>IF($A110&lt;=1951,INDEX('SALA 1974'!$B:$U,MATCH($A110,'SALA 1974'!$A:$A,0),MATCH(B$1,'SALA 1974'!$B$1:$U$1,0)),IF($A110&lt;=1994,1000*INDEX('SALA 2002'!$B:$U,MATCH($A110,'SALA 2002'!$A:$A,0),MATCH(B$1,'SALA 2002'!$B$1:$U$1,0)),IF($A110&lt;=2000,1000*INDEX('SALA 2002'!$B:$U,MATCH($A110,'SALA 2002'!$A:$A,0),MATCH(B$1,'SALA 2002'!$B$1:$U$1,0))*POWER(INDEX('WPP 2024 середина года'!$B:$U,MATCH($A110,'WPP 2024 середина года'!$A:$A,0),MATCH(B$1,'WPP 2024 середина года'!$B$1:$U$1,0))/(1000*INDEX('SALA 2002'!$B:$U,MATCH($A110,'SALA 2002'!$A:$A,0),MATCH(B$1,'SALA 2002'!$B$1:$U$1,0))),($A110-1994)/7),INDEX('WPP 2024 середина года'!$B:$U,MATCH($A110,'WPP 2024 середина года'!$A:$A,0),MATCH(B$1,'WPP 2024 середина года'!$B$1:$U$1,0)))))</f>
        <v>40424.1</v>
      </c>
      <c r="C110" s="7">
        <f>IF($A110&lt;=1951,INDEX('SALA 1974'!$B:$U,MATCH($A110,'SALA 1974'!$A:$A,0),MATCH(C$1,'SALA 1974'!$B$1:$U$1,0)),IF($A110&lt;=1994,1000*INDEX('SALA 2002'!$B:$U,MATCH($A110,'SALA 2002'!$A:$A,0),MATCH(C$1,'SALA 2002'!$B$1:$U$1,0)),IF($A110&lt;=2000,1000*INDEX('SALA 2002'!$B:$U,MATCH($A110,'SALA 2002'!$A:$A,0),MATCH(C$1,'SALA 2002'!$B$1:$U$1,0))*POWER(INDEX('WPP 2024 середина года'!$B:$U,MATCH($A110,'WPP 2024 середина года'!$A:$A,0),MATCH(C$1,'WPP 2024 середина года'!$B$1:$U$1,0))/(1000*INDEX('SALA 2002'!$B:$U,MATCH($A110,'SALA 2002'!$A:$A,0),MATCH(C$1,'SALA 2002'!$B$1:$U$1,0))),($A110-1994)/7),INDEX('WPP 2024 середина года'!$B:$U,MATCH($A110,'WPP 2024 середина года'!$A:$A,0),MATCH(C$1,'WPP 2024 середина года'!$B$1:$U$1,0)))))</f>
        <v>9850.9</v>
      </c>
      <c r="D110" s="7">
        <f>IF($A110&lt;=1951,INDEX('SALA 1974'!$B:$U,MATCH($A110,'SALA 1974'!$A:$A,0),MATCH(D$1,'SALA 1974'!$B$1:$U$1,0)),IF($A110&lt;=1994,1000*INDEX('SALA 2002'!$B:$U,MATCH($A110,'SALA 2002'!$A:$A,0),MATCH(D$1,'SALA 2002'!$B$1:$U$1,0)),IF($A110&lt;=2000,1000*INDEX('SALA 2002'!$B:$U,MATCH($A110,'SALA 2002'!$A:$A,0),MATCH(D$1,'SALA 2002'!$B$1:$U$1,0))*POWER(INDEX('WPP 2024 середина года'!$B:$U,MATCH($A110,'WPP 2024 середина года'!$A:$A,0),MATCH(D$1,'WPP 2024 середина года'!$B$1:$U$1,0))/(1000*INDEX('SALA 2002'!$B:$U,MATCH($A110,'SALA 2002'!$A:$A,0),MATCH(D$1,'SALA 2002'!$B$1:$U$1,0))),($A110-1994)/7),INDEX('WPP 2024 середина года'!$B:$U,MATCH($A110,'WPP 2024 середина года'!$A:$A,0),MATCH(D$1,'WPP 2024 середина года'!$B$1:$U$1,0)))))</f>
        <v>190367.3</v>
      </c>
      <c r="E110" s="7">
        <f>IF($A110&lt;=1951,INDEX('SALA 1974'!$B:$U,MATCH($A110,'SALA 1974'!$A:$A,0),MATCH(E$1,'SALA 1974'!$B$1:$U$1,0)),IF($A110&lt;=1994,1000*INDEX('SALA 2002'!$B:$U,MATCH($A110,'SALA 2002'!$A:$A,0),MATCH(E$1,'SALA 2002'!$B$1:$U$1,0)),IF($A110&lt;=2000,1000*INDEX('SALA 2002'!$B:$U,MATCH($A110,'SALA 2002'!$A:$A,0),MATCH(E$1,'SALA 2002'!$B$1:$U$1,0))*POWER(INDEX('WPP 2024 середина года'!$B:$U,MATCH($A110,'WPP 2024 середина года'!$A:$A,0),MATCH(E$1,'WPP 2024 середина года'!$B$1:$U$1,0))/(1000*INDEX('SALA 2002'!$B:$U,MATCH($A110,'SALA 2002'!$A:$A,0),MATCH(E$1,'SALA 2002'!$B$1:$U$1,0))),($A110-1994)/7),INDEX('WPP 2024 середина года'!$B:$U,MATCH($A110,'WPP 2024 середина года'!$A:$A,0),MATCH(E$1,'WPP 2024 середина года'!$B$1:$U$1,0)))))</f>
        <v>16839</v>
      </c>
      <c r="F110" s="7">
        <f>IF($A110&lt;=1947,INDEX('SALA 1974'!$B:$U,MATCH($A110,'SALA 1974'!$A:$A,0),MATCH(F$1,'SALA 1974'!$B$1:$U$1,0)),IF($A110&lt;=1994,1000*INDEX('SALA 2002'!$B:$U,MATCH($A110,'SALA 2002'!$A:$A,0),MATCH(F$1,'SALA 2002'!$B$1:$U$1,0)),IF($A110&lt;=2000,1000*INDEX('SALA 2002'!$B:$U,MATCH($A110,'SALA 2002'!$A:$A,0),MATCH(F$1,'SALA 2002'!$B$1:$U$1,0))*POWER(INDEX('WPP 2024 середина года'!$B:$U,MATCH($A110,'WPP 2024 середина года'!$A:$A,0),MATCH(F$1,'WPP 2024 середина года'!$B$1:$U$1,0))/(1000*INDEX('SALA 2002'!$B:$U,MATCH($A110,'SALA 2002'!$A:$A,0),MATCH(F$1,'SALA 2002'!$B$1:$U$1,0))),($A110-1994)/7),INDEX('WPP 2024 середина года'!$B:$U,MATCH($A110,'WPP 2024 середина года'!$A:$A,0),MATCH(F$1,'WPP 2024 середина года'!$B$1:$U$1,0)))))</f>
        <v>43758.8</v>
      </c>
      <c r="G110" s="7">
        <f>IF($A110&lt;=1951,INDEX('SALA 1974'!$B:$U,MATCH($A110,'SALA 1974'!$A:$A,0),MATCH(G$1,'SALA 1974'!$B$1:$U$1,0)),IF($A110&lt;=1994,1000*INDEX('SALA 2002'!$B:$U,MATCH($A110,'SALA 2002'!$A:$A,0),MATCH(G$1,'SALA 2002'!$B$1:$U$1,0)),IF($A110&lt;=2000,1000*INDEX('SALA 2002'!$B:$U,MATCH($A110,'SALA 2002'!$A:$A,0),MATCH(G$1,'SALA 2002'!$B$1:$U$1,0))*POWER(INDEX('WPP 2024 середина года'!$B:$U,MATCH($A110,'WPP 2024 середина года'!$A:$A,0),MATCH(G$1,'WPP 2024 середина года'!$B$1:$U$1,0))/(1000*INDEX('SALA 2002'!$B:$U,MATCH($A110,'SALA 2002'!$A:$A,0),MATCH(G$1,'SALA 2002'!$B$1:$U$1,0))),($A110-1994)/7),INDEX('WPP 2024 середина года'!$B:$U,MATCH($A110,'WPP 2024 середина года'!$A:$A,0),MATCH(G$1,'WPP 2024 середина года'!$B$1:$U$1,0)))))</f>
        <v>4440.1000000000004</v>
      </c>
      <c r="H110" s="7">
        <f>IF($A110&lt;=1951,INDEX('SALA 1974'!$B:$U,MATCH($A110,'SALA 1974'!$A:$A,0),MATCH(H$1,'SALA 1974'!$B$1:$U$1,0)),IF($A110&lt;=1994,1000*INDEX('SALA 2002'!$B:$U,MATCH($A110,'SALA 2002'!$A:$A,0),MATCH(H$1,'SALA 2002'!$B$1:$U$1,0)),IF($A110&lt;=2000,1000*INDEX('SALA 2002'!$B:$U,MATCH($A110,'SALA 2002'!$A:$A,0),MATCH(H$1,'SALA 2002'!$B$1:$U$1,0))*POWER(INDEX('WPP 2024 середина года'!$B:$U,MATCH($A110,'WPP 2024 середина года'!$A:$A,0),MATCH(H$1,'WPP 2024 середина года'!$B$1:$U$1,0))/(1000*INDEX('SALA 2002'!$B:$U,MATCH($A110,'SALA 2002'!$A:$A,0),MATCH(H$1,'SALA 2002'!$B$1:$U$1,0))),($A110-1994)/7),INDEX('WPP 2024 середина года'!$B:$U,MATCH($A110,'WPP 2024 середина года'!$A:$A,0),MATCH(H$1,'WPP 2024 середина года'!$B$1:$U$1,0)))))</f>
        <v>11291.8</v>
      </c>
      <c r="I110" s="7">
        <f>IF($A110&lt;=1951,INDEX('SALA 1974'!$B:$U,MATCH($A110,'SALA 1974'!$A:$A,0),MATCH(I$1,'SALA 1974'!$B$1:$U$1,0)),IF($A110&lt;=1994,1000*INDEX('SALA 2002'!$B:$U,MATCH($A110,'SALA 2002'!$A:$A,0),MATCH(I$1,'SALA 2002'!$B$1:$U$1,0)),IF($A110&lt;=2000,1000*INDEX('SALA 2002'!$B:$U,MATCH($A110,'SALA 2002'!$A:$A,0),MATCH(I$1,'SALA 2002'!$B$1:$U$1,0))*POWER(INDEX('WPP 2024 середина года'!$B:$U,MATCH($A110,'WPP 2024 середина года'!$A:$A,0),MATCH(I$1,'WPP 2024 середина года'!$B$1:$U$1,0))/(1000*INDEX('SALA 2002'!$B:$U,MATCH($A110,'SALA 2002'!$A:$A,0),MATCH(I$1,'SALA 2002'!$B$1:$U$1,0))),($A110-1994)/7),INDEX('WPP 2024 середина года'!$B:$U,MATCH($A110,'WPP 2024 середина года'!$A:$A,0),MATCH(I$1,'WPP 2024 середина года'!$B$1:$U$1,0)))))</f>
        <v>9573.1</v>
      </c>
      <c r="J110" s="7">
        <f>IF($A110&lt;=1951,INDEX('SALA 1974'!$B:$U,MATCH($A110,'SALA 1974'!$A:$A,0),MATCH(J$1,'SALA 1974'!$B$1:$U$1,0)),IF($A110&lt;=1994,1000*INDEX('SALA 2002'!$B:$U,MATCH($A110,'SALA 2002'!$A:$A,0),MATCH(J$1,'SALA 2002'!$B$1:$U$1,0)),IF($A110&lt;=2000,1000*INDEX('SALA 2002'!$B:$U,MATCH($A110,'SALA 2002'!$A:$A,0),MATCH(J$1,'SALA 2002'!$B$1:$U$1,0))*POWER(INDEX('WPP 2024 середина года'!$B:$U,MATCH($A110,'WPP 2024 середина года'!$A:$A,0),MATCH(J$1,'WPP 2024 середина года'!$B$1:$U$1,0))/(1000*INDEX('SALA 2002'!$B:$U,MATCH($A110,'SALA 2002'!$A:$A,0),MATCH(J$1,'SALA 2002'!$B$1:$U$1,0))),($A110-1994)/7),INDEX('WPP 2024 середина года'!$B:$U,MATCH($A110,'WPP 2024 середина года'!$A:$A,0),MATCH(J$1,'WPP 2024 середина года'!$B$1:$U$1,0)))))</f>
        <v>14575.2</v>
      </c>
      <c r="K110" s="7">
        <f>IF($A110&lt;=1951,INDEX('SALA 1974'!$B:$U,MATCH($A110,'SALA 1974'!$A:$A,0),MATCH(K$1,'SALA 1974'!$B$1:$U$1,0)),IF($A110&lt;=1994,1000*INDEX('SALA 2002'!$B:$U,MATCH($A110,'SALA 2002'!$A:$A,0),MATCH(K$1,'SALA 2002'!$B$1:$U$1,0)),IF($A110&lt;=2000,1000*INDEX('SALA 2002'!$B:$U,MATCH($A110,'SALA 2002'!$A:$A,0),MATCH(K$1,'SALA 2002'!$B$1:$U$1,0))*POWER(INDEX('WPP 2024 середина года'!$B:$U,MATCH($A110,'WPP 2024 середина года'!$A:$A,0),MATCH(K$1,'WPP 2024 середина года'!$B$1:$U$1,0))/(1000*INDEX('SALA 2002'!$B:$U,MATCH($A110,'SALA 2002'!$A:$A,0),MATCH(K$1,'SALA 2002'!$B$1:$U$1,0))),($A110-1994)/7),INDEX('WPP 2024 середина года'!$B:$U,MATCH($A110,'WPP 2024 середина года'!$A:$A,0),MATCH(K$1,'WPP 2024 середина года'!$B$1:$U$1,0)))))</f>
        <v>6029.3</v>
      </c>
      <c r="L110" s="7">
        <f>IF($A110&lt;=1951,INDEX('SALA 1974'!$B:$U,MATCH($A110,'SALA 1974'!$A:$A,0),MATCH(L$1,'SALA 1974'!$B$1:$U$1,0)),IF($A110&lt;=1994,1000*INDEX('SALA 2002'!$B:$U,MATCH($A110,'SALA 2002'!$A:$A,0),MATCH(L$1,'SALA 2002'!$B$1:$U$1,0)),IF($A110&lt;=2000,1000*INDEX('SALA 2002'!$B:$U,MATCH($A110,'SALA 2002'!$A:$A,0),MATCH(L$1,'SALA 2002'!$B$1:$U$1,0))*POWER(INDEX('WPP 2024 середина года'!$B:$U,MATCH($A110,'WPP 2024 середина года'!$A:$A,0),MATCH(L$1,'WPP 2024 середина года'!$B$1:$U$1,0))/(1000*INDEX('SALA 2002'!$B:$U,MATCH($A110,'SALA 2002'!$A:$A,0),MATCH(L$1,'SALA 2002'!$B$1:$U$1,0))),($A110-1994)/7),INDEX('WPP 2024 середина года'!$B:$U,MATCH($A110,'WPP 2024 середина года'!$A:$A,0),MATCH(L$1,'WPP 2024 середина года'!$B$1:$U$1,0)))))</f>
        <v>13935.2</v>
      </c>
      <c r="M110" s="7">
        <f>IF($A110&lt;=1951,INDEX('SALA 1974'!$B:$U,MATCH($A110,'SALA 1974'!$A:$A,0),MATCH(M$1,'SALA 1974'!$B$1:$U$1,0)),IF($A110&lt;=1994,1000*INDEX('SALA 2002'!$B:$U,MATCH($A110,'SALA 2002'!$A:$A,0),MATCH(M$1,'SALA 2002'!$B$1:$U$1,0)),IF($A110&lt;=2000,1000*INDEX('SALA 2002'!$B:$U,MATCH($A110,'SALA 2002'!$A:$A,0),MATCH(M$1,'SALA 2002'!$B$1:$U$1,0))*POWER(INDEX('WPP 2024 середина года'!$B:$U,MATCH($A110,'WPP 2024 середина года'!$A:$A,0),MATCH(M$1,'WPP 2024 середина года'!$B$1:$U$1,0))/(1000*INDEX('SALA 2002'!$B:$U,MATCH($A110,'SALA 2002'!$A:$A,0),MATCH(M$1,'SALA 2002'!$B$1:$U$1,0))),($A110-1994)/7),INDEX('WPP 2024 середина года'!$B:$U,MATCH($A110,'WPP 2024 середина года'!$A:$A,0),MATCH(M$1,'WPP 2024 середина года'!$B$1:$U$1,0)))))</f>
        <v>9530.7999999999993</v>
      </c>
      <c r="N110" s="7">
        <f>IF($A110&lt;=1951,INDEX('SALA 1974'!$B:$U,MATCH($A110,'SALA 1974'!$A:$A,0),MATCH(N$1,'SALA 1974'!$B$1:$U$1,0)),IF($A110&lt;=1994,1000*INDEX('SALA 2002'!$B:$U,MATCH($A110,'SALA 2002'!$A:$A,0),MATCH(N$1,'SALA 2002'!$B$1:$U$1,0)),IF($A110&lt;=2000,1000*INDEX('SALA 2002'!$B:$U,MATCH($A110,'SALA 2002'!$A:$A,0),MATCH(N$1,'SALA 2002'!$B$1:$U$1,0))*POWER(INDEX('WPP 2024 середина года'!$B:$U,MATCH($A110,'WPP 2024 середина года'!$A:$A,0),MATCH(N$1,'WPP 2024 середина года'!$B$1:$U$1,0))/(1000*INDEX('SALA 2002'!$B:$U,MATCH($A110,'SALA 2002'!$A:$A,0),MATCH(N$1,'SALA 2002'!$B$1:$U$1,0))),($A110-1994)/7),INDEX('WPP 2024 середина года'!$B:$U,MATCH($A110,'WPP 2024 середина года'!$A:$A,0),MATCH(N$1,'WPP 2024 середина года'!$B$1:$U$1,0)))))</f>
        <v>8012.6</v>
      </c>
      <c r="O110" s="7">
        <f>IF($A110&lt;=1951,INDEX('SALA 1974'!$B:$U,MATCH($A110,'SALA 1974'!$A:$A,0),MATCH(O$1,'SALA 1974'!$B$1:$U$1,0)),IF($A110&lt;=1994,1000*INDEX('SALA 2002'!$B:$U,MATCH($A110,'SALA 2002'!$A:$A,0),MATCH(O$1,'SALA 2002'!$B$1:$U$1,0)),IF($A110&lt;=2000,1000*INDEX('SALA 2002'!$B:$U,MATCH($A110,'SALA 2002'!$A:$A,0),MATCH(O$1,'SALA 2002'!$B$1:$U$1,0))*POWER(INDEX('WPP 2024 середина года'!$B:$U,MATCH($A110,'WPP 2024 середина года'!$A:$A,0),MATCH(O$1,'WPP 2024 середина года'!$B$1:$U$1,0))/(1000*INDEX('SALA 2002'!$B:$U,MATCH($A110,'SALA 2002'!$A:$A,0),MATCH(O$1,'SALA 2002'!$B$1:$U$1,0))),($A110-1994)/7),INDEX('WPP 2024 середина года'!$B:$U,MATCH($A110,'WPP 2024 середина года'!$A:$A,0),MATCH(O$1,'WPP 2024 середина года'!$B$1:$U$1,0)))))</f>
        <v>110374.3</v>
      </c>
      <c r="P110" s="7">
        <f>IF($A110&lt;=1951,INDEX('SALA 1974'!$B:$U,MATCH($A110,'SALA 1974'!$A:$A,0),MATCH(P$1,'SALA 1974'!$B$1:$U$1,0)),IF($A110&lt;=1994,1000*INDEX('SALA 2002'!$B:$U,MATCH($A110,'SALA 2002'!$A:$A,0),MATCH(P$1,'SALA 2002'!$B$1:$U$1,0)),IF($A110&lt;=2000,1000*INDEX('SALA 2002'!$B:$U,MATCH($A110,'SALA 2002'!$A:$A,0),MATCH(P$1,'SALA 2002'!$B$1:$U$1,0))*POWER(INDEX('WPP 2024 середина года'!$B:$U,MATCH($A110,'WPP 2024 середина года'!$A:$A,0),MATCH(P$1,'WPP 2024 середина года'!$B$1:$U$1,0))/(1000*INDEX('SALA 2002'!$B:$U,MATCH($A110,'SALA 2002'!$A:$A,0),MATCH(P$1,'SALA 2002'!$B$1:$U$1,0))),($A110-1994)/7),INDEX('WPP 2024 середина года'!$B:$U,MATCH($A110,'WPP 2024 середина года'!$A:$A,0),MATCH(P$1,'WPP 2024 середина года'!$B$1:$U$1,0)))))</f>
        <v>5576.6</v>
      </c>
      <c r="Q110" s="7">
        <f>IF($A110&lt;=1951,INDEX('SALA 1974'!$B:$U,MATCH($A110,'SALA 1974'!$A:$A,0),MATCH(Q$1,'SALA 1974'!$B$1:$U$1,0)),IF($A110&lt;=1994,1000*INDEX('SALA 2002'!$B:$U,MATCH($A110,'SALA 2002'!$A:$A,0),MATCH(Q$1,'SALA 2002'!$B$1:$U$1,0)),IF($A110&lt;=2000,1000*INDEX('SALA 2002'!$B:$U,MATCH($A110,'SALA 2002'!$A:$A,0),MATCH(Q$1,'SALA 2002'!$B$1:$U$1,0))*POWER(INDEX('WPP 2024 середина года'!$B:$U,MATCH($A110,'WPP 2024 середина года'!$A:$A,0),MATCH(Q$1,'WPP 2024 середина года'!$B$1:$U$1,0))/(1000*INDEX('SALA 2002'!$B:$U,MATCH($A110,'SALA 2002'!$A:$A,0),MATCH(Q$1,'SALA 2002'!$B$1:$U$1,0))),($A110-1994)/7),INDEX('WPP 2024 середина года'!$B:$U,MATCH($A110,'WPP 2024 середина года'!$A:$A,0),MATCH(Q$1,'WPP 2024 середина года'!$B$1:$U$1,0)))))</f>
        <v>3500.6</v>
      </c>
      <c r="R110" s="7">
        <f>IF($A110&lt;=1951,INDEX('SALA 1974'!$B:$U,MATCH($A110,'SALA 1974'!$A:$A,0),MATCH(R$1,'SALA 1974'!$B$1:$U$1,0)),IF($A110&lt;=1994,1000*INDEX('SALA 2002'!$B:$U,MATCH($A110,'SALA 2002'!$A:$A,0),MATCH(R$1,'SALA 2002'!$B$1:$U$1,0)),IF($A110&lt;=2000,1000*INDEX('SALA 2002'!$B:$U,MATCH($A110,'SALA 2002'!$A:$A,0),MATCH(R$1,'SALA 2002'!$B$1:$U$1,0))*POWER(INDEX('WPP 2024 середина года'!$B:$U,MATCH($A110,'WPP 2024 середина года'!$A:$A,0),MATCH(R$1,'WPP 2024 середина года'!$B$1:$U$1,0))/(1000*INDEX('SALA 2002'!$B:$U,MATCH($A110,'SALA 2002'!$A:$A,0),MATCH(R$1,'SALA 2002'!$B$1:$U$1,0))),($A110-1994)/7),INDEX('WPP 2024 середина года'!$B:$U,MATCH($A110,'WPP 2024 середина года'!$A:$A,0),MATCH(R$1,'WPP 2024 середина года'!$B$1:$U$1,0)))))</f>
        <v>5613.6</v>
      </c>
      <c r="S110" s="7">
        <f>IF($A110&lt;=1951,INDEX('SALA 1974'!$B:$U,MATCH($A110,'SALA 1974'!$A:$A,0),MATCH(S$1,'SALA 1974'!$B$1:$U$1,0)),IF($A110&lt;=1994,1000*INDEX('SALA 2002'!$B:$U,MATCH($A110,'SALA 2002'!$A:$A,0),MATCH(S$1,'SALA 2002'!$B$1:$U$1,0)),IF($A110&lt;=2000,1000*INDEX('SALA 2002'!$B:$U,MATCH($A110,'SALA 2002'!$A:$A,0),MATCH(S$1,'SALA 2002'!$B$1:$U$1,0))*POWER(INDEX('WPP 2024 середина года'!$B:$U,MATCH($A110,'WPP 2024 середина года'!$A:$A,0),MATCH(S$1,'WPP 2024 середина года'!$B$1:$U$1,0))/(1000*INDEX('SALA 2002'!$B:$U,MATCH($A110,'SALA 2002'!$A:$A,0),MATCH(S$1,'SALA 2002'!$B$1:$U$1,0))),($A110-1994)/7),INDEX('WPP 2024 середина года'!$B:$U,MATCH($A110,'WPP 2024 середина года'!$A:$A,0),MATCH(S$1,'WPP 2024 середина года'!$B$1:$U$1,0)))))</f>
        <v>28719</v>
      </c>
      <c r="T110" s="7">
        <f>IF($A110&lt;=1951,INDEX('SALA 1974'!$B:$U,MATCH($A110,'SALA 1974'!$A:$A,0),MATCH(T$1,'SALA 1974'!$B$1:$U$1,0)),IF($A110&lt;=1994,1000*INDEX('SALA 2002'!$B:$U,MATCH($A110,'SALA 2002'!$A:$A,0),MATCH(T$1,'SALA 2002'!$B$1:$U$1,0)),IF($A110&lt;=2000,1000*INDEX('SALA 2002'!$B:$U,MATCH($A110,'SALA 2002'!$A:$A,0),MATCH(T$1,'SALA 2002'!$B$1:$U$1,0))*POWER(INDEX('WPP 2024 середина года'!$B:$U,MATCH($A110,'WPP 2024 середина года'!$A:$A,0),MATCH(T$1,'WPP 2024 середина года'!$B$1:$U$1,0))/(1000*INDEX('SALA 2002'!$B:$U,MATCH($A110,'SALA 2002'!$A:$A,0),MATCH(T$1,'SALA 2002'!$B$1:$U$1,0))),($A110-1994)/7),INDEX('WPP 2024 середина года'!$B:$U,MATCH($A110,'WPP 2024 середина года'!$A:$A,0),MATCH(T$1,'WPP 2024 середина года'!$B$1:$U$1,0)))))</f>
        <v>3302.2</v>
      </c>
      <c r="U110" s="7">
        <f>IF($A110&lt;=1951,INDEX('SALA 1974'!$B:$U,MATCH($A110,'SALA 1974'!$A:$A,0),MATCH(U$1,'SALA 1974'!$B$1:$U$1,0)),IF($A110&lt;=1994,1000*INDEX('SALA 2002'!$B:$U,MATCH($A110,'SALA 2002'!$A:$A,0),MATCH(U$1,'SALA 2002'!$B$1:$U$1,0)),IF($A110&lt;=2000,1000*INDEX('SALA 2002'!$B:$U,MATCH($A110,'SALA 2002'!$A:$A,0),MATCH(U$1,'SALA 2002'!$B$1:$U$1,0))*POWER(INDEX('WPP 2024 середина года'!$B:$U,MATCH($A110,'WPP 2024 середина года'!$A:$A,0),MATCH(U$1,'WPP 2024 середина года'!$B$1:$U$1,0))/(1000*INDEX('SALA 2002'!$B:$U,MATCH($A110,'SALA 2002'!$A:$A,0),MATCH(U$1,'SALA 2002'!$B$1:$U$1,0))),($A110-1994)/7),INDEX('WPP 2024 середина года'!$B:$U,MATCH($A110,'WPP 2024 середина года'!$A:$A,0),MATCH(U$1,'WPP 2024 середина года'!$B$1:$U$1,0)))))</f>
        <v>28053.7</v>
      </c>
    </row>
    <row r="111" spans="1:21" x14ac:dyDescent="0.25">
      <c r="A111" s="5">
        <f t="shared" si="1"/>
        <v>2009</v>
      </c>
      <c r="B111" s="7">
        <f>IF($A111&lt;=1951,INDEX('SALA 1974'!$B:$U,MATCH($A111,'SALA 1974'!$A:$A,0),MATCH(B$1,'SALA 1974'!$B$1:$U$1,0)),IF($A111&lt;=1994,1000*INDEX('SALA 2002'!$B:$U,MATCH($A111,'SALA 2002'!$A:$A,0),MATCH(B$1,'SALA 2002'!$B$1:$U$1,0)),IF($A111&lt;=2000,1000*INDEX('SALA 2002'!$B:$U,MATCH($A111,'SALA 2002'!$A:$A,0),MATCH(B$1,'SALA 2002'!$B$1:$U$1,0))*POWER(INDEX('WPP 2024 середина года'!$B:$U,MATCH($A111,'WPP 2024 середина года'!$A:$A,0),MATCH(B$1,'WPP 2024 середина года'!$B$1:$U$1,0))/(1000*INDEX('SALA 2002'!$B:$U,MATCH($A111,'SALA 2002'!$A:$A,0),MATCH(B$1,'SALA 2002'!$B$1:$U$1,0))),($A111-1994)/7),INDEX('WPP 2024 середина года'!$B:$U,MATCH($A111,'WPP 2024 середина года'!$A:$A,0),MATCH(B$1,'WPP 2024 середина года'!$B$1:$U$1,0)))))</f>
        <v>40854.800000000003</v>
      </c>
      <c r="C111" s="7">
        <f>IF($A111&lt;=1951,INDEX('SALA 1974'!$B:$U,MATCH($A111,'SALA 1974'!$A:$A,0),MATCH(C$1,'SALA 1974'!$B$1:$U$1,0)),IF($A111&lt;=1994,1000*INDEX('SALA 2002'!$B:$U,MATCH($A111,'SALA 2002'!$A:$A,0),MATCH(C$1,'SALA 2002'!$B$1:$U$1,0)),IF($A111&lt;=2000,1000*INDEX('SALA 2002'!$B:$U,MATCH($A111,'SALA 2002'!$A:$A,0),MATCH(C$1,'SALA 2002'!$B$1:$U$1,0))*POWER(INDEX('WPP 2024 середина года'!$B:$U,MATCH($A111,'WPP 2024 середина года'!$A:$A,0),MATCH(C$1,'WPP 2024 середина года'!$B$1:$U$1,0))/(1000*INDEX('SALA 2002'!$B:$U,MATCH($A111,'SALA 2002'!$A:$A,0),MATCH(C$1,'SALA 2002'!$B$1:$U$1,0))),($A111-1994)/7),INDEX('WPP 2024 середина года'!$B:$U,MATCH($A111,'WPP 2024 середина года'!$A:$A,0),MATCH(C$1,'WPP 2024 середина года'!$B$1:$U$1,0)))))</f>
        <v>10016.299999999999</v>
      </c>
      <c r="D111" s="7">
        <f>IF($A111&lt;=1951,INDEX('SALA 1974'!$B:$U,MATCH($A111,'SALA 1974'!$A:$A,0),MATCH(D$1,'SALA 1974'!$B$1:$U$1,0)),IF($A111&lt;=1994,1000*INDEX('SALA 2002'!$B:$U,MATCH($A111,'SALA 2002'!$A:$A,0),MATCH(D$1,'SALA 2002'!$B$1:$U$1,0)),IF($A111&lt;=2000,1000*INDEX('SALA 2002'!$B:$U,MATCH($A111,'SALA 2002'!$A:$A,0),MATCH(D$1,'SALA 2002'!$B$1:$U$1,0))*POWER(INDEX('WPP 2024 середина года'!$B:$U,MATCH($A111,'WPP 2024 середина года'!$A:$A,0),MATCH(D$1,'WPP 2024 середина года'!$B$1:$U$1,0))/(1000*INDEX('SALA 2002'!$B:$U,MATCH($A111,'SALA 2002'!$A:$A,0),MATCH(D$1,'SALA 2002'!$B$1:$U$1,0))),($A111-1994)/7),INDEX('WPP 2024 середина года'!$B:$U,MATCH($A111,'WPP 2024 середина года'!$A:$A,0),MATCH(D$1,'WPP 2024 середина года'!$B$1:$U$1,0)))))</f>
        <v>192080</v>
      </c>
      <c r="E111" s="7">
        <f>IF($A111&lt;=1951,INDEX('SALA 1974'!$B:$U,MATCH($A111,'SALA 1974'!$A:$A,0),MATCH(E$1,'SALA 1974'!$B$1:$U$1,0)),IF($A111&lt;=1994,1000*INDEX('SALA 2002'!$B:$U,MATCH($A111,'SALA 2002'!$A:$A,0),MATCH(E$1,'SALA 2002'!$B$1:$U$1,0)),IF($A111&lt;=2000,1000*INDEX('SALA 2002'!$B:$U,MATCH($A111,'SALA 2002'!$A:$A,0),MATCH(E$1,'SALA 2002'!$B$1:$U$1,0))*POWER(INDEX('WPP 2024 середина года'!$B:$U,MATCH($A111,'WPP 2024 середина года'!$A:$A,0),MATCH(E$1,'WPP 2024 середина года'!$B$1:$U$1,0))/(1000*INDEX('SALA 2002'!$B:$U,MATCH($A111,'SALA 2002'!$A:$A,0),MATCH(E$1,'SALA 2002'!$B$1:$U$1,0))),($A111-1994)/7),INDEX('WPP 2024 середина года'!$B:$U,MATCH($A111,'WPP 2024 середина года'!$A:$A,0),MATCH(E$1,'WPP 2024 середина года'!$B$1:$U$1,0)))))</f>
        <v>17009.7</v>
      </c>
      <c r="F111" s="7">
        <f>IF($A111&lt;=1947,INDEX('SALA 1974'!$B:$U,MATCH($A111,'SALA 1974'!$A:$A,0),MATCH(F$1,'SALA 1974'!$B$1:$U$1,0)),IF($A111&lt;=1994,1000*INDEX('SALA 2002'!$B:$U,MATCH($A111,'SALA 2002'!$A:$A,0),MATCH(F$1,'SALA 2002'!$B$1:$U$1,0)),IF($A111&lt;=2000,1000*INDEX('SALA 2002'!$B:$U,MATCH($A111,'SALA 2002'!$A:$A,0),MATCH(F$1,'SALA 2002'!$B$1:$U$1,0))*POWER(INDEX('WPP 2024 середина года'!$B:$U,MATCH($A111,'WPP 2024 середина года'!$A:$A,0),MATCH(F$1,'WPP 2024 середина года'!$B$1:$U$1,0))/(1000*INDEX('SALA 2002'!$B:$U,MATCH($A111,'SALA 2002'!$A:$A,0),MATCH(F$1,'SALA 2002'!$B$1:$U$1,0))),($A111-1994)/7),INDEX('WPP 2024 середина года'!$B:$U,MATCH($A111,'WPP 2024 середина года'!$A:$A,0),MATCH(F$1,'WPP 2024 середина года'!$B$1:$U$1,0)))))</f>
        <v>44271.5</v>
      </c>
      <c r="G111" s="7">
        <f>IF($A111&lt;=1951,INDEX('SALA 1974'!$B:$U,MATCH($A111,'SALA 1974'!$A:$A,0),MATCH(G$1,'SALA 1974'!$B$1:$U$1,0)),IF($A111&lt;=1994,1000*INDEX('SALA 2002'!$B:$U,MATCH($A111,'SALA 2002'!$A:$A,0),MATCH(G$1,'SALA 2002'!$B$1:$U$1,0)),IF($A111&lt;=2000,1000*INDEX('SALA 2002'!$B:$U,MATCH($A111,'SALA 2002'!$A:$A,0),MATCH(G$1,'SALA 2002'!$B$1:$U$1,0))*POWER(INDEX('WPP 2024 середина года'!$B:$U,MATCH($A111,'WPP 2024 середина года'!$A:$A,0),MATCH(G$1,'WPP 2024 середина года'!$B$1:$U$1,0))/(1000*INDEX('SALA 2002'!$B:$U,MATCH($A111,'SALA 2002'!$A:$A,0),MATCH(G$1,'SALA 2002'!$B$1:$U$1,0))),($A111-1994)/7),INDEX('WPP 2024 середина года'!$B:$U,MATCH($A111,'WPP 2024 середина года'!$A:$A,0),MATCH(G$1,'WPP 2024 середина года'!$B$1:$U$1,0)))))</f>
        <v>4499.8</v>
      </c>
      <c r="H111" s="7">
        <f>IF($A111&lt;=1951,INDEX('SALA 1974'!$B:$U,MATCH($A111,'SALA 1974'!$A:$A,0),MATCH(H$1,'SALA 1974'!$B$1:$U$1,0)),IF($A111&lt;=1994,1000*INDEX('SALA 2002'!$B:$U,MATCH($A111,'SALA 2002'!$A:$A,0),MATCH(H$1,'SALA 2002'!$B$1:$U$1,0)),IF($A111&lt;=2000,1000*INDEX('SALA 2002'!$B:$U,MATCH($A111,'SALA 2002'!$A:$A,0),MATCH(H$1,'SALA 2002'!$B$1:$U$1,0))*POWER(INDEX('WPP 2024 середина года'!$B:$U,MATCH($A111,'WPP 2024 середина года'!$A:$A,0),MATCH(H$1,'WPP 2024 середина года'!$B$1:$U$1,0))/(1000*INDEX('SALA 2002'!$B:$U,MATCH($A111,'SALA 2002'!$A:$A,0),MATCH(H$1,'SALA 2002'!$B$1:$U$1,0))),($A111-1994)/7),INDEX('WPP 2024 середина года'!$B:$U,MATCH($A111,'WPP 2024 середина года'!$A:$A,0),MATCH(H$1,'WPP 2024 середина года'!$B$1:$U$1,0)))))</f>
        <v>11294.7</v>
      </c>
      <c r="I111" s="7">
        <f>IF($A111&lt;=1951,INDEX('SALA 1974'!$B:$U,MATCH($A111,'SALA 1974'!$A:$A,0),MATCH(I$1,'SALA 1974'!$B$1:$U$1,0)),IF($A111&lt;=1994,1000*INDEX('SALA 2002'!$B:$U,MATCH($A111,'SALA 2002'!$A:$A,0),MATCH(I$1,'SALA 2002'!$B$1:$U$1,0)),IF($A111&lt;=2000,1000*INDEX('SALA 2002'!$B:$U,MATCH($A111,'SALA 2002'!$A:$A,0),MATCH(I$1,'SALA 2002'!$B$1:$U$1,0))*POWER(INDEX('WPP 2024 середина года'!$B:$U,MATCH($A111,'WPP 2024 середина года'!$A:$A,0),MATCH(I$1,'WPP 2024 середина года'!$B$1:$U$1,0))/(1000*INDEX('SALA 2002'!$B:$U,MATCH($A111,'SALA 2002'!$A:$A,0),MATCH(I$1,'SALA 2002'!$B$1:$U$1,0))),($A111-1994)/7),INDEX('WPP 2024 середина года'!$B:$U,MATCH($A111,'WPP 2024 середина года'!$A:$A,0),MATCH(I$1,'WPP 2024 середина года'!$B$1:$U$1,0)))))</f>
        <v>9695.2999999999993</v>
      </c>
      <c r="J111" s="7">
        <f>IF($A111&lt;=1951,INDEX('SALA 1974'!$B:$U,MATCH($A111,'SALA 1974'!$A:$A,0),MATCH(J$1,'SALA 1974'!$B$1:$U$1,0)),IF($A111&lt;=1994,1000*INDEX('SALA 2002'!$B:$U,MATCH($A111,'SALA 2002'!$A:$A,0),MATCH(J$1,'SALA 2002'!$B$1:$U$1,0)),IF($A111&lt;=2000,1000*INDEX('SALA 2002'!$B:$U,MATCH($A111,'SALA 2002'!$A:$A,0),MATCH(J$1,'SALA 2002'!$B$1:$U$1,0))*POWER(INDEX('WPP 2024 середина года'!$B:$U,MATCH($A111,'WPP 2024 середина года'!$A:$A,0),MATCH(J$1,'WPP 2024 середина года'!$B$1:$U$1,0))/(1000*INDEX('SALA 2002'!$B:$U,MATCH($A111,'SALA 2002'!$A:$A,0),MATCH(J$1,'SALA 2002'!$B$1:$U$1,0))),($A111-1994)/7),INDEX('WPP 2024 середина года'!$B:$U,MATCH($A111,'WPP 2024 середина года'!$A:$A,0),MATCH(J$1,'WPP 2024 середина года'!$B$1:$U$1,0)))))</f>
        <v>14826</v>
      </c>
      <c r="K111" s="7">
        <f>IF($A111&lt;=1951,INDEX('SALA 1974'!$B:$U,MATCH($A111,'SALA 1974'!$A:$A,0),MATCH(K$1,'SALA 1974'!$B$1:$U$1,0)),IF($A111&lt;=1994,1000*INDEX('SALA 2002'!$B:$U,MATCH($A111,'SALA 2002'!$A:$A,0),MATCH(K$1,'SALA 2002'!$B$1:$U$1,0)),IF($A111&lt;=2000,1000*INDEX('SALA 2002'!$B:$U,MATCH($A111,'SALA 2002'!$A:$A,0),MATCH(K$1,'SALA 2002'!$B$1:$U$1,0))*POWER(INDEX('WPP 2024 середина года'!$B:$U,MATCH($A111,'WPP 2024 середина года'!$A:$A,0),MATCH(K$1,'WPP 2024 середина года'!$B$1:$U$1,0))/(1000*INDEX('SALA 2002'!$B:$U,MATCH($A111,'SALA 2002'!$A:$A,0),MATCH(K$1,'SALA 2002'!$B$1:$U$1,0))),($A111-1994)/7),INDEX('WPP 2024 середина года'!$B:$U,MATCH($A111,'WPP 2024 середина года'!$A:$A,0),MATCH(K$1,'WPP 2024 середина года'!$B$1:$U$1,0)))))</f>
        <v>6048.3</v>
      </c>
      <c r="L111" s="7">
        <f>IF($A111&lt;=1951,INDEX('SALA 1974'!$B:$U,MATCH($A111,'SALA 1974'!$A:$A,0),MATCH(L$1,'SALA 1974'!$B$1:$U$1,0)),IF($A111&lt;=1994,1000*INDEX('SALA 2002'!$B:$U,MATCH($A111,'SALA 2002'!$A:$A,0),MATCH(L$1,'SALA 2002'!$B$1:$U$1,0)),IF($A111&lt;=2000,1000*INDEX('SALA 2002'!$B:$U,MATCH($A111,'SALA 2002'!$A:$A,0),MATCH(L$1,'SALA 2002'!$B$1:$U$1,0))*POWER(INDEX('WPP 2024 середина года'!$B:$U,MATCH($A111,'WPP 2024 середина года'!$A:$A,0),MATCH(L$1,'WPP 2024 середина года'!$B$1:$U$1,0))/(1000*INDEX('SALA 2002'!$B:$U,MATCH($A111,'SALA 2002'!$A:$A,0),MATCH(L$1,'SALA 2002'!$B$1:$U$1,0))),($A111-1994)/7),INDEX('WPP 2024 середина года'!$B:$U,MATCH($A111,'WPP 2024 середина года'!$A:$A,0),MATCH(L$1,'WPP 2024 середина года'!$B$1:$U$1,0)))))</f>
        <v>14215.6</v>
      </c>
      <c r="M111" s="7">
        <f>IF($A111&lt;=1951,INDEX('SALA 1974'!$B:$U,MATCH($A111,'SALA 1974'!$A:$A,0),MATCH(M$1,'SALA 1974'!$B$1:$U$1,0)),IF($A111&lt;=1994,1000*INDEX('SALA 2002'!$B:$U,MATCH($A111,'SALA 2002'!$A:$A,0),MATCH(M$1,'SALA 2002'!$B$1:$U$1,0)),IF($A111&lt;=2000,1000*INDEX('SALA 2002'!$B:$U,MATCH($A111,'SALA 2002'!$A:$A,0),MATCH(M$1,'SALA 2002'!$B$1:$U$1,0))*POWER(INDEX('WPP 2024 середина года'!$B:$U,MATCH($A111,'WPP 2024 середина года'!$A:$A,0),MATCH(M$1,'WPP 2024 середина года'!$B$1:$U$1,0))/(1000*INDEX('SALA 2002'!$B:$U,MATCH($A111,'SALA 2002'!$A:$A,0),MATCH(M$1,'SALA 2002'!$B$1:$U$1,0))),($A111-1994)/7),INDEX('WPP 2024 середина года'!$B:$U,MATCH($A111,'WPP 2024 середина года'!$A:$A,0),MATCH(M$1,'WPP 2024 середина года'!$B$1:$U$1,0)))))</f>
        <v>9689.6</v>
      </c>
      <c r="N111" s="7">
        <f>IF($A111&lt;=1951,INDEX('SALA 1974'!$B:$U,MATCH($A111,'SALA 1974'!$A:$A,0),MATCH(N$1,'SALA 1974'!$B$1:$U$1,0)),IF($A111&lt;=1994,1000*INDEX('SALA 2002'!$B:$U,MATCH($A111,'SALA 2002'!$A:$A,0),MATCH(N$1,'SALA 2002'!$B$1:$U$1,0)),IF($A111&lt;=2000,1000*INDEX('SALA 2002'!$B:$U,MATCH($A111,'SALA 2002'!$A:$A,0),MATCH(N$1,'SALA 2002'!$B$1:$U$1,0))*POWER(INDEX('WPP 2024 середина года'!$B:$U,MATCH($A111,'WPP 2024 середина года'!$A:$A,0),MATCH(N$1,'WPP 2024 середина года'!$B$1:$U$1,0))/(1000*INDEX('SALA 2002'!$B:$U,MATCH($A111,'SALA 2002'!$A:$A,0),MATCH(N$1,'SALA 2002'!$B$1:$U$1,0))),($A111-1994)/7),INDEX('WPP 2024 середина года'!$B:$U,MATCH($A111,'WPP 2024 середина года'!$A:$A,0),MATCH(N$1,'WPP 2024 середина года'!$B$1:$U$1,0)))))</f>
        <v>8189.9</v>
      </c>
      <c r="O111" s="7">
        <f>IF($A111&lt;=1951,INDEX('SALA 1974'!$B:$U,MATCH($A111,'SALA 1974'!$A:$A,0),MATCH(O$1,'SALA 1974'!$B$1:$U$1,0)),IF($A111&lt;=1994,1000*INDEX('SALA 2002'!$B:$U,MATCH($A111,'SALA 2002'!$A:$A,0),MATCH(O$1,'SALA 2002'!$B$1:$U$1,0)),IF($A111&lt;=2000,1000*INDEX('SALA 2002'!$B:$U,MATCH($A111,'SALA 2002'!$A:$A,0),MATCH(O$1,'SALA 2002'!$B$1:$U$1,0))*POWER(INDEX('WPP 2024 середина года'!$B:$U,MATCH($A111,'WPP 2024 середина года'!$A:$A,0),MATCH(O$1,'WPP 2024 середина года'!$B$1:$U$1,0))/(1000*INDEX('SALA 2002'!$B:$U,MATCH($A111,'SALA 2002'!$A:$A,0),MATCH(O$1,'SALA 2002'!$B$1:$U$1,0))),($A111-1994)/7),INDEX('WPP 2024 середина года'!$B:$U,MATCH($A111,'WPP 2024 середина года'!$A:$A,0),MATCH(O$1,'WPP 2024 середина года'!$B$1:$U$1,0)))))</f>
        <v>111999.7</v>
      </c>
      <c r="P111" s="7">
        <f>IF($A111&lt;=1951,INDEX('SALA 1974'!$B:$U,MATCH($A111,'SALA 1974'!$A:$A,0),MATCH(P$1,'SALA 1974'!$B$1:$U$1,0)),IF($A111&lt;=1994,1000*INDEX('SALA 2002'!$B:$U,MATCH($A111,'SALA 2002'!$A:$A,0),MATCH(P$1,'SALA 2002'!$B$1:$U$1,0)),IF($A111&lt;=2000,1000*INDEX('SALA 2002'!$B:$U,MATCH($A111,'SALA 2002'!$A:$A,0),MATCH(P$1,'SALA 2002'!$B$1:$U$1,0))*POWER(INDEX('WPP 2024 середина года'!$B:$U,MATCH($A111,'WPP 2024 середина года'!$A:$A,0),MATCH(P$1,'WPP 2024 середина года'!$B$1:$U$1,0))/(1000*INDEX('SALA 2002'!$B:$U,MATCH($A111,'SALA 2002'!$A:$A,0),MATCH(P$1,'SALA 2002'!$B$1:$U$1,0))),($A111-1994)/7),INDEX('WPP 2024 середина года'!$B:$U,MATCH($A111,'WPP 2024 середина года'!$A:$A,0),MATCH(P$1,'WPP 2024 середина года'!$B$1:$U$1,0)))))</f>
        <v>5656.6</v>
      </c>
      <c r="Q111" s="7">
        <f>IF($A111&lt;=1951,INDEX('SALA 1974'!$B:$U,MATCH($A111,'SALA 1974'!$A:$A,0),MATCH(Q$1,'SALA 1974'!$B$1:$U$1,0)),IF($A111&lt;=1994,1000*INDEX('SALA 2002'!$B:$U,MATCH($A111,'SALA 2002'!$A:$A,0),MATCH(Q$1,'SALA 2002'!$B$1:$U$1,0)),IF($A111&lt;=2000,1000*INDEX('SALA 2002'!$B:$U,MATCH($A111,'SALA 2002'!$A:$A,0),MATCH(Q$1,'SALA 2002'!$B$1:$U$1,0))*POWER(INDEX('WPP 2024 середина года'!$B:$U,MATCH($A111,'WPP 2024 середина года'!$A:$A,0),MATCH(Q$1,'WPP 2024 середина года'!$B$1:$U$1,0))/(1000*INDEX('SALA 2002'!$B:$U,MATCH($A111,'SALA 2002'!$A:$A,0),MATCH(Q$1,'SALA 2002'!$B$1:$U$1,0))),($A111-1994)/7),INDEX('WPP 2024 середина года'!$B:$U,MATCH($A111,'WPP 2024 середина года'!$A:$A,0),MATCH(Q$1,'WPP 2024 середина года'!$B$1:$U$1,0)))))</f>
        <v>3564.4</v>
      </c>
      <c r="R111" s="7">
        <f>IF($A111&lt;=1951,INDEX('SALA 1974'!$B:$U,MATCH($A111,'SALA 1974'!$A:$A,0),MATCH(R$1,'SALA 1974'!$B$1:$U$1,0)),IF($A111&lt;=1994,1000*INDEX('SALA 2002'!$B:$U,MATCH($A111,'SALA 2002'!$A:$A,0),MATCH(R$1,'SALA 2002'!$B$1:$U$1,0)),IF($A111&lt;=2000,1000*INDEX('SALA 2002'!$B:$U,MATCH($A111,'SALA 2002'!$A:$A,0),MATCH(R$1,'SALA 2002'!$B$1:$U$1,0))*POWER(INDEX('WPP 2024 середина года'!$B:$U,MATCH($A111,'WPP 2024 середина года'!$A:$A,0),MATCH(R$1,'WPP 2024 середина года'!$B$1:$U$1,0))/(1000*INDEX('SALA 2002'!$B:$U,MATCH($A111,'SALA 2002'!$A:$A,0),MATCH(R$1,'SALA 2002'!$B$1:$U$1,0))),($A111-1994)/7),INDEX('WPP 2024 середина года'!$B:$U,MATCH($A111,'WPP 2024 середина года'!$A:$A,0),MATCH(R$1,'WPP 2024 середина года'!$B$1:$U$1,0)))))</f>
        <v>5671.2</v>
      </c>
      <c r="S111" s="7">
        <f>IF($A111&lt;=1951,INDEX('SALA 1974'!$B:$U,MATCH($A111,'SALA 1974'!$A:$A,0),MATCH(S$1,'SALA 1974'!$B$1:$U$1,0)),IF($A111&lt;=1994,1000*INDEX('SALA 2002'!$B:$U,MATCH($A111,'SALA 2002'!$A:$A,0),MATCH(S$1,'SALA 2002'!$B$1:$U$1,0)),IF($A111&lt;=2000,1000*INDEX('SALA 2002'!$B:$U,MATCH($A111,'SALA 2002'!$A:$A,0),MATCH(S$1,'SALA 2002'!$B$1:$U$1,0))*POWER(INDEX('WPP 2024 середина года'!$B:$U,MATCH($A111,'WPP 2024 середина года'!$A:$A,0),MATCH(S$1,'WPP 2024 середина года'!$B$1:$U$1,0))/(1000*INDEX('SALA 2002'!$B:$U,MATCH($A111,'SALA 2002'!$A:$A,0),MATCH(S$1,'SALA 2002'!$B$1:$U$1,0))),($A111-1994)/7),INDEX('WPP 2024 середина года'!$B:$U,MATCH($A111,'WPP 2024 середина года'!$A:$A,0),MATCH(S$1,'WPP 2024 середина года'!$B$1:$U$1,0)))))</f>
        <v>28896.799999999999</v>
      </c>
      <c r="T111" s="7">
        <f>IF($A111&lt;=1951,INDEX('SALA 1974'!$B:$U,MATCH($A111,'SALA 1974'!$A:$A,0),MATCH(T$1,'SALA 1974'!$B$1:$U$1,0)),IF($A111&lt;=1994,1000*INDEX('SALA 2002'!$B:$U,MATCH($A111,'SALA 2002'!$A:$A,0),MATCH(T$1,'SALA 2002'!$B$1:$U$1,0)),IF($A111&lt;=2000,1000*INDEX('SALA 2002'!$B:$U,MATCH($A111,'SALA 2002'!$A:$A,0),MATCH(T$1,'SALA 2002'!$B$1:$U$1,0))*POWER(INDEX('WPP 2024 середина года'!$B:$U,MATCH($A111,'WPP 2024 середина года'!$A:$A,0),MATCH(T$1,'WPP 2024 середина года'!$B$1:$U$1,0))/(1000*INDEX('SALA 2002'!$B:$U,MATCH($A111,'SALA 2002'!$A:$A,0),MATCH(T$1,'SALA 2002'!$B$1:$U$1,0))),($A111-1994)/7),INDEX('WPP 2024 середина года'!$B:$U,MATCH($A111,'WPP 2024 середина года'!$A:$A,0),MATCH(T$1,'WPP 2024 середина года'!$B$1:$U$1,0)))))</f>
        <v>3310.1</v>
      </c>
      <c r="U111" s="7">
        <f>IF($A111&lt;=1951,INDEX('SALA 1974'!$B:$U,MATCH($A111,'SALA 1974'!$A:$A,0),MATCH(U$1,'SALA 1974'!$B$1:$U$1,0)),IF($A111&lt;=1994,1000*INDEX('SALA 2002'!$B:$U,MATCH($A111,'SALA 2002'!$A:$A,0),MATCH(U$1,'SALA 2002'!$B$1:$U$1,0)),IF($A111&lt;=2000,1000*INDEX('SALA 2002'!$B:$U,MATCH($A111,'SALA 2002'!$A:$A,0),MATCH(U$1,'SALA 2002'!$B$1:$U$1,0))*POWER(INDEX('WPP 2024 середина года'!$B:$U,MATCH($A111,'WPP 2024 середина года'!$A:$A,0),MATCH(U$1,'WPP 2024 середина года'!$B$1:$U$1,0))/(1000*INDEX('SALA 2002'!$B:$U,MATCH($A111,'SALA 2002'!$A:$A,0),MATCH(U$1,'SALA 2002'!$B$1:$U$1,0))),($A111-1994)/7),INDEX('WPP 2024 середина года'!$B:$U,MATCH($A111,'WPP 2024 середина года'!$A:$A,0),MATCH(U$1,'WPP 2024 середина года'!$B$1:$U$1,0)))))</f>
        <v>28438.3</v>
      </c>
    </row>
    <row r="112" spans="1:21" x14ac:dyDescent="0.25">
      <c r="A112" s="5">
        <f t="shared" si="1"/>
        <v>2010</v>
      </c>
      <c r="B112" s="7">
        <f>IF($A112&lt;=1951,INDEX('SALA 1974'!$B:$U,MATCH($A112,'SALA 1974'!$A:$A,0),MATCH(B$1,'SALA 1974'!$B$1:$U$1,0)),IF($A112&lt;=1994,1000*INDEX('SALA 2002'!$B:$U,MATCH($A112,'SALA 2002'!$A:$A,0),MATCH(B$1,'SALA 2002'!$B$1:$U$1,0)),IF($A112&lt;=2000,1000*INDEX('SALA 2002'!$B:$U,MATCH($A112,'SALA 2002'!$A:$A,0),MATCH(B$1,'SALA 2002'!$B$1:$U$1,0))*POWER(INDEX('WPP 2024 середина года'!$B:$U,MATCH($A112,'WPP 2024 середина года'!$A:$A,0),MATCH(B$1,'WPP 2024 середина года'!$B$1:$U$1,0))/(1000*INDEX('SALA 2002'!$B:$U,MATCH($A112,'SALA 2002'!$A:$A,0),MATCH(B$1,'SALA 2002'!$B$1:$U$1,0))),($A112-1994)/7),INDEX('WPP 2024 середина года'!$B:$U,MATCH($A112,'WPP 2024 середина года'!$A:$A,0),MATCH(B$1,'WPP 2024 середина года'!$B$1:$U$1,0)))))</f>
        <v>41288.699999999997</v>
      </c>
      <c r="C112" s="7">
        <f>IF($A112&lt;=1951,INDEX('SALA 1974'!$B:$U,MATCH($A112,'SALA 1974'!$A:$A,0),MATCH(C$1,'SALA 1974'!$B$1:$U$1,0)),IF($A112&lt;=1994,1000*INDEX('SALA 2002'!$B:$U,MATCH($A112,'SALA 2002'!$A:$A,0),MATCH(C$1,'SALA 2002'!$B$1:$U$1,0)),IF($A112&lt;=2000,1000*INDEX('SALA 2002'!$B:$U,MATCH($A112,'SALA 2002'!$A:$A,0),MATCH(C$1,'SALA 2002'!$B$1:$U$1,0))*POWER(INDEX('WPP 2024 середина года'!$B:$U,MATCH($A112,'WPP 2024 середина года'!$A:$A,0),MATCH(C$1,'WPP 2024 середина года'!$B$1:$U$1,0))/(1000*INDEX('SALA 2002'!$B:$U,MATCH($A112,'SALA 2002'!$A:$A,0),MATCH(C$1,'SALA 2002'!$B$1:$U$1,0))),($A112-1994)/7),INDEX('WPP 2024 середина года'!$B:$U,MATCH($A112,'WPP 2024 середина года'!$A:$A,0),MATCH(C$1,'WPP 2024 середина года'!$B$1:$U$1,0)))))</f>
        <v>10182.299999999999</v>
      </c>
      <c r="D112" s="7">
        <f>IF($A112&lt;=1951,INDEX('SALA 1974'!$B:$U,MATCH($A112,'SALA 1974'!$A:$A,0),MATCH(D$1,'SALA 1974'!$B$1:$U$1,0)),IF($A112&lt;=1994,1000*INDEX('SALA 2002'!$B:$U,MATCH($A112,'SALA 2002'!$A:$A,0),MATCH(D$1,'SALA 2002'!$B$1:$U$1,0)),IF($A112&lt;=2000,1000*INDEX('SALA 2002'!$B:$U,MATCH($A112,'SALA 2002'!$A:$A,0),MATCH(D$1,'SALA 2002'!$B$1:$U$1,0))*POWER(INDEX('WPP 2024 середина года'!$B:$U,MATCH($A112,'WPP 2024 середина года'!$A:$A,0),MATCH(D$1,'WPP 2024 середина года'!$B$1:$U$1,0))/(1000*INDEX('SALA 2002'!$B:$U,MATCH($A112,'SALA 2002'!$A:$A,0),MATCH(D$1,'SALA 2002'!$B$1:$U$1,0))),($A112-1994)/7),INDEX('WPP 2024 середина года'!$B:$U,MATCH($A112,'WPP 2024 середина года'!$A:$A,0),MATCH(D$1,'WPP 2024 середина года'!$B$1:$U$1,0)))))</f>
        <v>193701.9</v>
      </c>
      <c r="E112" s="7">
        <f>IF($A112&lt;=1951,INDEX('SALA 1974'!$B:$U,MATCH($A112,'SALA 1974'!$A:$A,0),MATCH(E$1,'SALA 1974'!$B$1:$U$1,0)),IF($A112&lt;=1994,1000*INDEX('SALA 2002'!$B:$U,MATCH($A112,'SALA 2002'!$A:$A,0),MATCH(E$1,'SALA 2002'!$B$1:$U$1,0)),IF($A112&lt;=2000,1000*INDEX('SALA 2002'!$B:$U,MATCH($A112,'SALA 2002'!$A:$A,0),MATCH(E$1,'SALA 2002'!$B$1:$U$1,0))*POWER(INDEX('WPP 2024 середина года'!$B:$U,MATCH($A112,'WPP 2024 середина года'!$A:$A,0),MATCH(E$1,'WPP 2024 середина года'!$B$1:$U$1,0))/(1000*INDEX('SALA 2002'!$B:$U,MATCH($A112,'SALA 2002'!$A:$A,0),MATCH(E$1,'SALA 2002'!$B$1:$U$1,0))),($A112-1994)/7),INDEX('WPP 2024 середина года'!$B:$U,MATCH($A112,'WPP 2024 середина года'!$A:$A,0),MATCH(E$1,'WPP 2024 середина года'!$B$1:$U$1,0)))))</f>
        <v>17181.5</v>
      </c>
      <c r="F112" s="7">
        <f>IF($A112&lt;=1947,INDEX('SALA 1974'!$B:$U,MATCH($A112,'SALA 1974'!$A:$A,0),MATCH(F$1,'SALA 1974'!$B$1:$U$1,0)),IF($A112&lt;=1994,1000*INDEX('SALA 2002'!$B:$U,MATCH($A112,'SALA 2002'!$A:$A,0),MATCH(F$1,'SALA 2002'!$B$1:$U$1,0)),IF($A112&lt;=2000,1000*INDEX('SALA 2002'!$B:$U,MATCH($A112,'SALA 2002'!$A:$A,0),MATCH(F$1,'SALA 2002'!$B$1:$U$1,0))*POWER(INDEX('WPP 2024 середина года'!$B:$U,MATCH($A112,'WPP 2024 середина года'!$A:$A,0),MATCH(F$1,'WPP 2024 середина года'!$B$1:$U$1,0))/(1000*INDEX('SALA 2002'!$B:$U,MATCH($A112,'SALA 2002'!$A:$A,0),MATCH(F$1,'SALA 2002'!$B$1:$U$1,0))),($A112-1994)/7),INDEX('WPP 2024 середина года'!$B:$U,MATCH($A112,'WPP 2024 середина года'!$A:$A,0),MATCH(F$1,'WPP 2024 середина года'!$B$1:$U$1,0)))))</f>
        <v>44777.3</v>
      </c>
      <c r="G112" s="7">
        <f>IF($A112&lt;=1951,INDEX('SALA 1974'!$B:$U,MATCH($A112,'SALA 1974'!$A:$A,0),MATCH(G$1,'SALA 1974'!$B$1:$U$1,0)),IF($A112&lt;=1994,1000*INDEX('SALA 2002'!$B:$U,MATCH($A112,'SALA 2002'!$A:$A,0),MATCH(G$1,'SALA 2002'!$B$1:$U$1,0)),IF($A112&lt;=2000,1000*INDEX('SALA 2002'!$B:$U,MATCH($A112,'SALA 2002'!$A:$A,0),MATCH(G$1,'SALA 2002'!$B$1:$U$1,0))*POWER(INDEX('WPP 2024 середина года'!$B:$U,MATCH($A112,'WPP 2024 середина года'!$A:$A,0),MATCH(G$1,'WPP 2024 середина года'!$B$1:$U$1,0))/(1000*INDEX('SALA 2002'!$B:$U,MATCH($A112,'SALA 2002'!$A:$A,0),MATCH(G$1,'SALA 2002'!$B$1:$U$1,0))),($A112-1994)/7),INDEX('WPP 2024 середина года'!$B:$U,MATCH($A112,'WPP 2024 середина года'!$A:$A,0),MATCH(G$1,'WPP 2024 середина года'!$B$1:$U$1,0)))))</f>
        <v>4556</v>
      </c>
      <c r="H112" s="7">
        <f>IF($A112&lt;=1951,INDEX('SALA 1974'!$B:$U,MATCH($A112,'SALA 1974'!$A:$A,0),MATCH(H$1,'SALA 1974'!$B$1:$U$1,0)),IF($A112&lt;=1994,1000*INDEX('SALA 2002'!$B:$U,MATCH($A112,'SALA 2002'!$A:$A,0),MATCH(H$1,'SALA 2002'!$B$1:$U$1,0)),IF($A112&lt;=2000,1000*INDEX('SALA 2002'!$B:$U,MATCH($A112,'SALA 2002'!$A:$A,0),MATCH(H$1,'SALA 2002'!$B$1:$U$1,0))*POWER(INDEX('WPP 2024 середина года'!$B:$U,MATCH($A112,'WPP 2024 середина года'!$A:$A,0),MATCH(H$1,'WPP 2024 середина года'!$B$1:$U$1,0))/(1000*INDEX('SALA 2002'!$B:$U,MATCH($A112,'SALA 2002'!$A:$A,0),MATCH(H$1,'SALA 2002'!$B$1:$U$1,0))),($A112-1994)/7),INDEX('WPP 2024 середина года'!$B:$U,MATCH($A112,'WPP 2024 середина года'!$A:$A,0),MATCH(H$1,'WPP 2024 середина года'!$B$1:$U$1,0)))))</f>
        <v>11297.4</v>
      </c>
      <c r="I112" s="7">
        <f>IF($A112&lt;=1951,INDEX('SALA 1974'!$B:$U,MATCH($A112,'SALA 1974'!$A:$A,0),MATCH(I$1,'SALA 1974'!$B$1:$U$1,0)),IF($A112&lt;=1994,1000*INDEX('SALA 2002'!$B:$U,MATCH($A112,'SALA 2002'!$A:$A,0),MATCH(I$1,'SALA 2002'!$B$1:$U$1,0)),IF($A112&lt;=2000,1000*INDEX('SALA 2002'!$B:$U,MATCH($A112,'SALA 2002'!$A:$A,0),MATCH(I$1,'SALA 2002'!$B$1:$U$1,0))*POWER(INDEX('WPP 2024 середина года'!$B:$U,MATCH($A112,'WPP 2024 середина года'!$A:$A,0),MATCH(I$1,'WPP 2024 середина года'!$B$1:$U$1,0))/(1000*INDEX('SALA 2002'!$B:$U,MATCH($A112,'SALA 2002'!$A:$A,0),MATCH(I$1,'SALA 2002'!$B$1:$U$1,0))),($A112-1994)/7),INDEX('WPP 2024 середина года'!$B:$U,MATCH($A112,'WPP 2024 середина года'!$A:$A,0),MATCH(I$1,'WPP 2024 середина года'!$B$1:$U$1,0)))))</f>
        <v>9820.2000000000007</v>
      </c>
      <c r="J112" s="7">
        <f>IF($A112&lt;=1951,INDEX('SALA 1974'!$B:$U,MATCH($A112,'SALA 1974'!$A:$A,0),MATCH(J$1,'SALA 1974'!$B$1:$U$1,0)),IF($A112&lt;=1994,1000*INDEX('SALA 2002'!$B:$U,MATCH($A112,'SALA 2002'!$A:$A,0),MATCH(J$1,'SALA 2002'!$B$1:$U$1,0)),IF($A112&lt;=2000,1000*INDEX('SALA 2002'!$B:$U,MATCH($A112,'SALA 2002'!$A:$A,0),MATCH(J$1,'SALA 2002'!$B$1:$U$1,0))*POWER(INDEX('WPP 2024 середина года'!$B:$U,MATCH($A112,'WPP 2024 середина года'!$A:$A,0),MATCH(J$1,'WPP 2024 середина года'!$B$1:$U$1,0))/(1000*INDEX('SALA 2002'!$B:$U,MATCH($A112,'SALA 2002'!$A:$A,0),MATCH(J$1,'SALA 2002'!$B$1:$U$1,0))),($A112-1994)/7),INDEX('WPP 2024 середина года'!$B:$U,MATCH($A112,'WPP 2024 середина года'!$A:$A,0),MATCH(J$1,'WPP 2024 середина года'!$B$1:$U$1,0)))))</f>
        <v>15076.7</v>
      </c>
      <c r="K112" s="7">
        <f>IF($A112&lt;=1951,INDEX('SALA 1974'!$B:$U,MATCH($A112,'SALA 1974'!$A:$A,0),MATCH(K$1,'SALA 1974'!$B$1:$U$1,0)),IF($A112&lt;=1994,1000*INDEX('SALA 2002'!$B:$U,MATCH($A112,'SALA 2002'!$A:$A,0),MATCH(K$1,'SALA 2002'!$B$1:$U$1,0)),IF($A112&lt;=2000,1000*INDEX('SALA 2002'!$B:$U,MATCH($A112,'SALA 2002'!$A:$A,0),MATCH(K$1,'SALA 2002'!$B$1:$U$1,0))*POWER(INDEX('WPP 2024 середина года'!$B:$U,MATCH($A112,'WPP 2024 середина года'!$A:$A,0),MATCH(K$1,'WPP 2024 середина года'!$B$1:$U$1,0))/(1000*INDEX('SALA 2002'!$B:$U,MATCH($A112,'SALA 2002'!$A:$A,0),MATCH(K$1,'SALA 2002'!$B$1:$U$1,0))),($A112-1994)/7),INDEX('WPP 2024 середина года'!$B:$U,MATCH($A112,'WPP 2024 середина года'!$A:$A,0),MATCH(K$1,'WPP 2024 середина года'!$B$1:$U$1,0)))))</f>
        <v>6068.2</v>
      </c>
      <c r="L112" s="7">
        <f>IF($A112&lt;=1951,INDEX('SALA 1974'!$B:$U,MATCH($A112,'SALA 1974'!$A:$A,0),MATCH(L$1,'SALA 1974'!$B$1:$U$1,0)),IF($A112&lt;=1994,1000*INDEX('SALA 2002'!$B:$U,MATCH($A112,'SALA 2002'!$A:$A,0),MATCH(L$1,'SALA 2002'!$B$1:$U$1,0)),IF($A112&lt;=2000,1000*INDEX('SALA 2002'!$B:$U,MATCH($A112,'SALA 2002'!$A:$A,0),MATCH(L$1,'SALA 2002'!$B$1:$U$1,0))*POWER(INDEX('WPP 2024 середина года'!$B:$U,MATCH($A112,'WPP 2024 середина года'!$A:$A,0),MATCH(L$1,'WPP 2024 середина года'!$B$1:$U$1,0))/(1000*INDEX('SALA 2002'!$B:$U,MATCH($A112,'SALA 2002'!$A:$A,0),MATCH(L$1,'SALA 2002'!$B$1:$U$1,0))),($A112-1994)/7),INDEX('WPP 2024 середина года'!$B:$U,MATCH($A112,'WPP 2024 середина года'!$A:$A,0),MATCH(L$1,'WPP 2024 середина года'!$B$1:$U$1,0)))))</f>
        <v>14500.1</v>
      </c>
      <c r="M112" s="7">
        <f>IF($A112&lt;=1951,INDEX('SALA 1974'!$B:$U,MATCH($A112,'SALA 1974'!$A:$A,0),MATCH(M$1,'SALA 1974'!$B$1:$U$1,0)),IF($A112&lt;=1994,1000*INDEX('SALA 2002'!$B:$U,MATCH($A112,'SALA 2002'!$A:$A,0),MATCH(M$1,'SALA 2002'!$B$1:$U$1,0)),IF($A112&lt;=2000,1000*INDEX('SALA 2002'!$B:$U,MATCH($A112,'SALA 2002'!$A:$A,0),MATCH(M$1,'SALA 2002'!$B$1:$U$1,0))*POWER(INDEX('WPP 2024 середина года'!$B:$U,MATCH($A112,'WPP 2024 середина года'!$A:$A,0),MATCH(M$1,'WPP 2024 середина года'!$B$1:$U$1,0))/(1000*INDEX('SALA 2002'!$B:$U,MATCH($A112,'SALA 2002'!$A:$A,0),MATCH(M$1,'SALA 2002'!$B$1:$U$1,0))),($A112-1994)/7),INDEX('WPP 2024 середина года'!$B:$U,MATCH($A112,'WPP 2024 середина года'!$A:$A,0),MATCH(M$1,'WPP 2024 середина года'!$B$1:$U$1,0)))))</f>
        <v>9803.2999999999993</v>
      </c>
      <c r="N112" s="7">
        <f>IF($A112&lt;=1951,INDEX('SALA 1974'!$B:$U,MATCH($A112,'SALA 1974'!$A:$A,0),MATCH(N$1,'SALA 1974'!$B$1:$U$1,0)),IF($A112&lt;=1994,1000*INDEX('SALA 2002'!$B:$U,MATCH($A112,'SALA 2002'!$A:$A,0),MATCH(N$1,'SALA 2002'!$B$1:$U$1,0)),IF($A112&lt;=2000,1000*INDEX('SALA 2002'!$B:$U,MATCH($A112,'SALA 2002'!$A:$A,0),MATCH(N$1,'SALA 2002'!$B$1:$U$1,0))*POWER(INDEX('WPP 2024 середина года'!$B:$U,MATCH($A112,'WPP 2024 середина года'!$A:$A,0),MATCH(N$1,'WPP 2024 середина года'!$B$1:$U$1,0))/(1000*INDEX('SALA 2002'!$B:$U,MATCH($A112,'SALA 2002'!$A:$A,0),MATCH(N$1,'SALA 2002'!$B$1:$U$1,0))),($A112-1994)/7),INDEX('WPP 2024 середина года'!$B:$U,MATCH($A112,'WPP 2024 середина года'!$A:$A,0),MATCH(N$1,'WPP 2024 середина года'!$B$1:$U$1,0)))))</f>
        <v>8365.9</v>
      </c>
      <c r="O112" s="7">
        <f>IF($A112&lt;=1951,INDEX('SALA 1974'!$B:$U,MATCH($A112,'SALA 1974'!$A:$A,0),MATCH(O$1,'SALA 1974'!$B$1:$U$1,0)),IF($A112&lt;=1994,1000*INDEX('SALA 2002'!$B:$U,MATCH($A112,'SALA 2002'!$A:$A,0),MATCH(O$1,'SALA 2002'!$B$1:$U$1,0)),IF($A112&lt;=2000,1000*INDEX('SALA 2002'!$B:$U,MATCH($A112,'SALA 2002'!$A:$A,0),MATCH(O$1,'SALA 2002'!$B$1:$U$1,0))*POWER(INDEX('WPP 2024 середина года'!$B:$U,MATCH($A112,'WPP 2024 середина года'!$A:$A,0),MATCH(O$1,'WPP 2024 середина года'!$B$1:$U$1,0))/(1000*INDEX('SALA 2002'!$B:$U,MATCH($A112,'SALA 2002'!$A:$A,0),MATCH(O$1,'SALA 2002'!$B$1:$U$1,0))),($A112-1994)/7),INDEX('WPP 2024 середина года'!$B:$U,MATCH($A112,'WPP 2024 середина года'!$A:$A,0),MATCH(O$1,'WPP 2024 середина года'!$B$1:$U$1,0)))))</f>
        <v>113623.9</v>
      </c>
      <c r="P112" s="7">
        <f>IF($A112&lt;=1951,INDEX('SALA 1974'!$B:$U,MATCH($A112,'SALA 1974'!$A:$A,0),MATCH(P$1,'SALA 1974'!$B$1:$U$1,0)),IF($A112&lt;=1994,1000*INDEX('SALA 2002'!$B:$U,MATCH($A112,'SALA 2002'!$A:$A,0),MATCH(P$1,'SALA 2002'!$B$1:$U$1,0)),IF($A112&lt;=2000,1000*INDEX('SALA 2002'!$B:$U,MATCH($A112,'SALA 2002'!$A:$A,0),MATCH(P$1,'SALA 2002'!$B$1:$U$1,0))*POWER(INDEX('WPP 2024 середина года'!$B:$U,MATCH($A112,'WPP 2024 середина года'!$A:$A,0),MATCH(P$1,'WPP 2024 середина года'!$B$1:$U$1,0))/(1000*INDEX('SALA 2002'!$B:$U,MATCH($A112,'SALA 2002'!$A:$A,0),MATCH(P$1,'SALA 2002'!$B$1:$U$1,0))),($A112-1994)/7),INDEX('WPP 2024 середина года'!$B:$U,MATCH($A112,'WPP 2024 середина года'!$A:$A,0),MATCH(P$1,'WPP 2024 середина года'!$B$1:$U$1,0)))))</f>
        <v>5737.5</v>
      </c>
      <c r="Q112" s="7">
        <f>IF($A112&lt;=1951,INDEX('SALA 1974'!$B:$U,MATCH($A112,'SALA 1974'!$A:$A,0),MATCH(Q$1,'SALA 1974'!$B$1:$U$1,0)),IF($A112&lt;=1994,1000*INDEX('SALA 2002'!$B:$U,MATCH($A112,'SALA 2002'!$A:$A,0),MATCH(Q$1,'SALA 2002'!$B$1:$U$1,0)),IF($A112&lt;=2000,1000*INDEX('SALA 2002'!$B:$U,MATCH($A112,'SALA 2002'!$A:$A,0),MATCH(Q$1,'SALA 2002'!$B$1:$U$1,0))*POWER(INDEX('WPP 2024 середина года'!$B:$U,MATCH($A112,'WPP 2024 середина года'!$A:$A,0),MATCH(Q$1,'WPP 2024 середина года'!$B$1:$U$1,0))/(1000*INDEX('SALA 2002'!$B:$U,MATCH($A112,'SALA 2002'!$A:$A,0),MATCH(Q$1,'SALA 2002'!$B$1:$U$1,0))),($A112-1994)/7),INDEX('WPP 2024 середина года'!$B:$U,MATCH($A112,'WPP 2024 середина года'!$A:$A,0),MATCH(Q$1,'WPP 2024 середина года'!$B$1:$U$1,0)))))</f>
        <v>3628.5</v>
      </c>
      <c r="R112" s="7">
        <f>IF($A112&lt;=1951,INDEX('SALA 1974'!$B:$U,MATCH($A112,'SALA 1974'!$A:$A,0),MATCH(R$1,'SALA 1974'!$B$1:$U$1,0)),IF($A112&lt;=1994,1000*INDEX('SALA 2002'!$B:$U,MATCH($A112,'SALA 2002'!$A:$A,0),MATCH(R$1,'SALA 2002'!$B$1:$U$1,0)),IF($A112&lt;=2000,1000*INDEX('SALA 2002'!$B:$U,MATCH($A112,'SALA 2002'!$A:$A,0),MATCH(R$1,'SALA 2002'!$B$1:$U$1,0))*POWER(INDEX('WPP 2024 середина года'!$B:$U,MATCH($A112,'WPP 2024 середина года'!$A:$A,0),MATCH(R$1,'WPP 2024 середина года'!$B$1:$U$1,0))/(1000*INDEX('SALA 2002'!$B:$U,MATCH($A112,'SALA 2002'!$A:$A,0),MATCH(R$1,'SALA 2002'!$B$1:$U$1,0))),($A112-1994)/7),INDEX('WPP 2024 середина года'!$B:$U,MATCH($A112,'WPP 2024 середина года'!$A:$A,0),MATCH(R$1,'WPP 2024 середина года'!$B$1:$U$1,0)))))</f>
        <v>5738</v>
      </c>
      <c r="S112" s="7">
        <f>IF($A112&lt;=1951,INDEX('SALA 1974'!$B:$U,MATCH($A112,'SALA 1974'!$A:$A,0),MATCH(S$1,'SALA 1974'!$B$1:$U$1,0)),IF($A112&lt;=1994,1000*INDEX('SALA 2002'!$B:$U,MATCH($A112,'SALA 2002'!$A:$A,0),MATCH(S$1,'SALA 2002'!$B$1:$U$1,0)),IF($A112&lt;=2000,1000*INDEX('SALA 2002'!$B:$U,MATCH($A112,'SALA 2002'!$A:$A,0),MATCH(S$1,'SALA 2002'!$B$1:$U$1,0))*POWER(INDEX('WPP 2024 середина года'!$B:$U,MATCH($A112,'WPP 2024 середина года'!$A:$A,0),MATCH(S$1,'WPP 2024 середина года'!$B$1:$U$1,0))/(1000*INDEX('SALA 2002'!$B:$U,MATCH($A112,'SALA 2002'!$A:$A,0),MATCH(S$1,'SALA 2002'!$B$1:$U$1,0))),($A112-1994)/7),INDEX('WPP 2024 середина года'!$B:$U,MATCH($A112,'WPP 2024 середина года'!$A:$A,0),MATCH(S$1,'WPP 2024 середина года'!$B$1:$U$1,0)))))</f>
        <v>29086</v>
      </c>
      <c r="T112" s="7">
        <f>IF($A112&lt;=1951,INDEX('SALA 1974'!$B:$U,MATCH($A112,'SALA 1974'!$A:$A,0),MATCH(T$1,'SALA 1974'!$B$1:$U$1,0)),IF($A112&lt;=1994,1000*INDEX('SALA 2002'!$B:$U,MATCH($A112,'SALA 2002'!$A:$A,0),MATCH(T$1,'SALA 2002'!$B$1:$U$1,0)),IF($A112&lt;=2000,1000*INDEX('SALA 2002'!$B:$U,MATCH($A112,'SALA 2002'!$A:$A,0),MATCH(T$1,'SALA 2002'!$B$1:$U$1,0))*POWER(INDEX('WPP 2024 середина года'!$B:$U,MATCH($A112,'WPP 2024 середина года'!$A:$A,0),MATCH(T$1,'WPP 2024 середина года'!$B$1:$U$1,0))/(1000*INDEX('SALA 2002'!$B:$U,MATCH($A112,'SALA 2002'!$A:$A,0),MATCH(T$1,'SALA 2002'!$B$1:$U$1,0))),($A112-1994)/7),INDEX('WPP 2024 середина года'!$B:$U,MATCH($A112,'WPP 2024 середина года'!$A:$A,0),MATCH(T$1,'WPP 2024 середина года'!$B$1:$U$1,0)))))</f>
        <v>3318.6</v>
      </c>
      <c r="U112" s="7">
        <f>IF($A112&lt;=1951,INDEX('SALA 1974'!$B:$U,MATCH($A112,'SALA 1974'!$A:$A,0),MATCH(U$1,'SALA 1974'!$B$1:$U$1,0)),IF($A112&lt;=1994,1000*INDEX('SALA 2002'!$B:$U,MATCH($A112,'SALA 2002'!$A:$A,0),MATCH(U$1,'SALA 2002'!$B$1:$U$1,0)),IF($A112&lt;=2000,1000*INDEX('SALA 2002'!$B:$U,MATCH($A112,'SALA 2002'!$A:$A,0),MATCH(U$1,'SALA 2002'!$B$1:$U$1,0))*POWER(INDEX('WPP 2024 середина года'!$B:$U,MATCH($A112,'WPP 2024 середина года'!$A:$A,0),MATCH(U$1,'WPP 2024 середина года'!$B$1:$U$1,0))/(1000*INDEX('SALA 2002'!$B:$U,MATCH($A112,'SALA 2002'!$A:$A,0),MATCH(U$1,'SALA 2002'!$B$1:$U$1,0))),($A112-1994)/7),INDEX('WPP 2024 середина года'!$B:$U,MATCH($A112,'WPP 2024 середина года'!$A:$A,0),MATCH(U$1,'WPP 2024 середина года'!$B$1:$U$1,0)))))</f>
        <v>28813.1</v>
      </c>
    </row>
    <row r="113" spans="1:21" x14ac:dyDescent="0.25">
      <c r="A113" s="5">
        <f t="shared" si="1"/>
        <v>2011</v>
      </c>
      <c r="B113" s="7">
        <f>IF($A113&lt;=1951,INDEX('SALA 1974'!$B:$U,MATCH($A113,'SALA 1974'!$A:$A,0),MATCH(B$1,'SALA 1974'!$B$1:$U$1,0)),IF($A113&lt;=1994,1000*INDEX('SALA 2002'!$B:$U,MATCH($A113,'SALA 2002'!$A:$A,0),MATCH(B$1,'SALA 2002'!$B$1:$U$1,0)),IF($A113&lt;=2000,1000*INDEX('SALA 2002'!$B:$U,MATCH($A113,'SALA 2002'!$A:$A,0),MATCH(B$1,'SALA 2002'!$B$1:$U$1,0))*POWER(INDEX('WPP 2024 середина года'!$B:$U,MATCH($A113,'WPP 2024 середина года'!$A:$A,0),MATCH(B$1,'WPP 2024 середина года'!$B$1:$U$1,0))/(1000*INDEX('SALA 2002'!$B:$U,MATCH($A113,'SALA 2002'!$A:$A,0),MATCH(B$1,'SALA 2002'!$B$1:$U$1,0))),($A113-1994)/7),INDEX('WPP 2024 середина года'!$B:$U,MATCH($A113,'WPP 2024 середина года'!$A:$A,0),MATCH(B$1,'WPP 2024 середина года'!$B$1:$U$1,0)))))</f>
        <v>41730.699999999997</v>
      </c>
      <c r="C113" s="7">
        <f>IF($A113&lt;=1951,INDEX('SALA 1974'!$B:$U,MATCH($A113,'SALA 1974'!$A:$A,0),MATCH(C$1,'SALA 1974'!$B$1:$U$1,0)),IF($A113&lt;=1994,1000*INDEX('SALA 2002'!$B:$U,MATCH($A113,'SALA 2002'!$A:$A,0),MATCH(C$1,'SALA 2002'!$B$1:$U$1,0)),IF($A113&lt;=2000,1000*INDEX('SALA 2002'!$B:$U,MATCH($A113,'SALA 2002'!$A:$A,0),MATCH(C$1,'SALA 2002'!$B$1:$U$1,0))*POWER(INDEX('WPP 2024 середина года'!$B:$U,MATCH($A113,'WPP 2024 середина года'!$A:$A,0),MATCH(C$1,'WPP 2024 середина года'!$B$1:$U$1,0))/(1000*INDEX('SALA 2002'!$B:$U,MATCH($A113,'SALA 2002'!$A:$A,0),MATCH(C$1,'SALA 2002'!$B$1:$U$1,0))),($A113-1994)/7),INDEX('WPP 2024 середина года'!$B:$U,MATCH($A113,'WPP 2024 середина года'!$A:$A,0),MATCH(C$1,'WPP 2024 середина года'!$B$1:$U$1,0)))))</f>
        <v>10348.9</v>
      </c>
      <c r="D113" s="7">
        <f>IF($A113&lt;=1951,INDEX('SALA 1974'!$B:$U,MATCH($A113,'SALA 1974'!$A:$A,0),MATCH(D$1,'SALA 1974'!$B$1:$U$1,0)),IF($A113&lt;=1994,1000*INDEX('SALA 2002'!$B:$U,MATCH($A113,'SALA 2002'!$A:$A,0),MATCH(D$1,'SALA 2002'!$B$1:$U$1,0)),IF($A113&lt;=2000,1000*INDEX('SALA 2002'!$B:$U,MATCH($A113,'SALA 2002'!$A:$A,0),MATCH(D$1,'SALA 2002'!$B$1:$U$1,0))*POWER(INDEX('WPP 2024 середина года'!$B:$U,MATCH($A113,'WPP 2024 середина года'!$A:$A,0),MATCH(D$1,'WPP 2024 середина года'!$B$1:$U$1,0))/(1000*INDEX('SALA 2002'!$B:$U,MATCH($A113,'SALA 2002'!$A:$A,0),MATCH(D$1,'SALA 2002'!$B$1:$U$1,0))),($A113-1994)/7),INDEX('WPP 2024 середина года'!$B:$U,MATCH($A113,'WPP 2024 середина года'!$A:$A,0),MATCH(D$1,'WPP 2024 середина года'!$B$1:$U$1,0)))))</f>
        <v>195284.7</v>
      </c>
      <c r="E113" s="7">
        <f>IF($A113&lt;=1951,INDEX('SALA 1974'!$B:$U,MATCH($A113,'SALA 1974'!$A:$A,0),MATCH(E$1,'SALA 1974'!$B$1:$U$1,0)),IF($A113&lt;=1994,1000*INDEX('SALA 2002'!$B:$U,MATCH($A113,'SALA 2002'!$A:$A,0),MATCH(E$1,'SALA 2002'!$B$1:$U$1,0)),IF($A113&lt;=2000,1000*INDEX('SALA 2002'!$B:$U,MATCH($A113,'SALA 2002'!$A:$A,0),MATCH(E$1,'SALA 2002'!$B$1:$U$1,0))*POWER(INDEX('WPP 2024 середина года'!$B:$U,MATCH($A113,'WPP 2024 середина года'!$A:$A,0),MATCH(E$1,'WPP 2024 середина года'!$B$1:$U$1,0))/(1000*INDEX('SALA 2002'!$B:$U,MATCH($A113,'SALA 2002'!$A:$A,0),MATCH(E$1,'SALA 2002'!$B$1:$U$1,0))),($A113-1994)/7),INDEX('WPP 2024 середина года'!$B:$U,MATCH($A113,'WPP 2024 середина года'!$A:$A,0),MATCH(E$1,'WPP 2024 середина года'!$B$1:$U$1,0)))))</f>
        <v>17351.8</v>
      </c>
      <c r="F113" s="7">
        <f>IF($A113&lt;=1947,INDEX('SALA 1974'!$B:$U,MATCH($A113,'SALA 1974'!$A:$A,0),MATCH(F$1,'SALA 1974'!$B$1:$U$1,0)),IF($A113&lt;=1994,1000*INDEX('SALA 2002'!$B:$U,MATCH($A113,'SALA 2002'!$A:$A,0),MATCH(F$1,'SALA 2002'!$B$1:$U$1,0)),IF($A113&lt;=2000,1000*INDEX('SALA 2002'!$B:$U,MATCH($A113,'SALA 2002'!$A:$A,0),MATCH(F$1,'SALA 2002'!$B$1:$U$1,0))*POWER(INDEX('WPP 2024 середина года'!$B:$U,MATCH($A113,'WPP 2024 середина года'!$A:$A,0),MATCH(F$1,'WPP 2024 середина года'!$B$1:$U$1,0))/(1000*INDEX('SALA 2002'!$B:$U,MATCH($A113,'SALA 2002'!$A:$A,0),MATCH(F$1,'SALA 2002'!$B$1:$U$1,0))),($A113-1994)/7),INDEX('WPP 2024 середина года'!$B:$U,MATCH($A113,'WPP 2024 середина года'!$A:$A,0),MATCH(F$1,'WPP 2024 середина года'!$B$1:$U$1,0)))))</f>
        <v>45259.6</v>
      </c>
      <c r="G113" s="7">
        <f>IF($A113&lt;=1951,INDEX('SALA 1974'!$B:$U,MATCH($A113,'SALA 1974'!$A:$A,0),MATCH(G$1,'SALA 1974'!$B$1:$U$1,0)),IF($A113&lt;=1994,1000*INDEX('SALA 2002'!$B:$U,MATCH($A113,'SALA 2002'!$A:$A,0),MATCH(G$1,'SALA 2002'!$B$1:$U$1,0)),IF($A113&lt;=2000,1000*INDEX('SALA 2002'!$B:$U,MATCH($A113,'SALA 2002'!$A:$A,0),MATCH(G$1,'SALA 2002'!$B$1:$U$1,0))*POWER(INDEX('WPP 2024 середина года'!$B:$U,MATCH($A113,'WPP 2024 середина года'!$A:$A,0),MATCH(G$1,'WPP 2024 середина года'!$B$1:$U$1,0))/(1000*INDEX('SALA 2002'!$B:$U,MATCH($A113,'SALA 2002'!$A:$A,0),MATCH(G$1,'SALA 2002'!$B$1:$U$1,0))),($A113-1994)/7),INDEX('WPP 2024 середина года'!$B:$U,MATCH($A113,'WPP 2024 середина года'!$A:$A,0),MATCH(G$1,'WPP 2024 середина года'!$B$1:$U$1,0)))))</f>
        <v>4609.8</v>
      </c>
      <c r="H113" s="7">
        <f>IF($A113&lt;=1951,INDEX('SALA 1974'!$B:$U,MATCH($A113,'SALA 1974'!$A:$A,0),MATCH(H$1,'SALA 1974'!$B$1:$U$1,0)),IF($A113&lt;=1994,1000*INDEX('SALA 2002'!$B:$U,MATCH($A113,'SALA 2002'!$A:$A,0),MATCH(H$1,'SALA 2002'!$B$1:$U$1,0)),IF($A113&lt;=2000,1000*INDEX('SALA 2002'!$B:$U,MATCH($A113,'SALA 2002'!$A:$A,0),MATCH(H$1,'SALA 2002'!$B$1:$U$1,0))*POWER(INDEX('WPP 2024 середина года'!$B:$U,MATCH($A113,'WPP 2024 середина года'!$A:$A,0),MATCH(H$1,'WPP 2024 середина года'!$B$1:$U$1,0))/(1000*INDEX('SALA 2002'!$B:$U,MATCH($A113,'SALA 2002'!$A:$A,0),MATCH(H$1,'SALA 2002'!$B$1:$U$1,0))),($A113-1994)/7),INDEX('WPP 2024 середина года'!$B:$U,MATCH($A113,'WPP 2024 середина года'!$A:$A,0),MATCH(H$1,'WPP 2024 середина года'!$B$1:$U$1,0)))))</f>
        <v>11301.6</v>
      </c>
      <c r="I113" s="7">
        <f>IF($A113&lt;=1951,INDEX('SALA 1974'!$B:$U,MATCH($A113,'SALA 1974'!$A:$A,0),MATCH(I$1,'SALA 1974'!$B$1:$U$1,0)),IF($A113&lt;=1994,1000*INDEX('SALA 2002'!$B:$U,MATCH($A113,'SALA 2002'!$A:$A,0),MATCH(I$1,'SALA 2002'!$B$1:$U$1,0)),IF($A113&lt;=2000,1000*INDEX('SALA 2002'!$B:$U,MATCH($A113,'SALA 2002'!$A:$A,0),MATCH(I$1,'SALA 2002'!$B$1:$U$1,0))*POWER(INDEX('WPP 2024 середина года'!$B:$U,MATCH($A113,'WPP 2024 середина года'!$A:$A,0),MATCH(I$1,'WPP 2024 середина года'!$B$1:$U$1,0))/(1000*INDEX('SALA 2002'!$B:$U,MATCH($A113,'SALA 2002'!$A:$A,0),MATCH(I$1,'SALA 2002'!$B$1:$U$1,0))),($A113-1994)/7),INDEX('WPP 2024 середина года'!$B:$U,MATCH($A113,'WPP 2024 середина года'!$A:$A,0),MATCH(I$1,'WPP 2024 середина года'!$B$1:$U$1,0)))))</f>
        <v>9945.6</v>
      </c>
      <c r="J113" s="7">
        <f>IF($A113&lt;=1951,INDEX('SALA 1974'!$B:$U,MATCH($A113,'SALA 1974'!$A:$A,0),MATCH(J$1,'SALA 1974'!$B$1:$U$1,0)),IF($A113&lt;=1994,1000*INDEX('SALA 2002'!$B:$U,MATCH($A113,'SALA 2002'!$A:$A,0),MATCH(J$1,'SALA 2002'!$B$1:$U$1,0)),IF($A113&lt;=2000,1000*INDEX('SALA 2002'!$B:$U,MATCH($A113,'SALA 2002'!$A:$A,0),MATCH(J$1,'SALA 2002'!$B$1:$U$1,0))*POWER(INDEX('WPP 2024 середина года'!$B:$U,MATCH($A113,'WPP 2024 середина года'!$A:$A,0),MATCH(J$1,'WPP 2024 середина года'!$B$1:$U$1,0))/(1000*INDEX('SALA 2002'!$B:$U,MATCH($A113,'SALA 2002'!$A:$A,0),MATCH(J$1,'SALA 2002'!$B$1:$U$1,0))),($A113-1994)/7),INDEX('WPP 2024 середина года'!$B:$U,MATCH($A113,'WPP 2024 середина года'!$A:$A,0),MATCH(J$1,'WPP 2024 середина года'!$B$1:$U$1,0)))))</f>
        <v>15326.2</v>
      </c>
      <c r="K113" s="7">
        <f>IF($A113&lt;=1951,INDEX('SALA 1974'!$B:$U,MATCH($A113,'SALA 1974'!$A:$A,0),MATCH(K$1,'SALA 1974'!$B$1:$U$1,0)),IF($A113&lt;=1994,1000*INDEX('SALA 2002'!$B:$U,MATCH($A113,'SALA 2002'!$A:$A,0),MATCH(K$1,'SALA 2002'!$B$1:$U$1,0)),IF($A113&lt;=2000,1000*INDEX('SALA 2002'!$B:$U,MATCH($A113,'SALA 2002'!$A:$A,0),MATCH(K$1,'SALA 2002'!$B$1:$U$1,0))*POWER(INDEX('WPP 2024 середина года'!$B:$U,MATCH($A113,'WPP 2024 середина года'!$A:$A,0),MATCH(K$1,'WPP 2024 середина года'!$B$1:$U$1,0))/(1000*INDEX('SALA 2002'!$B:$U,MATCH($A113,'SALA 2002'!$A:$A,0),MATCH(K$1,'SALA 2002'!$B$1:$U$1,0))),($A113-1994)/7),INDEX('WPP 2024 середина года'!$B:$U,MATCH($A113,'WPP 2024 середина года'!$A:$A,0),MATCH(K$1,'WPP 2024 середина года'!$B$1:$U$1,0)))))</f>
        <v>6090.1</v>
      </c>
      <c r="L113" s="7">
        <f>IF($A113&lt;=1951,INDEX('SALA 1974'!$B:$U,MATCH($A113,'SALA 1974'!$A:$A,0),MATCH(L$1,'SALA 1974'!$B$1:$U$1,0)),IF($A113&lt;=1994,1000*INDEX('SALA 2002'!$B:$U,MATCH($A113,'SALA 2002'!$A:$A,0),MATCH(L$1,'SALA 2002'!$B$1:$U$1,0)),IF($A113&lt;=2000,1000*INDEX('SALA 2002'!$B:$U,MATCH($A113,'SALA 2002'!$A:$A,0),MATCH(L$1,'SALA 2002'!$B$1:$U$1,0))*POWER(INDEX('WPP 2024 середина года'!$B:$U,MATCH($A113,'WPP 2024 середина года'!$A:$A,0),MATCH(L$1,'WPP 2024 середина года'!$B$1:$U$1,0))/(1000*INDEX('SALA 2002'!$B:$U,MATCH($A113,'SALA 2002'!$A:$A,0),MATCH(L$1,'SALA 2002'!$B$1:$U$1,0))),($A113-1994)/7),INDEX('WPP 2024 середина года'!$B:$U,MATCH($A113,'WPP 2024 середина года'!$A:$A,0),MATCH(L$1,'WPP 2024 середина года'!$B$1:$U$1,0)))))</f>
        <v>14792.1</v>
      </c>
      <c r="M113" s="7">
        <f>IF($A113&lt;=1951,INDEX('SALA 1974'!$B:$U,MATCH($A113,'SALA 1974'!$A:$A,0),MATCH(M$1,'SALA 1974'!$B$1:$U$1,0)),IF($A113&lt;=1994,1000*INDEX('SALA 2002'!$B:$U,MATCH($A113,'SALA 2002'!$A:$A,0),MATCH(M$1,'SALA 2002'!$B$1:$U$1,0)),IF($A113&lt;=2000,1000*INDEX('SALA 2002'!$B:$U,MATCH($A113,'SALA 2002'!$A:$A,0),MATCH(M$1,'SALA 2002'!$B$1:$U$1,0))*POWER(INDEX('WPP 2024 середина года'!$B:$U,MATCH($A113,'WPP 2024 середина года'!$A:$A,0),MATCH(M$1,'WPP 2024 середина года'!$B$1:$U$1,0))/(1000*INDEX('SALA 2002'!$B:$U,MATCH($A113,'SALA 2002'!$A:$A,0),MATCH(M$1,'SALA 2002'!$B$1:$U$1,0))),($A113-1994)/7),INDEX('WPP 2024 середина года'!$B:$U,MATCH($A113,'WPP 2024 середина года'!$A:$A,0),MATCH(M$1,'WPP 2024 середина года'!$B$1:$U$1,0)))))</f>
        <v>9914.9</v>
      </c>
      <c r="N113" s="7">
        <f>IF($A113&lt;=1951,INDEX('SALA 1974'!$B:$U,MATCH($A113,'SALA 1974'!$A:$A,0),MATCH(N$1,'SALA 1974'!$B$1:$U$1,0)),IF($A113&lt;=1994,1000*INDEX('SALA 2002'!$B:$U,MATCH($A113,'SALA 2002'!$A:$A,0),MATCH(N$1,'SALA 2002'!$B$1:$U$1,0)),IF($A113&lt;=2000,1000*INDEX('SALA 2002'!$B:$U,MATCH($A113,'SALA 2002'!$A:$A,0),MATCH(N$1,'SALA 2002'!$B$1:$U$1,0))*POWER(INDEX('WPP 2024 середина года'!$B:$U,MATCH($A113,'WPP 2024 середина года'!$A:$A,0),MATCH(N$1,'WPP 2024 середина года'!$B$1:$U$1,0))/(1000*INDEX('SALA 2002'!$B:$U,MATCH($A113,'SALA 2002'!$A:$A,0),MATCH(N$1,'SALA 2002'!$B$1:$U$1,0))),($A113-1994)/7),INDEX('WPP 2024 середина года'!$B:$U,MATCH($A113,'WPP 2024 середина года'!$A:$A,0),MATCH(N$1,'WPP 2024 середина года'!$B$1:$U$1,0)))))</f>
        <v>8540.6</v>
      </c>
      <c r="O113" s="7">
        <f>IF($A113&lt;=1951,INDEX('SALA 1974'!$B:$U,MATCH($A113,'SALA 1974'!$A:$A,0),MATCH(O$1,'SALA 1974'!$B$1:$U$1,0)),IF($A113&lt;=1994,1000*INDEX('SALA 2002'!$B:$U,MATCH($A113,'SALA 2002'!$A:$A,0),MATCH(O$1,'SALA 2002'!$B$1:$U$1,0)),IF($A113&lt;=2000,1000*INDEX('SALA 2002'!$B:$U,MATCH($A113,'SALA 2002'!$A:$A,0),MATCH(O$1,'SALA 2002'!$B$1:$U$1,0))*POWER(INDEX('WPP 2024 середина года'!$B:$U,MATCH($A113,'WPP 2024 середина года'!$A:$A,0),MATCH(O$1,'WPP 2024 середина года'!$B$1:$U$1,0))/(1000*INDEX('SALA 2002'!$B:$U,MATCH($A113,'SALA 2002'!$A:$A,0),MATCH(O$1,'SALA 2002'!$B$1:$U$1,0))),($A113-1994)/7),INDEX('WPP 2024 середина года'!$B:$U,MATCH($A113,'WPP 2024 середина года'!$A:$A,0),MATCH(O$1,'WPP 2024 середина года'!$B$1:$U$1,0)))))</f>
        <v>115243.5</v>
      </c>
      <c r="P113" s="7">
        <f>IF($A113&lt;=1951,INDEX('SALA 1974'!$B:$U,MATCH($A113,'SALA 1974'!$A:$A,0),MATCH(P$1,'SALA 1974'!$B$1:$U$1,0)),IF($A113&lt;=1994,1000*INDEX('SALA 2002'!$B:$U,MATCH($A113,'SALA 2002'!$A:$A,0),MATCH(P$1,'SALA 2002'!$B$1:$U$1,0)),IF($A113&lt;=2000,1000*INDEX('SALA 2002'!$B:$U,MATCH($A113,'SALA 2002'!$A:$A,0),MATCH(P$1,'SALA 2002'!$B$1:$U$1,0))*POWER(INDEX('WPP 2024 середина года'!$B:$U,MATCH($A113,'WPP 2024 середина года'!$A:$A,0),MATCH(P$1,'WPP 2024 середина года'!$B$1:$U$1,0))/(1000*INDEX('SALA 2002'!$B:$U,MATCH($A113,'SALA 2002'!$A:$A,0),MATCH(P$1,'SALA 2002'!$B$1:$U$1,0))),($A113-1994)/7),INDEX('WPP 2024 середина года'!$B:$U,MATCH($A113,'WPP 2024 середина года'!$A:$A,0),MATCH(P$1,'WPP 2024 середина года'!$B$1:$U$1,0)))))</f>
        <v>5819.1</v>
      </c>
      <c r="Q113" s="7">
        <f>IF($A113&lt;=1951,INDEX('SALA 1974'!$B:$U,MATCH($A113,'SALA 1974'!$A:$A,0),MATCH(Q$1,'SALA 1974'!$B$1:$U$1,0)),IF($A113&lt;=1994,1000*INDEX('SALA 2002'!$B:$U,MATCH($A113,'SALA 2002'!$A:$A,0),MATCH(Q$1,'SALA 2002'!$B$1:$U$1,0)),IF($A113&lt;=2000,1000*INDEX('SALA 2002'!$B:$U,MATCH($A113,'SALA 2002'!$A:$A,0),MATCH(Q$1,'SALA 2002'!$B$1:$U$1,0))*POWER(INDEX('WPP 2024 середина года'!$B:$U,MATCH($A113,'WPP 2024 середина года'!$A:$A,0),MATCH(Q$1,'WPP 2024 середина года'!$B$1:$U$1,0))/(1000*INDEX('SALA 2002'!$B:$U,MATCH($A113,'SALA 2002'!$A:$A,0),MATCH(Q$1,'SALA 2002'!$B$1:$U$1,0))),($A113-1994)/7),INDEX('WPP 2024 середина года'!$B:$U,MATCH($A113,'WPP 2024 середина года'!$A:$A,0),MATCH(Q$1,'WPP 2024 середина года'!$B$1:$U$1,0)))))</f>
        <v>3693.5</v>
      </c>
      <c r="R113" s="7">
        <f>IF($A113&lt;=1951,INDEX('SALA 1974'!$B:$U,MATCH($A113,'SALA 1974'!$A:$A,0),MATCH(R$1,'SALA 1974'!$B$1:$U$1,0)),IF($A113&lt;=1994,1000*INDEX('SALA 2002'!$B:$U,MATCH($A113,'SALA 2002'!$A:$A,0),MATCH(R$1,'SALA 2002'!$B$1:$U$1,0)),IF($A113&lt;=2000,1000*INDEX('SALA 2002'!$B:$U,MATCH($A113,'SALA 2002'!$A:$A,0),MATCH(R$1,'SALA 2002'!$B$1:$U$1,0))*POWER(INDEX('WPP 2024 середина года'!$B:$U,MATCH($A113,'WPP 2024 середина года'!$A:$A,0),MATCH(R$1,'WPP 2024 середина года'!$B$1:$U$1,0))/(1000*INDEX('SALA 2002'!$B:$U,MATCH($A113,'SALA 2002'!$A:$A,0),MATCH(R$1,'SALA 2002'!$B$1:$U$1,0))),($A113-1994)/7),INDEX('WPP 2024 середина года'!$B:$U,MATCH($A113,'WPP 2024 середина года'!$A:$A,0),MATCH(R$1,'WPP 2024 середина года'!$B$1:$U$1,0)))))</f>
        <v>5814.6</v>
      </c>
      <c r="S113" s="7">
        <f>IF($A113&lt;=1951,INDEX('SALA 1974'!$B:$U,MATCH($A113,'SALA 1974'!$A:$A,0),MATCH(S$1,'SALA 1974'!$B$1:$U$1,0)),IF($A113&lt;=1994,1000*INDEX('SALA 2002'!$B:$U,MATCH($A113,'SALA 2002'!$A:$A,0),MATCH(S$1,'SALA 2002'!$B$1:$U$1,0)),IF($A113&lt;=2000,1000*INDEX('SALA 2002'!$B:$U,MATCH($A113,'SALA 2002'!$A:$A,0),MATCH(S$1,'SALA 2002'!$B$1:$U$1,0))*POWER(INDEX('WPP 2024 середина года'!$B:$U,MATCH($A113,'WPP 2024 середина года'!$A:$A,0),MATCH(S$1,'WPP 2024 середина года'!$B$1:$U$1,0))/(1000*INDEX('SALA 2002'!$B:$U,MATCH($A113,'SALA 2002'!$A:$A,0),MATCH(S$1,'SALA 2002'!$B$1:$U$1,0))),($A113-1994)/7),INDEX('WPP 2024 середина года'!$B:$U,MATCH($A113,'WPP 2024 середина года'!$A:$A,0),MATCH(S$1,'WPP 2024 середина года'!$B$1:$U$1,0)))))</f>
        <v>29304.1</v>
      </c>
      <c r="T113" s="7">
        <f>IF($A113&lt;=1951,INDEX('SALA 1974'!$B:$U,MATCH($A113,'SALA 1974'!$A:$A,0),MATCH(T$1,'SALA 1974'!$B$1:$U$1,0)),IF($A113&lt;=1994,1000*INDEX('SALA 2002'!$B:$U,MATCH($A113,'SALA 2002'!$A:$A,0),MATCH(T$1,'SALA 2002'!$B$1:$U$1,0)),IF($A113&lt;=2000,1000*INDEX('SALA 2002'!$B:$U,MATCH($A113,'SALA 2002'!$A:$A,0),MATCH(T$1,'SALA 2002'!$B$1:$U$1,0))*POWER(INDEX('WPP 2024 середина года'!$B:$U,MATCH($A113,'WPP 2024 середина года'!$A:$A,0),MATCH(T$1,'WPP 2024 середина года'!$B$1:$U$1,0))/(1000*INDEX('SALA 2002'!$B:$U,MATCH($A113,'SALA 2002'!$A:$A,0),MATCH(T$1,'SALA 2002'!$B$1:$U$1,0))),($A113-1994)/7),INDEX('WPP 2024 середина года'!$B:$U,MATCH($A113,'WPP 2024 середина года'!$A:$A,0),MATCH(T$1,'WPP 2024 середина года'!$B$1:$U$1,0)))))</f>
        <v>3326.8</v>
      </c>
      <c r="U113" s="7">
        <f>IF($A113&lt;=1951,INDEX('SALA 1974'!$B:$U,MATCH($A113,'SALA 1974'!$A:$A,0),MATCH(U$1,'SALA 1974'!$B$1:$U$1,0)),IF($A113&lt;=1994,1000*INDEX('SALA 2002'!$B:$U,MATCH($A113,'SALA 2002'!$A:$A,0),MATCH(U$1,'SALA 2002'!$B$1:$U$1,0)),IF($A113&lt;=2000,1000*INDEX('SALA 2002'!$B:$U,MATCH($A113,'SALA 2002'!$A:$A,0),MATCH(U$1,'SALA 2002'!$B$1:$U$1,0))*POWER(INDEX('WPP 2024 середина года'!$B:$U,MATCH($A113,'WPP 2024 середина года'!$A:$A,0),MATCH(U$1,'WPP 2024 середина года'!$B$1:$U$1,0))/(1000*INDEX('SALA 2002'!$B:$U,MATCH($A113,'SALA 2002'!$A:$A,0),MATCH(U$1,'SALA 2002'!$B$1:$U$1,0))),($A113-1994)/7),INDEX('WPP 2024 середина года'!$B:$U,MATCH($A113,'WPP 2024 середина года'!$A:$A,0),MATCH(U$1,'WPP 2024 середина года'!$B$1:$U$1,0)))))</f>
        <v>29185.200000000001</v>
      </c>
    </row>
    <row r="114" spans="1:21" x14ac:dyDescent="0.25">
      <c r="A114" s="5">
        <f t="shared" si="1"/>
        <v>2012</v>
      </c>
      <c r="B114" s="7">
        <f>IF($A114&lt;=1951,INDEX('SALA 1974'!$B:$U,MATCH($A114,'SALA 1974'!$A:$A,0),MATCH(B$1,'SALA 1974'!$B$1:$U$1,0)),IF($A114&lt;=1994,1000*INDEX('SALA 2002'!$B:$U,MATCH($A114,'SALA 2002'!$A:$A,0),MATCH(B$1,'SALA 2002'!$B$1:$U$1,0)),IF($A114&lt;=2000,1000*INDEX('SALA 2002'!$B:$U,MATCH($A114,'SALA 2002'!$A:$A,0),MATCH(B$1,'SALA 2002'!$B$1:$U$1,0))*POWER(INDEX('WPP 2024 середина года'!$B:$U,MATCH($A114,'WPP 2024 середина года'!$A:$A,0),MATCH(B$1,'WPP 2024 середина года'!$B$1:$U$1,0))/(1000*INDEX('SALA 2002'!$B:$U,MATCH($A114,'SALA 2002'!$A:$A,0),MATCH(B$1,'SALA 2002'!$B$1:$U$1,0))),($A114-1994)/7),INDEX('WPP 2024 середина года'!$B:$U,MATCH($A114,'WPP 2024 середина года'!$A:$A,0),MATCH(B$1,'WPP 2024 середина года'!$B$1:$U$1,0)))))</f>
        <v>42161.7</v>
      </c>
      <c r="C114" s="7">
        <f>IF($A114&lt;=1951,INDEX('SALA 1974'!$B:$U,MATCH($A114,'SALA 1974'!$A:$A,0),MATCH(C$1,'SALA 1974'!$B$1:$U$1,0)),IF($A114&lt;=1994,1000*INDEX('SALA 2002'!$B:$U,MATCH($A114,'SALA 2002'!$A:$A,0),MATCH(C$1,'SALA 2002'!$B$1:$U$1,0)),IF($A114&lt;=2000,1000*INDEX('SALA 2002'!$B:$U,MATCH($A114,'SALA 2002'!$A:$A,0),MATCH(C$1,'SALA 2002'!$B$1:$U$1,0))*POWER(INDEX('WPP 2024 середина года'!$B:$U,MATCH($A114,'WPP 2024 середина года'!$A:$A,0),MATCH(C$1,'WPP 2024 середина года'!$B$1:$U$1,0))/(1000*INDEX('SALA 2002'!$B:$U,MATCH($A114,'SALA 2002'!$A:$A,0),MATCH(C$1,'SALA 2002'!$B$1:$U$1,0))),($A114-1994)/7),INDEX('WPP 2024 середина года'!$B:$U,MATCH($A114,'WPP 2024 середина года'!$A:$A,0),MATCH(C$1,'WPP 2024 середина года'!$B$1:$U$1,0)))))</f>
        <v>10515.8</v>
      </c>
      <c r="D114" s="7">
        <f>IF($A114&lt;=1951,INDEX('SALA 1974'!$B:$U,MATCH($A114,'SALA 1974'!$A:$A,0),MATCH(D$1,'SALA 1974'!$B$1:$U$1,0)),IF($A114&lt;=1994,1000*INDEX('SALA 2002'!$B:$U,MATCH($A114,'SALA 2002'!$A:$A,0),MATCH(D$1,'SALA 2002'!$B$1:$U$1,0)),IF($A114&lt;=2000,1000*INDEX('SALA 2002'!$B:$U,MATCH($A114,'SALA 2002'!$A:$A,0),MATCH(D$1,'SALA 2002'!$B$1:$U$1,0))*POWER(INDEX('WPP 2024 середина года'!$B:$U,MATCH($A114,'WPP 2024 середина года'!$A:$A,0),MATCH(D$1,'WPP 2024 середина года'!$B$1:$U$1,0))/(1000*INDEX('SALA 2002'!$B:$U,MATCH($A114,'SALA 2002'!$A:$A,0),MATCH(D$1,'SALA 2002'!$B$1:$U$1,0))),($A114-1994)/7),INDEX('WPP 2024 середина года'!$B:$U,MATCH($A114,'WPP 2024 середина года'!$A:$A,0),MATCH(D$1,'WPP 2024 середина года'!$B$1:$U$1,0)))))</f>
        <v>196876.1</v>
      </c>
      <c r="E114" s="7">
        <f>IF($A114&lt;=1951,INDEX('SALA 1974'!$B:$U,MATCH($A114,'SALA 1974'!$A:$A,0),MATCH(E$1,'SALA 1974'!$B$1:$U$1,0)),IF($A114&lt;=1994,1000*INDEX('SALA 2002'!$B:$U,MATCH($A114,'SALA 2002'!$A:$A,0),MATCH(E$1,'SALA 2002'!$B$1:$U$1,0)),IF($A114&lt;=2000,1000*INDEX('SALA 2002'!$B:$U,MATCH($A114,'SALA 2002'!$A:$A,0),MATCH(E$1,'SALA 2002'!$B$1:$U$1,0))*POWER(INDEX('WPP 2024 середина года'!$B:$U,MATCH($A114,'WPP 2024 середина года'!$A:$A,0),MATCH(E$1,'WPP 2024 середина года'!$B$1:$U$1,0))/(1000*INDEX('SALA 2002'!$B:$U,MATCH($A114,'SALA 2002'!$A:$A,0),MATCH(E$1,'SALA 2002'!$B$1:$U$1,0))),($A114-1994)/7),INDEX('WPP 2024 середина года'!$B:$U,MATCH($A114,'WPP 2024 середина года'!$A:$A,0),MATCH(E$1,'WPP 2024 середина года'!$B$1:$U$1,0)))))</f>
        <v>17519.099999999999</v>
      </c>
      <c r="F114" s="7">
        <f>IF($A114&lt;=1947,INDEX('SALA 1974'!$B:$U,MATCH($A114,'SALA 1974'!$A:$A,0),MATCH(F$1,'SALA 1974'!$B$1:$U$1,0)),IF($A114&lt;=1994,1000*INDEX('SALA 2002'!$B:$U,MATCH($A114,'SALA 2002'!$A:$A,0),MATCH(F$1,'SALA 2002'!$B$1:$U$1,0)),IF($A114&lt;=2000,1000*INDEX('SALA 2002'!$B:$U,MATCH($A114,'SALA 2002'!$A:$A,0),MATCH(F$1,'SALA 2002'!$B$1:$U$1,0))*POWER(INDEX('WPP 2024 середина года'!$B:$U,MATCH($A114,'WPP 2024 середина года'!$A:$A,0),MATCH(F$1,'WPP 2024 середина года'!$B$1:$U$1,0))/(1000*INDEX('SALA 2002'!$B:$U,MATCH($A114,'SALA 2002'!$A:$A,0),MATCH(F$1,'SALA 2002'!$B$1:$U$1,0))),($A114-1994)/7),INDEX('WPP 2024 середина года'!$B:$U,MATCH($A114,'WPP 2024 середина года'!$A:$A,0),MATCH(F$1,'WPP 2024 середина года'!$B$1:$U$1,0)))))</f>
        <v>45715.8</v>
      </c>
      <c r="G114" s="7">
        <f>IF($A114&lt;=1951,INDEX('SALA 1974'!$B:$U,MATCH($A114,'SALA 1974'!$A:$A,0),MATCH(G$1,'SALA 1974'!$B$1:$U$1,0)),IF($A114&lt;=1994,1000*INDEX('SALA 2002'!$B:$U,MATCH($A114,'SALA 2002'!$A:$A,0),MATCH(G$1,'SALA 2002'!$B$1:$U$1,0)),IF($A114&lt;=2000,1000*INDEX('SALA 2002'!$B:$U,MATCH($A114,'SALA 2002'!$A:$A,0),MATCH(G$1,'SALA 2002'!$B$1:$U$1,0))*POWER(INDEX('WPP 2024 середина года'!$B:$U,MATCH($A114,'WPP 2024 середина года'!$A:$A,0),MATCH(G$1,'WPP 2024 середина года'!$B$1:$U$1,0))/(1000*INDEX('SALA 2002'!$B:$U,MATCH($A114,'SALA 2002'!$A:$A,0),MATCH(G$1,'SALA 2002'!$B$1:$U$1,0))),($A114-1994)/7),INDEX('WPP 2024 середина года'!$B:$U,MATCH($A114,'WPP 2024 середина года'!$A:$A,0),MATCH(G$1,'WPP 2024 середина года'!$B$1:$U$1,0)))))</f>
        <v>4663.8999999999996</v>
      </c>
      <c r="H114" s="7">
        <f>IF($A114&lt;=1951,INDEX('SALA 1974'!$B:$U,MATCH($A114,'SALA 1974'!$A:$A,0),MATCH(H$1,'SALA 1974'!$B$1:$U$1,0)),IF($A114&lt;=1994,1000*INDEX('SALA 2002'!$B:$U,MATCH($A114,'SALA 2002'!$A:$A,0),MATCH(H$1,'SALA 2002'!$B$1:$U$1,0)),IF($A114&lt;=2000,1000*INDEX('SALA 2002'!$B:$U,MATCH($A114,'SALA 2002'!$A:$A,0),MATCH(H$1,'SALA 2002'!$B$1:$U$1,0))*POWER(INDEX('WPP 2024 середина года'!$B:$U,MATCH($A114,'WPP 2024 середина года'!$A:$A,0),MATCH(H$1,'WPP 2024 середина года'!$B$1:$U$1,0))/(1000*INDEX('SALA 2002'!$B:$U,MATCH($A114,'SALA 2002'!$A:$A,0),MATCH(H$1,'SALA 2002'!$B$1:$U$1,0))),($A114-1994)/7),INDEX('WPP 2024 середина года'!$B:$U,MATCH($A114,'WPP 2024 середина года'!$A:$A,0),MATCH(H$1,'WPP 2024 середина года'!$B$1:$U$1,0)))))</f>
        <v>11303.2</v>
      </c>
      <c r="I114" s="7">
        <f>IF($A114&lt;=1951,INDEX('SALA 1974'!$B:$U,MATCH($A114,'SALA 1974'!$A:$A,0),MATCH(I$1,'SALA 1974'!$B$1:$U$1,0)),IF($A114&lt;=1994,1000*INDEX('SALA 2002'!$B:$U,MATCH($A114,'SALA 2002'!$A:$A,0),MATCH(I$1,'SALA 2002'!$B$1:$U$1,0)),IF($A114&lt;=2000,1000*INDEX('SALA 2002'!$B:$U,MATCH($A114,'SALA 2002'!$A:$A,0),MATCH(I$1,'SALA 2002'!$B$1:$U$1,0))*POWER(INDEX('WPP 2024 середина года'!$B:$U,MATCH($A114,'WPP 2024 середина года'!$A:$A,0),MATCH(I$1,'WPP 2024 середина года'!$B$1:$U$1,0))/(1000*INDEX('SALA 2002'!$B:$U,MATCH($A114,'SALA 2002'!$A:$A,0),MATCH(I$1,'SALA 2002'!$B$1:$U$1,0))),($A114-1994)/7),INDEX('WPP 2024 середина года'!$B:$U,MATCH($A114,'WPP 2024 середина года'!$A:$A,0),MATCH(I$1,'WPP 2024 середина года'!$B$1:$U$1,0)))))</f>
        <v>10070.4</v>
      </c>
      <c r="J114" s="7">
        <f>IF($A114&lt;=1951,INDEX('SALA 1974'!$B:$U,MATCH($A114,'SALA 1974'!$A:$A,0),MATCH(J$1,'SALA 1974'!$B$1:$U$1,0)),IF($A114&lt;=1994,1000*INDEX('SALA 2002'!$B:$U,MATCH($A114,'SALA 2002'!$A:$A,0),MATCH(J$1,'SALA 2002'!$B$1:$U$1,0)),IF($A114&lt;=2000,1000*INDEX('SALA 2002'!$B:$U,MATCH($A114,'SALA 2002'!$A:$A,0),MATCH(J$1,'SALA 2002'!$B$1:$U$1,0))*POWER(INDEX('WPP 2024 середина года'!$B:$U,MATCH($A114,'WPP 2024 середина года'!$A:$A,0),MATCH(J$1,'WPP 2024 середина года'!$B$1:$U$1,0))/(1000*INDEX('SALA 2002'!$B:$U,MATCH($A114,'SALA 2002'!$A:$A,0),MATCH(J$1,'SALA 2002'!$B$1:$U$1,0))),($A114-1994)/7),INDEX('WPP 2024 середина года'!$B:$U,MATCH($A114,'WPP 2024 середина года'!$A:$A,0),MATCH(J$1,'WPP 2024 середина года'!$B$1:$U$1,0)))))</f>
        <v>15572.2</v>
      </c>
      <c r="K114" s="7">
        <f>IF($A114&lt;=1951,INDEX('SALA 1974'!$B:$U,MATCH($A114,'SALA 1974'!$A:$A,0),MATCH(K$1,'SALA 1974'!$B$1:$U$1,0)),IF($A114&lt;=1994,1000*INDEX('SALA 2002'!$B:$U,MATCH($A114,'SALA 2002'!$A:$A,0),MATCH(K$1,'SALA 2002'!$B$1:$U$1,0)),IF($A114&lt;=2000,1000*INDEX('SALA 2002'!$B:$U,MATCH($A114,'SALA 2002'!$A:$A,0),MATCH(K$1,'SALA 2002'!$B$1:$U$1,0))*POWER(INDEX('WPP 2024 середина года'!$B:$U,MATCH($A114,'WPP 2024 середина года'!$A:$A,0),MATCH(K$1,'WPP 2024 середина года'!$B$1:$U$1,0))/(1000*INDEX('SALA 2002'!$B:$U,MATCH($A114,'SALA 2002'!$A:$A,0),MATCH(K$1,'SALA 2002'!$B$1:$U$1,0))),($A114-1994)/7),INDEX('WPP 2024 середина года'!$B:$U,MATCH($A114,'WPP 2024 середина года'!$A:$A,0),MATCH(K$1,'WPP 2024 середина года'!$B$1:$U$1,0)))))</f>
        <v>6114</v>
      </c>
      <c r="L114" s="7">
        <f>IF($A114&lt;=1951,INDEX('SALA 1974'!$B:$U,MATCH($A114,'SALA 1974'!$A:$A,0),MATCH(L$1,'SALA 1974'!$B$1:$U$1,0)),IF($A114&lt;=1994,1000*INDEX('SALA 2002'!$B:$U,MATCH($A114,'SALA 2002'!$A:$A,0),MATCH(L$1,'SALA 2002'!$B$1:$U$1,0)),IF($A114&lt;=2000,1000*INDEX('SALA 2002'!$B:$U,MATCH($A114,'SALA 2002'!$A:$A,0),MATCH(L$1,'SALA 2002'!$B$1:$U$1,0))*POWER(INDEX('WPP 2024 середина года'!$B:$U,MATCH($A114,'WPP 2024 середина года'!$A:$A,0),MATCH(L$1,'WPP 2024 середина года'!$B$1:$U$1,0))/(1000*INDEX('SALA 2002'!$B:$U,MATCH($A114,'SALA 2002'!$A:$A,0),MATCH(L$1,'SALA 2002'!$B$1:$U$1,0))),($A114-1994)/7),INDEX('WPP 2024 середина года'!$B:$U,MATCH($A114,'WPP 2024 середина года'!$A:$A,0),MATCH(L$1,'WPP 2024 середина года'!$B$1:$U$1,0)))))</f>
        <v>15089.6</v>
      </c>
      <c r="M114" s="7">
        <f>IF($A114&lt;=1951,INDEX('SALA 1974'!$B:$U,MATCH($A114,'SALA 1974'!$A:$A,0),MATCH(M$1,'SALA 1974'!$B$1:$U$1,0)),IF($A114&lt;=1994,1000*INDEX('SALA 2002'!$B:$U,MATCH($A114,'SALA 2002'!$A:$A,0),MATCH(M$1,'SALA 2002'!$B$1:$U$1,0)),IF($A114&lt;=2000,1000*INDEX('SALA 2002'!$B:$U,MATCH($A114,'SALA 2002'!$A:$A,0),MATCH(M$1,'SALA 2002'!$B$1:$U$1,0))*POWER(INDEX('WPP 2024 середина года'!$B:$U,MATCH($A114,'WPP 2024 середина года'!$A:$A,0),MATCH(M$1,'WPP 2024 середина года'!$B$1:$U$1,0))/(1000*INDEX('SALA 2002'!$B:$U,MATCH($A114,'SALA 2002'!$A:$A,0),MATCH(M$1,'SALA 2002'!$B$1:$U$1,0))),($A114-1994)/7),INDEX('WPP 2024 середина года'!$B:$U,MATCH($A114,'WPP 2024 середина года'!$A:$A,0),MATCH(M$1,'WPP 2024 середина года'!$B$1:$U$1,0)))))</f>
        <v>10069.799999999999</v>
      </c>
      <c r="N114" s="7">
        <f>IF($A114&lt;=1951,INDEX('SALA 1974'!$B:$U,MATCH($A114,'SALA 1974'!$A:$A,0),MATCH(N$1,'SALA 1974'!$B$1:$U$1,0)),IF($A114&lt;=1994,1000*INDEX('SALA 2002'!$B:$U,MATCH($A114,'SALA 2002'!$A:$A,0),MATCH(N$1,'SALA 2002'!$B$1:$U$1,0)),IF($A114&lt;=2000,1000*INDEX('SALA 2002'!$B:$U,MATCH($A114,'SALA 2002'!$A:$A,0),MATCH(N$1,'SALA 2002'!$B$1:$U$1,0))*POWER(INDEX('WPP 2024 середина года'!$B:$U,MATCH($A114,'WPP 2024 середина года'!$A:$A,0),MATCH(N$1,'WPP 2024 середина года'!$B$1:$U$1,0))/(1000*INDEX('SALA 2002'!$B:$U,MATCH($A114,'SALA 2002'!$A:$A,0),MATCH(N$1,'SALA 2002'!$B$1:$U$1,0))),($A114-1994)/7),INDEX('WPP 2024 середина года'!$B:$U,MATCH($A114,'WPP 2024 середина года'!$A:$A,0),MATCH(N$1,'WPP 2024 середина года'!$B$1:$U$1,0)))))</f>
        <v>8715.1</v>
      </c>
      <c r="O114" s="7">
        <f>IF($A114&lt;=1951,INDEX('SALA 1974'!$B:$U,MATCH($A114,'SALA 1974'!$A:$A,0),MATCH(O$1,'SALA 1974'!$B$1:$U$1,0)),IF($A114&lt;=1994,1000*INDEX('SALA 2002'!$B:$U,MATCH($A114,'SALA 2002'!$A:$A,0),MATCH(O$1,'SALA 2002'!$B$1:$U$1,0)),IF($A114&lt;=2000,1000*INDEX('SALA 2002'!$B:$U,MATCH($A114,'SALA 2002'!$A:$A,0),MATCH(O$1,'SALA 2002'!$B$1:$U$1,0))*POWER(INDEX('WPP 2024 середина года'!$B:$U,MATCH($A114,'WPP 2024 середина года'!$A:$A,0),MATCH(O$1,'WPP 2024 середина года'!$B$1:$U$1,0))/(1000*INDEX('SALA 2002'!$B:$U,MATCH($A114,'SALA 2002'!$A:$A,0),MATCH(O$1,'SALA 2002'!$B$1:$U$1,0))),($A114-1994)/7),INDEX('WPP 2024 середина года'!$B:$U,MATCH($A114,'WPP 2024 середина года'!$A:$A,0),MATCH(O$1,'WPP 2024 середина года'!$B$1:$U$1,0)))))</f>
        <v>116818.2</v>
      </c>
      <c r="P114" s="7">
        <f>IF($A114&lt;=1951,INDEX('SALA 1974'!$B:$U,MATCH($A114,'SALA 1974'!$A:$A,0),MATCH(P$1,'SALA 1974'!$B$1:$U$1,0)),IF($A114&lt;=1994,1000*INDEX('SALA 2002'!$B:$U,MATCH($A114,'SALA 2002'!$A:$A,0),MATCH(P$1,'SALA 2002'!$B$1:$U$1,0)),IF($A114&lt;=2000,1000*INDEX('SALA 2002'!$B:$U,MATCH($A114,'SALA 2002'!$A:$A,0),MATCH(P$1,'SALA 2002'!$B$1:$U$1,0))*POWER(INDEX('WPP 2024 середина года'!$B:$U,MATCH($A114,'WPP 2024 середина года'!$A:$A,0),MATCH(P$1,'WPP 2024 середина года'!$B$1:$U$1,0))/(1000*INDEX('SALA 2002'!$B:$U,MATCH($A114,'SALA 2002'!$A:$A,0),MATCH(P$1,'SALA 2002'!$B$1:$U$1,0))),($A114-1994)/7),INDEX('WPP 2024 середина года'!$B:$U,MATCH($A114,'WPP 2024 середина года'!$A:$A,0),MATCH(P$1,'WPP 2024 середина года'!$B$1:$U$1,0)))))</f>
        <v>5901.3</v>
      </c>
      <c r="Q114" s="7">
        <f>IF($A114&lt;=1951,INDEX('SALA 1974'!$B:$U,MATCH($A114,'SALA 1974'!$A:$A,0),MATCH(Q$1,'SALA 1974'!$B$1:$U$1,0)),IF($A114&lt;=1994,1000*INDEX('SALA 2002'!$B:$U,MATCH($A114,'SALA 2002'!$A:$A,0),MATCH(Q$1,'SALA 2002'!$B$1:$U$1,0)),IF($A114&lt;=2000,1000*INDEX('SALA 2002'!$B:$U,MATCH($A114,'SALA 2002'!$A:$A,0),MATCH(Q$1,'SALA 2002'!$B$1:$U$1,0))*POWER(INDEX('WPP 2024 середина года'!$B:$U,MATCH($A114,'WPP 2024 середина года'!$A:$A,0),MATCH(Q$1,'WPP 2024 середина года'!$B$1:$U$1,0))/(1000*INDEX('SALA 2002'!$B:$U,MATCH($A114,'SALA 2002'!$A:$A,0),MATCH(Q$1,'SALA 2002'!$B$1:$U$1,0))),($A114-1994)/7),INDEX('WPP 2024 середина года'!$B:$U,MATCH($A114,'WPP 2024 середина года'!$A:$A,0),MATCH(Q$1,'WPP 2024 середина года'!$B$1:$U$1,0)))))</f>
        <v>3759.3</v>
      </c>
      <c r="R114" s="7">
        <f>IF($A114&lt;=1951,INDEX('SALA 1974'!$B:$U,MATCH($A114,'SALA 1974'!$A:$A,0),MATCH(R$1,'SALA 1974'!$B$1:$U$1,0)),IF($A114&lt;=1994,1000*INDEX('SALA 2002'!$B:$U,MATCH($A114,'SALA 2002'!$A:$A,0),MATCH(R$1,'SALA 2002'!$B$1:$U$1,0)),IF($A114&lt;=2000,1000*INDEX('SALA 2002'!$B:$U,MATCH($A114,'SALA 2002'!$A:$A,0),MATCH(R$1,'SALA 2002'!$B$1:$U$1,0))*POWER(INDEX('WPP 2024 середина года'!$B:$U,MATCH($A114,'WPP 2024 середина года'!$A:$A,0),MATCH(R$1,'WPP 2024 середина года'!$B$1:$U$1,0))/(1000*INDEX('SALA 2002'!$B:$U,MATCH($A114,'SALA 2002'!$A:$A,0),MATCH(R$1,'SALA 2002'!$B$1:$U$1,0))),($A114-1994)/7),INDEX('WPP 2024 середина года'!$B:$U,MATCH($A114,'WPP 2024 середина года'!$A:$A,0),MATCH(R$1,'WPP 2024 середина года'!$B$1:$U$1,0)))))</f>
        <v>5897</v>
      </c>
      <c r="S114" s="7">
        <f>IF($A114&lt;=1951,INDEX('SALA 1974'!$B:$U,MATCH($A114,'SALA 1974'!$A:$A,0),MATCH(S$1,'SALA 1974'!$B$1:$U$1,0)),IF($A114&lt;=1994,1000*INDEX('SALA 2002'!$B:$U,MATCH($A114,'SALA 2002'!$A:$A,0),MATCH(S$1,'SALA 2002'!$B$1:$U$1,0)),IF($A114&lt;=2000,1000*INDEX('SALA 2002'!$B:$U,MATCH($A114,'SALA 2002'!$A:$A,0),MATCH(S$1,'SALA 2002'!$B$1:$U$1,0))*POWER(INDEX('WPP 2024 середина года'!$B:$U,MATCH($A114,'WPP 2024 середина года'!$A:$A,0),MATCH(S$1,'WPP 2024 середина года'!$B$1:$U$1,0))/(1000*INDEX('SALA 2002'!$B:$U,MATCH($A114,'SALA 2002'!$A:$A,0),MATCH(S$1,'SALA 2002'!$B$1:$U$1,0))),($A114-1994)/7),INDEX('WPP 2024 середина года'!$B:$U,MATCH($A114,'WPP 2024 середина года'!$A:$A,0),MATCH(S$1,'WPP 2024 середина года'!$B$1:$U$1,0)))))</f>
        <v>29550.400000000001</v>
      </c>
      <c r="T114" s="7">
        <f>IF($A114&lt;=1951,INDEX('SALA 1974'!$B:$U,MATCH($A114,'SALA 1974'!$A:$A,0),MATCH(T$1,'SALA 1974'!$B$1:$U$1,0)),IF($A114&lt;=1994,1000*INDEX('SALA 2002'!$B:$U,MATCH($A114,'SALA 2002'!$A:$A,0),MATCH(T$1,'SALA 2002'!$B$1:$U$1,0)),IF($A114&lt;=2000,1000*INDEX('SALA 2002'!$B:$U,MATCH($A114,'SALA 2002'!$A:$A,0),MATCH(T$1,'SALA 2002'!$B$1:$U$1,0))*POWER(INDEX('WPP 2024 середина года'!$B:$U,MATCH($A114,'WPP 2024 середина года'!$A:$A,0),MATCH(T$1,'WPP 2024 середина года'!$B$1:$U$1,0))/(1000*INDEX('SALA 2002'!$B:$U,MATCH($A114,'SALA 2002'!$A:$A,0),MATCH(T$1,'SALA 2002'!$B$1:$U$1,0))),($A114-1994)/7),INDEX('WPP 2024 середина года'!$B:$U,MATCH($A114,'WPP 2024 середина года'!$A:$A,0),MATCH(T$1,'WPP 2024 середина года'!$B$1:$U$1,0)))))</f>
        <v>3335.4</v>
      </c>
      <c r="U114" s="7">
        <f>IF($A114&lt;=1951,INDEX('SALA 1974'!$B:$U,MATCH($A114,'SALA 1974'!$A:$A,0),MATCH(U$1,'SALA 1974'!$B$1:$U$1,0)),IF($A114&lt;=1994,1000*INDEX('SALA 2002'!$B:$U,MATCH($A114,'SALA 2002'!$A:$A,0),MATCH(U$1,'SALA 2002'!$B$1:$U$1,0)),IF($A114&lt;=2000,1000*INDEX('SALA 2002'!$B:$U,MATCH($A114,'SALA 2002'!$A:$A,0),MATCH(U$1,'SALA 2002'!$B$1:$U$1,0))*POWER(INDEX('WPP 2024 середина года'!$B:$U,MATCH($A114,'WPP 2024 середина года'!$A:$A,0),MATCH(U$1,'WPP 2024 середина года'!$B$1:$U$1,0))/(1000*INDEX('SALA 2002'!$B:$U,MATCH($A114,'SALA 2002'!$A:$A,0),MATCH(U$1,'SALA 2002'!$B$1:$U$1,0))),($A114-1994)/7),INDEX('WPP 2024 середина года'!$B:$U,MATCH($A114,'WPP 2024 середина года'!$A:$A,0),MATCH(U$1,'WPP 2024 середина года'!$B$1:$U$1,0)))))</f>
        <v>29553.8</v>
      </c>
    </row>
    <row r="115" spans="1:21" x14ac:dyDescent="0.25">
      <c r="A115" s="5">
        <f t="shared" si="1"/>
        <v>2013</v>
      </c>
      <c r="B115" s="7">
        <f>IF($A115&lt;=1951,INDEX('SALA 1974'!$B:$U,MATCH($A115,'SALA 1974'!$A:$A,0),MATCH(B$1,'SALA 1974'!$B$1:$U$1,0)),IF($A115&lt;=1994,1000*INDEX('SALA 2002'!$B:$U,MATCH($A115,'SALA 2002'!$A:$A,0),MATCH(B$1,'SALA 2002'!$B$1:$U$1,0)),IF($A115&lt;=2000,1000*INDEX('SALA 2002'!$B:$U,MATCH($A115,'SALA 2002'!$A:$A,0),MATCH(B$1,'SALA 2002'!$B$1:$U$1,0))*POWER(INDEX('WPP 2024 середина года'!$B:$U,MATCH($A115,'WPP 2024 середина года'!$A:$A,0),MATCH(B$1,'WPP 2024 середина года'!$B$1:$U$1,0))/(1000*INDEX('SALA 2002'!$B:$U,MATCH($A115,'SALA 2002'!$A:$A,0),MATCH(B$1,'SALA 2002'!$B$1:$U$1,0))),($A115-1994)/7),INDEX('WPP 2024 середина года'!$B:$U,MATCH($A115,'WPP 2024 середина года'!$A:$A,0),MATCH(B$1,'WPP 2024 середина года'!$B$1:$U$1,0)))))</f>
        <v>42582.5</v>
      </c>
      <c r="C115" s="7">
        <f>IF($A115&lt;=1951,INDEX('SALA 1974'!$B:$U,MATCH($A115,'SALA 1974'!$A:$A,0),MATCH(C$1,'SALA 1974'!$B$1:$U$1,0)),IF($A115&lt;=1994,1000*INDEX('SALA 2002'!$B:$U,MATCH($A115,'SALA 2002'!$A:$A,0),MATCH(C$1,'SALA 2002'!$B$1:$U$1,0)),IF($A115&lt;=2000,1000*INDEX('SALA 2002'!$B:$U,MATCH($A115,'SALA 2002'!$A:$A,0),MATCH(C$1,'SALA 2002'!$B$1:$U$1,0))*POWER(INDEX('WPP 2024 середина года'!$B:$U,MATCH($A115,'WPP 2024 середина года'!$A:$A,0),MATCH(C$1,'WPP 2024 середина года'!$B$1:$U$1,0))/(1000*INDEX('SALA 2002'!$B:$U,MATCH($A115,'SALA 2002'!$A:$A,0),MATCH(C$1,'SALA 2002'!$B$1:$U$1,0))),($A115-1994)/7),INDEX('WPP 2024 середина года'!$B:$U,MATCH($A115,'WPP 2024 середина года'!$A:$A,0),MATCH(C$1,'WPP 2024 середина года'!$B$1:$U$1,0)))))</f>
        <v>10682.6</v>
      </c>
      <c r="D115" s="7">
        <f>IF($A115&lt;=1951,INDEX('SALA 1974'!$B:$U,MATCH($A115,'SALA 1974'!$A:$A,0),MATCH(D$1,'SALA 1974'!$B$1:$U$1,0)),IF($A115&lt;=1994,1000*INDEX('SALA 2002'!$B:$U,MATCH($A115,'SALA 2002'!$A:$A,0),MATCH(D$1,'SALA 2002'!$B$1:$U$1,0)),IF($A115&lt;=2000,1000*INDEX('SALA 2002'!$B:$U,MATCH($A115,'SALA 2002'!$A:$A,0),MATCH(D$1,'SALA 2002'!$B$1:$U$1,0))*POWER(INDEX('WPP 2024 середина года'!$B:$U,MATCH($A115,'WPP 2024 середина года'!$A:$A,0),MATCH(D$1,'WPP 2024 середина года'!$B$1:$U$1,0))/(1000*INDEX('SALA 2002'!$B:$U,MATCH($A115,'SALA 2002'!$A:$A,0),MATCH(D$1,'SALA 2002'!$B$1:$U$1,0))),($A115-1994)/7),INDEX('WPP 2024 середина года'!$B:$U,MATCH($A115,'WPP 2024 середина года'!$A:$A,0),MATCH(D$1,'WPP 2024 середина года'!$B$1:$U$1,0)))))</f>
        <v>198478.3</v>
      </c>
      <c r="E115" s="7">
        <f>IF($A115&lt;=1951,INDEX('SALA 1974'!$B:$U,MATCH($A115,'SALA 1974'!$A:$A,0),MATCH(E$1,'SALA 1974'!$B$1:$U$1,0)),IF($A115&lt;=1994,1000*INDEX('SALA 2002'!$B:$U,MATCH($A115,'SALA 2002'!$A:$A,0),MATCH(E$1,'SALA 2002'!$B$1:$U$1,0)),IF($A115&lt;=2000,1000*INDEX('SALA 2002'!$B:$U,MATCH($A115,'SALA 2002'!$A:$A,0),MATCH(E$1,'SALA 2002'!$B$1:$U$1,0))*POWER(INDEX('WPP 2024 середина года'!$B:$U,MATCH($A115,'WPP 2024 середина года'!$A:$A,0),MATCH(E$1,'WPP 2024 середина года'!$B$1:$U$1,0))/(1000*INDEX('SALA 2002'!$B:$U,MATCH($A115,'SALA 2002'!$A:$A,0),MATCH(E$1,'SALA 2002'!$B$1:$U$1,0))),($A115-1994)/7),INDEX('WPP 2024 середина года'!$B:$U,MATCH($A115,'WPP 2024 середина года'!$A:$A,0),MATCH(E$1,'WPP 2024 середина года'!$B$1:$U$1,0)))))</f>
        <v>17687</v>
      </c>
      <c r="F115" s="7">
        <f>IF($A115&lt;=1947,INDEX('SALA 1974'!$B:$U,MATCH($A115,'SALA 1974'!$A:$A,0),MATCH(F$1,'SALA 1974'!$B$1:$U$1,0)),IF($A115&lt;=1994,1000*INDEX('SALA 2002'!$B:$U,MATCH($A115,'SALA 2002'!$A:$A,0),MATCH(F$1,'SALA 2002'!$B$1:$U$1,0)),IF($A115&lt;=2000,1000*INDEX('SALA 2002'!$B:$U,MATCH($A115,'SALA 2002'!$A:$A,0),MATCH(F$1,'SALA 2002'!$B$1:$U$1,0))*POWER(INDEX('WPP 2024 середина года'!$B:$U,MATCH($A115,'WPP 2024 середина года'!$A:$A,0),MATCH(F$1,'WPP 2024 середина года'!$B$1:$U$1,0))/(1000*INDEX('SALA 2002'!$B:$U,MATCH($A115,'SALA 2002'!$A:$A,0),MATCH(F$1,'SALA 2002'!$B$1:$U$1,0))),($A115-1994)/7),INDEX('WPP 2024 середина года'!$B:$U,MATCH($A115,'WPP 2024 середина года'!$A:$A,0),MATCH(F$1,'WPP 2024 середина года'!$B$1:$U$1,0)))))</f>
        <v>46151.6</v>
      </c>
      <c r="G115" s="7">
        <f>IF($A115&lt;=1951,INDEX('SALA 1974'!$B:$U,MATCH($A115,'SALA 1974'!$A:$A,0),MATCH(G$1,'SALA 1974'!$B$1:$U$1,0)),IF($A115&lt;=1994,1000*INDEX('SALA 2002'!$B:$U,MATCH($A115,'SALA 2002'!$A:$A,0),MATCH(G$1,'SALA 2002'!$B$1:$U$1,0)),IF($A115&lt;=2000,1000*INDEX('SALA 2002'!$B:$U,MATCH($A115,'SALA 2002'!$A:$A,0),MATCH(G$1,'SALA 2002'!$B$1:$U$1,0))*POWER(INDEX('WPP 2024 середина года'!$B:$U,MATCH($A115,'WPP 2024 середина года'!$A:$A,0),MATCH(G$1,'WPP 2024 середина года'!$B$1:$U$1,0))/(1000*INDEX('SALA 2002'!$B:$U,MATCH($A115,'SALA 2002'!$A:$A,0),MATCH(G$1,'SALA 2002'!$B$1:$U$1,0))),($A115-1994)/7),INDEX('WPP 2024 середина года'!$B:$U,MATCH($A115,'WPP 2024 середина года'!$A:$A,0),MATCH(G$1,'WPP 2024 середина года'!$B$1:$U$1,0)))))</f>
        <v>4716.1000000000004</v>
      </c>
      <c r="H115" s="7">
        <f>IF($A115&lt;=1951,INDEX('SALA 1974'!$B:$U,MATCH($A115,'SALA 1974'!$A:$A,0),MATCH(H$1,'SALA 1974'!$B$1:$U$1,0)),IF($A115&lt;=1994,1000*INDEX('SALA 2002'!$B:$U,MATCH($A115,'SALA 2002'!$A:$A,0),MATCH(H$1,'SALA 2002'!$B$1:$U$1,0)),IF($A115&lt;=2000,1000*INDEX('SALA 2002'!$B:$U,MATCH($A115,'SALA 2002'!$A:$A,0),MATCH(H$1,'SALA 2002'!$B$1:$U$1,0))*POWER(INDEX('WPP 2024 середина года'!$B:$U,MATCH($A115,'WPP 2024 середина года'!$A:$A,0),MATCH(H$1,'WPP 2024 середина года'!$B$1:$U$1,0))/(1000*INDEX('SALA 2002'!$B:$U,MATCH($A115,'SALA 2002'!$A:$A,0),MATCH(H$1,'SALA 2002'!$B$1:$U$1,0))),($A115-1994)/7),INDEX('WPP 2024 середина года'!$B:$U,MATCH($A115,'WPP 2024 середина года'!$A:$A,0),MATCH(H$1,'WPP 2024 середина года'!$B$1:$U$1,0)))))</f>
        <v>11298.2</v>
      </c>
      <c r="I115" s="7">
        <f>IF($A115&lt;=1951,INDEX('SALA 1974'!$B:$U,MATCH($A115,'SALA 1974'!$A:$A,0),MATCH(I$1,'SALA 1974'!$B$1:$U$1,0)),IF($A115&lt;=1994,1000*INDEX('SALA 2002'!$B:$U,MATCH($A115,'SALA 2002'!$A:$A,0),MATCH(I$1,'SALA 2002'!$B$1:$U$1,0)),IF($A115&lt;=2000,1000*INDEX('SALA 2002'!$B:$U,MATCH($A115,'SALA 2002'!$A:$A,0),MATCH(I$1,'SALA 2002'!$B$1:$U$1,0))*POWER(INDEX('WPP 2024 середина года'!$B:$U,MATCH($A115,'WPP 2024 середина года'!$A:$A,0),MATCH(I$1,'WPP 2024 середина года'!$B$1:$U$1,0))/(1000*INDEX('SALA 2002'!$B:$U,MATCH($A115,'SALA 2002'!$A:$A,0),MATCH(I$1,'SALA 2002'!$B$1:$U$1,0))),($A115-1994)/7),INDEX('WPP 2024 середина года'!$B:$U,MATCH($A115,'WPP 2024 середина года'!$A:$A,0),MATCH(I$1,'WPP 2024 середина года'!$B$1:$U$1,0)))))</f>
        <v>10193.799999999999</v>
      </c>
      <c r="J115" s="7">
        <f>IF($A115&lt;=1951,INDEX('SALA 1974'!$B:$U,MATCH($A115,'SALA 1974'!$A:$A,0),MATCH(J$1,'SALA 1974'!$B$1:$U$1,0)),IF($A115&lt;=1994,1000*INDEX('SALA 2002'!$B:$U,MATCH($A115,'SALA 2002'!$A:$A,0),MATCH(J$1,'SALA 2002'!$B$1:$U$1,0)),IF($A115&lt;=2000,1000*INDEX('SALA 2002'!$B:$U,MATCH($A115,'SALA 2002'!$A:$A,0),MATCH(J$1,'SALA 2002'!$B$1:$U$1,0))*POWER(INDEX('WPP 2024 середина года'!$B:$U,MATCH($A115,'WPP 2024 середина года'!$A:$A,0),MATCH(J$1,'WPP 2024 середина года'!$B$1:$U$1,0))/(1000*INDEX('SALA 2002'!$B:$U,MATCH($A115,'SALA 2002'!$A:$A,0),MATCH(J$1,'SALA 2002'!$B$1:$U$1,0))),($A115-1994)/7),INDEX('WPP 2024 середина года'!$B:$U,MATCH($A115,'WPP 2024 середина года'!$A:$A,0),MATCH(J$1,'WPP 2024 середина года'!$B$1:$U$1,0)))))</f>
        <v>15807.1</v>
      </c>
      <c r="K115" s="7">
        <f>IF($A115&lt;=1951,INDEX('SALA 1974'!$B:$U,MATCH($A115,'SALA 1974'!$A:$A,0),MATCH(K$1,'SALA 1974'!$B$1:$U$1,0)),IF($A115&lt;=1994,1000*INDEX('SALA 2002'!$B:$U,MATCH($A115,'SALA 2002'!$A:$A,0),MATCH(K$1,'SALA 2002'!$B$1:$U$1,0)),IF($A115&lt;=2000,1000*INDEX('SALA 2002'!$B:$U,MATCH($A115,'SALA 2002'!$A:$A,0),MATCH(K$1,'SALA 2002'!$B$1:$U$1,0))*POWER(INDEX('WPP 2024 середина года'!$B:$U,MATCH($A115,'WPP 2024 середина года'!$A:$A,0),MATCH(K$1,'WPP 2024 середина года'!$B$1:$U$1,0))/(1000*INDEX('SALA 2002'!$B:$U,MATCH($A115,'SALA 2002'!$A:$A,0),MATCH(K$1,'SALA 2002'!$B$1:$U$1,0))),($A115-1994)/7),INDEX('WPP 2024 середина года'!$B:$U,MATCH($A115,'WPP 2024 середина года'!$A:$A,0),MATCH(K$1,'WPP 2024 середина года'!$B$1:$U$1,0)))))</f>
        <v>6138.8</v>
      </c>
      <c r="L115" s="7">
        <f>IF($A115&lt;=1951,INDEX('SALA 1974'!$B:$U,MATCH($A115,'SALA 1974'!$A:$A,0),MATCH(L$1,'SALA 1974'!$B$1:$U$1,0)),IF($A115&lt;=1994,1000*INDEX('SALA 2002'!$B:$U,MATCH($A115,'SALA 2002'!$A:$A,0),MATCH(L$1,'SALA 2002'!$B$1:$U$1,0)),IF($A115&lt;=2000,1000*INDEX('SALA 2002'!$B:$U,MATCH($A115,'SALA 2002'!$A:$A,0),MATCH(L$1,'SALA 2002'!$B$1:$U$1,0))*POWER(INDEX('WPP 2024 середина года'!$B:$U,MATCH($A115,'WPP 2024 середина года'!$A:$A,0),MATCH(L$1,'WPP 2024 середина года'!$B$1:$U$1,0))/(1000*INDEX('SALA 2002'!$B:$U,MATCH($A115,'SALA 2002'!$A:$A,0),MATCH(L$1,'SALA 2002'!$B$1:$U$1,0))),($A115-1994)/7),INDEX('WPP 2024 середина года'!$B:$U,MATCH($A115,'WPP 2024 середина года'!$A:$A,0),MATCH(L$1,'WPP 2024 середина года'!$B$1:$U$1,0)))))</f>
        <v>15387.3</v>
      </c>
      <c r="M115" s="7">
        <f>IF($A115&lt;=1951,INDEX('SALA 1974'!$B:$U,MATCH($A115,'SALA 1974'!$A:$A,0),MATCH(M$1,'SALA 1974'!$B$1:$U$1,0)),IF($A115&lt;=1994,1000*INDEX('SALA 2002'!$B:$U,MATCH($A115,'SALA 2002'!$A:$A,0),MATCH(M$1,'SALA 2002'!$B$1:$U$1,0)),IF($A115&lt;=2000,1000*INDEX('SALA 2002'!$B:$U,MATCH($A115,'SALA 2002'!$A:$A,0),MATCH(M$1,'SALA 2002'!$B$1:$U$1,0))*POWER(INDEX('WPP 2024 середина года'!$B:$U,MATCH($A115,'WPP 2024 середина года'!$A:$A,0),MATCH(M$1,'WPP 2024 середина года'!$B$1:$U$1,0))/(1000*INDEX('SALA 2002'!$B:$U,MATCH($A115,'SALA 2002'!$A:$A,0),MATCH(M$1,'SALA 2002'!$B$1:$U$1,0))),($A115-1994)/7),INDEX('WPP 2024 середина года'!$B:$U,MATCH($A115,'WPP 2024 середина года'!$A:$A,0),MATCH(M$1,'WPP 2024 середина года'!$B$1:$U$1,0)))))</f>
        <v>10222.4</v>
      </c>
      <c r="N115" s="7">
        <f>IF($A115&lt;=1951,INDEX('SALA 1974'!$B:$U,MATCH($A115,'SALA 1974'!$A:$A,0),MATCH(N$1,'SALA 1974'!$B$1:$U$1,0)),IF($A115&lt;=1994,1000*INDEX('SALA 2002'!$B:$U,MATCH($A115,'SALA 2002'!$A:$A,0),MATCH(N$1,'SALA 2002'!$B$1:$U$1,0)),IF($A115&lt;=2000,1000*INDEX('SALA 2002'!$B:$U,MATCH($A115,'SALA 2002'!$A:$A,0),MATCH(N$1,'SALA 2002'!$B$1:$U$1,0))*POWER(INDEX('WPP 2024 середина года'!$B:$U,MATCH($A115,'WPP 2024 середина года'!$A:$A,0),MATCH(N$1,'WPP 2024 середина года'!$B$1:$U$1,0))/(1000*INDEX('SALA 2002'!$B:$U,MATCH($A115,'SALA 2002'!$A:$A,0),MATCH(N$1,'SALA 2002'!$B$1:$U$1,0))),($A115-1994)/7),INDEX('WPP 2024 середина года'!$B:$U,MATCH($A115,'WPP 2024 середина года'!$A:$A,0),MATCH(N$1,'WPP 2024 середина года'!$B$1:$U$1,0)))))</f>
        <v>8889.2999999999993</v>
      </c>
      <c r="O115" s="7">
        <f>IF($A115&lt;=1951,INDEX('SALA 1974'!$B:$U,MATCH($A115,'SALA 1974'!$A:$A,0),MATCH(O$1,'SALA 1974'!$B$1:$U$1,0)),IF($A115&lt;=1994,1000*INDEX('SALA 2002'!$B:$U,MATCH($A115,'SALA 2002'!$A:$A,0),MATCH(O$1,'SALA 2002'!$B$1:$U$1,0)),IF($A115&lt;=2000,1000*INDEX('SALA 2002'!$B:$U,MATCH($A115,'SALA 2002'!$A:$A,0),MATCH(O$1,'SALA 2002'!$B$1:$U$1,0))*POWER(INDEX('WPP 2024 середина года'!$B:$U,MATCH($A115,'WPP 2024 середина года'!$A:$A,0),MATCH(O$1,'WPP 2024 середина года'!$B$1:$U$1,0))/(1000*INDEX('SALA 2002'!$B:$U,MATCH($A115,'SALA 2002'!$A:$A,0),MATCH(O$1,'SALA 2002'!$B$1:$U$1,0))),($A115-1994)/7),INDEX('WPP 2024 середина года'!$B:$U,MATCH($A115,'WPP 2024 середина года'!$A:$A,0),MATCH(O$1,'WPP 2024 середина года'!$B$1:$U$1,0)))))</f>
        <v>118343.6</v>
      </c>
      <c r="P115" s="7">
        <f>IF($A115&lt;=1951,INDEX('SALA 1974'!$B:$U,MATCH($A115,'SALA 1974'!$A:$A,0),MATCH(P$1,'SALA 1974'!$B$1:$U$1,0)),IF($A115&lt;=1994,1000*INDEX('SALA 2002'!$B:$U,MATCH($A115,'SALA 2002'!$A:$A,0),MATCH(P$1,'SALA 2002'!$B$1:$U$1,0)),IF($A115&lt;=2000,1000*INDEX('SALA 2002'!$B:$U,MATCH($A115,'SALA 2002'!$A:$A,0),MATCH(P$1,'SALA 2002'!$B$1:$U$1,0))*POWER(INDEX('WPP 2024 середина года'!$B:$U,MATCH($A115,'WPP 2024 середина года'!$A:$A,0),MATCH(P$1,'WPP 2024 середина года'!$B$1:$U$1,0))/(1000*INDEX('SALA 2002'!$B:$U,MATCH($A115,'SALA 2002'!$A:$A,0),MATCH(P$1,'SALA 2002'!$B$1:$U$1,0))),($A115-1994)/7),INDEX('WPP 2024 середина года'!$B:$U,MATCH($A115,'WPP 2024 середина года'!$A:$A,0),MATCH(P$1,'WPP 2024 середина года'!$B$1:$U$1,0)))))</f>
        <v>5983.8</v>
      </c>
      <c r="Q115" s="7">
        <f>IF($A115&lt;=1951,INDEX('SALA 1974'!$B:$U,MATCH($A115,'SALA 1974'!$A:$A,0),MATCH(Q$1,'SALA 1974'!$B$1:$U$1,0)),IF($A115&lt;=1994,1000*INDEX('SALA 2002'!$B:$U,MATCH($A115,'SALA 2002'!$A:$A,0),MATCH(Q$1,'SALA 2002'!$B$1:$U$1,0)),IF($A115&lt;=2000,1000*INDEX('SALA 2002'!$B:$U,MATCH($A115,'SALA 2002'!$A:$A,0),MATCH(Q$1,'SALA 2002'!$B$1:$U$1,0))*POWER(INDEX('WPP 2024 середина года'!$B:$U,MATCH($A115,'WPP 2024 середина года'!$A:$A,0),MATCH(Q$1,'WPP 2024 середина года'!$B$1:$U$1,0))/(1000*INDEX('SALA 2002'!$B:$U,MATCH($A115,'SALA 2002'!$A:$A,0),MATCH(Q$1,'SALA 2002'!$B$1:$U$1,0))),($A115-1994)/7),INDEX('WPP 2024 середина года'!$B:$U,MATCH($A115,'WPP 2024 середина года'!$A:$A,0),MATCH(Q$1,'WPP 2024 середина года'!$B$1:$U$1,0)))))</f>
        <v>3825.3</v>
      </c>
      <c r="R115" s="7">
        <f>IF($A115&lt;=1951,INDEX('SALA 1974'!$B:$U,MATCH($A115,'SALA 1974'!$A:$A,0),MATCH(R$1,'SALA 1974'!$B$1:$U$1,0)),IF($A115&lt;=1994,1000*INDEX('SALA 2002'!$B:$U,MATCH($A115,'SALA 2002'!$A:$A,0),MATCH(R$1,'SALA 2002'!$B$1:$U$1,0)),IF($A115&lt;=2000,1000*INDEX('SALA 2002'!$B:$U,MATCH($A115,'SALA 2002'!$A:$A,0),MATCH(R$1,'SALA 2002'!$B$1:$U$1,0))*POWER(INDEX('WPP 2024 середина года'!$B:$U,MATCH($A115,'WPP 2024 середина года'!$A:$A,0),MATCH(R$1,'WPP 2024 середина года'!$B$1:$U$1,0))/(1000*INDEX('SALA 2002'!$B:$U,MATCH($A115,'SALA 2002'!$A:$A,0),MATCH(R$1,'SALA 2002'!$B$1:$U$1,0))),($A115-1994)/7),INDEX('WPP 2024 середина года'!$B:$U,MATCH($A115,'WPP 2024 середина года'!$A:$A,0),MATCH(R$1,'WPP 2024 середина года'!$B$1:$U$1,0)))))</f>
        <v>5982.4</v>
      </c>
      <c r="S115" s="7">
        <f>IF($A115&lt;=1951,INDEX('SALA 1974'!$B:$U,MATCH($A115,'SALA 1974'!$A:$A,0),MATCH(S$1,'SALA 1974'!$B$1:$U$1,0)),IF($A115&lt;=1994,1000*INDEX('SALA 2002'!$B:$U,MATCH($A115,'SALA 2002'!$A:$A,0),MATCH(S$1,'SALA 2002'!$B$1:$U$1,0)),IF($A115&lt;=2000,1000*INDEX('SALA 2002'!$B:$U,MATCH($A115,'SALA 2002'!$A:$A,0),MATCH(S$1,'SALA 2002'!$B$1:$U$1,0))*POWER(INDEX('WPP 2024 середина года'!$B:$U,MATCH($A115,'WPP 2024 середина года'!$A:$A,0),MATCH(S$1,'WPP 2024 середина года'!$B$1:$U$1,0))/(1000*INDEX('SALA 2002'!$B:$U,MATCH($A115,'SALA 2002'!$A:$A,0),MATCH(S$1,'SALA 2002'!$B$1:$U$1,0))),($A115-1994)/7),INDEX('WPP 2024 середина года'!$B:$U,MATCH($A115,'WPP 2024 середина года'!$A:$A,0),MATCH(S$1,'WPP 2024 середина года'!$B$1:$U$1,0)))))</f>
        <v>29817.9</v>
      </c>
      <c r="T115" s="7">
        <f>IF($A115&lt;=1951,INDEX('SALA 1974'!$B:$U,MATCH($A115,'SALA 1974'!$A:$A,0),MATCH(T$1,'SALA 1974'!$B$1:$U$1,0)),IF($A115&lt;=1994,1000*INDEX('SALA 2002'!$B:$U,MATCH($A115,'SALA 2002'!$A:$A,0),MATCH(T$1,'SALA 2002'!$B$1:$U$1,0)),IF($A115&lt;=2000,1000*INDEX('SALA 2002'!$B:$U,MATCH($A115,'SALA 2002'!$A:$A,0),MATCH(T$1,'SALA 2002'!$B$1:$U$1,0))*POWER(INDEX('WPP 2024 середина года'!$B:$U,MATCH($A115,'WPP 2024 середина года'!$A:$A,0),MATCH(T$1,'WPP 2024 середина года'!$B$1:$U$1,0))/(1000*INDEX('SALA 2002'!$B:$U,MATCH($A115,'SALA 2002'!$A:$A,0),MATCH(T$1,'SALA 2002'!$B$1:$U$1,0))),($A115-1994)/7),INDEX('WPP 2024 середина года'!$B:$U,MATCH($A115,'WPP 2024 середина года'!$A:$A,0),MATCH(T$1,'WPP 2024 середина года'!$B$1:$U$1,0)))))</f>
        <v>3345.3</v>
      </c>
      <c r="U115" s="7">
        <f>IF($A115&lt;=1951,INDEX('SALA 1974'!$B:$U,MATCH($A115,'SALA 1974'!$A:$A,0),MATCH(U$1,'SALA 1974'!$B$1:$U$1,0)),IF($A115&lt;=1994,1000*INDEX('SALA 2002'!$B:$U,MATCH($A115,'SALA 2002'!$A:$A,0),MATCH(U$1,'SALA 2002'!$B$1:$U$1,0)),IF($A115&lt;=2000,1000*INDEX('SALA 2002'!$B:$U,MATCH($A115,'SALA 2002'!$A:$A,0),MATCH(U$1,'SALA 2002'!$B$1:$U$1,0))*POWER(INDEX('WPP 2024 середина года'!$B:$U,MATCH($A115,'WPP 2024 середина года'!$A:$A,0),MATCH(U$1,'WPP 2024 середина года'!$B$1:$U$1,0))/(1000*INDEX('SALA 2002'!$B:$U,MATCH($A115,'SALA 2002'!$A:$A,0),MATCH(U$1,'SALA 2002'!$B$1:$U$1,0))),($A115-1994)/7),INDEX('WPP 2024 середина года'!$B:$U,MATCH($A115,'WPP 2024 середина года'!$A:$A,0),MATCH(U$1,'WPP 2024 середина года'!$B$1:$U$1,0)))))</f>
        <v>29912.2</v>
      </c>
    </row>
    <row r="116" spans="1:21" x14ac:dyDescent="0.25">
      <c r="A116" s="5">
        <f t="shared" si="1"/>
        <v>2014</v>
      </c>
      <c r="B116" s="7">
        <f>IF($A116&lt;=1951,INDEX('SALA 1974'!$B:$U,MATCH($A116,'SALA 1974'!$A:$A,0),MATCH(B$1,'SALA 1974'!$B$1:$U$1,0)),IF($A116&lt;=1994,1000*INDEX('SALA 2002'!$B:$U,MATCH($A116,'SALA 2002'!$A:$A,0),MATCH(B$1,'SALA 2002'!$B$1:$U$1,0)),IF($A116&lt;=2000,1000*INDEX('SALA 2002'!$B:$U,MATCH($A116,'SALA 2002'!$A:$A,0),MATCH(B$1,'SALA 2002'!$B$1:$U$1,0))*POWER(INDEX('WPP 2024 середина года'!$B:$U,MATCH($A116,'WPP 2024 середина года'!$A:$A,0),MATCH(B$1,'WPP 2024 середина года'!$B$1:$U$1,0))/(1000*INDEX('SALA 2002'!$B:$U,MATCH($A116,'SALA 2002'!$A:$A,0),MATCH(B$1,'SALA 2002'!$B$1:$U$1,0))),($A116-1994)/7),INDEX('WPP 2024 середина года'!$B:$U,MATCH($A116,'WPP 2024 середина года'!$A:$A,0),MATCH(B$1,'WPP 2024 середина года'!$B$1:$U$1,0)))))</f>
        <v>43024.1</v>
      </c>
      <c r="C116" s="7">
        <f>IF($A116&lt;=1951,INDEX('SALA 1974'!$B:$U,MATCH($A116,'SALA 1974'!$A:$A,0),MATCH(C$1,'SALA 1974'!$B$1:$U$1,0)),IF($A116&lt;=1994,1000*INDEX('SALA 2002'!$B:$U,MATCH($A116,'SALA 2002'!$A:$A,0),MATCH(C$1,'SALA 2002'!$B$1:$U$1,0)),IF($A116&lt;=2000,1000*INDEX('SALA 2002'!$B:$U,MATCH($A116,'SALA 2002'!$A:$A,0),MATCH(C$1,'SALA 2002'!$B$1:$U$1,0))*POWER(INDEX('WPP 2024 середина года'!$B:$U,MATCH($A116,'WPP 2024 середина года'!$A:$A,0),MATCH(C$1,'WPP 2024 середина года'!$B$1:$U$1,0))/(1000*INDEX('SALA 2002'!$B:$U,MATCH($A116,'SALA 2002'!$A:$A,0),MATCH(C$1,'SALA 2002'!$B$1:$U$1,0))),($A116-1994)/7),INDEX('WPP 2024 середина года'!$B:$U,MATCH($A116,'WPP 2024 середина года'!$A:$A,0),MATCH(C$1,'WPP 2024 середина года'!$B$1:$U$1,0)))))</f>
        <v>10848.9</v>
      </c>
      <c r="D116" s="7">
        <f>IF($A116&lt;=1951,INDEX('SALA 1974'!$B:$U,MATCH($A116,'SALA 1974'!$A:$A,0),MATCH(D$1,'SALA 1974'!$B$1:$U$1,0)),IF($A116&lt;=1994,1000*INDEX('SALA 2002'!$B:$U,MATCH($A116,'SALA 2002'!$A:$A,0),MATCH(D$1,'SALA 2002'!$B$1:$U$1,0)),IF($A116&lt;=2000,1000*INDEX('SALA 2002'!$B:$U,MATCH($A116,'SALA 2002'!$A:$A,0),MATCH(D$1,'SALA 2002'!$B$1:$U$1,0))*POWER(INDEX('WPP 2024 середина года'!$B:$U,MATCH($A116,'WPP 2024 середина года'!$A:$A,0),MATCH(D$1,'WPP 2024 середина года'!$B$1:$U$1,0))/(1000*INDEX('SALA 2002'!$B:$U,MATCH($A116,'SALA 2002'!$A:$A,0),MATCH(D$1,'SALA 2002'!$B$1:$U$1,0))),($A116-1994)/7),INDEX('WPP 2024 середина года'!$B:$U,MATCH($A116,'WPP 2024 середина года'!$A:$A,0),MATCH(D$1,'WPP 2024 середина года'!$B$1:$U$1,0)))))</f>
        <v>200085.1</v>
      </c>
      <c r="E116" s="7">
        <f>IF($A116&lt;=1951,INDEX('SALA 1974'!$B:$U,MATCH($A116,'SALA 1974'!$A:$A,0),MATCH(E$1,'SALA 1974'!$B$1:$U$1,0)),IF($A116&lt;=1994,1000*INDEX('SALA 2002'!$B:$U,MATCH($A116,'SALA 2002'!$A:$A,0),MATCH(E$1,'SALA 2002'!$B$1:$U$1,0)),IF($A116&lt;=2000,1000*INDEX('SALA 2002'!$B:$U,MATCH($A116,'SALA 2002'!$A:$A,0),MATCH(E$1,'SALA 2002'!$B$1:$U$1,0))*POWER(INDEX('WPP 2024 середина года'!$B:$U,MATCH($A116,'WPP 2024 середина года'!$A:$A,0),MATCH(E$1,'WPP 2024 середина года'!$B$1:$U$1,0))/(1000*INDEX('SALA 2002'!$B:$U,MATCH($A116,'SALA 2002'!$A:$A,0),MATCH(E$1,'SALA 2002'!$B$1:$U$1,0))),($A116-1994)/7),INDEX('WPP 2024 середина года'!$B:$U,MATCH($A116,'WPP 2024 середина года'!$A:$A,0),MATCH(E$1,'WPP 2024 середина года'!$B$1:$U$1,0)))))</f>
        <v>17864.2</v>
      </c>
      <c r="F116" s="7">
        <f>IF($A116&lt;=1947,INDEX('SALA 1974'!$B:$U,MATCH($A116,'SALA 1974'!$A:$A,0),MATCH(F$1,'SALA 1974'!$B$1:$U$1,0)),IF($A116&lt;=1994,1000*INDEX('SALA 2002'!$B:$U,MATCH($A116,'SALA 2002'!$A:$A,0),MATCH(F$1,'SALA 2002'!$B$1:$U$1,0)),IF($A116&lt;=2000,1000*INDEX('SALA 2002'!$B:$U,MATCH($A116,'SALA 2002'!$A:$A,0),MATCH(F$1,'SALA 2002'!$B$1:$U$1,0))*POWER(INDEX('WPP 2024 середина года'!$B:$U,MATCH($A116,'WPP 2024 середина года'!$A:$A,0),MATCH(F$1,'WPP 2024 середина года'!$B$1:$U$1,0))/(1000*INDEX('SALA 2002'!$B:$U,MATCH($A116,'SALA 2002'!$A:$A,0),MATCH(F$1,'SALA 2002'!$B$1:$U$1,0))),($A116-1994)/7),INDEX('WPP 2024 середина года'!$B:$U,MATCH($A116,'WPP 2024 середина года'!$A:$A,0),MATCH(F$1,'WPP 2024 середина года'!$B$1:$U$1,0)))))</f>
        <v>46565.4</v>
      </c>
      <c r="G116" s="7">
        <f>IF($A116&lt;=1951,INDEX('SALA 1974'!$B:$U,MATCH($A116,'SALA 1974'!$A:$A,0),MATCH(G$1,'SALA 1974'!$B$1:$U$1,0)),IF($A116&lt;=1994,1000*INDEX('SALA 2002'!$B:$U,MATCH($A116,'SALA 2002'!$A:$A,0),MATCH(G$1,'SALA 2002'!$B$1:$U$1,0)),IF($A116&lt;=2000,1000*INDEX('SALA 2002'!$B:$U,MATCH($A116,'SALA 2002'!$A:$A,0),MATCH(G$1,'SALA 2002'!$B$1:$U$1,0))*POWER(INDEX('WPP 2024 середина года'!$B:$U,MATCH($A116,'WPP 2024 середина года'!$A:$A,0),MATCH(G$1,'WPP 2024 середина года'!$B$1:$U$1,0))/(1000*INDEX('SALA 2002'!$B:$U,MATCH($A116,'SALA 2002'!$A:$A,0),MATCH(G$1,'SALA 2002'!$B$1:$U$1,0))),($A116-1994)/7),INDEX('WPP 2024 середина года'!$B:$U,MATCH($A116,'WPP 2024 середина года'!$A:$A,0),MATCH(G$1,'WPP 2024 середина года'!$B$1:$U$1,0)))))</f>
        <v>4767.1000000000004</v>
      </c>
      <c r="H116" s="7">
        <f>IF($A116&lt;=1951,INDEX('SALA 1974'!$B:$U,MATCH($A116,'SALA 1974'!$A:$A,0),MATCH(H$1,'SALA 1974'!$B$1:$U$1,0)),IF($A116&lt;=1994,1000*INDEX('SALA 2002'!$B:$U,MATCH($A116,'SALA 2002'!$A:$A,0),MATCH(H$1,'SALA 2002'!$B$1:$U$1,0)),IF($A116&lt;=2000,1000*INDEX('SALA 2002'!$B:$U,MATCH($A116,'SALA 2002'!$A:$A,0),MATCH(H$1,'SALA 2002'!$B$1:$U$1,0))*POWER(INDEX('WPP 2024 середина года'!$B:$U,MATCH($A116,'WPP 2024 середина года'!$A:$A,0),MATCH(H$1,'WPP 2024 середина года'!$B$1:$U$1,0))/(1000*INDEX('SALA 2002'!$B:$U,MATCH($A116,'SALA 2002'!$A:$A,0),MATCH(H$1,'SALA 2002'!$B$1:$U$1,0))),($A116-1994)/7),INDEX('WPP 2024 середина года'!$B:$U,MATCH($A116,'WPP 2024 середина года'!$A:$A,0),MATCH(H$1,'WPP 2024 середина года'!$B$1:$U$1,0)))))</f>
        <v>11285.8</v>
      </c>
      <c r="I116" s="7">
        <f>IF($A116&lt;=1951,INDEX('SALA 1974'!$B:$U,MATCH($A116,'SALA 1974'!$A:$A,0),MATCH(I$1,'SALA 1974'!$B$1:$U$1,0)),IF($A116&lt;=1994,1000*INDEX('SALA 2002'!$B:$U,MATCH($A116,'SALA 2002'!$A:$A,0),MATCH(I$1,'SALA 2002'!$B$1:$U$1,0)),IF($A116&lt;=2000,1000*INDEX('SALA 2002'!$B:$U,MATCH($A116,'SALA 2002'!$A:$A,0),MATCH(I$1,'SALA 2002'!$B$1:$U$1,0))*POWER(INDEX('WPP 2024 середина года'!$B:$U,MATCH($A116,'WPP 2024 середина года'!$A:$A,0),MATCH(I$1,'WPP 2024 середина года'!$B$1:$U$1,0))/(1000*INDEX('SALA 2002'!$B:$U,MATCH($A116,'SALA 2002'!$A:$A,0),MATCH(I$1,'SALA 2002'!$B$1:$U$1,0))),($A116-1994)/7),INDEX('WPP 2024 середина года'!$B:$U,MATCH($A116,'WPP 2024 середина года'!$A:$A,0),MATCH(I$1,'WPP 2024 середина года'!$B$1:$U$1,0)))))</f>
        <v>10315.5</v>
      </c>
      <c r="J116" s="7">
        <f>IF($A116&lt;=1951,INDEX('SALA 1974'!$B:$U,MATCH($A116,'SALA 1974'!$A:$A,0),MATCH(J$1,'SALA 1974'!$B$1:$U$1,0)),IF($A116&lt;=1994,1000*INDEX('SALA 2002'!$B:$U,MATCH($A116,'SALA 2002'!$A:$A,0),MATCH(J$1,'SALA 2002'!$B$1:$U$1,0)),IF($A116&lt;=2000,1000*INDEX('SALA 2002'!$B:$U,MATCH($A116,'SALA 2002'!$A:$A,0),MATCH(J$1,'SALA 2002'!$B$1:$U$1,0))*POWER(INDEX('WPP 2024 середина года'!$B:$U,MATCH($A116,'WPP 2024 середина года'!$A:$A,0),MATCH(J$1,'WPP 2024 середина года'!$B$1:$U$1,0))/(1000*INDEX('SALA 2002'!$B:$U,MATCH($A116,'SALA 2002'!$A:$A,0),MATCH(J$1,'SALA 2002'!$B$1:$U$1,0))),($A116-1994)/7),INDEX('WPP 2024 середина года'!$B:$U,MATCH($A116,'WPP 2024 середина года'!$A:$A,0),MATCH(J$1,'WPP 2024 середина года'!$B$1:$U$1,0)))))</f>
        <v>16035.1</v>
      </c>
      <c r="K116" s="7">
        <f>IF($A116&lt;=1951,INDEX('SALA 1974'!$B:$U,MATCH($A116,'SALA 1974'!$A:$A,0),MATCH(K$1,'SALA 1974'!$B$1:$U$1,0)),IF($A116&lt;=1994,1000*INDEX('SALA 2002'!$B:$U,MATCH($A116,'SALA 2002'!$A:$A,0),MATCH(K$1,'SALA 2002'!$B$1:$U$1,0)),IF($A116&lt;=2000,1000*INDEX('SALA 2002'!$B:$U,MATCH($A116,'SALA 2002'!$A:$A,0),MATCH(K$1,'SALA 2002'!$B$1:$U$1,0))*POWER(INDEX('WPP 2024 середина года'!$B:$U,MATCH($A116,'WPP 2024 середина года'!$A:$A,0),MATCH(K$1,'WPP 2024 середина года'!$B$1:$U$1,0))/(1000*INDEX('SALA 2002'!$B:$U,MATCH($A116,'SALA 2002'!$A:$A,0),MATCH(K$1,'SALA 2002'!$B$1:$U$1,0))),($A116-1994)/7),INDEX('WPP 2024 середина года'!$B:$U,MATCH($A116,'WPP 2024 середина года'!$A:$A,0),MATCH(K$1,'WPP 2024 середина года'!$B$1:$U$1,0)))))</f>
        <v>6163</v>
      </c>
      <c r="L116" s="7">
        <f>IF($A116&lt;=1951,INDEX('SALA 1974'!$B:$U,MATCH($A116,'SALA 1974'!$A:$A,0),MATCH(L$1,'SALA 1974'!$B$1:$U$1,0)),IF($A116&lt;=1994,1000*INDEX('SALA 2002'!$B:$U,MATCH($A116,'SALA 2002'!$A:$A,0),MATCH(L$1,'SALA 2002'!$B$1:$U$1,0)),IF($A116&lt;=2000,1000*INDEX('SALA 2002'!$B:$U,MATCH($A116,'SALA 2002'!$A:$A,0),MATCH(L$1,'SALA 2002'!$B$1:$U$1,0))*POWER(INDEX('WPP 2024 середина года'!$B:$U,MATCH($A116,'WPP 2024 середина года'!$A:$A,0),MATCH(L$1,'WPP 2024 середина года'!$B$1:$U$1,0))/(1000*INDEX('SALA 2002'!$B:$U,MATCH($A116,'SALA 2002'!$A:$A,0),MATCH(L$1,'SALA 2002'!$B$1:$U$1,0))),($A116-1994)/7),INDEX('WPP 2024 середина года'!$B:$U,MATCH($A116,'WPP 2024 середина года'!$A:$A,0),MATCH(L$1,'WPP 2024 середина года'!$B$1:$U$1,0)))))</f>
        <v>15681.7</v>
      </c>
      <c r="M116" s="7">
        <f>IF($A116&lt;=1951,INDEX('SALA 1974'!$B:$U,MATCH($A116,'SALA 1974'!$A:$A,0),MATCH(M$1,'SALA 1974'!$B$1:$U$1,0)),IF($A116&lt;=1994,1000*INDEX('SALA 2002'!$B:$U,MATCH($A116,'SALA 2002'!$A:$A,0),MATCH(M$1,'SALA 2002'!$B$1:$U$1,0)),IF($A116&lt;=2000,1000*INDEX('SALA 2002'!$B:$U,MATCH($A116,'SALA 2002'!$A:$A,0),MATCH(M$1,'SALA 2002'!$B$1:$U$1,0))*POWER(INDEX('WPP 2024 середина года'!$B:$U,MATCH($A116,'WPP 2024 середина года'!$A:$A,0),MATCH(M$1,'WPP 2024 середина года'!$B$1:$U$1,0))/(1000*INDEX('SALA 2002'!$B:$U,MATCH($A116,'SALA 2002'!$A:$A,0),MATCH(M$1,'SALA 2002'!$B$1:$U$1,0))),($A116-1994)/7),INDEX('WPP 2024 середина года'!$B:$U,MATCH($A116,'WPP 2024 середина года'!$A:$A,0),MATCH(M$1,'WPP 2024 середина года'!$B$1:$U$1,0)))))</f>
        <v>10373.200000000001</v>
      </c>
      <c r="N116" s="7">
        <f>IF($A116&lt;=1951,INDEX('SALA 1974'!$B:$U,MATCH($A116,'SALA 1974'!$A:$A,0),MATCH(N$1,'SALA 1974'!$B$1:$U$1,0)),IF($A116&lt;=1994,1000*INDEX('SALA 2002'!$B:$U,MATCH($A116,'SALA 2002'!$A:$A,0),MATCH(N$1,'SALA 2002'!$B$1:$U$1,0)),IF($A116&lt;=2000,1000*INDEX('SALA 2002'!$B:$U,MATCH($A116,'SALA 2002'!$A:$A,0),MATCH(N$1,'SALA 2002'!$B$1:$U$1,0))*POWER(INDEX('WPP 2024 середина года'!$B:$U,MATCH($A116,'WPP 2024 середина года'!$A:$A,0),MATCH(N$1,'WPP 2024 середина года'!$B$1:$U$1,0))/(1000*INDEX('SALA 2002'!$B:$U,MATCH($A116,'SALA 2002'!$A:$A,0),MATCH(N$1,'SALA 2002'!$B$1:$U$1,0))),($A116-1994)/7),INDEX('WPP 2024 середина года'!$B:$U,MATCH($A116,'WPP 2024 середина года'!$A:$A,0),MATCH(N$1,'WPP 2024 середина года'!$B$1:$U$1,0)))))</f>
        <v>9063.1</v>
      </c>
      <c r="O116" s="7">
        <f>IF($A116&lt;=1951,INDEX('SALA 1974'!$B:$U,MATCH($A116,'SALA 1974'!$A:$A,0),MATCH(O$1,'SALA 1974'!$B$1:$U$1,0)),IF($A116&lt;=1994,1000*INDEX('SALA 2002'!$B:$U,MATCH($A116,'SALA 2002'!$A:$A,0),MATCH(O$1,'SALA 2002'!$B$1:$U$1,0)),IF($A116&lt;=2000,1000*INDEX('SALA 2002'!$B:$U,MATCH($A116,'SALA 2002'!$A:$A,0),MATCH(O$1,'SALA 2002'!$B$1:$U$1,0))*POWER(INDEX('WPP 2024 середина года'!$B:$U,MATCH($A116,'WPP 2024 середина года'!$A:$A,0),MATCH(O$1,'WPP 2024 середина года'!$B$1:$U$1,0))/(1000*INDEX('SALA 2002'!$B:$U,MATCH($A116,'SALA 2002'!$A:$A,0),MATCH(O$1,'SALA 2002'!$B$1:$U$1,0))),($A116-1994)/7),INDEX('WPP 2024 середина года'!$B:$U,MATCH($A116,'WPP 2024 середина года'!$A:$A,0),MATCH(O$1,'WPP 2024 середина года'!$B$1:$U$1,0)))))</f>
        <v>119784.3</v>
      </c>
      <c r="P116" s="7">
        <f>IF($A116&lt;=1951,INDEX('SALA 1974'!$B:$U,MATCH($A116,'SALA 1974'!$A:$A,0),MATCH(P$1,'SALA 1974'!$B$1:$U$1,0)),IF($A116&lt;=1994,1000*INDEX('SALA 2002'!$B:$U,MATCH($A116,'SALA 2002'!$A:$A,0),MATCH(P$1,'SALA 2002'!$B$1:$U$1,0)),IF($A116&lt;=2000,1000*INDEX('SALA 2002'!$B:$U,MATCH($A116,'SALA 2002'!$A:$A,0),MATCH(P$1,'SALA 2002'!$B$1:$U$1,0))*POWER(INDEX('WPP 2024 середина года'!$B:$U,MATCH($A116,'WPP 2024 середина года'!$A:$A,0),MATCH(P$1,'WPP 2024 середина года'!$B$1:$U$1,0))/(1000*INDEX('SALA 2002'!$B:$U,MATCH($A116,'SALA 2002'!$A:$A,0),MATCH(P$1,'SALA 2002'!$B$1:$U$1,0))),($A116-1994)/7),INDEX('WPP 2024 середина года'!$B:$U,MATCH($A116,'WPP 2024 середина года'!$A:$A,0),MATCH(P$1,'WPP 2024 середина года'!$B$1:$U$1,0)))))</f>
        <v>6066.5</v>
      </c>
      <c r="Q116" s="7">
        <f>IF($A116&lt;=1951,INDEX('SALA 1974'!$B:$U,MATCH($A116,'SALA 1974'!$A:$A,0),MATCH(Q$1,'SALA 1974'!$B$1:$U$1,0)),IF($A116&lt;=1994,1000*INDEX('SALA 2002'!$B:$U,MATCH($A116,'SALA 2002'!$A:$A,0),MATCH(Q$1,'SALA 2002'!$B$1:$U$1,0)),IF($A116&lt;=2000,1000*INDEX('SALA 2002'!$B:$U,MATCH($A116,'SALA 2002'!$A:$A,0),MATCH(Q$1,'SALA 2002'!$B$1:$U$1,0))*POWER(INDEX('WPP 2024 середина года'!$B:$U,MATCH($A116,'WPP 2024 середина года'!$A:$A,0),MATCH(Q$1,'WPP 2024 середина года'!$B$1:$U$1,0))/(1000*INDEX('SALA 2002'!$B:$U,MATCH($A116,'SALA 2002'!$A:$A,0),MATCH(Q$1,'SALA 2002'!$B$1:$U$1,0))),($A116-1994)/7),INDEX('WPP 2024 середина года'!$B:$U,MATCH($A116,'WPP 2024 середина года'!$A:$A,0),MATCH(Q$1,'WPP 2024 середина года'!$B$1:$U$1,0)))))</f>
        <v>3892.1</v>
      </c>
      <c r="R116" s="7">
        <f>IF($A116&lt;=1951,INDEX('SALA 1974'!$B:$U,MATCH($A116,'SALA 1974'!$A:$A,0),MATCH(R$1,'SALA 1974'!$B$1:$U$1,0)),IF($A116&lt;=1994,1000*INDEX('SALA 2002'!$B:$U,MATCH($A116,'SALA 2002'!$A:$A,0),MATCH(R$1,'SALA 2002'!$B$1:$U$1,0)),IF($A116&lt;=2000,1000*INDEX('SALA 2002'!$B:$U,MATCH($A116,'SALA 2002'!$A:$A,0),MATCH(R$1,'SALA 2002'!$B$1:$U$1,0))*POWER(INDEX('WPP 2024 середина года'!$B:$U,MATCH($A116,'WPP 2024 середина года'!$A:$A,0),MATCH(R$1,'WPP 2024 середина года'!$B$1:$U$1,0))/(1000*INDEX('SALA 2002'!$B:$U,MATCH($A116,'SALA 2002'!$A:$A,0),MATCH(R$1,'SALA 2002'!$B$1:$U$1,0))),($A116-1994)/7),INDEX('WPP 2024 середина года'!$B:$U,MATCH($A116,'WPP 2024 середина года'!$A:$A,0),MATCH(R$1,'WPP 2024 середина года'!$B$1:$U$1,0)))))</f>
        <v>6069.8</v>
      </c>
      <c r="S116" s="7">
        <f>IF($A116&lt;=1951,INDEX('SALA 1974'!$B:$U,MATCH($A116,'SALA 1974'!$A:$A,0),MATCH(S$1,'SALA 1974'!$B$1:$U$1,0)),IF($A116&lt;=1994,1000*INDEX('SALA 2002'!$B:$U,MATCH($A116,'SALA 2002'!$A:$A,0),MATCH(S$1,'SALA 2002'!$B$1:$U$1,0)),IF($A116&lt;=2000,1000*INDEX('SALA 2002'!$B:$U,MATCH($A116,'SALA 2002'!$A:$A,0),MATCH(S$1,'SALA 2002'!$B$1:$U$1,0))*POWER(INDEX('WPP 2024 середина года'!$B:$U,MATCH($A116,'WPP 2024 середина года'!$A:$A,0),MATCH(S$1,'WPP 2024 середина года'!$B$1:$U$1,0))/(1000*INDEX('SALA 2002'!$B:$U,MATCH($A116,'SALA 2002'!$A:$A,0),MATCH(S$1,'SALA 2002'!$B$1:$U$1,0))),($A116-1994)/7),INDEX('WPP 2024 середина года'!$B:$U,MATCH($A116,'WPP 2024 середина года'!$A:$A,0),MATCH(S$1,'WPP 2024 середина года'!$B$1:$U$1,0)))))</f>
        <v>30115.8</v>
      </c>
      <c r="T116" s="7">
        <f>IF($A116&lt;=1951,INDEX('SALA 1974'!$B:$U,MATCH($A116,'SALA 1974'!$A:$A,0),MATCH(T$1,'SALA 1974'!$B$1:$U$1,0)),IF($A116&lt;=1994,1000*INDEX('SALA 2002'!$B:$U,MATCH($A116,'SALA 2002'!$A:$A,0),MATCH(T$1,'SALA 2002'!$B$1:$U$1,0)),IF($A116&lt;=2000,1000*INDEX('SALA 2002'!$B:$U,MATCH($A116,'SALA 2002'!$A:$A,0),MATCH(T$1,'SALA 2002'!$B$1:$U$1,0))*POWER(INDEX('WPP 2024 середина года'!$B:$U,MATCH($A116,'WPP 2024 середина года'!$A:$A,0),MATCH(T$1,'WPP 2024 середина года'!$B$1:$U$1,0))/(1000*INDEX('SALA 2002'!$B:$U,MATCH($A116,'SALA 2002'!$A:$A,0),MATCH(T$1,'SALA 2002'!$B$1:$U$1,0))),($A116-1994)/7),INDEX('WPP 2024 середина года'!$B:$U,MATCH($A116,'WPP 2024 середина года'!$A:$A,0),MATCH(T$1,'WPP 2024 середина года'!$B$1:$U$1,0)))))</f>
        <v>3356.3</v>
      </c>
      <c r="U116" s="7">
        <f>IF($A116&lt;=1951,INDEX('SALA 1974'!$B:$U,MATCH($A116,'SALA 1974'!$A:$A,0),MATCH(U$1,'SALA 1974'!$B$1:$U$1,0)),IF($A116&lt;=1994,1000*INDEX('SALA 2002'!$B:$U,MATCH($A116,'SALA 2002'!$A:$A,0),MATCH(U$1,'SALA 2002'!$B$1:$U$1,0)),IF($A116&lt;=2000,1000*INDEX('SALA 2002'!$B:$U,MATCH($A116,'SALA 2002'!$A:$A,0),MATCH(U$1,'SALA 2002'!$B$1:$U$1,0))*POWER(INDEX('WPP 2024 середина года'!$B:$U,MATCH($A116,'WPP 2024 середина года'!$A:$A,0),MATCH(U$1,'WPP 2024 середина года'!$B$1:$U$1,0))/(1000*INDEX('SALA 2002'!$B:$U,MATCH($A116,'SALA 2002'!$A:$A,0),MATCH(U$1,'SALA 2002'!$B$1:$U$1,0))),($A116-1994)/7),INDEX('WPP 2024 середина года'!$B:$U,MATCH($A116,'WPP 2024 середина года'!$A:$A,0),MATCH(U$1,'WPP 2024 середина года'!$B$1:$U$1,0)))))</f>
        <v>30254.1</v>
      </c>
    </row>
    <row r="117" spans="1:21" x14ac:dyDescent="0.25">
      <c r="A117" s="5">
        <f t="shared" si="1"/>
        <v>2015</v>
      </c>
      <c r="B117" s="7">
        <f>IF($A117&lt;=1951,INDEX('SALA 1974'!$B:$U,MATCH($A117,'SALA 1974'!$A:$A,0),MATCH(B$1,'SALA 1974'!$B$1:$U$1,0)),IF($A117&lt;=1994,1000*INDEX('SALA 2002'!$B:$U,MATCH($A117,'SALA 2002'!$A:$A,0),MATCH(B$1,'SALA 2002'!$B$1:$U$1,0)),IF($A117&lt;=2000,1000*INDEX('SALA 2002'!$B:$U,MATCH($A117,'SALA 2002'!$A:$A,0),MATCH(B$1,'SALA 2002'!$B$1:$U$1,0))*POWER(INDEX('WPP 2024 середина года'!$B:$U,MATCH($A117,'WPP 2024 середина года'!$A:$A,0),MATCH(B$1,'WPP 2024 середина года'!$B$1:$U$1,0))/(1000*INDEX('SALA 2002'!$B:$U,MATCH($A117,'SALA 2002'!$A:$A,0),MATCH(B$1,'SALA 2002'!$B$1:$U$1,0))),($A117-1994)/7),INDEX('WPP 2024 середина года'!$B:$U,MATCH($A117,'WPP 2024 середина года'!$A:$A,0),MATCH(B$1,'WPP 2024 середина года'!$B$1:$U$1,0)))))</f>
        <v>43477</v>
      </c>
      <c r="C117" s="7">
        <f>IF($A117&lt;=1951,INDEX('SALA 1974'!$B:$U,MATCH($A117,'SALA 1974'!$A:$A,0),MATCH(C$1,'SALA 1974'!$B$1:$U$1,0)),IF($A117&lt;=1994,1000*INDEX('SALA 2002'!$B:$U,MATCH($A117,'SALA 2002'!$A:$A,0),MATCH(C$1,'SALA 2002'!$B$1:$U$1,0)),IF($A117&lt;=2000,1000*INDEX('SALA 2002'!$B:$U,MATCH($A117,'SALA 2002'!$A:$A,0),MATCH(C$1,'SALA 2002'!$B$1:$U$1,0))*POWER(INDEX('WPP 2024 середина года'!$B:$U,MATCH($A117,'WPP 2024 середина года'!$A:$A,0),MATCH(C$1,'WPP 2024 середина года'!$B$1:$U$1,0))/(1000*INDEX('SALA 2002'!$B:$U,MATCH($A117,'SALA 2002'!$A:$A,0),MATCH(C$1,'SALA 2002'!$B$1:$U$1,0))),($A117-1994)/7),INDEX('WPP 2024 середина года'!$B:$U,MATCH($A117,'WPP 2024 середина года'!$A:$A,0),MATCH(C$1,'WPP 2024 середина года'!$B$1:$U$1,0)))))</f>
        <v>11014.7</v>
      </c>
      <c r="D117" s="7">
        <f>IF($A117&lt;=1951,INDEX('SALA 1974'!$B:$U,MATCH($A117,'SALA 1974'!$A:$A,0),MATCH(D$1,'SALA 1974'!$B$1:$U$1,0)),IF($A117&lt;=1994,1000*INDEX('SALA 2002'!$B:$U,MATCH($A117,'SALA 2002'!$A:$A,0),MATCH(D$1,'SALA 2002'!$B$1:$U$1,0)),IF($A117&lt;=2000,1000*INDEX('SALA 2002'!$B:$U,MATCH($A117,'SALA 2002'!$A:$A,0),MATCH(D$1,'SALA 2002'!$B$1:$U$1,0))*POWER(INDEX('WPP 2024 середина года'!$B:$U,MATCH($A117,'WPP 2024 середина года'!$A:$A,0),MATCH(D$1,'WPP 2024 середина года'!$B$1:$U$1,0))/(1000*INDEX('SALA 2002'!$B:$U,MATCH($A117,'SALA 2002'!$A:$A,0),MATCH(D$1,'SALA 2002'!$B$1:$U$1,0))),($A117-1994)/7),INDEX('WPP 2024 середина года'!$B:$U,MATCH($A117,'WPP 2024 середина года'!$A:$A,0),MATCH(D$1,'WPP 2024 середина года'!$B$1:$U$1,0)))))</f>
        <v>201675.5</v>
      </c>
      <c r="E117" s="7">
        <f>IF($A117&lt;=1951,INDEX('SALA 1974'!$B:$U,MATCH($A117,'SALA 1974'!$A:$A,0),MATCH(E$1,'SALA 1974'!$B$1:$U$1,0)),IF($A117&lt;=1994,1000*INDEX('SALA 2002'!$B:$U,MATCH($A117,'SALA 2002'!$A:$A,0),MATCH(E$1,'SALA 2002'!$B$1:$U$1,0)),IF($A117&lt;=2000,1000*INDEX('SALA 2002'!$B:$U,MATCH($A117,'SALA 2002'!$A:$A,0),MATCH(E$1,'SALA 2002'!$B$1:$U$1,0))*POWER(INDEX('WPP 2024 середина года'!$B:$U,MATCH($A117,'WPP 2024 середина года'!$A:$A,0),MATCH(E$1,'WPP 2024 середина года'!$B$1:$U$1,0))/(1000*INDEX('SALA 2002'!$B:$U,MATCH($A117,'SALA 2002'!$A:$A,0),MATCH(E$1,'SALA 2002'!$B$1:$U$1,0))),($A117-1994)/7),INDEX('WPP 2024 середина года'!$B:$U,MATCH($A117,'WPP 2024 середина года'!$A:$A,0),MATCH(E$1,'WPP 2024 середина года'!$B$1:$U$1,0)))))</f>
        <v>18047.599999999999</v>
      </c>
      <c r="F117" s="7">
        <f>IF($A117&lt;=1947,INDEX('SALA 1974'!$B:$U,MATCH($A117,'SALA 1974'!$A:$A,0),MATCH(F$1,'SALA 1974'!$B$1:$U$1,0)),IF($A117&lt;=1994,1000*INDEX('SALA 2002'!$B:$U,MATCH($A117,'SALA 2002'!$A:$A,0),MATCH(F$1,'SALA 2002'!$B$1:$U$1,0)),IF($A117&lt;=2000,1000*INDEX('SALA 2002'!$B:$U,MATCH($A117,'SALA 2002'!$A:$A,0),MATCH(F$1,'SALA 2002'!$B$1:$U$1,0))*POWER(INDEX('WPP 2024 середина года'!$B:$U,MATCH($A117,'WPP 2024 середина года'!$A:$A,0),MATCH(F$1,'WPP 2024 середина года'!$B$1:$U$1,0))/(1000*INDEX('SALA 2002'!$B:$U,MATCH($A117,'SALA 2002'!$A:$A,0),MATCH(F$1,'SALA 2002'!$B$1:$U$1,0))),($A117-1994)/7),INDEX('WPP 2024 середина года'!$B:$U,MATCH($A117,'WPP 2024 середина года'!$A:$A,0),MATCH(F$1,'WPP 2024 середина года'!$B$1:$U$1,0)))))</f>
        <v>46969.9</v>
      </c>
      <c r="G117" s="7">
        <f>IF($A117&lt;=1951,INDEX('SALA 1974'!$B:$U,MATCH($A117,'SALA 1974'!$A:$A,0),MATCH(G$1,'SALA 1974'!$B$1:$U$1,0)),IF($A117&lt;=1994,1000*INDEX('SALA 2002'!$B:$U,MATCH($A117,'SALA 2002'!$A:$A,0),MATCH(G$1,'SALA 2002'!$B$1:$U$1,0)),IF($A117&lt;=2000,1000*INDEX('SALA 2002'!$B:$U,MATCH($A117,'SALA 2002'!$A:$A,0),MATCH(G$1,'SALA 2002'!$B$1:$U$1,0))*POWER(INDEX('WPP 2024 середина года'!$B:$U,MATCH($A117,'WPP 2024 середина года'!$A:$A,0),MATCH(G$1,'WPP 2024 середина года'!$B$1:$U$1,0))/(1000*INDEX('SALA 2002'!$B:$U,MATCH($A117,'SALA 2002'!$A:$A,0),MATCH(G$1,'SALA 2002'!$B$1:$U$1,0))),($A117-1994)/7),INDEX('WPP 2024 середина года'!$B:$U,MATCH($A117,'WPP 2024 середина года'!$A:$A,0),MATCH(G$1,'WPP 2024 середина года'!$B$1:$U$1,0)))))</f>
        <v>4818</v>
      </c>
      <c r="H117" s="7">
        <f>IF($A117&lt;=1951,INDEX('SALA 1974'!$B:$U,MATCH($A117,'SALA 1974'!$A:$A,0),MATCH(H$1,'SALA 1974'!$B$1:$U$1,0)),IF($A117&lt;=1994,1000*INDEX('SALA 2002'!$B:$U,MATCH($A117,'SALA 2002'!$A:$A,0),MATCH(H$1,'SALA 2002'!$B$1:$U$1,0)),IF($A117&lt;=2000,1000*INDEX('SALA 2002'!$B:$U,MATCH($A117,'SALA 2002'!$A:$A,0),MATCH(H$1,'SALA 2002'!$B$1:$U$1,0))*POWER(INDEX('WPP 2024 середина года'!$B:$U,MATCH($A117,'WPP 2024 середина года'!$A:$A,0),MATCH(H$1,'WPP 2024 середина года'!$B$1:$U$1,0))/(1000*INDEX('SALA 2002'!$B:$U,MATCH($A117,'SALA 2002'!$A:$A,0),MATCH(H$1,'SALA 2002'!$B$1:$U$1,0))),($A117-1994)/7),INDEX('WPP 2024 середина года'!$B:$U,MATCH($A117,'WPP 2024 середина года'!$A:$A,0),MATCH(H$1,'WPP 2024 середина года'!$B$1:$U$1,0)))))</f>
        <v>11275.1</v>
      </c>
      <c r="I117" s="7">
        <f>IF($A117&lt;=1951,INDEX('SALA 1974'!$B:$U,MATCH($A117,'SALA 1974'!$A:$A,0),MATCH(I$1,'SALA 1974'!$B$1:$U$1,0)),IF($A117&lt;=1994,1000*INDEX('SALA 2002'!$B:$U,MATCH($A117,'SALA 2002'!$A:$A,0),MATCH(I$1,'SALA 2002'!$B$1:$U$1,0)),IF($A117&lt;=2000,1000*INDEX('SALA 2002'!$B:$U,MATCH($A117,'SALA 2002'!$A:$A,0),MATCH(I$1,'SALA 2002'!$B$1:$U$1,0))*POWER(INDEX('WPP 2024 середина года'!$B:$U,MATCH($A117,'WPP 2024 середина года'!$A:$A,0),MATCH(I$1,'WPP 2024 середина года'!$B$1:$U$1,0))/(1000*INDEX('SALA 2002'!$B:$U,MATCH($A117,'SALA 2002'!$A:$A,0),MATCH(I$1,'SALA 2002'!$B$1:$U$1,0))),($A117-1994)/7),INDEX('WPP 2024 середина года'!$B:$U,MATCH($A117,'WPP 2024 середина года'!$A:$A,0),MATCH(I$1,'WPP 2024 середина года'!$B$1:$U$1,0)))))</f>
        <v>10434.799999999999</v>
      </c>
      <c r="J117" s="7">
        <f>IF($A117&lt;=1951,INDEX('SALA 1974'!$B:$U,MATCH($A117,'SALA 1974'!$A:$A,0),MATCH(J$1,'SALA 1974'!$B$1:$U$1,0)),IF($A117&lt;=1994,1000*INDEX('SALA 2002'!$B:$U,MATCH($A117,'SALA 2002'!$A:$A,0),MATCH(J$1,'SALA 2002'!$B$1:$U$1,0)),IF($A117&lt;=2000,1000*INDEX('SALA 2002'!$B:$U,MATCH($A117,'SALA 2002'!$A:$A,0),MATCH(J$1,'SALA 2002'!$B$1:$U$1,0))*POWER(INDEX('WPP 2024 середина года'!$B:$U,MATCH($A117,'WPP 2024 середина года'!$A:$A,0),MATCH(J$1,'WPP 2024 середина года'!$B$1:$U$1,0))/(1000*INDEX('SALA 2002'!$B:$U,MATCH($A117,'SALA 2002'!$A:$A,0),MATCH(J$1,'SALA 2002'!$B$1:$U$1,0))),($A117-1994)/7),INDEX('WPP 2024 середина года'!$B:$U,MATCH($A117,'WPP 2024 середина года'!$A:$A,0),MATCH(J$1,'WPP 2024 середина года'!$B$1:$U$1,0)))))</f>
        <v>16266.2</v>
      </c>
      <c r="K117" s="7">
        <f>IF($A117&lt;=1951,INDEX('SALA 1974'!$B:$U,MATCH($A117,'SALA 1974'!$A:$A,0),MATCH(K$1,'SALA 1974'!$B$1:$U$1,0)),IF($A117&lt;=1994,1000*INDEX('SALA 2002'!$B:$U,MATCH($A117,'SALA 2002'!$A:$A,0),MATCH(K$1,'SALA 2002'!$B$1:$U$1,0)),IF($A117&lt;=2000,1000*INDEX('SALA 2002'!$B:$U,MATCH($A117,'SALA 2002'!$A:$A,0),MATCH(K$1,'SALA 2002'!$B$1:$U$1,0))*POWER(INDEX('WPP 2024 середина года'!$B:$U,MATCH($A117,'WPP 2024 середина года'!$A:$A,0),MATCH(K$1,'WPP 2024 середина года'!$B$1:$U$1,0))/(1000*INDEX('SALA 2002'!$B:$U,MATCH($A117,'SALA 2002'!$A:$A,0),MATCH(K$1,'SALA 2002'!$B$1:$U$1,0))),($A117-1994)/7),INDEX('WPP 2024 середина года'!$B:$U,MATCH($A117,'WPP 2024 середина года'!$A:$A,0),MATCH(K$1,'WPP 2024 середина года'!$B$1:$U$1,0)))))</f>
        <v>6183.7</v>
      </c>
      <c r="L117" s="7">
        <f>IF($A117&lt;=1951,INDEX('SALA 1974'!$B:$U,MATCH($A117,'SALA 1974'!$A:$A,0),MATCH(L$1,'SALA 1974'!$B$1:$U$1,0)),IF($A117&lt;=1994,1000*INDEX('SALA 2002'!$B:$U,MATCH($A117,'SALA 2002'!$A:$A,0),MATCH(L$1,'SALA 2002'!$B$1:$U$1,0)),IF($A117&lt;=2000,1000*INDEX('SALA 2002'!$B:$U,MATCH($A117,'SALA 2002'!$A:$A,0),MATCH(L$1,'SALA 2002'!$B$1:$U$1,0))*POWER(INDEX('WPP 2024 середина года'!$B:$U,MATCH($A117,'WPP 2024 середина года'!$A:$A,0),MATCH(L$1,'WPP 2024 середина года'!$B$1:$U$1,0))/(1000*INDEX('SALA 2002'!$B:$U,MATCH($A117,'SALA 2002'!$A:$A,0),MATCH(L$1,'SALA 2002'!$B$1:$U$1,0))),($A117-1994)/7),INDEX('WPP 2024 середина года'!$B:$U,MATCH($A117,'WPP 2024 середина года'!$A:$A,0),MATCH(L$1,'WPP 2024 середина года'!$B$1:$U$1,0)))))</f>
        <v>15971.7</v>
      </c>
      <c r="M117" s="7">
        <f>IF($A117&lt;=1951,INDEX('SALA 1974'!$B:$U,MATCH($A117,'SALA 1974'!$A:$A,0),MATCH(M$1,'SALA 1974'!$B$1:$U$1,0)),IF($A117&lt;=1994,1000*INDEX('SALA 2002'!$B:$U,MATCH($A117,'SALA 2002'!$A:$A,0),MATCH(M$1,'SALA 2002'!$B$1:$U$1,0)),IF($A117&lt;=2000,1000*INDEX('SALA 2002'!$B:$U,MATCH($A117,'SALA 2002'!$A:$A,0),MATCH(M$1,'SALA 2002'!$B$1:$U$1,0))*POWER(INDEX('WPP 2024 середина года'!$B:$U,MATCH($A117,'WPP 2024 середина года'!$A:$A,0),MATCH(M$1,'WPP 2024 середина года'!$B$1:$U$1,0))/(1000*INDEX('SALA 2002'!$B:$U,MATCH($A117,'SALA 2002'!$A:$A,0),MATCH(M$1,'SALA 2002'!$B$1:$U$1,0))),($A117-1994)/7),INDEX('WPP 2024 середина года'!$B:$U,MATCH($A117,'WPP 2024 середина года'!$A:$A,0),MATCH(M$1,'WPP 2024 середина года'!$B$1:$U$1,0)))))</f>
        <v>10523.2</v>
      </c>
      <c r="N117" s="7">
        <f>IF($A117&lt;=1951,INDEX('SALA 1974'!$B:$U,MATCH($A117,'SALA 1974'!$A:$A,0),MATCH(N$1,'SALA 1974'!$B$1:$U$1,0)),IF($A117&lt;=1994,1000*INDEX('SALA 2002'!$B:$U,MATCH($A117,'SALA 2002'!$A:$A,0),MATCH(N$1,'SALA 2002'!$B$1:$U$1,0)),IF($A117&lt;=2000,1000*INDEX('SALA 2002'!$B:$U,MATCH($A117,'SALA 2002'!$A:$A,0),MATCH(N$1,'SALA 2002'!$B$1:$U$1,0))*POWER(INDEX('WPP 2024 середина года'!$B:$U,MATCH($A117,'WPP 2024 середина года'!$A:$A,0),MATCH(N$1,'WPP 2024 середина года'!$B$1:$U$1,0))/(1000*INDEX('SALA 2002'!$B:$U,MATCH($A117,'SALA 2002'!$A:$A,0),MATCH(N$1,'SALA 2002'!$B$1:$U$1,0))),($A117-1994)/7),INDEX('WPP 2024 середина года'!$B:$U,MATCH($A117,'WPP 2024 середина года'!$A:$A,0),MATCH(N$1,'WPP 2024 середина года'!$B$1:$U$1,0)))))</f>
        <v>9237.2999999999993</v>
      </c>
      <c r="O117" s="7">
        <f>IF($A117&lt;=1951,INDEX('SALA 1974'!$B:$U,MATCH($A117,'SALA 1974'!$A:$A,0),MATCH(O$1,'SALA 1974'!$B$1:$U$1,0)),IF($A117&lt;=1994,1000*INDEX('SALA 2002'!$B:$U,MATCH($A117,'SALA 2002'!$A:$A,0),MATCH(O$1,'SALA 2002'!$B$1:$U$1,0)),IF($A117&lt;=2000,1000*INDEX('SALA 2002'!$B:$U,MATCH($A117,'SALA 2002'!$A:$A,0),MATCH(O$1,'SALA 2002'!$B$1:$U$1,0))*POWER(INDEX('WPP 2024 середина года'!$B:$U,MATCH($A117,'WPP 2024 середина года'!$A:$A,0),MATCH(O$1,'WPP 2024 середина года'!$B$1:$U$1,0))/(1000*INDEX('SALA 2002'!$B:$U,MATCH($A117,'SALA 2002'!$A:$A,0),MATCH(O$1,'SALA 2002'!$B$1:$U$1,0))),($A117-1994)/7),INDEX('WPP 2024 середина года'!$B:$U,MATCH($A117,'WPP 2024 середина года'!$A:$A,0),MATCH(O$1,'WPP 2024 середина года'!$B$1:$U$1,0)))))</f>
        <v>121072.3</v>
      </c>
      <c r="P117" s="7">
        <f>IF($A117&lt;=1951,INDEX('SALA 1974'!$B:$U,MATCH($A117,'SALA 1974'!$A:$A,0),MATCH(P$1,'SALA 1974'!$B$1:$U$1,0)),IF($A117&lt;=1994,1000*INDEX('SALA 2002'!$B:$U,MATCH($A117,'SALA 2002'!$A:$A,0),MATCH(P$1,'SALA 2002'!$B$1:$U$1,0)),IF($A117&lt;=2000,1000*INDEX('SALA 2002'!$B:$U,MATCH($A117,'SALA 2002'!$A:$A,0),MATCH(P$1,'SALA 2002'!$B$1:$U$1,0))*POWER(INDEX('WPP 2024 середина года'!$B:$U,MATCH($A117,'WPP 2024 середина года'!$A:$A,0),MATCH(P$1,'WPP 2024 середина года'!$B$1:$U$1,0))/(1000*INDEX('SALA 2002'!$B:$U,MATCH($A117,'SALA 2002'!$A:$A,0),MATCH(P$1,'SALA 2002'!$B$1:$U$1,0))),($A117-1994)/7),INDEX('WPP 2024 середина года'!$B:$U,MATCH($A117,'WPP 2024 середина года'!$A:$A,0),MATCH(P$1,'WPP 2024 середина года'!$B$1:$U$1,0)))))</f>
        <v>6149.4</v>
      </c>
      <c r="Q117" s="7">
        <f>IF($A117&lt;=1951,INDEX('SALA 1974'!$B:$U,MATCH($A117,'SALA 1974'!$A:$A,0),MATCH(Q$1,'SALA 1974'!$B$1:$U$1,0)),IF($A117&lt;=1994,1000*INDEX('SALA 2002'!$B:$U,MATCH($A117,'SALA 2002'!$A:$A,0),MATCH(Q$1,'SALA 2002'!$B$1:$U$1,0)),IF($A117&lt;=2000,1000*INDEX('SALA 2002'!$B:$U,MATCH($A117,'SALA 2002'!$A:$A,0),MATCH(Q$1,'SALA 2002'!$B$1:$U$1,0))*POWER(INDEX('WPP 2024 середина года'!$B:$U,MATCH($A117,'WPP 2024 середина года'!$A:$A,0),MATCH(Q$1,'WPP 2024 середина года'!$B$1:$U$1,0))/(1000*INDEX('SALA 2002'!$B:$U,MATCH($A117,'SALA 2002'!$A:$A,0),MATCH(Q$1,'SALA 2002'!$B$1:$U$1,0))),($A117-1994)/7),INDEX('WPP 2024 середина года'!$B:$U,MATCH($A117,'WPP 2024 середина года'!$A:$A,0),MATCH(Q$1,'WPP 2024 середина года'!$B$1:$U$1,0)))))</f>
        <v>3960</v>
      </c>
      <c r="R117" s="7">
        <f>IF($A117&lt;=1951,INDEX('SALA 1974'!$B:$U,MATCH($A117,'SALA 1974'!$A:$A,0),MATCH(R$1,'SALA 1974'!$B$1:$U$1,0)),IF($A117&lt;=1994,1000*INDEX('SALA 2002'!$B:$U,MATCH($A117,'SALA 2002'!$A:$A,0),MATCH(R$1,'SALA 2002'!$B$1:$U$1,0)),IF($A117&lt;=2000,1000*INDEX('SALA 2002'!$B:$U,MATCH($A117,'SALA 2002'!$A:$A,0),MATCH(R$1,'SALA 2002'!$B$1:$U$1,0))*POWER(INDEX('WPP 2024 середина года'!$B:$U,MATCH($A117,'WPP 2024 середина года'!$A:$A,0),MATCH(R$1,'WPP 2024 середина года'!$B$1:$U$1,0))/(1000*INDEX('SALA 2002'!$B:$U,MATCH($A117,'SALA 2002'!$A:$A,0),MATCH(R$1,'SALA 2002'!$B$1:$U$1,0))),($A117-1994)/7),INDEX('WPP 2024 середина года'!$B:$U,MATCH($A117,'WPP 2024 середина года'!$A:$A,0),MATCH(R$1,'WPP 2024 середина года'!$B$1:$U$1,0)))))</f>
        <v>6159.1</v>
      </c>
      <c r="S117" s="7">
        <f>IF($A117&lt;=1951,INDEX('SALA 1974'!$B:$U,MATCH($A117,'SALA 1974'!$A:$A,0),MATCH(S$1,'SALA 1974'!$B$1:$U$1,0)),IF($A117&lt;=1994,1000*INDEX('SALA 2002'!$B:$U,MATCH($A117,'SALA 2002'!$A:$A,0),MATCH(S$1,'SALA 2002'!$B$1:$U$1,0)),IF($A117&lt;=2000,1000*INDEX('SALA 2002'!$B:$U,MATCH($A117,'SALA 2002'!$A:$A,0),MATCH(S$1,'SALA 2002'!$B$1:$U$1,0))*POWER(INDEX('WPP 2024 середина года'!$B:$U,MATCH($A117,'WPP 2024 середина года'!$A:$A,0),MATCH(S$1,'WPP 2024 середина года'!$B$1:$U$1,0))/(1000*INDEX('SALA 2002'!$B:$U,MATCH($A117,'SALA 2002'!$A:$A,0),MATCH(S$1,'SALA 2002'!$B$1:$U$1,0))),($A117-1994)/7),INDEX('WPP 2024 середина года'!$B:$U,MATCH($A117,'WPP 2024 середина года'!$A:$A,0),MATCH(S$1,'WPP 2024 середина года'!$B$1:$U$1,0)))))</f>
        <v>30457.599999999999</v>
      </c>
      <c r="T117" s="7">
        <f>IF($A117&lt;=1951,INDEX('SALA 1974'!$B:$U,MATCH($A117,'SALA 1974'!$A:$A,0),MATCH(T$1,'SALA 1974'!$B$1:$U$1,0)),IF($A117&lt;=1994,1000*INDEX('SALA 2002'!$B:$U,MATCH($A117,'SALA 2002'!$A:$A,0),MATCH(T$1,'SALA 2002'!$B$1:$U$1,0)),IF($A117&lt;=2000,1000*INDEX('SALA 2002'!$B:$U,MATCH($A117,'SALA 2002'!$A:$A,0),MATCH(T$1,'SALA 2002'!$B$1:$U$1,0))*POWER(INDEX('WPP 2024 середина года'!$B:$U,MATCH($A117,'WPP 2024 середина года'!$A:$A,0),MATCH(T$1,'WPP 2024 середина года'!$B$1:$U$1,0))/(1000*INDEX('SALA 2002'!$B:$U,MATCH($A117,'SALA 2002'!$A:$A,0),MATCH(T$1,'SALA 2002'!$B$1:$U$1,0))),($A117-1994)/7),INDEX('WPP 2024 середина года'!$B:$U,MATCH($A117,'WPP 2024 середина года'!$A:$A,0),MATCH(T$1,'WPP 2024 середина года'!$B$1:$U$1,0)))))</f>
        <v>3368</v>
      </c>
      <c r="U117" s="7">
        <f>IF($A117&lt;=1951,INDEX('SALA 1974'!$B:$U,MATCH($A117,'SALA 1974'!$A:$A,0),MATCH(U$1,'SALA 1974'!$B$1:$U$1,0)),IF($A117&lt;=1994,1000*INDEX('SALA 2002'!$B:$U,MATCH($A117,'SALA 2002'!$A:$A,0),MATCH(U$1,'SALA 2002'!$B$1:$U$1,0)),IF($A117&lt;=2000,1000*INDEX('SALA 2002'!$B:$U,MATCH($A117,'SALA 2002'!$A:$A,0),MATCH(U$1,'SALA 2002'!$B$1:$U$1,0))*POWER(INDEX('WPP 2024 середина года'!$B:$U,MATCH($A117,'WPP 2024 середина года'!$A:$A,0),MATCH(U$1,'WPP 2024 середина года'!$B$1:$U$1,0))/(1000*INDEX('SALA 2002'!$B:$U,MATCH($A117,'SALA 2002'!$A:$A,0),MATCH(U$1,'SALA 2002'!$B$1:$U$1,0))),($A117-1994)/7),INDEX('WPP 2024 середина года'!$B:$U,MATCH($A117,'WPP 2024 середина года'!$A:$A,0),MATCH(U$1,'WPP 2024 середина года'!$B$1:$U$1,0)))))</f>
        <v>30574</v>
      </c>
    </row>
    <row r="118" spans="1:21" x14ac:dyDescent="0.25">
      <c r="A118" s="5">
        <f t="shared" si="1"/>
        <v>2016</v>
      </c>
      <c r="B118" s="7">
        <f>IF($A118&lt;=1951,INDEX('SALA 1974'!$B:$U,MATCH($A118,'SALA 1974'!$A:$A,0),MATCH(B$1,'SALA 1974'!$B$1:$U$1,0)),IF($A118&lt;=1994,1000*INDEX('SALA 2002'!$B:$U,MATCH($A118,'SALA 2002'!$A:$A,0),MATCH(B$1,'SALA 2002'!$B$1:$U$1,0)),IF($A118&lt;=2000,1000*INDEX('SALA 2002'!$B:$U,MATCH($A118,'SALA 2002'!$A:$A,0),MATCH(B$1,'SALA 2002'!$B$1:$U$1,0))*POWER(INDEX('WPP 2024 середина года'!$B:$U,MATCH($A118,'WPP 2024 середина года'!$A:$A,0),MATCH(B$1,'WPP 2024 середина года'!$B$1:$U$1,0))/(1000*INDEX('SALA 2002'!$B:$U,MATCH($A118,'SALA 2002'!$A:$A,0),MATCH(B$1,'SALA 2002'!$B$1:$U$1,0))),($A118-1994)/7),INDEX('WPP 2024 середина года'!$B:$U,MATCH($A118,'WPP 2024 середина года'!$A:$A,0),MATCH(B$1,'WPP 2024 середина года'!$B$1:$U$1,0)))))</f>
        <v>43900.3</v>
      </c>
      <c r="C118" s="7">
        <f>IF($A118&lt;=1951,INDEX('SALA 1974'!$B:$U,MATCH($A118,'SALA 1974'!$A:$A,0),MATCH(C$1,'SALA 1974'!$B$1:$U$1,0)),IF($A118&lt;=1994,1000*INDEX('SALA 2002'!$B:$U,MATCH($A118,'SALA 2002'!$A:$A,0),MATCH(C$1,'SALA 2002'!$B$1:$U$1,0)),IF($A118&lt;=2000,1000*INDEX('SALA 2002'!$B:$U,MATCH($A118,'SALA 2002'!$A:$A,0),MATCH(C$1,'SALA 2002'!$B$1:$U$1,0))*POWER(INDEX('WPP 2024 середина года'!$B:$U,MATCH($A118,'WPP 2024 середина года'!$A:$A,0),MATCH(C$1,'WPP 2024 середина года'!$B$1:$U$1,0))/(1000*INDEX('SALA 2002'!$B:$U,MATCH($A118,'SALA 2002'!$A:$A,0),MATCH(C$1,'SALA 2002'!$B$1:$U$1,0))),($A118-1994)/7),INDEX('WPP 2024 середина года'!$B:$U,MATCH($A118,'WPP 2024 середина года'!$A:$A,0),MATCH(C$1,'WPP 2024 середина года'!$B$1:$U$1,0)))))</f>
        <v>11180</v>
      </c>
      <c r="D118" s="7">
        <f>IF($A118&lt;=1951,INDEX('SALA 1974'!$B:$U,MATCH($A118,'SALA 1974'!$A:$A,0),MATCH(D$1,'SALA 1974'!$B$1:$U$1,0)),IF($A118&lt;=1994,1000*INDEX('SALA 2002'!$B:$U,MATCH($A118,'SALA 2002'!$A:$A,0),MATCH(D$1,'SALA 2002'!$B$1:$U$1,0)),IF($A118&lt;=2000,1000*INDEX('SALA 2002'!$B:$U,MATCH($A118,'SALA 2002'!$A:$A,0),MATCH(D$1,'SALA 2002'!$B$1:$U$1,0))*POWER(INDEX('WPP 2024 середина года'!$B:$U,MATCH($A118,'WPP 2024 середина года'!$A:$A,0),MATCH(D$1,'WPP 2024 середина года'!$B$1:$U$1,0))/(1000*INDEX('SALA 2002'!$B:$U,MATCH($A118,'SALA 2002'!$A:$A,0),MATCH(D$1,'SALA 2002'!$B$1:$U$1,0))),($A118-1994)/7),INDEX('WPP 2024 середина года'!$B:$U,MATCH($A118,'WPP 2024 середина года'!$A:$A,0),MATCH(D$1,'WPP 2024 середина года'!$B$1:$U$1,0)))))</f>
        <v>203218.1</v>
      </c>
      <c r="E118" s="7">
        <f>IF($A118&lt;=1951,INDEX('SALA 1974'!$B:$U,MATCH($A118,'SALA 1974'!$A:$A,0),MATCH(E$1,'SALA 1974'!$B$1:$U$1,0)),IF($A118&lt;=1994,1000*INDEX('SALA 2002'!$B:$U,MATCH($A118,'SALA 2002'!$A:$A,0),MATCH(E$1,'SALA 2002'!$B$1:$U$1,0)),IF($A118&lt;=2000,1000*INDEX('SALA 2002'!$B:$U,MATCH($A118,'SALA 2002'!$A:$A,0),MATCH(E$1,'SALA 2002'!$B$1:$U$1,0))*POWER(INDEX('WPP 2024 середина года'!$B:$U,MATCH($A118,'WPP 2024 середина года'!$A:$A,0),MATCH(E$1,'WPP 2024 середина года'!$B$1:$U$1,0))/(1000*INDEX('SALA 2002'!$B:$U,MATCH($A118,'SALA 2002'!$A:$A,0),MATCH(E$1,'SALA 2002'!$B$1:$U$1,0))),($A118-1994)/7),INDEX('WPP 2024 середина года'!$B:$U,MATCH($A118,'WPP 2024 середина года'!$A:$A,0),MATCH(E$1,'WPP 2024 середина года'!$B$1:$U$1,0)))))</f>
        <v>18267.2</v>
      </c>
      <c r="F118" s="7">
        <f>IF($A118&lt;=1947,INDEX('SALA 1974'!$B:$U,MATCH($A118,'SALA 1974'!$A:$A,0),MATCH(F$1,'SALA 1974'!$B$1:$U$1,0)),IF($A118&lt;=1994,1000*INDEX('SALA 2002'!$B:$U,MATCH($A118,'SALA 2002'!$A:$A,0),MATCH(F$1,'SALA 2002'!$B$1:$U$1,0)),IF($A118&lt;=2000,1000*INDEX('SALA 2002'!$B:$U,MATCH($A118,'SALA 2002'!$A:$A,0),MATCH(F$1,'SALA 2002'!$B$1:$U$1,0))*POWER(INDEX('WPP 2024 середина года'!$B:$U,MATCH($A118,'WPP 2024 середина года'!$A:$A,0),MATCH(F$1,'WPP 2024 середина года'!$B$1:$U$1,0))/(1000*INDEX('SALA 2002'!$B:$U,MATCH($A118,'SALA 2002'!$A:$A,0),MATCH(F$1,'SALA 2002'!$B$1:$U$1,0))),($A118-1994)/7),INDEX('WPP 2024 середина года'!$B:$U,MATCH($A118,'WPP 2024 середина года'!$A:$A,0),MATCH(F$1,'WPP 2024 середина года'!$B$1:$U$1,0)))))</f>
        <v>47437.5</v>
      </c>
      <c r="G118" s="7">
        <f>IF($A118&lt;=1951,INDEX('SALA 1974'!$B:$U,MATCH($A118,'SALA 1974'!$A:$A,0),MATCH(G$1,'SALA 1974'!$B$1:$U$1,0)),IF($A118&lt;=1994,1000*INDEX('SALA 2002'!$B:$U,MATCH($A118,'SALA 2002'!$A:$A,0),MATCH(G$1,'SALA 2002'!$B$1:$U$1,0)),IF($A118&lt;=2000,1000*INDEX('SALA 2002'!$B:$U,MATCH($A118,'SALA 2002'!$A:$A,0),MATCH(G$1,'SALA 2002'!$B$1:$U$1,0))*POWER(INDEX('WPP 2024 середина года'!$B:$U,MATCH($A118,'WPP 2024 середина года'!$A:$A,0),MATCH(G$1,'WPP 2024 середина года'!$B$1:$U$1,0))/(1000*INDEX('SALA 2002'!$B:$U,MATCH($A118,'SALA 2002'!$A:$A,0),MATCH(G$1,'SALA 2002'!$B$1:$U$1,0))),($A118-1994)/7),INDEX('WPP 2024 середина года'!$B:$U,MATCH($A118,'WPP 2024 середина года'!$A:$A,0),MATCH(G$1,'WPP 2024 середина года'!$B$1:$U$1,0)))))</f>
        <v>4867</v>
      </c>
      <c r="H118" s="7">
        <f>IF($A118&lt;=1951,INDEX('SALA 1974'!$B:$U,MATCH($A118,'SALA 1974'!$A:$A,0),MATCH(H$1,'SALA 1974'!$B$1:$U$1,0)),IF($A118&lt;=1994,1000*INDEX('SALA 2002'!$B:$U,MATCH($A118,'SALA 2002'!$A:$A,0),MATCH(H$1,'SALA 2002'!$B$1:$U$1,0)),IF($A118&lt;=2000,1000*INDEX('SALA 2002'!$B:$U,MATCH($A118,'SALA 2002'!$A:$A,0),MATCH(H$1,'SALA 2002'!$B$1:$U$1,0))*POWER(INDEX('WPP 2024 середина года'!$B:$U,MATCH($A118,'WPP 2024 середина года'!$A:$A,0),MATCH(H$1,'WPP 2024 середина года'!$B$1:$U$1,0))/(1000*INDEX('SALA 2002'!$B:$U,MATCH($A118,'SALA 2002'!$A:$A,0),MATCH(H$1,'SALA 2002'!$B$1:$U$1,0))),($A118-1994)/7),INDEX('WPP 2024 середина года'!$B:$U,MATCH($A118,'WPP 2024 середина года'!$A:$A,0),MATCH(H$1,'WPP 2024 середина года'!$B$1:$U$1,0)))))</f>
        <v>11265.6</v>
      </c>
      <c r="I118" s="7">
        <f>IF($A118&lt;=1951,INDEX('SALA 1974'!$B:$U,MATCH($A118,'SALA 1974'!$A:$A,0),MATCH(I$1,'SALA 1974'!$B$1:$U$1,0)),IF($A118&lt;=1994,1000*INDEX('SALA 2002'!$B:$U,MATCH($A118,'SALA 2002'!$A:$A,0),MATCH(I$1,'SALA 2002'!$B$1:$U$1,0)),IF($A118&lt;=2000,1000*INDEX('SALA 2002'!$B:$U,MATCH($A118,'SALA 2002'!$A:$A,0),MATCH(I$1,'SALA 2002'!$B$1:$U$1,0))*POWER(INDEX('WPP 2024 середина года'!$B:$U,MATCH($A118,'WPP 2024 середина года'!$A:$A,0),MATCH(I$1,'WPP 2024 середина года'!$B$1:$U$1,0))/(1000*INDEX('SALA 2002'!$B:$U,MATCH($A118,'SALA 2002'!$A:$A,0),MATCH(I$1,'SALA 2002'!$B$1:$U$1,0))),($A118-1994)/7),INDEX('WPP 2024 середина года'!$B:$U,MATCH($A118,'WPP 2024 середина года'!$A:$A,0),MATCH(I$1,'WPP 2024 середина года'!$B$1:$U$1,0)))))</f>
        <v>10551.4</v>
      </c>
      <c r="J118" s="7">
        <f>IF($A118&lt;=1951,INDEX('SALA 1974'!$B:$U,MATCH($A118,'SALA 1974'!$A:$A,0),MATCH(J$1,'SALA 1974'!$B$1:$U$1,0)),IF($A118&lt;=1994,1000*INDEX('SALA 2002'!$B:$U,MATCH($A118,'SALA 2002'!$A:$A,0),MATCH(J$1,'SALA 2002'!$B$1:$U$1,0)),IF($A118&lt;=2000,1000*INDEX('SALA 2002'!$B:$U,MATCH($A118,'SALA 2002'!$A:$A,0),MATCH(J$1,'SALA 2002'!$B$1:$U$1,0))*POWER(INDEX('WPP 2024 середина года'!$B:$U,MATCH($A118,'WPP 2024 середина года'!$A:$A,0),MATCH(J$1,'WPP 2024 середина года'!$B$1:$U$1,0))/(1000*INDEX('SALA 2002'!$B:$U,MATCH($A118,'SALA 2002'!$A:$A,0),MATCH(J$1,'SALA 2002'!$B$1:$U$1,0))),($A118-1994)/7),INDEX('WPP 2024 середина года'!$B:$U,MATCH($A118,'WPP 2024 середина года'!$A:$A,0),MATCH(J$1,'WPP 2024 середина года'!$B$1:$U$1,0)))))</f>
        <v>16505.099999999999</v>
      </c>
      <c r="K118" s="7">
        <f>IF($A118&lt;=1951,INDEX('SALA 1974'!$B:$U,MATCH($A118,'SALA 1974'!$A:$A,0),MATCH(K$1,'SALA 1974'!$B$1:$U$1,0)),IF($A118&lt;=1994,1000*INDEX('SALA 2002'!$B:$U,MATCH($A118,'SALA 2002'!$A:$A,0),MATCH(K$1,'SALA 2002'!$B$1:$U$1,0)),IF($A118&lt;=2000,1000*INDEX('SALA 2002'!$B:$U,MATCH($A118,'SALA 2002'!$A:$A,0),MATCH(K$1,'SALA 2002'!$B$1:$U$1,0))*POWER(INDEX('WPP 2024 середина года'!$B:$U,MATCH($A118,'WPP 2024 середина года'!$A:$A,0),MATCH(K$1,'WPP 2024 середина года'!$B$1:$U$1,0))/(1000*INDEX('SALA 2002'!$B:$U,MATCH($A118,'SALA 2002'!$A:$A,0),MATCH(K$1,'SALA 2002'!$B$1:$U$1,0))),($A118-1994)/7),INDEX('WPP 2024 середина года'!$B:$U,MATCH($A118,'WPP 2024 середина года'!$A:$A,0),MATCH(K$1,'WPP 2024 середина года'!$B$1:$U$1,0)))))</f>
        <v>6200.8</v>
      </c>
      <c r="L118" s="7">
        <f>IF($A118&lt;=1951,INDEX('SALA 1974'!$B:$U,MATCH($A118,'SALA 1974'!$A:$A,0),MATCH(L$1,'SALA 1974'!$B$1:$U$1,0)),IF($A118&lt;=1994,1000*INDEX('SALA 2002'!$B:$U,MATCH($A118,'SALA 2002'!$A:$A,0),MATCH(L$1,'SALA 2002'!$B$1:$U$1,0)),IF($A118&lt;=2000,1000*INDEX('SALA 2002'!$B:$U,MATCH($A118,'SALA 2002'!$A:$A,0),MATCH(L$1,'SALA 2002'!$B$1:$U$1,0))*POWER(INDEX('WPP 2024 середина года'!$B:$U,MATCH($A118,'WPP 2024 середина года'!$A:$A,0),MATCH(L$1,'WPP 2024 середина года'!$B$1:$U$1,0))/(1000*INDEX('SALA 2002'!$B:$U,MATCH($A118,'SALA 2002'!$A:$A,0),MATCH(L$1,'SALA 2002'!$B$1:$U$1,0))),($A118-1994)/7),INDEX('WPP 2024 середина года'!$B:$U,MATCH($A118,'WPP 2024 середина года'!$A:$A,0),MATCH(L$1,'WPP 2024 середина года'!$B$1:$U$1,0)))))</f>
        <v>16268.8</v>
      </c>
      <c r="M118" s="7">
        <f>IF($A118&lt;=1951,INDEX('SALA 1974'!$B:$U,MATCH($A118,'SALA 1974'!$A:$A,0),MATCH(M$1,'SALA 1974'!$B$1:$U$1,0)),IF($A118&lt;=1994,1000*INDEX('SALA 2002'!$B:$U,MATCH($A118,'SALA 2002'!$A:$A,0),MATCH(M$1,'SALA 2002'!$B$1:$U$1,0)),IF($A118&lt;=2000,1000*INDEX('SALA 2002'!$B:$U,MATCH($A118,'SALA 2002'!$A:$A,0),MATCH(M$1,'SALA 2002'!$B$1:$U$1,0))*POWER(INDEX('WPP 2024 середина года'!$B:$U,MATCH($A118,'WPP 2024 середина года'!$A:$A,0),MATCH(M$1,'WPP 2024 середина года'!$B$1:$U$1,0))/(1000*INDEX('SALA 2002'!$B:$U,MATCH($A118,'SALA 2002'!$A:$A,0),MATCH(M$1,'SALA 2002'!$B$1:$U$1,0))),($A118-1994)/7),INDEX('WPP 2024 середина года'!$B:$U,MATCH($A118,'WPP 2024 середина года'!$A:$A,0),MATCH(M$1,'WPP 2024 середина года'!$B$1:$U$1,0)))))</f>
        <v>10671.5</v>
      </c>
      <c r="N118" s="7">
        <f>IF($A118&lt;=1951,INDEX('SALA 1974'!$B:$U,MATCH($A118,'SALA 1974'!$A:$A,0),MATCH(N$1,'SALA 1974'!$B$1:$U$1,0)),IF($A118&lt;=1994,1000*INDEX('SALA 2002'!$B:$U,MATCH($A118,'SALA 2002'!$A:$A,0),MATCH(N$1,'SALA 2002'!$B$1:$U$1,0)),IF($A118&lt;=2000,1000*INDEX('SALA 2002'!$B:$U,MATCH($A118,'SALA 2002'!$A:$A,0),MATCH(N$1,'SALA 2002'!$B$1:$U$1,0))*POWER(INDEX('WPP 2024 середина года'!$B:$U,MATCH($A118,'WPP 2024 середина года'!$A:$A,0),MATCH(N$1,'WPP 2024 середина года'!$B$1:$U$1,0))/(1000*INDEX('SALA 2002'!$B:$U,MATCH($A118,'SALA 2002'!$A:$A,0),MATCH(N$1,'SALA 2002'!$B$1:$U$1,0))),($A118-1994)/7),INDEX('WPP 2024 середина года'!$B:$U,MATCH($A118,'WPP 2024 середина года'!$A:$A,0),MATCH(N$1,'WPP 2024 середина года'!$B$1:$U$1,0)))))</f>
        <v>9412.4</v>
      </c>
      <c r="O118" s="7">
        <f>IF($A118&lt;=1951,INDEX('SALA 1974'!$B:$U,MATCH($A118,'SALA 1974'!$A:$A,0),MATCH(O$1,'SALA 1974'!$B$1:$U$1,0)),IF($A118&lt;=1994,1000*INDEX('SALA 2002'!$B:$U,MATCH($A118,'SALA 2002'!$A:$A,0),MATCH(O$1,'SALA 2002'!$B$1:$U$1,0)),IF($A118&lt;=2000,1000*INDEX('SALA 2002'!$B:$U,MATCH($A118,'SALA 2002'!$A:$A,0),MATCH(O$1,'SALA 2002'!$B$1:$U$1,0))*POWER(INDEX('WPP 2024 середина года'!$B:$U,MATCH($A118,'WPP 2024 середина года'!$A:$A,0),MATCH(O$1,'WPP 2024 середина года'!$B$1:$U$1,0))/(1000*INDEX('SALA 2002'!$B:$U,MATCH($A118,'SALA 2002'!$A:$A,0),MATCH(O$1,'SALA 2002'!$B$1:$U$1,0))),($A118-1994)/7),INDEX('WPP 2024 середина года'!$B:$U,MATCH($A118,'WPP 2024 середина года'!$A:$A,0),MATCH(O$1,'WPP 2024 середина года'!$B$1:$U$1,0)))))</f>
        <v>122251.4</v>
      </c>
      <c r="P118" s="7">
        <f>IF($A118&lt;=1951,INDEX('SALA 1974'!$B:$U,MATCH($A118,'SALA 1974'!$A:$A,0),MATCH(P$1,'SALA 1974'!$B$1:$U$1,0)),IF($A118&lt;=1994,1000*INDEX('SALA 2002'!$B:$U,MATCH($A118,'SALA 2002'!$A:$A,0),MATCH(P$1,'SALA 2002'!$B$1:$U$1,0)),IF($A118&lt;=2000,1000*INDEX('SALA 2002'!$B:$U,MATCH($A118,'SALA 2002'!$A:$A,0),MATCH(P$1,'SALA 2002'!$B$1:$U$1,0))*POWER(INDEX('WPP 2024 середина года'!$B:$U,MATCH($A118,'WPP 2024 середина года'!$A:$A,0),MATCH(P$1,'WPP 2024 середина года'!$B$1:$U$1,0))/(1000*INDEX('SALA 2002'!$B:$U,MATCH($A118,'SALA 2002'!$A:$A,0),MATCH(P$1,'SALA 2002'!$B$1:$U$1,0))),($A118-1994)/7),INDEX('WPP 2024 середина года'!$B:$U,MATCH($A118,'WPP 2024 середина года'!$A:$A,0),MATCH(P$1,'WPP 2024 середина года'!$B$1:$U$1,0)))))</f>
        <v>6232.7</v>
      </c>
      <c r="Q118" s="7">
        <f>IF($A118&lt;=1951,INDEX('SALA 1974'!$B:$U,MATCH($A118,'SALA 1974'!$A:$A,0),MATCH(Q$1,'SALA 1974'!$B$1:$U$1,0)),IF($A118&lt;=1994,1000*INDEX('SALA 2002'!$B:$U,MATCH($A118,'SALA 2002'!$A:$A,0),MATCH(Q$1,'SALA 2002'!$B$1:$U$1,0)),IF($A118&lt;=2000,1000*INDEX('SALA 2002'!$B:$U,MATCH($A118,'SALA 2002'!$A:$A,0),MATCH(Q$1,'SALA 2002'!$B$1:$U$1,0))*POWER(INDEX('WPP 2024 середина года'!$B:$U,MATCH($A118,'WPP 2024 середина года'!$A:$A,0),MATCH(Q$1,'WPP 2024 середина года'!$B$1:$U$1,0))/(1000*INDEX('SALA 2002'!$B:$U,MATCH($A118,'SALA 2002'!$A:$A,0),MATCH(Q$1,'SALA 2002'!$B$1:$U$1,0))),($A118-1994)/7),INDEX('WPP 2024 середина года'!$B:$U,MATCH($A118,'WPP 2024 середина года'!$A:$A,0),MATCH(Q$1,'WPP 2024 середина года'!$B$1:$U$1,0)))))</f>
        <v>4029.1</v>
      </c>
      <c r="R118" s="7">
        <f>IF($A118&lt;=1951,INDEX('SALA 1974'!$B:$U,MATCH($A118,'SALA 1974'!$A:$A,0),MATCH(R$1,'SALA 1974'!$B$1:$U$1,0)),IF($A118&lt;=1994,1000*INDEX('SALA 2002'!$B:$U,MATCH($A118,'SALA 2002'!$A:$A,0),MATCH(R$1,'SALA 2002'!$B$1:$U$1,0)),IF($A118&lt;=2000,1000*INDEX('SALA 2002'!$B:$U,MATCH($A118,'SALA 2002'!$A:$A,0),MATCH(R$1,'SALA 2002'!$B$1:$U$1,0))*POWER(INDEX('WPP 2024 середина года'!$B:$U,MATCH($A118,'WPP 2024 середина года'!$A:$A,0),MATCH(R$1,'WPP 2024 середина года'!$B$1:$U$1,0))/(1000*INDEX('SALA 2002'!$B:$U,MATCH($A118,'SALA 2002'!$A:$A,0),MATCH(R$1,'SALA 2002'!$B$1:$U$1,0))),($A118-1994)/7),INDEX('WPP 2024 середина года'!$B:$U,MATCH($A118,'WPP 2024 середина года'!$A:$A,0),MATCH(R$1,'WPP 2024 середина года'!$B$1:$U$1,0)))))</f>
        <v>6249.1</v>
      </c>
      <c r="S118" s="7">
        <f>IF($A118&lt;=1951,INDEX('SALA 1974'!$B:$U,MATCH($A118,'SALA 1974'!$A:$A,0),MATCH(S$1,'SALA 1974'!$B$1:$U$1,0)),IF($A118&lt;=1994,1000*INDEX('SALA 2002'!$B:$U,MATCH($A118,'SALA 2002'!$A:$A,0),MATCH(S$1,'SALA 2002'!$B$1:$U$1,0)),IF($A118&lt;=2000,1000*INDEX('SALA 2002'!$B:$U,MATCH($A118,'SALA 2002'!$A:$A,0),MATCH(S$1,'SALA 2002'!$B$1:$U$1,0))*POWER(INDEX('WPP 2024 середина года'!$B:$U,MATCH($A118,'WPP 2024 середина года'!$A:$A,0),MATCH(S$1,'WPP 2024 середина года'!$B$1:$U$1,0))/(1000*INDEX('SALA 2002'!$B:$U,MATCH($A118,'SALA 2002'!$A:$A,0),MATCH(S$1,'SALA 2002'!$B$1:$U$1,0))),($A118-1994)/7),INDEX('WPP 2024 середина года'!$B:$U,MATCH($A118,'WPP 2024 середина года'!$A:$A,0),MATCH(S$1,'WPP 2024 середина года'!$B$1:$U$1,0)))))</f>
        <v>30866.5</v>
      </c>
      <c r="T118" s="7">
        <f>IF($A118&lt;=1951,INDEX('SALA 1974'!$B:$U,MATCH($A118,'SALA 1974'!$A:$A,0),MATCH(T$1,'SALA 1974'!$B$1:$U$1,0)),IF($A118&lt;=1994,1000*INDEX('SALA 2002'!$B:$U,MATCH($A118,'SALA 2002'!$A:$A,0),MATCH(T$1,'SALA 2002'!$B$1:$U$1,0)),IF($A118&lt;=2000,1000*INDEX('SALA 2002'!$B:$U,MATCH($A118,'SALA 2002'!$A:$A,0),MATCH(T$1,'SALA 2002'!$B$1:$U$1,0))*POWER(INDEX('WPP 2024 середина года'!$B:$U,MATCH($A118,'WPP 2024 середина года'!$A:$A,0),MATCH(T$1,'WPP 2024 середина года'!$B$1:$U$1,0))/(1000*INDEX('SALA 2002'!$B:$U,MATCH($A118,'SALA 2002'!$A:$A,0),MATCH(T$1,'SALA 2002'!$B$1:$U$1,0))),($A118-1994)/7),INDEX('WPP 2024 середина года'!$B:$U,MATCH($A118,'WPP 2024 середина года'!$A:$A,0),MATCH(T$1,'WPP 2024 середина года'!$B$1:$U$1,0)))))</f>
        <v>3379.3</v>
      </c>
      <c r="U118" s="7">
        <f>IF($A118&lt;=1951,INDEX('SALA 1974'!$B:$U,MATCH($A118,'SALA 1974'!$A:$A,0),MATCH(U$1,'SALA 1974'!$B$1:$U$1,0)),IF($A118&lt;=1994,1000*INDEX('SALA 2002'!$B:$U,MATCH($A118,'SALA 2002'!$A:$A,0),MATCH(U$1,'SALA 2002'!$B$1:$U$1,0)),IF($A118&lt;=2000,1000*INDEX('SALA 2002'!$B:$U,MATCH($A118,'SALA 2002'!$A:$A,0),MATCH(U$1,'SALA 2002'!$B$1:$U$1,0))*POWER(INDEX('WPP 2024 середина года'!$B:$U,MATCH($A118,'WPP 2024 середина года'!$A:$A,0),MATCH(U$1,'WPP 2024 середина года'!$B$1:$U$1,0))/(1000*INDEX('SALA 2002'!$B:$U,MATCH($A118,'SALA 2002'!$A:$A,0),MATCH(U$1,'SALA 2002'!$B$1:$U$1,0))),($A118-1994)/7),INDEX('WPP 2024 середина года'!$B:$U,MATCH($A118,'WPP 2024 середина года'!$A:$A,0),MATCH(U$1,'WPP 2024 середина года'!$B$1:$U$1,0)))))</f>
        <v>30765.7</v>
      </c>
    </row>
    <row r="119" spans="1:21" x14ac:dyDescent="0.25">
      <c r="A119" s="5">
        <f t="shared" si="1"/>
        <v>2017</v>
      </c>
      <c r="B119" s="7">
        <f>IF($A119&lt;=1951,INDEX('SALA 1974'!$B:$U,MATCH($A119,'SALA 1974'!$A:$A,0),MATCH(B$1,'SALA 1974'!$B$1:$U$1,0)),IF($A119&lt;=1994,1000*INDEX('SALA 2002'!$B:$U,MATCH($A119,'SALA 2002'!$A:$A,0),MATCH(B$1,'SALA 2002'!$B$1:$U$1,0)),IF($A119&lt;=2000,1000*INDEX('SALA 2002'!$B:$U,MATCH($A119,'SALA 2002'!$A:$A,0),MATCH(B$1,'SALA 2002'!$B$1:$U$1,0))*POWER(INDEX('WPP 2024 середина года'!$B:$U,MATCH($A119,'WPP 2024 середина года'!$A:$A,0),MATCH(B$1,'WPP 2024 середина года'!$B$1:$U$1,0))/(1000*INDEX('SALA 2002'!$B:$U,MATCH($A119,'SALA 2002'!$A:$A,0),MATCH(B$1,'SALA 2002'!$B$1:$U$1,0))),($A119-1994)/7),INDEX('WPP 2024 середина года'!$B:$U,MATCH($A119,'WPP 2024 середина года'!$A:$A,0),MATCH(B$1,'WPP 2024 середина года'!$B$1:$U$1,0)))))</f>
        <v>44288.9</v>
      </c>
      <c r="C119" s="7">
        <f>IF($A119&lt;=1951,INDEX('SALA 1974'!$B:$U,MATCH($A119,'SALA 1974'!$A:$A,0),MATCH(C$1,'SALA 1974'!$B$1:$U$1,0)),IF($A119&lt;=1994,1000*INDEX('SALA 2002'!$B:$U,MATCH($A119,'SALA 2002'!$A:$A,0),MATCH(C$1,'SALA 2002'!$B$1:$U$1,0)),IF($A119&lt;=2000,1000*INDEX('SALA 2002'!$B:$U,MATCH($A119,'SALA 2002'!$A:$A,0),MATCH(C$1,'SALA 2002'!$B$1:$U$1,0))*POWER(INDEX('WPP 2024 середина года'!$B:$U,MATCH($A119,'WPP 2024 середина года'!$A:$A,0),MATCH(C$1,'WPP 2024 середина года'!$B$1:$U$1,0))/(1000*INDEX('SALA 2002'!$B:$U,MATCH($A119,'SALA 2002'!$A:$A,0),MATCH(C$1,'SALA 2002'!$B$1:$U$1,0))),($A119-1994)/7),INDEX('WPP 2024 середина года'!$B:$U,MATCH($A119,'WPP 2024 середина года'!$A:$A,0),MATCH(C$1,'WPP 2024 середина года'!$B$1:$U$1,0)))))</f>
        <v>11344.6</v>
      </c>
      <c r="D119" s="7">
        <f>IF($A119&lt;=1951,INDEX('SALA 1974'!$B:$U,MATCH($A119,'SALA 1974'!$A:$A,0),MATCH(D$1,'SALA 1974'!$B$1:$U$1,0)),IF($A119&lt;=1994,1000*INDEX('SALA 2002'!$B:$U,MATCH($A119,'SALA 2002'!$A:$A,0),MATCH(D$1,'SALA 2002'!$B$1:$U$1,0)),IF($A119&lt;=2000,1000*INDEX('SALA 2002'!$B:$U,MATCH($A119,'SALA 2002'!$A:$A,0),MATCH(D$1,'SALA 2002'!$B$1:$U$1,0))*POWER(INDEX('WPP 2024 середина года'!$B:$U,MATCH($A119,'WPP 2024 середина года'!$A:$A,0),MATCH(D$1,'WPP 2024 середина года'!$B$1:$U$1,0))/(1000*INDEX('SALA 2002'!$B:$U,MATCH($A119,'SALA 2002'!$A:$A,0),MATCH(D$1,'SALA 2002'!$B$1:$U$1,0))),($A119-1994)/7),INDEX('WPP 2024 середина года'!$B:$U,MATCH($A119,'WPP 2024 середина года'!$A:$A,0),MATCH(D$1,'WPP 2024 середина года'!$B$1:$U$1,0)))))</f>
        <v>204703.4</v>
      </c>
      <c r="E119" s="7">
        <f>IF($A119&lt;=1951,INDEX('SALA 1974'!$B:$U,MATCH($A119,'SALA 1974'!$A:$A,0),MATCH(E$1,'SALA 1974'!$B$1:$U$1,0)),IF($A119&lt;=1994,1000*INDEX('SALA 2002'!$B:$U,MATCH($A119,'SALA 2002'!$A:$A,0),MATCH(E$1,'SALA 2002'!$B$1:$U$1,0)),IF($A119&lt;=2000,1000*INDEX('SALA 2002'!$B:$U,MATCH($A119,'SALA 2002'!$A:$A,0),MATCH(E$1,'SALA 2002'!$B$1:$U$1,0))*POWER(INDEX('WPP 2024 середина года'!$B:$U,MATCH($A119,'WPP 2024 середина года'!$A:$A,0),MATCH(E$1,'WPP 2024 середина года'!$B$1:$U$1,0))/(1000*INDEX('SALA 2002'!$B:$U,MATCH($A119,'SALA 2002'!$A:$A,0),MATCH(E$1,'SALA 2002'!$B$1:$U$1,0))),($A119-1994)/7),INDEX('WPP 2024 середина года'!$B:$U,MATCH($A119,'WPP 2024 середина года'!$A:$A,0),MATCH(E$1,'WPP 2024 середина года'!$B$1:$U$1,0)))))</f>
        <v>18558.900000000001</v>
      </c>
      <c r="F119" s="7">
        <f>IF($A119&lt;=1947,INDEX('SALA 1974'!$B:$U,MATCH($A119,'SALA 1974'!$A:$A,0),MATCH(F$1,'SALA 1974'!$B$1:$U$1,0)),IF($A119&lt;=1994,1000*INDEX('SALA 2002'!$B:$U,MATCH($A119,'SALA 2002'!$A:$A,0),MATCH(F$1,'SALA 2002'!$B$1:$U$1,0)),IF($A119&lt;=2000,1000*INDEX('SALA 2002'!$B:$U,MATCH($A119,'SALA 2002'!$A:$A,0),MATCH(F$1,'SALA 2002'!$B$1:$U$1,0))*POWER(INDEX('WPP 2024 середина года'!$B:$U,MATCH($A119,'WPP 2024 середина года'!$A:$A,0),MATCH(F$1,'WPP 2024 середина года'!$B$1:$U$1,0))/(1000*INDEX('SALA 2002'!$B:$U,MATCH($A119,'SALA 2002'!$A:$A,0),MATCH(F$1,'SALA 2002'!$B$1:$U$1,0))),($A119-1994)/7),INDEX('WPP 2024 середина года'!$B:$U,MATCH($A119,'WPP 2024 середина года'!$A:$A,0),MATCH(F$1,'WPP 2024 середина года'!$B$1:$U$1,0)))))</f>
        <v>48131.1</v>
      </c>
      <c r="G119" s="7">
        <f>IF($A119&lt;=1951,INDEX('SALA 1974'!$B:$U,MATCH($A119,'SALA 1974'!$A:$A,0),MATCH(G$1,'SALA 1974'!$B$1:$U$1,0)),IF($A119&lt;=1994,1000*INDEX('SALA 2002'!$B:$U,MATCH($A119,'SALA 2002'!$A:$A,0),MATCH(G$1,'SALA 2002'!$B$1:$U$1,0)),IF($A119&lt;=2000,1000*INDEX('SALA 2002'!$B:$U,MATCH($A119,'SALA 2002'!$A:$A,0),MATCH(G$1,'SALA 2002'!$B$1:$U$1,0))*POWER(INDEX('WPP 2024 середина года'!$B:$U,MATCH($A119,'WPP 2024 середина года'!$A:$A,0),MATCH(G$1,'WPP 2024 середина года'!$B$1:$U$1,0))/(1000*INDEX('SALA 2002'!$B:$U,MATCH($A119,'SALA 2002'!$A:$A,0),MATCH(G$1,'SALA 2002'!$B$1:$U$1,0))),($A119-1994)/7),INDEX('WPP 2024 середина года'!$B:$U,MATCH($A119,'WPP 2024 середина года'!$A:$A,0),MATCH(G$1,'WPP 2024 середина года'!$B$1:$U$1,0)))))</f>
        <v>4913.2</v>
      </c>
      <c r="H119" s="7">
        <f>IF($A119&lt;=1951,INDEX('SALA 1974'!$B:$U,MATCH($A119,'SALA 1974'!$A:$A,0),MATCH(H$1,'SALA 1974'!$B$1:$U$1,0)),IF($A119&lt;=1994,1000*INDEX('SALA 2002'!$B:$U,MATCH($A119,'SALA 2002'!$A:$A,0),MATCH(H$1,'SALA 2002'!$B$1:$U$1,0)),IF($A119&lt;=2000,1000*INDEX('SALA 2002'!$B:$U,MATCH($A119,'SALA 2002'!$A:$A,0),MATCH(H$1,'SALA 2002'!$B$1:$U$1,0))*POWER(INDEX('WPP 2024 середина года'!$B:$U,MATCH($A119,'WPP 2024 середина года'!$A:$A,0),MATCH(H$1,'WPP 2024 середина года'!$B$1:$U$1,0))/(1000*INDEX('SALA 2002'!$B:$U,MATCH($A119,'SALA 2002'!$A:$A,0),MATCH(H$1,'SALA 2002'!$B$1:$U$1,0))),($A119-1994)/7),INDEX('WPP 2024 середина года'!$B:$U,MATCH($A119,'WPP 2024 середина года'!$A:$A,0),MATCH(H$1,'WPP 2024 середина года'!$B$1:$U$1,0)))))</f>
        <v>11247.8</v>
      </c>
      <c r="I119" s="7">
        <f>IF($A119&lt;=1951,INDEX('SALA 1974'!$B:$U,MATCH($A119,'SALA 1974'!$A:$A,0),MATCH(I$1,'SALA 1974'!$B$1:$U$1,0)),IF($A119&lt;=1994,1000*INDEX('SALA 2002'!$B:$U,MATCH($A119,'SALA 2002'!$A:$A,0),MATCH(I$1,'SALA 2002'!$B$1:$U$1,0)),IF($A119&lt;=2000,1000*INDEX('SALA 2002'!$B:$U,MATCH($A119,'SALA 2002'!$A:$A,0),MATCH(I$1,'SALA 2002'!$B$1:$U$1,0))*POWER(INDEX('WPP 2024 середина года'!$B:$U,MATCH($A119,'WPP 2024 середина года'!$A:$A,0),MATCH(I$1,'WPP 2024 середина года'!$B$1:$U$1,0))/(1000*INDEX('SALA 2002'!$B:$U,MATCH($A119,'SALA 2002'!$A:$A,0),MATCH(I$1,'SALA 2002'!$B$1:$U$1,0))),($A119-1994)/7),INDEX('WPP 2024 середина года'!$B:$U,MATCH($A119,'WPP 2024 середина года'!$A:$A,0),MATCH(I$1,'WPP 2024 середина года'!$B$1:$U$1,0)))))</f>
        <v>10666.8</v>
      </c>
      <c r="J119" s="7">
        <f>IF($A119&lt;=1951,INDEX('SALA 1974'!$B:$U,MATCH($A119,'SALA 1974'!$A:$A,0),MATCH(J$1,'SALA 1974'!$B$1:$U$1,0)),IF($A119&lt;=1994,1000*INDEX('SALA 2002'!$B:$U,MATCH($A119,'SALA 2002'!$A:$A,0),MATCH(J$1,'SALA 2002'!$B$1:$U$1,0)),IF($A119&lt;=2000,1000*INDEX('SALA 2002'!$B:$U,MATCH($A119,'SALA 2002'!$A:$A,0),MATCH(J$1,'SALA 2002'!$B$1:$U$1,0))*POWER(INDEX('WPP 2024 середина года'!$B:$U,MATCH($A119,'WPP 2024 середина года'!$A:$A,0),MATCH(J$1,'WPP 2024 середина года'!$B$1:$U$1,0))/(1000*INDEX('SALA 2002'!$B:$U,MATCH($A119,'SALA 2002'!$A:$A,0),MATCH(J$1,'SALA 2002'!$B$1:$U$1,0))),($A119-1994)/7),INDEX('WPP 2024 середина года'!$B:$U,MATCH($A119,'WPP 2024 середина года'!$A:$A,0),MATCH(J$1,'WPP 2024 середина года'!$B$1:$U$1,0)))))</f>
        <v>16759.5</v>
      </c>
      <c r="K119" s="7">
        <f>IF($A119&lt;=1951,INDEX('SALA 1974'!$B:$U,MATCH($A119,'SALA 1974'!$A:$A,0),MATCH(K$1,'SALA 1974'!$B$1:$U$1,0)),IF($A119&lt;=1994,1000*INDEX('SALA 2002'!$B:$U,MATCH($A119,'SALA 2002'!$A:$A,0),MATCH(K$1,'SALA 2002'!$B$1:$U$1,0)),IF($A119&lt;=2000,1000*INDEX('SALA 2002'!$B:$U,MATCH($A119,'SALA 2002'!$A:$A,0),MATCH(K$1,'SALA 2002'!$B$1:$U$1,0))*POWER(INDEX('WPP 2024 середина года'!$B:$U,MATCH($A119,'WPP 2024 середина года'!$A:$A,0),MATCH(K$1,'WPP 2024 середина года'!$B$1:$U$1,0))/(1000*INDEX('SALA 2002'!$B:$U,MATCH($A119,'SALA 2002'!$A:$A,0),MATCH(K$1,'SALA 2002'!$B$1:$U$1,0))),($A119-1994)/7),INDEX('WPP 2024 середина года'!$B:$U,MATCH($A119,'WPP 2024 середина года'!$A:$A,0),MATCH(K$1,'WPP 2024 середина года'!$B$1:$U$1,0)))))</f>
        <v>6213.5</v>
      </c>
      <c r="L119" s="7">
        <f>IF($A119&lt;=1951,INDEX('SALA 1974'!$B:$U,MATCH($A119,'SALA 1974'!$A:$A,0),MATCH(L$1,'SALA 1974'!$B$1:$U$1,0)),IF($A119&lt;=1994,1000*INDEX('SALA 2002'!$B:$U,MATCH($A119,'SALA 2002'!$A:$A,0),MATCH(L$1,'SALA 2002'!$B$1:$U$1,0)),IF($A119&lt;=2000,1000*INDEX('SALA 2002'!$B:$U,MATCH($A119,'SALA 2002'!$A:$A,0),MATCH(L$1,'SALA 2002'!$B$1:$U$1,0))*POWER(INDEX('WPP 2024 середина года'!$B:$U,MATCH($A119,'WPP 2024 середина года'!$A:$A,0),MATCH(L$1,'WPP 2024 середина года'!$B$1:$U$1,0))/(1000*INDEX('SALA 2002'!$B:$U,MATCH($A119,'SALA 2002'!$A:$A,0),MATCH(L$1,'SALA 2002'!$B$1:$U$1,0))),($A119-1994)/7),INDEX('WPP 2024 середина года'!$B:$U,MATCH($A119,'WPP 2024 середина года'!$A:$A,0),MATCH(L$1,'WPP 2024 середина года'!$B$1:$U$1,0)))))</f>
        <v>16567.400000000001</v>
      </c>
      <c r="M119" s="7">
        <f>IF($A119&lt;=1951,INDEX('SALA 1974'!$B:$U,MATCH($A119,'SALA 1974'!$A:$A,0),MATCH(M$1,'SALA 1974'!$B$1:$U$1,0)),IF($A119&lt;=1994,1000*INDEX('SALA 2002'!$B:$U,MATCH($A119,'SALA 2002'!$A:$A,0),MATCH(M$1,'SALA 2002'!$B$1:$U$1,0)),IF($A119&lt;=2000,1000*INDEX('SALA 2002'!$B:$U,MATCH($A119,'SALA 2002'!$A:$A,0),MATCH(M$1,'SALA 2002'!$B$1:$U$1,0))*POWER(INDEX('WPP 2024 середина года'!$B:$U,MATCH($A119,'WPP 2024 середина года'!$A:$A,0),MATCH(M$1,'WPP 2024 середина года'!$B$1:$U$1,0))/(1000*INDEX('SALA 2002'!$B:$U,MATCH($A119,'SALA 2002'!$A:$A,0),MATCH(M$1,'SALA 2002'!$B$1:$U$1,0))),($A119-1994)/7),INDEX('WPP 2024 середина года'!$B:$U,MATCH($A119,'WPP 2024 середина года'!$A:$A,0),MATCH(M$1,'WPP 2024 середина года'!$B$1:$U$1,0)))))</f>
        <v>10817.8</v>
      </c>
      <c r="N119" s="7">
        <f>IF($A119&lt;=1951,INDEX('SALA 1974'!$B:$U,MATCH($A119,'SALA 1974'!$A:$A,0),MATCH(N$1,'SALA 1974'!$B$1:$U$1,0)),IF($A119&lt;=1994,1000*INDEX('SALA 2002'!$B:$U,MATCH($A119,'SALA 2002'!$A:$A,0),MATCH(N$1,'SALA 2002'!$B$1:$U$1,0)),IF($A119&lt;=2000,1000*INDEX('SALA 2002'!$B:$U,MATCH($A119,'SALA 2002'!$A:$A,0),MATCH(N$1,'SALA 2002'!$B$1:$U$1,0))*POWER(INDEX('WPP 2024 середина года'!$B:$U,MATCH($A119,'WPP 2024 середина года'!$A:$A,0),MATCH(N$1,'WPP 2024 середина года'!$B$1:$U$1,0))/(1000*INDEX('SALA 2002'!$B:$U,MATCH($A119,'SALA 2002'!$A:$A,0),MATCH(N$1,'SALA 2002'!$B$1:$U$1,0))),($A119-1994)/7),INDEX('WPP 2024 середина года'!$B:$U,MATCH($A119,'WPP 2024 середина года'!$A:$A,0),MATCH(N$1,'WPP 2024 середина года'!$B$1:$U$1,0)))))</f>
        <v>9588.1</v>
      </c>
      <c r="O119" s="7">
        <f>IF($A119&lt;=1951,INDEX('SALA 1974'!$B:$U,MATCH($A119,'SALA 1974'!$A:$A,0),MATCH(O$1,'SALA 1974'!$B$1:$U$1,0)),IF($A119&lt;=1994,1000*INDEX('SALA 2002'!$B:$U,MATCH($A119,'SALA 2002'!$A:$A,0),MATCH(O$1,'SALA 2002'!$B$1:$U$1,0)),IF($A119&lt;=2000,1000*INDEX('SALA 2002'!$B:$U,MATCH($A119,'SALA 2002'!$A:$A,0),MATCH(O$1,'SALA 2002'!$B$1:$U$1,0))*POWER(INDEX('WPP 2024 середина года'!$B:$U,MATCH($A119,'WPP 2024 середина года'!$A:$A,0),MATCH(O$1,'WPP 2024 середина года'!$B$1:$U$1,0))/(1000*INDEX('SALA 2002'!$B:$U,MATCH($A119,'SALA 2002'!$A:$A,0),MATCH(O$1,'SALA 2002'!$B$1:$U$1,0))),($A119-1994)/7),INDEX('WPP 2024 середина года'!$B:$U,MATCH($A119,'WPP 2024 середина года'!$A:$A,0),MATCH(O$1,'WPP 2024 середина года'!$B$1:$U$1,0)))))</f>
        <v>123400.1</v>
      </c>
      <c r="P119" s="7">
        <f>IF($A119&lt;=1951,INDEX('SALA 1974'!$B:$U,MATCH($A119,'SALA 1974'!$A:$A,0),MATCH(P$1,'SALA 1974'!$B$1:$U$1,0)),IF($A119&lt;=1994,1000*INDEX('SALA 2002'!$B:$U,MATCH($A119,'SALA 2002'!$A:$A,0),MATCH(P$1,'SALA 2002'!$B$1:$U$1,0)),IF($A119&lt;=2000,1000*INDEX('SALA 2002'!$B:$U,MATCH($A119,'SALA 2002'!$A:$A,0),MATCH(P$1,'SALA 2002'!$B$1:$U$1,0))*POWER(INDEX('WPP 2024 середина года'!$B:$U,MATCH($A119,'WPP 2024 середина года'!$A:$A,0),MATCH(P$1,'WPP 2024 середина года'!$B$1:$U$1,0))/(1000*INDEX('SALA 2002'!$B:$U,MATCH($A119,'SALA 2002'!$A:$A,0),MATCH(P$1,'SALA 2002'!$B$1:$U$1,0))),($A119-1994)/7),INDEX('WPP 2024 середина года'!$B:$U,MATCH($A119,'WPP 2024 середина года'!$A:$A,0),MATCH(P$1,'WPP 2024 середина года'!$B$1:$U$1,0)))))</f>
        <v>6316.2</v>
      </c>
      <c r="Q119" s="7">
        <f>IF($A119&lt;=1951,INDEX('SALA 1974'!$B:$U,MATCH($A119,'SALA 1974'!$A:$A,0),MATCH(Q$1,'SALA 1974'!$B$1:$U$1,0)),IF($A119&lt;=1994,1000*INDEX('SALA 2002'!$B:$U,MATCH($A119,'SALA 2002'!$A:$A,0),MATCH(Q$1,'SALA 2002'!$B$1:$U$1,0)),IF($A119&lt;=2000,1000*INDEX('SALA 2002'!$B:$U,MATCH($A119,'SALA 2002'!$A:$A,0),MATCH(Q$1,'SALA 2002'!$B$1:$U$1,0))*POWER(INDEX('WPP 2024 середина года'!$B:$U,MATCH($A119,'WPP 2024 середина года'!$A:$A,0),MATCH(Q$1,'WPP 2024 середина года'!$B$1:$U$1,0))/(1000*INDEX('SALA 2002'!$B:$U,MATCH($A119,'SALA 2002'!$A:$A,0),MATCH(Q$1,'SALA 2002'!$B$1:$U$1,0))),($A119-1994)/7),INDEX('WPP 2024 середина года'!$B:$U,MATCH($A119,'WPP 2024 середина года'!$A:$A,0),MATCH(Q$1,'WPP 2024 середина года'!$B$1:$U$1,0)))))</f>
        <v>4098.7</v>
      </c>
      <c r="R119" s="7">
        <f>IF($A119&lt;=1951,INDEX('SALA 1974'!$B:$U,MATCH($A119,'SALA 1974'!$A:$A,0),MATCH(R$1,'SALA 1974'!$B$1:$U$1,0)),IF($A119&lt;=1994,1000*INDEX('SALA 2002'!$B:$U,MATCH($A119,'SALA 2002'!$A:$A,0),MATCH(R$1,'SALA 2002'!$B$1:$U$1,0)),IF($A119&lt;=2000,1000*INDEX('SALA 2002'!$B:$U,MATCH($A119,'SALA 2002'!$A:$A,0),MATCH(R$1,'SALA 2002'!$B$1:$U$1,0))*POWER(INDEX('WPP 2024 середина года'!$B:$U,MATCH($A119,'WPP 2024 середина года'!$A:$A,0),MATCH(R$1,'WPP 2024 середина года'!$B$1:$U$1,0))/(1000*INDEX('SALA 2002'!$B:$U,MATCH($A119,'SALA 2002'!$A:$A,0),MATCH(R$1,'SALA 2002'!$B$1:$U$1,0))),($A119-1994)/7),INDEX('WPP 2024 середина года'!$B:$U,MATCH($A119,'WPP 2024 середина года'!$A:$A,0),MATCH(R$1,'WPP 2024 середина года'!$B$1:$U$1,0)))))</f>
        <v>6338.7</v>
      </c>
      <c r="S119" s="7">
        <f>IF($A119&lt;=1951,INDEX('SALA 1974'!$B:$U,MATCH($A119,'SALA 1974'!$A:$A,0),MATCH(S$1,'SALA 1974'!$B$1:$U$1,0)),IF($A119&lt;=1994,1000*INDEX('SALA 2002'!$B:$U,MATCH($A119,'SALA 2002'!$A:$A,0),MATCH(S$1,'SALA 2002'!$B$1:$U$1,0)),IF($A119&lt;=2000,1000*INDEX('SALA 2002'!$B:$U,MATCH($A119,'SALA 2002'!$A:$A,0),MATCH(S$1,'SALA 2002'!$B$1:$U$1,0))*POWER(INDEX('WPP 2024 середина года'!$B:$U,MATCH($A119,'WPP 2024 середина года'!$A:$A,0),MATCH(S$1,'WPP 2024 середина года'!$B$1:$U$1,0))/(1000*INDEX('SALA 2002'!$B:$U,MATCH($A119,'SALA 2002'!$A:$A,0),MATCH(S$1,'SALA 2002'!$B$1:$U$1,0))),($A119-1994)/7),INDEX('WPP 2024 середина года'!$B:$U,MATCH($A119,'WPP 2024 середина года'!$A:$A,0),MATCH(S$1,'WPP 2024 середина года'!$B$1:$U$1,0)))))</f>
        <v>31324.6</v>
      </c>
      <c r="T119" s="7">
        <f>IF($A119&lt;=1951,INDEX('SALA 1974'!$B:$U,MATCH($A119,'SALA 1974'!$A:$A,0),MATCH(T$1,'SALA 1974'!$B$1:$U$1,0)),IF($A119&lt;=1994,1000*INDEX('SALA 2002'!$B:$U,MATCH($A119,'SALA 2002'!$A:$A,0),MATCH(T$1,'SALA 2002'!$B$1:$U$1,0)),IF($A119&lt;=2000,1000*INDEX('SALA 2002'!$B:$U,MATCH($A119,'SALA 2002'!$A:$A,0),MATCH(T$1,'SALA 2002'!$B$1:$U$1,0))*POWER(INDEX('WPP 2024 середина года'!$B:$U,MATCH($A119,'WPP 2024 середина года'!$A:$A,0),MATCH(T$1,'WPP 2024 середина года'!$B$1:$U$1,0))/(1000*INDEX('SALA 2002'!$B:$U,MATCH($A119,'SALA 2002'!$A:$A,0),MATCH(T$1,'SALA 2002'!$B$1:$U$1,0))),($A119-1994)/7),INDEX('WPP 2024 середина года'!$B:$U,MATCH($A119,'WPP 2024 середина года'!$A:$A,0),MATCH(T$1,'WPP 2024 середина года'!$B$1:$U$1,0)))))</f>
        <v>3388.4</v>
      </c>
      <c r="U119" s="7">
        <f>IF($A119&lt;=1951,INDEX('SALA 1974'!$B:$U,MATCH($A119,'SALA 1974'!$A:$A,0),MATCH(U$1,'SALA 1974'!$B$1:$U$1,0)),IF($A119&lt;=1994,1000*INDEX('SALA 2002'!$B:$U,MATCH($A119,'SALA 2002'!$A:$A,0),MATCH(U$1,'SALA 2002'!$B$1:$U$1,0)),IF($A119&lt;=2000,1000*INDEX('SALA 2002'!$B:$U,MATCH($A119,'SALA 2002'!$A:$A,0),MATCH(U$1,'SALA 2002'!$B$1:$U$1,0))*POWER(INDEX('WPP 2024 середина года'!$B:$U,MATCH($A119,'WPP 2024 середина года'!$A:$A,0),MATCH(U$1,'WPP 2024 середина года'!$B$1:$U$1,0))/(1000*INDEX('SALA 2002'!$B:$U,MATCH($A119,'SALA 2002'!$A:$A,0),MATCH(U$1,'SALA 2002'!$B$1:$U$1,0))),($A119-1994)/7),INDEX('WPP 2024 середина года'!$B:$U,MATCH($A119,'WPP 2024 середина года'!$A:$A,0),MATCH(U$1,'WPP 2024 середина года'!$B$1:$U$1,0)))))</f>
        <v>30565.3</v>
      </c>
    </row>
    <row r="120" spans="1:21" x14ac:dyDescent="0.25">
      <c r="A120" s="5">
        <f t="shared" si="1"/>
        <v>2018</v>
      </c>
      <c r="B120" s="7">
        <f>IF($A120&lt;=1951,INDEX('SALA 1974'!$B:$U,MATCH($A120,'SALA 1974'!$A:$A,0),MATCH(B$1,'SALA 1974'!$B$1:$U$1,0)),IF($A120&lt;=1994,1000*INDEX('SALA 2002'!$B:$U,MATCH($A120,'SALA 2002'!$A:$A,0),MATCH(B$1,'SALA 2002'!$B$1:$U$1,0)),IF($A120&lt;=2000,1000*INDEX('SALA 2002'!$B:$U,MATCH($A120,'SALA 2002'!$A:$A,0),MATCH(B$1,'SALA 2002'!$B$1:$U$1,0))*POWER(INDEX('WPP 2024 середина года'!$B:$U,MATCH($A120,'WPP 2024 середина года'!$A:$A,0),MATCH(B$1,'WPP 2024 середина года'!$B$1:$U$1,0))/(1000*INDEX('SALA 2002'!$B:$U,MATCH($A120,'SALA 2002'!$A:$A,0),MATCH(B$1,'SALA 2002'!$B$1:$U$1,0))),($A120-1994)/7),INDEX('WPP 2024 середина года'!$B:$U,MATCH($A120,'WPP 2024 середина года'!$A:$A,0),MATCH(B$1,'WPP 2024 середина года'!$B$1:$U$1,0)))))</f>
        <v>44654.9</v>
      </c>
      <c r="C120" s="7">
        <f>IF($A120&lt;=1951,INDEX('SALA 1974'!$B:$U,MATCH($A120,'SALA 1974'!$A:$A,0),MATCH(C$1,'SALA 1974'!$B$1:$U$1,0)),IF($A120&lt;=1994,1000*INDEX('SALA 2002'!$B:$U,MATCH($A120,'SALA 2002'!$A:$A,0),MATCH(C$1,'SALA 2002'!$B$1:$U$1,0)),IF($A120&lt;=2000,1000*INDEX('SALA 2002'!$B:$U,MATCH($A120,'SALA 2002'!$A:$A,0),MATCH(C$1,'SALA 2002'!$B$1:$U$1,0))*POWER(INDEX('WPP 2024 середина года'!$B:$U,MATCH($A120,'WPP 2024 середина года'!$A:$A,0),MATCH(C$1,'WPP 2024 середина года'!$B$1:$U$1,0))/(1000*INDEX('SALA 2002'!$B:$U,MATCH($A120,'SALA 2002'!$A:$A,0),MATCH(C$1,'SALA 2002'!$B$1:$U$1,0))),($A120-1994)/7),INDEX('WPP 2024 середина года'!$B:$U,MATCH($A120,'WPP 2024 середина года'!$A:$A,0),MATCH(C$1,'WPP 2024 середина года'!$B$1:$U$1,0)))))</f>
        <v>11508.4</v>
      </c>
      <c r="D120" s="7">
        <f>IF($A120&lt;=1951,INDEX('SALA 1974'!$B:$U,MATCH($A120,'SALA 1974'!$A:$A,0),MATCH(D$1,'SALA 1974'!$B$1:$U$1,0)),IF($A120&lt;=1994,1000*INDEX('SALA 2002'!$B:$U,MATCH($A120,'SALA 2002'!$A:$A,0),MATCH(D$1,'SALA 2002'!$B$1:$U$1,0)),IF($A120&lt;=2000,1000*INDEX('SALA 2002'!$B:$U,MATCH($A120,'SALA 2002'!$A:$A,0),MATCH(D$1,'SALA 2002'!$B$1:$U$1,0))*POWER(INDEX('WPP 2024 середина года'!$B:$U,MATCH($A120,'WPP 2024 середина года'!$A:$A,0),MATCH(D$1,'WPP 2024 середина года'!$B$1:$U$1,0))/(1000*INDEX('SALA 2002'!$B:$U,MATCH($A120,'SALA 2002'!$A:$A,0),MATCH(D$1,'SALA 2002'!$B$1:$U$1,0))),($A120-1994)/7),INDEX('WPP 2024 середина года'!$B:$U,MATCH($A120,'WPP 2024 середина года'!$A:$A,0),MATCH(D$1,'WPP 2024 середина года'!$B$1:$U$1,0)))))</f>
        <v>206107.3</v>
      </c>
      <c r="E120" s="7">
        <f>IF($A120&lt;=1951,INDEX('SALA 1974'!$B:$U,MATCH($A120,'SALA 1974'!$A:$A,0),MATCH(E$1,'SALA 1974'!$B$1:$U$1,0)),IF($A120&lt;=1994,1000*INDEX('SALA 2002'!$B:$U,MATCH($A120,'SALA 2002'!$A:$A,0),MATCH(E$1,'SALA 2002'!$B$1:$U$1,0)),IF($A120&lt;=2000,1000*INDEX('SALA 2002'!$B:$U,MATCH($A120,'SALA 2002'!$A:$A,0),MATCH(E$1,'SALA 2002'!$B$1:$U$1,0))*POWER(INDEX('WPP 2024 середина года'!$B:$U,MATCH($A120,'WPP 2024 середина года'!$A:$A,0),MATCH(E$1,'WPP 2024 середина года'!$B$1:$U$1,0))/(1000*INDEX('SALA 2002'!$B:$U,MATCH($A120,'SALA 2002'!$A:$A,0),MATCH(E$1,'SALA 2002'!$B$1:$U$1,0))),($A120-1994)/7),INDEX('WPP 2024 середина года'!$B:$U,MATCH($A120,'WPP 2024 середина года'!$A:$A,0),MATCH(E$1,'WPP 2024 середина года'!$B$1:$U$1,0)))))</f>
        <v>18893.2</v>
      </c>
      <c r="F120" s="7">
        <f>IF($A120&lt;=1947,INDEX('SALA 1974'!$B:$U,MATCH($A120,'SALA 1974'!$A:$A,0),MATCH(F$1,'SALA 1974'!$B$1:$U$1,0)),IF($A120&lt;=1994,1000*INDEX('SALA 2002'!$B:$U,MATCH($A120,'SALA 2002'!$A:$A,0),MATCH(F$1,'SALA 2002'!$B$1:$U$1,0)),IF($A120&lt;=2000,1000*INDEX('SALA 2002'!$B:$U,MATCH($A120,'SALA 2002'!$A:$A,0),MATCH(F$1,'SALA 2002'!$B$1:$U$1,0))*POWER(INDEX('WPP 2024 середина года'!$B:$U,MATCH($A120,'WPP 2024 середина года'!$A:$A,0),MATCH(F$1,'WPP 2024 середина года'!$B$1:$U$1,0))/(1000*INDEX('SALA 2002'!$B:$U,MATCH($A120,'SALA 2002'!$A:$A,0),MATCH(F$1,'SALA 2002'!$B$1:$U$1,0))),($A120-1994)/7),INDEX('WPP 2024 середина года'!$B:$U,MATCH($A120,'WPP 2024 середина года'!$A:$A,0),MATCH(F$1,'WPP 2024 середина года'!$B$1:$U$1,0)))))</f>
        <v>49024.5</v>
      </c>
      <c r="G120" s="7">
        <f>IF($A120&lt;=1951,INDEX('SALA 1974'!$B:$U,MATCH($A120,'SALA 1974'!$A:$A,0),MATCH(G$1,'SALA 1974'!$B$1:$U$1,0)),IF($A120&lt;=1994,1000*INDEX('SALA 2002'!$B:$U,MATCH($A120,'SALA 2002'!$A:$A,0),MATCH(G$1,'SALA 2002'!$B$1:$U$1,0)),IF($A120&lt;=2000,1000*INDEX('SALA 2002'!$B:$U,MATCH($A120,'SALA 2002'!$A:$A,0),MATCH(G$1,'SALA 2002'!$B$1:$U$1,0))*POWER(INDEX('WPP 2024 середина года'!$B:$U,MATCH($A120,'WPP 2024 середина года'!$A:$A,0),MATCH(G$1,'WPP 2024 середина года'!$B$1:$U$1,0))/(1000*INDEX('SALA 2002'!$B:$U,MATCH($A120,'SALA 2002'!$A:$A,0),MATCH(G$1,'SALA 2002'!$B$1:$U$1,0))),($A120-1994)/7),INDEX('WPP 2024 середина года'!$B:$U,MATCH($A120,'WPP 2024 середина года'!$A:$A,0),MATCH(G$1,'WPP 2024 середина года'!$B$1:$U$1,0)))))</f>
        <v>4957.8</v>
      </c>
      <c r="H120" s="7">
        <f>IF($A120&lt;=1951,INDEX('SALA 1974'!$B:$U,MATCH($A120,'SALA 1974'!$A:$A,0),MATCH(H$1,'SALA 1974'!$B$1:$U$1,0)),IF($A120&lt;=1994,1000*INDEX('SALA 2002'!$B:$U,MATCH($A120,'SALA 2002'!$A:$A,0),MATCH(H$1,'SALA 2002'!$B$1:$U$1,0)),IF($A120&lt;=2000,1000*INDEX('SALA 2002'!$B:$U,MATCH($A120,'SALA 2002'!$A:$A,0),MATCH(H$1,'SALA 2002'!$B$1:$U$1,0))*POWER(INDEX('WPP 2024 середина года'!$B:$U,MATCH($A120,'WPP 2024 середина года'!$A:$A,0),MATCH(H$1,'WPP 2024 середина года'!$B$1:$U$1,0))/(1000*INDEX('SALA 2002'!$B:$U,MATCH($A120,'SALA 2002'!$A:$A,0),MATCH(H$1,'SALA 2002'!$B$1:$U$1,0))),($A120-1994)/7),INDEX('WPP 2024 середина года'!$B:$U,MATCH($A120,'WPP 2024 середина года'!$A:$A,0),MATCH(H$1,'WPP 2024 середина года'!$B$1:$U$1,0)))))</f>
        <v>11227.1</v>
      </c>
      <c r="I120" s="7">
        <f>IF($A120&lt;=1951,INDEX('SALA 1974'!$B:$U,MATCH($A120,'SALA 1974'!$A:$A,0),MATCH(I$1,'SALA 1974'!$B$1:$U$1,0)),IF($A120&lt;=1994,1000*INDEX('SALA 2002'!$B:$U,MATCH($A120,'SALA 2002'!$A:$A,0),MATCH(I$1,'SALA 2002'!$B$1:$U$1,0)),IF($A120&lt;=2000,1000*INDEX('SALA 2002'!$B:$U,MATCH($A120,'SALA 2002'!$A:$A,0),MATCH(I$1,'SALA 2002'!$B$1:$U$1,0))*POWER(INDEX('WPP 2024 середина года'!$B:$U,MATCH($A120,'WPP 2024 середина года'!$A:$A,0),MATCH(I$1,'WPP 2024 середина года'!$B$1:$U$1,0))/(1000*INDEX('SALA 2002'!$B:$U,MATCH($A120,'SALA 2002'!$A:$A,0),MATCH(I$1,'SALA 2002'!$B$1:$U$1,0))),($A120-1994)/7),INDEX('WPP 2024 середина года'!$B:$U,MATCH($A120,'WPP 2024 середина года'!$A:$A,0),MATCH(I$1,'WPP 2024 середина года'!$B$1:$U$1,0)))))</f>
        <v>10782.1</v>
      </c>
      <c r="J120" s="7">
        <f>IF($A120&lt;=1951,INDEX('SALA 1974'!$B:$U,MATCH($A120,'SALA 1974'!$A:$A,0),MATCH(J$1,'SALA 1974'!$B$1:$U$1,0)),IF($A120&lt;=1994,1000*INDEX('SALA 2002'!$B:$U,MATCH($A120,'SALA 2002'!$A:$A,0),MATCH(J$1,'SALA 2002'!$B$1:$U$1,0)),IF($A120&lt;=2000,1000*INDEX('SALA 2002'!$B:$U,MATCH($A120,'SALA 2002'!$A:$A,0),MATCH(J$1,'SALA 2002'!$B$1:$U$1,0))*POWER(INDEX('WPP 2024 середина года'!$B:$U,MATCH($A120,'WPP 2024 середина года'!$A:$A,0),MATCH(J$1,'WPP 2024 середина года'!$B$1:$U$1,0))/(1000*INDEX('SALA 2002'!$B:$U,MATCH($A120,'SALA 2002'!$A:$A,0),MATCH(J$1,'SALA 2002'!$B$1:$U$1,0))),($A120-1994)/7),INDEX('WPP 2024 середина года'!$B:$U,MATCH($A120,'WPP 2024 середина года'!$A:$A,0),MATCH(J$1,'WPP 2024 середина года'!$B$1:$U$1,0)))))</f>
        <v>17049.5</v>
      </c>
      <c r="K120" s="7">
        <f>IF($A120&lt;=1951,INDEX('SALA 1974'!$B:$U,MATCH($A120,'SALA 1974'!$A:$A,0),MATCH(K$1,'SALA 1974'!$B$1:$U$1,0)),IF($A120&lt;=1994,1000*INDEX('SALA 2002'!$B:$U,MATCH($A120,'SALA 2002'!$A:$A,0),MATCH(K$1,'SALA 2002'!$B$1:$U$1,0)),IF($A120&lt;=2000,1000*INDEX('SALA 2002'!$B:$U,MATCH($A120,'SALA 2002'!$A:$A,0),MATCH(K$1,'SALA 2002'!$B$1:$U$1,0))*POWER(INDEX('WPP 2024 середина года'!$B:$U,MATCH($A120,'WPP 2024 середина года'!$A:$A,0),MATCH(K$1,'WPP 2024 середина года'!$B$1:$U$1,0))/(1000*INDEX('SALA 2002'!$B:$U,MATCH($A120,'SALA 2002'!$A:$A,0),MATCH(K$1,'SALA 2002'!$B$1:$U$1,0))),($A120-1994)/7),INDEX('WPP 2024 середина года'!$B:$U,MATCH($A120,'WPP 2024 середина года'!$A:$A,0),MATCH(K$1,'WPP 2024 середина года'!$B$1:$U$1,0)))))</f>
        <v>6219.8</v>
      </c>
      <c r="L120" s="7">
        <f>IF($A120&lt;=1951,INDEX('SALA 1974'!$B:$U,MATCH($A120,'SALA 1974'!$A:$A,0),MATCH(L$1,'SALA 1974'!$B$1:$U$1,0)),IF($A120&lt;=1994,1000*INDEX('SALA 2002'!$B:$U,MATCH($A120,'SALA 2002'!$A:$A,0),MATCH(L$1,'SALA 2002'!$B$1:$U$1,0)),IF($A120&lt;=2000,1000*INDEX('SALA 2002'!$B:$U,MATCH($A120,'SALA 2002'!$A:$A,0),MATCH(L$1,'SALA 2002'!$B$1:$U$1,0))*POWER(INDEX('WPP 2024 середина года'!$B:$U,MATCH($A120,'WPP 2024 середина года'!$A:$A,0),MATCH(L$1,'WPP 2024 середина года'!$B$1:$U$1,0))/(1000*INDEX('SALA 2002'!$B:$U,MATCH($A120,'SALA 2002'!$A:$A,0),MATCH(L$1,'SALA 2002'!$B$1:$U$1,0))),($A120-1994)/7),INDEX('WPP 2024 середина года'!$B:$U,MATCH($A120,'WPP 2024 середина года'!$A:$A,0),MATCH(L$1,'WPP 2024 середина года'!$B$1:$U$1,0)))))</f>
        <v>16845.7</v>
      </c>
      <c r="M120" s="7">
        <f>IF($A120&lt;=1951,INDEX('SALA 1974'!$B:$U,MATCH($A120,'SALA 1974'!$A:$A,0),MATCH(M$1,'SALA 1974'!$B$1:$U$1,0)),IF($A120&lt;=1994,1000*INDEX('SALA 2002'!$B:$U,MATCH($A120,'SALA 2002'!$A:$A,0),MATCH(M$1,'SALA 2002'!$B$1:$U$1,0)),IF($A120&lt;=2000,1000*INDEX('SALA 2002'!$B:$U,MATCH($A120,'SALA 2002'!$A:$A,0),MATCH(M$1,'SALA 2002'!$B$1:$U$1,0))*POWER(INDEX('WPP 2024 середина года'!$B:$U,MATCH($A120,'WPP 2024 середина года'!$A:$A,0),MATCH(M$1,'WPP 2024 середина года'!$B$1:$U$1,0))/(1000*INDEX('SALA 2002'!$B:$U,MATCH($A120,'SALA 2002'!$A:$A,0),MATCH(M$1,'SALA 2002'!$B$1:$U$1,0))),($A120-1994)/7),INDEX('WPP 2024 середина года'!$B:$U,MATCH($A120,'WPP 2024 середина года'!$A:$A,0),MATCH(M$1,'WPP 2024 середина года'!$B$1:$U$1,0)))))</f>
        <v>10962.4</v>
      </c>
      <c r="N120" s="7">
        <f>IF($A120&lt;=1951,INDEX('SALA 1974'!$B:$U,MATCH($A120,'SALA 1974'!$A:$A,0),MATCH(N$1,'SALA 1974'!$B$1:$U$1,0)),IF($A120&lt;=1994,1000*INDEX('SALA 2002'!$B:$U,MATCH($A120,'SALA 2002'!$A:$A,0),MATCH(N$1,'SALA 2002'!$B$1:$U$1,0)),IF($A120&lt;=2000,1000*INDEX('SALA 2002'!$B:$U,MATCH($A120,'SALA 2002'!$A:$A,0),MATCH(N$1,'SALA 2002'!$B$1:$U$1,0))*POWER(INDEX('WPP 2024 середина года'!$B:$U,MATCH($A120,'WPP 2024 середина года'!$A:$A,0),MATCH(N$1,'WPP 2024 середина года'!$B$1:$U$1,0))/(1000*INDEX('SALA 2002'!$B:$U,MATCH($A120,'SALA 2002'!$A:$A,0),MATCH(N$1,'SALA 2002'!$B$1:$U$1,0))),($A120-1994)/7),INDEX('WPP 2024 середина года'!$B:$U,MATCH($A120,'WPP 2024 середина года'!$A:$A,0),MATCH(N$1,'WPP 2024 середина года'!$B$1:$U$1,0)))))</f>
        <v>9765.2000000000007</v>
      </c>
      <c r="O120" s="7">
        <f>IF($A120&lt;=1951,INDEX('SALA 1974'!$B:$U,MATCH($A120,'SALA 1974'!$A:$A,0),MATCH(O$1,'SALA 1974'!$B$1:$U$1,0)),IF($A120&lt;=1994,1000*INDEX('SALA 2002'!$B:$U,MATCH($A120,'SALA 2002'!$A:$A,0),MATCH(O$1,'SALA 2002'!$B$1:$U$1,0)),IF($A120&lt;=2000,1000*INDEX('SALA 2002'!$B:$U,MATCH($A120,'SALA 2002'!$A:$A,0),MATCH(O$1,'SALA 2002'!$B$1:$U$1,0))*POWER(INDEX('WPP 2024 середина года'!$B:$U,MATCH($A120,'WPP 2024 середина года'!$A:$A,0),MATCH(O$1,'WPP 2024 середина года'!$B$1:$U$1,0))/(1000*INDEX('SALA 2002'!$B:$U,MATCH($A120,'SALA 2002'!$A:$A,0),MATCH(O$1,'SALA 2002'!$B$1:$U$1,0))),($A120-1994)/7),INDEX('WPP 2024 середина года'!$B:$U,MATCH($A120,'WPP 2024 середина года'!$A:$A,0),MATCH(O$1,'WPP 2024 середина года'!$B$1:$U$1,0)))))</f>
        <v>124573.7</v>
      </c>
      <c r="P120" s="7">
        <f>IF($A120&lt;=1951,INDEX('SALA 1974'!$B:$U,MATCH($A120,'SALA 1974'!$A:$A,0),MATCH(P$1,'SALA 1974'!$B$1:$U$1,0)),IF($A120&lt;=1994,1000*INDEX('SALA 2002'!$B:$U,MATCH($A120,'SALA 2002'!$A:$A,0),MATCH(P$1,'SALA 2002'!$B$1:$U$1,0)),IF($A120&lt;=2000,1000*INDEX('SALA 2002'!$B:$U,MATCH($A120,'SALA 2002'!$A:$A,0),MATCH(P$1,'SALA 2002'!$B$1:$U$1,0))*POWER(INDEX('WPP 2024 середина года'!$B:$U,MATCH($A120,'WPP 2024 середина года'!$A:$A,0),MATCH(P$1,'WPP 2024 середина года'!$B$1:$U$1,0))/(1000*INDEX('SALA 2002'!$B:$U,MATCH($A120,'SALA 2002'!$A:$A,0),MATCH(P$1,'SALA 2002'!$B$1:$U$1,0))),($A120-1994)/7),INDEX('WPP 2024 середина года'!$B:$U,MATCH($A120,'WPP 2024 середина года'!$A:$A,0),MATCH(P$1,'WPP 2024 середина года'!$B$1:$U$1,0)))))</f>
        <v>6400.1</v>
      </c>
      <c r="Q120" s="7">
        <f>IF($A120&lt;=1951,INDEX('SALA 1974'!$B:$U,MATCH($A120,'SALA 1974'!$A:$A,0),MATCH(Q$1,'SALA 1974'!$B$1:$U$1,0)),IF($A120&lt;=1994,1000*INDEX('SALA 2002'!$B:$U,MATCH($A120,'SALA 2002'!$A:$A,0),MATCH(Q$1,'SALA 2002'!$B$1:$U$1,0)),IF($A120&lt;=2000,1000*INDEX('SALA 2002'!$B:$U,MATCH($A120,'SALA 2002'!$A:$A,0),MATCH(Q$1,'SALA 2002'!$B$1:$U$1,0))*POWER(INDEX('WPP 2024 середина года'!$B:$U,MATCH($A120,'WPP 2024 середина года'!$A:$A,0),MATCH(Q$1,'WPP 2024 середина года'!$B$1:$U$1,0))/(1000*INDEX('SALA 2002'!$B:$U,MATCH($A120,'SALA 2002'!$A:$A,0),MATCH(Q$1,'SALA 2002'!$B$1:$U$1,0))),($A120-1994)/7),INDEX('WPP 2024 середина года'!$B:$U,MATCH($A120,'WPP 2024 середина года'!$A:$A,0),MATCH(Q$1,'WPP 2024 середина года'!$B$1:$U$1,0)))))</f>
        <v>4167.8999999999996</v>
      </c>
      <c r="R120" s="7">
        <f>IF($A120&lt;=1951,INDEX('SALA 1974'!$B:$U,MATCH($A120,'SALA 1974'!$A:$A,0),MATCH(R$1,'SALA 1974'!$B$1:$U$1,0)),IF($A120&lt;=1994,1000*INDEX('SALA 2002'!$B:$U,MATCH($A120,'SALA 2002'!$A:$A,0),MATCH(R$1,'SALA 2002'!$B$1:$U$1,0)),IF($A120&lt;=2000,1000*INDEX('SALA 2002'!$B:$U,MATCH($A120,'SALA 2002'!$A:$A,0),MATCH(R$1,'SALA 2002'!$B$1:$U$1,0))*POWER(INDEX('WPP 2024 середина года'!$B:$U,MATCH($A120,'WPP 2024 середина года'!$A:$A,0),MATCH(R$1,'WPP 2024 середина года'!$B$1:$U$1,0))/(1000*INDEX('SALA 2002'!$B:$U,MATCH($A120,'SALA 2002'!$A:$A,0),MATCH(R$1,'SALA 2002'!$B$1:$U$1,0))),($A120-1994)/7),INDEX('WPP 2024 середина года'!$B:$U,MATCH($A120,'WPP 2024 середина года'!$A:$A,0),MATCH(R$1,'WPP 2024 середина года'!$B$1:$U$1,0)))))</f>
        <v>6427.4</v>
      </c>
      <c r="S120" s="7">
        <f>IF($A120&lt;=1951,INDEX('SALA 1974'!$B:$U,MATCH($A120,'SALA 1974'!$A:$A,0),MATCH(S$1,'SALA 1974'!$B$1:$U$1,0)),IF($A120&lt;=1994,1000*INDEX('SALA 2002'!$B:$U,MATCH($A120,'SALA 2002'!$A:$A,0),MATCH(S$1,'SALA 2002'!$B$1:$U$1,0)),IF($A120&lt;=2000,1000*INDEX('SALA 2002'!$B:$U,MATCH($A120,'SALA 2002'!$A:$A,0),MATCH(S$1,'SALA 2002'!$B$1:$U$1,0))*POWER(INDEX('WPP 2024 середина года'!$B:$U,MATCH($A120,'WPP 2024 середина года'!$A:$A,0),MATCH(S$1,'WPP 2024 середина года'!$B$1:$U$1,0))/(1000*INDEX('SALA 2002'!$B:$U,MATCH($A120,'SALA 2002'!$A:$A,0),MATCH(S$1,'SALA 2002'!$B$1:$U$1,0))),($A120-1994)/7),INDEX('WPP 2024 середина года'!$B:$U,MATCH($A120,'WPP 2024 середина года'!$A:$A,0),MATCH(S$1,'WPP 2024 середина года'!$B$1:$U$1,0)))))</f>
        <v>31897.599999999999</v>
      </c>
      <c r="T120" s="7">
        <f>IF($A120&lt;=1951,INDEX('SALA 1974'!$B:$U,MATCH($A120,'SALA 1974'!$A:$A,0),MATCH(T$1,'SALA 1974'!$B$1:$U$1,0)),IF($A120&lt;=1994,1000*INDEX('SALA 2002'!$B:$U,MATCH($A120,'SALA 2002'!$A:$A,0),MATCH(T$1,'SALA 2002'!$B$1:$U$1,0)),IF($A120&lt;=2000,1000*INDEX('SALA 2002'!$B:$U,MATCH($A120,'SALA 2002'!$A:$A,0),MATCH(T$1,'SALA 2002'!$B$1:$U$1,0))*POWER(INDEX('WPP 2024 середина года'!$B:$U,MATCH($A120,'WPP 2024 середина года'!$A:$A,0),MATCH(T$1,'WPP 2024 середина года'!$B$1:$U$1,0))/(1000*INDEX('SALA 2002'!$B:$U,MATCH($A120,'SALA 2002'!$A:$A,0),MATCH(T$1,'SALA 2002'!$B$1:$U$1,0))),($A120-1994)/7),INDEX('WPP 2024 середина года'!$B:$U,MATCH($A120,'WPP 2024 середина года'!$A:$A,0),MATCH(T$1,'WPP 2024 середина года'!$B$1:$U$1,0)))))</f>
        <v>3394.5</v>
      </c>
      <c r="U120" s="7">
        <f>IF($A120&lt;=1951,INDEX('SALA 1974'!$B:$U,MATCH($A120,'SALA 1974'!$A:$A,0),MATCH(U$1,'SALA 1974'!$B$1:$U$1,0)),IF($A120&lt;=1994,1000*INDEX('SALA 2002'!$B:$U,MATCH($A120,'SALA 2002'!$A:$A,0),MATCH(U$1,'SALA 2002'!$B$1:$U$1,0)),IF($A120&lt;=2000,1000*INDEX('SALA 2002'!$B:$U,MATCH($A120,'SALA 2002'!$A:$A,0),MATCH(U$1,'SALA 2002'!$B$1:$U$1,0))*POWER(INDEX('WPP 2024 середина года'!$B:$U,MATCH($A120,'WPP 2024 середина года'!$A:$A,0),MATCH(U$1,'WPP 2024 середина года'!$B$1:$U$1,0))/(1000*INDEX('SALA 2002'!$B:$U,MATCH($A120,'SALA 2002'!$A:$A,0),MATCH(U$1,'SALA 2002'!$B$1:$U$1,0))),($A120-1994)/7),INDEX('WPP 2024 середина года'!$B:$U,MATCH($A120,'WPP 2024 середина года'!$A:$A,0),MATCH(U$1,'WPP 2024 середина года'!$B$1:$U$1,0)))))</f>
        <v>29807.599999999999</v>
      </c>
    </row>
    <row r="121" spans="1:21" x14ac:dyDescent="0.25">
      <c r="A121" s="5">
        <f t="shared" si="1"/>
        <v>2019</v>
      </c>
      <c r="B121" s="7">
        <f>IF($A121&lt;=1951,INDEX('SALA 1974'!$B:$U,MATCH($A121,'SALA 1974'!$A:$A,0),MATCH(B$1,'SALA 1974'!$B$1:$U$1,0)),IF($A121&lt;=1994,1000*INDEX('SALA 2002'!$B:$U,MATCH($A121,'SALA 2002'!$A:$A,0),MATCH(B$1,'SALA 2002'!$B$1:$U$1,0)),IF($A121&lt;=2000,1000*INDEX('SALA 2002'!$B:$U,MATCH($A121,'SALA 2002'!$A:$A,0),MATCH(B$1,'SALA 2002'!$B$1:$U$1,0))*POWER(INDEX('WPP 2024 середина года'!$B:$U,MATCH($A121,'WPP 2024 середина года'!$A:$A,0),MATCH(B$1,'WPP 2024 середина года'!$B$1:$U$1,0))/(1000*INDEX('SALA 2002'!$B:$U,MATCH($A121,'SALA 2002'!$A:$A,0),MATCH(B$1,'SALA 2002'!$B$1:$U$1,0))),($A121-1994)/7),INDEX('WPP 2024 середина года'!$B:$U,MATCH($A121,'WPP 2024 середина года'!$A:$A,0),MATCH(B$1,'WPP 2024 середина года'!$B$1:$U$1,0)))))</f>
        <v>44973.5</v>
      </c>
      <c r="C121" s="7">
        <f>IF($A121&lt;=1951,INDEX('SALA 1974'!$B:$U,MATCH($A121,'SALA 1974'!$A:$A,0),MATCH(C$1,'SALA 1974'!$B$1:$U$1,0)),IF($A121&lt;=1994,1000*INDEX('SALA 2002'!$B:$U,MATCH($A121,'SALA 2002'!$A:$A,0),MATCH(C$1,'SALA 2002'!$B$1:$U$1,0)),IF($A121&lt;=2000,1000*INDEX('SALA 2002'!$B:$U,MATCH($A121,'SALA 2002'!$A:$A,0),MATCH(C$1,'SALA 2002'!$B$1:$U$1,0))*POWER(INDEX('WPP 2024 середина года'!$B:$U,MATCH($A121,'WPP 2024 середина года'!$A:$A,0),MATCH(C$1,'WPP 2024 середина года'!$B$1:$U$1,0))/(1000*INDEX('SALA 2002'!$B:$U,MATCH($A121,'SALA 2002'!$A:$A,0),MATCH(C$1,'SALA 2002'!$B$1:$U$1,0))),($A121-1994)/7),INDEX('WPP 2024 середина года'!$B:$U,MATCH($A121,'WPP 2024 середина года'!$A:$A,0),MATCH(C$1,'WPP 2024 середина года'!$B$1:$U$1,0)))))</f>
        <v>11671.4</v>
      </c>
      <c r="D121" s="7">
        <f>IF($A121&lt;=1951,INDEX('SALA 1974'!$B:$U,MATCH($A121,'SALA 1974'!$A:$A,0),MATCH(D$1,'SALA 1974'!$B$1:$U$1,0)),IF($A121&lt;=1994,1000*INDEX('SALA 2002'!$B:$U,MATCH($A121,'SALA 2002'!$A:$A,0),MATCH(D$1,'SALA 2002'!$B$1:$U$1,0)),IF($A121&lt;=2000,1000*INDEX('SALA 2002'!$B:$U,MATCH($A121,'SALA 2002'!$A:$A,0),MATCH(D$1,'SALA 2002'!$B$1:$U$1,0))*POWER(INDEX('WPP 2024 середина года'!$B:$U,MATCH($A121,'WPP 2024 середина года'!$A:$A,0),MATCH(D$1,'WPP 2024 середина года'!$B$1:$U$1,0))/(1000*INDEX('SALA 2002'!$B:$U,MATCH($A121,'SALA 2002'!$A:$A,0),MATCH(D$1,'SALA 2002'!$B$1:$U$1,0))),($A121-1994)/7),INDEX('WPP 2024 середина года'!$B:$U,MATCH($A121,'WPP 2024 середина года'!$A:$A,0),MATCH(D$1,'WPP 2024 середина года'!$B$1:$U$1,0)))))</f>
        <v>207455.5</v>
      </c>
      <c r="E121" s="7">
        <f>IF($A121&lt;=1951,INDEX('SALA 1974'!$B:$U,MATCH($A121,'SALA 1974'!$A:$A,0),MATCH(E$1,'SALA 1974'!$B$1:$U$1,0)),IF($A121&lt;=1994,1000*INDEX('SALA 2002'!$B:$U,MATCH($A121,'SALA 2002'!$A:$A,0),MATCH(E$1,'SALA 2002'!$B$1:$U$1,0)),IF($A121&lt;=2000,1000*INDEX('SALA 2002'!$B:$U,MATCH($A121,'SALA 2002'!$A:$A,0),MATCH(E$1,'SALA 2002'!$B$1:$U$1,0))*POWER(INDEX('WPP 2024 середина года'!$B:$U,MATCH($A121,'WPP 2024 середина года'!$A:$A,0),MATCH(E$1,'WPP 2024 середина года'!$B$1:$U$1,0))/(1000*INDEX('SALA 2002'!$B:$U,MATCH($A121,'SALA 2002'!$A:$A,0),MATCH(E$1,'SALA 2002'!$B$1:$U$1,0))),($A121-1994)/7),INDEX('WPP 2024 середина года'!$B:$U,MATCH($A121,'WPP 2024 середина года'!$A:$A,0),MATCH(E$1,'WPP 2024 середина года'!$B$1:$U$1,0)))))</f>
        <v>19197.7</v>
      </c>
      <c r="F121" s="7">
        <f>IF($A121&lt;=1947,INDEX('SALA 1974'!$B:$U,MATCH($A121,'SALA 1974'!$A:$A,0),MATCH(F$1,'SALA 1974'!$B$1:$U$1,0)),IF($A121&lt;=1994,1000*INDEX('SALA 2002'!$B:$U,MATCH($A121,'SALA 2002'!$A:$A,0),MATCH(F$1,'SALA 2002'!$B$1:$U$1,0)),IF($A121&lt;=2000,1000*INDEX('SALA 2002'!$B:$U,MATCH($A121,'SALA 2002'!$A:$A,0),MATCH(F$1,'SALA 2002'!$B$1:$U$1,0))*POWER(INDEX('WPP 2024 середина года'!$B:$U,MATCH($A121,'WPP 2024 середина года'!$A:$A,0),MATCH(F$1,'WPP 2024 середина года'!$B$1:$U$1,0))/(1000*INDEX('SALA 2002'!$B:$U,MATCH($A121,'SALA 2002'!$A:$A,0),MATCH(F$1,'SALA 2002'!$B$1:$U$1,0))),($A121-1994)/7),INDEX('WPP 2024 середина года'!$B:$U,MATCH($A121,'WPP 2024 середина года'!$A:$A,0),MATCH(F$1,'WPP 2024 середина года'!$B$1:$U$1,0)))))</f>
        <v>49908</v>
      </c>
      <c r="G121" s="7">
        <f>IF($A121&lt;=1951,INDEX('SALA 1974'!$B:$U,MATCH($A121,'SALA 1974'!$A:$A,0),MATCH(G$1,'SALA 1974'!$B$1:$U$1,0)),IF($A121&lt;=1994,1000*INDEX('SALA 2002'!$B:$U,MATCH($A121,'SALA 2002'!$A:$A,0),MATCH(G$1,'SALA 2002'!$B$1:$U$1,0)),IF($A121&lt;=2000,1000*INDEX('SALA 2002'!$B:$U,MATCH($A121,'SALA 2002'!$A:$A,0),MATCH(G$1,'SALA 2002'!$B$1:$U$1,0))*POWER(INDEX('WPP 2024 середина года'!$B:$U,MATCH($A121,'WPP 2024 середина года'!$A:$A,0),MATCH(G$1,'WPP 2024 середина года'!$B$1:$U$1,0))/(1000*INDEX('SALA 2002'!$B:$U,MATCH($A121,'SALA 2002'!$A:$A,0),MATCH(G$1,'SALA 2002'!$B$1:$U$1,0))),($A121-1994)/7),INDEX('WPP 2024 середина года'!$B:$U,MATCH($A121,'WPP 2024 середина года'!$A:$A,0),MATCH(G$1,'WPP 2024 середина года'!$B$1:$U$1,0)))))</f>
        <v>4999.6000000000004</v>
      </c>
      <c r="H121" s="7">
        <f>IF($A121&lt;=1951,INDEX('SALA 1974'!$B:$U,MATCH($A121,'SALA 1974'!$A:$A,0),MATCH(H$1,'SALA 1974'!$B$1:$U$1,0)),IF($A121&lt;=1994,1000*INDEX('SALA 2002'!$B:$U,MATCH($A121,'SALA 2002'!$A:$A,0),MATCH(H$1,'SALA 2002'!$B$1:$U$1,0)),IF($A121&lt;=2000,1000*INDEX('SALA 2002'!$B:$U,MATCH($A121,'SALA 2002'!$A:$A,0),MATCH(H$1,'SALA 2002'!$B$1:$U$1,0))*POWER(INDEX('WPP 2024 середина года'!$B:$U,MATCH($A121,'WPP 2024 середина года'!$A:$A,0),MATCH(H$1,'WPP 2024 середина года'!$B$1:$U$1,0))/(1000*INDEX('SALA 2002'!$B:$U,MATCH($A121,'SALA 2002'!$A:$A,0),MATCH(H$1,'SALA 2002'!$B$1:$U$1,0))),($A121-1994)/7),INDEX('WPP 2024 середина года'!$B:$U,MATCH($A121,'WPP 2024 середина года'!$A:$A,0),MATCH(H$1,'WPP 2024 середина года'!$B$1:$U$1,0)))))</f>
        <v>11202.8</v>
      </c>
      <c r="I121" s="7">
        <f>IF($A121&lt;=1951,INDEX('SALA 1974'!$B:$U,MATCH($A121,'SALA 1974'!$A:$A,0),MATCH(I$1,'SALA 1974'!$B$1:$U$1,0)),IF($A121&lt;=1994,1000*INDEX('SALA 2002'!$B:$U,MATCH($A121,'SALA 2002'!$A:$A,0),MATCH(I$1,'SALA 2002'!$B$1:$U$1,0)),IF($A121&lt;=2000,1000*INDEX('SALA 2002'!$B:$U,MATCH($A121,'SALA 2002'!$A:$A,0),MATCH(I$1,'SALA 2002'!$B$1:$U$1,0))*POWER(INDEX('WPP 2024 середина года'!$B:$U,MATCH($A121,'WPP 2024 середина года'!$A:$A,0),MATCH(I$1,'WPP 2024 середина года'!$B$1:$U$1,0))/(1000*INDEX('SALA 2002'!$B:$U,MATCH($A121,'SALA 2002'!$A:$A,0),MATCH(I$1,'SALA 2002'!$B$1:$U$1,0))),($A121-1994)/7),INDEX('WPP 2024 середина года'!$B:$U,MATCH($A121,'WPP 2024 середина года'!$A:$A,0),MATCH(I$1,'WPP 2024 середина года'!$B$1:$U$1,0)))))</f>
        <v>10894</v>
      </c>
      <c r="J121" s="7">
        <f>IF($A121&lt;=1951,INDEX('SALA 1974'!$B:$U,MATCH($A121,'SALA 1974'!$A:$A,0),MATCH(J$1,'SALA 1974'!$B$1:$U$1,0)),IF($A121&lt;=1994,1000*INDEX('SALA 2002'!$B:$U,MATCH($A121,'SALA 2002'!$A:$A,0),MATCH(J$1,'SALA 2002'!$B$1:$U$1,0)),IF($A121&lt;=2000,1000*INDEX('SALA 2002'!$B:$U,MATCH($A121,'SALA 2002'!$A:$A,0),MATCH(J$1,'SALA 2002'!$B$1:$U$1,0))*POWER(INDEX('WPP 2024 середина года'!$B:$U,MATCH($A121,'WPP 2024 середина года'!$A:$A,0),MATCH(J$1,'WPP 2024 середина года'!$B$1:$U$1,0))/(1000*INDEX('SALA 2002'!$B:$U,MATCH($A121,'SALA 2002'!$A:$A,0),MATCH(J$1,'SALA 2002'!$B$1:$U$1,0))),($A121-1994)/7),INDEX('WPP 2024 середина года'!$B:$U,MATCH($A121,'WPP 2024 середина года'!$A:$A,0),MATCH(J$1,'WPP 2024 середина года'!$B$1:$U$1,0)))))</f>
        <v>17340</v>
      </c>
      <c r="K121" s="7">
        <f>IF($A121&lt;=1951,INDEX('SALA 1974'!$B:$U,MATCH($A121,'SALA 1974'!$A:$A,0),MATCH(K$1,'SALA 1974'!$B$1:$U$1,0)),IF($A121&lt;=1994,1000*INDEX('SALA 2002'!$B:$U,MATCH($A121,'SALA 2002'!$A:$A,0),MATCH(K$1,'SALA 2002'!$B$1:$U$1,0)),IF($A121&lt;=2000,1000*INDEX('SALA 2002'!$B:$U,MATCH($A121,'SALA 2002'!$A:$A,0),MATCH(K$1,'SALA 2002'!$B$1:$U$1,0))*POWER(INDEX('WPP 2024 середина года'!$B:$U,MATCH($A121,'WPP 2024 середина года'!$A:$A,0),MATCH(K$1,'WPP 2024 середина года'!$B$1:$U$1,0))/(1000*INDEX('SALA 2002'!$B:$U,MATCH($A121,'SALA 2002'!$A:$A,0),MATCH(K$1,'SALA 2002'!$B$1:$U$1,0))),($A121-1994)/7),INDEX('WPP 2024 середина года'!$B:$U,MATCH($A121,'WPP 2024 середина года'!$A:$A,0),MATCH(K$1,'WPP 2024 середина года'!$B$1:$U$1,0)))))</f>
        <v>6222.3</v>
      </c>
      <c r="L121" s="7">
        <f>IF($A121&lt;=1951,INDEX('SALA 1974'!$B:$U,MATCH($A121,'SALA 1974'!$A:$A,0),MATCH(L$1,'SALA 1974'!$B$1:$U$1,0)),IF($A121&lt;=1994,1000*INDEX('SALA 2002'!$B:$U,MATCH($A121,'SALA 2002'!$A:$A,0),MATCH(L$1,'SALA 2002'!$B$1:$U$1,0)),IF($A121&lt;=2000,1000*INDEX('SALA 2002'!$B:$U,MATCH($A121,'SALA 2002'!$A:$A,0),MATCH(L$1,'SALA 2002'!$B$1:$U$1,0))*POWER(INDEX('WPP 2024 середина года'!$B:$U,MATCH($A121,'WPP 2024 середина года'!$A:$A,0),MATCH(L$1,'WPP 2024 середина года'!$B$1:$U$1,0))/(1000*INDEX('SALA 2002'!$B:$U,MATCH($A121,'SALA 2002'!$A:$A,0),MATCH(L$1,'SALA 2002'!$B$1:$U$1,0))),($A121-1994)/7),INDEX('WPP 2024 середина года'!$B:$U,MATCH($A121,'WPP 2024 середина года'!$A:$A,0),MATCH(L$1,'WPP 2024 середина года'!$B$1:$U$1,0)))))</f>
        <v>17103.8</v>
      </c>
      <c r="M121" s="7">
        <f>IF($A121&lt;=1951,INDEX('SALA 1974'!$B:$U,MATCH($A121,'SALA 1974'!$A:$A,0),MATCH(M$1,'SALA 1974'!$B$1:$U$1,0)),IF($A121&lt;=1994,1000*INDEX('SALA 2002'!$B:$U,MATCH($A121,'SALA 2002'!$A:$A,0),MATCH(M$1,'SALA 2002'!$B$1:$U$1,0)),IF($A121&lt;=2000,1000*INDEX('SALA 2002'!$B:$U,MATCH($A121,'SALA 2002'!$A:$A,0),MATCH(M$1,'SALA 2002'!$B$1:$U$1,0))*POWER(INDEX('WPP 2024 середина года'!$B:$U,MATCH($A121,'WPP 2024 середина года'!$A:$A,0),MATCH(M$1,'WPP 2024 середина года'!$B$1:$U$1,0))/(1000*INDEX('SALA 2002'!$B:$U,MATCH($A121,'SALA 2002'!$A:$A,0),MATCH(M$1,'SALA 2002'!$B$1:$U$1,0))),($A121-1994)/7),INDEX('WPP 2024 середина года'!$B:$U,MATCH($A121,'WPP 2024 середина года'!$A:$A,0),MATCH(M$1,'WPP 2024 середина года'!$B$1:$U$1,0)))))</f>
        <v>11105.2</v>
      </c>
      <c r="N121" s="7">
        <f>IF($A121&lt;=1951,INDEX('SALA 1974'!$B:$U,MATCH($A121,'SALA 1974'!$A:$A,0),MATCH(N$1,'SALA 1974'!$B$1:$U$1,0)),IF($A121&lt;=1994,1000*INDEX('SALA 2002'!$B:$U,MATCH($A121,'SALA 2002'!$A:$A,0),MATCH(N$1,'SALA 2002'!$B$1:$U$1,0)),IF($A121&lt;=2000,1000*INDEX('SALA 2002'!$B:$U,MATCH($A121,'SALA 2002'!$A:$A,0),MATCH(N$1,'SALA 2002'!$B$1:$U$1,0))*POWER(INDEX('WPP 2024 середина года'!$B:$U,MATCH($A121,'WPP 2024 середина года'!$A:$A,0),MATCH(N$1,'WPP 2024 середина года'!$B$1:$U$1,0))/(1000*INDEX('SALA 2002'!$B:$U,MATCH($A121,'SALA 2002'!$A:$A,0),MATCH(N$1,'SALA 2002'!$B$1:$U$1,0))),($A121-1994)/7),INDEX('WPP 2024 середина года'!$B:$U,MATCH($A121,'WPP 2024 середина года'!$A:$A,0),MATCH(N$1,'WPP 2024 середина года'!$B$1:$U$1,0)))))</f>
        <v>9943.6</v>
      </c>
      <c r="O121" s="7">
        <f>IF($A121&lt;=1951,INDEX('SALA 1974'!$B:$U,MATCH($A121,'SALA 1974'!$A:$A,0),MATCH(O$1,'SALA 1974'!$B$1:$U$1,0)),IF($A121&lt;=1994,1000*INDEX('SALA 2002'!$B:$U,MATCH($A121,'SALA 2002'!$A:$A,0),MATCH(O$1,'SALA 2002'!$B$1:$U$1,0)),IF($A121&lt;=2000,1000*INDEX('SALA 2002'!$B:$U,MATCH($A121,'SALA 2002'!$A:$A,0),MATCH(O$1,'SALA 2002'!$B$1:$U$1,0))*POWER(INDEX('WPP 2024 середина года'!$B:$U,MATCH($A121,'WPP 2024 середина года'!$A:$A,0),MATCH(O$1,'WPP 2024 середина года'!$B$1:$U$1,0))/(1000*INDEX('SALA 2002'!$B:$U,MATCH($A121,'SALA 2002'!$A:$A,0),MATCH(O$1,'SALA 2002'!$B$1:$U$1,0))),($A121-1994)/7),INDEX('WPP 2024 середина года'!$B:$U,MATCH($A121,'WPP 2024 середина года'!$A:$A,0),MATCH(O$1,'WPP 2024 середина года'!$B$1:$U$1,0)))))</f>
        <v>125763</v>
      </c>
      <c r="P121" s="7">
        <f>IF($A121&lt;=1951,INDEX('SALA 1974'!$B:$U,MATCH($A121,'SALA 1974'!$A:$A,0),MATCH(P$1,'SALA 1974'!$B$1:$U$1,0)),IF($A121&lt;=1994,1000*INDEX('SALA 2002'!$B:$U,MATCH($A121,'SALA 2002'!$A:$A,0),MATCH(P$1,'SALA 2002'!$B$1:$U$1,0)),IF($A121&lt;=2000,1000*INDEX('SALA 2002'!$B:$U,MATCH($A121,'SALA 2002'!$A:$A,0),MATCH(P$1,'SALA 2002'!$B$1:$U$1,0))*POWER(INDEX('WPP 2024 середина года'!$B:$U,MATCH($A121,'WPP 2024 середина года'!$A:$A,0),MATCH(P$1,'WPP 2024 середина года'!$B$1:$U$1,0))/(1000*INDEX('SALA 2002'!$B:$U,MATCH($A121,'SALA 2002'!$A:$A,0),MATCH(P$1,'SALA 2002'!$B$1:$U$1,0))),($A121-1994)/7),INDEX('WPP 2024 середина года'!$B:$U,MATCH($A121,'WPP 2024 середина года'!$A:$A,0),MATCH(P$1,'WPP 2024 середина года'!$B$1:$U$1,0)))))</f>
        <v>6483.7</v>
      </c>
      <c r="Q121" s="7">
        <f>IF($A121&lt;=1951,INDEX('SALA 1974'!$B:$U,MATCH($A121,'SALA 1974'!$A:$A,0),MATCH(Q$1,'SALA 1974'!$B$1:$U$1,0)),IF($A121&lt;=1994,1000*INDEX('SALA 2002'!$B:$U,MATCH($A121,'SALA 2002'!$A:$A,0),MATCH(Q$1,'SALA 2002'!$B$1:$U$1,0)),IF($A121&lt;=2000,1000*INDEX('SALA 2002'!$B:$U,MATCH($A121,'SALA 2002'!$A:$A,0),MATCH(Q$1,'SALA 2002'!$B$1:$U$1,0))*POWER(INDEX('WPP 2024 середина года'!$B:$U,MATCH($A121,'WPP 2024 середина года'!$A:$A,0),MATCH(Q$1,'WPP 2024 середина года'!$B$1:$U$1,0))/(1000*INDEX('SALA 2002'!$B:$U,MATCH($A121,'SALA 2002'!$A:$A,0),MATCH(Q$1,'SALA 2002'!$B$1:$U$1,0))),($A121-1994)/7),INDEX('WPP 2024 середина года'!$B:$U,MATCH($A121,'WPP 2024 середина года'!$A:$A,0),MATCH(Q$1,'WPP 2024 середина года'!$B$1:$U$1,0)))))</f>
        <v>4234.7</v>
      </c>
      <c r="R121" s="7">
        <f>IF($A121&lt;=1951,INDEX('SALA 1974'!$B:$U,MATCH($A121,'SALA 1974'!$A:$A,0),MATCH(R$1,'SALA 1974'!$B$1:$U$1,0)),IF($A121&lt;=1994,1000*INDEX('SALA 2002'!$B:$U,MATCH($A121,'SALA 2002'!$A:$A,0),MATCH(R$1,'SALA 2002'!$B$1:$U$1,0)),IF($A121&lt;=2000,1000*INDEX('SALA 2002'!$B:$U,MATCH($A121,'SALA 2002'!$A:$A,0),MATCH(R$1,'SALA 2002'!$B$1:$U$1,0))*POWER(INDEX('WPP 2024 середина года'!$B:$U,MATCH($A121,'WPP 2024 середина года'!$A:$A,0),MATCH(R$1,'WPP 2024 середина года'!$B$1:$U$1,0))/(1000*INDEX('SALA 2002'!$B:$U,MATCH($A121,'SALA 2002'!$A:$A,0),MATCH(R$1,'SALA 2002'!$B$1:$U$1,0))),($A121-1994)/7),INDEX('WPP 2024 середина года'!$B:$U,MATCH($A121,'WPP 2024 середина года'!$A:$A,0),MATCH(R$1,'WPP 2024 середина года'!$B$1:$U$1,0)))))</f>
        <v>6515.1</v>
      </c>
      <c r="S121" s="7">
        <f>IF($A121&lt;=1951,INDEX('SALA 1974'!$B:$U,MATCH($A121,'SALA 1974'!$A:$A,0),MATCH(S$1,'SALA 1974'!$B$1:$U$1,0)),IF($A121&lt;=1994,1000*INDEX('SALA 2002'!$B:$U,MATCH($A121,'SALA 2002'!$A:$A,0),MATCH(S$1,'SALA 2002'!$B$1:$U$1,0)),IF($A121&lt;=2000,1000*INDEX('SALA 2002'!$B:$U,MATCH($A121,'SALA 2002'!$A:$A,0),MATCH(S$1,'SALA 2002'!$B$1:$U$1,0))*POWER(INDEX('WPP 2024 середина года'!$B:$U,MATCH($A121,'WPP 2024 середина года'!$A:$A,0),MATCH(S$1,'WPP 2024 середина года'!$B$1:$U$1,0))/(1000*INDEX('SALA 2002'!$B:$U,MATCH($A121,'SALA 2002'!$A:$A,0),MATCH(S$1,'SALA 2002'!$B$1:$U$1,0))),($A121-1994)/7),INDEX('WPP 2024 середина года'!$B:$U,MATCH($A121,'WPP 2024 середина года'!$A:$A,0),MATCH(S$1,'WPP 2024 середина года'!$B$1:$U$1,0)))))</f>
        <v>32449.3</v>
      </c>
      <c r="T121" s="7">
        <f>IF($A121&lt;=1951,INDEX('SALA 1974'!$B:$U,MATCH($A121,'SALA 1974'!$A:$A,0),MATCH(T$1,'SALA 1974'!$B$1:$U$1,0)),IF($A121&lt;=1994,1000*INDEX('SALA 2002'!$B:$U,MATCH($A121,'SALA 2002'!$A:$A,0),MATCH(T$1,'SALA 2002'!$B$1:$U$1,0)),IF($A121&lt;=2000,1000*INDEX('SALA 2002'!$B:$U,MATCH($A121,'SALA 2002'!$A:$A,0),MATCH(T$1,'SALA 2002'!$B$1:$U$1,0))*POWER(INDEX('WPP 2024 середина года'!$B:$U,MATCH($A121,'WPP 2024 середина года'!$A:$A,0),MATCH(T$1,'WPP 2024 середина года'!$B$1:$U$1,0))/(1000*INDEX('SALA 2002'!$B:$U,MATCH($A121,'SALA 2002'!$A:$A,0),MATCH(T$1,'SALA 2002'!$B$1:$U$1,0))),($A121-1994)/7),INDEX('WPP 2024 середина года'!$B:$U,MATCH($A121,'WPP 2024 середина года'!$A:$A,0),MATCH(T$1,'WPP 2024 середина года'!$B$1:$U$1,0)))))</f>
        <v>3397.2</v>
      </c>
      <c r="U121" s="7">
        <f>IF($A121&lt;=1951,INDEX('SALA 1974'!$B:$U,MATCH($A121,'SALA 1974'!$A:$A,0),MATCH(U$1,'SALA 1974'!$B$1:$U$1,0)),IF($A121&lt;=1994,1000*INDEX('SALA 2002'!$B:$U,MATCH($A121,'SALA 2002'!$A:$A,0),MATCH(U$1,'SALA 2002'!$B$1:$U$1,0)),IF($A121&lt;=2000,1000*INDEX('SALA 2002'!$B:$U,MATCH($A121,'SALA 2002'!$A:$A,0),MATCH(U$1,'SALA 2002'!$B$1:$U$1,0))*POWER(INDEX('WPP 2024 середина года'!$B:$U,MATCH($A121,'WPP 2024 середина года'!$A:$A,0),MATCH(U$1,'WPP 2024 середина года'!$B$1:$U$1,0))/(1000*INDEX('SALA 2002'!$B:$U,MATCH($A121,'SALA 2002'!$A:$A,0),MATCH(U$1,'SALA 2002'!$B$1:$U$1,0))),($A121-1994)/7),INDEX('WPP 2024 середина года'!$B:$U,MATCH($A121,'WPP 2024 середина года'!$A:$A,0),MATCH(U$1,'WPP 2024 середина года'!$B$1:$U$1,0)))))</f>
        <v>28938.1</v>
      </c>
    </row>
    <row r="122" spans="1:21" x14ac:dyDescent="0.25">
      <c r="A122" s="5">
        <f t="shared" si="1"/>
        <v>2020</v>
      </c>
      <c r="B122" s="7">
        <f>IF($A122&lt;=1951,INDEX('SALA 1974'!$B:$U,MATCH($A122,'SALA 1974'!$A:$A,0),MATCH(B$1,'SALA 1974'!$B$1:$U$1,0)),IF($A122&lt;=1994,1000*INDEX('SALA 2002'!$B:$U,MATCH($A122,'SALA 2002'!$A:$A,0),MATCH(B$1,'SALA 2002'!$B$1:$U$1,0)),IF($A122&lt;=2000,1000*INDEX('SALA 2002'!$B:$U,MATCH($A122,'SALA 2002'!$A:$A,0),MATCH(B$1,'SALA 2002'!$B$1:$U$1,0))*POWER(INDEX('WPP 2024 середина года'!$B:$U,MATCH($A122,'WPP 2024 середина года'!$A:$A,0),MATCH(B$1,'WPP 2024 середина года'!$B$1:$U$1,0))/(1000*INDEX('SALA 2002'!$B:$U,MATCH($A122,'SALA 2002'!$A:$A,0),MATCH(B$1,'SALA 2002'!$B$1:$U$1,0))),($A122-1994)/7),INDEX('WPP 2024 середина года'!$B:$U,MATCH($A122,'WPP 2024 середина года'!$A:$A,0),MATCH(B$1,'WPP 2024 середина года'!$B$1:$U$1,0)))))</f>
        <v>45192</v>
      </c>
      <c r="C122" s="7">
        <f>IF($A122&lt;=1951,INDEX('SALA 1974'!$B:$U,MATCH($A122,'SALA 1974'!$A:$A,0),MATCH(C$1,'SALA 1974'!$B$1:$U$1,0)),IF($A122&lt;=1994,1000*INDEX('SALA 2002'!$B:$U,MATCH($A122,'SALA 2002'!$A:$A,0),MATCH(C$1,'SALA 2002'!$B$1:$U$1,0)),IF($A122&lt;=2000,1000*INDEX('SALA 2002'!$B:$U,MATCH($A122,'SALA 2002'!$A:$A,0),MATCH(C$1,'SALA 2002'!$B$1:$U$1,0))*POWER(INDEX('WPP 2024 середина года'!$B:$U,MATCH($A122,'WPP 2024 середина года'!$A:$A,0),MATCH(C$1,'WPP 2024 середина года'!$B$1:$U$1,0))/(1000*INDEX('SALA 2002'!$B:$U,MATCH($A122,'SALA 2002'!$A:$A,0),MATCH(C$1,'SALA 2002'!$B$1:$U$1,0))),($A122-1994)/7),INDEX('WPP 2024 середина года'!$B:$U,MATCH($A122,'WPP 2024 середина года'!$A:$A,0),MATCH(C$1,'WPP 2024 середина года'!$B$1:$U$1,0)))))</f>
        <v>11816.3</v>
      </c>
      <c r="D122" s="7">
        <f>IF($A122&lt;=1951,INDEX('SALA 1974'!$B:$U,MATCH($A122,'SALA 1974'!$A:$A,0),MATCH(D$1,'SALA 1974'!$B$1:$U$1,0)),IF($A122&lt;=1994,1000*INDEX('SALA 2002'!$B:$U,MATCH($A122,'SALA 2002'!$A:$A,0),MATCH(D$1,'SALA 2002'!$B$1:$U$1,0)),IF($A122&lt;=2000,1000*INDEX('SALA 2002'!$B:$U,MATCH($A122,'SALA 2002'!$A:$A,0),MATCH(D$1,'SALA 2002'!$B$1:$U$1,0))*POWER(INDEX('WPP 2024 середина года'!$B:$U,MATCH($A122,'WPP 2024 середина года'!$A:$A,0),MATCH(D$1,'WPP 2024 середина года'!$B$1:$U$1,0))/(1000*INDEX('SALA 2002'!$B:$U,MATCH($A122,'SALA 2002'!$A:$A,0),MATCH(D$1,'SALA 2002'!$B$1:$U$1,0))),($A122-1994)/7),INDEX('WPP 2024 середина года'!$B:$U,MATCH($A122,'WPP 2024 середина года'!$A:$A,0),MATCH(D$1,'WPP 2024 середина года'!$B$1:$U$1,0)))))</f>
        <v>208660.8</v>
      </c>
      <c r="E122" s="7">
        <f>IF($A122&lt;=1951,INDEX('SALA 1974'!$B:$U,MATCH($A122,'SALA 1974'!$A:$A,0),MATCH(E$1,'SALA 1974'!$B$1:$U$1,0)),IF($A122&lt;=1994,1000*INDEX('SALA 2002'!$B:$U,MATCH($A122,'SALA 2002'!$A:$A,0),MATCH(E$1,'SALA 2002'!$B$1:$U$1,0)),IF($A122&lt;=2000,1000*INDEX('SALA 2002'!$B:$U,MATCH($A122,'SALA 2002'!$A:$A,0),MATCH(E$1,'SALA 2002'!$B$1:$U$1,0))*POWER(INDEX('WPP 2024 середина года'!$B:$U,MATCH($A122,'WPP 2024 середина года'!$A:$A,0),MATCH(E$1,'WPP 2024 середина года'!$B$1:$U$1,0))/(1000*INDEX('SALA 2002'!$B:$U,MATCH($A122,'SALA 2002'!$A:$A,0),MATCH(E$1,'SALA 2002'!$B$1:$U$1,0))),($A122-1994)/7),INDEX('WPP 2024 середина года'!$B:$U,MATCH($A122,'WPP 2024 середина года'!$A:$A,0),MATCH(E$1,'WPP 2024 середина года'!$B$1:$U$1,0)))))</f>
        <v>19370.599999999999</v>
      </c>
      <c r="F122" s="7">
        <f>IF($A122&lt;=1947,INDEX('SALA 1974'!$B:$U,MATCH($A122,'SALA 1974'!$A:$A,0),MATCH(F$1,'SALA 1974'!$B$1:$U$1,0)),IF($A122&lt;=1994,1000*INDEX('SALA 2002'!$B:$U,MATCH($A122,'SALA 2002'!$A:$A,0),MATCH(F$1,'SALA 2002'!$B$1:$U$1,0)),IF($A122&lt;=2000,1000*INDEX('SALA 2002'!$B:$U,MATCH($A122,'SALA 2002'!$A:$A,0),MATCH(F$1,'SALA 2002'!$B$1:$U$1,0))*POWER(INDEX('WPP 2024 середина года'!$B:$U,MATCH($A122,'WPP 2024 середина года'!$A:$A,0),MATCH(F$1,'WPP 2024 середина года'!$B$1:$U$1,0))/(1000*INDEX('SALA 2002'!$B:$U,MATCH($A122,'SALA 2002'!$A:$A,0),MATCH(F$1,'SALA 2002'!$B$1:$U$1,0))),($A122-1994)/7),INDEX('WPP 2024 середина года'!$B:$U,MATCH($A122,'WPP 2024 середина года'!$A:$A,0),MATCH(F$1,'WPP 2024 середина года'!$B$1:$U$1,0)))))</f>
        <v>50630</v>
      </c>
      <c r="G122" s="7">
        <f>IF($A122&lt;=1951,INDEX('SALA 1974'!$B:$U,MATCH($A122,'SALA 1974'!$A:$A,0),MATCH(G$1,'SALA 1974'!$B$1:$U$1,0)),IF($A122&lt;=1994,1000*INDEX('SALA 2002'!$B:$U,MATCH($A122,'SALA 2002'!$A:$A,0),MATCH(G$1,'SALA 2002'!$B$1:$U$1,0)),IF($A122&lt;=2000,1000*INDEX('SALA 2002'!$B:$U,MATCH($A122,'SALA 2002'!$A:$A,0),MATCH(G$1,'SALA 2002'!$B$1:$U$1,0))*POWER(INDEX('WPP 2024 середина года'!$B:$U,MATCH($A122,'WPP 2024 середина года'!$A:$A,0),MATCH(G$1,'WPP 2024 середина года'!$B$1:$U$1,0))/(1000*INDEX('SALA 2002'!$B:$U,MATCH($A122,'SALA 2002'!$A:$A,0),MATCH(G$1,'SALA 2002'!$B$1:$U$1,0))),($A122-1994)/7),INDEX('WPP 2024 середина года'!$B:$U,MATCH($A122,'WPP 2024 середина года'!$A:$A,0),MATCH(G$1,'WPP 2024 середина года'!$B$1:$U$1,0)))))</f>
        <v>5034.3</v>
      </c>
      <c r="H122" s="7">
        <f>IF($A122&lt;=1951,INDEX('SALA 1974'!$B:$U,MATCH($A122,'SALA 1974'!$A:$A,0),MATCH(H$1,'SALA 1974'!$B$1:$U$1,0)),IF($A122&lt;=1994,1000*INDEX('SALA 2002'!$B:$U,MATCH($A122,'SALA 2002'!$A:$A,0),MATCH(H$1,'SALA 2002'!$B$1:$U$1,0)),IF($A122&lt;=2000,1000*INDEX('SALA 2002'!$B:$U,MATCH($A122,'SALA 2002'!$A:$A,0),MATCH(H$1,'SALA 2002'!$B$1:$U$1,0))*POWER(INDEX('WPP 2024 середина года'!$B:$U,MATCH($A122,'WPP 2024 середина года'!$A:$A,0),MATCH(H$1,'WPP 2024 середина года'!$B$1:$U$1,0))/(1000*INDEX('SALA 2002'!$B:$U,MATCH($A122,'SALA 2002'!$A:$A,0),MATCH(H$1,'SALA 2002'!$B$1:$U$1,0))),($A122-1994)/7),INDEX('WPP 2024 середина года'!$B:$U,MATCH($A122,'WPP 2024 середина года'!$A:$A,0),MATCH(H$1,'WPP 2024 середина года'!$B$1:$U$1,0)))))</f>
        <v>11176.4</v>
      </c>
      <c r="I122" s="7">
        <f>IF($A122&lt;=1951,INDEX('SALA 1974'!$B:$U,MATCH($A122,'SALA 1974'!$A:$A,0),MATCH(I$1,'SALA 1974'!$B$1:$U$1,0)),IF($A122&lt;=1994,1000*INDEX('SALA 2002'!$B:$U,MATCH($A122,'SALA 2002'!$A:$A,0),MATCH(I$1,'SALA 2002'!$B$1:$U$1,0)),IF($A122&lt;=2000,1000*INDEX('SALA 2002'!$B:$U,MATCH($A122,'SALA 2002'!$A:$A,0),MATCH(I$1,'SALA 2002'!$B$1:$U$1,0))*POWER(INDEX('WPP 2024 середина года'!$B:$U,MATCH($A122,'WPP 2024 середина года'!$A:$A,0),MATCH(I$1,'WPP 2024 середина года'!$B$1:$U$1,0))/(1000*INDEX('SALA 2002'!$B:$U,MATCH($A122,'SALA 2002'!$A:$A,0),MATCH(I$1,'SALA 2002'!$B$1:$U$1,0))),($A122-1994)/7),INDEX('WPP 2024 середина года'!$B:$U,MATCH($A122,'WPP 2024 середина года'!$A:$A,0),MATCH(I$1,'WPP 2024 середина года'!$B$1:$U$1,0)))))</f>
        <v>11008.3</v>
      </c>
      <c r="J122" s="7">
        <f>IF($A122&lt;=1951,INDEX('SALA 1974'!$B:$U,MATCH($A122,'SALA 1974'!$A:$A,0),MATCH(J$1,'SALA 1974'!$B$1:$U$1,0)),IF($A122&lt;=1994,1000*INDEX('SALA 2002'!$B:$U,MATCH($A122,'SALA 2002'!$A:$A,0),MATCH(J$1,'SALA 2002'!$B$1:$U$1,0)),IF($A122&lt;=2000,1000*INDEX('SALA 2002'!$B:$U,MATCH($A122,'SALA 2002'!$A:$A,0),MATCH(J$1,'SALA 2002'!$B$1:$U$1,0))*POWER(INDEX('WPP 2024 середина года'!$B:$U,MATCH($A122,'WPP 2024 середина года'!$A:$A,0),MATCH(J$1,'WPP 2024 середина года'!$B$1:$U$1,0))/(1000*INDEX('SALA 2002'!$B:$U,MATCH($A122,'SALA 2002'!$A:$A,0),MATCH(J$1,'SALA 2002'!$B$1:$U$1,0))),($A122-1994)/7),INDEX('WPP 2024 середина года'!$B:$U,MATCH($A122,'WPP 2024 середина года'!$A:$A,0),MATCH(J$1,'WPP 2024 середина года'!$B$1:$U$1,0)))))</f>
        <v>17546.099999999999</v>
      </c>
      <c r="K122" s="7">
        <f>IF($A122&lt;=1951,INDEX('SALA 1974'!$B:$U,MATCH($A122,'SALA 1974'!$A:$A,0),MATCH(K$1,'SALA 1974'!$B$1:$U$1,0)),IF($A122&lt;=1994,1000*INDEX('SALA 2002'!$B:$U,MATCH($A122,'SALA 2002'!$A:$A,0),MATCH(K$1,'SALA 2002'!$B$1:$U$1,0)),IF($A122&lt;=2000,1000*INDEX('SALA 2002'!$B:$U,MATCH($A122,'SALA 2002'!$A:$A,0),MATCH(K$1,'SALA 2002'!$B$1:$U$1,0))*POWER(INDEX('WPP 2024 середина года'!$B:$U,MATCH($A122,'WPP 2024 середина года'!$A:$A,0),MATCH(K$1,'WPP 2024 середина года'!$B$1:$U$1,0))/(1000*INDEX('SALA 2002'!$B:$U,MATCH($A122,'SALA 2002'!$A:$A,0),MATCH(K$1,'SALA 2002'!$B$1:$U$1,0))),($A122-1994)/7),INDEX('WPP 2024 середина года'!$B:$U,MATCH($A122,'WPP 2024 середина года'!$A:$A,0),MATCH(K$1,'WPP 2024 середина года'!$B$1:$U$1,0)))))</f>
        <v>6234.7</v>
      </c>
      <c r="L122" s="7">
        <f>IF($A122&lt;=1951,INDEX('SALA 1974'!$B:$U,MATCH($A122,'SALA 1974'!$A:$A,0),MATCH(L$1,'SALA 1974'!$B$1:$U$1,0)),IF($A122&lt;=1994,1000*INDEX('SALA 2002'!$B:$U,MATCH($A122,'SALA 2002'!$A:$A,0),MATCH(L$1,'SALA 2002'!$B$1:$U$1,0)),IF($A122&lt;=2000,1000*INDEX('SALA 2002'!$B:$U,MATCH($A122,'SALA 2002'!$A:$A,0),MATCH(L$1,'SALA 2002'!$B$1:$U$1,0))*POWER(INDEX('WPP 2024 середина года'!$B:$U,MATCH($A122,'WPP 2024 середина года'!$A:$A,0),MATCH(L$1,'WPP 2024 середина года'!$B$1:$U$1,0))/(1000*INDEX('SALA 2002'!$B:$U,MATCH($A122,'SALA 2002'!$A:$A,0),MATCH(L$1,'SALA 2002'!$B$1:$U$1,0))),($A122-1994)/7),INDEX('WPP 2024 середина года'!$B:$U,MATCH($A122,'WPP 2024 середина года'!$A:$A,0),MATCH(L$1,'WPP 2024 середина года'!$B$1:$U$1,0)))))</f>
        <v>17357.3</v>
      </c>
      <c r="M122" s="7">
        <f>IF($A122&lt;=1951,INDEX('SALA 1974'!$B:$U,MATCH($A122,'SALA 1974'!$A:$A,0),MATCH(M$1,'SALA 1974'!$B$1:$U$1,0)),IF($A122&lt;=1994,1000*INDEX('SALA 2002'!$B:$U,MATCH($A122,'SALA 2002'!$A:$A,0),MATCH(M$1,'SALA 2002'!$B$1:$U$1,0)),IF($A122&lt;=2000,1000*INDEX('SALA 2002'!$B:$U,MATCH($A122,'SALA 2002'!$A:$A,0),MATCH(M$1,'SALA 2002'!$B$1:$U$1,0))*POWER(INDEX('WPP 2024 середина года'!$B:$U,MATCH($A122,'WPP 2024 середина года'!$A:$A,0),MATCH(M$1,'WPP 2024 середина года'!$B$1:$U$1,0))/(1000*INDEX('SALA 2002'!$B:$U,MATCH($A122,'SALA 2002'!$A:$A,0),MATCH(M$1,'SALA 2002'!$B$1:$U$1,0))),($A122-1994)/7),INDEX('WPP 2024 середина года'!$B:$U,MATCH($A122,'WPP 2024 середина года'!$A:$A,0),MATCH(M$1,'WPP 2024 середина года'!$B$1:$U$1,0)))))</f>
        <v>11243.8</v>
      </c>
      <c r="N122" s="7">
        <f>IF($A122&lt;=1951,INDEX('SALA 1974'!$B:$U,MATCH($A122,'SALA 1974'!$A:$A,0),MATCH(N$1,'SALA 1974'!$B$1:$U$1,0)),IF($A122&lt;=1994,1000*INDEX('SALA 2002'!$B:$U,MATCH($A122,'SALA 2002'!$A:$A,0),MATCH(N$1,'SALA 2002'!$B$1:$U$1,0)),IF($A122&lt;=2000,1000*INDEX('SALA 2002'!$B:$U,MATCH($A122,'SALA 2002'!$A:$A,0),MATCH(N$1,'SALA 2002'!$B$1:$U$1,0))*POWER(INDEX('WPP 2024 середина года'!$B:$U,MATCH($A122,'WPP 2024 середина года'!$A:$A,0),MATCH(N$1,'WPP 2024 середина года'!$B$1:$U$1,0))/(1000*INDEX('SALA 2002'!$B:$U,MATCH($A122,'SALA 2002'!$A:$A,0),MATCH(N$1,'SALA 2002'!$B$1:$U$1,0))),($A122-1994)/7),INDEX('WPP 2024 середина года'!$B:$U,MATCH($A122,'WPP 2024 середина года'!$A:$A,0),MATCH(N$1,'WPP 2024 середина года'!$B$1:$U$1,0)))))</f>
        <v>10119.6</v>
      </c>
      <c r="O122" s="7">
        <f>IF($A122&lt;=1951,INDEX('SALA 1974'!$B:$U,MATCH($A122,'SALA 1974'!$A:$A,0),MATCH(O$1,'SALA 1974'!$B$1:$U$1,0)),IF($A122&lt;=1994,1000*INDEX('SALA 2002'!$B:$U,MATCH($A122,'SALA 2002'!$A:$A,0),MATCH(O$1,'SALA 2002'!$B$1:$U$1,0)),IF($A122&lt;=2000,1000*INDEX('SALA 2002'!$B:$U,MATCH($A122,'SALA 2002'!$A:$A,0),MATCH(O$1,'SALA 2002'!$B$1:$U$1,0))*POWER(INDEX('WPP 2024 середина года'!$B:$U,MATCH($A122,'WPP 2024 середина года'!$A:$A,0),MATCH(O$1,'WPP 2024 середина года'!$B$1:$U$1,0))/(1000*INDEX('SALA 2002'!$B:$U,MATCH($A122,'SALA 2002'!$A:$A,0),MATCH(O$1,'SALA 2002'!$B$1:$U$1,0))),($A122-1994)/7),INDEX('WPP 2024 середина года'!$B:$U,MATCH($A122,'WPP 2024 середина года'!$A:$A,0),MATCH(O$1,'WPP 2024 середина года'!$B$1:$U$1,0)))))</f>
        <v>126799.1</v>
      </c>
      <c r="P122" s="7">
        <f>IF($A122&lt;=1951,INDEX('SALA 1974'!$B:$U,MATCH($A122,'SALA 1974'!$A:$A,0),MATCH(P$1,'SALA 1974'!$B$1:$U$1,0)),IF($A122&lt;=1994,1000*INDEX('SALA 2002'!$B:$U,MATCH($A122,'SALA 2002'!$A:$A,0),MATCH(P$1,'SALA 2002'!$B$1:$U$1,0)),IF($A122&lt;=2000,1000*INDEX('SALA 2002'!$B:$U,MATCH($A122,'SALA 2002'!$A:$A,0),MATCH(P$1,'SALA 2002'!$B$1:$U$1,0))*POWER(INDEX('WPP 2024 середина года'!$B:$U,MATCH($A122,'WPP 2024 середина года'!$A:$A,0),MATCH(P$1,'WPP 2024 середина года'!$B$1:$U$1,0))/(1000*INDEX('SALA 2002'!$B:$U,MATCH($A122,'SALA 2002'!$A:$A,0),MATCH(P$1,'SALA 2002'!$B$1:$U$1,0))),($A122-1994)/7),INDEX('WPP 2024 середина года'!$B:$U,MATCH($A122,'WPP 2024 середина года'!$A:$A,0),MATCH(P$1,'WPP 2024 середина года'!$B$1:$U$1,0)))))</f>
        <v>6565.3</v>
      </c>
      <c r="Q122" s="7">
        <f>IF($A122&lt;=1951,INDEX('SALA 1974'!$B:$U,MATCH($A122,'SALA 1974'!$A:$A,0),MATCH(Q$1,'SALA 1974'!$B$1:$U$1,0)),IF($A122&lt;=1994,1000*INDEX('SALA 2002'!$B:$U,MATCH($A122,'SALA 2002'!$A:$A,0),MATCH(Q$1,'SALA 2002'!$B$1:$U$1,0)),IF($A122&lt;=2000,1000*INDEX('SALA 2002'!$B:$U,MATCH($A122,'SALA 2002'!$A:$A,0),MATCH(Q$1,'SALA 2002'!$B$1:$U$1,0))*POWER(INDEX('WPP 2024 середина года'!$B:$U,MATCH($A122,'WPP 2024 середина года'!$A:$A,0),MATCH(Q$1,'WPP 2024 середина года'!$B$1:$U$1,0))/(1000*INDEX('SALA 2002'!$B:$U,MATCH($A122,'SALA 2002'!$A:$A,0),MATCH(Q$1,'SALA 2002'!$B$1:$U$1,0))),($A122-1994)/7),INDEX('WPP 2024 середина года'!$B:$U,MATCH($A122,'WPP 2024 середина года'!$A:$A,0),MATCH(Q$1,'WPP 2024 середина года'!$B$1:$U$1,0)))))</f>
        <v>4293.3</v>
      </c>
      <c r="R122" s="7">
        <f>IF($A122&lt;=1951,INDEX('SALA 1974'!$B:$U,MATCH($A122,'SALA 1974'!$A:$A,0),MATCH(R$1,'SALA 1974'!$B$1:$U$1,0)),IF($A122&lt;=1994,1000*INDEX('SALA 2002'!$B:$U,MATCH($A122,'SALA 2002'!$A:$A,0),MATCH(R$1,'SALA 2002'!$B$1:$U$1,0)),IF($A122&lt;=2000,1000*INDEX('SALA 2002'!$B:$U,MATCH($A122,'SALA 2002'!$A:$A,0),MATCH(R$1,'SALA 2002'!$B$1:$U$1,0))*POWER(INDEX('WPP 2024 середина года'!$B:$U,MATCH($A122,'WPP 2024 середина года'!$A:$A,0),MATCH(R$1,'WPP 2024 середина года'!$B$1:$U$1,0))/(1000*INDEX('SALA 2002'!$B:$U,MATCH($A122,'SALA 2002'!$A:$A,0),MATCH(R$1,'SALA 2002'!$B$1:$U$1,0))),($A122-1994)/7),INDEX('WPP 2024 середина года'!$B:$U,MATCH($A122,'WPP 2024 середина года'!$A:$A,0),MATCH(R$1,'WPP 2024 середина года'!$B$1:$U$1,0)))))</f>
        <v>6603.7</v>
      </c>
      <c r="S122" s="7">
        <f>IF($A122&lt;=1951,INDEX('SALA 1974'!$B:$U,MATCH($A122,'SALA 1974'!$A:$A,0),MATCH(S$1,'SALA 1974'!$B$1:$U$1,0)),IF($A122&lt;=1994,1000*INDEX('SALA 2002'!$B:$U,MATCH($A122,'SALA 2002'!$A:$A,0),MATCH(S$1,'SALA 2002'!$B$1:$U$1,0)),IF($A122&lt;=2000,1000*INDEX('SALA 2002'!$B:$U,MATCH($A122,'SALA 2002'!$A:$A,0),MATCH(S$1,'SALA 2002'!$B$1:$U$1,0))*POWER(INDEX('WPP 2024 середина года'!$B:$U,MATCH($A122,'WPP 2024 середина года'!$A:$A,0),MATCH(S$1,'WPP 2024 середина года'!$B$1:$U$1,0))/(1000*INDEX('SALA 2002'!$B:$U,MATCH($A122,'SALA 2002'!$A:$A,0),MATCH(S$1,'SALA 2002'!$B$1:$U$1,0))),($A122-1994)/7),INDEX('WPP 2024 середина года'!$B:$U,MATCH($A122,'WPP 2024 середина года'!$A:$A,0),MATCH(S$1,'WPP 2024 середина года'!$B$1:$U$1,0)))))</f>
        <v>32838.6</v>
      </c>
      <c r="T122" s="7">
        <f>IF($A122&lt;=1951,INDEX('SALA 1974'!$B:$U,MATCH($A122,'SALA 1974'!$A:$A,0),MATCH(T$1,'SALA 1974'!$B$1:$U$1,0)),IF($A122&lt;=1994,1000*INDEX('SALA 2002'!$B:$U,MATCH($A122,'SALA 2002'!$A:$A,0),MATCH(T$1,'SALA 2002'!$B$1:$U$1,0)),IF($A122&lt;=2000,1000*INDEX('SALA 2002'!$B:$U,MATCH($A122,'SALA 2002'!$A:$A,0),MATCH(T$1,'SALA 2002'!$B$1:$U$1,0))*POWER(INDEX('WPP 2024 середина года'!$B:$U,MATCH($A122,'WPP 2024 середина года'!$A:$A,0),MATCH(T$1,'WPP 2024 середина года'!$B$1:$U$1,0))/(1000*INDEX('SALA 2002'!$B:$U,MATCH($A122,'SALA 2002'!$A:$A,0),MATCH(T$1,'SALA 2002'!$B$1:$U$1,0))),($A122-1994)/7),INDEX('WPP 2024 середина года'!$B:$U,MATCH($A122,'WPP 2024 середина года'!$A:$A,0),MATCH(T$1,'WPP 2024 середина года'!$B$1:$U$1,0)))))</f>
        <v>3399</v>
      </c>
      <c r="U122" s="7">
        <f>IF($A122&lt;=1951,INDEX('SALA 1974'!$B:$U,MATCH($A122,'SALA 1974'!$A:$A,0),MATCH(U$1,'SALA 1974'!$B$1:$U$1,0)),IF($A122&lt;=1994,1000*INDEX('SALA 2002'!$B:$U,MATCH($A122,'SALA 2002'!$A:$A,0),MATCH(U$1,'SALA 2002'!$B$1:$U$1,0)),IF($A122&lt;=2000,1000*INDEX('SALA 2002'!$B:$U,MATCH($A122,'SALA 2002'!$A:$A,0),MATCH(U$1,'SALA 2002'!$B$1:$U$1,0))*POWER(INDEX('WPP 2024 середина года'!$B:$U,MATCH($A122,'WPP 2024 середина года'!$A:$A,0),MATCH(U$1,'WPP 2024 середина года'!$B$1:$U$1,0))/(1000*INDEX('SALA 2002'!$B:$U,MATCH($A122,'SALA 2002'!$A:$A,0),MATCH(U$1,'SALA 2002'!$B$1:$U$1,0))),($A122-1994)/7),INDEX('WPP 2024 середина года'!$B:$U,MATCH($A122,'WPP 2024 середина года'!$A:$A,0),MATCH(U$1,'WPP 2024 середина года'!$B$1:$U$1,0)))))</f>
        <v>28444.1</v>
      </c>
    </row>
    <row r="123" spans="1:21" x14ac:dyDescent="0.25">
      <c r="A123" s="5">
        <f t="shared" si="1"/>
        <v>2021</v>
      </c>
      <c r="B123" s="7">
        <f>IF($A123&lt;=1951,INDEX('SALA 1974'!$B:$U,MATCH($A123,'SALA 1974'!$A:$A,0),MATCH(B$1,'SALA 1974'!$B$1:$U$1,0)),IF($A123&lt;=1994,1000*INDEX('SALA 2002'!$B:$U,MATCH($A123,'SALA 2002'!$A:$A,0),MATCH(B$1,'SALA 2002'!$B$1:$U$1,0)),IF($A123&lt;=2000,1000*INDEX('SALA 2002'!$B:$U,MATCH($A123,'SALA 2002'!$A:$A,0),MATCH(B$1,'SALA 2002'!$B$1:$U$1,0))*POWER(INDEX('WPP 2024 середина года'!$B:$U,MATCH($A123,'WPP 2024 середина года'!$A:$A,0),MATCH(B$1,'WPP 2024 середина года'!$B$1:$U$1,0))/(1000*INDEX('SALA 2002'!$B:$U,MATCH($A123,'SALA 2002'!$A:$A,0),MATCH(B$1,'SALA 2002'!$B$1:$U$1,0))),($A123-1994)/7),INDEX('WPP 2024 середина года'!$B:$U,MATCH($A123,'WPP 2024 середина года'!$A:$A,0),MATCH(B$1,'WPP 2024 середина года'!$B$1:$U$1,0)))))</f>
        <v>45312.3</v>
      </c>
      <c r="C123" s="7">
        <f>IF($A123&lt;=1951,INDEX('SALA 1974'!$B:$U,MATCH($A123,'SALA 1974'!$A:$A,0),MATCH(C$1,'SALA 1974'!$B$1:$U$1,0)),IF($A123&lt;=1994,1000*INDEX('SALA 2002'!$B:$U,MATCH($A123,'SALA 2002'!$A:$A,0),MATCH(C$1,'SALA 2002'!$B$1:$U$1,0)),IF($A123&lt;=2000,1000*INDEX('SALA 2002'!$B:$U,MATCH($A123,'SALA 2002'!$A:$A,0),MATCH(C$1,'SALA 2002'!$B$1:$U$1,0))*POWER(INDEX('WPP 2024 середина года'!$B:$U,MATCH($A123,'WPP 2024 середина года'!$A:$A,0),MATCH(C$1,'WPP 2024 середина года'!$B$1:$U$1,0))/(1000*INDEX('SALA 2002'!$B:$U,MATCH($A123,'SALA 2002'!$A:$A,0),MATCH(C$1,'SALA 2002'!$B$1:$U$1,0))),($A123-1994)/7),INDEX('WPP 2024 середина года'!$B:$U,MATCH($A123,'WPP 2024 середина года'!$A:$A,0),MATCH(C$1,'WPP 2024 середина года'!$B$1:$U$1,0)))))</f>
        <v>11937.4</v>
      </c>
      <c r="D123" s="7">
        <f>IF($A123&lt;=1951,INDEX('SALA 1974'!$B:$U,MATCH($A123,'SALA 1974'!$A:$A,0),MATCH(D$1,'SALA 1974'!$B$1:$U$1,0)),IF($A123&lt;=1994,1000*INDEX('SALA 2002'!$B:$U,MATCH($A123,'SALA 2002'!$A:$A,0),MATCH(D$1,'SALA 2002'!$B$1:$U$1,0)),IF($A123&lt;=2000,1000*INDEX('SALA 2002'!$B:$U,MATCH($A123,'SALA 2002'!$A:$A,0),MATCH(D$1,'SALA 2002'!$B$1:$U$1,0))*POWER(INDEX('WPP 2024 середина года'!$B:$U,MATCH($A123,'WPP 2024 середина года'!$A:$A,0),MATCH(D$1,'WPP 2024 середина года'!$B$1:$U$1,0))/(1000*INDEX('SALA 2002'!$B:$U,MATCH($A123,'SALA 2002'!$A:$A,0),MATCH(D$1,'SALA 2002'!$B$1:$U$1,0))),($A123-1994)/7),INDEX('WPP 2024 середина года'!$B:$U,MATCH($A123,'WPP 2024 середина года'!$A:$A,0),MATCH(D$1,'WPP 2024 середина года'!$B$1:$U$1,0)))))</f>
        <v>209550.3</v>
      </c>
      <c r="E123" s="7">
        <f>IF($A123&lt;=1951,INDEX('SALA 1974'!$B:$U,MATCH($A123,'SALA 1974'!$A:$A,0),MATCH(E$1,'SALA 1974'!$B$1:$U$1,0)),IF($A123&lt;=1994,1000*INDEX('SALA 2002'!$B:$U,MATCH($A123,'SALA 2002'!$A:$A,0),MATCH(E$1,'SALA 2002'!$B$1:$U$1,0)),IF($A123&lt;=2000,1000*INDEX('SALA 2002'!$B:$U,MATCH($A123,'SALA 2002'!$A:$A,0),MATCH(E$1,'SALA 2002'!$B$1:$U$1,0))*POWER(INDEX('WPP 2024 середина года'!$B:$U,MATCH($A123,'WPP 2024 середина года'!$A:$A,0),MATCH(E$1,'WPP 2024 середина года'!$B$1:$U$1,0))/(1000*INDEX('SALA 2002'!$B:$U,MATCH($A123,'SALA 2002'!$A:$A,0),MATCH(E$1,'SALA 2002'!$B$1:$U$1,0))),($A123-1994)/7),INDEX('WPP 2024 середина года'!$B:$U,MATCH($A123,'WPP 2024 середина года'!$A:$A,0),MATCH(E$1,'WPP 2024 середина года'!$B$1:$U$1,0)))))</f>
        <v>19456.3</v>
      </c>
      <c r="F123" s="7">
        <f>IF($A123&lt;=1947,INDEX('SALA 1974'!$B:$U,MATCH($A123,'SALA 1974'!$A:$A,0),MATCH(F$1,'SALA 1974'!$B$1:$U$1,0)),IF($A123&lt;=1994,1000*INDEX('SALA 2002'!$B:$U,MATCH($A123,'SALA 2002'!$A:$A,0),MATCH(F$1,'SALA 2002'!$B$1:$U$1,0)),IF($A123&lt;=2000,1000*INDEX('SALA 2002'!$B:$U,MATCH($A123,'SALA 2002'!$A:$A,0),MATCH(F$1,'SALA 2002'!$B$1:$U$1,0))*POWER(INDEX('WPP 2024 середина года'!$B:$U,MATCH($A123,'WPP 2024 середина года'!$A:$A,0),MATCH(F$1,'WPP 2024 середина года'!$B$1:$U$1,0))/(1000*INDEX('SALA 2002'!$B:$U,MATCH($A123,'SALA 2002'!$A:$A,0),MATCH(F$1,'SALA 2002'!$B$1:$U$1,0))),($A123-1994)/7),INDEX('WPP 2024 середина года'!$B:$U,MATCH($A123,'WPP 2024 середина года'!$A:$A,0),MATCH(F$1,'WPP 2024 середина года'!$B$1:$U$1,0)))))</f>
        <v>51188.2</v>
      </c>
      <c r="G123" s="7">
        <f>IF($A123&lt;=1951,INDEX('SALA 1974'!$B:$U,MATCH($A123,'SALA 1974'!$A:$A,0),MATCH(G$1,'SALA 1974'!$B$1:$U$1,0)),IF($A123&lt;=1994,1000*INDEX('SALA 2002'!$B:$U,MATCH($A123,'SALA 2002'!$A:$A,0),MATCH(G$1,'SALA 2002'!$B$1:$U$1,0)),IF($A123&lt;=2000,1000*INDEX('SALA 2002'!$B:$U,MATCH($A123,'SALA 2002'!$A:$A,0),MATCH(G$1,'SALA 2002'!$B$1:$U$1,0))*POWER(INDEX('WPP 2024 середина года'!$B:$U,MATCH($A123,'WPP 2024 середина года'!$A:$A,0),MATCH(G$1,'WPP 2024 середина года'!$B$1:$U$1,0))/(1000*INDEX('SALA 2002'!$B:$U,MATCH($A123,'SALA 2002'!$A:$A,0),MATCH(G$1,'SALA 2002'!$B$1:$U$1,0))),($A123-1994)/7),INDEX('WPP 2024 середина года'!$B:$U,MATCH($A123,'WPP 2024 середина года'!$A:$A,0),MATCH(G$1,'WPP 2024 середина года'!$B$1:$U$1,0)))))</f>
        <v>5060</v>
      </c>
      <c r="H123" s="7">
        <f>IF($A123&lt;=1951,INDEX('SALA 1974'!$B:$U,MATCH($A123,'SALA 1974'!$A:$A,0),MATCH(H$1,'SALA 1974'!$B$1:$U$1,0)),IF($A123&lt;=1994,1000*INDEX('SALA 2002'!$B:$U,MATCH($A123,'SALA 2002'!$A:$A,0),MATCH(H$1,'SALA 2002'!$B$1:$U$1,0)),IF($A123&lt;=2000,1000*INDEX('SALA 2002'!$B:$U,MATCH($A123,'SALA 2002'!$A:$A,0),MATCH(H$1,'SALA 2002'!$B$1:$U$1,0))*POWER(INDEX('WPP 2024 середина года'!$B:$U,MATCH($A123,'WPP 2024 середина года'!$A:$A,0),MATCH(H$1,'WPP 2024 середина года'!$B$1:$U$1,0))/(1000*INDEX('SALA 2002'!$B:$U,MATCH($A123,'SALA 2002'!$A:$A,0),MATCH(H$1,'SALA 2002'!$B$1:$U$1,0))),($A123-1994)/7),INDEX('WPP 2024 середина года'!$B:$U,MATCH($A123,'WPP 2024 середина года'!$A:$A,0),MATCH(H$1,'WPP 2024 середина года'!$B$1:$U$1,0)))))</f>
        <v>11122.2</v>
      </c>
      <c r="I123" s="7">
        <f>IF($A123&lt;=1951,INDEX('SALA 1974'!$B:$U,MATCH($A123,'SALA 1974'!$A:$A,0),MATCH(I$1,'SALA 1974'!$B$1:$U$1,0)),IF($A123&lt;=1994,1000*INDEX('SALA 2002'!$B:$U,MATCH($A123,'SALA 2002'!$A:$A,0),MATCH(I$1,'SALA 2002'!$B$1:$U$1,0)),IF($A123&lt;=2000,1000*INDEX('SALA 2002'!$B:$U,MATCH($A123,'SALA 2002'!$A:$A,0),MATCH(I$1,'SALA 2002'!$B$1:$U$1,0))*POWER(INDEX('WPP 2024 середина года'!$B:$U,MATCH($A123,'WPP 2024 середина года'!$A:$A,0),MATCH(I$1,'WPP 2024 середина года'!$B$1:$U$1,0))/(1000*INDEX('SALA 2002'!$B:$U,MATCH($A123,'SALA 2002'!$A:$A,0),MATCH(I$1,'SALA 2002'!$B$1:$U$1,0))),($A123-1994)/7),INDEX('WPP 2024 середина года'!$B:$U,MATCH($A123,'WPP 2024 середина года'!$A:$A,0),MATCH(I$1,'WPP 2024 середина года'!$B$1:$U$1,0)))))</f>
        <v>11123.5</v>
      </c>
      <c r="J123" s="7">
        <f>IF($A123&lt;=1951,INDEX('SALA 1974'!$B:$U,MATCH($A123,'SALA 1974'!$A:$A,0),MATCH(J$1,'SALA 1974'!$B$1:$U$1,0)),IF($A123&lt;=1994,1000*INDEX('SALA 2002'!$B:$U,MATCH($A123,'SALA 2002'!$A:$A,0),MATCH(J$1,'SALA 2002'!$B$1:$U$1,0)),IF($A123&lt;=2000,1000*INDEX('SALA 2002'!$B:$U,MATCH($A123,'SALA 2002'!$A:$A,0),MATCH(J$1,'SALA 2002'!$B$1:$U$1,0))*POWER(INDEX('WPP 2024 середина года'!$B:$U,MATCH($A123,'WPP 2024 середина года'!$A:$A,0),MATCH(J$1,'WPP 2024 середина года'!$B$1:$U$1,0))/(1000*INDEX('SALA 2002'!$B:$U,MATCH($A123,'SALA 2002'!$A:$A,0),MATCH(J$1,'SALA 2002'!$B$1:$U$1,0))),($A123-1994)/7),INDEX('WPP 2024 середина года'!$B:$U,MATCH($A123,'WPP 2024 середина года'!$A:$A,0),MATCH(J$1,'WPP 2024 середина года'!$B$1:$U$1,0)))))</f>
        <v>17682.5</v>
      </c>
      <c r="K123" s="7">
        <f>IF($A123&lt;=1951,INDEX('SALA 1974'!$B:$U,MATCH($A123,'SALA 1974'!$A:$A,0),MATCH(K$1,'SALA 1974'!$B$1:$U$1,0)),IF($A123&lt;=1994,1000*INDEX('SALA 2002'!$B:$U,MATCH($A123,'SALA 2002'!$A:$A,0),MATCH(K$1,'SALA 2002'!$B$1:$U$1,0)),IF($A123&lt;=2000,1000*INDEX('SALA 2002'!$B:$U,MATCH($A123,'SALA 2002'!$A:$A,0),MATCH(K$1,'SALA 2002'!$B$1:$U$1,0))*POWER(INDEX('WPP 2024 середина года'!$B:$U,MATCH($A123,'WPP 2024 середина года'!$A:$A,0),MATCH(K$1,'WPP 2024 середина года'!$B$1:$U$1,0))/(1000*INDEX('SALA 2002'!$B:$U,MATCH($A123,'SALA 2002'!$A:$A,0),MATCH(K$1,'SALA 2002'!$B$1:$U$1,0))),($A123-1994)/7),INDEX('WPP 2024 середина года'!$B:$U,MATCH($A123,'WPP 2024 середина года'!$A:$A,0),MATCH(K$1,'WPP 2024 середина года'!$B$1:$U$1,0)))))</f>
        <v>6255.8</v>
      </c>
      <c r="L123" s="7">
        <f>IF($A123&lt;=1951,INDEX('SALA 1974'!$B:$U,MATCH($A123,'SALA 1974'!$A:$A,0),MATCH(L$1,'SALA 1974'!$B$1:$U$1,0)),IF($A123&lt;=1994,1000*INDEX('SALA 2002'!$B:$U,MATCH($A123,'SALA 2002'!$A:$A,0),MATCH(L$1,'SALA 2002'!$B$1:$U$1,0)),IF($A123&lt;=2000,1000*INDEX('SALA 2002'!$B:$U,MATCH($A123,'SALA 2002'!$A:$A,0),MATCH(L$1,'SALA 2002'!$B$1:$U$1,0))*POWER(INDEX('WPP 2024 середина года'!$B:$U,MATCH($A123,'WPP 2024 середина года'!$A:$A,0),MATCH(L$1,'WPP 2024 середина года'!$B$1:$U$1,0))/(1000*INDEX('SALA 2002'!$B:$U,MATCH($A123,'SALA 2002'!$A:$A,0),MATCH(L$1,'SALA 2002'!$B$1:$U$1,0))),($A123-1994)/7),INDEX('WPP 2024 середина года'!$B:$U,MATCH($A123,'WPP 2024 середина года'!$A:$A,0),MATCH(L$1,'WPP 2024 середина года'!$B$1:$U$1,0)))))</f>
        <v>17598.7</v>
      </c>
      <c r="M123" s="7">
        <f>IF($A123&lt;=1951,INDEX('SALA 1974'!$B:$U,MATCH($A123,'SALA 1974'!$A:$A,0),MATCH(M$1,'SALA 1974'!$B$1:$U$1,0)),IF($A123&lt;=1994,1000*INDEX('SALA 2002'!$B:$U,MATCH($A123,'SALA 2002'!$A:$A,0),MATCH(M$1,'SALA 2002'!$B$1:$U$1,0)),IF($A123&lt;=2000,1000*INDEX('SALA 2002'!$B:$U,MATCH($A123,'SALA 2002'!$A:$A,0),MATCH(M$1,'SALA 2002'!$B$1:$U$1,0))*POWER(INDEX('WPP 2024 середина года'!$B:$U,MATCH($A123,'WPP 2024 середина года'!$A:$A,0),MATCH(M$1,'WPP 2024 середина года'!$B$1:$U$1,0))/(1000*INDEX('SALA 2002'!$B:$U,MATCH($A123,'SALA 2002'!$A:$A,0),MATCH(M$1,'SALA 2002'!$B$1:$U$1,0))),($A123-1994)/7),INDEX('WPP 2024 середина года'!$B:$U,MATCH($A123,'WPP 2024 середина года'!$A:$A,0),MATCH(M$1,'WPP 2024 середина года'!$B$1:$U$1,0)))))</f>
        <v>11374.6</v>
      </c>
      <c r="N123" s="7">
        <f>IF($A123&lt;=1951,INDEX('SALA 1974'!$B:$U,MATCH($A123,'SALA 1974'!$A:$A,0),MATCH(N$1,'SALA 1974'!$B$1:$U$1,0)),IF($A123&lt;=1994,1000*INDEX('SALA 2002'!$B:$U,MATCH($A123,'SALA 2002'!$A:$A,0),MATCH(N$1,'SALA 2002'!$B$1:$U$1,0)),IF($A123&lt;=2000,1000*INDEX('SALA 2002'!$B:$U,MATCH($A123,'SALA 2002'!$A:$A,0),MATCH(N$1,'SALA 2002'!$B$1:$U$1,0))*POWER(INDEX('WPP 2024 середина года'!$B:$U,MATCH($A123,'WPP 2024 середина года'!$A:$A,0),MATCH(N$1,'WPP 2024 середина года'!$B$1:$U$1,0))/(1000*INDEX('SALA 2002'!$B:$U,MATCH($A123,'SALA 2002'!$A:$A,0),MATCH(N$1,'SALA 2002'!$B$1:$U$1,0))),($A123-1994)/7),INDEX('WPP 2024 середина года'!$B:$U,MATCH($A123,'WPP 2024 середина года'!$A:$A,0),MATCH(N$1,'WPP 2024 середина года'!$B$1:$U$1,0)))))</f>
        <v>10289.9</v>
      </c>
      <c r="O123" s="7">
        <f>IF($A123&lt;=1951,INDEX('SALA 1974'!$B:$U,MATCH($A123,'SALA 1974'!$A:$A,0),MATCH(O$1,'SALA 1974'!$B$1:$U$1,0)),IF($A123&lt;=1994,1000*INDEX('SALA 2002'!$B:$U,MATCH($A123,'SALA 2002'!$A:$A,0),MATCH(O$1,'SALA 2002'!$B$1:$U$1,0)),IF($A123&lt;=2000,1000*INDEX('SALA 2002'!$B:$U,MATCH($A123,'SALA 2002'!$A:$A,0),MATCH(O$1,'SALA 2002'!$B$1:$U$1,0))*POWER(INDEX('WPP 2024 середина года'!$B:$U,MATCH($A123,'WPP 2024 середина года'!$A:$A,0),MATCH(O$1,'WPP 2024 середина года'!$B$1:$U$1,0))/(1000*INDEX('SALA 2002'!$B:$U,MATCH($A123,'SALA 2002'!$A:$A,0),MATCH(O$1,'SALA 2002'!$B$1:$U$1,0))),($A123-1994)/7),INDEX('WPP 2024 середина года'!$B:$U,MATCH($A123,'WPP 2024 середина года'!$A:$A,0),MATCH(O$1,'WPP 2024 середина года'!$B$1:$U$1,0)))))</f>
        <v>127648.1</v>
      </c>
      <c r="P123" s="7">
        <f>IF($A123&lt;=1951,INDEX('SALA 1974'!$B:$U,MATCH($A123,'SALA 1974'!$A:$A,0),MATCH(P$1,'SALA 1974'!$B$1:$U$1,0)),IF($A123&lt;=1994,1000*INDEX('SALA 2002'!$B:$U,MATCH($A123,'SALA 2002'!$A:$A,0),MATCH(P$1,'SALA 2002'!$B$1:$U$1,0)),IF($A123&lt;=2000,1000*INDEX('SALA 2002'!$B:$U,MATCH($A123,'SALA 2002'!$A:$A,0),MATCH(P$1,'SALA 2002'!$B$1:$U$1,0))*POWER(INDEX('WPP 2024 середина года'!$B:$U,MATCH($A123,'WPP 2024 середина года'!$A:$A,0),MATCH(P$1,'WPP 2024 середина года'!$B$1:$U$1,0))/(1000*INDEX('SALA 2002'!$B:$U,MATCH($A123,'SALA 2002'!$A:$A,0),MATCH(P$1,'SALA 2002'!$B$1:$U$1,0))),($A123-1994)/7),INDEX('WPP 2024 середина года'!$B:$U,MATCH($A123,'WPP 2024 середина года'!$A:$A,0),MATCH(P$1,'WPP 2024 середина года'!$B$1:$U$1,0)))))</f>
        <v>6644.7</v>
      </c>
      <c r="Q123" s="7">
        <f>IF($A123&lt;=1951,INDEX('SALA 1974'!$B:$U,MATCH($A123,'SALA 1974'!$A:$A,0),MATCH(Q$1,'SALA 1974'!$B$1:$U$1,0)),IF($A123&lt;=1994,1000*INDEX('SALA 2002'!$B:$U,MATCH($A123,'SALA 2002'!$A:$A,0),MATCH(Q$1,'SALA 2002'!$B$1:$U$1,0)),IF($A123&lt;=2000,1000*INDEX('SALA 2002'!$B:$U,MATCH($A123,'SALA 2002'!$A:$A,0),MATCH(Q$1,'SALA 2002'!$B$1:$U$1,0))*POWER(INDEX('WPP 2024 середина года'!$B:$U,MATCH($A123,'WPP 2024 середина года'!$A:$A,0),MATCH(Q$1,'WPP 2024 середина года'!$B$1:$U$1,0))/(1000*INDEX('SALA 2002'!$B:$U,MATCH($A123,'SALA 2002'!$A:$A,0),MATCH(Q$1,'SALA 2002'!$B$1:$U$1,0))),($A123-1994)/7),INDEX('WPP 2024 середина года'!$B:$U,MATCH($A123,'WPP 2024 середина года'!$A:$A,0),MATCH(Q$1,'WPP 2024 середина года'!$B$1:$U$1,0)))))</f>
        <v>4345.3999999999996</v>
      </c>
      <c r="R123" s="7">
        <f>IF($A123&lt;=1951,INDEX('SALA 1974'!$B:$U,MATCH($A123,'SALA 1974'!$A:$A,0),MATCH(R$1,'SALA 1974'!$B$1:$U$1,0)),IF($A123&lt;=1994,1000*INDEX('SALA 2002'!$B:$U,MATCH($A123,'SALA 2002'!$A:$A,0),MATCH(R$1,'SALA 2002'!$B$1:$U$1,0)),IF($A123&lt;=2000,1000*INDEX('SALA 2002'!$B:$U,MATCH($A123,'SALA 2002'!$A:$A,0),MATCH(R$1,'SALA 2002'!$B$1:$U$1,0))*POWER(INDEX('WPP 2024 середина года'!$B:$U,MATCH($A123,'WPP 2024 середина года'!$A:$A,0),MATCH(R$1,'WPP 2024 середина года'!$B$1:$U$1,0))/(1000*INDEX('SALA 2002'!$B:$U,MATCH($A123,'SALA 2002'!$A:$A,0),MATCH(R$1,'SALA 2002'!$B$1:$U$1,0))),($A123-1994)/7),INDEX('WPP 2024 середина года'!$B:$U,MATCH($A123,'WPP 2024 середина года'!$A:$A,0),MATCH(R$1,'WPP 2024 середина года'!$B$1:$U$1,0)))))</f>
        <v>6684.2</v>
      </c>
      <c r="S123" s="7">
        <f>IF($A123&lt;=1951,INDEX('SALA 1974'!$B:$U,MATCH($A123,'SALA 1974'!$A:$A,0),MATCH(S$1,'SALA 1974'!$B$1:$U$1,0)),IF($A123&lt;=1994,1000*INDEX('SALA 2002'!$B:$U,MATCH($A123,'SALA 2002'!$A:$A,0),MATCH(S$1,'SALA 2002'!$B$1:$U$1,0)),IF($A123&lt;=2000,1000*INDEX('SALA 2002'!$B:$U,MATCH($A123,'SALA 2002'!$A:$A,0),MATCH(S$1,'SALA 2002'!$B$1:$U$1,0))*POWER(INDEX('WPP 2024 середина года'!$B:$U,MATCH($A123,'WPP 2024 середина года'!$A:$A,0),MATCH(S$1,'WPP 2024 середина года'!$B$1:$U$1,0))/(1000*INDEX('SALA 2002'!$B:$U,MATCH($A123,'SALA 2002'!$A:$A,0),MATCH(S$1,'SALA 2002'!$B$1:$U$1,0))),($A123-1994)/7),INDEX('WPP 2024 середина года'!$B:$U,MATCH($A123,'WPP 2024 середина года'!$A:$A,0),MATCH(S$1,'WPP 2024 середина года'!$B$1:$U$1,0)))))</f>
        <v>33155.9</v>
      </c>
      <c r="T123" s="7">
        <f>IF($A123&lt;=1951,INDEX('SALA 1974'!$B:$U,MATCH($A123,'SALA 1974'!$A:$A,0),MATCH(T$1,'SALA 1974'!$B$1:$U$1,0)),IF($A123&lt;=1994,1000*INDEX('SALA 2002'!$B:$U,MATCH($A123,'SALA 2002'!$A:$A,0),MATCH(T$1,'SALA 2002'!$B$1:$U$1,0)),IF($A123&lt;=2000,1000*INDEX('SALA 2002'!$B:$U,MATCH($A123,'SALA 2002'!$A:$A,0),MATCH(T$1,'SALA 2002'!$B$1:$U$1,0))*POWER(INDEX('WPP 2024 середина года'!$B:$U,MATCH($A123,'WPP 2024 середина года'!$A:$A,0),MATCH(T$1,'WPP 2024 середина года'!$B$1:$U$1,0))/(1000*INDEX('SALA 2002'!$B:$U,MATCH($A123,'SALA 2002'!$A:$A,0),MATCH(T$1,'SALA 2002'!$B$1:$U$1,0))),($A123-1994)/7),INDEX('WPP 2024 середина года'!$B:$U,MATCH($A123,'WPP 2024 середина года'!$A:$A,0),MATCH(T$1,'WPP 2024 середина года'!$B$1:$U$1,0)))))</f>
        <v>3396.7</v>
      </c>
      <c r="U123" s="7">
        <f>IF($A123&lt;=1951,INDEX('SALA 1974'!$B:$U,MATCH($A123,'SALA 1974'!$A:$A,0),MATCH(U$1,'SALA 1974'!$B$1:$U$1,0)),IF($A123&lt;=1994,1000*INDEX('SALA 2002'!$B:$U,MATCH($A123,'SALA 2002'!$A:$A,0),MATCH(U$1,'SALA 2002'!$B$1:$U$1,0)),IF($A123&lt;=2000,1000*INDEX('SALA 2002'!$B:$U,MATCH($A123,'SALA 2002'!$A:$A,0),MATCH(U$1,'SALA 2002'!$B$1:$U$1,0))*POWER(INDEX('WPP 2024 середина года'!$B:$U,MATCH($A123,'WPP 2024 середина года'!$A:$A,0),MATCH(U$1,'WPP 2024 середина года'!$B$1:$U$1,0))/(1000*INDEX('SALA 2002'!$B:$U,MATCH($A123,'SALA 2002'!$A:$A,0),MATCH(U$1,'SALA 2002'!$B$1:$U$1,0))),($A123-1994)/7),INDEX('WPP 2024 середина года'!$B:$U,MATCH($A123,'WPP 2024 середина года'!$A:$A,0),MATCH(U$1,'WPP 2024 середина года'!$B$1:$U$1,0)))))</f>
        <v>28237.8</v>
      </c>
    </row>
    <row r="124" spans="1:21" x14ac:dyDescent="0.25">
      <c r="A124" s="5">
        <f t="shared" si="1"/>
        <v>2022</v>
      </c>
      <c r="B124" s="7">
        <f>IF($A124&lt;=1951,INDEX('SALA 1974'!$B:$U,MATCH($A124,'SALA 1974'!$A:$A,0),MATCH(B$1,'SALA 1974'!$B$1:$U$1,0)),IF($A124&lt;=1994,1000*INDEX('SALA 2002'!$B:$U,MATCH($A124,'SALA 2002'!$A:$A,0),MATCH(B$1,'SALA 2002'!$B$1:$U$1,0)),IF($A124&lt;=2000,1000*INDEX('SALA 2002'!$B:$U,MATCH($A124,'SALA 2002'!$A:$A,0),MATCH(B$1,'SALA 2002'!$B$1:$U$1,0))*POWER(INDEX('WPP 2024 середина года'!$B:$U,MATCH($A124,'WPP 2024 середина года'!$A:$A,0),MATCH(B$1,'WPP 2024 середина года'!$B$1:$U$1,0))/(1000*INDEX('SALA 2002'!$B:$U,MATCH($A124,'SALA 2002'!$A:$A,0),MATCH(B$1,'SALA 2002'!$B$1:$U$1,0))),($A124-1994)/7),INDEX('WPP 2024 середина года'!$B:$U,MATCH($A124,'WPP 2024 середина года'!$A:$A,0),MATCH(B$1,'WPP 2024 середина года'!$B$1:$U$1,0)))))</f>
        <v>45407.9</v>
      </c>
      <c r="C124" s="7">
        <f>IF($A124&lt;=1951,INDEX('SALA 1974'!$B:$U,MATCH($A124,'SALA 1974'!$A:$A,0),MATCH(C$1,'SALA 1974'!$B$1:$U$1,0)),IF($A124&lt;=1994,1000*INDEX('SALA 2002'!$B:$U,MATCH($A124,'SALA 2002'!$A:$A,0),MATCH(C$1,'SALA 2002'!$B$1:$U$1,0)),IF($A124&lt;=2000,1000*INDEX('SALA 2002'!$B:$U,MATCH($A124,'SALA 2002'!$A:$A,0),MATCH(C$1,'SALA 2002'!$B$1:$U$1,0))*POWER(INDEX('WPP 2024 середина года'!$B:$U,MATCH($A124,'WPP 2024 середина года'!$A:$A,0),MATCH(C$1,'WPP 2024 середина года'!$B$1:$U$1,0))/(1000*INDEX('SALA 2002'!$B:$U,MATCH($A124,'SALA 2002'!$A:$A,0),MATCH(C$1,'SALA 2002'!$B$1:$U$1,0))),($A124-1994)/7),INDEX('WPP 2024 середина года'!$B:$U,MATCH($A124,'WPP 2024 середина года'!$A:$A,0),MATCH(C$1,'WPP 2024 середина года'!$B$1:$U$1,0)))))</f>
        <v>12077.2</v>
      </c>
      <c r="D124" s="7">
        <f>IF($A124&lt;=1951,INDEX('SALA 1974'!$B:$U,MATCH($A124,'SALA 1974'!$A:$A,0),MATCH(D$1,'SALA 1974'!$B$1:$U$1,0)),IF($A124&lt;=1994,1000*INDEX('SALA 2002'!$B:$U,MATCH($A124,'SALA 2002'!$A:$A,0),MATCH(D$1,'SALA 2002'!$B$1:$U$1,0)),IF($A124&lt;=2000,1000*INDEX('SALA 2002'!$B:$U,MATCH($A124,'SALA 2002'!$A:$A,0),MATCH(D$1,'SALA 2002'!$B$1:$U$1,0))*POWER(INDEX('WPP 2024 середина года'!$B:$U,MATCH($A124,'WPP 2024 середина года'!$A:$A,0),MATCH(D$1,'WPP 2024 середина года'!$B$1:$U$1,0))/(1000*INDEX('SALA 2002'!$B:$U,MATCH($A124,'SALA 2002'!$A:$A,0),MATCH(D$1,'SALA 2002'!$B$1:$U$1,0))),($A124-1994)/7),INDEX('WPP 2024 середина года'!$B:$U,MATCH($A124,'WPP 2024 середина года'!$A:$A,0),MATCH(D$1,'WPP 2024 середина года'!$B$1:$U$1,0)))))</f>
        <v>210306.4</v>
      </c>
      <c r="E124" s="7">
        <f>IF($A124&lt;=1951,INDEX('SALA 1974'!$B:$U,MATCH($A124,'SALA 1974'!$A:$A,0),MATCH(E$1,'SALA 1974'!$B$1:$U$1,0)),IF($A124&lt;=1994,1000*INDEX('SALA 2002'!$B:$U,MATCH($A124,'SALA 2002'!$A:$A,0),MATCH(E$1,'SALA 2002'!$B$1:$U$1,0)),IF($A124&lt;=2000,1000*INDEX('SALA 2002'!$B:$U,MATCH($A124,'SALA 2002'!$A:$A,0),MATCH(E$1,'SALA 2002'!$B$1:$U$1,0))*POWER(INDEX('WPP 2024 середина года'!$B:$U,MATCH($A124,'WPP 2024 середина года'!$A:$A,0),MATCH(E$1,'WPP 2024 середина года'!$B$1:$U$1,0))/(1000*INDEX('SALA 2002'!$B:$U,MATCH($A124,'SALA 2002'!$A:$A,0),MATCH(E$1,'SALA 2002'!$B$1:$U$1,0))),($A124-1994)/7),INDEX('WPP 2024 середина года'!$B:$U,MATCH($A124,'WPP 2024 середина года'!$A:$A,0),MATCH(E$1,'WPP 2024 середина года'!$B$1:$U$1,0)))))</f>
        <v>19553</v>
      </c>
      <c r="F124" s="7">
        <f>IF($A124&lt;=1947,INDEX('SALA 1974'!$B:$U,MATCH($A124,'SALA 1974'!$A:$A,0),MATCH(F$1,'SALA 1974'!$B$1:$U$1,0)),IF($A124&lt;=1994,1000*INDEX('SALA 2002'!$B:$U,MATCH($A124,'SALA 2002'!$A:$A,0),MATCH(F$1,'SALA 2002'!$B$1:$U$1,0)),IF($A124&lt;=2000,1000*INDEX('SALA 2002'!$B:$U,MATCH($A124,'SALA 2002'!$A:$A,0),MATCH(F$1,'SALA 2002'!$B$1:$U$1,0))*POWER(INDEX('WPP 2024 середина года'!$B:$U,MATCH($A124,'WPP 2024 середина года'!$A:$A,0),MATCH(F$1,'WPP 2024 середина года'!$B$1:$U$1,0))/(1000*INDEX('SALA 2002'!$B:$U,MATCH($A124,'SALA 2002'!$A:$A,0),MATCH(F$1,'SALA 2002'!$B$1:$U$1,0))),($A124-1994)/7),INDEX('WPP 2024 середина года'!$B:$U,MATCH($A124,'WPP 2024 середина года'!$A:$A,0),MATCH(F$1,'WPP 2024 середина года'!$B$1:$U$1,0)))))</f>
        <v>51737.9</v>
      </c>
      <c r="G124" s="7">
        <f>IF($A124&lt;=1951,INDEX('SALA 1974'!$B:$U,MATCH($A124,'SALA 1974'!$A:$A,0),MATCH(G$1,'SALA 1974'!$B$1:$U$1,0)),IF($A124&lt;=1994,1000*INDEX('SALA 2002'!$B:$U,MATCH($A124,'SALA 2002'!$A:$A,0),MATCH(G$1,'SALA 2002'!$B$1:$U$1,0)),IF($A124&lt;=2000,1000*INDEX('SALA 2002'!$B:$U,MATCH($A124,'SALA 2002'!$A:$A,0),MATCH(G$1,'SALA 2002'!$B$1:$U$1,0))*POWER(INDEX('WPP 2024 середина года'!$B:$U,MATCH($A124,'WPP 2024 середина года'!$A:$A,0),MATCH(G$1,'WPP 2024 середина года'!$B$1:$U$1,0))/(1000*INDEX('SALA 2002'!$B:$U,MATCH($A124,'SALA 2002'!$A:$A,0),MATCH(G$1,'SALA 2002'!$B$1:$U$1,0))),($A124-1994)/7),INDEX('WPP 2024 середина года'!$B:$U,MATCH($A124,'WPP 2024 середина года'!$A:$A,0),MATCH(G$1,'WPP 2024 середина года'!$B$1:$U$1,0)))))</f>
        <v>5081.8</v>
      </c>
      <c r="H124" s="7">
        <f>IF($A124&lt;=1951,INDEX('SALA 1974'!$B:$U,MATCH($A124,'SALA 1974'!$A:$A,0),MATCH(H$1,'SALA 1974'!$B$1:$U$1,0)),IF($A124&lt;=1994,1000*INDEX('SALA 2002'!$B:$U,MATCH($A124,'SALA 2002'!$A:$A,0),MATCH(H$1,'SALA 2002'!$B$1:$U$1,0)),IF($A124&lt;=2000,1000*INDEX('SALA 2002'!$B:$U,MATCH($A124,'SALA 2002'!$A:$A,0),MATCH(H$1,'SALA 2002'!$B$1:$U$1,0))*POWER(INDEX('WPP 2024 середина года'!$B:$U,MATCH($A124,'WPP 2024 середина года'!$A:$A,0),MATCH(H$1,'WPP 2024 середина года'!$B$1:$U$1,0))/(1000*INDEX('SALA 2002'!$B:$U,MATCH($A124,'SALA 2002'!$A:$A,0),MATCH(H$1,'SALA 2002'!$B$1:$U$1,0))),($A124-1994)/7),INDEX('WPP 2024 середина года'!$B:$U,MATCH($A124,'WPP 2024 середина года'!$A:$A,0),MATCH(H$1,'WPP 2024 середина года'!$B$1:$U$1,0)))))</f>
        <v>11059.8</v>
      </c>
      <c r="I124" s="7">
        <f>IF($A124&lt;=1951,INDEX('SALA 1974'!$B:$U,MATCH($A124,'SALA 1974'!$A:$A,0),MATCH(I$1,'SALA 1974'!$B$1:$U$1,0)),IF($A124&lt;=1994,1000*INDEX('SALA 2002'!$B:$U,MATCH($A124,'SALA 2002'!$A:$A,0),MATCH(I$1,'SALA 2002'!$B$1:$U$1,0)),IF($A124&lt;=2000,1000*INDEX('SALA 2002'!$B:$U,MATCH($A124,'SALA 2002'!$A:$A,0),MATCH(I$1,'SALA 2002'!$B$1:$U$1,0))*POWER(INDEX('WPP 2024 середина года'!$B:$U,MATCH($A124,'WPP 2024 середина года'!$A:$A,0),MATCH(I$1,'WPP 2024 середина года'!$B$1:$U$1,0))/(1000*INDEX('SALA 2002'!$B:$U,MATCH($A124,'SALA 2002'!$A:$A,0),MATCH(I$1,'SALA 2002'!$B$1:$U$1,0))),($A124-1994)/7),INDEX('WPP 2024 середина года'!$B:$U,MATCH($A124,'WPP 2024 середина года'!$A:$A,0),MATCH(I$1,'WPP 2024 середина года'!$B$1:$U$1,0)))))</f>
        <v>11230.7</v>
      </c>
      <c r="J124" s="7">
        <f>IF($A124&lt;=1951,INDEX('SALA 1974'!$B:$U,MATCH($A124,'SALA 1974'!$A:$A,0),MATCH(J$1,'SALA 1974'!$B$1:$U$1,0)),IF($A124&lt;=1994,1000*INDEX('SALA 2002'!$B:$U,MATCH($A124,'SALA 2002'!$A:$A,0),MATCH(J$1,'SALA 2002'!$B$1:$U$1,0)),IF($A124&lt;=2000,1000*INDEX('SALA 2002'!$B:$U,MATCH($A124,'SALA 2002'!$A:$A,0),MATCH(J$1,'SALA 2002'!$B$1:$U$1,0))*POWER(INDEX('WPP 2024 середина года'!$B:$U,MATCH($A124,'WPP 2024 середина года'!$A:$A,0),MATCH(J$1,'WPP 2024 середина года'!$B$1:$U$1,0))/(1000*INDEX('SALA 2002'!$B:$U,MATCH($A124,'SALA 2002'!$A:$A,0),MATCH(J$1,'SALA 2002'!$B$1:$U$1,0))),($A124-1994)/7),INDEX('WPP 2024 середина года'!$B:$U,MATCH($A124,'WPP 2024 середина года'!$A:$A,0),MATCH(J$1,'WPP 2024 середина года'!$B$1:$U$1,0)))))</f>
        <v>17823.900000000001</v>
      </c>
      <c r="K124" s="7">
        <f>IF($A124&lt;=1951,INDEX('SALA 1974'!$B:$U,MATCH($A124,'SALA 1974'!$A:$A,0),MATCH(K$1,'SALA 1974'!$B$1:$U$1,0)),IF($A124&lt;=1994,1000*INDEX('SALA 2002'!$B:$U,MATCH($A124,'SALA 2002'!$A:$A,0),MATCH(K$1,'SALA 2002'!$B$1:$U$1,0)),IF($A124&lt;=2000,1000*INDEX('SALA 2002'!$B:$U,MATCH($A124,'SALA 2002'!$A:$A,0),MATCH(K$1,'SALA 2002'!$B$1:$U$1,0))*POWER(INDEX('WPP 2024 середина года'!$B:$U,MATCH($A124,'WPP 2024 середина года'!$A:$A,0),MATCH(K$1,'WPP 2024 середина года'!$B$1:$U$1,0))/(1000*INDEX('SALA 2002'!$B:$U,MATCH($A124,'SALA 2002'!$A:$A,0),MATCH(K$1,'SALA 2002'!$B$1:$U$1,0))),($A124-1994)/7),INDEX('WPP 2024 середина года'!$B:$U,MATCH($A124,'WPP 2024 середина года'!$A:$A,0),MATCH(K$1,'WPP 2024 середина года'!$B$1:$U$1,0)))))</f>
        <v>6280.3</v>
      </c>
      <c r="L124" s="7">
        <f>IF($A124&lt;=1951,INDEX('SALA 1974'!$B:$U,MATCH($A124,'SALA 1974'!$A:$A,0),MATCH(L$1,'SALA 1974'!$B$1:$U$1,0)),IF($A124&lt;=1994,1000*INDEX('SALA 2002'!$B:$U,MATCH($A124,'SALA 2002'!$A:$A,0),MATCH(L$1,'SALA 2002'!$B$1:$U$1,0)),IF($A124&lt;=2000,1000*INDEX('SALA 2002'!$B:$U,MATCH($A124,'SALA 2002'!$A:$A,0),MATCH(L$1,'SALA 2002'!$B$1:$U$1,0))*POWER(INDEX('WPP 2024 середина года'!$B:$U,MATCH($A124,'WPP 2024 середина года'!$A:$A,0),MATCH(L$1,'WPP 2024 середина года'!$B$1:$U$1,0))/(1000*INDEX('SALA 2002'!$B:$U,MATCH($A124,'SALA 2002'!$A:$A,0),MATCH(L$1,'SALA 2002'!$B$1:$U$1,0))),($A124-1994)/7),INDEX('WPP 2024 середина года'!$B:$U,MATCH($A124,'WPP 2024 середина года'!$A:$A,0),MATCH(L$1,'WPP 2024 середина года'!$B$1:$U$1,0)))))</f>
        <v>17847.900000000001</v>
      </c>
      <c r="M124" s="7">
        <f>IF($A124&lt;=1951,INDEX('SALA 1974'!$B:$U,MATCH($A124,'SALA 1974'!$A:$A,0),MATCH(M$1,'SALA 1974'!$B$1:$U$1,0)),IF($A124&lt;=1994,1000*INDEX('SALA 2002'!$B:$U,MATCH($A124,'SALA 2002'!$A:$A,0),MATCH(M$1,'SALA 2002'!$B$1:$U$1,0)),IF($A124&lt;=2000,1000*INDEX('SALA 2002'!$B:$U,MATCH($A124,'SALA 2002'!$A:$A,0),MATCH(M$1,'SALA 2002'!$B$1:$U$1,0))*POWER(INDEX('WPP 2024 середина года'!$B:$U,MATCH($A124,'WPP 2024 середина года'!$A:$A,0),MATCH(M$1,'WPP 2024 середина года'!$B$1:$U$1,0))/(1000*INDEX('SALA 2002'!$B:$U,MATCH($A124,'SALA 2002'!$A:$A,0),MATCH(M$1,'SALA 2002'!$B$1:$U$1,0))),($A124-1994)/7),INDEX('WPP 2024 середина года'!$B:$U,MATCH($A124,'WPP 2024 середина года'!$A:$A,0),MATCH(M$1,'WPP 2024 середина года'!$B$1:$U$1,0)))))</f>
        <v>11503.6</v>
      </c>
      <c r="N124" s="7">
        <f>IF($A124&lt;=1951,INDEX('SALA 1974'!$B:$U,MATCH($A124,'SALA 1974'!$A:$A,0),MATCH(N$1,'SALA 1974'!$B$1:$U$1,0)),IF($A124&lt;=1994,1000*INDEX('SALA 2002'!$B:$U,MATCH($A124,'SALA 2002'!$A:$A,0),MATCH(N$1,'SALA 2002'!$B$1:$U$1,0)),IF($A124&lt;=2000,1000*INDEX('SALA 2002'!$B:$U,MATCH($A124,'SALA 2002'!$A:$A,0),MATCH(N$1,'SALA 2002'!$B$1:$U$1,0))*POWER(INDEX('WPP 2024 середина года'!$B:$U,MATCH($A124,'WPP 2024 середина года'!$A:$A,0),MATCH(N$1,'WPP 2024 середина года'!$B$1:$U$1,0))/(1000*INDEX('SALA 2002'!$B:$U,MATCH($A124,'SALA 2002'!$A:$A,0),MATCH(N$1,'SALA 2002'!$B$1:$U$1,0))),($A124-1994)/7),INDEX('WPP 2024 середина года'!$B:$U,MATCH($A124,'WPP 2024 середина года'!$A:$A,0),MATCH(N$1,'WPP 2024 середина года'!$B$1:$U$1,0)))))</f>
        <v>10463.9</v>
      </c>
      <c r="O124" s="7">
        <f>IF($A124&lt;=1951,INDEX('SALA 1974'!$B:$U,MATCH($A124,'SALA 1974'!$A:$A,0),MATCH(O$1,'SALA 1974'!$B$1:$U$1,0)),IF($A124&lt;=1994,1000*INDEX('SALA 2002'!$B:$U,MATCH($A124,'SALA 2002'!$A:$A,0),MATCH(O$1,'SALA 2002'!$B$1:$U$1,0)),IF($A124&lt;=2000,1000*INDEX('SALA 2002'!$B:$U,MATCH($A124,'SALA 2002'!$A:$A,0),MATCH(O$1,'SALA 2002'!$B$1:$U$1,0))*POWER(INDEX('WPP 2024 середина года'!$B:$U,MATCH($A124,'WPP 2024 середина года'!$A:$A,0),MATCH(O$1,'WPP 2024 середина года'!$B$1:$U$1,0))/(1000*INDEX('SALA 2002'!$B:$U,MATCH($A124,'SALA 2002'!$A:$A,0),MATCH(O$1,'SALA 2002'!$B$1:$U$1,0))),($A124-1994)/7),INDEX('WPP 2024 середина года'!$B:$U,MATCH($A124,'WPP 2024 середина года'!$A:$A,0),MATCH(O$1,'WPP 2024 середина года'!$B$1:$U$1,0)))))</f>
        <v>128613.1</v>
      </c>
      <c r="P124" s="7">
        <f>IF($A124&lt;=1951,INDEX('SALA 1974'!$B:$U,MATCH($A124,'SALA 1974'!$A:$A,0),MATCH(P$1,'SALA 1974'!$B$1:$U$1,0)),IF($A124&lt;=1994,1000*INDEX('SALA 2002'!$B:$U,MATCH($A124,'SALA 2002'!$A:$A,0),MATCH(P$1,'SALA 2002'!$B$1:$U$1,0)),IF($A124&lt;=2000,1000*INDEX('SALA 2002'!$B:$U,MATCH($A124,'SALA 2002'!$A:$A,0),MATCH(P$1,'SALA 2002'!$B$1:$U$1,0))*POWER(INDEX('WPP 2024 середина года'!$B:$U,MATCH($A124,'WPP 2024 середина года'!$A:$A,0),MATCH(P$1,'WPP 2024 середина года'!$B$1:$U$1,0))/(1000*INDEX('SALA 2002'!$B:$U,MATCH($A124,'SALA 2002'!$A:$A,0),MATCH(P$1,'SALA 2002'!$B$1:$U$1,0))),($A124-1994)/7),INDEX('WPP 2024 середина года'!$B:$U,MATCH($A124,'WPP 2024 середина года'!$A:$A,0),MATCH(P$1,'WPP 2024 середина года'!$B$1:$U$1,0)))))</f>
        <v>6730.7</v>
      </c>
      <c r="Q124" s="7">
        <f>IF($A124&lt;=1951,INDEX('SALA 1974'!$B:$U,MATCH($A124,'SALA 1974'!$A:$A,0),MATCH(Q$1,'SALA 1974'!$B$1:$U$1,0)),IF($A124&lt;=1994,1000*INDEX('SALA 2002'!$B:$U,MATCH($A124,'SALA 2002'!$A:$A,0),MATCH(Q$1,'SALA 2002'!$B$1:$U$1,0)),IF($A124&lt;=2000,1000*INDEX('SALA 2002'!$B:$U,MATCH($A124,'SALA 2002'!$A:$A,0),MATCH(Q$1,'SALA 2002'!$B$1:$U$1,0))*POWER(INDEX('WPP 2024 середина года'!$B:$U,MATCH($A124,'WPP 2024 середина года'!$A:$A,0),MATCH(Q$1,'WPP 2024 середина года'!$B$1:$U$1,0))/(1000*INDEX('SALA 2002'!$B:$U,MATCH($A124,'SALA 2002'!$A:$A,0),MATCH(Q$1,'SALA 2002'!$B$1:$U$1,0))),($A124-1994)/7),INDEX('WPP 2024 середина года'!$B:$U,MATCH($A124,'WPP 2024 середина года'!$A:$A,0),MATCH(Q$1,'WPP 2024 середина года'!$B$1:$U$1,0)))))</f>
        <v>4400.8</v>
      </c>
      <c r="R124" s="7">
        <f>IF($A124&lt;=1951,INDEX('SALA 1974'!$B:$U,MATCH($A124,'SALA 1974'!$A:$A,0),MATCH(R$1,'SALA 1974'!$B$1:$U$1,0)),IF($A124&lt;=1994,1000*INDEX('SALA 2002'!$B:$U,MATCH($A124,'SALA 2002'!$A:$A,0),MATCH(R$1,'SALA 2002'!$B$1:$U$1,0)),IF($A124&lt;=2000,1000*INDEX('SALA 2002'!$B:$U,MATCH($A124,'SALA 2002'!$A:$A,0),MATCH(R$1,'SALA 2002'!$B$1:$U$1,0))*POWER(INDEX('WPP 2024 середина года'!$B:$U,MATCH($A124,'WPP 2024 середина года'!$A:$A,0),MATCH(R$1,'WPP 2024 середина года'!$B$1:$U$1,0))/(1000*INDEX('SALA 2002'!$B:$U,MATCH($A124,'SALA 2002'!$A:$A,0),MATCH(R$1,'SALA 2002'!$B$1:$U$1,0))),($A124-1994)/7),INDEX('WPP 2024 середина года'!$B:$U,MATCH($A124,'WPP 2024 середина года'!$A:$A,0),MATCH(R$1,'WPP 2024 середина года'!$B$1:$U$1,0)))))</f>
        <v>6760.5</v>
      </c>
      <c r="S124" s="7">
        <f>IF($A124&lt;=1951,INDEX('SALA 1974'!$B:$U,MATCH($A124,'SALA 1974'!$A:$A,0),MATCH(S$1,'SALA 1974'!$B$1:$U$1,0)),IF($A124&lt;=1994,1000*INDEX('SALA 2002'!$B:$U,MATCH($A124,'SALA 2002'!$A:$A,0),MATCH(S$1,'SALA 2002'!$B$1:$U$1,0)),IF($A124&lt;=2000,1000*INDEX('SALA 2002'!$B:$U,MATCH($A124,'SALA 2002'!$A:$A,0),MATCH(S$1,'SALA 2002'!$B$1:$U$1,0))*POWER(INDEX('WPP 2024 середина года'!$B:$U,MATCH($A124,'WPP 2024 середина года'!$A:$A,0),MATCH(S$1,'WPP 2024 середина года'!$B$1:$U$1,0))/(1000*INDEX('SALA 2002'!$B:$U,MATCH($A124,'SALA 2002'!$A:$A,0),MATCH(S$1,'SALA 2002'!$B$1:$U$1,0))),($A124-1994)/7),INDEX('WPP 2024 середина года'!$B:$U,MATCH($A124,'WPP 2024 середина года'!$A:$A,0),MATCH(S$1,'WPP 2024 середина года'!$B$1:$U$1,0)))))</f>
        <v>33475.4</v>
      </c>
      <c r="T124" s="7">
        <f>IF($A124&lt;=1951,INDEX('SALA 1974'!$B:$U,MATCH($A124,'SALA 1974'!$A:$A,0),MATCH(T$1,'SALA 1974'!$B$1:$U$1,0)),IF($A124&lt;=1994,1000*INDEX('SALA 2002'!$B:$U,MATCH($A124,'SALA 2002'!$A:$A,0),MATCH(T$1,'SALA 2002'!$B$1:$U$1,0)),IF($A124&lt;=2000,1000*INDEX('SALA 2002'!$B:$U,MATCH($A124,'SALA 2002'!$A:$A,0),MATCH(T$1,'SALA 2002'!$B$1:$U$1,0))*POWER(INDEX('WPP 2024 середина года'!$B:$U,MATCH($A124,'WPP 2024 середина года'!$A:$A,0),MATCH(T$1,'WPP 2024 середина года'!$B$1:$U$1,0))/(1000*INDEX('SALA 2002'!$B:$U,MATCH($A124,'SALA 2002'!$A:$A,0),MATCH(T$1,'SALA 2002'!$B$1:$U$1,0))),($A124-1994)/7),INDEX('WPP 2024 середина года'!$B:$U,MATCH($A124,'WPP 2024 середина года'!$A:$A,0),MATCH(T$1,'WPP 2024 середина года'!$B$1:$U$1,0)))))</f>
        <v>3390.9</v>
      </c>
      <c r="U124" s="7">
        <f>IF($A124&lt;=1951,INDEX('SALA 1974'!$B:$U,MATCH($A124,'SALA 1974'!$A:$A,0),MATCH(U$1,'SALA 1974'!$B$1:$U$1,0)),IF($A124&lt;=1994,1000*INDEX('SALA 2002'!$B:$U,MATCH($A124,'SALA 2002'!$A:$A,0),MATCH(U$1,'SALA 2002'!$B$1:$U$1,0)),IF($A124&lt;=2000,1000*INDEX('SALA 2002'!$B:$U,MATCH($A124,'SALA 2002'!$A:$A,0),MATCH(U$1,'SALA 2002'!$B$1:$U$1,0))*POWER(INDEX('WPP 2024 середина года'!$B:$U,MATCH($A124,'WPP 2024 середина года'!$A:$A,0),MATCH(U$1,'WPP 2024 середина года'!$B$1:$U$1,0))/(1000*INDEX('SALA 2002'!$B:$U,MATCH($A124,'SALA 2002'!$A:$A,0),MATCH(U$1,'SALA 2002'!$B$1:$U$1,0))),($A124-1994)/7),INDEX('WPP 2024 середина года'!$B:$U,MATCH($A124,'WPP 2024 середина года'!$A:$A,0),MATCH(U$1,'WPP 2024 середина года'!$B$1:$U$1,0)))))</f>
        <v>28213</v>
      </c>
    </row>
    <row r="125" spans="1:21" x14ac:dyDescent="0.25">
      <c r="A125" s="5">
        <f t="shared" si="1"/>
        <v>2023</v>
      </c>
      <c r="B125" s="7">
        <f>IF($A125&lt;=1951,INDEX('SALA 1974'!$B:$U,MATCH($A125,'SALA 1974'!$A:$A,0),MATCH(B$1,'SALA 1974'!$B$1:$U$1,0)),IF($A125&lt;=1994,1000*INDEX('SALA 2002'!$B:$U,MATCH($A125,'SALA 2002'!$A:$A,0),MATCH(B$1,'SALA 2002'!$B$1:$U$1,0)),IF($A125&lt;=2000,1000*INDEX('SALA 2002'!$B:$U,MATCH($A125,'SALA 2002'!$A:$A,0),MATCH(B$1,'SALA 2002'!$B$1:$U$1,0))*POWER(INDEX('WPP 2024 середина года'!$B:$U,MATCH($A125,'WPP 2024 середина года'!$A:$A,0),MATCH(B$1,'WPP 2024 середина года'!$B$1:$U$1,0))/(1000*INDEX('SALA 2002'!$B:$U,MATCH($A125,'SALA 2002'!$A:$A,0),MATCH(B$1,'SALA 2002'!$B$1:$U$1,0))),($A125-1994)/7),INDEX('WPP 2024 середина года'!$B:$U,MATCH($A125,'WPP 2024 середина года'!$A:$A,0),MATCH(B$1,'WPP 2024 середина года'!$B$1:$U$1,0)))))</f>
        <v>45538.400000000001</v>
      </c>
      <c r="C125" s="7">
        <f>IF($A125&lt;=1951,INDEX('SALA 1974'!$B:$U,MATCH($A125,'SALA 1974'!$A:$A,0),MATCH(C$1,'SALA 1974'!$B$1:$U$1,0)),IF($A125&lt;=1994,1000*INDEX('SALA 2002'!$B:$U,MATCH($A125,'SALA 2002'!$A:$A,0),MATCH(C$1,'SALA 2002'!$B$1:$U$1,0)),IF($A125&lt;=2000,1000*INDEX('SALA 2002'!$B:$U,MATCH($A125,'SALA 2002'!$A:$A,0),MATCH(C$1,'SALA 2002'!$B$1:$U$1,0))*POWER(INDEX('WPP 2024 середина года'!$B:$U,MATCH($A125,'WPP 2024 середина года'!$A:$A,0),MATCH(C$1,'WPP 2024 середина года'!$B$1:$U$1,0))/(1000*INDEX('SALA 2002'!$B:$U,MATCH($A125,'SALA 2002'!$A:$A,0),MATCH(C$1,'SALA 2002'!$B$1:$U$1,0))),($A125-1994)/7),INDEX('WPP 2024 середина года'!$B:$U,MATCH($A125,'WPP 2024 середина года'!$A:$A,0),MATCH(C$1,'WPP 2024 середина года'!$B$1:$U$1,0)))))</f>
        <v>12244.2</v>
      </c>
      <c r="D125" s="7">
        <f>IF($A125&lt;=1951,INDEX('SALA 1974'!$B:$U,MATCH($A125,'SALA 1974'!$A:$A,0),MATCH(D$1,'SALA 1974'!$B$1:$U$1,0)),IF($A125&lt;=1994,1000*INDEX('SALA 2002'!$B:$U,MATCH($A125,'SALA 2002'!$A:$A,0),MATCH(D$1,'SALA 2002'!$B$1:$U$1,0)),IF($A125&lt;=2000,1000*INDEX('SALA 2002'!$B:$U,MATCH($A125,'SALA 2002'!$A:$A,0),MATCH(D$1,'SALA 2002'!$B$1:$U$1,0))*POWER(INDEX('WPP 2024 середина года'!$B:$U,MATCH($A125,'WPP 2024 середина года'!$A:$A,0),MATCH(D$1,'WPP 2024 середина года'!$B$1:$U$1,0))/(1000*INDEX('SALA 2002'!$B:$U,MATCH($A125,'SALA 2002'!$A:$A,0),MATCH(D$1,'SALA 2002'!$B$1:$U$1,0))),($A125-1994)/7),INDEX('WPP 2024 середина года'!$B:$U,MATCH($A125,'WPP 2024 середина года'!$A:$A,0),MATCH(D$1,'WPP 2024 середина года'!$B$1:$U$1,0)))))</f>
        <v>211140.7</v>
      </c>
      <c r="E125" s="7">
        <f>IF($A125&lt;=1951,INDEX('SALA 1974'!$B:$U,MATCH($A125,'SALA 1974'!$A:$A,0),MATCH(E$1,'SALA 1974'!$B$1:$U$1,0)),IF($A125&lt;=1994,1000*INDEX('SALA 2002'!$B:$U,MATCH($A125,'SALA 2002'!$A:$A,0),MATCH(E$1,'SALA 2002'!$B$1:$U$1,0)),IF($A125&lt;=2000,1000*INDEX('SALA 2002'!$B:$U,MATCH($A125,'SALA 2002'!$A:$A,0),MATCH(E$1,'SALA 2002'!$B$1:$U$1,0))*POWER(INDEX('WPP 2024 середина года'!$B:$U,MATCH($A125,'WPP 2024 середина года'!$A:$A,0),MATCH(E$1,'WPP 2024 середина года'!$B$1:$U$1,0))/(1000*INDEX('SALA 2002'!$B:$U,MATCH($A125,'SALA 2002'!$A:$A,0),MATCH(E$1,'SALA 2002'!$B$1:$U$1,0))),($A125-1994)/7),INDEX('WPP 2024 середина года'!$B:$U,MATCH($A125,'WPP 2024 середина года'!$A:$A,0),MATCH(E$1,'WPP 2024 середина года'!$B$1:$U$1,0)))))</f>
        <v>19658.8</v>
      </c>
      <c r="F125" s="7">
        <f>IF($A125&lt;=1947,INDEX('SALA 1974'!$B:$U,MATCH($A125,'SALA 1974'!$A:$A,0),MATCH(F$1,'SALA 1974'!$B$1:$U$1,0)),IF($A125&lt;=1994,1000*INDEX('SALA 2002'!$B:$U,MATCH($A125,'SALA 2002'!$A:$A,0),MATCH(F$1,'SALA 2002'!$B$1:$U$1,0)),IF($A125&lt;=2000,1000*INDEX('SALA 2002'!$B:$U,MATCH($A125,'SALA 2002'!$A:$A,0),MATCH(F$1,'SALA 2002'!$B$1:$U$1,0))*POWER(INDEX('WPP 2024 середина года'!$B:$U,MATCH($A125,'WPP 2024 середина года'!$A:$A,0),MATCH(F$1,'WPP 2024 середина года'!$B$1:$U$1,0))/(1000*INDEX('SALA 2002'!$B:$U,MATCH($A125,'SALA 2002'!$A:$A,0),MATCH(F$1,'SALA 2002'!$B$1:$U$1,0))),($A125-1994)/7),INDEX('WPP 2024 середина года'!$B:$U,MATCH($A125,'WPP 2024 середина года'!$A:$A,0),MATCH(F$1,'WPP 2024 середина года'!$B$1:$U$1,0)))))</f>
        <v>52321.2</v>
      </c>
      <c r="G125" s="7">
        <f>IF($A125&lt;=1951,INDEX('SALA 1974'!$B:$U,MATCH($A125,'SALA 1974'!$A:$A,0),MATCH(G$1,'SALA 1974'!$B$1:$U$1,0)),IF($A125&lt;=1994,1000*INDEX('SALA 2002'!$B:$U,MATCH($A125,'SALA 2002'!$A:$A,0),MATCH(G$1,'SALA 2002'!$B$1:$U$1,0)),IF($A125&lt;=2000,1000*INDEX('SALA 2002'!$B:$U,MATCH($A125,'SALA 2002'!$A:$A,0),MATCH(G$1,'SALA 2002'!$B$1:$U$1,0))*POWER(INDEX('WPP 2024 середина года'!$B:$U,MATCH($A125,'WPP 2024 середина года'!$A:$A,0),MATCH(G$1,'WPP 2024 середина года'!$B$1:$U$1,0))/(1000*INDEX('SALA 2002'!$B:$U,MATCH($A125,'SALA 2002'!$A:$A,0),MATCH(G$1,'SALA 2002'!$B$1:$U$1,0))),($A125-1994)/7),INDEX('WPP 2024 середина года'!$B:$U,MATCH($A125,'WPP 2024 середина года'!$A:$A,0),MATCH(G$1,'WPP 2024 середина года'!$B$1:$U$1,0)))))</f>
        <v>5105.5</v>
      </c>
      <c r="H125" s="7">
        <f>IF($A125&lt;=1951,INDEX('SALA 1974'!$B:$U,MATCH($A125,'SALA 1974'!$A:$A,0),MATCH(H$1,'SALA 1974'!$B$1:$U$1,0)),IF($A125&lt;=1994,1000*INDEX('SALA 2002'!$B:$U,MATCH($A125,'SALA 2002'!$A:$A,0),MATCH(H$1,'SALA 2002'!$B$1:$U$1,0)),IF($A125&lt;=2000,1000*INDEX('SALA 2002'!$B:$U,MATCH($A125,'SALA 2002'!$A:$A,0),MATCH(H$1,'SALA 2002'!$B$1:$U$1,0))*POWER(INDEX('WPP 2024 середина года'!$B:$U,MATCH($A125,'WPP 2024 середина года'!$A:$A,0),MATCH(H$1,'WPP 2024 середина года'!$B$1:$U$1,0))/(1000*INDEX('SALA 2002'!$B:$U,MATCH($A125,'SALA 2002'!$A:$A,0),MATCH(H$1,'SALA 2002'!$B$1:$U$1,0))),($A125-1994)/7),INDEX('WPP 2024 середина года'!$B:$U,MATCH($A125,'WPP 2024 середина года'!$A:$A,0),MATCH(H$1,'WPP 2024 середина года'!$B$1:$U$1,0)))))</f>
        <v>11019.9</v>
      </c>
      <c r="I125" s="7">
        <f>IF($A125&lt;=1951,INDEX('SALA 1974'!$B:$U,MATCH($A125,'SALA 1974'!$A:$A,0),MATCH(I$1,'SALA 1974'!$B$1:$U$1,0)),IF($A125&lt;=1994,1000*INDEX('SALA 2002'!$B:$U,MATCH($A125,'SALA 2002'!$A:$A,0),MATCH(I$1,'SALA 2002'!$B$1:$U$1,0)),IF($A125&lt;=2000,1000*INDEX('SALA 2002'!$B:$U,MATCH($A125,'SALA 2002'!$A:$A,0),MATCH(I$1,'SALA 2002'!$B$1:$U$1,0))*POWER(INDEX('WPP 2024 середина года'!$B:$U,MATCH($A125,'WPP 2024 середина года'!$A:$A,0),MATCH(I$1,'WPP 2024 середина года'!$B$1:$U$1,0))/(1000*INDEX('SALA 2002'!$B:$U,MATCH($A125,'SALA 2002'!$A:$A,0),MATCH(I$1,'SALA 2002'!$B$1:$U$1,0))),($A125-1994)/7),INDEX('WPP 2024 середина года'!$B:$U,MATCH($A125,'WPP 2024 середина года'!$A:$A,0),MATCH(I$1,'WPP 2024 середина года'!$B$1:$U$1,0)))))</f>
        <v>11331.3</v>
      </c>
      <c r="J125" s="7">
        <f>IF($A125&lt;=1951,INDEX('SALA 1974'!$B:$U,MATCH($A125,'SALA 1974'!$A:$A,0),MATCH(J$1,'SALA 1974'!$B$1:$U$1,0)),IF($A125&lt;=1994,1000*INDEX('SALA 2002'!$B:$U,MATCH($A125,'SALA 2002'!$A:$A,0),MATCH(J$1,'SALA 2002'!$B$1:$U$1,0)),IF($A125&lt;=2000,1000*INDEX('SALA 2002'!$B:$U,MATCH($A125,'SALA 2002'!$A:$A,0),MATCH(J$1,'SALA 2002'!$B$1:$U$1,0))*POWER(INDEX('WPP 2024 середина года'!$B:$U,MATCH($A125,'WPP 2024 середина года'!$A:$A,0),MATCH(J$1,'WPP 2024 середина года'!$B$1:$U$1,0))/(1000*INDEX('SALA 2002'!$B:$U,MATCH($A125,'SALA 2002'!$A:$A,0),MATCH(J$1,'SALA 2002'!$B$1:$U$1,0))),($A125-1994)/7),INDEX('WPP 2024 середина года'!$B:$U,MATCH($A125,'WPP 2024 середина года'!$A:$A,0),MATCH(J$1,'WPP 2024 середина года'!$B$1:$U$1,0)))))</f>
        <v>17980.099999999999</v>
      </c>
      <c r="K125" s="7">
        <f>IF($A125&lt;=1951,INDEX('SALA 1974'!$B:$U,MATCH($A125,'SALA 1974'!$A:$A,0),MATCH(K$1,'SALA 1974'!$B$1:$U$1,0)),IF($A125&lt;=1994,1000*INDEX('SALA 2002'!$B:$U,MATCH($A125,'SALA 2002'!$A:$A,0),MATCH(K$1,'SALA 2002'!$B$1:$U$1,0)),IF($A125&lt;=2000,1000*INDEX('SALA 2002'!$B:$U,MATCH($A125,'SALA 2002'!$A:$A,0),MATCH(K$1,'SALA 2002'!$B$1:$U$1,0))*POWER(INDEX('WPP 2024 середина года'!$B:$U,MATCH($A125,'WPP 2024 середина года'!$A:$A,0),MATCH(K$1,'WPP 2024 середина года'!$B$1:$U$1,0))/(1000*INDEX('SALA 2002'!$B:$U,MATCH($A125,'SALA 2002'!$A:$A,0),MATCH(K$1,'SALA 2002'!$B$1:$U$1,0))),($A125-1994)/7),INDEX('WPP 2024 середина года'!$B:$U,MATCH($A125,'WPP 2024 середина года'!$A:$A,0),MATCH(K$1,'WPP 2024 середина года'!$B$1:$U$1,0)))))</f>
        <v>6309.6</v>
      </c>
      <c r="L125" s="7">
        <f>IF($A125&lt;=1951,INDEX('SALA 1974'!$B:$U,MATCH($A125,'SALA 1974'!$A:$A,0),MATCH(L$1,'SALA 1974'!$B$1:$U$1,0)),IF($A125&lt;=1994,1000*INDEX('SALA 2002'!$B:$U,MATCH($A125,'SALA 2002'!$A:$A,0),MATCH(L$1,'SALA 2002'!$B$1:$U$1,0)),IF($A125&lt;=2000,1000*INDEX('SALA 2002'!$B:$U,MATCH($A125,'SALA 2002'!$A:$A,0),MATCH(L$1,'SALA 2002'!$B$1:$U$1,0))*POWER(INDEX('WPP 2024 середина года'!$B:$U,MATCH($A125,'WPP 2024 середина года'!$A:$A,0),MATCH(L$1,'WPP 2024 середина года'!$B$1:$U$1,0))/(1000*INDEX('SALA 2002'!$B:$U,MATCH($A125,'SALA 2002'!$A:$A,0),MATCH(L$1,'SALA 2002'!$B$1:$U$1,0))),($A125-1994)/7),INDEX('WPP 2024 середина года'!$B:$U,MATCH($A125,'WPP 2024 середина года'!$A:$A,0),MATCH(L$1,'WPP 2024 середина года'!$B$1:$U$1,0)))))</f>
        <v>18124.8</v>
      </c>
      <c r="M125" s="7">
        <f>IF($A125&lt;=1951,INDEX('SALA 1974'!$B:$U,MATCH($A125,'SALA 1974'!$A:$A,0),MATCH(M$1,'SALA 1974'!$B$1:$U$1,0)),IF($A125&lt;=1994,1000*INDEX('SALA 2002'!$B:$U,MATCH($A125,'SALA 2002'!$A:$A,0),MATCH(M$1,'SALA 2002'!$B$1:$U$1,0)),IF($A125&lt;=2000,1000*INDEX('SALA 2002'!$B:$U,MATCH($A125,'SALA 2002'!$A:$A,0),MATCH(M$1,'SALA 2002'!$B$1:$U$1,0))*POWER(INDEX('WPP 2024 середина года'!$B:$U,MATCH($A125,'WPP 2024 середина года'!$A:$A,0),MATCH(M$1,'WPP 2024 середина года'!$B$1:$U$1,0))/(1000*INDEX('SALA 2002'!$B:$U,MATCH($A125,'SALA 2002'!$A:$A,0),MATCH(M$1,'SALA 2002'!$B$1:$U$1,0))),($A125-1994)/7),INDEX('WPP 2024 середина года'!$B:$U,MATCH($A125,'WPP 2024 середина года'!$A:$A,0),MATCH(M$1,'WPP 2024 середина года'!$B$1:$U$1,0)))))</f>
        <v>11637.4</v>
      </c>
      <c r="N125" s="7">
        <f>IF($A125&lt;=1951,INDEX('SALA 1974'!$B:$U,MATCH($A125,'SALA 1974'!$A:$A,0),MATCH(N$1,'SALA 1974'!$B$1:$U$1,0)),IF($A125&lt;=1994,1000*INDEX('SALA 2002'!$B:$U,MATCH($A125,'SALA 2002'!$A:$A,0),MATCH(N$1,'SALA 2002'!$B$1:$U$1,0)),IF($A125&lt;=2000,1000*INDEX('SALA 2002'!$B:$U,MATCH($A125,'SALA 2002'!$A:$A,0),MATCH(N$1,'SALA 2002'!$B$1:$U$1,0))*POWER(INDEX('WPP 2024 середина года'!$B:$U,MATCH($A125,'WPP 2024 середина года'!$A:$A,0),MATCH(N$1,'WPP 2024 середина года'!$B$1:$U$1,0))/(1000*INDEX('SALA 2002'!$B:$U,MATCH($A125,'SALA 2002'!$A:$A,0),MATCH(N$1,'SALA 2002'!$B$1:$U$1,0))),($A125-1994)/7),INDEX('WPP 2024 середина года'!$B:$U,MATCH($A125,'WPP 2024 середина года'!$A:$A,0),MATCH(N$1,'WPP 2024 середина года'!$B$1:$U$1,0)))))</f>
        <v>10644.9</v>
      </c>
      <c r="O125" s="7">
        <f>IF($A125&lt;=1951,INDEX('SALA 1974'!$B:$U,MATCH($A125,'SALA 1974'!$A:$A,0),MATCH(O$1,'SALA 1974'!$B$1:$U$1,0)),IF($A125&lt;=1994,1000*INDEX('SALA 2002'!$B:$U,MATCH($A125,'SALA 2002'!$A:$A,0),MATCH(O$1,'SALA 2002'!$B$1:$U$1,0)),IF($A125&lt;=2000,1000*INDEX('SALA 2002'!$B:$U,MATCH($A125,'SALA 2002'!$A:$A,0),MATCH(O$1,'SALA 2002'!$B$1:$U$1,0))*POWER(INDEX('WPP 2024 середина года'!$B:$U,MATCH($A125,'WPP 2024 середина года'!$A:$A,0),MATCH(O$1,'WPP 2024 середина года'!$B$1:$U$1,0))/(1000*INDEX('SALA 2002'!$B:$U,MATCH($A125,'SALA 2002'!$A:$A,0),MATCH(O$1,'SALA 2002'!$B$1:$U$1,0))),($A125-1994)/7),INDEX('WPP 2024 середина года'!$B:$U,MATCH($A125,'WPP 2024 середина года'!$A:$A,0),MATCH(O$1,'WPP 2024 середина года'!$B$1:$U$1,0)))))</f>
        <v>129739.8</v>
      </c>
      <c r="P125" s="7">
        <f>IF($A125&lt;=1951,INDEX('SALA 1974'!$B:$U,MATCH($A125,'SALA 1974'!$A:$A,0),MATCH(P$1,'SALA 1974'!$B$1:$U$1,0)),IF($A125&lt;=1994,1000*INDEX('SALA 2002'!$B:$U,MATCH($A125,'SALA 2002'!$A:$A,0),MATCH(P$1,'SALA 2002'!$B$1:$U$1,0)),IF($A125&lt;=2000,1000*INDEX('SALA 2002'!$B:$U,MATCH($A125,'SALA 2002'!$A:$A,0),MATCH(P$1,'SALA 2002'!$B$1:$U$1,0))*POWER(INDEX('WPP 2024 середина года'!$B:$U,MATCH($A125,'WPP 2024 середина года'!$A:$A,0),MATCH(P$1,'WPP 2024 середина года'!$B$1:$U$1,0))/(1000*INDEX('SALA 2002'!$B:$U,MATCH($A125,'SALA 2002'!$A:$A,0),MATCH(P$1,'SALA 2002'!$B$1:$U$1,0))),($A125-1994)/7),INDEX('WPP 2024 середина года'!$B:$U,MATCH($A125,'WPP 2024 середина года'!$A:$A,0),MATCH(P$1,'WPP 2024 середина года'!$B$1:$U$1,0)))))</f>
        <v>6823.6</v>
      </c>
      <c r="Q125" s="7">
        <f>IF($A125&lt;=1951,INDEX('SALA 1974'!$B:$U,MATCH($A125,'SALA 1974'!$A:$A,0),MATCH(Q$1,'SALA 1974'!$B$1:$U$1,0)),IF($A125&lt;=1994,1000*INDEX('SALA 2002'!$B:$U,MATCH($A125,'SALA 2002'!$A:$A,0),MATCH(Q$1,'SALA 2002'!$B$1:$U$1,0)),IF($A125&lt;=2000,1000*INDEX('SALA 2002'!$B:$U,MATCH($A125,'SALA 2002'!$A:$A,0),MATCH(Q$1,'SALA 2002'!$B$1:$U$1,0))*POWER(INDEX('WPP 2024 середина года'!$B:$U,MATCH($A125,'WPP 2024 середина года'!$A:$A,0),MATCH(Q$1,'WPP 2024 середина года'!$B$1:$U$1,0))/(1000*INDEX('SALA 2002'!$B:$U,MATCH($A125,'SALA 2002'!$A:$A,0),MATCH(Q$1,'SALA 2002'!$B$1:$U$1,0))),($A125-1994)/7),INDEX('WPP 2024 середина года'!$B:$U,MATCH($A125,'WPP 2024 середина года'!$A:$A,0),MATCH(Q$1,'WPP 2024 середина года'!$B$1:$U$1,0)))))</f>
        <v>4458.8</v>
      </c>
      <c r="R125" s="7">
        <f>IF($A125&lt;=1951,INDEX('SALA 1974'!$B:$U,MATCH($A125,'SALA 1974'!$A:$A,0),MATCH(R$1,'SALA 1974'!$B$1:$U$1,0)),IF($A125&lt;=1994,1000*INDEX('SALA 2002'!$B:$U,MATCH($A125,'SALA 2002'!$A:$A,0),MATCH(R$1,'SALA 2002'!$B$1:$U$1,0)),IF($A125&lt;=2000,1000*INDEX('SALA 2002'!$B:$U,MATCH($A125,'SALA 2002'!$A:$A,0),MATCH(R$1,'SALA 2002'!$B$1:$U$1,0))*POWER(INDEX('WPP 2024 середина года'!$B:$U,MATCH($A125,'WPP 2024 середина года'!$A:$A,0),MATCH(R$1,'WPP 2024 середина года'!$B$1:$U$1,0))/(1000*INDEX('SALA 2002'!$B:$U,MATCH($A125,'SALA 2002'!$A:$A,0),MATCH(R$1,'SALA 2002'!$B$1:$U$1,0))),($A125-1994)/7),INDEX('WPP 2024 середина года'!$B:$U,MATCH($A125,'WPP 2024 середина года'!$A:$A,0),MATCH(R$1,'WPP 2024 середина года'!$B$1:$U$1,0)))))</f>
        <v>6844.1</v>
      </c>
      <c r="S125" s="7">
        <f>IF($A125&lt;=1951,INDEX('SALA 1974'!$B:$U,MATCH($A125,'SALA 1974'!$A:$A,0),MATCH(S$1,'SALA 1974'!$B$1:$U$1,0)),IF($A125&lt;=1994,1000*INDEX('SALA 2002'!$B:$U,MATCH($A125,'SALA 2002'!$A:$A,0),MATCH(S$1,'SALA 2002'!$B$1:$U$1,0)),IF($A125&lt;=2000,1000*INDEX('SALA 2002'!$B:$U,MATCH($A125,'SALA 2002'!$A:$A,0),MATCH(S$1,'SALA 2002'!$B$1:$U$1,0))*POWER(INDEX('WPP 2024 середина года'!$B:$U,MATCH($A125,'WPP 2024 середина года'!$A:$A,0),MATCH(S$1,'WPP 2024 середина года'!$B$1:$U$1,0))/(1000*INDEX('SALA 2002'!$B:$U,MATCH($A125,'SALA 2002'!$A:$A,0),MATCH(S$1,'SALA 2002'!$B$1:$U$1,0))),($A125-1994)/7),INDEX('WPP 2024 середина года'!$B:$U,MATCH($A125,'WPP 2024 середина года'!$A:$A,0),MATCH(S$1,'WPP 2024 середина года'!$B$1:$U$1,0)))))</f>
        <v>33845.599999999999</v>
      </c>
      <c r="T125" s="7">
        <f>IF($A125&lt;=1951,INDEX('SALA 1974'!$B:$U,MATCH($A125,'SALA 1974'!$A:$A,0),MATCH(T$1,'SALA 1974'!$B$1:$U$1,0)),IF($A125&lt;=1994,1000*INDEX('SALA 2002'!$B:$U,MATCH($A125,'SALA 2002'!$A:$A,0),MATCH(T$1,'SALA 2002'!$B$1:$U$1,0)),IF($A125&lt;=2000,1000*INDEX('SALA 2002'!$B:$U,MATCH($A125,'SALA 2002'!$A:$A,0),MATCH(T$1,'SALA 2002'!$B$1:$U$1,0))*POWER(INDEX('WPP 2024 середина года'!$B:$U,MATCH($A125,'WPP 2024 середина года'!$A:$A,0),MATCH(T$1,'WPP 2024 середина года'!$B$1:$U$1,0))/(1000*INDEX('SALA 2002'!$B:$U,MATCH($A125,'SALA 2002'!$A:$A,0),MATCH(T$1,'SALA 2002'!$B$1:$U$1,0))),($A125-1994)/7),INDEX('WPP 2024 середина года'!$B:$U,MATCH($A125,'WPP 2024 середина года'!$A:$A,0),MATCH(T$1,'WPP 2024 середина года'!$B$1:$U$1,0)))))</f>
        <v>3388.1</v>
      </c>
      <c r="U125" s="7">
        <f>IF($A125&lt;=1951,INDEX('SALA 1974'!$B:$U,MATCH($A125,'SALA 1974'!$A:$A,0),MATCH(U$1,'SALA 1974'!$B$1:$U$1,0)),IF($A125&lt;=1994,1000*INDEX('SALA 2002'!$B:$U,MATCH($A125,'SALA 2002'!$A:$A,0),MATCH(U$1,'SALA 2002'!$B$1:$U$1,0)),IF($A125&lt;=2000,1000*INDEX('SALA 2002'!$B:$U,MATCH($A125,'SALA 2002'!$A:$A,0),MATCH(U$1,'SALA 2002'!$B$1:$U$1,0))*POWER(INDEX('WPP 2024 середина года'!$B:$U,MATCH($A125,'WPP 2024 середина года'!$A:$A,0),MATCH(U$1,'WPP 2024 середина года'!$B$1:$U$1,0))/(1000*INDEX('SALA 2002'!$B:$U,MATCH($A125,'SALA 2002'!$A:$A,0),MATCH(U$1,'SALA 2002'!$B$1:$U$1,0))),($A125-1994)/7),INDEX('WPP 2024 середина года'!$B:$U,MATCH($A125,'WPP 2024 середина года'!$A:$A,0),MATCH(U$1,'WPP 2024 середина года'!$B$1:$U$1,0)))))</f>
        <v>28300.9</v>
      </c>
    </row>
  </sheetData>
  <pageMargins left="0.7" right="0.7" top="0.75" bottom="0.75" header="0.3" footer="0.3"/>
  <ignoredErrors>
    <ignoredError sqref="F2:F125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5F31D-B23C-4794-ADEC-737B084E6B2B}">
  <dimension ref="A1:AM22"/>
  <sheetViews>
    <sheetView workbookViewId="0">
      <pane xSplit="1" ySplit="1" topLeftCell="K2" activePane="bottomRight" state="frozen"/>
      <selection pane="topRight" activeCell="B1" sqref="B1"/>
      <selection pane="bottomLeft" activeCell="A2" sqref="A2"/>
      <selection pane="bottomRight" activeCell="B22" sqref="B22:AM22"/>
    </sheetView>
  </sheetViews>
  <sheetFormatPr defaultRowHeight="15" x14ac:dyDescent="0.25"/>
  <cols>
    <col min="1" max="1" width="5" bestFit="1" customWidth="1"/>
    <col min="2" max="2" width="10.7109375" bestFit="1" customWidth="1"/>
    <col min="3" max="3" width="8.85546875" bestFit="1" customWidth="1"/>
    <col min="4" max="4" width="9.7109375" bestFit="1" customWidth="1"/>
    <col min="5" max="5" width="6.5703125" bestFit="1" customWidth="1"/>
    <col min="6" max="6" width="10.28515625" bestFit="1" customWidth="1"/>
    <col min="7" max="7" width="11.140625" bestFit="1" customWidth="1"/>
    <col min="8" max="8" width="6.5703125" bestFit="1" customWidth="1"/>
    <col min="9" max="9" width="27.28515625" bestFit="1" customWidth="1"/>
    <col min="10" max="10" width="8.7109375" bestFit="1" customWidth="1"/>
    <col min="11" max="11" width="15" bestFit="1" customWidth="1"/>
    <col min="12" max="12" width="10.5703125" bestFit="1" customWidth="1"/>
    <col min="13" max="13" width="6.5703125" bestFit="1" customWidth="1"/>
    <col min="14" max="14" width="9.42578125" bestFit="1" customWidth="1"/>
    <col min="15" max="15" width="9" bestFit="1" customWidth="1"/>
    <col min="16" max="16" width="10.42578125" bestFit="1" customWidth="1"/>
    <col min="17" max="17" width="8" bestFit="1" customWidth="1"/>
    <col min="18" max="18" width="9.42578125" bestFit="1" customWidth="1"/>
    <col min="19" max="19" width="6.5703125" bestFit="1" customWidth="1"/>
    <col min="20" max="20" width="8.28515625" bestFit="1" customWidth="1"/>
    <col min="21" max="21" width="10.7109375" bestFit="1" customWidth="1"/>
    <col min="22" max="22" width="7.85546875" bestFit="1" customWidth="1"/>
    <col min="23" max="23" width="9.7109375" bestFit="1" customWidth="1"/>
    <col min="24" max="24" width="7.28515625" bestFit="1" customWidth="1"/>
    <col min="25" max="25" width="10.5703125" bestFit="1" customWidth="1"/>
    <col min="26" max="26" width="11.28515625" bestFit="1" customWidth="1"/>
    <col min="27" max="27" width="12.7109375" bestFit="1" customWidth="1"/>
    <col min="28" max="28" width="9.140625" bestFit="1" customWidth="1"/>
    <col min="29" max="29" width="18.42578125" bestFit="1" customWidth="1"/>
    <col min="30" max="30" width="19.5703125" bestFit="1" customWidth="1"/>
    <col min="31" max="31" width="7.85546875" bestFit="1" customWidth="1"/>
    <col min="32" max="32" width="18.140625" bestFit="1" customWidth="1"/>
    <col min="33" max="33" width="6.7109375" bestFit="1" customWidth="1"/>
    <col min="34" max="34" width="6.5703125" bestFit="1" customWidth="1"/>
    <col min="35" max="35" width="24.42578125" bestFit="1" customWidth="1"/>
    <col min="36" max="36" width="8.5703125" bestFit="1" customWidth="1"/>
    <col min="37" max="37" width="9" bestFit="1" customWidth="1"/>
    <col min="38" max="38" width="26.28515625" bestFit="1" customWidth="1"/>
    <col min="39" max="39" width="12" bestFit="1" customWidth="1"/>
  </cols>
  <sheetData>
    <row r="1" spans="1:39" x14ac:dyDescent="0.25">
      <c r="A1" s="18" t="s">
        <v>1</v>
      </c>
      <c r="B1" s="18" t="s">
        <v>2</v>
      </c>
      <c r="C1" s="18" t="s">
        <v>3</v>
      </c>
      <c r="D1" s="18" t="s">
        <v>4</v>
      </c>
      <c r="E1" s="18" t="s">
        <v>5</v>
      </c>
      <c r="F1" s="18" t="s">
        <v>6</v>
      </c>
      <c r="G1" s="18" t="s">
        <v>7</v>
      </c>
      <c r="H1" s="18" t="s">
        <v>8</v>
      </c>
      <c r="I1" s="18" t="s">
        <v>85</v>
      </c>
      <c r="J1" s="18" t="s">
        <v>10</v>
      </c>
      <c r="K1" s="18" t="s">
        <v>11</v>
      </c>
      <c r="L1" s="18" t="s">
        <v>12</v>
      </c>
      <c r="M1" s="18" t="s">
        <v>13</v>
      </c>
      <c r="N1" s="18" t="s">
        <v>14</v>
      </c>
      <c r="O1" s="18" t="s">
        <v>15</v>
      </c>
      <c r="P1" s="18" t="s">
        <v>16</v>
      </c>
      <c r="Q1" s="18" t="s">
        <v>17</v>
      </c>
      <c r="R1" s="18" t="s">
        <v>18</v>
      </c>
      <c r="S1" s="18" t="s">
        <v>19</v>
      </c>
      <c r="T1" s="18" t="s">
        <v>20</v>
      </c>
      <c r="U1" s="18" t="s">
        <v>93</v>
      </c>
      <c r="V1" s="18" t="s">
        <v>73</v>
      </c>
      <c r="W1" s="18" t="s">
        <v>74</v>
      </c>
      <c r="X1" s="18" t="s">
        <v>80</v>
      </c>
      <c r="Y1" s="18" t="s">
        <v>78</v>
      </c>
      <c r="Z1" s="18" t="s">
        <v>83</v>
      </c>
      <c r="AA1" s="18" t="s">
        <v>84</v>
      </c>
      <c r="AB1" s="18" t="s">
        <v>88</v>
      </c>
      <c r="AC1" s="18" t="s">
        <v>89</v>
      </c>
      <c r="AD1" s="18" t="s">
        <v>79</v>
      </c>
      <c r="AE1" s="18" t="s">
        <v>82</v>
      </c>
      <c r="AF1" s="18" t="s">
        <v>71</v>
      </c>
      <c r="AG1" s="18" t="s">
        <v>72</v>
      </c>
      <c r="AH1" s="18" t="s">
        <v>75</v>
      </c>
      <c r="AI1" s="18" t="s">
        <v>81</v>
      </c>
      <c r="AJ1" s="18" t="s">
        <v>77</v>
      </c>
      <c r="AK1" s="18" t="s">
        <v>76</v>
      </c>
      <c r="AL1" s="18" t="s">
        <v>86</v>
      </c>
      <c r="AM1" s="18" t="s">
        <v>87</v>
      </c>
    </row>
    <row r="2" spans="1:39" x14ac:dyDescent="0.25">
      <c r="A2">
        <v>1920</v>
      </c>
      <c r="B2" s="7">
        <v>8861</v>
      </c>
      <c r="C2" s="7">
        <v>1918</v>
      </c>
      <c r="D2" s="7">
        <v>27404</v>
      </c>
      <c r="E2" s="7">
        <v>3783</v>
      </c>
      <c r="F2" s="7">
        <v>6057</v>
      </c>
      <c r="G2" s="7">
        <v>421</v>
      </c>
      <c r="H2" s="7">
        <v>2950</v>
      </c>
      <c r="I2" s="7">
        <v>1140</v>
      </c>
      <c r="J2" s="7">
        <v>1898</v>
      </c>
      <c r="K2" s="7">
        <v>1168</v>
      </c>
      <c r="L2" s="7">
        <v>1450</v>
      </c>
      <c r="M2" s="7">
        <v>2124</v>
      </c>
      <c r="N2" s="7">
        <v>783</v>
      </c>
      <c r="O2" s="7">
        <v>14500</v>
      </c>
      <c r="P2" s="7">
        <v>639</v>
      </c>
      <c r="Q2" s="7">
        <v>429</v>
      </c>
      <c r="R2" s="7">
        <v>699</v>
      </c>
      <c r="S2" s="7">
        <v>4862</v>
      </c>
      <c r="T2" s="7">
        <v>1391</v>
      </c>
      <c r="U2" s="7">
        <v>2408</v>
      </c>
      <c r="V2" s="7">
        <v>55</v>
      </c>
      <c r="W2" s="7">
        <v>155</v>
      </c>
      <c r="X2" s="7">
        <v>295</v>
      </c>
      <c r="Y2" s="7">
        <v>150</v>
      </c>
      <c r="Z2" s="7">
        <v>165</v>
      </c>
      <c r="AA2" s="7">
        <v>1312</v>
      </c>
      <c r="AB2" s="7">
        <v>130</v>
      </c>
      <c r="AC2" s="7">
        <v>389</v>
      </c>
      <c r="AD2" s="7">
        <v>26</v>
      </c>
      <c r="AE2" s="7">
        <v>855</v>
      </c>
      <c r="AF2" s="7"/>
      <c r="AG2" s="7"/>
      <c r="AH2" s="7"/>
      <c r="AI2" s="7"/>
      <c r="AJ2" s="7"/>
      <c r="AK2" s="7"/>
      <c r="AL2" s="7"/>
      <c r="AM2" s="7"/>
    </row>
    <row r="3" spans="1:39" x14ac:dyDescent="0.25">
      <c r="A3">
        <v>1925</v>
      </c>
      <c r="B3" s="7">
        <v>10358</v>
      </c>
      <c r="C3" s="7">
        <v>2022</v>
      </c>
      <c r="D3" s="7">
        <v>30332</v>
      </c>
      <c r="E3" s="7">
        <v>4084</v>
      </c>
      <c r="F3" s="7">
        <v>6669</v>
      </c>
      <c r="G3" s="7">
        <v>456</v>
      </c>
      <c r="H3" s="7">
        <v>3364</v>
      </c>
      <c r="I3" s="7">
        <v>1258</v>
      </c>
      <c r="J3" s="7">
        <v>2009</v>
      </c>
      <c r="K3" s="7">
        <v>1301</v>
      </c>
      <c r="L3" s="7">
        <v>1532</v>
      </c>
      <c r="M3" s="7">
        <v>2260</v>
      </c>
      <c r="N3" s="7">
        <v>862</v>
      </c>
      <c r="O3" s="7">
        <v>15204</v>
      </c>
      <c r="P3" s="7">
        <v>687</v>
      </c>
      <c r="Q3" s="7">
        <v>464</v>
      </c>
      <c r="R3" s="7">
        <v>785</v>
      </c>
      <c r="S3" s="7">
        <v>5229</v>
      </c>
      <c r="T3" s="7">
        <v>1540</v>
      </c>
      <c r="U3" s="7">
        <v>2650</v>
      </c>
      <c r="V3" s="7">
        <v>57</v>
      </c>
      <c r="W3" s="7">
        <v>156</v>
      </c>
      <c r="X3" s="7">
        <v>302</v>
      </c>
      <c r="Y3" s="7">
        <v>152</v>
      </c>
      <c r="Z3" s="7">
        <v>167</v>
      </c>
      <c r="AA3" s="7">
        <v>1431</v>
      </c>
      <c r="AB3" s="7">
        <v>154</v>
      </c>
      <c r="AC3" s="7">
        <v>390</v>
      </c>
      <c r="AD3" s="7">
        <v>28</v>
      </c>
      <c r="AE3" s="7">
        <v>922</v>
      </c>
      <c r="AF3" s="7"/>
      <c r="AG3" s="7"/>
      <c r="AH3" s="7"/>
      <c r="AI3" s="7"/>
      <c r="AJ3" s="7"/>
      <c r="AK3" s="7"/>
      <c r="AL3" s="7"/>
      <c r="AM3" s="7"/>
    </row>
    <row r="4" spans="1:39" x14ac:dyDescent="0.25">
      <c r="A4">
        <v>1930</v>
      </c>
      <c r="B4" s="7">
        <v>11896</v>
      </c>
      <c r="C4" s="7">
        <v>2153</v>
      </c>
      <c r="D4" s="7">
        <v>33568</v>
      </c>
      <c r="E4" s="7">
        <v>4424</v>
      </c>
      <c r="F4" s="7">
        <v>7350</v>
      </c>
      <c r="G4" s="7">
        <v>499</v>
      </c>
      <c r="H4" s="7">
        <v>3837</v>
      </c>
      <c r="I4" s="7">
        <v>1400</v>
      </c>
      <c r="J4" s="7">
        <v>2160</v>
      </c>
      <c r="K4" s="7">
        <v>1443</v>
      </c>
      <c r="L4" s="7">
        <v>1771</v>
      </c>
      <c r="M4" s="7">
        <v>2422</v>
      </c>
      <c r="N4" s="7">
        <v>948</v>
      </c>
      <c r="O4" s="7">
        <v>16589</v>
      </c>
      <c r="P4" s="7">
        <v>742</v>
      </c>
      <c r="Q4" s="7">
        <v>502</v>
      </c>
      <c r="R4" s="7">
        <v>880</v>
      </c>
      <c r="S4" s="7">
        <v>5651</v>
      </c>
      <c r="T4" s="7">
        <v>1704</v>
      </c>
      <c r="U4" s="7">
        <v>2950</v>
      </c>
      <c r="V4" s="7">
        <v>61</v>
      </c>
      <c r="W4" s="7">
        <v>159</v>
      </c>
      <c r="X4" s="7">
        <v>309</v>
      </c>
      <c r="Y4" s="7">
        <v>160</v>
      </c>
      <c r="Z4" s="7">
        <v>175</v>
      </c>
      <c r="AA4" s="7">
        <v>1552</v>
      </c>
      <c r="AB4" s="7">
        <v>170</v>
      </c>
      <c r="AC4" s="7">
        <v>405</v>
      </c>
      <c r="AD4" s="7">
        <v>30</v>
      </c>
      <c r="AE4" s="7">
        <v>1009</v>
      </c>
      <c r="AF4" s="7"/>
      <c r="AG4" s="7"/>
      <c r="AH4" s="7"/>
      <c r="AI4" s="7"/>
      <c r="AJ4" s="7"/>
      <c r="AK4" s="7"/>
      <c r="AL4" s="7"/>
      <c r="AM4" s="7"/>
    </row>
    <row r="5" spans="1:39" x14ac:dyDescent="0.25">
      <c r="A5">
        <v>1935</v>
      </c>
      <c r="B5" s="7">
        <v>13044</v>
      </c>
      <c r="C5" s="7">
        <v>2314</v>
      </c>
      <c r="D5" s="7">
        <v>37150</v>
      </c>
      <c r="E5" s="7">
        <v>4778</v>
      </c>
      <c r="F5" s="7">
        <v>8147</v>
      </c>
      <c r="G5" s="7">
        <v>551</v>
      </c>
      <c r="H5" s="7">
        <v>4221</v>
      </c>
      <c r="I5" s="7">
        <v>1567</v>
      </c>
      <c r="J5" s="7">
        <v>2352</v>
      </c>
      <c r="K5" s="7">
        <v>1531</v>
      </c>
      <c r="L5" s="7">
        <v>1996</v>
      </c>
      <c r="M5" s="7">
        <v>2610</v>
      </c>
      <c r="N5" s="7">
        <v>1027</v>
      </c>
      <c r="O5" s="7">
        <v>18089</v>
      </c>
      <c r="P5" s="7">
        <v>809</v>
      </c>
      <c r="Q5" s="7">
        <v>524</v>
      </c>
      <c r="R5" s="7">
        <v>988</v>
      </c>
      <c r="S5" s="7">
        <v>6134</v>
      </c>
      <c r="T5" s="7">
        <v>1836</v>
      </c>
      <c r="U5" s="7">
        <v>3300</v>
      </c>
      <c r="V5" s="7">
        <v>65</v>
      </c>
      <c r="W5" s="7">
        <v>168</v>
      </c>
      <c r="X5" s="7">
        <v>325</v>
      </c>
      <c r="Y5" s="7">
        <v>172</v>
      </c>
      <c r="Z5" s="7">
        <v>187</v>
      </c>
      <c r="AA5" s="7">
        <v>1710</v>
      </c>
      <c r="AB5" s="7">
        <v>181</v>
      </c>
      <c r="AC5" s="7">
        <v>451</v>
      </c>
      <c r="AD5" s="7">
        <v>30</v>
      </c>
      <c r="AE5" s="7">
        <v>1108</v>
      </c>
      <c r="AF5" s="7"/>
      <c r="AG5" s="7"/>
      <c r="AH5" s="7"/>
      <c r="AI5" s="7"/>
      <c r="AJ5" s="7"/>
      <c r="AK5" s="7"/>
      <c r="AL5" s="7"/>
      <c r="AM5" s="7"/>
    </row>
    <row r="6" spans="1:39" x14ac:dyDescent="0.25">
      <c r="A6">
        <v>1940</v>
      </c>
      <c r="B6" s="7">
        <v>14169</v>
      </c>
      <c r="C6" s="7">
        <v>2508</v>
      </c>
      <c r="D6" s="7">
        <v>41233</v>
      </c>
      <c r="E6" s="7">
        <v>5147</v>
      </c>
      <c r="F6" s="7">
        <v>9077</v>
      </c>
      <c r="G6" s="7">
        <v>619</v>
      </c>
      <c r="H6" s="7">
        <v>4566</v>
      </c>
      <c r="I6" s="7">
        <v>1759</v>
      </c>
      <c r="J6" s="7">
        <v>2586</v>
      </c>
      <c r="K6" s="7">
        <v>1633</v>
      </c>
      <c r="L6" s="7">
        <v>2201</v>
      </c>
      <c r="M6" s="7">
        <v>2825</v>
      </c>
      <c r="N6" s="7">
        <v>1119</v>
      </c>
      <c r="O6" s="7">
        <v>19815</v>
      </c>
      <c r="P6" s="7">
        <v>893</v>
      </c>
      <c r="Q6" s="7">
        <v>595</v>
      </c>
      <c r="R6" s="7">
        <v>1111</v>
      </c>
      <c r="S6" s="7">
        <v>6681</v>
      </c>
      <c r="T6" s="7">
        <v>1947</v>
      </c>
      <c r="U6" s="7">
        <v>3710</v>
      </c>
      <c r="V6" s="7">
        <v>70</v>
      </c>
      <c r="W6" s="7">
        <v>179</v>
      </c>
      <c r="X6" s="7">
        <v>344</v>
      </c>
      <c r="Y6" s="7">
        <v>185</v>
      </c>
      <c r="Z6" s="7">
        <v>200</v>
      </c>
      <c r="AA6" s="7">
        <v>1880</v>
      </c>
      <c r="AB6" s="7">
        <v>193</v>
      </c>
      <c r="AC6" s="7">
        <v>510</v>
      </c>
      <c r="AD6" s="7">
        <v>30</v>
      </c>
      <c r="AE6" s="7">
        <v>1212</v>
      </c>
      <c r="AF6" s="7"/>
      <c r="AG6" s="7"/>
      <c r="AH6" s="7"/>
      <c r="AI6" s="7"/>
      <c r="AJ6" s="7"/>
      <c r="AK6" s="7"/>
      <c r="AL6" s="7"/>
      <c r="AM6" s="7"/>
    </row>
    <row r="7" spans="1:39" x14ac:dyDescent="0.25">
      <c r="A7">
        <v>1945</v>
      </c>
      <c r="B7" s="7">
        <v>15390</v>
      </c>
      <c r="C7" s="7">
        <v>2740</v>
      </c>
      <c r="D7" s="7">
        <v>46126</v>
      </c>
      <c r="E7" s="7">
        <v>5556</v>
      </c>
      <c r="F7" s="7">
        <v>10202</v>
      </c>
      <c r="G7" s="7">
        <v>717</v>
      </c>
      <c r="H7" s="7">
        <v>4932</v>
      </c>
      <c r="I7" s="7">
        <v>2002</v>
      </c>
      <c r="J7" s="7">
        <v>2863</v>
      </c>
      <c r="K7" s="7">
        <v>1753</v>
      </c>
      <c r="L7" s="7">
        <v>2596</v>
      </c>
      <c r="M7" s="7">
        <v>3085</v>
      </c>
      <c r="N7" s="7">
        <v>1236</v>
      </c>
      <c r="O7" s="7">
        <v>22841</v>
      </c>
      <c r="P7" s="7">
        <v>999</v>
      </c>
      <c r="Q7" s="7">
        <v>694</v>
      </c>
      <c r="R7" s="7">
        <v>1213</v>
      </c>
      <c r="S7" s="7">
        <v>7285</v>
      </c>
      <c r="T7" s="7">
        <v>2060</v>
      </c>
      <c r="U7" s="7">
        <v>4335</v>
      </c>
      <c r="V7" s="7">
        <v>74</v>
      </c>
      <c r="W7" s="7">
        <v>194</v>
      </c>
      <c r="X7" s="7">
        <v>376</v>
      </c>
      <c r="Y7" s="7">
        <v>193</v>
      </c>
      <c r="Z7" s="7">
        <v>209</v>
      </c>
      <c r="AA7" s="7">
        <v>2072</v>
      </c>
      <c r="AB7" s="7">
        <v>200</v>
      </c>
      <c r="AC7" s="7">
        <v>566</v>
      </c>
      <c r="AD7" s="7">
        <v>30</v>
      </c>
      <c r="AE7" s="7">
        <v>1298</v>
      </c>
      <c r="AF7" s="7"/>
      <c r="AG7" s="7"/>
      <c r="AH7" s="7"/>
      <c r="AI7" s="7"/>
      <c r="AJ7" s="7"/>
      <c r="AK7" s="7"/>
      <c r="AL7" s="7"/>
      <c r="AM7" s="7"/>
    </row>
    <row r="8" spans="1:39" x14ac:dyDescent="0.25">
      <c r="A8">
        <v>1950</v>
      </c>
      <c r="B8" s="7">
        <v>17038</v>
      </c>
      <c r="C8" s="7">
        <v>3082</v>
      </c>
      <c r="D8" s="7">
        <v>53975</v>
      </c>
      <c r="E8" s="7">
        <v>6599</v>
      </c>
      <c r="F8" s="7">
        <v>11982</v>
      </c>
      <c r="G8" s="7">
        <v>946</v>
      </c>
      <c r="H8" s="7">
        <v>5920</v>
      </c>
      <c r="I8" s="7">
        <v>2365</v>
      </c>
      <c r="J8" s="7">
        <v>3470</v>
      </c>
      <c r="K8" s="7">
        <v>2200</v>
      </c>
      <c r="L8" s="7">
        <v>3115</v>
      </c>
      <c r="M8" s="7">
        <v>3221</v>
      </c>
      <c r="N8" s="7">
        <v>1547</v>
      </c>
      <c r="O8" s="7">
        <v>27945</v>
      </c>
      <c r="P8" s="7">
        <v>1295</v>
      </c>
      <c r="Q8" s="7">
        <v>860</v>
      </c>
      <c r="R8" s="7">
        <v>1473</v>
      </c>
      <c r="S8" s="7">
        <v>7777</v>
      </c>
      <c r="T8" s="7">
        <v>2239</v>
      </c>
      <c r="U8" s="7">
        <v>5482</v>
      </c>
      <c r="V8" s="7">
        <v>79</v>
      </c>
      <c r="W8" s="7">
        <v>211</v>
      </c>
      <c r="X8" s="7">
        <v>407</v>
      </c>
      <c r="Y8" s="7">
        <v>210</v>
      </c>
      <c r="Z8" s="7">
        <v>222</v>
      </c>
      <c r="AA8" s="7">
        <v>2218</v>
      </c>
      <c r="AB8" s="7">
        <v>215</v>
      </c>
      <c r="AC8" s="7">
        <v>646</v>
      </c>
      <c r="AD8" s="7">
        <v>25</v>
      </c>
      <c r="AE8" s="7">
        <v>1403</v>
      </c>
      <c r="AF8" s="7">
        <v>46</v>
      </c>
      <c r="AG8" s="7">
        <v>38</v>
      </c>
      <c r="AH8" s="7">
        <v>69</v>
      </c>
      <c r="AI8" s="7">
        <v>27</v>
      </c>
      <c r="AJ8" s="7">
        <v>77</v>
      </c>
      <c r="AK8" s="7">
        <v>100</v>
      </c>
      <c r="AL8" s="7">
        <v>67</v>
      </c>
      <c r="AM8" s="7">
        <v>83</v>
      </c>
    </row>
    <row r="9" spans="1:39" x14ac:dyDescent="0.25">
      <c r="A9">
        <v>1955</v>
      </c>
      <c r="B9" s="7">
        <v>18789</v>
      </c>
      <c r="C9" s="7">
        <v>3331</v>
      </c>
      <c r="D9" s="7">
        <v>62534</v>
      </c>
      <c r="E9" s="7">
        <v>7323</v>
      </c>
      <c r="F9" s="7">
        <v>13775</v>
      </c>
      <c r="G9" s="7">
        <v>1110</v>
      </c>
      <c r="H9" s="7">
        <v>6539</v>
      </c>
      <c r="I9" s="7">
        <v>2781</v>
      </c>
      <c r="J9" s="7">
        <v>3957</v>
      </c>
      <c r="K9" s="7">
        <v>2433</v>
      </c>
      <c r="L9" s="7">
        <v>3625</v>
      </c>
      <c r="M9" s="7">
        <v>3514</v>
      </c>
      <c r="N9" s="7">
        <v>1771</v>
      </c>
      <c r="O9" s="7">
        <v>32351</v>
      </c>
      <c r="P9" s="7">
        <v>1508</v>
      </c>
      <c r="Q9" s="7">
        <v>981</v>
      </c>
      <c r="R9" s="7">
        <v>1674</v>
      </c>
      <c r="S9" s="7">
        <v>8858</v>
      </c>
      <c r="T9" s="7">
        <v>2373</v>
      </c>
      <c r="U9" s="7">
        <v>6745</v>
      </c>
      <c r="V9" s="7">
        <v>89</v>
      </c>
      <c r="W9" s="7">
        <v>227</v>
      </c>
      <c r="X9" s="7">
        <v>483</v>
      </c>
      <c r="Y9" s="7">
        <v>236</v>
      </c>
      <c r="Z9" s="7">
        <v>246</v>
      </c>
      <c r="AA9" s="7">
        <v>2196</v>
      </c>
      <c r="AB9" s="7">
        <v>249</v>
      </c>
      <c r="AC9" s="7">
        <v>740</v>
      </c>
      <c r="AD9" s="7">
        <v>28</v>
      </c>
      <c r="AE9" s="7">
        <v>1541</v>
      </c>
      <c r="AF9" s="7">
        <v>50</v>
      </c>
      <c r="AG9" s="7">
        <v>44</v>
      </c>
      <c r="AH9" s="7">
        <v>80</v>
      </c>
      <c r="AI9" s="7">
        <v>30</v>
      </c>
      <c r="AJ9" s="7">
        <v>81</v>
      </c>
      <c r="AK9" s="7">
        <v>117</v>
      </c>
      <c r="AL9" s="7">
        <v>74</v>
      </c>
      <c r="AM9" s="7">
        <v>86</v>
      </c>
    </row>
    <row r="10" spans="1:39" x14ac:dyDescent="0.25">
      <c r="A10">
        <v>1960</v>
      </c>
      <c r="B10" s="7">
        <v>20482</v>
      </c>
      <c r="C10" s="7">
        <v>3657</v>
      </c>
      <c r="D10" s="7">
        <v>72179</v>
      </c>
      <c r="E10" s="7">
        <v>8133</v>
      </c>
      <c r="F10" s="7">
        <v>16058</v>
      </c>
      <c r="G10" s="7">
        <v>1331</v>
      </c>
      <c r="H10" s="7">
        <v>7141</v>
      </c>
      <c r="I10" s="7">
        <v>3294</v>
      </c>
      <c r="J10" s="7">
        <v>4544</v>
      </c>
      <c r="K10" s="7">
        <v>2766</v>
      </c>
      <c r="L10" s="7">
        <v>4211</v>
      </c>
      <c r="M10" s="7">
        <v>3866</v>
      </c>
      <c r="N10" s="7">
        <v>2039</v>
      </c>
      <c r="O10" s="7">
        <v>37772</v>
      </c>
      <c r="P10" s="7">
        <v>1773</v>
      </c>
      <c r="Q10" s="7">
        <v>1133</v>
      </c>
      <c r="R10" s="7">
        <v>1904</v>
      </c>
      <c r="S10" s="7">
        <v>10155</v>
      </c>
      <c r="T10" s="7">
        <v>2539</v>
      </c>
      <c r="U10" s="7">
        <v>8142</v>
      </c>
      <c r="V10" s="7">
        <v>110</v>
      </c>
      <c r="W10" s="7">
        <v>231</v>
      </c>
      <c r="X10" s="7">
        <v>572</v>
      </c>
      <c r="Y10" s="7">
        <v>275</v>
      </c>
      <c r="Z10" s="7">
        <v>282</v>
      </c>
      <c r="AA10" s="7">
        <v>2295</v>
      </c>
      <c r="AB10" s="7">
        <v>288</v>
      </c>
      <c r="AC10" s="7">
        <v>848</v>
      </c>
      <c r="AD10" s="7">
        <v>32</v>
      </c>
      <c r="AE10" s="7">
        <v>1629</v>
      </c>
      <c r="AF10" s="7">
        <v>54</v>
      </c>
      <c r="AG10" s="7">
        <v>54</v>
      </c>
      <c r="AH10" s="7">
        <v>92</v>
      </c>
      <c r="AI10" s="7">
        <v>33</v>
      </c>
      <c r="AJ10" s="7">
        <v>90</v>
      </c>
      <c r="AK10" s="7">
        <v>127</v>
      </c>
      <c r="AL10" s="7">
        <v>81</v>
      </c>
      <c r="AM10" s="7">
        <v>90</v>
      </c>
    </row>
    <row r="11" spans="1:39" x14ac:dyDescent="0.25">
      <c r="A11">
        <v>1965</v>
      </c>
      <c r="B11" s="7">
        <v>22160</v>
      </c>
      <c r="C11" s="7">
        <v>4039</v>
      </c>
      <c r="D11" s="7">
        <v>83374</v>
      </c>
      <c r="E11" s="7">
        <v>8990</v>
      </c>
      <c r="F11" s="7">
        <v>18725</v>
      </c>
      <c r="G11" s="7">
        <v>1593</v>
      </c>
      <c r="H11" s="7">
        <v>7958</v>
      </c>
      <c r="I11" s="7">
        <v>3878</v>
      </c>
      <c r="J11" s="7">
        <v>5244</v>
      </c>
      <c r="K11" s="7">
        <v>3201</v>
      </c>
      <c r="L11" s="7">
        <v>4870</v>
      </c>
      <c r="M11" s="7">
        <v>4259</v>
      </c>
      <c r="N11" s="7">
        <v>2346</v>
      </c>
      <c r="O11" s="7">
        <v>44124</v>
      </c>
      <c r="P11" s="7">
        <v>2068</v>
      </c>
      <c r="Q11" s="7">
        <v>1315</v>
      </c>
      <c r="R11" s="7">
        <v>2172</v>
      </c>
      <c r="S11" s="7">
        <v>11711</v>
      </c>
      <c r="T11" s="7">
        <v>2695</v>
      </c>
      <c r="U11" s="7">
        <v>9692</v>
      </c>
      <c r="V11" s="7">
        <v>140</v>
      </c>
      <c r="W11" s="7">
        <v>235</v>
      </c>
      <c r="X11" s="7">
        <v>652</v>
      </c>
      <c r="Y11" s="7">
        <v>300</v>
      </c>
      <c r="Z11" s="7">
        <v>311</v>
      </c>
      <c r="AA11" s="7">
        <v>2508</v>
      </c>
      <c r="AB11" s="7">
        <v>329</v>
      </c>
      <c r="AC11" s="7">
        <v>912</v>
      </c>
      <c r="AD11" s="7">
        <v>39</v>
      </c>
      <c r="AE11" s="7">
        <v>1757</v>
      </c>
      <c r="AF11" s="7">
        <v>59</v>
      </c>
      <c r="AG11" s="7">
        <v>57</v>
      </c>
      <c r="AH11" s="7">
        <v>106</v>
      </c>
      <c r="AI11" s="7">
        <v>50</v>
      </c>
      <c r="AJ11" s="7">
        <v>95</v>
      </c>
      <c r="AK11" s="7">
        <v>134</v>
      </c>
      <c r="AL11" s="7">
        <v>86</v>
      </c>
      <c r="AM11" s="7">
        <v>96</v>
      </c>
    </row>
    <row r="12" spans="1:39" x14ac:dyDescent="0.25">
      <c r="A12">
        <v>1970</v>
      </c>
      <c r="B12" s="7">
        <v>23881</v>
      </c>
      <c r="C12" s="7">
        <v>4484</v>
      </c>
      <c r="D12" s="7">
        <v>95113</v>
      </c>
      <c r="E12" s="7">
        <v>9783</v>
      </c>
      <c r="F12" s="7">
        <v>21480</v>
      </c>
      <c r="G12" s="7">
        <v>1847</v>
      </c>
      <c r="H12" s="7">
        <v>8713</v>
      </c>
      <c r="I12" s="7">
        <v>4500</v>
      </c>
      <c r="J12" s="7">
        <v>6069</v>
      </c>
      <c r="K12" s="7">
        <v>3673</v>
      </c>
      <c r="L12" s="7">
        <v>5622</v>
      </c>
      <c r="M12" s="7">
        <v>4676</v>
      </c>
      <c r="N12" s="7">
        <v>2717</v>
      </c>
      <c r="O12" s="7">
        <v>51494</v>
      </c>
      <c r="P12" s="7">
        <v>2407</v>
      </c>
      <c r="Q12" s="7">
        <v>1519</v>
      </c>
      <c r="R12" s="7">
        <v>2475</v>
      </c>
      <c r="S12" s="7">
        <v>13460</v>
      </c>
      <c r="T12" s="7">
        <v>2810</v>
      </c>
      <c r="U12" s="7">
        <v>11396</v>
      </c>
      <c r="V12" s="7">
        <v>169</v>
      </c>
      <c r="W12" s="7">
        <v>239</v>
      </c>
      <c r="X12" s="7">
        <v>705</v>
      </c>
      <c r="Y12" s="7">
        <v>322</v>
      </c>
      <c r="Z12" s="7">
        <v>325</v>
      </c>
      <c r="AA12" s="7">
        <v>2632</v>
      </c>
      <c r="AB12" s="7">
        <v>368</v>
      </c>
      <c r="AC12" s="7">
        <v>945</v>
      </c>
      <c r="AD12" s="7">
        <v>48</v>
      </c>
      <c r="AE12" s="7">
        <v>1876</v>
      </c>
      <c r="AF12" s="7">
        <v>64</v>
      </c>
      <c r="AG12" s="7">
        <v>59</v>
      </c>
      <c r="AH12" s="7">
        <v>122</v>
      </c>
      <c r="AI12" s="7">
        <v>65</v>
      </c>
      <c r="AJ12" s="7">
        <v>94</v>
      </c>
      <c r="AK12" s="7">
        <v>144</v>
      </c>
      <c r="AL12" s="7">
        <v>91</v>
      </c>
      <c r="AM12" s="7">
        <v>104</v>
      </c>
    </row>
    <row r="13" spans="1:39" x14ac:dyDescent="0.25">
      <c r="A13">
        <v>1975</v>
      </c>
      <c r="B13" s="7">
        <v>25866</v>
      </c>
      <c r="C13" s="7">
        <v>5001</v>
      </c>
      <c r="D13" s="7">
        <v>107216</v>
      </c>
      <c r="E13" s="7">
        <v>10592</v>
      </c>
      <c r="F13" s="7">
        <v>24066</v>
      </c>
      <c r="G13" s="7">
        <v>2094</v>
      </c>
      <c r="H13" s="7">
        <v>9446</v>
      </c>
      <c r="I13" s="7">
        <v>5145</v>
      </c>
      <c r="J13" s="7">
        <v>6994</v>
      </c>
      <c r="K13" s="7">
        <v>4155</v>
      </c>
      <c r="L13" s="7">
        <v>6434</v>
      </c>
      <c r="M13" s="7">
        <v>5095</v>
      </c>
      <c r="N13" s="7">
        <v>3153</v>
      </c>
      <c r="O13" s="7">
        <v>59608</v>
      </c>
      <c r="P13" s="7">
        <v>2807</v>
      </c>
      <c r="Q13" s="7">
        <v>1745</v>
      </c>
      <c r="R13" s="7">
        <v>2791</v>
      </c>
      <c r="S13" s="7">
        <v>15425</v>
      </c>
      <c r="T13" s="7">
        <v>2830</v>
      </c>
      <c r="U13" s="7">
        <v>13190</v>
      </c>
      <c r="V13" s="7">
        <v>189</v>
      </c>
      <c r="W13" s="7">
        <v>246</v>
      </c>
      <c r="X13" s="7">
        <v>746</v>
      </c>
      <c r="Y13" s="7">
        <v>328</v>
      </c>
      <c r="Z13" s="7">
        <v>328</v>
      </c>
      <c r="AA13" s="7">
        <v>2845</v>
      </c>
      <c r="AB13" s="7">
        <v>359</v>
      </c>
      <c r="AC13" s="7">
        <v>1011</v>
      </c>
      <c r="AD13" s="7">
        <v>56</v>
      </c>
      <c r="AE13" s="7">
        <v>2028</v>
      </c>
      <c r="AF13" s="7">
        <v>63</v>
      </c>
      <c r="AG13" s="7">
        <v>61</v>
      </c>
      <c r="AH13" s="7">
        <v>133</v>
      </c>
      <c r="AI13" s="7">
        <v>86</v>
      </c>
      <c r="AJ13" s="7">
        <v>92</v>
      </c>
      <c r="AK13" s="7">
        <v>150</v>
      </c>
      <c r="AL13" s="7">
        <v>96</v>
      </c>
      <c r="AM13" s="7">
        <v>110</v>
      </c>
    </row>
    <row r="14" spans="1:39" x14ac:dyDescent="0.25">
      <c r="A14">
        <v>1980</v>
      </c>
      <c r="B14" s="7">
        <v>27897</v>
      </c>
      <c r="C14" s="7">
        <v>5580</v>
      </c>
      <c r="D14" s="7">
        <v>120694</v>
      </c>
      <c r="E14" s="7">
        <v>11419</v>
      </c>
      <c r="F14" s="7">
        <v>26901</v>
      </c>
      <c r="G14" s="7">
        <v>2390</v>
      </c>
      <c r="H14" s="7">
        <v>9849</v>
      </c>
      <c r="I14" s="7">
        <v>5804</v>
      </c>
      <c r="J14" s="7">
        <v>7989</v>
      </c>
      <c r="K14" s="7">
        <v>4591</v>
      </c>
      <c r="L14" s="7">
        <v>7283</v>
      </c>
      <c r="M14" s="7">
        <v>5643</v>
      </c>
      <c r="N14" s="7">
        <v>3678</v>
      </c>
      <c r="O14" s="7">
        <v>67761</v>
      </c>
      <c r="P14" s="7">
        <v>3266</v>
      </c>
      <c r="Q14" s="7">
        <v>1978</v>
      </c>
      <c r="R14" s="7">
        <v>3182</v>
      </c>
      <c r="S14" s="7">
        <v>17548</v>
      </c>
      <c r="T14" s="7">
        <v>2915</v>
      </c>
      <c r="U14" s="7">
        <v>15183</v>
      </c>
      <c r="V14" s="7">
        <v>211</v>
      </c>
      <c r="W14" s="7">
        <v>252</v>
      </c>
      <c r="X14" s="7">
        <v>780</v>
      </c>
      <c r="Y14" s="7">
        <v>337</v>
      </c>
      <c r="Z14" s="7">
        <v>325</v>
      </c>
      <c r="AA14" s="7">
        <v>3091</v>
      </c>
      <c r="AB14" s="7">
        <v>360</v>
      </c>
      <c r="AC14" s="7">
        <v>1085</v>
      </c>
      <c r="AD14" s="7">
        <v>67</v>
      </c>
      <c r="AE14" s="7">
        <v>2163</v>
      </c>
      <c r="AF14" s="7">
        <v>62</v>
      </c>
      <c r="AG14" s="7">
        <v>60</v>
      </c>
      <c r="AH14" s="7">
        <v>144</v>
      </c>
      <c r="AI14" s="7">
        <v>99</v>
      </c>
      <c r="AJ14" s="7">
        <v>89</v>
      </c>
      <c r="AK14" s="7">
        <v>148</v>
      </c>
      <c r="AL14" s="7">
        <v>101</v>
      </c>
      <c r="AM14" s="7">
        <v>118</v>
      </c>
    </row>
    <row r="15" spans="1:39" x14ac:dyDescent="0.25">
      <c r="A15">
        <v>1985</v>
      </c>
      <c r="B15" s="7">
        <v>30216</v>
      </c>
      <c r="C15" s="7">
        <v>6179</v>
      </c>
      <c r="D15" s="7">
        <v>135274</v>
      </c>
      <c r="E15" s="7">
        <v>12257</v>
      </c>
      <c r="F15" s="7">
        <v>29951</v>
      </c>
      <c r="G15" s="7">
        <v>2737</v>
      </c>
      <c r="H15" s="7">
        <v>10098</v>
      </c>
      <c r="I15" s="7">
        <v>6464</v>
      </c>
      <c r="J15" s="7">
        <v>9066</v>
      </c>
      <c r="K15" s="7">
        <v>4937</v>
      </c>
      <c r="L15" s="7">
        <v>8240</v>
      </c>
      <c r="M15" s="7">
        <v>6337</v>
      </c>
      <c r="N15" s="7">
        <v>4281</v>
      </c>
      <c r="O15" s="7">
        <v>75983</v>
      </c>
      <c r="P15" s="7">
        <v>3734</v>
      </c>
      <c r="Q15" s="7">
        <v>2219</v>
      </c>
      <c r="R15" s="7">
        <v>3676</v>
      </c>
      <c r="S15" s="7">
        <v>19773</v>
      </c>
      <c r="T15" s="7">
        <v>3012</v>
      </c>
      <c r="U15" s="7">
        <v>17320</v>
      </c>
      <c r="V15" s="7">
        <v>235</v>
      </c>
      <c r="W15" s="7">
        <v>256</v>
      </c>
      <c r="X15" s="7">
        <v>770</v>
      </c>
      <c r="Y15" s="7">
        <v>343</v>
      </c>
      <c r="Z15" s="7">
        <v>340</v>
      </c>
      <c r="AA15" s="7">
        <v>3263</v>
      </c>
      <c r="AB15" s="7">
        <v>369</v>
      </c>
      <c r="AC15" s="7">
        <v>1170</v>
      </c>
      <c r="AD15" s="7">
        <v>86</v>
      </c>
      <c r="AE15" s="7">
        <v>2336</v>
      </c>
      <c r="AF15" s="7">
        <v>62</v>
      </c>
      <c r="AG15" s="7">
        <v>63</v>
      </c>
      <c r="AH15" s="7">
        <v>165</v>
      </c>
      <c r="AI15" s="7">
        <v>105</v>
      </c>
      <c r="AJ15" s="7">
        <v>100</v>
      </c>
      <c r="AK15" s="7">
        <v>150</v>
      </c>
      <c r="AL15" s="7">
        <v>105</v>
      </c>
      <c r="AM15" s="7">
        <v>126</v>
      </c>
    </row>
    <row r="16" spans="1:39" x14ac:dyDescent="0.25">
      <c r="A16">
        <v>1990</v>
      </c>
      <c r="B16" s="7">
        <v>32619</v>
      </c>
      <c r="C16" s="7">
        <v>6865</v>
      </c>
      <c r="D16" s="7">
        <v>149003</v>
      </c>
      <c r="E16" s="7">
        <v>13275</v>
      </c>
      <c r="F16" s="7">
        <v>33103</v>
      </c>
      <c r="G16" s="7">
        <v>3119</v>
      </c>
      <c r="H16" s="7">
        <v>10597</v>
      </c>
      <c r="I16" s="7">
        <v>7133</v>
      </c>
      <c r="J16" s="7">
        <v>10231</v>
      </c>
      <c r="K16" s="7">
        <v>5270</v>
      </c>
      <c r="L16" s="7">
        <v>9264</v>
      </c>
      <c r="M16" s="7">
        <v>7038</v>
      </c>
      <c r="N16" s="7">
        <v>4955</v>
      </c>
      <c r="O16" s="7">
        <v>83943</v>
      </c>
      <c r="P16" s="7">
        <v>4173</v>
      </c>
      <c r="Q16" s="7">
        <v>2471</v>
      </c>
      <c r="R16" s="7">
        <v>4223</v>
      </c>
      <c r="S16" s="7">
        <v>22071</v>
      </c>
      <c r="T16" s="7">
        <v>3110</v>
      </c>
      <c r="U16" s="7">
        <v>19633</v>
      </c>
      <c r="V16" s="7">
        <v>256</v>
      </c>
      <c r="W16" s="7">
        <v>261</v>
      </c>
      <c r="X16" s="7">
        <v>743</v>
      </c>
      <c r="Y16" s="7">
        <v>389</v>
      </c>
      <c r="Z16" s="7">
        <v>358</v>
      </c>
      <c r="AA16" s="7">
        <v>3403</v>
      </c>
      <c r="AB16" s="7">
        <v>405</v>
      </c>
      <c r="AC16" s="7">
        <v>1221</v>
      </c>
      <c r="AD16" s="7">
        <v>116</v>
      </c>
      <c r="AE16" s="7">
        <v>2420</v>
      </c>
      <c r="AF16" s="7">
        <v>63</v>
      </c>
      <c r="AG16" s="7">
        <v>62</v>
      </c>
      <c r="AH16" s="7">
        <v>188</v>
      </c>
      <c r="AI16" s="7">
        <v>104</v>
      </c>
      <c r="AJ16" s="7">
        <v>96</v>
      </c>
      <c r="AK16" s="7">
        <v>147</v>
      </c>
      <c r="AL16" s="7">
        <v>107</v>
      </c>
      <c r="AM16" s="7">
        <v>138</v>
      </c>
    </row>
    <row r="17" spans="1:39" x14ac:dyDescent="0.25">
      <c r="A17">
        <v>1995</v>
      </c>
      <c r="B17" s="7">
        <v>34828</v>
      </c>
      <c r="C17" s="7">
        <v>7622</v>
      </c>
      <c r="D17" s="7">
        <v>162020</v>
      </c>
      <c r="E17" s="7">
        <v>14381</v>
      </c>
      <c r="F17" s="7">
        <v>36421</v>
      </c>
      <c r="G17" s="7">
        <v>3546</v>
      </c>
      <c r="H17" s="7">
        <v>10888</v>
      </c>
      <c r="I17" s="7">
        <v>7819</v>
      </c>
      <c r="J17" s="7">
        <v>11455</v>
      </c>
      <c r="K17" s="7">
        <v>5629</v>
      </c>
      <c r="L17" s="7">
        <v>10408</v>
      </c>
      <c r="M17" s="7">
        <v>7745</v>
      </c>
      <c r="N17" s="7">
        <v>5709</v>
      </c>
      <c r="O17" s="7">
        <v>91663</v>
      </c>
      <c r="P17" s="7">
        <v>4652</v>
      </c>
      <c r="Q17" s="7">
        <v>2740</v>
      </c>
      <c r="R17" s="7">
        <v>4777</v>
      </c>
      <c r="S17" s="7">
        <v>24299</v>
      </c>
      <c r="T17" s="7">
        <v>3224</v>
      </c>
      <c r="U17" s="7">
        <v>21931</v>
      </c>
      <c r="V17" s="7">
        <v>280</v>
      </c>
      <c r="W17" s="7">
        <v>266</v>
      </c>
      <c r="X17" s="7">
        <v>761</v>
      </c>
      <c r="Y17" s="7">
        <v>404</v>
      </c>
      <c r="Z17" s="7">
        <v>369</v>
      </c>
      <c r="AA17" s="7">
        <v>3568</v>
      </c>
      <c r="AB17" s="7">
        <v>442</v>
      </c>
      <c r="AC17" s="7">
        <v>1254</v>
      </c>
      <c r="AD17" s="7">
        <v>137</v>
      </c>
      <c r="AE17" s="7">
        <v>2534</v>
      </c>
      <c r="AF17" s="7">
        <v>69</v>
      </c>
      <c r="AG17" s="7">
        <v>80</v>
      </c>
      <c r="AH17" s="7">
        <v>207</v>
      </c>
      <c r="AI17" s="7">
        <v>107</v>
      </c>
      <c r="AJ17" s="7">
        <v>100</v>
      </c>
      <c r="AK17" s="7">
        <v>144</v>
      </c>
      <c r="AL17" s="7">
        <v>108</v>
      </c>
      <c r="AM17" s="7">
        <v>147</v>
      </c>
    </row>
    <row r="18" spans="1:39" x14ac:dyDescent="0.25">
      <c r="A18">
        <v>2000</v>
      </c>
      <c r="B18" s="7">
        <v>36871</v>
      </c>
      <c r="C18" s="7">
        <v>8418</v>
      </c>
      <c r="D18" s="7">
        <v>174790</v>
      </c>
      <c r="E18" s="7">
        <v>15342</v>
      </c>
      <c r="F18" s="7">
        <v>39630</v>
      </c>
      <c r="G18" s="7">
        <v>3962</v>
      </c>
      <c r="H18" s="7">
        <v>11126</v>
      </c>
      <c r="I18" s="7">
        <v>8471</v>
      </c>
      <c r="J18" s="7">
        <v>12681</v>
      </c>
      <c r="K18" s="7">
        <v>5888</v>
      </c>
      <c r="L18" s="7">
        <v>11651</v>
      </c>
      <c r="M18" s="7">
        <v>8464</v>
      </c>
      <c r="N18" s="7">
        <v>6575</v>
      </c>
      <c r="O18" s="7">
        <v>98900</v>
      </c>
      <c r="P18" s="7">
        <v>5069</v>
      </c>
      <c r="Q18" s="7">
        <v>3030</v>
      </c>
      <c r="R18" s="7">
        <v>5323</v>
      </c>
      <c r="S18" s="7">
        <v>26460</v>
      </c>
      <c r="T18" s="7">
        <v>3320</v>
      </c>
      <c r="U18" s="7">
        <v>24192</v>
      </c>
      <c r="V18" s="7">
        <v>298</v>
      </c>
      <c r="W18" s="7">
        <v>272</v>
      </c>
      <c r="X18" s="7">
        <v>747</v>
      </c>
      <c r="Y18" s="7">
        <v>422</v>
      </c>
      <c r="Z18" s="7">
        <v>387</v>
      </c>
      <c r="AA18" s="7">
        <v>3669</v>
      </c>
      <c r="AB18" s="7">
        <v>471</v>
      </c>
      <c r="AC18" s="7">
        <v>1267</v>
      </c>
      <c r="AD18" s="7">
        <v>163</v>
      </c>
      <c r="AE18" s="7">
        <v>2655</v>
      </c>
      <c r="AF18" s="7">
        <v>76</v>
      </c>
      <c r="AG18" s="7">
        <v>91</v>
      </c>
      <c r="AH18" s="7">
        <v>247</v>
      </c>
      <c r="AI18" s="7">
        <v>109</v>
      </c>
      <c r="AJ18" s="7">
        <v>103</v>
      </c>
      <c r="AK18" s="7">
        <v>132</v>
      </c>
      <c r="AL18" s="7">
        <v>108</v>
      </c>
      <c r="AM18" s="7">
        <v>157</v>
      </c>
    </row>
    <row r="19" spans="1:39" x14ac:dyDescent="0.25">
      <c r="A19">
        <v>2005</v>
      </c>
      <c r="B19" s="7">
        <v>38893</v>
      </c>
      <c r="C19" s="7">
        <v>9232</v>
      </c>
      <c r="D19" s="7">
        <v>186127</v>
      </c>
      <c r="E19" s="7">
        <v>16183</v>
      </c>
      <c r="F19" s="7">
        <v>42648</v>
      </c>
      <c r="G19" s="7">
        <v>4286</v>
      </c>
      <c r="H19" s="7">
        <v>11262</v>
      </c>
      <c r="I19" s="7">
        <v>9097</v>
      </c>
      <c r="J19" s="7">
        <v>13826</v>
      </c>
      <c r="K19" s="7">
        <v>6052</v>
      </c>
      <c r="L19" s="7">
        <v>13096</v>
      </c>
      <c r="M19" s="7">
        <v>9195</v>
      </c>
      <c r="N19" s="7">
        <v>7459</v>
      </c>
      <c r="O19" s="7">
        <v>106005</v>
      </c>
      <c r="P19" s="7">
        <v>5439</v>
      </c>
      <c r="Q19" s="7">
        <v>3330</v>
      </c>
      <c r="R19" s="7">
        <v>5824</v>
      </c>
      <c r="S19" s="7">
        <v>27866</v>
      </c>
      <c r="T19" s="7">
        <v>3322</v>
      </c>
      <c r="U19" s="7">
        <v>26432</v>
      </c>
      <c r="V19" s="7">
        <v>325</v>
      </c>
      <c r="W19" s="7">
        <v>276</v>
      </c>
      <c r="X19" s="7">
        <v>746</v>
      </c>
      <c r="Y19" s="7">
        <v>403</v>
      </c>
      <c r="Z19" s="7">
        <v>397</v>
      </c>
      <c r="AA19" s="7">
        <v>3632</v>
      </c>
      <c r="AB19" s="7">
        <v>499</v>
      </c>
      <c r="AC19" s="7">
        <v>1296</v>
      </c>
      <c r="AD19" s="7">
        <v>203</v>
      </c>
      <c r="AE19" s="7">
        <v>2740</v>
      </c>
      <c r="AF19" s="7">
        <v>81</v>
      </c>
      <c r="AG19" s="7">
        <v>100</v>
      </c>
      <c r="AH19" s="7">
        <v>284</v>
      </c>
      <c r="AI19" s="7">
        <v>108</v>
      </c>
      <c r="AJ19" s="7">
        <v>105</v>
      </c>
      <c r="AK19" s="7">
        <v>130</v>
      </c>
      <c r="AL19" s="7">
        <v>109</v>
      </c>
      <c r="AM19" s="7">
        <v>163</v>
      </c>
    </row>
    <row r="20" spans="1:39" x14ac:dyDescent="0.25">
      <c r="A20">
        <v>2010</v>
      </c>
      <c r="B20" s="7">
        <v>40896</v>
      </c>
      <c r="C20" s="7">
        <v>10049</v>
      </c>
      <c r="D20" s="7">
        <v>195714</v>
      </c>
      <c r="E20" s="7">
        <v>17063</v>
      </c>
      <c r="F20" s="7">
        <v>45223</v>
      </c>
      <c r="G20" s="7">
        <v>4577</v>
      </c>
      <c r="H20" s="7">
        <v>11226</v>
      </c>
      <c r="I20" s="7">
        <v>9695</v>
      </c>
      <c r="J20" s="7">
        <v>15011</v>
      </c>
      <c r="K20" s="7">
        <v>6184</v>
      </c>
      <c r="L20" s="7">
        <v>14630</v>
      </c>
      <c r="M20" s="7">
        <v>9949</v>
      </c>
      <c r="N20" s="7">
        <v>8317</v>
      </c>
      <c r="O20" s="7">
        <v>114093</v>
      </c>
      <c r="P20" s="7">
        <v>5824</v>
      </c>
      <c r="Q20" s="7">
        <v>3643</v>
      </c>
      <c r="R20" s="7">
        <v>6248</v>
      </c>
      <c r="S20" s="7">
        <v>29028</v>
      </c>
      <c r="T20" s="7">
        <v>3359</v>
      </c>
      <c r="U20" s="7">
        <v>28440</v>
      </c>
      <c r="V20" s="7">
        <v>355</v>
      </c>
      <c r="W20" s="7">
        <v>282</v>
      </c>
      <c r="X20" s="7">
        <v>749</v>
      </c>
      <c r="Y20" s="7">
        <v>406</v>
      </c>
      <c r="Z20" s="7">
        <v>395</v>
      </c>
      <c r="AA20" s="7">
        <v>3580</v>
      </c>
      <c r="AB20" s="7">
        <v>529</v>
      </c>
      <c r="AC20" s="7">
        <v>1328</v>
      </c>
      <c r="AD20" s="7">
        <v>233</v>
      </c>
      <c r="AE20" s="7">
        <v>2810</v>
      </c>
      <c r="AF20" s="7">
        <v>88</v>
      </c>
      <c r="AG20" s="7">
        <v>102</v>
      </c>
      <c r="AH20" s="7">
        <v>322</v>
      </c>
      <c r="AI20" s="7">
        <v>106</v>
      </c>
      <c r="AJ20" s="7">
        <v>106</v>
      </c>
      <c r="AK20" s="7">
        <v>149</v>
      </c>
      <c r="AL20" s="7">
        <v>108</v>
      </c>
      <c r="AM20" s="7">
        <v>174</v>
      </c>
    </row>
    <row r="21" spans="1:39" x14ac:dyDescent="0.25">
      <c r="A21">
        <v>2015</v>
      </c>
      <c r="B21" s="7">
        <v>43075</v>
      </c>
      <c r="C21" s="7">
        <v>10870</v>
      </c>
      <c r="D21" s="7">
        <v>204472</v>
      </c>
      <c r="E21" s="7">
        <v>17969</v>
      </c>
      <c r="F21" s="7">
        <v>47521</v>
      </c>
      <c r="G21" s="7">
        <v>4848</v>
      </c>
      <c r="H21" s="7">
        <v>11325</v>
      </c>
      <c r="I21" s="7">
        <v>10282</v>
      </c>
      <c r="J21" s="7">
        <v>16212</v>
      </c>
      <c r="K21" s="7">
        <v>6325</v>
      </c>
      <c r="L21" s="7">
        <v>16252</v>
      </c>
      <c r="M21" s="7">
        <v>10696</v>
      </c>
      <c r="N21" s="7">
        <v>9113</v>
      </c>
      <c r="O21" s="7">
        <v>121858</v>
      </c>
      <c r="P21" s="7">
        <v>6223</v>
      </c>
      <c r="Q21" s="7">
        <v>3968</v>
      </c>
      <c r="R21" s="7">
        <v>6689</v>
      </c>
      <c r="S21" s="7">
        <v>30471</v>
      </c>
      <c r="T21" s="7">
        <v>3412</v>
      </c>
      <c r="U21" s="7">
        <v>30082</v>
      </c>
      <c r="V21" s="7">
        <v>374</v>
      </c>
      <c r="W21" s="7">
        <v>285</v>
      </c>
      <c r="X21" s="7">
        <v>767</v>
      </c>
      <c r="Y21" s="7">
        <v>400</v>
      </c>
      <c r="Z21" s="7">
        <v>378</v>
      </c>
      <c r="AA21" s="7">
        <v>3382</v>
      </c>
      <c r="AB21" s="7">
        <v>559</v>
      </c>
      <c r="AC21" s="7">
        <v>1370</v>
      </c>
      <c r="AD21" s="7">
        <v>261</v>
      </c>
      <c r="AE21" s="7">
        <v>2891</v>
      </c>
      <c r="AF21" s="7">
        <v>94</v>
      </c>
      <c r="AG21" s="7">
        <v>104</v>
      </c>
      <c r="AH21" s="7">
        <v>361</v>
      </c>
      <c r="AI21" s="7">
        <v>105</v>
      </c>
      <c r="AJ21" s="7">
        <v>110</v>
      </c>
      <c r="AK21" s="7">
        <v>160</v>
      </c>
      <c r="AL21" s="7">
        <v>109</v>
      </c>
      <c r="AM21" s="7">
        <v>179</v>
      </c>
    </row>
    <row r="22" spans="1:39" x14ac:dyDescent="0.25">
      <c r="A22">
        <v>2020</v>
      </c>
      <c r="B22" s="7">
        <v>45196</v>
      </c>
      <c r="C22" s="7">
        <v>11673</v>
      </c>
      <c r="D22" s="7">
        <v>212559</v>
      </c>
      <c r="E22" s="7">
        <v>19116</v>
      </c>
      <c r="F22" s="7">
        <v>50883</v>
      </c>
      <c r="G22" s="7">
        <v>5094</v>
      </c>
      <c r="H22" s="7">
        <v>11327</v>
      </c>
      <c r="I22" s="7">
        <v>10848</v>
      </c>
      <c r="J22" s="7">
        <v>17643</v>
      </c>
      <c r="K22" s="7">
        <v>6486</v>
      </c>
      <c r="L22" s="7">
        <v>17916</v>
      </c>
      <c r="M22" s="7">
        <v>11403</v>
      </c>
      <c r="N22" s="7">
        <v>9905</v>
      </c>
      <c r="O22" s="7">
        <v>128933</v>
      </c>
      <c r="P22" s="7">
        <v>6625</v>
      </c>
      <c r="Q22" s="7">
        <v>4315</v>
      </c>
      <c r="R22" s="7">
        <v>7133</v>
      </c>
      <c r="S22" s="7">
        <v>32972</v>
      </c>
      <c r="T22" s="7">
        <v>3474</v>
      </c>
      <c r="U22" s="7">
        <v>28436</v>
      </c>
      <c r="V22" s="7">
        <v>393</v>
      </c>
      <c r="W22" s="7">
        <v>287</v>
      </c>
      <c r="X22" s="7">
        <v>787</v>
      </c>
      <c r="Y22" s="7">
        <v>400</v>
      </c>
      <c r="Z22" s="7">
        <v>375</v>
      </c>
      <c r="AA22" s="7">
        <v>2861</v>
      </c>
      <c r="AB22" s="7">
        <v>587</v>
      </c>
      <c r="AC22" s="7">
        <v>1399</v>
      </c>
      <c r="AD22" s="7">
        <v>299</v>
      </c>
      <c r="AE22" s="7">
        <v>2961</v>
      </c>
      <c r="AF22" s="7">
        <v>98</v>
      </c>
      <c r="AG22" s="7">
        <v>107</v>
      </c>
      <c r="AH22" s="7">
        <v>398</v>
      </c>
      <c r="AI22" s="7">
        <v>104</v>
      </c>
      <c r="AJ22" s="7">
        <v>113</v>
      </c>
      <c r="AK22" s="7">
        <v>164</v>
      </c>
      <c r="AL22" s="7">
        <v>111</v>
      </c>
      <c r="AM22" s="7">
        <v>184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EBE8B-B142-4CE0-9532-F8B960685AF8}">
  <dimension ref="A1:AM10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61" sqref="K61"/>
    </sheetView>
  </sheetViews>
  <sheetFormatPr defaultRowHeight="15" x14ac:dyDescent="0.25"/>
  <cols>
    <col min="1" max="1" width="5" style="5" bestFit="1" customWidth="1"/>
    <col min="2" max="2" width="10.5703125" bestFit="1" customWidth="1"/>
    <col min="3" max="3" width="8.7109375" bestFit="1" customWidth="1"/>
    <col min="4" max="4" width="9.5703125" bestFit="1" customWidth="1"/>
    <col min="5" max="5" width="8.140625" bestFit="1" customWidth="1"/>
    <col min="6" max="6" width="10.28515625" bestFit="1" customWidth="1"/>
    <col min="7" max="7" width="11" bestFit="1" customWidth="1"/>
    <col min="8" max="8" width="8.140625" bestFit="1" customWidth="1"/>
    <col min="9" max="9" width="27.28515625" bestFit="1" customWidth="1"/>
    <col min="10" max="10" width="8.7109375" bestFit="1" customWidth="1"/>
    <col min="11" max="11" width="15" bestFit="1" customWidth="1"/>
    <col min="12" max="12" width="10.5703125" bestFit="1" customWidth="1"/>
    <col min="13" max="13" width="8.140625" bestFit="1" customWidth="1"/>
    <col min="14" max="14" width="9.42578125" bestFit="1" customWidth="1"/>
    <col min="16" max="16" width="10.28515625" bestFit="1" customWidth="1"/>
    <col min="17" max="17" width="8" bestFit="1" customWidth="1"/>
    <col min="18" max="18" width="9.28515625" bestFit="1" customWidth="1"/>
    <col min="19" max="20" width="8.140625" bestFit="1" customWidth="1"/>
    <col min="21" max="21" width="10.5703125" bestFit="1" customWidth="1"/>
    <col min="22" max="22" width="8" bestFit="1" customWidth="1"/>
    <col min="23" max="23" width="9.7109375" bestFit="1" customWidth="1"/>
    <col min="24" max="24" width="7.140625" bestFit="1" customWidth="1"/>
    <col min="25" max="25" width="10.5703125" bestFit="1" customWidth="1"/>
    <col min="26" max="26" width="11.28515625" bestFit="1" customWidth="1"/>
    <col min="27" max="27" width="12.5703125" bestFit="1" customWidth="1"/>
    <col min="29" max="29" width="18.5703125" bestFit="1" customWidth="1"/>
    <col min="30" max="30" width="19.5703125" bestFit="1" customWidth="1"/>
    <col min="31" max="31" width="8" bestFit="1" customWidth="1"/>
    <col min="32" max="32" width="18.140625" bestFit="1" customWidth="1"/>
    <col min="33" max="33" width="6.5703125" bestFit="1" customWidth="1"/>
    <col min="34" max="34" width="6.42578125" bestFit="1" customWidth="1"/>
    <col min="35" max="35" width="24.28515625" bestFit="1" customWidth="1"/>
    <col min="36" max="36" width="8.5703125" bestFit="1" customWidth="1"/>
    <col min="37" max="37" width="8.85546875" bestFit="1" customWidth="1"/>
    <col min="38" max="38" width="26.42578125" bestFit="1" customWidth="1"/>
    <col min="39" max="39" width="11.85546875" bestFit="1" customWidth="1"/>
  </cols>
  <sheetData>
    <row r="1" spans="1:39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85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93</v>
      </c>
      <c r="V1" s="3" t="s">
        <v>73</v>
      </c>
      <c r="W1" s="3" t="s">
        <v>74</v>
      </c>
      <c r="X1" s="3" t="s">
        <v>80</v>
      </c>
      <c r="Y1" s="3" t="s">
        <v>78</v>
      </c>
      <c r="Z1" s="3" t="s">
        <v>83</v>
      </c>
      <c r="AA1" s="3" t="s">
        <v>84</v>
      </c>
      <c r="AB1" s="3" t="s">
        <v>88</v>
      </c>
      <c r="AC1" s="3" t="s">
        <v>89</v>
      </c>
      <c r="AD1" s="3" t="s">
        <v>79</v>
      </c>
      <c r="AE1" s="3" t="s">
        <v>82</v>
      </c>
      <c r="AF1" s="3" t="s">
        <v>71</v>
      </c>
      <c r="AG1" s="3" t="s">
        <v>72</v>
      </c>
      <c r="AH1" s="3" t="s">
        <v>75</v>
      </c>
      <c r="AI1" s="3" t="s">
        <v>81</v>
      </c>
      <c r="AJ1" s="3" t="s">
        <v>77</v>
      </c>
      <c r="AK1" s="3" t="s">
        <v>76</v>
      </c>
      <c r="AL1" s="3" t="s">
        <v>86</v>
      </c>
      <c r="AM1" s="3" t="s">
        <v>87</v>
      </c>
    </row>
    <row r="2" spans="1:39" x14ac:dyDescent="0.25">
      <c r="A2" s="5">
        <v>1920</v>
      </c>
      <c r="B2" s="19">
        <v>8861</v>
      </c>
      <c r="C2" s="19">
        <v>1918</v>
      </c>
      <c r="D2" s="19">
        <v>27404</v>
      </c>
      <c r="E2" s="19">
        <v>3783</v>
      </c>
      <c r="F2" s="19">
        <v>6057</v>
      </c>
      <c r="G2" s="19">
        <v>421</v>
      </c>
      <c r="H2" s="19">
        <v>2950</v>
      </c>
      <c r="I2" s="19">
        <v>1140</v>
      </c>
      <c r="J2" s="19">
        <v>1898</v>
      </c>
      <c r="K2" s="19">
        <v>1168</v>
      </c>
      <c r="L2" s="19">
        <v>1450</v>
      </c>
      <c r="M2" s="19">
        <v>2124</v>
      </c>
      <c r="N2" s="19">
        <v>783</v>
      </c>
      <c r="O2" s="19">
        <v>14500</v>
      </c>
      <c r="P2" s="19">
        <v>639</v>
      </c>
      <c r="Q2" s="19">
        <v>429</v>
      </c>
      <c r="R2" s="19">
        <v>699</v>
      </c>
      <c r="S2" s="19">
        <v>4862</v>
      </c>
      <c r="T2" s="19">
        <v>1391</v>
      </c>
      <c r="U2" s="19">
        <v>2408</v>
      </c>
      <c r="V2" s="19">
        <v>55</v>
      </c>
      <c r="W2" s="19">
        <v>155</v>
      </c>
      <c r="X2" s="19">
        <v>295</v>
      </c>
      <c r="Y2" s="19">
        <v>150</v>
      </c>
      <c r="Z2" s="19">
        <v>165</v>
      </c>
      <c r="AA2" s="19">
        <v>1312</v>
      </c>
      <c r="AB2" s="19">
        <v>130</v>
      </c>
      <c r="AC2" s="19">
        <v>389</v>
      </c>
      <c r="AD2" s="19">
        <v>26</v>
      </c>
      <c r="AE2" s="19">
        <v>855</v>
      </c>
      <c r="AF2" s="19"/>
      <c r="AG2" s="19"/>
      <c r="AH2" s="19"/>
      <c r="AI2" s="19"/>
      <c r="AJ2" s="19"/>
      <c r="AK2" s="19"/>
      <c r="AL2" s="19"/>
      <c r="AM2" s="19"/>
    </row>
    <row r="3" spans="1:39" x14ac:dyDescent="0.25">
      <c r="A3" s="5">
        <v>1921</v>
      </c>
      <c r="B3" s="19">
        <v>9158.4585999999999</v>
      </c>
      <c r="C3" s="19">
        <v>1937.6529</v>
      </c>
      <c r="D3" s="19">
        <v>27975.554700000001</v>
      </c>
      <c r="E3" s="19">
        <v>3841.4418999999998</v>
      </c>
      <c r="F3" s="19">
        <v>6176.2646999999997</v>
      </c>
      <c r="G3" s="19">
        <v>427.65539999999999</v>
      </c>
      <c r="H3" s="19">
        <v>3030.1563999999998</v>
      </c>
      <c r="I3" s="19">
        <v>1162.5543</v>
      </c>
      <c r="J3" s="19">
        <v>1918.5731000000001</v>
      </c>
      <c r="K3" s="19">
        <v>1194.1821</v>
      </c>
      <c r="L3" s="19">
        <v>1462.5498</v>
      </c>
      <c r="M3" s="19">
        <v>2150.0608999999999</v>
      </c>
      <c r="N3" s="19">
        <v>798.47829999999999</v>
      </c>
      <c r="O3" s="19">
        <v>14618.768099999999</v>
      </c>
      <c r="P3" s="19">
        <v>648.28679999999997</v>
      </c>
      <c r="Q3" s="19">
        <v>435.86189999999999</v>
      </c>
      <c r="R3" s="19">
        <v>715.78949999999998</v>
      </c>
      <c r="S3" s="19">
        <v>4932.9440000000004</v>
      </c>
      <c r="T3" s="19">
        <v>1420.1144999999999</v>
      </c>
      <c r="U3" s="19">
        <v>2453.9139</v>
      </c>
      <c r="V3" s="19">
        <v>55.335999999999999</v>
      </c>
      <c r="W3" s="19">
        <v>155.15199999999999</v>
      </c>
      <c r="X3" s="19">
        <v>296.39999999999998</v>
      </c>
      <c r="Y3" s="19">
        <v>150.28479999999999</v>
      </c>
      <c r="Z3" s="19">
        <v>165.28479999999999</v>
      </c>
      <c r="AA3" s="19">
        <v>1335.7048</v>
      </c>
      <c r="AB3" s="19">
        <v>135.26079999999999</v>
      </c>
      <c r="AC3" s="19">
        <v>389.11599999999999</v>
      </c>
      <c r="AD3" s="19">
        <v>26.4</v>
      </c>
      <c r="AE3" s="19">
        <v>867.56470000000002</v>
      </c>
      <c r="AF3" s="19"/>
      <c r="AG3" s="19"/>
      <c r="AH3" s="19"/>
      <c r="AI3" s="19"/>
      <c r="AJ3" s="19"/>
      <c r="AK3" s="19"/>
      <c r="AL3" s="19"/>
      <c r="AM3" s="19"/>
    </row>
    <row r="4" spans="1:39" x14ac:dyDescent="0.25">
      <c r="A4" s="5">
        <v>1922</v>
      </c>
      <c r="B4" s="19">
        <v>9456.4025000000001</v>
      </c>
      <c r="C4" s="19">
        <v>1957.5925999999999</v>
      </c>
      <c r="D4" s="19">
        <v>28550.620800000001</v>
      </c>
      <c r="E4" s="19">
        <v>3900.3233</v>
      </c>
      <c r="F4" s="19">
        <v>6296.3132999999998</v>
      </c>
      <c r="G4" s="19">
        <v>434.39690000000002</v>
      </c>
      <c r="H4" s="19">
        <v>3110.9737</v>
      </c>
      <c r="I4" s="19">
        <v>1185.3701000000001</v>
      </c>
      <c r="J4" s="19">
        <v>1939.5530000000001</v>
      </c>
      <c r="K4" s="19">
        <v>1220.4686999999999</v>
      </c>
      <c r="L4" s="19">
        <v>1476.0622000000001</v>
      </c>
      <c r="M4" s="19">
        <v>2176.4065999999998</v>
      </c>
      <c r="N4" s="19">
        <v>814.03689999999995</v>
      </c>
      <c r="O4" s="19">
        <v>14743.044099999999</v>
      </c>
      <c r="P4" s="19">
        <v>657.65200000000004</v>
      </c>
      <c r="Q4" s="19">
        <v>442.75839999999999</v>
      </c>
      <c r="R4" s="19">
        <v>732.6816</v>
      </c>
      <c r="S4" s="19">
        <v>5004.5020999999997</v>
      </c>
      <c r="T4" s="19">
        <v>1449.4004</v>
      </c>
      <c r="U4" s="19">
        <v>2500.4494</v>
      </c>
      <c r="V4" s="19">
        <v>55.688000000000002</v>
      </c>
      <c r="W4" s="19">
        <v>155.316</v>
      </c>
      <c r="X4" s="19">
        <v>297.8</v>
      </c>
      <c r="Y4" s="19">
        <v>150.5984</v>
      </c>
      <c r="Z4" s="19">
        <v>165.5984</v>
      </c>
      <c r="AA4" s="19">
        <v>1359.4333999999999</v>
      </c>
      <c r="AB4" s="19">
        <v>140.40639999999999</v>
      </c>
      <c r="AC4" s="19">
        <v>389.25299999999999</v>
      </c>
      <c r="AD4" s="19">
        <v>26.8</v>
      </c>
      <c r="AE4" s="19">
        <v>880.33820000000003</v>
      </c>
      <c r="AF4" s="19"/>
      <c r="AG4" s="19"/>
      <c r="AH4" s="19"/>
      <c r="AI4" s="19"/>
      <c r="AJ4" s="19"/>
      <c r="AK4" s="19"/>
      <c r="AL4" s="19"/>
      <c r="AM4" s="19"/>
    </row>
    <row r="5" spans="1:39" x14ac:dyDescent="0.25">
      <c r="A5" s="5">
        <v>1923</v>
      </c>
      <c r="B5" s="19">
        <v>9755.3171999999995</v>
      </c>
      <c r="C5" s="19">
        <v>1978.1058</v>
      </c>
      <c r="D5" s="19">
        <v>29132.7094</v>
      </c>
      <c r="E5" s="19">
        <v>3960.0837999999999</v>
      </c>
      <c r="F5" s="19">
        <v>6417.9295000000002</v>
      </c>
      <c r="G5" s="19">
        <v>441.31079999999997</v>
      </c>
      <c r="H5" s="19">
        <v>3193.1127000000001</v>
      </c>
      <c r="I5" s="19">
        <v>1208.7086999999999</v>
      </c>
      <c r="J5" s="19">
        <v>1961.3462999999999</v>
      </c>
      <c r="K5" s="19">
        <v>1246.9643000000001</v>
      </c>
      <c r="L5" s="19">
        <v>1491.4997000000001</v>
      </c>
      <c r="M5" s="19">
        <v>2203.3218000000002</v>
      </c>
      <c r="N5" s="19">
        <v>829.75649999999996</v>
      </c>
      <c r="O5" s="19">
        <v>14878.3361</v>
      </c>
      <c r="P5" s="19">
        <v>667.17370000000005</v>
      </c>
      <c r="Q5" s="19">
        <v>449.72379999999998</v>
      </c>
      <c r="R5" s="19">
        <v>749.779</v>
      </c>
      <c r="S5" s="19">
        <v>5077.2880999999998</v>
      </c>
      <c r="T5" s="19">
        <v>1479.029</v>
      </c>
      <c r="U5" s="19">
        <v>2548.2278000000001</v>
      </c>
      <c r="V5" s="19">
        <v>56.072000000000003</v>
      </c>
      <c r="W5" s="19">
        <v>155.50399999999999</v>
      </c>
      <c r="X5" s="19">
        <v>299.2</v>
      </c>
      <c r="Y5" s="19">
        <v>150.96960000000001</v>
      </c>
      <c r="Z5" s="19">
        <v>165.96960000000001</v>
      </c>
      <c r="AA5" s="19">
        <v>1383.2095999999999</v>
      </c>
      <c r="AB5" s="19">
        <v>145.32159999999999</v>
      </c>
      <c r="AC5" s="19">
        <v>389.43200000000002</v>
      </c>
      <c r="AD5" s="19">
        <v>27.2</v>
      </c>
      <c r="AE5" s="19">
        <v>893.52940000000001</v>
      </c>
      <c r="AF5" s="19"/>
      <c r="AG5" s="19"/>
      <c r="AH5" s="19"/>
      <c r="AI5" s="19"/>
      <c r="AJ5" s="19"/>
      <c r="AK5" s="19"/>
      <c r="AL5" s="19"/>
      <c r="AM5" s="19"/>
    </row>
    <row r="6" spans="1:39" x14ac:dyDescent="0.25">
      <c r="A6" s="5">
        <v>1924</v>
      </c>
      <c r="B6" s="19">
        <v>10055.687900000001</v>
      </c>
      <c r="C6" s="19">
        <v>1999.4793999999999</v>
      </c>
      <c r="D6" s="19">
        <v>29725.3321</v>
      </c>
      <c r="E6" s="19">
        <v>4021.1628000000001</v>
      </c>
      <c r="F6" s="19">
        <v>6541.8971000000001</v>
      </c>
      <c r="G6" s="19">
        <v>448.48309999999998</v>
      </c>
      <c r="H6" s="19">
        <v>3277.2345999999998</v>
      </c>
      <c r="I6" s="19">
        <v>1232.8315</v>
      </c>
      <c r="J6" s="19">
        <v>1984.3597</v>
      </c>
      <c r="K6" s="19">
        <v>1273.7732000000001</v>
      </c>
      <c r="L6" s="19">
        <v>1509.8246999999999</v>
      </c>
      <c r="M6" s="19">
        <v>2231.0913</v>
      </c>
      <c r="N6" s="19">
        <v>845.7174</v>
      </c>
      <c r="O6" s="19">
        <v>15030.152099999999</v>
      </c>
      <c r="P6" s="19">
        <v>676.93029999999999</v>
      </c>
      <c r="Q6" s="19">
        <v>456.79289999999997</v>
      </c>
      <c r="R6" s="19">
        <v>767.18420000000003</v>
      </c>
      <c r="S6" s="19">
        <v>5151.9160000000002</v>
      </c>
      <c r="T6" s="19">
        <v>1509.1718000000001</v>
      </c>
      <c r="U6" s="19">
        <v>2597.8708999999999</v>
      </c>
      <c r="V6" s="19">
        <v>56.503999999999998</v>
      </c>
      <c r="W6" s="19">
        <v>155.72800000000001</v>
      </c>
      <c r="X6" s="19">
        <v>300.60000000000002</v>
      </c>
      <c r="Y6" s="19">
        <v>151.4272</v>
      </c>
      <c r="Z6" s="19">
        <v>166.4272</v>
      </c>
      <c r="AA6" s="19">
        <v>1407.0572</v>
      </c>
      <c r="AB6" s="19">
        <v>149.8912</v>
      </c>
      <c r="AC6" s="19">
        <v>389.67399999999998</v>
      </c>
      <c r="AD6" s="19">
        <v>27.6</v>
      </c>
      <c r="AE6" s="19">
        <v>907.34699999999998</v>
      </c>
      <c r="AF6" s="19"/>
      <c r="AG6" s="19"/>
      <c r="AH6" s="19"/>
      <c r="AI6" s="19"/>
      <c r="AJ6" s="19"/>
      <c r="AK6" s="19"/>
      <c r="AL6" s="19"/>
      <c r="AM6" s="19"/>
    </row>
    <row r="7" spans="1:39" x14ac:dyDescent="0.25">
      <c r="A7" s="5">
        <v>1925</v>
      </c>
      <c r="B7" s="19">
        <v>10358</v>
      </c>
      <c r="C7" s="19">
        <v>2022</v>
      </c>
      <c r="D7" s="19">
        <v>30332</v>
      </c>
      <c r="E7" s="19">
        <v>4084</v>
      </c>
      <c r="F7" s="19">
        <v>6669</v>
      </c>
      <c r="G7" s="19">
        <v>456</v>
      </c>
      <c r="H7" s="19">
        <v>3364</v>
      </c>
      <c r="I7" s="19">
        <v>1258</v>
      </c>
      <c r="J7" s="19">
        <v>2009</v>
      </c>
      <c r="K7" s="19">
        <v>1301</v>
      </c>
      <c r="L7" s="19">
        <v>1532</v>
      </c>
      <c r="M7" s="19">
        <v>2260</v>
      </c>
      <c r="N7" s="19">
        <v>862</v>
      </c>
      <c r="O7" s="19">
        <v>15204</v>
      </c>
      <c r="P7" s="19">
        <v>687</v>
      </c>
      <c r="Q7" s="19">
        <v>464</v>
      </c>
      <c r="R7" s="19">
        <v>785</v>
      </c>
      <c r="S7" s="19">
        <v>5229</v>
      </c>
      <c r="T7" s="19">
        <v>1540</v>
      </c>
      <c r="U7" s="19">
        <v>2650</v>
      </c>
      <c r="V7" s="19">
        <v>57</v>
      </c>
      <c r="W7" s="19">
        <v>156</v>
      </c>
      <c r="X7" s="19">
        <v>302</v>
      </c>
      <c r="Y7" s="19">
        <v>152</v>
      </c>
      <c r="Z7" s="19">
        <v>167</v>
      </c>
      <c r="AA7" s="19">
        <v>1431</v>
      </c>
      <c r="AB7" s="19">
        <v>154</v>
      </c>
      <c r="AC7" s="19">
        <v>390</v>
      </c>
      <c r="AD7" s="19">
        <v>28</v>
      </c>
      <c r="AE7" s="19">
        <v>922</v>
      </c>
      <c r="AF7" s="19"/>
      <c r="AG7" s="19"/>
      <c r="AH7" s="19"/>
      <c r="AI7" s="19"/>
      <c r="AJ7" s="19"/>
      <c r="AK7" s="19"/>
      <c r="AL7" s="19"/>
      <c r="AM7" s="19"/>
    </row>
    <row r="8" spans="1:39" x14ac:dyDescent="0.25">
      <c r="A8" s="5">
        <v>1926</v>
      </c>
      <c r="B8" s="19">
        <v>10670.086600000001</v>
      </c>
      <c r="C8" s="19">
        <v>2045.8427999999999</v>
      </c>
      <c r="D8" s="19">
        <v>30953.248</v>
      </c>
      <c r="E8" s="19">
        <v>4149.1327000000001</v>
      </c>
      <c r="F8" s="19">
        <v>6798.8379999999997</v>
      </c>
      <c r="G8" s="19">
        <v>463.9051</v>
      </c>
      <c r="H8" s="19">
        <v>3456.1446999999998</v>
      </c>
      <c r="I8" s="19">
        <v>1284.3545999999999</v>
      </c>
      <c r="J8" s="19">
        <v>2035.6715999999999</v>
      </c>
      <c r="K8" s="19">
        <v>1329.8720000000001</v>
      </c>
      <c r="L8" s="19">
        <v>1565.0682999999999</v>
      </c>
      <c r="M8" s="19">
        <v>2290.2057</v>
      </c>
      <c r="N8" s="19">
        <v>878.84969999999998</v>
      </c>
      <c r="O8" s="19">
        <v>15421.4413</v>
      </c>
      <c r="P8" s="19">
        <v>697.34839999999997</v>
      </c>
      <c r="Q8" s="19">
        <v>471.7244</v>
      </c>
      <c r="R8" s="19">
        <v>803.20069999999998</v>
      </c>
      <c r="S8" s="19">
        <v>5308.7244000000001</v>
      </c>
      <c r="T8" s="19">
        <v>1572.3613</v>
      </c>
      <c r="U8" s="19">
        <v>2705.1523000000002</v>
      </c>
      <c r="V8" s="19">
        <v>57.629300000000001</v>
      </c>
      <c r="W8" s="19">
        <v>156.36000000000001</v>
      </c>
      <c r="X8" s="19">
        <v>303.31229999999999</v>
      </c>
      <c r="Y8" s="19">
        <v>152.93440000000001</v>
      </c>
      <c r="Z8" s="19">
        <v>167.93440000000001</v>
      </c>
      <c r="AA8" s="19">
        <v>1454.5573999999999</v>
      </c>
      <c r="AB8" s="19">
        <v>157.70439999999999</v>
      </c>
      <c r="AC8" s="19">
        <v>391.0761</v>
      </c>
      <c r="AD8" s="19">
        <v>28.463999999999999</v>
      </c>
      <c r="AE8" s="19">
        <v>937.77419999999995</v>
      </c>
      <c r="AF8" s="19"/>
      <c r="AG8" s="19"/>
      <c r="AH8" s="19"/>
      <c r="AI8" s="19"/>
      <c r="AJ8" s="19"/>
      <c r="AK8" s="19"/>
      <c r="AL8" s="19"/>
      <c r="AM8" s="19"/>
    </row>
    <row r="9" spans="1:39" x14ac:dyDescent="0.25">
      <c r="A9" s="5">
        <v>1927</v>
      </c>
      <c r="B9" s="19">
        <v>10991.646199999999</v>
      </c>
      <c r="C9" s="19">
        <v>2070.9405999999999</v>
      </c>
      <c r="D9" s="19">
        <v>31587.350699999999</v>
      </c>
      <c r="E9" s="19">
        <v>4216.3626999999997</v>
      </c>
      <c r="F9" s="19">
        <v>6931.0358999999999</v>
      </c>
      <c r="G9" s="19">
        <v>472.17380000000003</v>
      </c>
      <c r="H9" s="19">
        <v>3553.3851</v>
      </c>
      <c r="I9" s="19">
        <v>1311.8096</v>
      </c>
      <c r="J9" s="19">
        <v>2064.3474999999999</v>
      </c>
      <c r="K9" s="19">
        <v>1360.3313000000001</v>
      </c>
      <c r="L9" s="19">
        <v>1611.4594999999999</v>
      </c>
      <c r="M9" s="19">
        <v>2321.6093999999998</v>
      </c>
      <c r="N9" s="19">
        <v>896.22490000000005</v>
      </c>
      <c r="O9" s="19">
        <v>15687.6839</v>
      </c>
      <c r="P9" s="19">
        <v>707.94240000000002</v>
      </c>
      <c r="Q9" s="19">
        <v>479.9479</v>
      </c>
      <c r="R9" s="19">
        <v>821.73569999999995</v>
      </c>
      <c r="S9" s="19">
        <v>5390.8333000000002</v>
      </c>
      <c r="T9" s="19">
        <v>1606.1703</v>
      </c>
      <c r="U9" s="19">
        <v>2763.1617000000001</v>
      </c>
      <c r="V9" s="19">
        <v>58.408000000000001</v>
      </c>
      <c r="W9" s="19">
        <v>156.84</v>
      </c>
      <c r="X9" s="19">
        <v>304.53699999999998</v>
      </c>
      <c r="Y9" s="19">
        <v>154.3552</v>
      </c>
      <c r="Z9" s="19">
        <v>169.3552</v>
      </c>
      <c r="AA9" s="19">
        <v>1477.7143000000001</v>
      </c>
      <c r="AB9" s="19">
        <v>161.14519999999999</v>
      </c>
      <c r="AC9" s="19">
        <v>393.37819999999999</v>
      </c>
      <c r="AD9" s="19">
        <v>28.992000000000001</v>
      </c>
      <c r="AE9" s="19">
        <v>954.63409999999999</v>
      </c>
      <c r="AF9" s="19"/>
      <c r="AG9" s="19"/>
      <c r="AH9" s="19"/>
      <c r="AI9" s="19"/>
      <c r="AJ9" s="19"/>
      <c r="AK9" s="19"/>
      <c r="AL9" s="19"/>
      <c r="AM9" s="19"/>
    </row>
    <row r="10" spans="1:39" x14ac:dyDescent="0.25">
      <c r="A10" s="5">
        <v>1928</v>
      </c>
      <c r="B10" s="19">
        <v>11310.962600000001</v>
      </c>
      <c r="C10" s="19">
        <v>2097.2170000000001</v>
      </c>
      <c r="D10" s="19">
        <v>32234.429499999998</v>
      </c>
      <c r="E10" s="19">
        <v>4285.0263999999997</v>
      </c>
      <c r="F10" s="19">
        <v>7066.4147999999996</v>
      </c>
      <c r="G10" s="19">
        <v>480.79</v>
      </c>
      <c r="H10" s="19">
        <v>3651.8530999999998</v>
      </c>
      <c r="I10" s="19">
        <v>1340.2873</v>
      </c>
      <c r="J10" s="19">
        <v>2094.7876999999999</v>
      </c>
      <c r="K10" s="19">
        <v>1390.5546999999999</v>
      </c>
      <c r="L10" s="19">
        <v>1665.2166</v>
      </c>
      <c r="M10" s="19">
        <v>2354.1102000000001</v>
      </c>
      <c r="N10" s="19">
        <v>913.77509999999995</v>
      </c>
      <c r="O10" s="19">
        <v>15983.706</v>
      </c>
      <c r="P10" s="19">
        <v>718.86210000000005</v>
      </c>
      <c r="Q10" s="19">
        <v>488.10930000000002</v>
      </c>
      <c r="R10" s="19">
        <v>840.67049999999995</v>
      </c>
      <c r="S10" s="19">
        <v>5475.28</v>
      </c>
      <c r="T10" s="19">
        <v>1640.1985999999999</v>
      </c>
      <c r="U10" s="19">
        <v>2823.5949999999998</v>
      </c>
      <c r="V10" s="19">
        <v>59.271999999999998</v>
      </c>
      <c r="W10" s="19">
        <v>157.44</v>
      </c>
      <c r="X10" s="19">
        <v>305.80560000000003</v>
      </c>
      <c r="Y10" s="19">
        <v>156.1088</v>
      </c>
      <c r="Z10" s="19">
        <v>171.1088</v>
      </c>
      <c r="AA10" s="19">
        <v>1501.1925000000001</v>
      </c>
      <c r="AB10" s="19">
        <v>164.3339</v>
      </c>
      <c r="AC10" s="19">
        <v>396.64229999999998</v>
      </c>
      <c r="AD10" s="19">
        <v>29.488</v>
      </c>
      <c r="AE10" s="19">
        <v>972.30709999999999</v>
      </c>
      <c r="AF10" s="19"/>
      <c r="AG10" s="19"/>
      <c r="AH10" s="19"/>
      <c r="AI10" s="19"/>
      <c r="AJ10" s="19"/>
      <c r="AK10" s="19"/>
      <c r="AL10" s="19"/>
      <c r="AM10" s="19"/>
    </row>
    <row r="11" spans="1:39" x14ac:dyDescent="0.25">
      <c r="A11" s="5">
        <v>1929</v>
      </c>
      <c r="B11" s="19">
        <v>11616.319299999999</v>
      </c>
      <c r="C11" s="19">
        <v>2124.5956000000001</v>
      </c>
      <c r="D11" s="19">
        <v>32894.605499999998</v>
      </c>
      <c r="E11" s="19">
        <v>4354.4601000000002</v>
      </c>
      <c r="F11" s="19">
        <v>7205.7957999999999</v>
      </c>
      <c r="G11" s="19">
        <v>489.73739999999998</v>
      </c>
      <c r="H11" s="19">
        <v>3747.6806999999999</v>
      </c>
      <c r="I11" s="19">
        <v>1369.71</v>
      </c>
      <c r="J11" s="19">
        <v>2126.7519000000002</v>
      </c>
      <c r="K11" s="19">
        <v>1418.7186999999999</v>
      </c>
      <c r="L11" s="19">
        <v>1720.3824</v>
      </c>
      <c r="M11" s="19">
        <v>2387.6073000000001</v>
      </c>
      <c r="N11" s="19">
        <v>931.15030000000002</v>
      </c>
      <c r="O11" s="19">
        <v>16290.4854</v>
      </c>
      <c r="P11" s="19">
        <v>730.18790000000001</v>
      </c>
      <c r="Q11" s="19">
        <v>495.64710000000002</v>
      </c>
      <c r="R11" s="19">
        <v>860.07010000000002</v>
      </c>
      <c r="S11" s="19">
        <v>5562.0177999999996</v>
      </c>
      <c r="T11" s="19">
        <v>1673.2179000000001</v>
      </c>
      <c r="U11" s="19">
        <v>2886.0187999999998</v>
      </c>
      <c r="V11" s="19">
        <v>60.157299999999999</v>
      </c>
      <c r="W11" s="19">
        <v>158.16</v>
      </c>
      <c r="X11" s="19">
        <v>307.24939999999998</v>
      </c>
      <c r="Y11" s="19">
        <v>158.04159999999999</v>
      </c>
      <c r="Z11" s="19">
        <v>173.04159999999999</v>
      </c>
      <c r="AA11" s="19">
        <v>1525.7138</v>
      </c>
      <c r="AB11" s="19">
        <v>167.2817</v>
      </c>
      <c r="AC11" s="19">
        <v>400.60430000000002</v>
      </c>
      <c r="AD11" s="19">
        <v>29.856000000000002</v>
      </c>
      <c r="AE11" s="19">
        <v>990.52</v>
      </c>
      <c r="AF11" s="19"/>
      <c r="AG11" s="19"/>
      <c r="AH11" s="19"/>
      <c r="AI11" s="19"/>
      <c r="AJ11" s="19"/>
      <c r="AK11" s="19"/>
      <c r="AL11" s="19"/>
      <c r="AM11" s="19"/>
    </row>
    <row r="12" spans="1:39" x14ac:dyDescent="0.25">
      <c r="A12" s="5">
        <v>1930</v>
      </c>
      <c r="B12" s="19">
        <v>11896</v>
      </c>
      <c r="C12" s="19">
        <v>2153</v>
      </c>
      <c r="D12" s="19">
        <v>33568</v>
      </c>
      <c r="E12" s="19">
        <v>4424</v>
      </c>
      <c r="F12" s="19">
        <v>7350</v>
      </c>
      <c r="G12" s="19">
        <v>499</v>
      </c>
      <c r="H12" s="19">
        <v>3837</v>
      </c>
      <c r="I12" s="19">
        <v>1400</v>
      </c>
      <c r="J12" s="19">
        <v>2160</v>
      </c>
      <c r="K12" s="19">
        <v>1443</v>
      </c>
      <c r="L12" s="19">
        <v>1771</v>
      </c>
      <c r="M12" s="19">
        <v>2422</v>
      </c>
      <c r="N12" s="19">
        <v>948</v>
      </c>
      <c r="O12" s="19">
        <v>16589</v>
      </c>
      <c r="P12" s="19">
        <v>742</v>
      </c>
      <c r="Q12" s="19">
        <v>502</v>
      </c>
      <c r="R12" s="19">
        <v>880</v>
      </c>
      <c r="S12" s="19">
        <v>5651</v>
      </c>
      <c r="T12" s="19">
        <v>1704</v>
      </c>
      <c r="U12" s="19">
        <v>2950</v>
      </c>
      <c r="V12" s="19">
        <v>61</v>
      </c>
      <c r="W12" s="19">
        <v>159</v>
      </c>
      <c r="X12" s="19">
        <v>309</v>
      </c>
      <c r="Y12" s="19">
        <v>160</v>
      </c>
      <c r="Z12" s="19">
        <v>175</v>
      </c>
      <c r="AA12" s="19">
        <v>1552</v>
      </c>
      <c r="AB12" s="19">
        <v>170</v>
      </c>
      <c r="AC12" s="19">
        <v>405</v>
      </c>
      <c r="AD12" s="19">
        <v>30</v>
      </c>
      <c r="AE12" s="19">
        <v>1009</v>
      </c>
      <c r="AF12" s="19"/>
      <c r="AG12" s="19"/>
      <c r="AH12" s="19"/>
      <c r="AI12" s="19"/>
      <c r="AJ12" s="19"/>
      <c r="AK12" s="19"/>
      <c r="AL12" s="19"/>
      <c r="AM12" s="19"/>
    </row>
    <row r="13" spans="1:39" x14ac:dyDescent="0.25">
      <c r="A13" s="5">
        <v>1931</v>
      </c>
      <c r="B13" s="19">
        <v>12147.3076</v>
      </c>
      <c r="C13" s="19">
        <v>2182.6037999999999</v>
      </c>
      <c r="D13" s="19">
        <v>34253.640200000002</v>
      </c>
      <c r="E13" s="19">
        <v>4493.6508999999996</v>
      </c>
      <c r="F13" s="19">
        <v>7499.4291999999996</v>
      </c>
      <c r="G13" s="19">
        <v>508.54759999999999</v>
      </c>
      <c r="H13" s="19">
        <v>3919.5617999999999</v>
      </c>
      <c r="I13" s="19">
        <v>1431.2983999999999</v>
      </c>
      <c r="J13" s="19">
        <v>2194.8566000000001</v>
      </c>
      <c r="K13" s="19">
        <v>1463.0371</v>
      </c>
      <c r="L13" s="19">
        <v>1817.2038</v>
      </c>
      <c r="M13" s="19">
        <v>2457.4092999999998</v>
      </c>
      <c r="N13" s="19">
        <v>964.03679999999997</v>
      </c>
      <c r="O13" s="19">
        <v>16877.983899999999</v>
      </c>
      <c r="P13" s="19">
        <v>754.31510000000003</v>
      </c>
      <c r="Q13" s="19">
        <v>506.78</v>
      </c>
      <c r="R13" s="19">
        <v>900.49030000000005</v>
      </c>
      <c r="S13" s="19">
        <v>5742.4724999999999</v>
      </c>
      <c r="T13" s="19">
        <v>1732.5916</v>
      </c>
      <c r="U13" s="19">
        <v>3015.6696000000002</v>
      </c>
      <c r="V13" s="19">
        <v>61.785800000000002</v>
      </c>
      <c r="W13" s="19">
        <v>160.1952</v>
      </c>
      <c r="X13" s="19">
        <v>311.35469999999998</v>
      </c>
      <c r="Y13" s="19">
        <v>162.07740000000001</v>
      </c>
      <c r="Z13" s="19">
        <v>177.07740000000001</v>
      </c>
      <c r="AA13" s="19">
        <v>1580.7329999999999</v>
      </c>
      <c r="AB13" s="19">
        <v>172.44540000000001</v>
      </c>
      <c r="AC13" s="19">
        <v>411.02550000000002</v>
      </c>
      <c r="AD13" s="19">
        <v>30</v>
      </c>
      <c r="AE13" s="19">
        <v>1027.9043999999999</v>
      </c>
      <c r="AF13" s="19"/>
      <c r="AG13" s="19"/>
      <c r="AH13" s="19"/>
      <c r="AI13" s="19"/>
      <c r="AJ13" s="19"/>
      <c r="AK13" s="19"/>
      <c r="AL13" s="19"/>
      <c r="AM13" s="19"/>
    </row>
    <row r="14" spans="1:39" x14ac:dyDescent="0.25">
      <c r="A14" s="5">
        <v>1932</v>
      </c>
      <c r="B14" s="19">
        <v>12380.317999999999</v>
      </c>
      <c r="C14" s="19">
        <v>2213.5812999999998</v>
      </c>
      <c r="D14" s="19">
        <v>34952.147599999997</v>
      </c>
      <c r="E14" s="19">
        <v>4563.8666000000003</v>
      </c>
      <c r="F14" s="19">
        <v>7653.9000999999998</v>
      </c>
      <c r="G14" s="19">
        <v>518.42499999999995</v>
      </c>
      <c r="H14" s="19">
        <v>3998.3146999999999</v>
      </c>
      <c r="I14" s="19">
        <v>1463.7379000000001</v>
      </c>
      <c r="J14" s="19">
        <v>2231.6779000000001</v>
      </c>
      <c r="K14" s="19">
        <v>1480.5527</v>
      </c>
      <c r="L14" s="19">
        <v>1862.9821999999999</v>
      </c>
      <c r="M14" s="19">
        <v>2493.9798000000001</v>
      </c>
      <c r="N14" s="19">
        <v>979.50609999999995</v>
      </c>
      <c r="O14" s="19">
        <v>17170.301899999999</v>
      </c>
      <c r="P14" s="19">
        <v>767.12689999999998</v>
      </c>
      <c r="Q14" s="19">
        <v>510.53199999999998</v>
      </c>
      <c r="R14" s="19">
        <v>921.5308</v>
      </c>
      <c r="S14" s="19">
        <v>5836.6307999999999</v>
      </c>
      <c r="T14" s="19">
        <v>1759.95</v>
      </c>
      <c r="U14" s="19">
        <v>3083.4704000000002</v>
      </c>
      <c r="V14" s="19">
        <v>62.557299999999998</v>
      </c>
      <c r="W14" s="19">
        <v>161.8656</v>
      </c>
      <c r="X14" s="19">
        <v>314.36680000000001</v>
      </c>
      <c r="Y14" s="19">
        <v>164.4083</v>
      </c>
      <c r="Z14" s="19">
        <v>179.4083</v>
      </c>
      <c r="AA14" s="19">
        <v>1611.6278</v>
      </c>
      <c r="AB14" s="19">
        <v>174.6474</v>
      </c>
      <c r="AC14" s="19">
        <v>419.48700000000002</v>
      </c>
      <c r="AD14" s="19">
        <v>30</v>
      </c>
      <c r="AE14" s="19">
        <v>1047.4462000000001</v>
      </c>
      <c r="AF14" s="19"/>
      <c r="AG14" s="19"/>
      <c r="AH14" s="19"/>
      <c r="AI14" s="19"/>
      <c r="AJ14" s="19"/>
      <c r="AK14" s="19"/>
      <c r="AL14" s="19"/>
      <c r="AM14" s="19"/>
    </row>
    <row r="15" spans="1:39" x14ac:dyDescent="0.25">
      <c r="A15" s="5">
        <v>1933</v>
      </c>
      <c r="B15" s="19">
        <v>12602.474700000001</v>
      </c>
      <c r="C15" s="19">
        <v>2245.8569000000002</v>
      </c>
      <c r="D15" s="19">
        <v>35666.034899999999</v>
      </c>
      <c r="E15" s="19">
        <v>4634.6569</v>
      </c>
      <c r="F15" s="19">
        <v>7813.3564999999999</v>
      </c>
      <c r="G15" s="19">
        <v>528.7287</v>
      </c>
      <c r="H15" s="19">
        <v>4074.1866</v>
      </c>
      <c r="I15" s="19">
        <v>1497.2283</v>
      </c>
      <c r="J15" s="19">
        <v>2270.2709</v>
      </c>
      <c r="K15" s="19">
        <v>1496.8497</v>
      </c>
      <c r="L15" s="19">
        <v>1908.1587</v>
      </c>
      <c r="M15" s="19">
        <v>2531.6455000000001</v>
      </c>
      <c r="N15" s="19">
        <v>994.8569</v>
      </c>
      <c r="O15" s="19">
        <v>17468.127899999999</v>
      </c>
      <c r="P15" s="19">
        <v>780.48109999999997</v>
      </c>
      <c r="Q15" s="19">
        <v>514.09400000000005</v>
      </c>
      <c r="R15" s="19">
        <v>943.12620000000004</v>
      </c>
      <c r="S15" s="19">
        <v>5933.3530000000001</v>
      </c>
      <c r="T15" s="19">
        <v>1786.2126000000001</v>
      </c>
      <c r="U15" s="19">
        <v>3153.4364</v>
      </c>
      <c r="V15" s="19">
        <v>63.335999999999999</v>
      </c>
      <c r="W15" s="19">
        <v>163.83840000000001</v>
      </c>
      <c r="X15" s="19">
        <v>317.80149999999998</v>
      </c>
      <c r="Y15" s="19">
        <v>166.90049999999999</v>
      </c>
      <c r="Z15" s="19">
        <v>181.90049999999999</v>
      </c>
      <c r="AA15" s="19">
        <v>1643.9561000000001</v>
      </c>
      <c r="AB15" s="19">
        <v>176.72669999999999</v>
      </c>
      <c r="AC15" s="19">
        <v>429.53570000000002</v>
      </c>
      <c r="AD15" s="19">
        <v>30</v>
      </c>
      <c r="AE15" s="19">
        <v>1067.4357</v>
      </c>
      <c r="AF15" s="19"/>
      <c r="AG15" s="19"/>
      <c r="AH15" s="19"/>
      <c r="AI15" s="19"/>
      <c r="AJ15" s="19"/>
      <c r="AK15" s="19"/>
      <c r="AL15" s="19"/>
      <c r="AM15" s="19"/>
    </row>
    <row r="16" spans="1:39" x14ac:dyDescent="0.25">
      <c r="A16" s="5">
        <v>1934</v>
      </c>
      <c r="B16" s="19">
        <v>12821.2209</v>
      </c>
      <c r="C16" s="19">
        <v>2279.355</v>
      </c>
      <c r="D16" s="19">
        <v>36397.8148</v>
      </c>
      <c r="E16" s="19">
        <v>4706.0313999999998</v>
      </c>
      <c r="F16" s="19">
        <v>7977.7419</v>
      </c>
      <c r="G16" s="19">
        <v>539.55489999999998</v>
      </c>
      <c r="H16" s="19">
        <v>4148.1055999999999</v>
      </c>
      <c r="I16" s="19">
        <v>1531.6791000000001</v>
      </c>
      <c r="J16" s="19">
        <v>2310.4425999999999</v>
      </c>
      <c r="K16" s="19">
        <v>1513.2311999999999</v>
      </c>
      <c r="L16" s="19">
        <v>1952.5568000000001</v>
      </c>
      <c r="M16" s="19">
        <v>2570.3409000000001</v>
      </c>
      <c r="N16" s="19">
        <v>1010.5385</v>
      </c>
      <c r="O16" s="19">
        <v>17773.635900000001</v>
      </c>
      <c r="P16" s="19">
        <v>794.42359999999996</v>
      </c>
      <c r="Q16" s="19">
        <v>518.30399999999997</v>
      </c>
      <c r="R16" s="19">
        <v>965.28099999999995</v>
      </c>
      <c r="S16" s="19">
        <v>6032.5167000000001</v>
      </c>
      <c r="T16" s="19">
        <v>1811.5168000000001</v>
      </c>
      <c r="U16" s="19">
        <v>3225.6016</v>
      </c>
      <c r="V16" s="19">
        <v>64.143100000000004</v>
      </c>
      <c r="W16" s="19">
        <v>165.9408</v>
      </c>
      <c r="X16" s="19">
        <v>321.42410000000001</v>
      </c>
      <c r="Y16" s="19">
        <v>169.46180000000001</v>
      </c>
      <c r="Z16" s="19">
        <v>184.46180000000001</v>
      </c>
      <c r="AA16" s="19">
        <v>1676.9896000000001</v>
      </c>
      <c r="AB16" s="19">
        <v>178.804</v>
      </c>
      <c r="AC16" s="19">
        <v>440.3229</v>
      </c>
      <c r="AD16" s="19">
        <v>30</v>
      </c>
      <c r="AE16" s="19">
        <v>1087.6835000000001</v>
      </c>
      <c r="AF16" s="19"/>
      <c r="AG16" s="19"/>
      <c r="AH16" s="19"/>
      <c r="AI16" s="19"/>
      <c r="AJ16" s="19"/>
      <c r="AK16" s="19"/>
      <c r="AL16" s="19"/>
      <c r="AM16" s="19"/>
    </row>
    <row r="17" spans="1:39" x14ac:dyDescent="0.25">
      <c r="A17" s="5">
        <v>1935</v>
      </c>
      <c r="B17" s="19">
        <v>13044</v>
      </c>
      <c r="C17" s="19">
        <v>2314</v>
      </c>
      <c r="D17" s="19">
        <v>37150</v>
      </c>
      <c r="E17" s="19">
        <v>4778</v>
      </c>
      <c r="F17" s="19">
        <v>8147</v>
      </c>
      <c r="G17" s="19">
        <v>551</v>
      </c>
      <c r="H17" s="19">
        <v>4221</v>
      </c>
      <c r="I17" s="19">
        <v>1567</v>
      </c>
      <c r="J17" s="19">
        <v>2352</v>
      </c>
      <c r="K17" s="19">
        <v>1531</v>
      </c>
      <c r="L17" s="19">
        <v>1996</v>
      </c>
      <c r="M17" s="19">
        <v>2610</v>
      </c>
      <c r="N17" s="19">
        <v>1027</v>
      </c>
      <c r="O17" s="19">
        <v>18089</v>
      </c>
      <c r="P17" s="19">
        <v>809</v>
      </c>
      <c r="Q17" s="19">
        <v>524</v>
      </c>
      <c r="R17" s="19">
        <v>988</v>
      </c>
      <c r="S17" s="19">
        <v>6134</v>
      </c>
      <c r="T17" s="19">
        <v>1836</v>
      </c>
      <c r="U17" s="19">
        <v>3300</v>
      </c>
      <c r="V17" s="19">
        <v>65</v>
      </c>
      <c r="W17" s="19">
        <v>168</v>
      </c>
      <c r="X17" s="19">
        <v>325</v>
      </c>
      <c r="Y17" s="19">
        <v>172</v>
      </c>
      <c r="Z17" s="19">
        <v>187</v>
      </c>
      <c r="AA17" s="19">
        <v>1710</v>
      </c>
      <c r="AB17" s="19">
        <v>181</v>
      </c>
      <c r="AC17" s="19">
        <v>451</v>
      </c>
      <c r="AD17" s="19">
        <v>30</v>
      </c>
      <c r="AE17" s="19">
        <v>1108</v>
      </c>
      <c r="AF17" s="19"/>
      <c r="AG17" s="19"/>
      <c r="AH17" s="19"/>
      <c r="AI17" s="19"/>
      <c r="AJ17" s="19"/>
      <c r="AK17" s="19"/>
      <c r="AL17" s="19"/>
      <c r="AM17" s="19"/>
    </row>
    <row r="18" spans="1:39" x14ac:dyDescent="0.25">
      <c r="A18" s="5">
        <v>1936</v>
      </c>
      <c r="B18" s="19">
        <v>13268.984</v>
      </c>
      <c r="C18" s="19">
        <v>2349.9378999999999</v>
      </c>
      <c r="D18" s="19">
        <v>37920.649700000002</v>
      </c>
      <c r="E18" s="19">
        <v>4850.2129999999997</v>
      </c>
      <c r="F18" s="19">
        <v>8321.0084999999999</v>
      </c>
      <c r="G18" s="19">
        <v>563.0462</v>
      </c>
      <c r="H18" s="19">
        <v>4292.0364</v>
      </c>
      <c r="I18" s="19">
        <v>1602.9682</v>
      </c>
      <c r="J18" s="19">
        <v>2395.2168999999999</v>
      </c>
      <c r="K18" s="19">
        <v>1550.1732999999999</v>
      </c>
      <c r="L18" s="19">
        <v>2036.1431</v>
      </c>
      <c r="M18" s="19">
        <v>2650.5043999999998</v>
      </c>
      <c r="N18" s="19">
        <v>1044.1525999999999</v>
      </c>
      <c r="O18" s="19">
        <v>18403.613000000001</v>
      </c>
      <c r="P18" s="19">
        <v>824.27829999999994</v>
      </c>
      <c r="Q18" s="19">
        <v>533.03750000000002</v>
      </c>
      <c r="R18" s="19">
        <v>1011.9450000000001</v>
      </c>
      <c r="S18" s="19">
        <v>6238.1827000000003</v>
      </c>
      <c r="T18" s="19">
        <v>1859.3960999999999</v>
      </c>
      <c r="U18" s="19">
        <v>3375.1314000000002</v>
      </c>
      <c r="V18" s="19">
        <v>65.946700000000007</v>
      </c>
      <c r="W18" s="19">
        <v>170.005</v>
      </c>
      <c r="X18" s="19">
        <v>328.4366</v>
      </c>
      <c r="Y18" s="19">
        <v>174.63249999999999</v>
      </c>
      <c r="Z18" s="19">
        <v>189.60910000000001</v>
      </c>
      <c r="AA18" s="19">
        <v>1742.8733</v>
      </c>
      <c r="AB18" s="19">
        <v>183.43430000000001</v>
      </c>
      <c r="AC18" s="19">
        <v>461.91419999999999</v>
      </c>
      <c r="AD18" s="19">
        <v>30</v>
      </c>
      <c r="AE18" s="19">
        <v>1128.7873999999999</v>
      </c>
      <c r="AF18" s="19"/>
      <c r="AG18" s="19"/>
      <c r="AH18" s="19"/>
      <c r="AI18" s="19"/>
      <c r="AJ18" s="19"/>
      <c r="AK18" s="19"/>
      <c r="AL18" s="19"/>
      <c r="AM18" s="19"/>
    </row>
    <row r="19" spans="1:39" x14ac:dyDescent="0.25">
      <c r="A19" s="5">
        <v>1937</v>
      </c>
      <c r="B19" s="19">
        <v>13491.219800000001</v>
      </c>
      <c r="C19" s="19">
        <v>2387.3418000000001</v>
      </c>
      <c r="D19" s="19">
        <v>38709.398800000003</v>
      </c>
      <c r="E19" s="19">
        <v>4922.6763000000001</v>
      </c>
      <c r="F19" s="19">
        <v>8500.2147000000004</v>
      </c>
      <c r="G19" s="19">
        <v>575.71460000000002</v>
      </c>
      <c r="H19" s="19">
        <v>4360.6795000000002</v>
      </c>
      <c r="I19" s="19">
        <v>1639.7137</v>
      </c>
      <c r="J19" s="19">
        <v>2440.3874999999998</v>
      </c>
      <c r="K19" s="19">
        <v>1569.9238</v>
      </c>
      <c r="L19" s="19">
        <v>2073.1410000000001</v>
      </c>
      <c r="M19" s="19">
        <v>2691.9704000000002</v>
      </c>
      <c r="N19" s="19">
        <v>1061.7364</v>
      </c>
      <c r="O19" s="19">
        <v>18716.658800000001</v>
      </c>
      <c r="P19" s="19">
        <v>840.30449999999996</v>
      </c>
      <c r="Q19" s="19">
        <v>545.89049999999997</v>
      </c>
      <c r="R19" s="19">
        <v>1037.152</v>
      </c>
      <c r="S19" s="19">
        <v>6345.3051999999998</v>
      </c>
      <c r="T19" s="19">
        <v>1881.6862000000001</v>
      </c>
      <c r="U19" s="19">
        <v>3451.1626999999999</v>
      </c>
      <c r="V19" s="19">
        <v>66.973299999999995</v>
      </c>
      <c r="W19" s="19">
        <v>172.07910000000001</v>
      </c>
      <c r="X19" s="19">
        <v>331.90050000000002</v>
      </c>
      <c r="Y19" s="19">
        <v>177.42230000000001</v>
      </c>
      <c r="Z19" s="19">
        <v>192.352</v>
      </c>
      <c r="AA19" s="19">
        <v>1776.1125999999999</v>
      </c>
      <c r="AB19" s="19">
        <v>186.02799999999999</v>
      </c>
      <c r="AC19" s="19">
        <v>473.69589999999999</v>
      </c>
      <c r="AD19" s="19">
        <v>30</v>
      </c>
      <c r="AE19" s="19">
        <v>1150.1769999999999</v>
      </c>
      <c r="AF19" s="19"/>
      <c r="AG19" s="19"/>
      <c r="AH19" s="19"/>
      <c r="AI19" s="19"/>
      <c r="AJ19" s="19"/>
      <c r="AK19" s="19"/>
      <c r="AL19" s="19"/>
      <c r="AM19" s="19"/>
    </row>
    <row r="20" spans="1:39" x14ac:dyDescent="0.25">
      <c r="A20" s="5">
        <v>1938</v>
      </c>
      <c r="B20" s="19">
        <v>13713.4637</v>
      </c>
      <c r="C20" s="19">
        <v>2426.1768000000002</v>
      </c>
      <c r="D20" s="19">
        <v>39521.123</v>
      </c>
      <c r="E20" s="19">
        <v>4995.9331000000002</v>
      </c>
      <c r="F20" s="19">
        <v>8685.4166000000005</v>
      </c>
      <c r="G20" s="19">
        <v>589.16</v>
      </c>
      <c r="H20" s="19">
        <v>4428.3045000000002</v>
      </c>
      <c r="I20" s="19">
        <v>1677.6749</v>
      </c>
      <c r="J20" s="19">
        <v>2487.3498</v>
      </c>
      <c r="K20" s="19">
        <v>1590.2876000000001</v>
      </c>
      <c r="L20" s="19">
        <v>2110.5673000000002</v>
      </c>
      <c r="M20" s="19">
        <v>2734.6840999999999</v>
      </c>
      <c r="N20" s="19">
        <v>1079.9439</v>
      </c>
      <c r="O20" s="19">
        <v>19044.998100000001</v>
      </c>
      <c r="P20" s="19">
        <v>857.0915</v>
      </c>
      <c r="Q20" s="19">
        <v>561.32479999999998</v>
      </c>
      <c r="R20" s="19">
        <v>1062.6864</v>
      </c>
      <c r="S20" s="19">
        <v>6455.0364</v>
      </c>
      <c r="T20" s="19">
        <v>1903.3782000000001</v>
      </c>
      <c r="U20" s="19">
        <v>3530.6282999999999</v>
      </c>
      <c r="V20" s="19">
        <v>68.026700000000005</v>
      </c>
      <c r="W20" s="19">
        <v>174.25069999999999</v>
      </c>
      <c r="X20" s="19">
        <v>335.5462</v>
      </c>
      <c r="Y20" s="19">
        <v>180.19579999999999</v>
      </c>
      <c r="Z20" s="19">
        <v>195.09039999999999</v>
      </c>
      <c r="AA20" s="19">
        <v>1809.9151999999999</v>
      </c>
      <c r="AB20" s="19">
        <v>188.6046</v>
      </c>
      <c r="AC20" s="19">
        <v>485.92039999999997</v>
      </c>
      <c r="AD20" s="19">
        <v>30</v>
      </c>
      <c r="AE20" s="19">
        <v>1171.5728999999999</v>
      </c>
      <c r="AF20" s="19"/>
      <c r="AG20" s="19"/>
      <c r="AH20" s="19"/>
      <c r="AI20" s="19"/>
      <c r="AJ20" s="19"/>
      <c r="AK20" s="19"/>
      <c r="AL20" s="19"/>
      <c r="AM20" s="19"/>
    </row>
    <row r="21" spans="1:39" x14ac:dyDescent="0.25">
      <c r="A21" s="5">
        <v>1939</v>
      </c>
      <c r="B21" s="19">
        <v>13938.4717</v>
      </c>
      <c r="C21" s="19">
        <v>2466.4079000000002</v>
      </c>
      <c r="D21" s="19">
        <v>40360.698100000001</v>
      </c>
      <c r="E21" s="19">
        <v>5070.5266000000001</v>
      </c>
      <c r="F21" s="19">
        <v>8877.4123999999993</v>
      </c>
      <c r="G21" s="19">
        <v>603.53689999999995</v>
      </c>
      <c r="H21" s="19">
        <v>4496.2862999999998</v>
      </c>
      <c r="I21" s="19">
        <v>1717.2908</v>
      </c>
      <c r="J21" s="19">
        <v>2535.9413</v>
      </c>
      <c r="K21" s="19">
        <v>1611.3009</v>
      </c>
      <c r="L21" s="19">
        <v>2151.9958000000001</v>
      </c>
      <c r="M21" s="19">
        <v>2778.9319</v>
      </c>
      <c r="N21" s="19">
        <v>1098.9675999999999</v>
      </c>
      <c r="O21" s="19">
        <v>19405.491600000001</v>
      </c>
      <c r="P21" s="19">
        <v>874.65239999999994</v>
      </c>
      <c r="Q21" s="19">
        <v>578.10609999999997</v>
      </c>
      <c r="R21" s="19">
        <v>1087.6139000000001</v>
      </c>
      <c r="S21" s="19">
        <v>6567.0450000000001</v>
      </c>
      <c r="T21" s="19">
        <v>1924.9801</v>
      </c>
      <c r="U21" s="19">
        <v>3616.0626000000002</v>
      </c>
      <c r="V21" s="19">
        <v>69.053299999999993</v>
      </c>
      <c r="W21" s="19">
        <v>176.54820000000001</v>
      </c>
      <c r="X21" s="19">
        <v>339.52800000000002</v>
      </c>
      <c r="Y21" s="19">
        <v>182.77959999999999</v>
      </c>
      <c r="Z21" s="19">
        <v>197.6859</v>
      </c>
      <c r="AA21" s="19">
        <v>1844.4784999999999</v>
      </c>
      <c r="AB21" s="19">
        <v>190.98750000000001</v>
      </c>
      <c r="AC21" s="19">
        <v>498.16329999999999</v>
      </c>
      <c r="AD21" s="19">
        <v>30</v>
      </c>
      <c r="AE21" s="19">
        <v>1192.3792000000001</v>
      </c>
      <c r="AF21" s="19"/>
      <c r="AG21" s="19"/>
      <c r="AH21" s="19"/>
      <c r="AI21" s="19"/>
      <c r="AJ21" s="19"/>
      <c r="AK21" s="19"/>
      <c r="AL21" s="19"/>
      <c r="AM21" s="19"/>
    </row>
    <row r="22" spans="1:39" x14ac:dyDescent="0.25">
      <c r="A22" s="5">
        <v>1940</v>
      </c>
      <c r="B22" s="19">
        <v>14169</v>
      </c>
      <c r="C22" s="19">
        <v>2508</v>
      </c>
      <c r="D22" s="19">
        <v>41233</v>
      </c>
      <c r="E22" s="19">
        <v>5147</v>
      </c>
      <c r="F22" s="19">
        <v>9077</v>
      </c>
      <c r="G22" s="19">
        <v>619</v>
      </c>
      <c r="H22" s="19">
        <v>4566</v>
      </c>
      <c r="I22" s="19">
        <v>1759</v>
      </c>
      <c r="J22" s="19">
        <v>2586</v>
      </c>
      <c r="K22" s="19">
        <v>1633</v>
      </c>
      <c r="L22" s="19">
        <v>2201</v>
      </c>
      <c r="M22" s="19">
        <v>2825</v>
      </c>
      <c r="N22" s="19">
        <v>1119</v>
      </c>
      <c r="O22" s="19">
        <v>19815</v>
      </c>
      <c r="P22" s="19">
        <v>893</v>
      </c>
      <c r="Q22" s="19">
        <v>595</v>
      </c>
      <c r="R22" s="19">
        <v>1111</v>
      </c>
      <c r="S22" s="19">
        <v>6681</v>
      </c>
      <c r="T22" s="19">
        <v>1947</v>
      </c>
      <c r="U22" s="19">
        <v>3710</v>
      </c>
      <c r="V22" s="19">
        <v>70</v>
      </c>
      <c r="W22" s="19">
        <v>179</v>
      </c>
      <c r="X22" s="19">
        <v>344</v>
      </c>
      <c r="Y22" s="19">
        <v>185</v>
      </c>
      <c r="Z22" s="19">
        <v>200</v>
      </c>
      <c r="AA22" s="19">
        <v>1880</v>
      </c>
      <c r="AB22" s="19">
        <v>193</v>
      </c>
      <c r="AC22" s="19">
        <v>510</v>
      </c>
      <c r="AD22" s="19">
        <v>30</v>
      </c>
      <c r="AE22" s="19">
        <v>1212</v>
      </c>
      <c r="AF22" s="19"/>
      <c r="AG22" s="19"/>
      <c r="AH22" s="19"/>
      <c r="AI22" s="19"/>
      <c r="AJ22" s="19"/>
      <c r="AK22" s="19"/>
      <c r="AL22" s="19"/>
      <c r="AM22" s="19"/>
    </row>
    <row r="23" spans="1:39" x14ac:dyDescent="0.25">
      <c r="A23" s="5">
        <v>1941</v>
      </c>
      <c r="B23" s="19">
        <v>14400.9894</v>
      </c>
      <c r="C23" s="19">
        <v>2550.3283000000001</v>
      </c>
      <c r="D23" s="19">
        <v>42118.758099999999</v>
      </c>
      <c r="E23" s="19">
        <v>5220.3936000000003</v>
      </c>
      <c r="F23" s="19">
        <v>9280.2186999999994</v>
      </c>
      <c r="G23" s="19">
        <v>635.07669999999996</v>
      </c>
      <c r="H23" s="19">
        <v>4632.4359999999997</v>
      </c>
      <c r="I23" s="19">
        <v>1802.4135000000001</v>
      </c>
      <c r="J23" s="19">
        <v>2635.1075000000001</v>
      </c>
      <c r="K23" s="19">
        <v>1653.54</v>
      </c>
      <c r="L23" s="19">
        <v>2262.2745</v>
      </c>
      <c r="M23" s="19">
        <v>2876.4524000000001</v>
      </c>
      <c r="N23" s="19">
        <v>1138.9115999999999</v>
      </c>
      <c r="O23" s="19">
        <v>20289.489099999999</v>
      </c>
      <c r="P23" s="19">
        <v>911.0258</v>
      </c>
      <c r="Q23" s="19">
        <v>611.91189999999995</v>
      </c>
      <c r="R23" s="19">
        <v>1131.1939</v>
      </c>
      <c r="S23" s="19">
        <v>6799.9465</v>
      </c>
      <c r="T23" s="19">
        <v>1968.6534999999999</v>
      </c>
      <c r="U23" s="19">
        <v>3812.49</v>
      </c>
      <c r="V23" s="19">
        <v>70.842699999999994</v>
      </c>
      <c r="W23" s="19">
        <v>181.6746</v>
      </c>
      <c r="X23" s="19">
        <v>349.37220000000002</v>
      </c>
      <c r="Y23" s="19">
        <v>186.7516</v>
      </c>
      <c r="Z23" s="19">
        <v>201.9571</v>
      </c>
      <c r="AA23" s="19">
        <v>1917.7426</v>
      </c>
      <c r="AB23" s="19">
        <v>194.55430000000001</v>
      </c>
      <c r="AC23" s="19">
        <v>521.07079999999996</v>
      </c>
      <c r="AD23" s="19">
        <v>30</v>
      </c>
      <c r="AE23" s="19">
        <v>1229.9691</v>
      </c>
      <c r="AF23" s="19"/>
      <c r="AG23" s="19"/>
      <c r="AH23" s="19"/>
      <c r="AI23" s="19"/>
      <c r="AJ23" s="19"/>
      <c r="AK23" s="19"/>
      <c r="AL23" s="19"/>
      <c r="AM23" s="19"/>
    </row>
    <row r="24" spans="1:39" x14ac:dyDescent="0.25">
      <c r="A24" s="5">
        <v>1942</v>
      </c>
      <c r="B24" s="19">
        <v>14632.759599999999</v>
      </c>
      <c r="C24" s="19">
        <v>2593.5518000000002</v>
      </c>
      <c r="D24" s="19">
        <v>43017.645600000003</v>
      </c>
      <c r="E24" s="19">
        <v>5290.4277000000002</v>
      </c>
      <c r="F24" s="19">
        <v>9487.2765999999992</v>
      </c>
      <c r="G24" s="19">
        <v>651.88070000000005</v>
      </c>
      <c r="H24" s="19">
        <v>4694.7025999999996</v>
      </c>
      <c r="I24" s="19">
        <v>1847.4781</v>
      </c>
      <c r="J24" s="19">
        <v>2683.5165999999999</v>
      </c>
      <c r="K24" s="19">
        <v>1672.9550999999999</v>
      </c>
      <c r="L24" s="19">
        <v>2335.8434999999999</v>
      </c>
      <c r="M24" s="19">
        <v>2933.2687999999998</v>
      </c>
      <c r="N24" s="19">
        <v>1158.6935000000001</v>
      </c>
      <c r="O24" s="19">
        <v>20831.944200000002</v>
      </c>
      <c r="P24" s="19">
        <v>928.82299999999998</v>
      </c>
      <c r="Q24" s="19">
        <v>629.84910000000002</v>
      </c>
      <c r="R24" s="19">
        <v>1148.8969999999999</v>
      </c>
      <c r="S24" s="19">
        <v>6924.2181</v>
      </c>
      <c r="T24" s="19">
        <v>1989.6027999999999</v>
      </c>
      <c r="U24" s="19">
        <v>3923.6293999999998</v>
      </c>
      <c r="V24" s="19">
        <v>71.621300000000005</v>
      </c>
      <c r="W24" s="19">
        <v>184.57769999999999</v>
      </c>
      <c r="X24" s="19">
        <v>355.67419999999998</v>
      </c>
      <c r="Y24" s="19">
        <v>188.1978</v>
      </c>
      <c r="Z24" s="19">
        <v>203.67850000000001</v>
      </c>
      <c r="AA24" s="19">
        <v>1957.6282000000001</v>
      </c>
      <c r="AB24" s="19">
        <v>195.82089999999999</v>
      </c>
      <c r="AC24" s="19">
        <v>531.6617</v>
      </c>
      <c r="AD24" s="19">
        <v>30</v>
      </c>
      <c r="AE24" s="19">
        <v>1246.7519</v>
      </c>
      <c r="AF24" s="19"/>
      <c r="AG24" s="19"/>
      <c r="AH24" s="19"/>
      <c r="AI24" s="19"/>
      <c r="AJ24" s="19"/>
      <c r="AK24" s="19"/>
      <c r="AL24" s="19"/>
      <c r="AM24" s="19"/>
    </row>
    <row r="25" spans="1:39" x14ac:dyDescent="0.25">
      <c r="A25" s="5">
        <v>1943</v>
      </c>
      <c r="B25" s="19">
        <v>14870.6351</v>
      </c>
      <c r="C25" s="19">
        <v>2638.8110999999999</v>
      </c>
      <c r="D25" s="19">
        <v>43962.953999999998</v>
      </c>
      <c r="E25" s="19">
        <v>5364.665</v>
      </c>
      <c r="F25" s="19">
        <v>9705.2250999999997</v>
      </c>
      <c r="G25" s="19">
        <v>670.44629999999995</v>
      </c>
      <c r="H25" s="19">
        <v>4760.3510999999999</v>
      </c>
      <c r="I25" s="19">
        <v>1895.1359</v>
      </c>
      <c r="J25" s="19">
        <v>2735.0720000000001</v>
      </c>
      <c r="K25" s="19">
        <v>1694.1002000000001</v>
      </c>
      <c r="L25" s="19">
        <v>2418.2752</v>
      </c>
      <c r="M25" s="19">
        <v>2990.3589999999999</v>
      </c>
      <c r="N25" s="19">
        <v>1180.2197000000001</v>
      </c>
      <c r="O25" s="19">
        <v>21439.7546</v>
      </c>
      <c r="P25" s="19">
        <v>948.20740000000001</v>
      </c>
      <c r="Q25" s="19">
        <v>649.23030000000006</v>
      </c>
      <c r="R25" s="19">
        <v>1166.7030999999999</v>
      </c>
      <c r="S25" s="19">
        <v>7049.4165999999996</v>
      </c>
      <c r="T25" s="19">
        <v>2011.0252</v>
      </c>
      <c r="U25" s="19">
        <v>4046.0237999999999</v>
      </c>
      <c r="V25" s="19">
        <v>72.378699999999995</v>
      </c>
      <c r="W25" s="19">
        <v>187.64349999999999</v>
      </c>
      <c r="X25" s="19">
        <v>362.49009999999998</v>
      </c>
      <c r="Y25" s="19">
        <v>189.56809999999999</v>
      </c>
      <c r="Z25" s="19">
        <v>205.32149999999999</v>
      </c>
      <c r="AA25" s="19">
        <v>1997.8425999999999</v>
      </c>
      <c r="AB25" s="19">
        <v>197.0103</v>
      </c>
      <c r="AC25" s="19">
        <v>542.31719999999996</v>
      </c>
      <c r="AD25" s="19">
        <v>30</v>
      </c>
      <c r="AE25" s="19">
        <v>1263.1502</v>
      </c>
      <c r="AF25" s="19"/>
      <c r="AG25" s="19"/>
      <c r="AH25" s="19"/>
      <c r="AI25" s="19"/>
      <c r="AJ25" s="19"/>
      <c r="AK25" s="19"/>
      <c r="AL25" s="19"/>
      <c r="AM25" s="19"/>
    </row>
    <row r="26" spans="1:39" x14ac:dyDescent="0.25">
      <c r="A26" s="5">
        <v>1944</v>
      </c>
      <c r="B26" s="19">
        <v>15120.940399999999</v>
      </c>
      <c r="C26" s="19">
        <v>2687.2469000000001</v>
      </c>
      <c r="D26" s="19">
        <v>44987.974999999999</v>
      </c>
      <c r="E26" s="19">
        <v>5450.6682000000001</v>
      </c>
      <c r="F26" s="19">
        <v>9941.1157999999996</v>
      </c>
      <c r="G26" s="19">
        <v>691.80799999999999</v>
      </c>
      <c r="H26" s="19">
        <v>4836.9331000000002</v>
      </c>
      <c r="I26" s="19">
        <v>1946.3290999999999</v>
      </c>
      <c r="J26" s="19">
        <v>2793.6183000000001</v>
      </c>
      <c r="K26" s="19">
        <v>1719.8302000000001</v>
      </c>
      <c r="L26" s="19">
        <v>2506.1379999999999</v>
      </c>
      <c r="M26" s="19">
        <v>3042.6327999999999</v>
      </c>
      <c r="N26" s="19">
        <v>1205.364</v>
      </c>
      <c r="O26" s="19">
        <v>22110.310099999999</v>
      </c>
      <c r="P26" s="19">
        <v>970.99450000000002</v>
      </c>
      <c r="Q26" s="19">
        <v>670.47429999999997</v>
      </c>
      <c r="R26" s="19">
        <v>1187.2062000000001</v>
      </c>
      <c r="S26" s="19">
        <v>7171.1432999999997</v>
      </c>
      <c r="T26" s="19">
        <v>2034.0985000000001</v>
      </c>
      <c r="U26" s="19">
        <v>4182.2788</v>
      </c>
      <c r="V26" s="19">
        <v>73.157300000000006</v>
      </c>
      <c r="W26" s="19">
        <v>190.80619999999999</v>
      </c>
      <c r="X26" s="19">
        <v>369.404</v>
      </c>
      <c r="Y26" s="19">
        <v>191.09229999999999</v>
      </c>
      <c r="Z26" s="19">
        <v>207.0429</v>
      </c>
      <c r="AA26" s="19">
        <v>2036.5713000000001</v>
      </c>
      <c r="AB26" s="19">
        <v>198.3331</v>
      </c>
      <c r="AC26" s="19">
        <v>553.58180000000004</v>
      </c>
      <c r="AD26" s="19">
        <v>30</v>
      </c>
      <c r="AE26" s="19">
        <v>1279.9657</v>
      </c>
      <c r="AF26" s="19"/>
      <c r="AG26" s="19"/>
      <c r="AH26" s="19"/>
      <c r="AI26" s="19"/>
      <c r="AJ26" s="19"/>
      <c r="AK26" s="19"/>
      <c r="AL26" s="19"/>
      <c r="AM26" s="19"/>
    </row>
    <row r="27" spans="1:39" x14ac:dyDescent="0.25">
      <c r="A27" s="5">
        <v>1945</v>
      </c>
      <c r="B27" s="19">
        <v>15390</v>
      </c>
      <c r="C27" s="19">
        <v>2740</v>
      </c>
      <c r="D27" s="19">
        <v>46126</v>
      </c>
      <c r="E27" s="19">
        <v>5556</v>
      </c>
      <c r="F27" s="19">
        <v>10202</v>
      </c>
      <c r="G27" s="19">
        <v>717</v>
      </c>
      <c r="H27" s="19">
        <v>4932</v>
      </c>
      <c r="I27" s="19">
        <v>2002</v>
      </c>
      <c r="J27" s="19">
        <v>2863</v>
      </c>
      <c r="K27" s="19">
        <v>1753</v>
      </c>
      <c r="L27" s="19">
        <v>2596</v>
      </c>
      <c r="M27" s="19">
        <v>3085</v>
      </c>
      <c r="N27" s="19">
        <v>1236</v>
      </c>
      <c r="O27" s="19">
        <v>22841</v>
      </c>
      <c r="P27" s="19">
        <v>999</v>
      </c>
      <c r="Q27" s="19">
        <v>694</v>
      </c>
      <c r="R27" s="19">
        <v>1213</v>
      </c>
      <c r="S27" s="19">
        <v>7285</v>
      </c>
      <c r="T27" s="19">
        <v>2060</v>
      </c>
      <c r="U27" s="19">
        <v>4335</v>
      </c>
      <c r="V27" s="19">
        <v>74</v>
      </c>
      <c r="W27" s="19">
        <v>194</v>
      </c>
      <c r="X27" s="19">
        <v>376</v>
      </c>
      <c r="Y27" s="19">
        <v>193</v>
      </c>
      <c r="Z27" s="19">
        <v>209</v>
      </c>
      <c r="AA27" s="19">
        <v>2072</v>
      </c>
      <c r="AB27" s="19">
        <v>200</v>
      </c>
      <c r="AC27" s="19">
        <v>566</v>
      </c>
      <c r="AD27" s="19">
        <v>30</v>
      </c>
      <c r="AE27" s="19">
        <v>1298</v>
      </c>
      <c r="AF27" s="19"/>
      <c r="AG27" s="19"/>
      <c r="AH27" s="19"/>
      <c r="AI27" s="19"/>
      <c r="AJ27" s="19"/>
      <c r="AK27" s="19"/>
      <c r="AL27" s="19"/>
      <c r="AM27" s="19"/>
    </row>
    <row r="28" spans="1:39" x14ac:dyDescent="0.25">
      <c r="A28" s="5">
        <v>1946</v>
      </c>
      <c r="B28" s="19">
        <v>15686.606599999999</v>
      </c>
      <c r="C28" s="19">
        <v>2801.7330000000002</v>
      </c>
      <c r="D28" s="19">
        <v>47451.858999999997</v>
      </c>
      <c r="E28" s="19">
        <v>5712.3324000000002</v>
      </c>
      <c r="F28" s="19">
        <v>10506.420899999999</v>
      </c>
      <c r="G28" s="19">
        <v>752.26930000000004</v>
      </c>
      <c r="H28" s="19">
        <v>5078.7646999999997</v>
      </c>
      <c r="I28" s="19">
        <v>2064.6089000000002</v>
      </c>
      <c r="J28" s="19">
        <v>2957.5264000000002</v>
      </c>
      <c r="K28" s="19">
        <v>1813.904</v>
      </c>
      <c r="L28" s="19">
        <v>2690.9326000000001</v>
      </c>
      <c r="M28" s="19">
        <v>3116.0583000000001</v>
      </c>
      <c r="N28" s="19">
        <v>1281.7745</v>
      </c>
      <c r="O28" s="19">
        <v>23706.803400000001</v>
      </c>
      <c r="P28" s="19">
        <v>1041.8372999999999</v>
      </c>
      <c r="Q28" s="19">
        <v>722.66079999999999</v>
      </c>
      <c r="R28" s="19">
        <v>1251.5392999999999</v>
      </c>
      <c r="S28" s="19">
        <v>7383.9403000000002</v>
      </c>
      <c r="T28" s="19">
        <v>2091.4448000000002</v>
      </c>
      <c r="U28" s="19">
        <v>4519.3838999999998</v>
      </c>
      <c r="V28" s="19">
        <v>74.875600000000006</v>
      </c>
      <c r="W28" s="19">
        <v>197.28049999999999</v>
      </c>
      <c r="X28" s="19">
        <v>381.8458</v>
      </c>
      <c r="Y28" s="19">
        <v>195.50280000000001</v>
      </c>
      <c r="Z28" s="19">
        <v>211.1738</v>
      </c>
      <c r="AA28" s="19">
        <v>2108.4153000000001</v>
      </c>
      <c r="AB28" s="19">
        <v>202.1157</v>
      </c>
      <c r="AC28" s="19">
        <v>579.98699999999997</v>
      </c>
      <c r="AD28" s="19">
        <v>29.48</v>
      </c>
      <c r="AE28" s="19">
        <v>1317.2067</v>
      </c>
      <c r="AF28" s="19"/>
      <c r="AG28" s="19"/>
      <c r="AH28" s="19"/>
      <c r="AI28" s="19"/>
      <c r="AJ28" s="19"/>
      <c r="AK28" s="19"/>
      <c r="AL28" s="19"/>
      <c r="AM28" s="19"/>
    </row>
    <row r="29" spans="1:39" x14ac:dyDescent="0.25">
      <c r="A29" s="5">
        <v>1947</v>
      </c>
      <c r="B29" s="19">
        <v>16009.0861</v>
      </c>
      <c r="C29" s="19">
        <v>2872.5286999999998</v>
      </c>
      <c r="D29" s="19">
        <v>48970.788</v>
      </c>
      <c r="E29" s="19">
        <v>5925.6966000000002</v>
      </c>
      <c r="F29" s="19">
        <v>10855.5849</v>
      </c>
      <c r="G29" s="19">
        <v>799.02549999999997</v>
      </c>
      <c r="H29" s="19">
        <v>5283.6221999999998</v>
      </c>
      <c r="I29" s="19">
        <v>2134.4782</v>
      </c>
      <c r="J29" s="19">
        <v>3079.5621000000001</v>
      </c>
      <c r="K29" s="19">
        <v>1908.1823999999999</v>
      </c>
      <c r="L29" s="19">
        <v>2793.8964999999998</v>
      </c>
      <c r="M29" s="19">
        <v>3140.7543000000001</v>
      </c>
      <c r="N29" s="19">
        <v>1344.9558</v>
      </c>
      <c r="O29" s="19">
        <v>24730.705699999999</v>
      </c>
      <c r="P29" s="19">
        <v>1101.8879999999999</v>
      </c>
      <c r="Q29" s="19">
        <v>756.85500000000002</v>
      </c>
      <c r="R29" s="19">
        <v>1303.8532</v>
      </c>
      <c r="S29" s="19">
        <v>7471.3541999999998</v>
      </c>
      <c r="T29" s="19">
        <v>2128.2444999999998</v>
      </c>
      <c r="U29" s="19">
        <v>4739.8444</v>
      </c>
      <c r="V29" s="19">
        <v>75.760000000000005</v>
      </c>
      <c r="W29" s="19">
        <v>200.69649999999999</v>
      </c>
      <c r="X29" s="19">
        <v>387.21929999999998</v>
      </c>
      <c r="Y29" s="19">
        <v>198.5771</v>
      </c>
      <c r="Z29" s="19">
        <v>213.48859999999999</v>
      </c>
      <c r="AA29" s="19">
        <v>2147.2772</v>
      </c>
      <c r="AB29" s="19">
        <v>204.65620000000001</v>
      </c>
      <c r="AC29" s="19">
        <v>595.34910000000002</v>
      </c>
      <c r="AD29" s="19">
        <v>28.24</v>
      </c>
      <c r="AE29" s="19">
        <v>1337.127</v>
      </c>
      <c r="AF29" s="19"/>
      <c r="AG29" s="19"/>
      <c r="AH29" s="19"/>
      <c r="AI29" s="19"/>
      <c r="AJ29" s="19"/>
      <c r="AK29" s="19"/>
      <c r="AL29" s="19"/>
      <c r="AM29" s="19"/>
    </row>
    <row r="30" spans="1:39" x14ac:dyDescent="0.25">
      <c r="A30" s="5">
        <v>1948</v>
      </c>
      <c r="B30" s="19">
        <v>16348.0623</v>
      </c>
      <c r="C30" s="19">
        <v>2946.6578</v>
      </c>
      <c r="D30" s="19">
        <v>50611.687599999997</v>
      </c>
      <c r="E30" s="19">
        <v>6165.1947</v>
      </c>
      <c r="F30" s="19">
        <v>11230.538500000001</v>
      </c>
      <c r="G30" s="19">
        <v>851.04700000000003</v>
      </c>
      <c r="H30" s="19">
        <v>5513.8972999999996</v>
      </c>
      <c r="I30" s="19">
        <v>2209.3429999999998</v>
      </c>
      <c r="J30" s="19">
        <v>3215.0346</v>
      </c>
      <c r="K30" s="19">
        <v>2016.7088000000001</v>
      </c>
      <c r="L30" s="19">
        <v>2901.2941999999998</v>
      </c>
      <c r="M30" s="19">
        <v>3163.5210999999999</v>
      </c>
      <c r="N30" s="19">
        <v>1416.3498</v>
      </c>
      <c r="O30" s="19">
        <v>25832.106400000001</v>
      </c>
      <c r="P30" s="19">
        <v>1170.1199999999999</v>
      </c>
      <c r="Q30" s="19">
        <v>793.31889999999999</v>
      </c>
      <c r="R30" s="19">
        <v>1362.8975</v>
      </c>
      <c r="S30" s="19">
        <v>7558.4979999999996</v>
      </c>
      <c r="T30" s="19">
        <v>2167.2217999999998</v>
      </c>
      <c r="U30" s="19">
        <v>4982.8130000000001</v>
      </c>
      <c r="V30" s="19">
        <v>76.706699999999998</v>
      </c>
      <c r="W30" s="19">
        <v>204.1722</v>
      </c>
      <c r="X30" s="19">
        <v>392.76990000000001</v>
      </c>
      <c r="Y30" s="19">
        <v>202.1001</v>
      </c>
      <c r="Z30" s="19">
        <v>216.01660000000001</v>
      </c>
      <c r="AA30" s="19">
        <v>2182.5315000000001</v>
      </c>
      <c r="AB30" s="19">
        <v>207.6388</v>
      </c>
      <c r="AC30" s="19">
        <v>611.71780000000001</v>
      </c>
      <c r="AD30" s="19">
        <v>26.76</v>
      </c>
      <c r="AE30" s="19">
        <v>1357.9439</v>
      </c>
      <c r="AF30" s="19"/>
      <c r="AG30" s="19"/>
      <c r="AH30" s="19"/>
      <c r="AI30" s="19"/>
      <c r="AJ30" s="19"/>
      <c r="AK30" s="19"/>
      <c r="AL30" s="19"/>
      <c r="AM30" s="19"/>
    </row>
    <row r="31" spans="1:39" x14ac:dyDescent="0.25">
      <c r="A31" s="5">
        <v>1949</v>
      </c>
      <c r="B31" s="19">
        <v>16694.158899999999</v>
      </c>
      <c r="C31" s="19">
        <v>3018.3912999999998</v>
      </c>
      <c r="D31" s="19">
        <v>52303.458100000003</v>
      </c>
      <c r="E31" s="19">
        <v>6399.9285</v>
      </c>
      <c r="F31" s="19">
        <v>11612.328100000001</v>
      </c>
      <c r="G31" s="19">
        <v>902.11239999999998</v>
      </c>
      <c r="H31" s="19">
        <v>5736.915</v>
      </c>
      <c r="I31" s="19">
        <v>2286.9386</v>
      </c>
      <c r="J31" s="19">
        <v>3349.8714</v>
      </c>
      <c r="K31" s="19">
        <v>2120.3568</v>
      </c>
      <c r="L31" s="19">
        <v>3009.5279</v>
      </c>
      <c r="M31" s="19">
        <v>3188.7919999999999</v>
      </c>
      <c r="N31" s="19">
        <v>1486.7625</v>
      </c>
      <c r="O31" s="19">
        <v>26930.404699999999</v>
      </c>
      <c r="P31" s="19">
        <v>1237.5014000000001</v>
      </c>
      <c r="Q31" s="19">
        <v>828.7885</v>
      </c>
      <c r="R31" s="19">
        <v>1421.6279</v>
      </c>
      <c r="S31" s="19">
        <v>7656.6279000000004</v>
      </c>
      <c r="T31" s="19">
        <v>2205.1994</v>
      </c>
      <c r="U31" s="19">
        <v>5234.7209999999995</v>
      </c>
      <c r="V31" s="19">
        <v>77.768900000000002</v>
      </c>
      <c r="W31" s="19">
        <v>207.6319</v>
      </c>
      <c r="X31" s="19">
        <v>399.14699999999999</v>
      </c>
      <c r="Y31" s="19">
        <v>205.9487</v>
      </c>
      <c r="Z31" s="19">
        <v>218.8297</v>
      </c>
      <c r="AA31" s="19">
        <v>2208.1237999999998</v>
      </c>
      <c r="AB31" s="19">
        <v>211.08099999999999</v>
      </c>
      <c r="AC31" s="19">
        <v>628.72429999999997</v>
      </c>
      <c r="AD31" s="19">
        <v>25.52</v>
      </c>
      <c r="AE31" s="19">
        <v>1379.8406</v>
      </c>
      <c r="AF31" s="19"/>
      <c r="AG31" s="19"/>
      <c r="AH31" s="19"/>
      <c r="AI31" s="19"/>
      <c r="AJ31" s="19"/>
      <c r="AK31" s="19"/>
      <c r="AL31" s="19"/>
      <c r="AM31" s="19"/>
    </row>
    <row r="32" spans="1:39" x14ac:dyDescent="0.25">
      <c r="A32" s="5">
        <v>1950</v>
      </c>
      <c r="B32" s="19">
        <v>17038</v>
      </c>
      <c r="C32" s="19">
        <v>3082</v>
      </c>
      <c r="D32" s="19">
        <v>53975</v>
      </c>
      <c r="E32" s="19">
        <v>6599</v>
      </c>
      <c r="F32" s="19">
        <v>11982</v>
      </c>
      <c r="G32" s="19">
        <v>946</v>
      </c>
      <c r="H32" s="19">
        <v>5920</v>
      </c>
      <c r="I32" s="19">
        <v>2365</v>
      </c>
      <c r="J32" s="19">
        <v>3470</v>
      </c>
      <c r="K32" s="19">
        <v>2200</v>
      </c>
      <c r="L32" s="19">
        <v>3115</v>
      </c>
      <c r="M32" s="19">
        <v>3221</v>
      </c>
      <c r="N32" s="19">
        <v>1547</v>
      </c>
      <c r="O32" s="19">
        <v>27945</v>
      </c>
      <c r="P32" s="19">
        <v>1295</v>
      </c>
      <c r="Q32" s="19">
        <v>860</v>
      </c>
      <c r="R32" s="19">
        <v>1473</v>
      </c>
      <c r="S32" s="19">
        <v>7777</v>
      </c>
      <c r="T32" s="19">
        <v>2239</v>
      </c>
      <c r="U32" s="19">
        <v>5482</v>
      </c>
      <c r="V32" s="19">
        <v>79</v>
      </c>
      <c r="W32" s="19">
        <v>211</v>
      </c>
      <c r="X32" s="19">
        <v>407</v>
      </c>
      <c r="Y32" s="19">
        <v>210</v>
      </c>
      <c r="Z32" s="19">
        <v>222</v>
      </c>
      <c r="AA32" s="19">
        <v>2218</v>
      </c>
      <c r="AB32" s="19">
        <v>215</v>
      </c>
      <c r="AC32" s="19">
        <v>646</v>
      </c>
      <c r="AD32" s="19">
        <v>25</v>
      </c>
      <c r="AE32" s="19">
        <v>1403</v>
      </c>
      <c r="AF32" s="19">
        <v>46</v>
      </c>
      <c r="AG32" s="19">
        <v>38</v>
      </c>
      <c r="AH32" s="19">
        <v>69</v>
      </c>
      <c r="AI32" s="19">
        <v>27</v>
      </c>
      <c r="AJ32" s="19">
        <v>77</v>
      </c>
      <c r="AK32" s="19">
        <v>100</v>
      </c>
      <c r="AL32" s="19">
        <v>67</v>
      </c>
      <c r="AM32" s="19">
        <v>83</v>
      </c>
    </row>
    <row r="33" spans="1:39" x14ac:dyDescent="0.25">
      <c r="A33" s="5">
        <v>1951</v>
      </c>
      <c r="B33" s="19">
        <v>17382.351900000001</v>
      </c>
      <c r="C33" s="19">
        <v>3135.7483999999999</v>
      </c>
      <c r="D33" s="19">
        <v>55623.054300000003</v>
      </c>
      <c r="E33" s="19">
        <v>6759.2313999999997</v>
      </c>
      <c r="F33" s="19">
        <v>12332.8675</v>
      </c>
      <c r="G33" s="19">
        <v>981.495</v>
      </c>
      <c r="H33" s="19">
        <v>6062.2691000000004</v>
      </c>
      <c r="I33" s="19">
        <v>2443.1873000000001</v>
      </c>
      <c r="J33" s="19">
        <v>3572.7865999999999</v>
      </c>
      <c r="K33" s="19">
        <v>2254.6685000000002</v>
      </c>
      <c r="L33" s="19">
        <v>3216.4393</v>
      </c>
      <c r="M33" s="19">
        <v>3265.0171</v>
      </c>
      <c r="N33" s="19">
        <v>1595.8215</v>
      </c>
      <c r="O33" s="19">
        <v>28853.030599999998</v>
      </c>
      <c r="P33" s="19">
        <v>1341.3043</v>
      </c>
      <c r="Q33" s="19">
        <v>886.18880000000001</v>
      </c>
      <c r="R33" s="19">
        <v>1516.06</v>
      </c>
      <c r="S33" s="19">
        <v>7938.2469000000001</v>
      </c>
      <c r="T33" s="19">
        <v>2267.8085999999998</v>
      </c>
      <c r="U33" s="19">
        <v>5724.7826999999997</v>
      </c>
      <c r="V33" s="19">
        <v>80.459800000000001</v>
      </c>
      <c r="W33" s="19">
        <v>214.5693</v>
      </c>
      <c r="X33" s="19">
        <v>417.91719999999998</v>
      </c>
      <c r="Y33" s="19">
        <v>214.33699999999999</v>
      </c>
      <c r="Z33" s="19">
        <v>225.73310000000001</v>
      </c>
      <c r="AA33" s="19">
        <v>2215.712</v>
      </c>
      <c r="AB33" s="19">
        <v>220.03800000000001</v>
      </c>
      <c r="AC33" s="19">
        <v>663.62339999999995</v>
      </c>
      <c r="AD33" s="19">
        <v>25.202300000000001</v>
      </c>
      <c r="AE33" s="19">
        <v>1429.1782000000001</v>
      </c>
      <c r="AF33" s="19">
        <v>46.8</v>
      </c>
      <c r="AG33" s="19">
        <v>39.055999999999997</v>
      </c>
      <c r="AH33" s="19">
        <v>71.1541</v>
      </c>
      <c r="AI33" s="19">
        <v>27.6</v>
      </c>
      <c r="AJ33" s="19">
        <v>77.652299999999997</v>
      </c>
      <c r="AK33" s="19">
        <v>103.8231</v>
      </c>
      <c r="AL33" s="19">
        <v>68.400000000000006</v>
      </c>
      <c r="AM33" s="19">
        <v>83.558899999999994</v>
      </c>
    </row>
    <row r="34" spans="1:39" x14ac:dyDescent="0.25">
      <c r="A34" s="5">
        <v>1952</v>
      </c>
      <c r="B34" s="19">
        <v>17733.590199999999</v>
      </c>
      <c r="C34" s="19">
        <v>3184.0412999999999</v>
      </c>
      <c r="D34" s="19">
        <v>57296.249799999998</v>
      </c>
      <c r="E34" s="19">
        <v>6903.5249999999996</v>
      </c>
      <c r="F34" s="19">
        <v>12677.5681</v>
      </c>
      <c r="G34" s="19">
        <v>1013.175</v>
      </c>
      <c r="H34" s="19">
        <v>6188.8948</v>
      </c>
      <c r="I34" s="19">
        <v>2523.1545000000001</v>
      </c>
      <c r="J34" s="19">
        <v>3668.1392000000001</v>
      </c>
      <c r="K34" s="19">
        <v>2299.8071</v>
      </c>
      <c r="L34" s="19">
        <v>3316.2473</v>
      </c>
      <c r="M34" s="19">
        <v>3320.1862000000001</v>
      </c>
      <c r="N34" s="19">
        <v>1639.9222</v>
      </c>
      <c r="O34" s="19">
        <v>29710.279500000001</v>
      </c>
      <c r="P34" s="19">
        <v>1382.9771000000001</v>
      </c>
      <c r="Q34" s="19">
        <v>909.81299999999999</v>
      </c>
      <c r="R34" s="19">
        <v>1555.806</v>
      </c>
      <c r="S34" s="19">
        <v>8141.6863000000003</v>
      </c>
      <c r="T34" s="19">
        <v>2294.002</v>
      </c>
      <c r="U34" s="19">
        <v>5972.3379999999997</v>
      </c>
      <c r="V34" s="19">
        <v>82.179400000000001</v>
      </c>
      <c r="W34" s="19">
        <v>218.3914</v>
      </c>
      <c r="X34" s="19">
        <v>432.22250000000003</v>
      </c>
      <c r="Y34" s="19">
        <v>219.1172</v>
      </c>
      <c r="Z34" s="19">
        <v>230.11170000000001</v>
      </c>
      <c r="AA34" s="19">
        <v>2210.2559999999999</v>
      </c>
      <c r="AB34" s="19">
        <v>226.47800000000001</v>
      </c>
      <c r="AC34" s="19">
        <v>681.88549999999998</v>
      </c>
      <c r="AD34" s="19">
        <v>25.726900000000001</v>
      </c>
      <c r="AE34" s="19">
        <v>1458.4322999999999</v>
      </c>
      <c r="AF34" s="19">
        <v>47.6</v>
      </c>
      <c r="AG34" s="19">
        <v>40.148000000000003</v>
      </c>
      <c r="AH34" s="19">
        <v>73.319699999999997</v>
      </c>
      <c r="AI34" s="19">
        <v>28.2</v>
      </c>
      <c r="AJ34" s="19">
        <v>78.341499999999996</v>
      </c>
      <c r="AK34" s="19">
        <v>107.54040000000001</v>
      </c>
      <c r="AL34" s="19">
        <v>69.8</v>
      </c>
      <c r="AM34" s="19">
        <v>84.128</v>
      </c>
    </row>
    <row r="35" spans="1:39" x14ac:dyDescent="0.25">
      <c r="A35" s="5">
        <v>1953</v>
      </c>
      <c r="B35" s="19">
        <v>18087.752499999999</v>
      </c>
      <c r="C35" s="19">
        <v>3230.36</v>
      </c>
      <c r="D35" s="19">
        <v>59001.317999999999</v>
      </c>
      <c r="E35" s="19">
        <v>7040.1027999999997</v>
      </c>
      <c r="F35" s="19">
        <v>13026.134899999999</v>
      </c>
      <c r="G35" s="19">
        <v>1043.5075999999999</v>
      </c>
      <c r="H35" s="19">
        <v>6306.2860000000001</v>
      </c>
      <c r="I35" s="19">
        <v>2605.6280999999999</v>
      </c>
      <c r="J35" s="19">
        <v>3760.7986000000001</v>
      </c>
      <c r="K35" s="19">
        <v>2340.9114</v>
      </c>
      <c r="L35" s="19">
        <v>3416.3357000000001</v>
      </c>
      <c r="M35" s="19">
        <v>3382.6466</v>
      </c>
      <c r="N35" s="19">
        <v>1682.0121999999999</v>
      </c>
      <c r="O35" s="19">
        <v>30554.113099999999</v>
      </c>
      <c r="P35" s="19">
        <v>1422.7976000000001</v>
      </c>
      <c r="Q35" s="19">
        <v>932.44280000000003</v>
      </c>
      <c r="R35" s="19">
        <v>1594.1220000000001</v>
      </c>
      <c r="S35" s="19">
        <v>8372.6023999999998</v>
      </c>
      <c r="T35" s="19">
        <v>2319.1912000000002</v>
      </c>
      <c r="U35" s="19">
        <v>6224.8019999999997</v>
      </c>
      <c r="V35" s="19">
        <v>84.168999999999997</v>
      </c>
      <c r="W35" s="19">
        <v>222.02889999999999</v>
      </c>
      <c r="X35" s="19">
        <v>448.66930000000002</v>
      </c>
      <c r="Y35" s="19">
        <v>224.3288</v>
      </c>
      <c r="Z35" s="19">
        <v>235.02379999999999</v>
      </c>
      <c r="AA35" s="19">
        <v>2203.7440000000001</v>
      </c>
      <c r="AB35" s="19">
        <v>233.79900000000001</v>
      </c>
      <c r="AC35" s="19">
        <v>700.73580000000004</v>
      </c>
      <c r="AD35" s="19">
        <v>26.450299999999999</v>
      </c>
      <c r="AE35" s="19">
        <v>1488.3973000000001</v>
      </c>
      <c r="AF35" s="19">
        <v>48.4</v>
      </c>
      <c r="AG35" s="19">
        <v>41.311999999999998</v>
      </c>
      <c r="AH35" s="19">
        <v>75.508200000000002</v>
      </c>
      <c r="AI35" s="19">
        <v>28.8</v>
      </c>
      <c r="AJ35" s="19">
        <v>79.104600000000005</v>
      </c>
      <c r="AK35" s="19">
        <v>111.0462</v>
      </c>
      <c r="AL35" s="19">
        <v>71.2</v>
      </c>
      <c r="AM35" s="19">
        <v>84.717699999999994</v>
      </c>
    </row>
    <row r="36" spans="1:39" x14ac:dyDescent="0.25">
      <c r="A36" s="5">
        <v>1954</v>
      </c>
      <c r="B36" s="19">
        <v>18440.8766</v>
      </c>
      <c r="C36" s="19">
        <v>3278.1858000000002</v>
      </c>
      <c r="D36" s="19">
        <v>60744.9908</v>
      </c>
      <c r="E36" s="19">
        <v>7177.1871000000001</v>
      </c>
      <c r="F36" s="19">
        <v>13388.601199999999</v>
      </c>
      <c r="G36" s="19">
        <v>1074.9601</v>
      </c>
      <c r="H36" s="19">
        <v>6420.8514999999998</v>
      </c>
      <c r="I36" s="19">
        <v>2691.3344999999999</v>
      </c>
      <c r="J36" s="19">
        <v>3855.5052999999998</v>
      </c>
      <c r="K36" s="19">
        <v>2383.4771999999998</v>
      </c>
      <c r="L36" s="19">
        <v>3518.616</v>
      </c>
      <c r="M36" s="19">
        <v>3448.5381000000002</v>
      </c>
      <c r="N36" s="19">
        <v>1724.8015</v>
      </c>
      <c r="O36" s="19">
        <v>31421.897799999999</v>
      </c>
      <c r="P36" s="19">
        <v>1463.5454999999999</v>
      </c>
      <c r="Q36" s="19">
        <v>955.64840000000004</v>
      </c>
      <c r="R36" s="19">
        <v>1632.8921</v>
      </c>
      <c r="S36" s="19">
        <v>8616.2788999999993</v>
      </c>
      <c r="T36" s="19">
        <v>2344.9868999999999</v>
      </c>
      <c r="U36" s="19">
        <v>6482.3107</v>
      </c>
      <c r="V36" s="19">
        <v>86.439099999999996</v>
      </c>
      <c r="W36" s="19">
        <v>225.04429999999999</v>
      </c>
      <c r="X36" s="19">
        <v>466.01069999999999</v>
      </c>
      <c r="Y36" s="19">
        <v>229.96029999999999</v>
      </c>
      <c r="Z36" s="19">
        <v>240.35730000000001</v>
      </c>
      <c r="AA36" s="19">
        <v>2198.288</v>
      </c>
      <c r="AB36" s="19">
        <v>241.48</v>
      </c>
      <c r="AC36" s="19">
        <v>720.1241</v>
      </c>
      <c r="AD36" s="19">
        <v>27.249099999999999</v>
      </c>
      <c r="AE36" s="19">
        <v>1516.7083</v>
      </c>
      <c r="AF36" s="19">
        <v>49.2</v>
      </c>
      <c r="AG36" s="19">
        <v>42.584000000000003</v>
      </c>
      <c r="AH36" s="19">
        <v>77.731099999999998</v>
      </c>
      <c r="AI36" s="19">
        <v>29.4</v>
      </c>
      <c r="AJ36" s="19">
        <v>79.978499999999997</v>
      </c>
      <c r="AK36" s="19">
        <v>114.2347</v>
      </c>
      <c r="AL36" s="19">
        <v>72.599999999999994</v>
      </c>
      <c r="AM36" s="19">
        <v>85.338300000000004</v>
      </c>
    </row>
    <row r="37" spans="1:39" x14ac:dyDescent="0.25">
      <c r="A37" s="5">
        <v>1955</v>
      </c>
      <c r="B37" s="19">
        <v>18789</v>
      </c>
      <c r="C37" s="19">
        <v>3331</v>
      </c>
      <c r="D37" s="19">
        <v>62534</v>
      </c>
      <c r="E37" s="19">
        <v>7323</v>
      </c>
      <c r="F37" s="19">
        <v>13775</v>
      </c>
      <c r="G37" s="19">
        <v>1110</v>
      </c>
      <c r="H37" s="19">
        <v>6539</v>
      </c>
      <c r="I37" s="19">
        <v>2781</v>
      </c>
      <c r="J37" s="19">
        <v>3957</v>
      </c>
      <c r="K37" s="19">
        <v>2433</v>
      </c>
      <c r="L37" s="19">
        <v>3625</v>
      </c>
      <c r="M37" s="19">
        <v>3514</v>
      </c>
      <c r="N37" s="19">
        <v>1771</v>
      </c>
      <c r="O37" s="19">
        <v>32351</v>
      </c>
      <c r="P37" s="19">
        <v>1508</v>
      </c>
      <c r="Q37" s="19">
        <v>981</v>
      </c>
      <c r="R37" s="19">
        <v>1674</v>
      </c>
      <c r="S37" s="19">
        <v>8858</v>
      </c>
      <c r="T37" s="19">
        <v>2373</v>
      </c>
      <c r="U37" s="19">
        <v>6745</v>
      </c>
      <c r="V37" s="19">
        <v>89</v>
      </c>
      <c r="W37" s="19">
        <v>227</v>
      </c>
      <c r="X37" s="19">
        <v>483</v>
      </c>
      <c r="Y37" s="19">
        <v>236</v>
      </c>
      <c r="Z37" s="19">
        <v>246</v>
      </c>
      <c r="AA37" s="19">
        <v>2196</v>
      </c>
      <c r="AB37" s="19">
        <v>249</v>
      </c>
      <c r="AC37" s="19">
        <v>740</v>
      </c>
      <c r="AD37" s="19">
        <v>28</v>
      </c>
      <c r="AE37" s="19">
        <v>1541</v>
      </c>
      <c r="AF37" s="19">
        <v>50</v>
      </c>
      <c r="AG37" s="19">
        <v>44</v>
      </c>
      <c r="AH37" s="19">
        <v>80</v>
      </c>
      <c r="AI37" s="19">
        <v>30</v>
      </c>
      <c r="AJ37" s="19">
        <v>81</v>
      </c>
      <c r="AK37" s="19">
        <v>117</v>
      </c>
      <c r="AL37" s="19">
        <v>74</v>
      </c>
      <c r="AM37" s="19">
        <v>86</v>
      </c>
    </row>
    <row r="38" spans="1:39" x14ac:dyDescent="0.25">
      <c r="A38" s="5">
        <v>1956</v>
      </c>
      <c r="B38" s="19">
        <v>19131.490600000001</v>
      </c>
      <c r="C38" s="19">
        <v>3389.7869000000001</v>
      </c>
      <c r="D38" s="19">
        <v>64366.394099999998</v>
      </c>
      <c r="E38" s="19">
        <v>7478.4566000000004</v>
      </c>
      <c r="F38" s="19">
        <v>14190.8027</v>
      </c>
      <c r="G38" s="19">
        <v>1149.4115999999999</v>
      </c>
      <c r="H38" s="19">
        <v>6657.5541000000003</v>
      </c>
      <c r="I38" s="19">
        <v>2875.6813000000002</v>
      </c>
      <c r="J38" s="19">
        <v>4065.7548000000002</v>
      </c>
      <c r="K38" s="19">
        <v>2490.654</v>
      </c>
      <c r="L38" s="19">
        <v>3735.8991999999998</v>
      </c>
      <c r="M38" s="19">
        <v>3579.6587</v>
      </c>
      <c r="N38" s="19">
        <v>1820.9504999999999</v>
      </c>
      <c r="O38" s="19">
        <v>33349.812400000003</v>
      </c>
      <c r="P38" s="19">
        <v>1556.8557000000001</v>
      </c>
      <c r="Q38" s="19">
        <v>1008.7538</v>
      </c>
      <c r="R38" s="19">
        <v>1717.4575</v>
      </c>
      <c r="S38" s="19">
        <v>9098.5524999999998</v>
      </c>
      <c r="T38" s="19">
        <v>2404.0985000000001</v>
      </c>
      <c r="U38" s="19">
        <v>7013.0711000000001</v>
      </c>
      <c r="V38" s="19">
        <v>92.127600000000001</v>
      </c>
      <c r="W38" s="19">
        <v>228.10720000000001</v>
      </c>
      <c r="X38" s="19">
        <v>500.05410000000001</v>
      </c>
      <c r="Y38" s="19">
        <v>243.0746</v>
      </c>
      <c r="Z38" s="19">
        <v>252.4025</v>
      </c>
      <c r="AA38" s="19">
        <v>2201.9704999999999</v>
      </c>
      <c r="AB38" s="19">
        <v>256.42689999999999</v>
      </c>
      <c r="AC38" s="19">
        <v>761.52599999999995</v>
      </c>
      <c r="AD38" s="19">
        <v>28.6919</v>
      </c>
      <c r="AE38" s="19">
        <v>1560.5706</v>
      </c>
      <c r="AF38" s="19">
        <v>50.785800000000002</v>
      </c>
      <c r="AG38" s="19">
        <v>45.8523</v>
      </c>
      <c r="AH38" s="19">
        <v>82.303700000000006</v>
      </c>
      <c r="AI38" s="19">
        <v>30.532800000000002</v>
      </c>
      <c r="AJ38" s="19">
        <v>82.4392</v>
      </c>
      <c r="AK38" s="19">
        <v>119.3883</v>
      </c>
      <c r="AL38" s="19">
        <v>75.437299999999993</v>
      </c>
      <c r="AM38" s="19">
        <v>86.701300000000003</v>
      </c>
    </row>
    <row r="39" spans="1:39" x14ac:dyDescent="0.25">
      <c r="A39" s="5">
        <v>1957</v>
      </c>
      <c r="B39" s="19">
        <v>19471.028900000001</v>
      </c>
      <c r="C39" s="19">
        <v>3452.6381999999999</v>
      </c>
      <c r="D39" s="19">
        <v>66240.276899999997</v>
      </c>
      <c r="E39" s="19">
        <v>7638.2685000000001</v>
      </c>
      <c r="F39" s="19">
        <v>14631.6767</v>
      </c>
      <c r="G39" s="19">
        <v>1191.8875</v>
      </c>
      <c r="H39" s="19">
        <v>6772.2506000000003</v>
      </c>
      <c r="I39" s="19">
        <v>2975.2993000000001</v>
      </c>
      <c r="J39" s="19">
        <v>4178.9817999999996</v>
      </c>
      <c r="K39" s="19">
        <v>2553.4821999999999</v>
      </c>
      <c r="L39" s="19">
        <v>3850.25</v>
      </c>
      <c r="M39" s="19">
        <v>3648.3036999999999</v>
      </c>
      <c r="N39" s="19">
        <v>1873.0037</v>
      </c>
      <c r="O39" s="19">
        <v>34397.617700000003</v>
      </c>
      <c r="P39" s="19">
        <v>1608.4857999999999</v>
      </c>
      <c r="Q39" s="19">
        <v>1038.0038999999999</v>
      </c>
      <c r="R39" s="19">
        <v>1762.0867000000001</v>
      </c>
      <c r="S39" s="19">
        <v>9348.5319999999992</v>
      </c>
      <c r="T39" s="19">
        <v>2437.3451</v>
      </c>
      <c r="U39" s="19">
        <v>7286.7033000000001</v>
      </c>
      <c r="V39" s="19">
        <v>95.971199999999996</v>
      </c>
      <c r="W39" s="19">
        <v>228.94560000000001</v>
      </c>
      <c r="X39" s="19">
        <v>518.0453</v>
      </c>
      <c r="Y39" s="19">
        <v>251.29580000000001</v>
      </c>
      <c r="Z39" s="19">
        <v>259.73540000000003</v>
      </c>
      <c r="AA39" s="19">
        <v>2217.8714</v>
      </c>
      <c r="AB39" s="19">
        <v>264.12169999999998</v>
      </c>
      <c r="AC39" s="19">
        <v>784.77440000000001</v>
      </c>
      <c r="AD39" s="19">
        <v>29.413</v>
      </c>
      <c r="AE39" s="19">
        <v>1577.4391000000001</v>
      </c>
      <c r="AF39" s="19">
        <v>51.557299999999998</v>
      </c>
      <c r="AG39" s="19">
        <v>48.1569</v>
      </c>
      <c r="AH39" s="19">
        <v>84.636300000000006</v>
      </c>
      <c r="AI39" s="19">
        <v>30.9984</v>
      </c>
      <c r="AJ39" s="19">
        <v>84.348399999999998</v>
      </c>
      <c r="AK39" s="19">
        <v>121.5427</v>
      </c>
      <c r="AL39" s="19">
        <v>76.912000000000006</v>
      </c>
      <c r="AM39" s="19">
        <v>87.440899999999999</v>
      </c>
    </row>
    <row r="40" spans="1:39" x14ac:dyDescent="0.25">
      <c r="A40" s="5">
        <v>1958</v>
      </c>
      <c r="B40" s="19">
        <v>19808.621899999998</v>
      </c>
      <c r="C40" s="19">
        <v>3518.6959999999999</v>
      </c>
      <c r="D40" s="19">
        <v>68162.462599999999</v>
      </c>
      <c r="E40" s="19">
        <v>7801.3519999999999</v>
      </c>
      <c r="F40" s="19">
        <v>15092.9493</v>
      </c>
      <c r="G40" s="19">
        <v>1236.7574999999999</v>
      </c>
      <c r="H40" s="19">
        <v>6887.8701000000001</v>
      </c>
      <c r="I40" s="19">
        <v>3078.8766999999998</v>
      </c>
      <c r="J40" s="19">
        <v>4296.5313999999998</v>
      </c>
      <c r="K40" s="19">
        <v>2620.7833000000001</v>
      </c>
      <c r="L40" s="19">
        <v>3967.7512000000002</v>
      </c>
      <c r="M40" s="19">
        <v>3719.3193999999999</v>
      </c>
      <c r="N40" s="19">
        <v>1926.8815999999999</v>
      </c>
      <c r="O40" s="19">
        <v>35488.116699999999</v>
      </c>
      <c r="P40" s="19">
        <v>1662.1882000000001</v>
      </c>
      <c r="Q40" s="19">
        <v>1068.577</v>
      </c>
      <c r="R40" s="19">
        <v>1807.9871000000001</v>
      </c>
      <c r="S40" s="19">
        <v>9607.9351000000006</v>
      </c>
      <c r="T40" s="19">
        <v>2471.6424999999999</v>
      </c>
      <c r="U40" s="19">
        <v>7565.9998999999998</v>
      </c>
      <c r="V40" s="19">
        <v>100.351</v>
      </c>
      <c r="W40" s="19">
        <v>229.63040000000001</v>
      </c>
      <c r="X40" s="19">
        <v>536.40930000000003</v>
      </c>
      <c r="Y40" s="19">
        <v>259.87970000000001</v>
      </c>
      <c r="Z40" s="19">
        <v>267.46710000000002</v>
      </c>
      <c r="AA40" s="19">
        <v>2240.6871000000001</v>
      </c>
      <c r="AB40" s="19">
        <v>272.00319999999999</v>
      </c>
      <c r="AC40" s="19">
        <v>808.0598</v>
      </c>
      <c r="AD40" s="19">
        <v>30.188099999999999</v>
      </c>
      <c r="AE40" s="19">
        <v>1593.3224</v>
      </c>
      <c r="AF40" s="19">
        <v>52.335999999999999</v>
      </c>
      <c r="AG40" s="19">
        <v>50.535400000000003</v>
      </c>
      <c r="AH40" s="19">
        <v>87.016999999999996</v>
      </c>
      <c r="AI40" s="19">
        <v>31.497599999999998</v>
      </c>
      <c r="AJ40" s="19">
        <v>86.438000000000002</v>
      </c>
      <c r="AK40" s="19">
        <v>123.503</v>
      </c>
      <c r="AL40" s="19">
        <v>78.367999999999995</v>
      </c>
      <c r="AM40" s="19">
        <v>88.229900000000001</v>
      </c>
    </row>
    <row r="41" spans="1:39" x14ac:dyDescent="0.25">
      <c r="A41" s="5">
        <v>1959</v>
      </c>
      <c r="B41" s="19">
        <v>20145.276600000001</v>
      </c>
      <c r="C41" s="19">
        <v>3587.1025</v>
      </c>
      <c r="D41" s="19">
        <v>70139.765499999994</v>
      </c>
      <c r="E41" s="19">
        <v>7966.6237000000001</v>
      </c>
      <c r="F41" s="19">
        <v>15569.948</v>
      </c>
      <c r="G41" s="19">
        <v>1283.3516999999999</v>
      </c>
      <c r="H41" s="19">
        <v>7009.1931000000004</v>
      </c>
      <c r="I41" s="19">
        <v>3185.4360000000001</v>
      </c>
      <c r="J41" s="19">
        <v>4418.2539999999999</v>
      </c>
      <c r="K41" s="19">
        <v>2691.8562999999999</v>
      </c>
      <c r="L41" s="19">
        <v>4088.1016</v>
      </c>
      <c r="M41" s="19">
        <v>3792.0900999999999</v>
      </c>
      <c r="N41" s="19">
        <v>1982.3063</v>
      </c>
      <c r="O41" s="19">
        <v>36615.010499999997</v>
      </c>
      <c r="P41" s="19">
        <v>1717.2602999999999</v>
      </c>
      <c r="Q41" s="19">
        <v>1100.3000999999999</v>
      </c>
      <c r="R41" s="19">
        <v>1855.2583999999999</v>
      </c>
      <c r="S41" s="19">
        <v>9876.7589000000007</v>
      </c>
      <c r="T41" s="19">
        <v>2505.8933000000002</v>
      </c>
      <c r="U41" s="19">
        <v>7851.0644000000002</v>
      </c>
      <c r="V41" s="19">
        <v>105.0872</v>
      </c>
      <c r="W41" s="19">
        <v>230.27680000000001</v>
      </c>
      <c r="X41" s="19">
        <v>554.58230000000003</v>
      </c>
      <c r="Y41" s="19">
        <v>268.04239999999999</v>
      </c>
      <c r="Z41" s="19">
        <v>275.06580000000002</v>
      </c>
      <c r="AA41" s="19">
        <v>2267.4018000000001</v>
      </c>
      <c r="AB41" s="19">
        <v>279.98970000000003</v>
      </c>
      <c r="AC41" s="19">
        <v>829.69680000000005</v>
      </c>
      <c r="AD41" s="19">
        <v>31.042100000000001</v>
      </c>
      <c r="AE41" s="19">
        <v>1609.9371000000001</v>
      </c>
      <c r="AF41" s="19">
        <v>53.143099999999997</v>
      </c>
      <c r="AG41" s="19">
        <v>52.609200000000001</v>
      </c>
      <c r="AH41" s="19">
        <v>89.465199999999996</v>
      </c>
      <c r="AI41" s="19">
        <v>32.1312</v>
      </c>
      <c r="AJ41" s="19">
        <v>88.418400000000005</v>
      </c>
      <c r="AK41" s="19">
        <v>125.30880000000001</v>
      </c>
      <c r="AL41" s="19">
        <v>79.749300000000005</v>
      </c>
      <c r="AM41" s="19">
        <v>89.079300000000003</v>
      </c>
    </row>
    <row r="42" spans="1:39" x14ac:dyDescent="0.25">
      <c r="A42" s="5">
        <v>1960</v>
      </c>
      <c r="B42" s="19">
        <v>20482</v>
      </c>
      <c r="C42" s="19">
        <v>3657</v>
      </c>
      <c r="D42" s="19">
        <v>72179</v>
      </c>
      <c r="E42" s="19">
        <v>8133</v>
      </c>
      <c r="F42" s="19">
        <v>16058</v>
      </c>
      <c r="G42" s="19">
        <v>1331</v>
      </c>
      <c r="H42" s="19">
        <v>7141</v>
      </c>
      <c r="I42" s="19">
        <v>3294</v>
      </c>
      <c r="J42" s="19">
        <v>4544</v>
      </c>
      <c r="K42" s="19">
        <v>2766</v>
      </c>
      <c r="L42" s="19">
        <v>4211</v>
      </c>
      <c r="M42" s="19">
        <v>3866</v>
      </c>
      <c r="N42" s="19">
        <v>2039</v>
      </c>
      <c r="O42" s="19">
        <v>37772</v>
      </c>
      <c r="P42" s="19">
        <v>1773</v>
      </c>
      <c r="Q42" s="19">
        <v>1133</v>
      </c>
      <c r="R42" s="19">
        <v>1904</v>
      </c>
      <c r="S42" s="19">
        <v>10155</v>
      </c>
      <c r="T42" s="19">
        <v>2539</v>
      </c>
      <c r="U42" s="19">
        <v>8142</v>
      </c>
      <c r="V42" s="19">
        <v>110</v>
      </c>
      <c r="W42" s="19">
        <v>231</v>
      </c>
      <c r="X42" s="19">
        <v>572</v>
      </c>
      <c r="Y42" s="19">
        <v>275</v>
      </c>
      <c r="Z42" s="19">
        <v>282</v>
      </c>
      <c r="AA42" s="19">
        <v>2295</v>
      </c>
      <c r="AB42" s="19">
        <v>288</v>
      </c>
      <c r="AC42" s="19">
        <v>848</v>
      </c>
      <c r="AD42" s="19">
        <v>32</v>
      </c>
      <c r="AE42" s="19">
        <v>1629</v>
      </c>
      <c r="AF42" s="19">
        <v>54</v>
      </c>
      <c r="AG42" s="19">
        <v>54</v>
      </c>
      <c r="AH42" s="19">
        <v>92</v>
      </c>
      <c r="AI42" s="19">
        <v>33</v>
      </c>
      <c r="AJ42" s="19">
        <v>90</v>
      </c>
      <c r="AK42" s="19">
        <v>127</v>
      </c>
      <c r="AL42" s="19">
        <v>81</v>
      </c>
      <c r="AM42" s="19">
        <v>90</v>
      </c>
    </row>
    <row r="43" spans="1:39" x14ac:dyDescent="0.25">
      <c r="A43" s="5">
        <v>1961</v>
      </c>
      <c r="B43" s="19">
        <v>20817.876400000001</v>
      </c>
      <c r="C43" s="19">
        <v>3728.6012999999998</v>
      </c>
      <c r="D43" s="19">
        <v>74302.924299999999</v>
      </c>
      <c r="E43" s="19">
        <v>8302.3708999999999</v>
      </c>
      <c r="F43" s="19">
        <v>16563.532299999999</v>
      </c>
      <c r="G43" s="19">
        <v>1380.6831999999999</v>
      </c>
      <c r="H43" s="19">
        <v>7289.5862999999999</v>
      </c>
      <c r="I43" s="19">
        <v>3405.3730999999998</v>
      </c>
      <c r="J43" s="19">
        <v>4674.2969999999996</v>
      </c>
      <c r="K43" s="19">
        <v>2845.0372000000002</v>
      </c>
      <c r="L43" s="19">
        <v>4336.4641000000001</v>
      </c>
      <c r="M43" s="19">
        <v>3941.4589999999998</v>
      </c>
      <c r="N43" s="19">
        <v>2096.8074000000001</v>
      </c>
      <c r="O43" s="19">
        <v>38963.0245</v>
      </c>
      <c r="P43" s="19">
        <v>1829.3219999999999</v>
      </c>
      <c r="Q43" s="19">
        <v>1166.9756</v>
      </c>
      <c r="R43" s="19">
        <v>1954.4567999999999</v>
      </c>
      <c r="S43" s="19">
        <v>10445.211499999999</v>
      </c>
      <c r="T43" s="19">
        <v>2571.5754000000002</v>
      </c>
      <c r="U43" s="19">
        <v>8439.3521999999994</v>
      </c>
      <c r="V43" s="19">
        <v>115.3386</v>
      </c>
      <c r="W43" s="19">
        <v>231.8</v>
      </c>
      <c r="X43" s="19">
        <v>589.06500000000005</v>
      </c>
      <c r="Y43" s="19">
        <v>280.75110000000001</v>
      </c>
      <c r="Z43" s="19">
        <v>288.52350000000001</v>
      </c>
      <c r="AA43" s="19">
        <v>2329.4382000000001</v>
      </c>
      <c r="AB43" s="19">
        <v>296.10160000000002</v>
      </c>
      <c r="AC43" s="19">
        <v>863.55010000000004</v>
      </c>
      <c r="AD43" s="19">
        <v>33.127600000000001</v>
      </c>
      <c r="AE43" s="19">
        <v>1651.7152000000001</v>
      </c>
      <c r="AF43" s="19">
        <v>54.928899999999999</v>
      </c>
      <c r="AG43" s="19">
        <v>54.826000000000001</v>
      </c>
      <c r="AH43" s="19">
        <v>94.632300000000001</v>
      </c>
      <c r="AI43" s="19">
        <v>34.910800000000002</v>
      </c>
      <c r="AJ43" s="19">
        <v>91.3429</v>
      </c>
      <c r="AK43" s="19">
        <v>128.51859999999999</v>
      </c>
      <c r="AL43" s="19">
        <v>82.106700000000004</v>
      </c>
      <c r="AM43" s="19">
        <v>91.019000000000005</v>
      </c>
    </row>
    <row r="44" spans="1:39" x14ac:dyDescent="0.25">
      <c r="A44" s="5">
        <v>1962</v>
      </c>
      <c r="B44" s="19">
        <v>21152.237300000001</v>
      </c>
      <c r="C44" s="19">
        <v>3802.6554000000001</v>
      </c>
      <c r="D44" s="19">
        <v>76511.607000000004</v>
      </c>
      <c r="E44" s="19">
        <v>8475.5116999999991</v>
      </c>
      <c r="F44" s="19">
        <v>17090.851699999999</v>
      </c>
      <c r="G44" s="19">
        <v>1432.9874</v>
      </c>
      <c r="H44" s="19">
        <v>7453.0679</v>
      </c>
      <c r="I44" s="19">
        <v>3520.3906000000002</v>
      </c>
      <c r="J44" s="19">
        <v>4809.6414999999997</v>
      </c>
      <c r="K44" s="19">
        <v>2929.9771000000001</v>
      </c>
      <c r="L44" s="19">
        <v>4464.866</v>
      </c>
      <c r="M44" s="19">
        <v>4018.9677000000001</v>
      </c>
      <c r="N44" s="19">
        <v>2156.0194999999999</v>
      </c>
      <c r="O44" s="19">
        <v>40195.228300000002</v>
      </c>
      <c r="P44" s="19">
        <v>1886.7589</v>
      </c>
      <c r="Q44" s="19">
        <v>1202.4502</v>
      </c>
      <c r="R44" s="19">
        <v>2006.6782000000001</v>
      </c>
      <c r="S44" s="19">
        <v>10748.3361</v>
      </c>
      <c r="T44" s="19">
        <v>2604.3634000000002</v>
      </c>
      <c r="U44" s="19">
        <v>8743.3698999999997</v>
      </c>
      <c r="V44" s="19">
        <v>121.2865</v>
      </c>
      <c r="W44" s="19">
        <v>232.6</v>
      </c>
      <c r="X44" s="19">
        <v>606.17259999999999</v>
      </c>
      <c r="Y44" s="19">
        <v>285.94069999999999</v>
      </c>
      <c r="Z44" s="19">
        <v>295.02089999999998</v>
      </c>
      <c r="AA44" s="19">
        <v>2374.3930999999998</v>
      </c>
      <c r="AB44" s="19">
        <v>304.35079999999999</v>
      </c>
      <c r="AC44" s="19">
        <v>877.92110000000002</v>
      </c>
      <c r="AD44" s="19">
        <v>34.441099999999999</v>
      </c>
      <c r="AE44" s="19">
        <v>1677.2344000000001</v>
      </c>
      <c r="AF44" s="19">
        <v>55.92</v>
      </c>
      <c r="AG44" s="19">
        <v>55.490200000000002</v>
      </c>
      <c r="AH44" s="19">
        <v>97.3553</v>
      </c>
      <c r="AI44" s="19">
        <v>38.188400000000001</v>
      </c>
      <c r="AJ44" s="19">
        <v>92.685699999999997</v>
      </c>
      <c r="AK44" s="19">
        <v>129.85929999999999</v>
      </c>
      <c r="AL44" s="19">
        <v>83.12</v>
      </c>
      <c r="AM44" s="19">
        <v>92.144900000000007</v>
      </c>
    </row>
    <row r="45" spans="1:39" x14ac:dyDescent="0.25">
      <c r="A45" s="5">
        <v>1963</v>
      </c>
      <c r="B45" s="19">
        <v>21486.46</v>
      </c>
      <c r="C45" s="19">
        <v>3879.1089000000002</v>
      </c>
      <c r="D45" s="19">
        <v>78777.827499999999</v>
      </c>
      <c r="E45" s="19">
        <v>8649.6671000000006</v>
      </c>
      <c r="F45" s="19">
        <v>17632.105</v>
      </c>
      <c r="G45" s="19">
        <v>1486.6498999999999</v>
      </c>
      <c r="H45" s="19">
        <v>7623.9564</v>
      </c>
      <c r="I45" s="19">
        <v>3638.1215999999999</v>
      </c>
      <c r="J45" s="19">
        <v>4949.8374999999996</v>
      </c>
      <c r="K45" s="19">
        <v>3018.8984</v>
      </c>
      <c r="L45" s="19">
        <v>4596.4359000000004</v>
      </c>
      <c r="M45" s="19">
        <v>4098.0469000000003</v>
      </c>
      <c r="N45" s="19">
        <v>2217.0279999999998</v>
      </c>
      <c r="O45" s="19">
        <v>41467.119700000003</v>
      </c>
      <c r="P45" s="19">
        <v>1945.5346999999999</v>
      </c>
      <c r="Q45" s="19">
        <v>1239.1369</v>
      </c>
      <c r="R45" s="19">
        <v>2060.4713000000002</v>
      </c>
      <c r="S45" s="19">
        <v>11061.954900000001</v>
      </c>
      <c r="T45" s="19">
        <v>2636.4636999999998</v>
      </c>
      <c r="U45" s="19">
        <v>9053.7114999999994</v>
      </c>
      <c r="V45" s="19">
        <v>127.565</v>
      </c>
      <c r="W45" s="19">
        <v>233.4</v>
      </c>
      <c r="X45" s="19">
        <v>622.74760000000003</v>
      </c>
      <c r="Y45" s="19">
        <v>290.75479999999999</v>
      </c>
      <c r="Z45" s="19">
        <v>301.15660000000003</v>
      </c>
      <c r="AA45" s="19">
        <v>2423.4288999999999</v>
      </c>
      <c r="AB45" s="19">
        <v>312.64920000000001</v>
      </c>
      <c r="AC45" s="19">
        <v>890.91700000000003</v>
      </c>
      <c r="AD45" s="19">
        <v>35.890700000000002</v>
      </c>
      <c r="AE45" s="19">
        <v>1704.1960999999999</v>
      </c>
      <c r="AF45" s="19">
        <v>56.9467</v>
      </c>
      <c r="AG45" s="19">
        <v>56.041499999999999</v>
      </c>
      <c r="AH45" s="19">
        <v>100.1622</v>
      </c>
      <c r="AI45" s="19">
        <v>42.210599999999999</v>
      </c>
      <c r="AJ45" s="19">
        <v>93.857100000000003</v>
      </c>
      <c r="AK45" s="19">
        <v>131.14070000000001</v>
      </c>
      <c r="AL45" s="19">
        <v>84.08</v>
      </c>
      <c r="AM45" s="19">
        <v>93.361400000000003</v>
      </c>
    </row>
    <row r="46" spans="1:39" x14ac:dyDescent="0.25">
      <c r="A46" s="5">
        <v>1964</v>
      </c>
      <c r="B46" s="19">
        <v>21821.921699999999</v>
      </c>
      <c r="C46" s="19">
        <v>3957.9083000000001</v>
      </c>
      <c r="D46" s="19">
        <v>81074.365300000005</v>
      </c>
      <c r="E46" s="19">
        <v>8822.0817000000006</v>
      </c>
      <c r="F46" s="19">
        <v>18179.4388</v>
      </c>
      <c r="G46" s="19">
        <v>1540.4083000000001</v>
      </c>
      <c r="H46" s="19">
        <v>7794.7632999999996</v>
      </c>
      <c r="I46" s="19">
        <v>3757.6351</v>
      </c>
      <c r="J46" s="19">
        <v>5094.6890000000003</v>
      </c>
      <c r="K46" s="19">
        <v>3109.8798000000002</v>
      </c>
      <c r="L46" s="19">
        <v>4731.4038</v>
      </c>
      <c r="M46" s="19">
        <v>4178.2174000000005</v>
      </c>
      <c r="N46" s="19">
        <v>2280.2242999999999</v>
      </c>
      <c r="O46" s="19">
        <v>42777.207499999997</v>
      </c>
      <c r="P46" s="19">
        <v>2005.8737000000001</v>
      </c>
      <c r="Q46" s="19">
        <v>1276.7491</v>
      </c>
      <c r="R46" s="19">
        <v>2115.6428999999998</v>
      </c>
      <c r="S46" s="19">
        <v>11383.649100000001</v>
      </c>
      <c r="T46" s="19">
        <v>2666.9760000000001</v>
      </c>
      <c r="U46" s="19">
        <v>9370.0354000000007</v>
      </c>
      <c r="V46" s="19">
        <v>133.89570000000001</v>
      </c>
      <c r="W46" s="19">
        <v>234.2</v>
      </c>
      <c r="X46" s="19">
        <v>638.21510000000001</v>
      </c>
      <c r="Y46" s="19">
        <v>295.3793</v>
      </c>
      <c r="Z46" s="19">
        <v>306.59480000000002</v>
      </c>
      <c r="AA46" s="19">
        <v>2470.1098000000002</v>
      </c>
      <c r="AB46" s="19">
        <v>320.89839999999998</v>
      </c>
      <c r="AC46" s="19">
        <v>902.34199999999998</v>
      </c>
      <c r="AD46" s="19">
        <v>37.426900000000003</v>
      </c>
      <c r="AE46" s="19">
        <v>1731.2384999999999</v>
      </c>
      <c r="AF46" s="19">
        <v>57.982199999999999</v>
      </c>
      <c r="AG46" s="19">
        <v>56.528500000000001</v>
      </c>
      <c r="AH46" s="19">
        <v>103.0461</v>
      </c>
      <c r="AI46" s="19">
        <v>46.355200000000004</v>
      </c>
      <c r="AJ46" s="19">
        <v>94.685699999999997</v>
      </c>
      <c r="AK46" s="19">
        <v>132.48140000000001</v>
      </c>
      <c r="AL46" s="19">
        <v>85.026700000000005</v>
      </c>
      <c r="AM46" s="19">
        <v>94.651899999999998</v>
      </c>
    </row>
    <row r="47" spans="1:39" x14ac:dyDescent="0.25">
      <c r="A47" s="5">
        <v>1965</v>
      </c>
      <c r="B47" s="19">
        <v>22160</v>
      </c>
      <c r="C47" s="19">
        <v>4039</v>
      </c>
      <c r="D47" s="19">
        <v>83374</v>
      </c>
      <c r="E47" s="19">
        <v>8990</v>
      </c>
      <c r="F47" s="19">
        <v>18725</v>
      </c>
      <c r="G47" s="19">
        <v>1593</v>
      </c>
      <c r="H47" s="19">
        <v>7958</v>
      </c>
      <c r="I47" s="19">
        <v>3878</v>
      </c>
      <c r="J47" s="19">
        <v>5244</v>
      </c>
      <c r="K47" s="19">
        <v>3201</v>
      </c>
      <c r="L47" s="19">
        <v>4870</v>
      </c>
      <c r="M47" s="19">
        <v>4259</v>
      </c>
      <c r="N47" s="19">
        <v>2346</v>
      </c>
      <c r="O47" s="19">
        <v>44124</v>
      </c>
      <c r="P47" s="19">
        <v>2068</v>
      </c>
      <c r="Q47" s="19">
        <v>1315</v>
      </c>
      <c r="R47" s="19">
        <v>2172</v>
      </c>
      <c r="S47" s="19">
        <v>11711</v>
      </c>
      <c r="T47" s="19">
        <v>2695</v>
      </c>
      <c r="U47" s="19">
        <v>9692</v>
      </c>
      <c r="V47" s="19">
        <v>140</v>
      </c>
      <c r="W47" s="19">
        <v>235</v>
      </c>
      <c r="X47" s="19">
        <v>652</v>
      </c>
      <c r="Y47" s="19">
        <v>300</v>
      </c>
      <c r="Z47" s="19">
        <v>311</v>
      </c>
      <c r="AA47" s="19">
        <v>2508</v>
      </c>
      <c r="AB47" s="19">
        <v>329</v>
      </c>
      <c r="AC47" s="19">
        <v>912</v>
      </c>
      <c r="AD47" s="19">
        <v>39</v>
      </c>
      <c r="AE47" s="19">
        <v>1757</v>
      </c>
      <c r="AF47" s="19">
        <v>59</v>
      </c>
      <c r="AG47" s="19">
        <v>57</v>
      </c>
      <c r="AH47" s="19">
        <v>106</v>
      </c>
      <c r="AI47" s="19">
        <v>50</v>
      </c>
      <c r="AJ47" s="19">
        <v>95</v>
      </c>
      <c r="AK47" s="19">
        <v>134</v>
      </c>
      <c r="AL47" s="19">
        <v>86</v>
      </c>
      <c r="AM47" s="19">
        <v>96</v>
      </c>
    </row>
    <row r="48" spans="1:39" x14ac:dyDescent="0.25">
      <c r="A48" s="5">
        <v>1966</v>
      </c>
      <c r="B48" s="19">
        <v>22497.490099999999</v>
      </c>
      <c r="C48" s="19">
        <v>4122.5950999999995</v>
      </c>
      <c r="D48" s="19">
        <v>85680.4231</v>
      </c>
      <c r="E48" s="19">
        <v>9152.2837</v>
      </c>
      <c r="F48" s="19">
        <v>19273.066200000001</v>
      </c>
      <c r="G48" s="19">
        <v>1644.4176</v>
      </c>
      <c r="H48" s="19">
        <v>8113.1687000000002</v>
      </c>
      <c r="I48" s="19">
        <v>3999.5300999999999</v>
      </c>
      <c r="J48" s="19">
        <v>5398.8356999999996</v>
      </c>
      <c r="K48" s="19">
        <v>3292.7770999999998</v>
      </c>
      <c r="L48" s="19">
        <v>5013.1324999999997</v>
      </c>
      <c r="M48" s="19">
        <v>4340.7866000000004</v>
      </c>
      <c r="N48" s="19">
        <v>2414.7611000000002</v>
      </c>
      <c r="O48" s="19">
        <v>45516.682500000003</v>
      </c>
      <c r="P48" s="19">
        <v>2131.8930999999998</v>
      </c>
      <c r="Q48" s="19">
        <v>1353.9777999999999</v>
      </c>
      <c r="R48" s="19">
        <v>2230.0191</v>
      </c>
      <c r="S48" s="19">
        <v>12044.4717</v>
      </c>
      <c r="T48" s="19">
        <v>2722.8166000000001</v>
      </c>
      <c r="U48" s="19">
        <v>10021.0746</v>
      </c>
      <c r="V48" s="19">
        <v>146.0334</v>
      </c>
      <c r="W48" s="19">
        <v>235.76509999999999</v>
      </c>
      <c r="X48" s="19">
        <v>664.19370000000004</v>
      </c>
      <c r="Y48" s="19">
        <v>304.98200000000003</v>
      </c>
      <c r="Z48" s="19">
        <v>314.71499999999997</v>
      </c>
      <c r="AA48" s="19">
        <v>2535.9438</v>
      </c>
      <c r="AB48" s="19">
        <v>338.1728</v>
      </c>
      <c r="AC48" s="19">
        <v>919.59789999999998</v>
      </c>
      <c r="AD48" s="19">
        <v>40.672899999999998</v>
      </c>
      <c r="AE48" s="19">
        <v>1780.8913</v>
      </c>
      <c r="AF48" s="19">
        <v>60.16</v>
      </c>
      <c r="AG48" s="19">
        <v>57.4512</v>
      </c>
      <c r="AH48" s="19">
        <v>109.1583</v>
      </c>
      <c r="AI48" s="19">
        <v>53.04</v>
      </c>
      <c r="AJ48" s="19">
        <v>94.938699999999997</v>
      </c>
      <c r="AK48" s="19">
        <v>135.85409999999999</v>
      </c>
      <c r="AL48" s="19">
        <v>87</v>
      </c>
      <c r="AM48" s="19">
        <v>97.490300000000005</v>
      </c>
    </row>
    <row r="49" spans="1:39" x14ac:dyDescent="0.25">
      <c r="A49" s="5">
        <v>1967</v>
      </c>
      <c r="B49" s="19">
        <v>22833.495500000001</v>
      </c>
      <c r="C49" s="19">
        <v>4208.9210999999996</v>
      </c>
      <c r="D49" s="19">
        <v>88012.297699999996</v>
      </c>
      <c r="E49" s="19">
        <v>9310.8688999999995</v>
      </c>
      <c r="F49" s="19">
        <v>19828.929800000002</v>
      </c>
      <c r="G49" s="19">
        <v>1695.5078000000001</v>
      </c>
      <c r="H49" s="19">
        <v>8265.3595999999998</v>
      </c>
      <c r="I49" s="19">
        <v>4122.8937999999998</v>
      </c>
      <c r="J49" s="19">
        <v>5559.7366000000002</v>
      </c>
      <c r="K49" s="19">
        <v>3386.5524</v>
      </c>
      <c r="L49" s="19">
        <v>5160.8931000000002</v>
      </c>
      <c r="M49" s="19">
        <v>4423.9250000000002</v>
      </c>
      <c r="N49" s="19">
        <v>2486.4883</v>
      </c>
      <c r="O49" s="19">
        <v>46959.270299999996</v>
      </c>
      <c r="P49" s="19">
        <v>2197.5257999999999</v>
      </c>
      <c r="Q49" s="19">
        <v>1393.9237000000001</v>
      </c>
      <c r="R49" s="19">
        <v>2289.9146000000001</v>
      </c>
      <c r="S49" s="19">
        <v>12386.127500000001</v>
      </c>
      <c r="T49" s="19">
        <v>2751.2743</v>
      </c>
      <c r="U49" s="19">
        <v>10357.778399999999</v>
      </c>
      <c r="V49" s="19">
        <v>152.18209999999999</v>
      </c>
      <c r="W49" s="19">
        <v>236.49529999999999</v>
      </c>
      <c r="X49" s="19">
        <v>675.39890000000003</v>
      </c>
      <c r="Y49" s="19">
        <v>310.20909999999998</v>
      </c>
      <c r="Z49" s="19">
        <v>318.17290000000003</v>
      </c>
      <c r="AA49" s="19">
        <v>2559.1718999999998</v>
      </c>
      <c r="AB49" s="19">
        <v>348.48439999999999</v>
      </c>
      <c r="AC49" s="19">
        <v>925.66269999999997</v>
      </c>
      <c r="AD49" s="19">
        <v>42.488799999999998</v>
      </c>
      <c r="AE49" s="19">
        <v>1803.8333</v>
      </c>
      <c r="AF49" s="19">
        <v>61.48</v>
      </c>
      <c r="AG49" s="19">
        <v>57.857599999999998</v>
      </c>
      <c r="AH49" s="19">
        <v>112.5308</v>
      </c>
      <c r="AI49" s="19">
        <v>55.895000000000003</v>
      </c>
      <c r="AJ49" s="19">
        <v>94.775999999999996</v>
      </c>
      <c r="AK49" s="19">
        <v>137.98589999999999</v>
      </c>
      <c r="AL49" s="19">
        <v>88</v>
      </c>
      <c r="AM49" s="19">
        <v>99.145099999999999</v>
      </c>
    </row>
    <row r="50" spans="1:39" x14ac:dyDescent="0.25">
      <c r="A50" s="5">
        <v>1968</v>
      </c>
      <c r="B50" s="19">
        <v>23172.855899999999</v>
      </c>
      <c r="C50" s="19">
        <v>4297.9495999999999</v>
      </c>
      <c r="D50" s="19">
        <v>90364.860700000005</v>
      </c>
      <c r="E50" s="19">
        <v>9467.6123000000007</v>
      </c>
      <c r="F50" s="19">
        <v>20386.2605</v>
      </c>
      <c r="G50" s="19">
        <v>1746.2891</v>
      </c>
      <c r="H50" s="19">
        <v>8415.4660000000003</v>
      </c>
      <c r="I50" s="19">
        <v>4247.6926000000003</v>
      </c>
      <c r="J50" s="19">
        <v>5725.7196000000004</v>
      </c>
      <c r="K50" s="19">
        <v>3481.6390999999999</v>
      </c>
      <c r="L50" s="19">
        <v>5312.2875000000004</v>
      </c>
      <c r="M50" s="19">
        <v>4507.8702000000003</v>
      </c>
      <c r="N50" s="19">
        <v>2560.9349999999999</v>
      </c>
      <c r="O50" s="19">
        <v>48442.516799999998</v>
      </c>
      <c r="P50" s="19">
        <v>2265.1120000000001</v>
      </c>
      <c r="Q50" s="19">
        <v>1434.7809</v>
      </c>
      <c r="R50" s="19">
        <v>2351.1007</v>
      </c>
      <c r="S50" s="19">
        <v>12735.9475</v>
      </c>
      <c r="T50" s="19">
        <v>2777.3236000000002</v>
      </c>
      <c r="U50" s="19">
        <v>10700.3449</v>
      </c>
      <c r="V50" s="19">
        <v>158.21420000000001</v>
      </c>
      <c r="W50" s="19">
        <v>237.24289999999999</v>
      </c>
      <c r="X50" s="19">
        <v>685.80719999999997</v>
      </c>
      <c r="Y50" s="19">
        <v>315.14510000000001</v>
      </c>
      <c r="Z50" s="19">
        <v>321.17329999999998</v>
      </c>
      <c r="AA50" s="19">
        <v>2580.8281000000002</v>
      </c>
      <c r="AB50" s="19">
        <v>358.1096</v>
      </c>
      <c r="AC50" s="19">
        <v>931.22850000000005</v>
      </c>
      <c r="AD50" s="19">
        <v>44.368200000000002</v>
      </c>
      <c r="AE50" s="19">
        <v>1826.7295999999999</v>
      </c>
      <c r="AF50" s="19">
        <v>62.72</v>
      </c>
      <c r="AG50" s="19">
        <v>58.238399999999999</v>
      </c>
      <c r="AH50" s="19">
        <v>115.9243</v>
      </c>
      <c r="AI50" s="19">
        <v>58.73</v>
      </c>
      <c r="AJ50" s="19">
        <v>94.543999999999997</v>
      </c>
      <c r="AK50" s="19">
        <v>140.19059999999999</v>
      </c>
      <c r="AL50" s="19">
        <v>89</v>
      </c>
      <c r="AM50" s="19">
        <v>100.8549</v>
      </c>
    </row>
    <row r="51" spans="1:39" x14ac:dyDescent="0.25">
      <c r="A51" s="5">
        <v>1969</v>
      </c>
      <c r="B51" s="19">
        <v>23520.410899999999</v>
      </c>
      <c r="C51" s="19">
        <v>4389.6521000000002</v>
      </c>
      <c r="D51" s="19">
        <v>92733.349199999997</v>
      </c>
      <c r="E51" s="19">
        <v>9624.3705000000009</v>
      </c>
      <c r="F51" s="19">
        <v>20938.7274</v>
      </c>
      <c r="G51" s="19">
        <v>1796.7802999999999</v>
      </c>
      <c r="H51" s="19">
        <v>8564.3816999999999</v>
      </c>
      <c r="I51" s="19">
        <v>4373.5276000000003</v>
      </c>
      <c r="J51" s="19">
        <v>5895.8018000000002</v>
      </c>
      <c r="K51" s="19">
        <v>3577.3506000000002</v>
      </c>
      <c r="L51" s="19">
        <v>5466.3212000000003</v>
      </c>
      <c r="M51" s="19">
        <v>4592.0769</v>
      </c>
      <c r="N51" s="19">
        <v>2637.8544000000002</v>
      </c>
      <c r="O51" s="19">
        <v>49957.175600000002</v>
      </c>
      <c r="P51" s="19">
        <v>2334.8654000000001</v>
      </c>
      <c r="Q51" s="19">
        <v>1476.492</v>
      </c>
      <c r="R51" s="19">
        <v>2412.9911000000002</v>
      </c>
      <c r="S51" s="19">
        <v>13093.911700000001</v>
      </c>
      <c r="T51" s="19">
        <v>2797.9153000000001</v>
      </c>
      <c r="U51" s="19">
        <v>11047.007600000001</v>
      </c>
      <c r="V51" s="19">
        <v>163.89750000000001</v>
      </c>
      <c r="W51" s="19">
        <v>238.06039999999999</v>
      </c>
      <c r="X51" s="19">
        <v>695.61030000000005</v>
      </c>
      <c r="Y51" s="19">
        <v>319.25409999999999</v>
      </c>
      <c r="Z51" s="19">
        <v>323.51580000000001</v>
      </c>
      <c r="AA51" s="19">
        <v>2604.0562</v>
      </c>
      <c r="AB51" s="19">
        <v>365.22320000000002</v>
      </c>
      <c r="AC51" s="19">
        <v>937.32950000000005</v>
      </c>
      <c r="AD51" s="19">
        <v>46.2318</v>
      </c>
      <c r="AE51" s="19">
        <v>1850.4838999999999</v>
      </c>
      <c r="AF51" s="19">
        <v>63.64</v>
      </c>
      <c r="AG51" s="19">
        <v>58.6128</v>
      </c>
      <c r="AH51" s="19">
        <v>119.1451</v>
      </c>
      <c r="AI51" s="19">
        <v>61.71</v>
      </c>
      <c r="AJ51" s="19">
        <v>94.274699999999996</v>
      </c>
      <c r="AK51" s="19">
        <v>142.26349999999999</v>
      </c>
      <c r="AL51" s="19">
        <v>90</v>
      </c>
      <c r="AM51" s="19">
        <v>102.5097</v>
      </c>
    </row>
    <row r="52" spans="1:39" x14ac:dyDescent="0.25">
      <c r="A52" s="5">
        <v>1970</v>
      </c>
      <c r="B52" s="19">
        <v>23881</v>
      </c>
      <c r="C52" s="19">
        <v>4484</v>
      </c>
      <c r="D52" s="19">
        <v>95113</v>
      </c>
      <c r="E52" s="19">
        <v>9783</v>
      </c>
      <c r="F52" s="19">
        <v>21480</v>
      </c>
      <c r="G52" s="19">
        <v>1847</v>
      </c>
      <c r="H52" s="19">
        <v>8713</v>
      </c>
      <c r="I52" s="19">
        <v>4500</v>
      </c>
      <c r="J52" s="19">
        <v>6069</v>
      </c>
      <c r="K52" s="19">
        <v>3673</v>
      </c>
      <c r="L52" s="19">
        <v>5622</v>
      </c>
      <c r="M52" s="19">
        <v>4676</v>
      </c>
      <c r="N52" s="19">
        <v>2717</v>
      </c>
      <c r="O52" s="19">
        <v>51494</v>
      </c>
      <c r="P52" s="19">
        <v>2407</v>
      </c>
      <c r="Q52" s="19">
        <v>1519</v>
      </c>
      <c r="R52" s="19">
        <v>2475</v>
      </c>
      <c r="S52" s="19">
        <v>13460</v>
      </c>
      <c r="T52" s="19">
        <v>2810</v>
      </c>
      <c r="U52" s="19">
        <v>11396</v>
      </c>
      <c r="V52" s="19">
        <v>169</v>
      </c>
      <c r="W52" s="19">
        <v>239</v>
      </c>
      <c r="X52" s="19">
        <v>705</v>
      </c>
      <c r="Y52" s="19">
        <v>322</v>
      </c>
      <c r="Z52" s="19">
        <v>325</v>
      </c>
      <c r="AA52" s="19">
        <v>2632</v>
      </c>
      <c r="AB52" s="19">
        <v>368</v>
      </c>
      <c r="AC52" s="19">
        <v>945</v>
      </c>
      <c r="AD52" s="19">
        <v>48</v>
      </c>
      <c r="AE52" s="19">
        <v>1876</v>
      </c>
      <c r="AF52" s="19">
        <v>64</v>
      </c>
      <c r="AG52" s="19">
        <v>59</v>
      </c>
      <c r="AH52" s="19">
        <v>122</v>
      </c>
      <c r="AI52" s="19">
        <v>65</v>
      </c>
      <c r="AJ52" s="19">
        <v>94</v>
      </c>
      <c r="AK52" s="19">
        <v>144</v>
      </c>
      <c r="AL52" s="19">
        <v>91</v>
      </c>
      <c r="AM52" s="19">
        <v>104</v>
      </c>
    </row>
    <row r="53" spans="1:39" x14ac:dyDescent="0.25">
      <c r="A53" s="5">
        <v>1971</v>
      </c>
      <c r="B53" s="19">
        <v>24259.1728</v>
      </c>
      <c r="C53" s="19">
        <v>4581.5111999999999</v>
      </c>
      <c r="D53" s="19">
        <v>97489.130900000004</v>
      </c>
      <c r="E53" s="19">
        <v>9943.4809000000005</v>
      </c>
      <c r="F53" s="19">
        <v>22003.872800000001</v>
      </c>
      <c r="G53" s="19">
        <v>1896.1285</v>
      </c>
      <c r="H53" s="19">
        <v>8867.8009999999995</v>
      </c>
      <c r="I53" s="19">
        <v>4627.2797</v>
      </c>
      <c r="J53" s="19">
        <v>6246.1550999999999</v>
      </c>
      <c r="K53" s="19">
        <v>3769.5261999999998</v>
      </c>
      <c r="L53" s="19">
        <v>5779.8338999999996</v>
      </c>
      <c r="M53" s="19">
        <v>4757.8829999999998</v>
      </c>
      <c r="N53" s="19">
        <v>2798.4128000000001</v>
      </c>
      <c r="O53" s="19">
        <v>53066.2736</v>
      </c>
      <c r="P53" s="19">
        <v>2481.8946000000001</v>
      </c>
      <c r="Q53" s="19">
        <v>1562.6097</v>
      </c>
      <c r="R53" s="19">
        <v>2536.2777999999998</v>
      </c>
      <c r="S53" s="19">
        <v>13835.941699999999</v>
      </c>
      <c r="T53" s="19">
        <v>2815.4052999999999</v>
      </c>
      <c r="U53" s="19">
        <v>11745.875099999999</v>
      </c>
      <c r="V53" s="19">
        <v>173.43969999999999</v>
      </c>
      <c r="W53" s="19">
        <v>240.1729</v>
      </c>
      <c r="X53" s="19">
        <v>713.99239999999998</v>
      </c>
      <c r="Y53" s="19">
        <v>323.60050000000001</v>
      </c>
      <c r="Z53" s="19">
        <v>325.94450000000001</v>
      </c>
      <c r="AA53" s="19">
        <v>2666.9097000000002</v>
      </c>
      <c r="AB53" s="19">
        <v>367.06400000000002</v>
      </c>
      <c r="AC53" s="19">
        <v>955.26329999999996</v>
      </c>
      <c r="AD53" s="19">
        <v>49.619799999999998</v>
      </c>
      <c r="AE53" s="19">
        <v>1904.3189</v>
      </c>
      <c r="AF53" s="19">
        <v>63.927999999999997</v>
      </c>
      <c r="AG53" s="19">
        <v>59.463999999999999</v>
      </c>
      <c r="AH53" s="19">
        <v>124.4607</v>
      </c>
      <c r="AI53" s="19">
        <v>68.9101</v>
      </c>
      <c r="AJ53" s="19">
        <v>93.698099999999997</v>
      </c>
      <c r="AK53" s="19">
        <v>145.584</v>
      </c>
      <c r="AL53" s="19">
        <v>92</v>
      </c>
      <c r="AM53" s="19">
        <v>105.28230000000001</v>
      </c>
    </row>
    <row r="54" spans="1:39" x14ac:dyDescent="0.25">
      <c r="A54" s="5">
        <v>1972</v>
      </c>
      <c r="B54" s="19">
        <v>24652.4552</v>
      </c>
      <c r="C54" s="19">
        <v>4682.4204</v>
      </c>
      <c r="D54" s="19">
        <v>99865.1394</v>
      </c>
      <c r="E54" s="19">
        <v>10104.582</v>
      </c>
      <c r="F54" s="19">
        <v>22514.78</v>
      </c>
      <c r="G54" s="19">
        <v>1944.1572000000001</v>
      </c>
      <c r="H54" s="19">
        <v>9028.2019999999993</v>
      </c>
      <c r="I54" s="19">
        <v>4755.6491999999998</v>
      </c>
      <c r="J54" s="19">
        <v>6428.1511</v>
      </c>
      <c r="K54" s="19">
        <v>3867.3910999999998</v>
      </c>
      <c r="L54" s="19">
        <v>5940.5778</v>
      </c>
      <c r="M54" s="19">
        <v>4838.0897000000004</v>
      </c>
      <c r="N54" s="19">
        <v>2882.4666999999999</v>
      </c>
      <c r="O54" s="19">
        <v>54681.590600000003</v>
      </c>
      <c r="P54" s="19">
        <v>2559.6080000000002</v>
      </c>
      <c r="Q54" s="19">
        <v>1607.4041</v>
      </c>
      <c r="R54" s="19">
        <v>2597.2262000000001</v>
      </c>
      <c r="S54" s="19">
        <v>14222.2526</v>
      </c>
      <c r="T54" s="19">
        <v>2818.8380999999999</v>
      </c>
      <c r="U54" s="19">
        <v>12097.903200000001</v>
      </c>
      <c r="V54" s="19">
        <v>177.4376</v>
      </c>
      <c r="W54" s="19">
        <v>241.57679999999999</v>
      </c>
      <c r="X54" s="19">
        <v>722.52110000000005</v>
      </c>
      <c r="Y54" s="19">
        <v>324.77850000000001</v>
      </c>
      <c r="Z54" s="19">
        <v>326.76749999999998</v>
      </c>
      <c r="AA54" s="19">
        <v>2707.6296000000002</v>
      </c>
      <c r="AB54" s="19">
        <v>364.83199999999999</v>
      </c>
      <c r="AC54" s="19">
        <v>967.86990000000003</v>
      </c>
      <c r="AD54" s="19">
        <v>51.146500000000003</v>
      </c>
      <c r="AE54" s="19">
        <v>1934.999</v>
      </c>
      <c r="AF54" s="19">
        <v>63.744</v>
      </c>
      <c r="AG54" s="19">
        <v>59.991999999999997</v>
      </c>
      <c r="AH54" s="19">
        <v>126.69329999999999</v>
      </c>
      <c r="AI54" s="19">
        <v>73.370400000000004</v>
      </c>
      <c r="AJ54" s="19">
        <v>93.334400000000002</v>
      </c>
      <c r="AK54" s="19">
        <v>147.19200000000001</v>
      </c>
      <c r="AL54" s="19">
        <v>93</v>
      </c>
      <c r="AM54" s="19">
        <v>106.44110000000001</v>
      </c>
    </row>
    <row r="55" spans="1:39" x14ac:dyDescent="0.25">
      <c r="A55" s="5">
        <v>1973</v>
      </c>
      <c r="B55" s="19">
        <v>25055.1512</v>
      </c>
      <c r="C55" s="19">
        <v>4786.2739000000001</v>
      </c>
      <c r="D55" s="19">
        <v>102263.3826</v>
      </c>
      <c r="E55" s="19">
        <v>10266.3426</v>
      </c>
      <c r="F55" s="19">
        <v>23022.3508</v>
      </c>
      <c r="G55" s="19">
        <v>1992.3217</v>
      </c>
      <c r="H55" s="19">
        <v>9184.5025000000005</v>
      </c>
      <c r="I55" s="19">
        <v>4884.8788000000004</v>
      </c>
      <c r="J55" s="19">
        <v>6614.0694999999996</v>
      </c>
      <c r="K55" s="19">
        <v>3965.1929</v>
      </c>
      <c r="L55" s="19">
        <v>6103.6049000000003</v>
      </c>
      <c r="M55" s="19">
        <v>4919.2547999999997</v>
      </c>
      <c r="N55" s="19">
        <v>2969.4142000000002</v>
      </c>
      <c r="O55" s="19">
        <v>56322.1708</v>
      </c>
      <c r="P55" s="19">
        <v>2639.8741</v>
      </c>
      <c r="Q55" s="19">
        <v>1652.9937</v>
      </c>
      <c r="R55" s="19">
        <v>2659.1356999999998</v>
      </c>
      <c r="S55" s="19">
        <v>14617.092699999999</v>
      </c>
      <c r="T55" s="19">
        <v>2821.5682999999999</v>
      </c>
      <c r="U55" s="19">
        <v>12454.3938</v>
      </c>
      <c r="V55" s="19">
        <v>181.21549999999999</v>
      </c>
      <c r="W55" s="19">
        <v>243.0943</v>
      </c>
      <c r="X55" s="19">
        <v>730.65350000000001</v>
      </c>
      <c r="Y55" s="19">
        <v>325.75630000000001</v>
      </c>
      <c r="Z55" s="19">
        <v>327.41840000000002</v>
      </c>
      <c r="AA55" s="19">
        <v>2752.1945999999998</v>
      </c>
      <c r="AB55" s="19">
        <v>362.16800000000001</v>
      </c>
      <c r="AC55" s="19">
        <v>981.94489999999996</v>
      </c>
      <c r="AD55" s="19">
        <v>52.6633</v>
      </c>
      <c r="AE55" s="19">
        <v>1966.7195999999999</v>
      </c>
      <c r="AF55" s="19">
        <v>63.496000000000002</v>
      </c>
      <c r="AG55" s="19">
        <v>60.488</v>
      </c>
      <c r="AH55" s="19">
        <v>128.79560000000001</v>
      </c>
      <c r="AI55" s="19">
        <v>77.975499999999997</v>
      </c>
      <c r="AJ55" s="19">
        <v>92.921599999999998</v>
      </c>
      <c r="AK55" s="19">
        <v>148.608</v>
      </c>
      <c r="AL55" s="19">
        <v>94</v>
      </c>
      <c r="AM55" s="19">
        <v>107.55889999999999</v>
      </c>
    </row>
    <row r="56" spans="1:39" x14ac:dyDescent="0.25">
      <c r="A56" s="5">
        <v>1974</v>
      </c>
      <c r="B56" s="19">
        <v>25461.5648</v>
      </c>
      <c r="C56" s="19">
        <v>4892.6181999999999</v>
      </c>
      <c r="D56" s="19">
        <v>104706.2172</v>
      </c>
      <c r="E56" s="19">
        <v>10428.802100000001</v>
      </c>
      <c r="F56" s="19">
        <v>23536.214400000001</v>
      </c>
      <c r="G56" s="19">
        <v>2041.8574000000001</v>
      </c>
      <c r="H56" s="19">
        <v>9327.0020000000004</v>
      </c>
      <c r="I56" s="19">
        <v>5014.7389000000003</v>
      </c>
      <c r="J56" s="19">
        <v>6802.9919</v>
      </c>
      <c r="K56" s="19">
        <v>4061.5297999999998</v>
      </c>
      <c r="L56" s="19">
        <v>6268.2879000000003</v>
      </c>
      <c r="M56" s="19">
        <v>5004.0132999999996</v>
      </c>
      <c r="N56" s="19">
        <v>3059.5077999999999</v>
      </c>
      <c r="O56" s="19">
        <v>57970.233999999997</v>
      </c>
      <c r="P56" s="19">
        <v>2722.4268000000002</v>
      </c>
      <c r="Q56" s="19">
        <v>1698.9888000000001</v>
      </c>
      <c r="R56" s="19">
        <v>2723.2968000000001</v>
      </c>
      <c r="S56" s="19">
        <v>15018.621800000001</v>
      </c>
      <c r="T56" s="19">
        <v>2824.8656000000001</v>
      </c>
      <c r="U56" s="19">
        <v>12817.656199999999</v>
      </c>
      <c r="V56" s="19">
        <v>184.9956</v>
      </c>
      <c r="W56" s="19">
        <v>244.6078</v>
      </c>
      <c r="X56" s="19">
        <v>738.45730000000003</v>
      </c>
      <c r="Y56" s="19">
        <v>326.7561</v>
      </c>
      <c r="Z56" s="19">
        <v>327.84609999999998</v>
      </c>
      <c r="AA56" s="19">
        <v>2798.6397999999999</v>
      </c>
      <c r="AB56" s="19">
        <v>359.93599999999998</v>
      </c>
      <c r="AC56" s="19">
        <v>996.61329999999998</v>
      </c>
      <c r="AD56" s="19">
        <v>54.253399999999999</v>
      </c>
      <c r="AE56" s="19">
        <v>1998.1602</v>
      </c>
      <c r="AF56" s="19">
        <v>63.231999999999999</v>
      </c>
      <c r="AG56" s="19">
        <v>60.856000000000002</v>
      </c>
      <c r="AH56" s="19">
        <v>130.86519999999999</v>
      </c>
      <c r="AI56" s="19">
        <v>82.320499999999996</v>
      </c>
      <c r="AJ56" s="19">
        <v>92.472499999999997</v>
      </c>
      <c r="AK56" s="19">
        <v>149.61600000000001</v>
      </c>
      <c r="AL56" s="19">
        <v>95</v>
      </c>
      <c r="AM56" s="19">
        <v>108.71769999999999</v>
      </c>
    </row>
    <row r="57" spans="1:39" x14ac:dyDescent="0.25">
      <c r="A57" s="5">
        <v>1975</v>
      </c>
      <c r="B57" s="19">
        <v>25866</v>
      </c>
      <c r="C57" s="19">
        <v>5001</v>
      </c>
      <c r="D57" s="19">
        <v>107216</v>
      </c>
      <c r="E57" s="19">
        <v>10592</v>
      </c>
      <c r="F57" s="19">
        <v>24066</v>
      </c>
      <c r="G57" s="19">
        <v>2094</v>
      </c>
      <c r="H57" s="19">
        <v>9446</v>
      </c>
      <c r="I57" s="19">
        <v>5145</v>
      </c>
      <c r="J57" s="19">
        <v>6994</v>
      </c>
      <c r="K57" s="19">
        <v>4155</v>
      </c>
      <c r="L57" s="19">
        <v>6434</v>
      </c>
      <c r="M57" s="19">
        <v>5095</v>
      </c>
      <c r="N57" s="19">
        <v>3153</v>
      </c>
      <c r="O57" s="19">
        <v>59608</v>
      </c>
      <c r="P57" s="19">
        <v>2807</v>
      </c>
      <c r="Q57" s="19">
        <v>1745</v>
      </c>
      <c r="R57" s="19">
        <v>2791</v>
      </c>
      <c r="S57" s="19">
        <v>15425</v>
      </c>
      <c r="T57" s="19">
        <v>2830</v>
      </c>
      <c r="U57" s="19">
        <v>13190</v>
      </c>
      <c r="V57" s="19">
        <v>189</v>
      </c>
      <c r="W57" s="19">
        <v>246</v>
      </c>
      <c r="X57" s="19">
        <v>746</v>
      </c>
      <c r="Y57" s="19">
        <v>328</v>
      </c>
      <c r="Z57" s="19">
        <v>328</v>
      </c>
      <c r="AA57" s="19">
        <v>2845</v>
      </c>
      <c r="AB57" s="19">
        <v>359</v>
      </c>
      <c r="AC57" s="19">
        <v>1011</v>
      </c>
      <c r="AD57" s="19">
        <v>56</v>
      </c>
      <c r="AE57" s="19">
        <v>2028</v>
      </c>
      <c r="AF57" s="19">
        <v>63</v>
      </c>
      <c r="AG57" s="19">
        <v>61</v>
      </c>
      <c r="AH57" s="19">
        <v>133</v>
      </c>
      <c r="AI57" s="19">
        <v>86</v>
      </c>
      <c r="AJ57" s="19">
        <v>92</v>
      </c>
      <c r="AK57" s="19">
        <v>150</v>
      </c>
      <c r="AL57" s="19">
        <v>96</v>
      </c>
      <c r="AM57" s="19">
        <v>110</v>
      </c>
    </row>
    <row r="58" spans="1:39" x14ac:dyDescent="0.25">
      <c r="A58" s="5">
        <v>1976</v>
      </c>
      <c r="B58" s="19">
        <v>26264.919399999999</v>
      </c>
      <c r="C58" s="19">
        <v>5112.2929999999997</v>
      </c>
      <c r="D58" s="19">
        <v>109801.9304</v>
      </c>
      <c r="E58" s="19">
        <v>10756.0605</v>
      </c>
      <c r="F58" s="19">
        <v>24613.0177</v>
      </c>
      <c r="G58" s="19">
        <v>2149.0297</v>
      </c>
      <c r="H58" s="19">
        <v>9544.6308000000008</v>
      </c>
      <c r="I58" s="19">
        <v>5275.8783999999996</v>
      </c>
      <c r="J58" s="19">
        <v>7187.0965999999999</v>
      </c>
      <c r="K58" s="19">
        <v>4246.6022000000003</v>
      </c>
      <c r="L58" s="19">
        <v>6599.7546000000002</v>
      </c>
      <c r="M58" s="19">
        <v>5193.1812</v>
      </c>
      <c r="N58" s="19">
        <v>3250.6147999999998</v>
      </c>
      <c r="O58" s="19">
        <v>61234.998699999996</v>
      </c>
      <c r="P58" s="19">
        <v>2894.6219999999998</v>
      </c>
      <c r="Q58" s="19">
        <v>1791.0192999999999</v>
      </c>
      <c r="R58" s="19">
        <v>2862.4346</v>
      </c>
      <c r="S58" s="19">
        <v>15837.503500000001</v>
      </c>
      <c r="T58" s="19">
        <v>2840.0853999999999</v>
      </c>
      <c r="U58" s="19">
        <v>13572.971100000001</v>
      </c>
      <c r="V58" s="19">
        <v>193.2353</v>
      </c>
      <c r="W58" s="19">
        <v>247.29750000000001</v>
      </c>
      <c r="X58" s="19">
        <v>754.29420000000005</v>
      </c>
      <c r="Y58" s="19">
        <v>329.62720000000002</v>
      </c>
      <c r="Z58" s="19">
        <v>327.68799999999999</v>
      </c>
      <c r="AA58" s="19">
        <v>2893.3298</v>
      </c>
      <c r="AB58" s="19">
        <v>359.04640000000001</v>
      </c>
      <c r="AC58" s="19">
        <v>1025.0949000000001</v>
      </c>
      <c r="AD58" s="19">
        <v>57.883800000000001</v>
      </c>
      <c r="AE58" s="19">
        <v>2055.4906000000001</v>
      </c>
      <c r="AF58" s="19">
        <v>62.768000000000001</v>
      </c>
      <c r="AG58" s="19">
        <v>60.896000000000001</v>
      </c>
      <c r="AH58" s="19">
        <v>135.09</v>
      </c>
      <c r="AI58" s="19">
        <v>89.144800000000004</v>
      </c>
      <c r="AJ58" s="19">
        <v>91.380799999999994</v>
      </c>
      <c r="AK58" s="19">
        <v>149.792</v>
      </c>
      <c r="AL58" s="19">
        <v>97.017799999999994</v>
      </c>
      <c r="AM58" s="19">
        <v>111.4537</v>
      </c>
    </row>
    <row r="59" spans="1:39" x14ac:dyDescent="0.25">
      <c r="A59" s="5">
        <v>1977</v>
      </c>
      <c r="B59" s="19">
        <v>26662.141299999999</v>
      </c>
      <c r="C59" s="19">
        <v>5226.9398000000001</v>
      </c>
      <c r="D59" s="19">
        <v>112452.06020000001</v>
      </c>
      <c r="E59" s="19">
        <v>10920.965200000001</v>
      </c>
      <c r="F59" s="19">
        <v>25171.305499999999</v>
      </c>
      <c r="G59" s="19">
        <v>2206.2997999999998</v>
      </c>
      <c r="H59" s="19">
        <v>9633.1959000000006</v>
      </c>
      <c r="I59" s="19">
        <v>5407.5331999999999</v>
      </c>
      <c r="J59" s="19">
        <v>7382.9960000000001</v>
      </c>
      <c r="K59" s="19">
        <v>4337.3631999999998</v>
      </c>
      <c r="L59" s="19">
        <v>6766.0027</v>
      </c>
      <c r="M59" s="19">
        <v>5297.4888000000001</v>
      </c>
      <c r="N59" s="19">
        <v>3352.5133999999998</v>
      </c>
      <c r="O59" s="19">
        <v>62863.087200000002</v>
      </c>
      <c r="P59" s="19">
        <v>2985.6324</v>
      </c>
      <c r="Q59" s="19">
        <v>1837.3108</v>
      </c>
      <c r="R59" s="19">
        <v>2937.0585999999998</v>
      </c>
      <c r="S59" s="19">
        <v>16257.6032</v>
      </c>
      <c r="T59" s="19">
        <v>2855.8847999999998</v>
      </c>
      <c r="U59" s="19">
        <v>13965.4481</v>
      </c>
      <c r="V59" s="19">
        <v>197.5573</v>
      </c>
      <c r="W59" s="19">
        <v>248.58170000000001</v>
      </c>
      <c r="X59" s="19">
        <v>763.32100000000003</v>
      </c>
      <c r="Y59" s="19">
        <v>331.5136</v>
      </c>
      <c r="Z59" s="19">
        <v>326.94400000000002</v>
      </c>
      <c r="AA59" s="19">
        <v>2945.0340000000001</v>
      </c>
      <c r="AB59" s="19">
        <v>359.17919999999998</v>
      </c>
      <c r="AC59" s="19">
        <v>1039.4996000000001</v>
      </c>
      <c r="AD59" s="19">
        <v>59.868299999999998</v>
      </c>
      <c r="AE59" s="19">
        <v>2081.5524999999998</v>
      </c>
      <c r="AF59" s="19">
        <v>62.503999999999998</v>
      </c>
      <c r="AG59" s="19">
        <v>60.648000000000003</v>
      </c>
      <c r="AH59" s="19">
        <v>137.07</v>
      </c>
      <c r="AI59" s="19">
        <v>92.100300000000004</v>
      </c>
      <c r="AJ59" s="19">
        <v>90.598399999999998</v>
      </c>
      <c r="AK59" s="19">
        <v>149.29599999999999</v>
      </c>
      <c r="AL59" s="19">
        <v>98.053299999999993</v>
      </c>
      <c r="AM59" s="19">
        <v>113.0354</v>
      </c>
    </row>
    <row r="60" spans="1:39" x14ac:dyDescent="0.25">
      <c r="A60" s="5">
        <v>1978</v>
      </c>
      <c r="B60" s="19">
        <v>27063.0036</v>
      </c>
      <c r="C60" s="19">
        <v>5343.8401000000003</v>
      </c>
      <c r="D60" s="19">
        <v>115157.02469999999</v>
      </c>
      <c r="E60" s="19">
        <v>11086.539699999999</v>
      </c>
      <c r="F60" s="19">
        <v>25739.584599999998</v>
      </c>
      <c r="G60" s="19">
        <v>2265.6550000000002</v>
      </c>
      <c r="H60" s="19">
        <v>9712.7455000000009</v>
      </c>
      <c r="I60" s="19">
        <v>5539.6487999999999</v>
      </c>
      <c r="J60" s="19">
        <v>7581.8472000000002</v>
      </c>
      <c r="K60" s="19">
        <v>4425.9231</v>
      </c>
      <c r="L60" s="19">
        <v>6934.2734</v>
      </c>
      <c r="M60" s="19">
        <v>5407.5056999999997</v>
      </c>
      <c r="N60" s="19">
        <v>3458.1046999999999</v>
      </c>
      <c r="O60" s="19">
        <v>64492.9764</v>
      </c>
      <c r="P60" s="19">
        <v>3078.7318</v>
      </c>
      <c r="Q60" s="19">
        <v>1883.8925999999999</v>
      </c>
      <c r="R60" s="19">
        <v>3015.0652</v>
      </c>
      <c r="S60" s="19">
        <v>16683.751199999999</v>
      </c>
      <c r="T60" s="19">
        <v>2875.1415000000002</v>
      </c>
      <c r="U60" s="19">
        <v>14365.739600000001</v>
      </c>
      <c r="V60" s="19">
        <v>201.96170000000001</v>
      </c>
      <c r="W60" s="19">
        <v>249.81710000000001</v>
      </c>
      <c r="X60" s="19">
        <v>771.60059999999999</v>
      </c>
      <c r="Y60" s="19">
        <v>333.4864</v>
      </c>
      <c r="Z60" s="19">
        <v>326.05599999999998</v>
      </c>
      <c r="AA60" s="19">
        <v>2997.1734000000001</v>
      </c>
      <c r="AB60" s="19">
        <v>359.3888</v>
      </c>
      <c r="AC60" s="19">
        <v>1054.2568000000001</v>
      </c>
      <c r="AD60" s="19">
        <v>62.010899999999999</v>
      </c>
      <c r="AE60" s="19">
        <v>2107.3692000000001</v>
      </c>
      <c r="AF60" s="19">
        <v>62.256</v>
      </c>
      <c r="AG60" s="19">
        <v>60.351999999999997</v>
      </c>
      <c r="AH60" s="19">
        <v>139.10499999999999</v>
      </c>
      <c r="AI60" s="19">
        <v>94.783299999999997</v>
      </c>
      <c r="AJ60" s="19">
        <v>89.825599999999994</v>
      </c>
      <c r="AK60" s="19">
        <v>148.70400000000001</v>
      </c>
      <c r="AL60" s="19">
        <v>99.08</v>
      </c>
      <c r="AM60" s="19">
        <v>114.69029999999999</v>
      </c>
    </row>
    <row r="61" spans="1:39" x14ac:dyDescent="0.25">
      <c r="A61" s="5">
        <v>1979</v>
      </c>
      <c r="B61" s="19">
        <v>27472.8439</v>
      </c>
      <c r="C61" s="19">
        <v>5461.8936000000003</v>
      </c>
      <c r="D61" s="19">
        <v>117907.4595</v>
      </c>
      <c r="E61" s="19">
        <v>11252.6095</v>
      </c>
      <c r="F61" s="19">
        <v>26316.575700000001</v>
      </c>
      <c r="G61" s="19">
        <v>2326.9400999999998</v>
      </c>
      <c r="H61" s="19">
        <v>9784.3300999999992</v>
      </c>
      <c r="I61" s="19">
        <v>5671.9096</v>
      </c>
      <c r="J61" s="19">
        <v>7783.7988999999998</v>
      </c>
      <c r="K61" s="19">
        <v>4510.9219999999996</v>
      </c>
      <c r="L61" s="19">
        <v>7106.0962</v>
      </c>
      <c r="M61" s="19">
        <v>5522.8150999999998</v>
      </c>
      <c r="N61" s="19">
        <v>3566.7973000000002</v>
      </c>
      <c r="O61" s="19">
        <v>66125.377099999998</v>
      </c>
      <c r="P61" s="19">
        <v>3172.6208000000001</v>
      </c>
      <c r="Q61" s="19">
        <v>1930.7828999999999</v>
      </c>
      <c r="R61" s="19">
        <v>3096.6478999999999</v>
      </c>
      <c r="S61" s="19">
        <v>17114.399399999998</v>
      </c>
      <c r="T61" s="19">
        <v>2895.5988000000002</v>
      </c>
      <c r="U61" s="19">
        <v>14772.154</v>
      </c>
      <c r="V61" s="19">
        <v>206.44399999999999</v>
      </c>
      <c r="W61" s="19">
        <v>250.9684</v>
      </c>
      <c r="X61" s="19">
        <v>777.65350000000001</v>
      </c>
      <c r="Y61" s="19">
        <v>335.37279999999998</v>
      </c>
      <c r="Z61" s="19">
        <v>325.31200000000001</v>
      </c>
      <c r="AA61" s="19">
        <v>3046.8085000000001</v>
      </c>
      <c r="AB61" s="19">
        <v>359.66559999999998</v>
      </c>
      <c r="AC61" s="19">
        <v>1069.4094</v>
      </c>
      <c r="AD61" s="19">
        <v>64.369</v>
      </c>
      <c r="AE61" s="19">
        <v>2134.1239</v>
      </c>
      <c r="AF61" s="19">
        <v>62.072000000000003</v>
      </c>
      <c r="AG61" s="19">
        <v>60.103999999999999</v>
      </c>
      <c r="AH61" s="19">
        <v>141.36000000000001</v>
      </c>
      <c r="AI61" s="19">
        <v>97.110900000000001</v>
      </c>
      <c r="AJ61" s="19">
        <v>89.235200000000006</v>
      </c>
      <c r="AK61" s="19">
        <v>148.208</v>
      </c>
      <c r="AL61" s="19">
        <v>100.0711</v>
      </c>
      <c r="AM61" s="19">
        <v>116.3634</v>
      </c>
    </row>
    <row r="62" spans="1:39" x14ac:dyDescent="0.25">
      <c r="A62" s="5">
        <v>1980</v>
      </c>
      <c r="B62" s="19">
        <v>27897</v>
      </c>
      <c r="C62" s="19">
        <v>5580</v>
      </c>
      <c r="D62" s="19">
        <v>120694</v>
      </c>
      <c r="E62" s="19">
        <v>11419</v>
      </c>
      <c r="F62" s="19">
        <v>26901</v>
      </c>
      <c r="G62" s="19">
        <v>2390</v>
      </c>
      <c r="H62" s="19">
        <v>9849</v>
      </c>
      <c r="I62" s="19">
        <v>5804</v>
      </c>
      <c r="J62" s="19">
        <v>7989</v>
      </c>
      <c r="K62" s="19">
        <v>4591</v>
      </c>
      <c r="L62" s="19">
        <v>7283</v>
      </c>
      <c r="M62" s="19">
        <v>5643</v>
      </c>
      <c r="N62" s="19">
        <v>3678</v>
      </c>
      <c r="O62" s="19">
        <v>67761</v>
      </c>
      <c r="P62" s="19">
        <v>3266</v>
      </c>
      <c r="Q62" s="19">
        <v>1978</v>
      </c>
      <c r="R62" s="19">
        <v>3182</v>
      </c>
      <c r="S62" s="19">
        <v>17548</v>
      </c>
      <c r="T62" s="19">
        <v>2915</v>
      </c>
      <c r="U62" s="19">
        <v>15183</v>
      </c>
      <c r="V62" s="19">
        <v>211</v>
      </c>
      <c r="W62" s="19">
        <v>252</v>
      </c>
      <c r="X62" s="19">
        <v>780</v>
      </c>
      <c r="Y62" s="19">
        <v>337</v>
      </c>
      <c r="Z62" s="19">
        <v>325</v>
      </c>
      <c r="AA62" s="19">
        <v>3091</v>
      </c>
      <c r="AB62" s="19">
        <v>360</v>
      </c>
      <c r="AC62" s="19">
        <v>1085</v>
      </c>
      <c r="AD62" s="19">
        <v>67</v>
      </c>
      <c r="AE62" s="19">
        <v>2163</v>
      </c>
      <c r="AF62" s="19">
        <v>62</v>
      </c>
      <c r="AG62" s="19">
        <v>60</v>
      </c>
      <c r="AH62" s="19">
        <v>144</v>
      </c>
      <c r="AI62" s="19">
        <v>99</v>
      </c>
      <c r="AJ62" s="19">
        <v>89</v>
      </c>
      <c r="AK62" s="19">
        <v>148</v>
      </c>
      <c r="AL62" s="19">
        <v>101</v>
      </c>
      <c r="AM62" s="19">
        <v>118</v>
      </c>
    </row>
    <row r="63" spans="1:39" x14ac:dyDescent="0.25">
      <c r="A63" s="5">
        <v>1981</v>
      </c>
      <c r="B63" s="19">
        <v>28339.827600000001</v>
      </c>
      <c r="C63" s="19">
        <v>5697.2004999999999</v>
      </c>
      <c r="D63" s="19">
        <v>123550.7273</v>
      </c>
      <c r="E63" s="19">
        <v>11583.2907</v>
      </c>
      <c r="F63" s="19">
        <v>27495.132099999999</v>
      </c>
      <c r="G63" s="19">
        <v>2455.3440000000001</v>
      </c>
      <c r="H63" s="19">
        <v>9903.6648999999998</v>
      </c>
      <c r="I63" s="19">
        <v>5935.7929000000004</v>
      </c>
      <c r="J63" s="19">
        <v>8197.5915999999997</v>
      </c>
      <c r="K63" s="19">
        <v>4665.5091000000002</v>
      </c>
      <c r="L63" s="19">
        <v>7466.0388999999996</v>
      </c>
      <c r="M63" s="19">
        <v>5771.2461999999996</v>
      </c>
      <c r="N63" s="19">
        <v>3792.19</v>
      </c>
      <c r="O63" s="19">
        <v>69405.225300000006</v>
      </c>
      <c r="P63" s="19">
        <v>3359.4971999999998</v>
      </c>
      <c r="Q63" s="19">
        <v>2025.5073</v>
      </c>
      <c r="R63" s="19">
        <v>3272.636</v>
      </c>
      <c r="S63" s="19">
        <v>17985.169699999999</v>
      </c>
      <c r="T63" s="19">
        <v>2933.5654</v>
      </c>
      <c r="U63" s="19">
        <v>15598.157999999999</v>
      </c>
      <c r="V63" s="19">
        <v>215.7176</v>
      </c>
      <c r="W63" s="19">
        <v>252.88820000000001</v>
      </c>
      <c r="X63" s="19">
        <v>779.42700000000002</v>
      </c>
      <c r="Y63" s="19">
        <v>338.20589999999999</v>
      </c>
      <c r="Z63" s="19">
        <v>326.03640000000001</v>
      </c>
      <c r="AA63" s="19">
        <v>3129.8620999999998</v>
      </c>
      <c r="AB63" s="19">
        <v>360.7056</v>
      </c>
      <c r="AC63" s="19">
        <v>1101.9273000000001</v>
      </c>
      <c r="AD63" s="19">
        <v>70.015000000000001</v>
      </c>
      <c r="AE63" s="19">
        <v>2196.7851000000001</v>
      </c>
      <c r="AF63" s="19">
        <v>62</v>
      </c>
      <c r="AG63" s="19">
        <v>60.311999999999998</v>
      </c>
      <c r="AH63" s="19">
        <v>147.3295</v>
      </c>
      <c r="AI63" s="19">
        <v>100.67489999999999</v>
      </c>
      <c r="AJ63" s="19">
        <v>90.144000000000005</v>
      </c>
      <c r="AK63" s="19">
        <v>148.208</v>
      </c>
      <c r="AL63" s="19">
        <v>101.89960000000001</v>
      </c>
      <c r="AM63" s="19">
        <v>119.5488</v>
      </c>
    </row>
    <row r="64" spans="1:39" x14ac:dyDescent="0.25">
      <c r="A64" s="5">
        <v>1982</v>
      </c>
      <c r="B64" s="19">
        <v>28798.530900000002</v>
      </c>
      <c r="C64" s="19">
        <v>5814.2422999999999</v>
      </c>
      <c r="D64" s="19">
        <v>126485.61569999999</v>
      </c>
      <c r="E64" s="19">
        <v>11745.600700000001</v>
      </c>
      <c r="F64" s="19">
        <v>28100.138999999999</v>
      </c>
      <c r="G64" s="19">
        <v>2523.2374</v>
      </c>
      <c r="H64" s="19">
        <v>9949.0797999999995</v>
      </c>
      <c r="I64" s="19">
        <v>6067.4988999999996</v>
      </c>
      <c r="J64" s="19">
        <v>8409.6041000000005</v>
      </c>
      <c r="K64" s="19">
        <v>4735.7701999999999</v>
      </c>
      <c r="L64" s="19">
        <v>7654.4517999999998</v>
      </c>
      <c r="M64" s="19">
        <v>5908.518</v>
      </c>
      <c r="N64" s="19">
        <v>3909.9771000000001</v>
      </c>
      <c r="O64" s="19">
        <v>71057.590700000001</v>
      </c>
      <c r="P64" s="19">
        <v>3453.9821999999999</v>
      </c>
      <c r="Q64" s="19">
        <v>2073.2981</v>
      </c>
      <c r="R64" s="19">
        <v>3368.9063999999998</v>
      </c>
      <c r="S64" s="19">
        <v>18427.0363</v>
      </c>
      <c r="T64" s="19">
        <v>2952.8312999999998</v>
      </c>
      <c r="U64" s="19">
        <v>16018.9566</v>
      </c>
      <c r="V64" s="19">
        <v>220.60329999999999</v>
      </c>
      <c r="W64" s="19">
        <v>253.67250000000001</v>
      </c>
      <c r="X64" s="19">
        <v>777.88109999999995</v>
      </c>
      <c r="Y64" s="19">
        <v>339.12970000000001</v>
      </c>
      <c r="Z64" s="19">
        <v>328.70909999999998</v>
      </c>
      <c r="AA64" s="19">
        <v>3165.8782999999999</v>
      </c>
      <c r="AB64" s="19">
        <v>362.04480000000001</v>
      </c>
      <c r="AC64" s="19">
        <v>1120.1931999999999</v>
      </c>
      <c r="AD64" s="19">
        <v>73.460899999999995</v>
      </c>
      <c r="AE64" s="19">
        <v>2234.8779</v>
      </c>
      <c r="AF64" s="19">
        <v>62</v>
      </c>
      <c r="AG64" s="19">
        <v>61.055999999999997</v>
      </c>
      <c r="AH64" s="19">
        <v>151.36340000000001</v>
      </c>
      <c r="AI64" s="19">
        <v>102.29430000000001</v>
      </c>
      <c r="AJ64" s="19">
        <v>92.872</v>
      </c>
      <c r="AK64" s="19">
        <v>148.70400000000001</v>
      </c>
      <c r="AL64" s="19">
        <v>102.792</v>
      </c>
      <c r="AM64" s="19">
        <v>121.04640000000001</v>
      </c>
    </row>
    <row r="65" spans="1:39" x14ac:dyDescent="0.25">
      <c r="A65" s="5">
        <v>1983</v>
      </c>
      <c r="B65" s="19">
        <v>29267.720300000001</v>
      </c>
      <c r="C65" s="19">
        <v>5932.5838000000003</v>
      </c>
      <c r="D65" s="19">
        <v>129450.1404</v>
      </c>
      <c r="E65" s="19">
        <v>11909.565399999999</v>
      </c>
      <c r="F65" s="19">
        <v>28713.0798</v>
      </c>
      <c r="G65" s="19">
        <v>2593.1588000000002</v>
      </c>
      <c r="H65" s="19">
        <v>9992.0620999999992</v>
      </c>
      <c r="I65" s="19">
        <v>6199.3083999999999</v>
      </c>
      <c r="J65" s="19">
        <v>8625.0208999999995</v>
      </c>
      <c r="K65" s="19">
        <v>4803.3766999999998</v>
      </c>
      <c r="L65" s="19">
        <v>7847.0451000000003</v>
      </c>
      <c r="M65" s="19">
        <v>6051.0667000000003</v>
      </c>
      <c r="N65" s="19">
        <v>4030.9693000000002</v>
      </c>
      <c r="O65" s="19">
        <v>72710.0435</v>
      </c>
      <c r="P65" s="19">
        <v>3548.5185999999999</v>
      </c>
      <c r="Q65" s="19">
        <v>2121.4351999999999</v>
      </c>
      <c r="R65" s="19">
        <v>3469.2588999999998</v>
      </c>
      <c r="S65" s="19">
        <v>18872.817999999999</v>
      </c>
      <c r="T65" s="19">
        <v>2972.5144</v>
      </c>
      <c r="U65" s="19">
        <v>16445.876199999999</v>
      </c>
      <c r="V65" s="19">
        <v>225.53020000000001</v>
      </c>
      <c r="W65" s="19">
        <v>254.4128</v>
      </c>
      <c r="X65" s="19">
        <v>775.62159999999994</v>
      </c>
      <c r="Y65" s="19">
        <v>340.05059999999997</v>
      </c>
      <c r="Z65" s="19">
        <v>332.36360000000002</v>
      </c>
      <c r="AA65" s="19">
        <v>3199.6635000000001</v>
      </c>
      <c r="AB65" s="19">
        <v>363.93119999999999</v>
      </c>
      <c r="AC65" s="19">
        <v>1138.4955</v>
      </c>
      <c r="AD65" s="19">
        <v>77.299400000000006</v>
      </c>
      <c r="AE65" s="19">
        <v>2273.3780999999999</v>
      </c>
      <c r="AF65" s="19">
        <v>62</v>
      </c>
      <c r="AG65" s="19">
        <v>61.944000000000003</v>
      </c>
      <c r="AH65" s="19">
        <v>155.83250000000001</v>
      </c>
      <c r="AI65" s="19">
        <v>103.67619999999999</v>
      </c>
      <c r="AJ65" s="19">
        <v>96.128</v>
      </c>
      <c r="AK65" s="19">
        <v>149.29599999999999</v>
      </c>
      <c r="AL65" s="19">
        <v>103.6347</v>
      </c>
      <c r="AM65" s="19">
        <v>122.56959999999999</v>
      </c>
    </row>
    <row r="66" spans="1:39" x14ac:dyDescent="0.25">
      <c r="A66" s="5">
        <v>1984</v>
      </c>
      <c r="B66" s="19">
        <v>29742.006600000001</v>
      </c>
      <c r="C66" s="19">
        <v>6053.6835000000001</v>
      </c>
      <c r="D66" s="19">
        <v>132395.77669999999</v>
      </c>
      <c r="E66" s="19">
        <v>12078.820100000001</v>
      </c>
      <c r="F66" s="19">
        <v>29331.0137</v>
      </c>
      <c r="G66" s="19">
        <v>2664.5868</v>
      </c>
      <c r="H66" s="19">
        <v>10039.429599999999</v>
      </c>
      <c r="I66" s="19">
        <v>6331.4119000000001</v>
      </c>
      <c r="J66" s="19">
        <v>8843.8251</v>
      </c>
      <c r="K66" s="19">
        <v>4869.9222</v>
      </c>
      <c r="L66" s="19">
        <v>8042.6256999999996</v>
      </c>
      <c r="M66" s="19">
        <v>6195.1436000000003</v>
      </c>
      <c r="N66" s="19">
        <v>4154.7743</v>
      </c>
      <c r="O66" s="19">
        <v>74354.530799999993</v>
      </c>
      <c r="P66" s="19">
        <v>3642.1698999999999</v>
      </c>
      <c r="Q66" s="19">
        <v>2169.9814999999999</v>
      </c>
      <c r="R66" s="19">
        <v>3572.1408999999999</v>
      </c>
      <c r="S66" s="19">
        <v>19321.733100000001</v>
      </c>
      <c r="T66" s="19">
        <v>2992.3317000000002</v>
      </c>
      <c r="U66" s="19">
        <v>16879.397199999999</v>
      </c>
      <c r="V66" s="19">
        <v>230.37139999999999</v>
      </c>
      <c r="W66" s="19">
        <v>255.1687</v>
      </c>
      <c r="X66" s="19">
        <v>772.90809999999999</v>
      </c>
      <c r="Y66" s="19">
        <v>341.24759999999998</v>
      </c>
      <c r="Z66" s="19">
        <v>336.34550000000002</v>
      </c>
      <c r="AA66" s="19">
        <v>3231.8323999999998</v>
      </c>
      <c r="AB66" s="19">
        <v>366.27839999999998</v>
      </c>
      <c r="AC66" s="19">
        <v>1155.5318</v>
      </c>
      <c r="AD66" s="19">
        <v>81.491900000000001</v>
      </c>
      <c r="AE66" s="19">
        <v>2308.3854999999999</v>
      </c>
      <c r="AF66" s="19">
        <v>62</v>
      </c>
      <c r="AG66" s="19">
        <v>62.688000000000002</v>
      </c>
      <c r="AH66" s="19">
        <v>160.46780000000001</v>
      </c>
      <c r="AI66" s="19">
        <v>104.6387</v>
      </c>
      <c r="AJ66" s="19">
        <v>98.855999999999995</v>
      </c>
      <c r="AK66" s="19">
        <v>149.792</v>
      </c>
      <c r="AL66" s="19">
        <v>104.3849</v>
      </c>
      <c r="AM66" s="19">
        <v>124.1952</v>
      </c>
    </row>
    <row r="67" spans="1:39" x14ac:dyDescent="0.25">
      <c r="A67" s="5">
        <v>1985</v>
      </c>
      <c r="B67" s="19">
        <v>30216</v>
      </c>
      <c r="C67" s="19">
        <v>6179</v>
      </c>
      <c r="D67" s="19">
        <v>135274</v>
      </c>
      <c r="E67" s="19">
        <v>12257</v>
      </c>
      <c r="F67" s="19">
        <v>29951</v>
      </c>
      <c r="G67" s="19">
        <v>2737</v>
      </c>
      <c r="H67" s="19">
        <v>10098</v>
      </c>
      <c r="I67" s="19">
        <v>6464</v>
      </c>
      <c r="J67" s="19">
        <v>9066</v>
      </c>
      <c r="K67" s="19">
        <v>4937</v>
      </c>
      <c r="L67" s="19">
        <v>8240</v>
      </c>
      <c r="M67" s="19">
        <v>6337</v>
      </c>
      <c r="N67" s="19">
        <v>4281</v>
      </c>
      <c r="O67" s="19">
        <v>75983</v>
      </c>
      <c r="P67" s="19">
        <v>3734</v>
      </c>
      <c r="Q67" s="19">
        <v>2219</v>
      </c>
      <c r="R67" s="19">
        <v>3676</v>
      </c>
      <c r="S67" s="19">
        <v>19773</v>
      </c>
      <c r="T67" s="19">
        <v>3012</v>
      </c>
      <c r="U67" s="19">
        <v>17320</v>
      </c>
      <c r="V67" s="19">
        <v>235</v>
      </c>
      <c r="W67" s="19">
        <v>256</v>
      </c>
      <c r="X67" s="19">
        <v>770</v>
      </c>
      <c r="Y67" s="19">
        <v>343</v>
      </c>
      <c r="Z67" s="19">
        <v>340</v>
      </c>
      <c r="AA67" s="19">
        <v>3263</v>
      </c>
      <c r="AB67" s="19">
        <v>369</v>
      </c>
      <c r="AC67" s="19">
        <v>1170</v>
      </c>
      <c r="AD67" s="19">
        <v>86</v>
      </c>
      <c r="AE67" s="19">
        <v>2336</v>
      </c>
      <c r="AF67" s="19">
        <v>62</v>
      </c>
      <c r="AG67" s="19">
        <v>63</v>
      </c>
      <c r="AH67" s="19">
        <v>165</v>
      </c>
      <c r="AI67" s="19">
        <v>105</v>
      </c>
      <c r="AJ67" s="19">
        <v>100</v>
      </c>
      <c r="AK67" s="19">
        <v>150</v>
      </c>
      <c r="AL67" s="19">
        <v>105</v>
      </c>
      <c r="AM67" s="19">
        <v>126</v>
      </c>
    </row>
    <row r="68" spans="1:39" x14ac:dyDescent="0.25">
      <c r="A68" s="5">
        <v>1986</v>
      </c>
      <c r="B68" s="19">
        <v>30694.3629</v>
      </c>
      <c r="C68" s="19">
        <v>6309.1749</v>
      </c>
      <c r="D68" s="19">
        <v>138084.32199999999</v>
      </c>
      <c r="E68" s="19">
        <v>12446.6131</v>
      </c>
      <c r="F68" s="19">
        <v>30572.176800000001</v>
      </c>
      <c r="G68" s="19">
        <v>2810.3724999999999</v>
      </c>
      <c r="H68" s="19">
        <v>10180.6566</v>
      </c>
      <c r="I68" s="19">
        <v>6596.9515000000001</v>
      </c>
      <c r="J68" s="19">
        <v>9292.2263000000003</v>
      </c>
      <c r="K68" s="19">
        <v>5004.0156999999999</v>
      </c>
      <c r="L68" s="19">
        <v>8438.5532000000003</v>
      </c>
      <c r="M68" s="19">
        <v>6476.6541999999999</v>
      </c>
      <c r="N68" s="19">
        <v>4409.7951000000003</v>
      </c>
      <c r="O68" s="19">
        <v>77595.395300000004</v>
      </c>
      <c r="P68" s="19">
        <v>3822.9845</v>
      </c>
      <c r="Q68" s="19">
        <v>2268.4171999999999</v>
      </c>
      <c r="R68" s="19">
        <v>3781.7240000000002</v>
      </c>
      <c r="S68" s="19">
        <v>20228.9899</v>
      </c>
      <c r="T68" s="19">
        <v>3031.299</v>
      </c>
      <c r="U68" s="19">
        <v>17771.131300000001</v>
      </c>
      <c r="V68" s="19">
        <v>239.33439999999999</v>
      </c>
      <c r="W68" s="19">
        <v>256.9289</v>
      </c>
      <c r="X68" s="19">
        <v>765.32389999999998</v>
      </c>
      <c r="Y68" s="19">
        <v>348.41879999999998</v>
      </c>
      <c r="Z68" s="19">
        <v>343.52960000000002</v>
      </c>
      <c r="AA68" s="19">
        <v>3292.4706999999999</v>
      </c>
      <c r="AB68" s="19">
        <v>373.4194</v>
      </c>
      <c r="AC68" s="19">
        <v>1182.1817000000001</v>
      </c>
      <c r="AD68" s="19">
        <v>91.307400000000001</v>
      </c>
      <c r="AE68" s="19">
        <v>2356.1161999999999</v>
      </c>
      <c r="AF68" s="19">
        <v>62.049100000000003</v>
      </c>
      <c r="AG68" s="19">
        <v>62.896000000000001</v>
      </c>
      <c r="AH68" s="19">
        <v>169.53630000000001</v>
      </c>
      <c r="AI68" s="19">
        <v>104.896</v>
      </c>
      <c r="AJ68" s="19">
        <v>99.584000000000003</v>
      </c>
      <c r="AK68" s="19">
        <v>149.78399999999999</v>
      </c>
      <c r="AL68" s="19">
        <v>105.5067</v>
      </c>
      <c r="AM68" s="19">
        <v>128.14769999999999</v>
      </c>
    </row>
    <row r="69" spans="1:39" x14ac:dyDescent="0.25">
      <c r="A69" s="5">
        <v>1987</v>
      </c>
      <c r="B69" s="19">
        <v>31180.748100000001</v>
      </c>
      <c r="C69" s="19">
        <v>6443.4715999999999</v>
      </c>
      <c r="D69" s="19">
        <v>140860.1159</v>
      </c>
      <c r="E69" s="19">
        <v>12645.9341</v>
      </c>
      <c r="F69" s="19">
        <v>31196.5717</v>
      </c>
      <c r="G69" s="19">
        <v>2885.1192000000001</v>
      </c>
      <c r="H69" s="19">
        <v>10286.1967</v>
      </c>
      <c r="I69" s="19">
        <v>6730.1418000000003</v>
      </c>
      <c r="J69" s="19">
        <v>9522.6532000000007</v>
      </c>
      <c r="K69" s="19">
        <v>5069.9170000000004</v>
      </c>
      <c r="L69" s="19">
        <v>8639.1717000000008</v>
      </c>
      <c r="M69" s="19">
        <v>6616.6067000000003</v>
      </c>
      <c r="N69" s="19">
        <v>4541.5789000000004</v>
      </c>
      <c r="O69" s="19">
        <v>79197.2549</v>
      </c>
      <c r="P69" s="19">
        <v>3909.7849000000001</v>
      </c>
      <c r="Q69" s="19">
        <v>2318.201</v>
      </c>
      <c r="R69" s="19">
        <v>3890.4558999999999</v>
      </c>
      <c r="S69" s="19">
        <v>20690.271100000002</v>
      </c>
      <c r="T69" s="19">
        <v>3050.4176000000002</v>
      </c>
      <c r="U69" s="19">
        <v>18232.749199999998</v>
      </c>
      <c r="V69" s="19">
        <v>243.46719999999999</v>
      </c>
      <c r="W69" s="19">
        <v>257.92</v>
      </c>
      <c r="X69" s="19">
        <v>758.39440000000002</v>
      </c>
      <c r="Y69" s="19">
        <v>358.54880000000003</v>
      </c>
      <c r="Z69" s="19">
        <v>347.38150000000002</v>
      </c>
      <c r="AA69" s="19">
        <v>3319.9661000000001</v>
      </c>
      <c r="AB69" s="19">
        <v>380.2423</v>
      </c>
      <c r="AC69" s="19">
        <v>1193.2851000000001</v>
      </c>
      <c r="AD69" s="19">
        <v>97.538399999999996</v>
      </c>
      <c r="AE69" s="19">
        <v>2372.5671000000002</v>
      </c>
      <c r="AF69" s="19">
        <v>62.187399999999997</v>
      </c>
      <c r="AG69" s="19">
        <v>62.648000000000003</v>
      </c>
      <c r="AH69" s="19">
        <v>174.25970000000001</v>
      </c>
      <c r="AI69" s="19">
        <v>104.648</v>
      </c>
      <c r="AJ69" s="19">
        <v>98.591999999999999</v>
      </c>
      <c r="AK69" s="19">
        <v>149.232</v>
      </c>
      <c r="AL69" s="19">
        <v>105.96</v>
      </c>
      <c r="AM69" s="19">
        <v>130.619</v>
      </c>
    </row>
    <row r="70" spans="1:39" x14ac:dyDescent="0.25">
      <c r="A70" s="5">
        <v>1988</v>
      </c>
      <c r="B70" s="19">
        <v>31668.251799999998</v>
      </c>
      <c r="C70" s="19">
        <v>6581.2808000000005</v>
      </c>
      <c r="D70" s="19">
        <v>143603.6488</v>
      </c>
      <c r="E70" s="19">
        <v>12852.248600000001</v>
      </c>
      <c r="F70" s="19">
        <v>31825.578099999999</v>
      </c>
      <c r="G70" s="19">
        <v>2961.3796000000002</v>
      </c>
      <c r="H70" s="19">
        <v>10400.308300000001</v>
      </c>
      <c r="I70" s="19">
        <v>6863.7564000000002</v>
      </c>
      <c r="J70" s="19">
        <v>9756.4670999999998</v>
      </c>
      <c r="K70" s="19">
        <v>5135.6103999999996</v>
      </c>
      <c r="L70" s="19">
        <v>8842.9135000000006</v>
      </c>
      <c r="M70" s="19">
        <v>6756.8321999999998</v>
      </c>
      <c r="N70" s="19">
        <v>4676.3652000000002</v>
      </c>
      <c r="O70" s="19">
        <v>80788.916899999997</v>
      </c>
      <c r="P70" s="19">
        <v>3995.9929999999999</v>
      </c>
      <c r="Q70" s="19">
        <v>2368.4762000000001</v>
      </c>
      <c r="R70" s="19">
        <v>4001.0257000000001</v>
      </c>
      <c r="S70" s="19">
        <v>21153.357400000001</v>
      </c>
      <c r="T70" s="19">
        <v>3069.6867000000002</v>
      </c>
      <c r="U70" s="19">
        <v>18700.1014</v>
      </c>
      <c r="V70" s="19">
        <v>247.53280000000001</v>
      </c>
      <c r="W70" s="19">
        <v>258.94670000000002</v>
      </c>
      <c r="X70" s="19">
        <v>751.10289999999998</v>
      </c>
      <c r="Y70" s="19">
        <v>370.56939999999997</v>
      </c>
      <c r="Z70" s="19">
        <v>351.26859999999999</v>
      </c>
      <c r="AA70" s="19">
        <v>3346.7260000000001</v>
      </c>
      <c r="AB70" s="19">
        <v>388.4554</v>
      </c>
      <c r="AC70" s="19">
        <v>1203.3977</v>
      </c>
      <c r="AD70" s="19">
        <v>104.11579999999999</v>
      </c>
      <c r="AE70" s="19">
        <v>2387.3598999999999</v>
      </c>
      <c r="AF70" s="19">
        <v>62.4011</v>
      </c>
      <c r="AG70" s="19">
        <v>62.351999999999997</v>
      </c>
      <c r="AH70" s="19">
        <v>179.01509999999999</v>
      </c>
      <c r="AI70" s="19">
        <v>104.352</v>
      </c>
      <c r="AJ70" s="19">
        <v>97.408000000000001</v>
      </c>
      <c r="AK70" s="19">
        <v>148.488</v>
      </c>
      <c r="AL70" s="19">
        <v>106.36</v>
      </c>
      <c r="AM70" s="19">
        <v>133.2165</v>
      </c>
    </row>
    <row r="71" spans="1:39" x14ac:dyDescent="0.25">
      <c r="A71" s="5">
        <v>1989</v>
      </c>
      <c r="B71" s="19">
        <v>32149.970399999998</v>
      </c>
      <c r="C71" s="19">
        <v>6721.9933000000001</v>
      </c>
      <c r="D71" s="19">
        <v>146317.18770000001</v>
      </c>
      <c r="E71" s="19">
        <v>13062.842000000001</v>
      </c>
      <c r="F71" s="19">
        <v>32460.5897</v>
      </c>
      <c r="G71" s="19">
        <v>3039.2932999999998</v>
      </c>
      <c r="H71" s="19">
        <v>10508.68</v>
      </c>
      <c r="I71" s="19">
        <v>6997.9807000000001</v>
      </c>
      <c r="J71" s="19">
        <v>9992.8539999999994</v>
      </c>
      <c r="K71" s="19">
        <v>5202.0024999999996</v>
      </c>
      <c r="L71" s="19">
        <v>9050.8367999999991</v>
      </c>
      <c r="M71" s="19">
        <v>6897.3050999999996</v>
      </c>
      <c r="N71" s="19">
        <v>4814.1677</v>
      </c>
      <c r="O71" s="19">
        <v>82370.719200000007</v>
      </c>
      <c r="P71" s="19">
        <v>4083.2006999999999</v>
      </c>
      <c r="Q71" s="19">
        <v>2419.3676</v>
      </c>
      <c r="R71" s="19">
        <v>4112.2637000000004</v>
      </c>
      <c r="S71" s="19">
        <v>21614.7624</v>
      </c>
      <c r="T71" s="19">
        <v>3089.4371999999998</v>
      </c>
      <c r="U71" s="19">
        <v>19168.435700000002</v>
      </c>
      <c r="V71" s="19">
        <v>251.66560000000001</v>
      </c>
      <c r="W71" s="19">
        <v>259.98219999999998</v>
      </c>
      <c r="X71" s="19">
        <v>745.34100000000001</v>
      </c>
      <c r="Y71" s="19">
        <v>381.66</v>
      </c>
      <c r="Z71" s="19">
        <v>354.90379999999999</v>
      </c>
      <c r="AA71" s="19">
        <v>3373.9906000000001</v>
      </c>
      <c r="AB71" s="19">
        <v>397.04570000000001</v>
      </c>
      <c r="AC71" s="19">
        <v>1212.6069</v>
      </c>
      <c r="AD71" s="19">
        <v>110.46210000000001</v>
      </c>
      <c r="AE71" s="19">
        <v>2402.5018</v>
      </c>
      <c r="AF71" s="19">
        <v>62.676600000000001</v>
      </c>
      <c r="AG71" s="19">
        <v>62.103999999999999</v>
      </c>
      <c r="AH71" s="19">
        <v>183.64689999999999</v>
      </c>
      <c r="AI71" s="19">
        <v>104.104</v>
      </c>
      <c r="AJ71" s="19">
        <v>96.415999999999997</v>
      </c>
      <c r="AK71" s="19">
        <v>147.696</v>
      </c>
      <c r="AL71" s="19">
        <v>106.7067</v>
      </c>
      <c r="AM71" s="19">
        <v>135.74260000000001</v>
      </c>
    </row>
    <row r="72" spans="1:39" x14ac:dyDescent="0.25">
      <c r="A72" s="5">
        <v>1990</v>
      </c>
      <c r="B72" s="19">
        <v>32619</v>
      </c>
      <c r="C72" s="19">
        <v>6865</v>
      </c>
      <c r="D72" s="19">
        <v>149003</v>
      </c>
      <c r="E72" s="19">
        <v>13275</v>
      </c>
      <c r="F72" s="19">
        <v>33103</v>
      </c>
      <c r="G72" s="19">
        <v>3119</v>
      </c>
      <c r="H72" s="19">
        <v>10597</v>
      </c>
      <c r="I72" s="19">
        <v>7133</v>
      </c>
      <c r="J72" s="19">
        <v>10231</v>
      </c>
      <c r="K72" s="19">
        <v>5270</v>
      </c>
      <c r="L72" s="19">
        <v>9264</v>
      </c>
      <c r="M72" s="19">
        <v>7038</v>
      </c>
      <c r="N72" s="19">
        <v>4955</v>
      </c>
      <c r="O72" s="19">
        <v>83943</v>
      </c>
      <c r="P72" s="19">
        <v>4173</v>
      </c>
      <c r="Q72" s="19">
        <v>2471</v>
      </c>
      <c r="R72" s="19">
        <v>4223</v>
      </c>
      <c r="S72" s="19">
        <v>22071</v>
      </c>
      <c r="T72" s="19">
        <v>3110</v>
      </c>
      <c r="U72" s="19">
        <v>19633</v>
      </c>
      <c r="V72" s="19">
        <v>256</v>
      </c>
      <c r="W72" s="19">
        <v>261</v>
      </c>
      <c r="X72" s="19">
        <v>743</v>
      </c>
      <c r="Y72" s="19">
        <v>389</v>
      </c>
      <c r="Z72" s="19">
        <v>358</v>
      </c>
      <c r="AA72" s="19">
        <v>3403</v>
      </c>
      <c r="AB72" s="19">
        <v>405</v>
      </c>
      <c r="AC72" s="19">
        <v>1221</v>
      </c>
      <c r="AD72" s="19">
        <v>116</v>
      </c>
      <c r="AE72" s="19">
        <v>2420</v>
      </c>
      <c r="AF72" s="19">
        <v>63</v>
      </c>
      <c r="AG72" s="19">
        <v>62</v>
      </c>
      <c r="AH72" s="19">
        <v>188</v>
      </c>
      <c r="AI72" s="19">
        <v>104</v>
      </c>
      <c r="AJ72" s="19">
        <v>96</v>
      </c>
      <c r="AK72" s="19">
        <v>147</v>
      </c>
      <c r="AL72" s="19">
        <v>107</v>
      </c>
      <c r="AM72" s="19">
        <v>138</v>
      </c>
    </row>
    <row r="73" spans="1:39" x14ac:dyDescent="0.25">
      <c r="A73" s="5">
        <v>1991</v>
      </c>
      <c r="B73" s="19">
        <v>33075.453399999999</v>
      </c>
      <c r="C73" s="19">
        <v>7011.0240999999996</v>
      </c>
      <c r="D73" s="19">
        <v>151654.74479999999</v>
      </c>
      <c r="E73" s="19">
        <v>13492.8174</v>
      </c>
      <c r="F73" s="19">
        <v>33757.476499999997</v>
      </c>
      <c r="G73" s="19">
        <v>3201.5381000000002</v>
      </c>
      <c r="H73" s="19">
        <v>10665.94</v>
      </c>
      <c r="I73" s="19">
        <v>7269.6562000000004</v>
      </c>
      <c r="J73" s="19">
        <v>10471.898800000001</v>
      </c>
      <c r="K73" s="19">
        <v>5341.9323999999997</v>
      </c>
      <c r="L73" s="19">
        <v>9483.1766000000007</v>
      </c>
      <c r="M73" s="19">
        <v>7178.8239999999996</v>
      </c>
      <c r="N73" s="19">
        <v>5098.7250999999997</v>
      </c>
      <c r="O73" s="19">
        <v>85510.102499999994</v>
      </c>
      <c r="P73" s="19">
        <v>4267.1890999999996</v>
      </c>
      <c r="Q73" s="19">
        <v>2523.3530999999998</v>
      </c>
      <c r="R73" s="19">
        <v>4333.4781000000003</v>
      </c>
      <c r="S73" s="19">
        <v>22522.099099999999</v>
      </c>
      <c r="T73" s="19">
        <v>3132.0113999999999</v>
      </c>
      <c r="U73" s="19">
        <v>20094.153699999999</v>
      </c>
      <c r="V73" s="19">
        <v>260.70490000000001</v>
      </c>
      <c r="W73" s="19">
        <v>261.9855</v>
      </c>
      <c r="X73" s="19">
        <v>744.87199999999996</v>
      </c>
      <c r="Y73" s="19">
        <v>392.93209999999999</v>
      </c>
      <c r="Z73" s="19">
        <v>360.45490000000001</v>
      </c>
      <c r="AA73" s="19">
        <v>3435.5392000000002</v>
      </c>
      <c r="AB73" s="19">
        <v>412.47859999999997</v>
      </c>
      <c r="AC73" s="19">
        <v>1228.9643000000001</v>
      </c>
      <c r="AD73" s="19">
        <v>120.60290000000001</v>
      </c>
      <c r="AE73" s="19">
        <v>2440.4803999999999</v>
      </c>
      <c r="AF73" s="19">
        <v>63.636699999999998</v>
      </c>
      <c r="AG73" s="19">
        <v>63.435000000000002</v>
      </c>
      <c r="AH73" s="19">
        <v>191.8152</v>
      </c>
      <c r="AI73" s="19">
        <v>104.23520000000001</v>
      </c>
      <c r="AJ73" s="19">
        <v>96.306299999999993</v>
      </c>
      <c r="AK73" s="19">
        <v>146.45760000000001</v>
      </c>
      <c r="AL73" s="19">
        <v>107.2747</v>
      </c>
      <c r="AM73" s="19">
        <v>139.9494</v>
      </c>
    </row>
    <row r="74" spans="1:39" x14ac:dyDescent="0.25">
      <c r="A74" s="5">
        <v>1992</v>
      </c>
      <c r="B74" s="19">
        <v>33524.2595</v>
      </c>
      <c r="C74" s="19">
        <v>7160.6115</v>
      </c>
      <c r="D74" s="19">
        <v>154271.66889999999</v>
      </c>
      <c r="E74" s="19">
        <v>13718.2497</v>
      </c>
      <c r="F74" s="19">
        <v>34423.260699999999</v>
      </c>
      <c r="G74" s="19">
        <v>3286.9146999999998</v>
      </c>
      <c r="H74" s="19">
        <v>10727.2318</v>
      </c>
      <c r="I74" s="19">
        <v>7407.8341</v>
      </c>
      <c r="J74" s="19">
        <v>10716.1512</v>
      </c>
      <c r="K74" s="19">
        <v>5417.2344000000003</v>
      </c>
      <c r="L74" s="19">
        <v>9707.9269000000004</v>
      </c>
      <c r="M74" s="19">
        <v>7319.7950000000001</v>
      </c>
      <c r="N74" s="19">
        <v>5245.5129999999999</v>
      </c>
      <c r="O74" s="19">
        <v>87071.948199999999</v>
      </c>
      <c r="P74" s="19">
        <v>4364.7763999999997</v>
      </c>
      <c r="Q74" s="19">
        <v>2576.3658999999998</v>
      </c>
      <c r="R74" s="19">
        <v>4444.4795999999997</v>
      </c>
      <c r="S74" s="19">
        <v>22970.427100000001</v>
      </c>
      <c r="T74" s="19">
        <v>3155.2991000000002</v>
      </c>
      <c r="U74" s="19">
        <v>20555.066900000002</v>
      </c>
      <c r="V74" s="19">
        <v>265.69869999999997</v>
      </c>
      <c r="W74" s="19">
        <v>262.95639999999997</v>
      </c>
      <c r="X74" s="19">
        <v>749.33600000000001</v>
      </c>
      <c r="Y74" s="19">
        <v>395.96679999999998</v>
      </c>
      <c r="Z74" s="19">
        <v>362.5274</v>
      </c>
      <c r="AA74" s="19">
        <v>3470.8636000000001</v>
      </c>
      <c r="AB74" s="19">
        <v>420.1576</v>
      </c>
      <c r="AC74" s="19">
        <v>1236.5957000000001</v>
      </c>
      <c r="AD74" s="19">
        <v>124.7192</v>
      </c>
      <c r="AE74" s="19">
        <v>2462.7867000000001</v>
      </c>
      <c r="AF74" s="19">
        <v>64.738500000000002</v>
      </c>
      <c r="AG74" s="19">
        <v>67.025099999999995</v>
      </c>
      <c r="AH74" s="19">
        <v>195.2114</v>
      </c>
      <c r="AI74" s="19">
        <v>104.82559999999999</v>
      </c>
      <c r="AJ74" s="19">
        <v>97.078900000000004</v>
      </c>
      <c r="AK74" s="19">
        <v>145.97280000000001</v>
      </c>
      <c r="AL74" s="19">
        <v>107.544</v>
      </c>
      <c r="AM74" s="19">
        <v>141.7397</v>
      </c>
    </row>
    <row r="75" spans="1:39" x14ac:dyDescent="0.25">
      <c r="A75" s="5">
        <v>1993</v>
      </c>
      <c r="B75" s="19">
        <v>33965.738899999997</v>
      </c>
      <c r="C75" s="19">
        <v>7312.8868000000002</v>
      </c>
      <c r="D75" s="19">
        <v>156864.42060000001</v>
      </c>
      <c r="E75" s="19">
        <v>13945.3734</v>
      </c>
      <c r="F75" s="19">
        <v>35093.606599999999</v>
      </c>
      <c r="G75" s="19">
        <v>3373.7222000000002</v>
      </c>
      <c r="H75" s="19">
        <v>10783.1536</v>
      </c>
      <c r="I75" s="19">
        <v>7546.2839999999997</v>
      </c>
      <c r="J75" s="19">
        <v>10962.3542</v>
      </c>
      <c r="K75" s="19">
        <v>5492.4701999999997</v>
      </c>
      <c r="L75" s="19">
        <v>9937.4887999999992</v>
      </c>
      <c r="M75" s="19">
        <v>7461.0540000000001</v>
      </c>
      <c r="N75" s="19">
        <v>5395.8383999999996</v>
      </c>
      <c r="O75" s="19">
        <v>88622.242700000003</v>
      </c>
      <c r="P75" s="19">
        <v>4463.1692000000003</v>
      </c>
      <c r="Q75" s="19">
        <v>2630.1021999999998</v>
      </c>
      <c r="R75" s="19">
        <v>4555.6421</v>
      </c>
      <c r="S75" s="19">
        <v>23416.005700000002</v>
      </c>
      <c r="T75" s="19">
        <v>3178.9811</v>
      </c>
      <c r="U75" s="19">
        <v>21015.203300000001</v>
      </c>
      <c r="V75" s="19">
        <v>270.74009999999998</v>
      </c>
      <c r="W75" s="19">
        <v>263.93450000000001</v>
      </c>
      <c r="X75" s="19">
        <v>754.66399999999999</v>
      </c>
      <c r="Y75" s="19">
        <v>398.53539999999998</v>
      </c>
      <c r="Z75" s="19">
        <v>364.4726</v>
      </c>
      <c r="AA75" s="19">
        <v>3506.4182999999998</v>
      </c>
      <c r="AB75" s="19">
        <v>427.79719999999998</v>
      </c>
      <c r="AC75" s="19">
        <v>1243.5449000000001</v>
      </c>
      <c r="AD75" s="19">
        <v>128.63409999999999</v>
      </c>
      <c r="AE75" s="19">
        <v>2486.2528000000002</v>
      </c>
      <c r="AF75" s="19">
        <v>66.122100000000003</v>
      </c>
      <c r="AG75" s="19">
        <v>71.697699999999998</v>
      </c>
      <c r="AH75" s="19">
        <v>198.59989999999999</v>
      </c>
      <c r="AI75" s="19">
        <v>105.5984</v>
      </c>
      <c r="AJ75" s="19">
        <v>98.098299999999995</v>
      </c>
      <c r="AK75" s="19">
        <v>145.45920000000001</v>
      </c>
      <c r="AL75" s="19">
        <v>107.776</v>
      </c>
      <c r="AM75" s="19">
        <v>143.45519999999999</v>
      </c>
    </row>
    <row r="76" spans="1:39" x14ac:dyDescent="0.25">
      <c r="A76" s="5">
        <v>1994</v>
      </c>
      <c r="B76" s="19">
        <v>34400.212200000002</v>
      </c>
      <c r="C76" s="19">
        <v>7466.9748</v>
      </c>
      <c r="D76" s="19">
        <v>159443.6482</v>
      </c>
      <c r="E76" s="19">
        <v>14168.2647</v>
      </c>
      <c r="F76" s="19">
        <v>35761.768300000003</v>
      </c>
      <c r="G76" s="19">
        <v>3460.5531000000001</v>
      </c>
      <c r="H76" s="19">
        <v>10835.9836</v>
      </c>
      <c r="I76" s="19">
        <v>7683.7559000000001</v>
      </c>
      <c r="J76" s="19">
        <v>11209.104799999999</v>
      </c>
      <c r="K76" s="19">
        <v>5564.2039999999997</v>
      </c>
      <c r="L76" s="19">
        <v>10171.1005</v>
      </c>
      <c r="M76" s="19">
        <v>7602.7421000000004</v>
      </c>
      <c r="N76" s="19">
        <v>5550.1759000000002</v>
      </c>
      <c r="O76" s="19">
        <v>90154.691500000001</v>
      </c>
      <c r="P76" s="19">
        <v>4559.7746999999999</v>
      </c>
      <c r="Q76" s="19">
        <v>2684.6255999999998</v>
      </c>
      <c r="R76" s="19">
        <v>4666.6030000000001</v>
      </c>
      <c r="S76" s="19">
        <v>23858.856100000001</v>
      </c>
      <c r="T76" s="19">
        <v>3202.1754000000001</v>
      </c>
      <c r="U76" s="19">
        <v>21474.026399999999</v>
      </c>
      <c r="V76" s="19">
        <v>275.58769999999998</v>
      </c>
      <c r="W76" s="19">
        <v>264.9418</v>
      </c>
      <c r="X76" s="19">
        <v>759.12800000000004</v>
      </c>
      <c r="Y76" s="19">
        <v>401.06939999999997</v>
      </c>
      <c r="Z76" s="19">
        <v>366.54509999999999</v>
      </c>
      <c r="AA76" s="19">
        <v>3539.6487000000002</v>
      </c>
      <c r="AB76" s="19">
        <v>435.15780000000001</v>
      </c>
      <c r="AC76" s="19">
        <v>1249.4628</v>
      </c>
      <c r="AD76" s="19">
        <v>132.6326</v>
      </c>
      <c r="AE76" s="19">
        <v>2510.2125999999998</v>
      </c>
      <c r="AF76" s="19">
        <v>67.603800000000007</v>
      </c>
      <c r="AG76" s="19">
        <v>76.380099999999999</v>
      </c>
      <c r="AH76" s="19">
        <v>202.39230000000001</v>
      </c>
      <c r="AI76" s="19">
        <v>106.38079999999999</v>
      </c>
      <c r="AJ76" s="19">
        <v>99.145099999999999</v>
      </c>
      <c r="AK76" s="19">
        <v>144.8304</v>
      </c>
      <c r="AL76" s="19">
        <v>107.9387</v>
      </c>
      <c r="AM76" s="19">
        <v>145.18049999999999</v>
      </c>
    </row>
    <row r="77" spans="1:39" x14ac:dyDescent="0.25">
      <c r="A77" s="5">
        <v>1995</v>
      </c>
      <c r="B77" s="19">
        <v>34828</v>
      </c>
      <c r="C77" s="19">
        <v>7622</v>
      </c>
      <c r="D77" s="19">
        <v>162020</v>
      </c>
      <c r="E77" s="19">
        <v>14381</v>
      </c>
      <c r="F77" s="19">
        <v>36421</v>
      </c>
      <c r="G77" s="19">
        <v>3546</v>
      </c>
      <c r="H77" s="19">
        <v>10888</v>
      </c>
      <c r="I77" s="19">
        <v>7819</v>
      </c>
      <c r="J77" s="19">
        <v>11455</v>
      </c>
      <c r="K77" s="19">
        <v>5629</v>
      </c>
      <c r="L77" s="19">
        <v>10408</v>
      </c>
      <c r="M77" s="19">
        <v>7745</v>
      </c>
      <c r="N77" s="19">
        <v>5709</v>
      </c>
      <c r="O77" s="19">
        <v>91663</v>
      </c>
      <c r="P77" s="19">
        <v>4652</v>
      </c>
      <c r="Q77" s="19">
        <v>2740</v>
      </c>
      <c r="R77" s="19">
        <v>4777</v>
      </c>
      <c r="S77" s="19">
        <v>24299</v>
      </c>
      <c r="T77" s="19">
        <v>3224</v>
      </c>
      <c r="U77" s="19">
        <v>21931</v>
      </c>
      <c r="V77" s="19">
        <v>280</v>
      </c>
      <c r="W77" s="19">
        <v>266</v>
      </c>
      <c r="X77" s="19">
        <v>761</v>
      </c>
      <c r="Y77" s="19">
        <v>404</v>
      </c>
      <c r="Z77" s="19">
        <v>369</v>
      </c>
      <c r="AA77" s="19">
        <v>3568</v>
      </c>
      <c r="AB77" s="19">
        <v>442</v>
      </c>
      <c r="AC77" s="19">
        <v>1254</v>
      </c>
      <c r="AD77" s="19">
        <v>137</v>
      </c>
      <c r="AE77" s="19">
        <v>2534</v>
      </c>
      <c r="AF77" s="19">
        <v>69</v>
      </c>
      <c r="AG77" s="19">
        <v>80</v>
      </c>
      <c r="AH77" s="19">
        <v>207</v>
      </c>
      <c r="AI77" s="19">
        <v>107</v>
      </c>
      <c r="AJ77" s="19">
        <v>100</v>
      </c>
      <c r="AK77" s="19">
        <v>144</v>
      </c>
      <c r="AL77" s="19">
        <v>108</v>
      </c>
      <c r="AM77" s="19">
        <v>147</v>
      </c>
    </row>
    <row r="78" spans="1:39" x14ac:dyDescent="0.25">
      <c r="A78" s="5">
        <v>1996</v>
      </c>
      <c r="B78" s="19">
        <v>35247.146999999997</v>
      </c>
      <c r="C78" s="19">
        <v>7778.3564999999999</v>
      </c>
      <c r="D78" s="19">
        <v>164613.94750000001</v>
      </c>
      <c r="E78" s="19">
        <v>14583.876899999999</v>
      </c>
      <c r="F78" s="19">
        <v>37072.809200000003</v>
      </c>
      <c r="G78" s="19">
        <v>3631.5497999999998</v>
      </c>
      <c r="H78" s="19">
        <v>10940.729300000001</v>
      </c>
      <c r="I78" s="19">
        <v>7951.9452000000001</v>
      </c>
      <c r="J78" s="19">
        <v>11701.412200000001</v>
      </c>
      <c r="K78" s="19">
        <v>5688.0258000000003</v>
      </c>
      <c r="L78" s="19">
        <v>10647.0121</v>
      </c>
      <c r="M78" s="19">
        <v>7887.8351000000002</v>
      </c>
      <c r="N78" s="19">
        <v>5874.2514000000001</v>
      </c>
      <c r="O78" s="19">
        <v>93142.445200000002</v>
      </c>
      <c r="P78" s="19">
        <v>4739.8903</v>
      </c>
      <c r="Q78" s="19">
        <v>2796.4481999999998</v>
      </c>
      <c r="R78" s="19">
        <v>4887.4592000000002</v>
      </c>
      <c r="S78" s="19">
        <v>24750.059399999998</v>
      </c>
      <c r="T78" s="19">
        <v>3247.1999000000001</v>
      </c>
      <c r="U78" s="19">
        <v>22385.886299999998</v>
      </c>
      <c r="V78" s="19">
        <v>283.81389999999999</v>
      </c>
      <c r="W78" s="19">
        <v>267.16860000000003</v>
      </c>
      <c r="X78" s="19">
        <v>759.6037</v>
      </c>
      <c r="Y78" s="19">
        <v>407.9665</v>
      </c>
      <c r="Z78" s="19">
        <v>372.20839999999998</v>
      </c>
      <c r="AA78" s="19">
        <v>3594.5425</v>
      </c>
      <c r="AB78" s="19">
        <v>448.26620000000003</v>
      </c>
      <c r="AC78" s="19">
        <v>1257.165</v>
      </c>
      <c r="AD78" s="19">
        <v>141.6695</v>
      </c>
      <c r="AE78" s="19">
        <v>2558.4153000000001</v>
      </c>
      <c r="AF78" s="19">
        <v>70.368399999999994</v>
      </c>
      <c r="AG78" s="19">
        <v>82.575100000000006</v>
      </c>
      <c r="AH78" s="19">
        <v>213.22749999999999</v>
      </c>
      <c r="AI78" s="19">
        <v>107.51519999999999</v>
      </c>
      <c r="AJ78" s="19">
        <v>100.6741</v>
      </c>
      <c r="AK78" s="19">
        <v>142.2473</v>
      </c>
      <c r="AL78" s="19">
        <v>108</v>
      </c>
      <c r="AM78" s="19">
        <v>149.01259999999999</v>
      </c>
    </row>
    <row r="79" spans="1:39" x14ac:dyDescent="0.25">
      <c r="A79" s="5">
        <v>1997</v>
      </c>
      <c r="B79" s="19">
        <v>35657.698600000003</v>
      </c>
      <c r="C79" s="19">
        <v>7936.6670999999997</v>
      </c>
      <c r="D79" s="19">
        <v>167218.48639999999</v>
      </c>
      <c r="E79" s="19">
        <v>14781.251200000001</v>
      </c>
      <c r="F79" s="19">
        <v>37721.766100000001</v>
      </c>
      <c r="G79" s="19">
        <v>3718.1466999999998</v>
      </c>
      <c r="H79" s="19">
        <v>10992.865</v>
      </c>
      <c r="I79" s="19">
        <v>8083.4592000000002</v>
      </c>
      <c r="J79" s="19">
        <v>11949.2767</v>
      </c>
      <c r="K79" s="19">
        <v>5744.2191000000003</v>
      </c>
      <c r="L79" s="19">
        <v>10888.808999999999</v>
      </c>
      <c r="M79" s="19">
        <v>8031.1575000000003</v>
      </c>
      <c r="N79" s="19">
        <v>6045.9233999999997</v>
      </c>
      <c r="O79" s="19">
        <v>94597.847299999994</v>
      </c>
      <c r="P79" s="19">
        <v>4825.3458000000001</v>
      </c>
      <c r="Q79" s="19">
        <v>2853.9593</v>
      </c>
      <c r="R79" s="19">
        <v>4998.2245999999996</v>
      </c>
      <c r="S79" s="19">
        <v>25212.061000000002</v>
      </c>
      <c r="T79" s="19">
        <v>3272.4247</v>
      </c>
      <c r="U79" s="19">
        <v>22839.055100000001</v>
      </c>
      <c r="V79" s="19">
        <v>287.22469999999998</v>
      </c>
      <c r="W79" s="19">
        <v>268.43669999999997</v>
      </c>
      <c r="X79" s="19">
        <v>756.25120000000004</v>
      </c>
      <c r="Y79" s="19">
        <v>412.69240000000002</v>
      </c>
      <c r="Z79" s="19">
        <v>376.06810000000002</v>
      </c>
      <c r="AA79" s="19">
        <v>3621.5953</v>
      </c>
      <c r="AB79" s="19">
        <v>454.15499999999997</v>
      </c>
      <c r="AC79" s="19">
        <v>1259.5385000000001</v>
      </c>
      <c r="AD79" s="19">
        <v>146.47219999999999</v>
      </c>
      <c r="AE79" s="19">
        <v>2583.9110000000001</v>
      </c>
      <c r="AF79" s="19">
        <v>71.834500000000006</v>
      </c>
      <c r="AG79" s="19">
        <v>84.887900000000002</v>
      </c>
      <c r="AH79" s="19">
        <v>221.0994</v>
      </c>
      <c r="AI79" s="19">
        <v>108.0496</v>
      </c>
      <c r="AJ79" s="19">
        <v>101.3193</v>
      </c>
      <c r="AK79" s="19">
        <v>139.41390000000001</v>
      </c>
      <c r="AL79" s="19">
        <v>108</v>
      </c>
      <c r="AM79" s="19">
        <v>151.16419999999999</v>
      </c>
    </row>
    <row r="80" spans="1:39" x14ac:dyDescent="0.25">
      <c r="A80" s="5">
        <v>1998</v>
      </c>
      <c r="B80" s="19">
        <v>36062.976699999999</v>
      </c>
      <c r="C80" s="19">
        <v>8096.3995000000004</v>
      </c>
      <c r="D80" s="19">
        <v>169803.05160000001</v>
      </c>
      <c r="E80" s="19">
        <v>14973.2871</v>
      </c>
      <c r="F80" s="19">
        <v>38365.718399999998</v>
      </c>
      <c r="G80" s="19">
        <v>3803.5686000000001</v>
      </c>
      <c r="H80" s="19">
        <v>11042.436</v>
      </c>
      <c r="I80" s="19">
        <v>8213.7006000000001</v>
      </c>
      <c r="J80" s="19">
        <v>12196.5352</v>
      </c>
      <c r="K80" s="19">
        <v>5796.7995000000001</v>
      </c>
      <c r="L80" s="19">
        <v>11135.3999</v>
      </c>
      <c r="M80" s="19">
        <v>8174.9623000000001</v>
      </c>
      <c r="N80" s="19">
        <v>6221.5697</v>
      </c>
      <c r="O80" s="19">
        <v>96037.226800000004</v>
      </c>
      <c r="P80" s="19">
        <v>4908.5562</v>
      </c>
      <c r="Q80" s="19">
        <v>2912.2462999999998</v>
      </c>
      <c r="R80" s="19">
        <v>5108.3604999999998</v>
      </c>
      <c r="S80" s="19">
        <v>25664.632900000001</v>
      </c>
      <c r="T80" s="19">
        <v>3295.6496999999999</v>
      </c>
      <c r="U80" s="19">
        <v>23290.8806</v>
      </c>
      <c r="V80" s="19">
        <v>290.52850000000001</v>
      </c>
      <c r="W80" s="19">
        <v>269.72039999999998</v>
      </c>
      <c r="X80" s="19">
        <v>752.19680000000005</v>
      </c>
      <c r="Y80" s="19">
        <v>417.23489999999998</v>
      </c>
      <c r="Z80" s="19">
        <v>380.12349999999998</v>
      </c>
      <c r="AA80" s="19">
        <v>3645.4769000000001</v>
      </c>
      <c r="AB80" s="19">
        <v>459.8107</v>
      </c>
      <c r="AC80" s="19">
        <v>1261.6295</v>
      </c>
      <c r="AD80" s="19">
        <v>151.5403</v>
      </c>
      <c r="AE80" s="19">
        <v>2609.299</v>
      </c>
      <c r="AF80" s="19">
        <v>73.316299999999998</v>
      </c>
      <c r="AG80" s="19">
        <v>87.013300000000001</v>
      </c>
      <c r="AH80" s="19">
        <v>229.85759999999999</v>
      </c>
      <c r="AI80" s="19">
        <v>108.5264</v>
      </c>
      <c r="AJ80" s="19">
        <v>101.92749999999999</v>
      </c>
      <c r="AK80" s="19">
        <v>136.2569</v>
      </c>
      <c r="AL80" s="19">
        <v>108</v>
      </c>
      <c r="AM80" s="19">
        <v>153.30950000000001</v>
      </c>
    </row>
    <row r="81" spans="1:39" x14ac:dyDescent="0.25">
      <c r="A81" s="5">
        <v>1999</v>
      </c>
      <c r="B81" s="19">
        <v>36466.3033</v>
      </c>
      <c r="C81" s="19">
        <v>8257.0211999999992</v>
      </c>
      <c r="D81" s="19">
        <v>172337.0778</v>
      </c>
      <c r="E81" s="19">
        <v>15160.1487</v>
      </c>
      <c r="F81" s="19">
        <v>39002.513800000001</v>
      </c>
      <c r="G81" s="19">
        <v>3885.5936999999999</v>
      </c>
      <c r="H81" s="19">
        <v>11087.4714</v>
      </c>
      <c r="I81" s="19">
        <v>8342.8279999999995</v>
      </c>
      <c r="J81" s="19">
        <v>12441.1291</v>
      </c>
      <c r="K81" s="19">
        <v>5844.9866000000002</v>
      </c>
      <c r="L81" s="19">
        <v>11388.793799999999</v>
      </c>
      <c r="M81" s="19">
        <v>8319.2446999999993</v>
      </c>
      <c r="N81" s="19">
        <v>6398.7439999999997</v>
      </c>
      <c r="O81" s="19">
        <v>97468.604200000002</v>
      </c>
      <c r="P81" s="19">
        <v>4989.7110000000002</v>
      </c>
      <c r="Q81" s="19">
        <v>2971.0221999999999</v>
      </c>
      <c r="R81" s="19">
        <v>5216.9309000000003</v>
      </c>
      <c r="S81" s="19">
        <v>26087.403200000001</v>
      </c>
      <c r="T81" s="19">
        <v>3312.8498</v>
      </c>
      <c r="U81" s="19">
        <v>23741.737499999999</v>
      </c>
      <c r="V81" s="19">
        <v>294.0215</v>
      </c>
      <c r="W81" s="19">
        <v>270.93610000000001</v>
      </c>
      <c r="X81" s="19">
        <v>748.69489999999996</v>
      </c>
      <c r="Y81" s="19">
        <v>420.65159999999997</v>
      </c>
      <c r="Z81" s="19">
        <v>383.91930000000002</v>
      </c>
      <c r="AA81" s="19">
        <v>3662.5056</v>
      </c>
      <c r="AB81" s="19">
        <v>465.37759999999997</v>
      </c>
      <c r="AC81" s="19">
        <v>1263.9469999999999</v>
      </c>
      <c r="AD81" s="19">
        <v>157.00550000000001</v>
      </c>
      <c r="AE81" s="19">
        <v>2633.3912999999998</v>
      </c>
      <c r="AF81" s="19">
        <v>74.732100000000003</v>
      </c>
      <c r="AG81" s="19">
        <v>89.025800000000004</v>
      </c>
      <c r="AH81" s="19">
        <v>238.7439</v>
      </c>
      <c r="AI81" s="19">
        <v>108.86879999999999</v>
      </c>
      <c r="AJ81" s="19">
        <v>102.4905</v>
      </c>
      <c r="AK81" s="19">
        <v>133.5333</v>
      </c>
      <c r="AL81" s="19">
        <v>108</v>
      </c>
      <c r="AM81" s="19">
        <v>155.3032</v>
      </c>
    </row>
    <row r="82" spans="1:39" x14ac:dyDescent="0.25">
      <c r="A82" s="5">
        <v>2000</v>
      </c>
      <c r="B82" s="19">
        <v>36871</v>
      </c>
      <c r="C82" s="19">
        <v>8418</v>
      </c>
      <c r="D82" s="19">
        <v>174790</v>
      </c>
      <c r="E82" s="19">
        <v>15342</v>
      </c>
      <c r="F82" s="19">
        <v>39630</v>
      </c>
      <c r="G82" s="19">
        <v>3962</v>
      </c>
      <c r="H82" s="19">
        <v>11126</v>
      </c>
      <c r="I82" s="19">
        <v>8471</v>
      </c>
      <c r="J82" s="19">
        <v>12681</v>
      </c>
      <c r="K82" s="19">
        <v>5888</v>
      </c>
      <c r="L82" s="19">
        <v>11651</v>
      </c>
      <c r="M82" s="19">
        <v>8464</v>
      </c>
      <c r="N82" s="19">
        <v>6575</v>
      </c>
      <c r="O82" s="19">
        <v>98900</v>
      </c>
      <c r="P82" s="19">
        <v>5069</v>
      </c>
      <c r="Q82" s="19">
        <v>3030</v>
      </c>
      <c r="R82" s="19">
        <v>5323</v>
      </c>
      <c r="S82" s="19">
        <v>26460</v>
      </c>
      <c r="T82" s="19">
        <v>3320</v>
      </c>
      <c r="U82" s="19">
        <v>24192</v>
      </c>
      <c r="V82" s="19">
        <v>298</v>
      </c>
      <c r="W82" s="19">
        <v>272</v>
      </c>
      <c r="X82" s="19">
        <v>747</v>
      </c>
      <c r="Y82" s="19">
        <v>422</v>
      </c>
      <c r="Z82" s="19">
        <v>387</v>
      </c>
      <c r="AA82" s="19">
        <v>3669</v>
      </c>
      <c r="AB82" s="19">
        <v>471</v>
      </c>
      <c r="AC82" s="19">
        <v>1267</v>
      </c>
      <c r="AD82" s="19">
        <v>163</v>
      </c>
      <c r="AE82" s="19">
        <v>2655</v>
      </c>
      <c r="AF82" s="19">
        <v>76</v>
      </c>
      <c r="AG82" s="19">
        <v>91</v>
      </c>
      <c r="AH82" s="19">
        <v>247</v>
      </c>
      <c r="AI82" s="19">
        <v>109</v>
      </c>
      <c r="AJ82" s="19">
        <v>103</v>
      </c>
      <c r="AK82" s="19">
        <v>132</v>
      </c>
      <c r="AL82" s="19">
        <v>108</v>
      </c>
      <c r="AM82" s="19">
        <v>157</v>
      </c>
    </row>
    <row r="83" spans="1:39" x14ac:dyDescent="0.25">
      <c r="A83" s="5">
        <v>2001</v>
      </c>
      <c r="B83" s="19">
        <v>37277.042500000003</v>
      </c>
      <c r="C83" s="19">
        <v>8579.5871999999999</v>
      </c>
      <c r="D83" s="19">
        <v>177174.00210000001</v>
      </c>
      <c r="E83" s="19">
        <v>15516.7587</v>
      </c>
      <c r="F83" s="19">
        <v>40253.0985</v>
      </c>
      <c r="G83" s="19">
        <v>4032.5122999999999</v>
      </c>
      <c r="H83" s="19">
        <v>11162.2996</v>
      </c>
      <c r="I83" s="19">
        <v>8598.2883999999995</v>
      </c>
      <c r="J83" s="19">
        <v>12914.377899999999</v>
      </c>
      <c r="K83" s="19">
        <v>5926.0819000000001</v>
      </c>
      <c r="L83" s="19">
        <v>11924.718999999999</v>
      </c>
      <c r="M83" s="19">
        <v>8609.0632999999998</v>
      </c>
      <c r="N83" s="19">
        <v>6751.0583999999999</v>
      </c>
      <c r="O83" s="19">
        <v>100314.6599</v>
      </c>
      <c r="P83" s="19">
        <v>5145.5931</v>
      </c>
      <c r="Q83" s="19">
        <v>3089.1455999999998</v>
      </c>
      <c r="R83" s="19">
        <v>5427.2907999999998</v>
      </c>
      <c r="S83" s="19">
        <v>26783.5674</v>
      </c>
      <c r="T83" s="19">
        <v>3320.5880999999999</v>
      </c>
      <c r="U83" s="19">
        <v>24645.252499999999</v>
      </c>
      <c r="V83" s="19">
        <v>302.66329999999999</v>
      </c>
      <c r="W83" s="19">
        <v>272.8768</v>
      </c>
      <c r="X83" s="19">
        <v>746.65710000000001</v>
      </c>
      <c r="Y83" s="19">
        <v>420.024</v>
      </c>
      <c r="Z83" s="19">
        <v>389.6857</v>
      </c>
      <c r="AA83" s="19">
        <v>3666.5356000000002</v>
      </c>
      <c r="AB83" s="19">
        <v>476.63200000000001</v>
      </c>
      <c r="AC83" s="19">
        <v>1271.3403000000001</v>
      </c>
      <c r="AD83" s="19">
        <v>170.0968</v>
      </c>
      <c r="AE83" s="19">
        <v>2674.1646000000001</v>
      </c>
      <c r="AF83" s="19">
        <v>77.08</v>
      </c>
      <c r="AG83" s="19">
        <v>93.098500000000001</v>
      </c>
      <c r="AH83" s="19">
        <v>254.56870000000001</v>
      </c>
      <c r="AI83" s="19">
        <v>108.9387</v>
      </c>
      <c r="AJ83" s="19">
        <v>103.4725</v>
      </c>
      <c r="AK83" s="19">
        <v>131.35310000000001</v>
      </c>
      <c r="AL83" s="19">
        <v>108.104</v>
      </c>
      <c r="AM83" s="19">
        <v>158.3355</v>
      </c>
    </row>
    <row r="84" spans="1:39" x14ac:dyDescent="0.25">
      <c r="A84" s="5">
        <v>2002</v>
      </c>
      <c r="B84" s="19">
        <v>37682.220500000003</v>
      </c>
      <c r="C84" s="19">
        <v>8742.1458000000002</v>
      </c>
      <c r="D84" s="19">
        <v>179512.8683</v>
      </c>
      <c r="E84" s="19">
        <v>15684.6351</v>
      </c>
      <c r="F84" s="19">
        <v>40873.4784</v>
      </c>
      <c r="G84" s="19">
        <v>4099.0694999999996</v>
      </c>
      <c r="H84" s="19">
        <v>11198.7971</v>
      </c>
      <c r="I84" s="19">
        <v>8724.6087000000007</v>
      </c>
      <c r="J84" s="19">
        <v>13142.745699999999</v>
      </c>
      <c r="K84" s="19">
        <v>5960.6058999999996</v>
      </c>
      <c r="L84" s="19">
        <v>12209.218699999999</v>
      </c>
      <c r="M84" s="19">
        <v>8754.4418999999998</v>
      </c>
      <c r="N84" s="19">
        <v>6928.5573000000004</v>
      </c>
      <c r="O84" s="19">
        <v>101707.28539999999</v>
      </c>
      <c r="P84" s="19">
        <v>5219.4762000000001</v>
      </c>
      <c r="Q84" s="19">
        <v>3148.6570000000002</v>
      </c>
      <c r="R84" s="19">
        <v>5530.5043999999998</v>
      </c>
      <c r="S84" s="19">
        <v>27078.0789</v>
      </c>
      <c r="T84" s="19">
        <v>3320.9038999999998</v>
      </c>
      <c r="U84" s="19">
        <v>25101.249100000001</v>
      </c>
      <c r="V84" s="19">
        <v>307.88600000000002</v>
      </c>
      <c r="W84" s="19">
        <v>273.63839999999999</v>
      </c>
      <c r="X84" s="19">
        <v>746.37919999999997</v>
      </c>
      <c r="Y84" s="19">
        <v>415.31200000000001</v>
      </c>
      <c r="Z84" s="19">
        <v>392.37139999999999</v>
      </c>
      <c r="AA84" s="19">
        <v>3660.1266999999998</v>
      </c>
      <c r="AB84" s="19">
        <v>482.178</v>
      </c>
      <c r="AC84" s="19">
        <v>1276.8722</v>
      </c>
      <c r="AD84" s="19">
        <v>178.32679999999999</v>
      </c>
      <c r="AE84" s="19">
        <v>2691.9286999999999</v>
      </c>
      <c r="AF84" s="19">
        <v>78.040000000000006</v>
      </c>
      <c r="AG84" s="19">
        <v>95.279399999999995</v>
      </c>
      <c r="AH84" s="19">
        <v>261.96019999999999</v>
      </c>
      <c r="AI84" s="19">
        <v>108.776</v>
      </c>
      <c r="AJ84" s="19">
        <v>103.9216</v>
      </c>
      <c r="AK84" s="19">
        <v>130.8023</v>
      </c>
      <c r="AL84" s="19">
        <v>108.352</v>
      </c>
      <c r="AM84" s="19">
        <v>159.44659999999999</v>
      </c>
    </row>
    <row r="85" spans="1:39" x14ac:dyDescent="0.25">
      <c r="A85" s="5">
        <v>2003</v>
      </c>
      <c r="B85" s="19">
        <v>38086.577299999997</v>
      </c>
      <c r="C85" s="19">
        <v>8905.3107</v>
      </c>
      <c r="D85" s="19">
        <v>181793.43340000001</v>
      </c>
      <c r="E85" s="19">
        <v>15849.232099999999</v>
      </c>
      <c r="F85" s="19">
        <v>41484.109199999999</v>
      </c>
      <c r="G85" s="19">
        <v>4162.7704999999996</v>
      </c>
      <c r="H85" s="19">
        <v>11230.744699999999</v>
      </c>
      <c r="I85" s="19">
        <v>8849.8847000000005</v>
      </c>
      <c r="J85" s="19">
        <v>13368.9246</v>
      </c>
      <c r="K85" s="19">
        <v>5992.4889999999996</v>
      </c>
      <c r="L85" s="19">
        <v>12501.3588</v>
      </c>
      <c r="M85" s="19">
        <v>8900.3888999999999</v>
      </c>
      <c r="N85" s="19">
        <v>7106.4270999999999</v>
      </c>
      <c r="O85" s="19">
        <v>103103.0809</v>
      </c>
      <c r="P85" s="19">
        <v>5292.0627000000004</v>
      </c>
      <c r="Q85" s="19">
        <v>3208.5956999999999</v>
      </c>
      <c r="R85" s="19">
        <v>5631.6727000000001</v>
      </c>
      <c r="S85" s="19">
        <v>27351.406599999998</v>
      </c>
      <c r="T85" s="19">
        <v>3321.1257000000001</v>
      </c>
      <c r="U85" s="19">
        <v>25554.619600000002</v>
      </c>
      <c r="V85" s="19">
        <v>313.47699999999998</v>
      </c>
      <c r="W85" s="19">
        <v>274.36160000000001</v>
      </c>
      <c r="X85" s="19">
        <v>746.17280000000005</v>
      </c>
      <c r="Y85" s="19">
        <v>409.68799999999999</v>
      </c>
      <c r="Z85" s="19">
        <v>394.71429999999998</v>
      </c>
      <c r="AA85" s="19">
        <v>3651.25</v>
      </c>
      <c r="AB85" s="19">
        <v>487.7081</v>
      </c>
      <c r="AC85" s="19">
        <v>1283.1341</v>
      </c>
      <c r="AD85" s="19">
        <v>187.00829999999999</v>
      </c>
      <c r="AE85" s="19">
        <v>2708.6104999999998</v>
      </c>
      <c r="AF85" s="19">
        <v>78.959999999999994</v>
      </c>
      <c r="AG85" s="19">
        <v>97.311099999999996</v>
      </c>
      <c r="AH85" s="19">
        <v>269.26729999999998</v>
      </c>
      <c r="AI85" s="19">
        <v>108.544</v>
      </c>
      <c r="AJ85" s="19">
        <v>104.3344</v>
      </c>
      <c r="AK85" s="19">
        <v>130.3749</v>
      </c>
      <c r="AL85" s="19">
        <v>108.648</v>
      </c>
      <c r="AM85" s="19">
        <v>160.48990000000001</v>
      </c>
    </row>
    <row r="86" spans="1:39" x14ac:dyDescent="0.25">
      <c r="A86" s="5">
        <v>2004</v>
      </c>
      <c r="B86" s="19">
        <v>38490.156000000003</v>
      </c>
      <c r="C86" s="19">
        <v>9068.7170999999998</v>
      </c>
      <c r="D86" s="19">
        <v>184002.53229999999</v>
      </c>
      <c r="E86" s="19">
        <v>16014.152700000001</v>
      </c>
      <c r="F86" s="19">
        <v>42077.959900000002</v>
      </c>
      <c r="G86" s="19">
        <v>4224.7142999999996</v>
      </c>
      <c r="H86" s="19">
        <v>11253.394899999999</v>
      </c>
      <c r="I86" s="19">
        <v>8974.0404999999992</v>
      </c>
      <c r="J86" s="19">
        <v>13595.735699999999</v>
      </c>
      <c r="K86" s="19">
        <v>6022.6480000000001</v>
      </c>
      <c r="L86" s="19">
        <v>12797.999299999999</v>
      </c>
      <c r="M86" s="19">
        <v>9047.1571999999996</v>
      </c>
      <c r="N86" s="19">
        <v>7283.5978999999998</v>
      </c>
      <c r="O86" s="19">
        <v>104527.251</v>
      </c>
      <c r="P86" s="19">
        <v>5364.7662</v>
      </c>
      <c r="Q86" s="19">
        <v>3269.0228999999999</v>
      </c>
      <c r="R86" s="19">
        <v>5729.8272999999999</v>
      </c>
      <c r="S86" s="19">
        <v>27611.422900000001</v>
      </c>
      <c r="T86" s="19">
        <v>3321.4315999999999</v>
      </c>
      <c r="U86" s="19">
        <v>25999.993299999998</v>
      </c>
      <c r="V86" s="19">
        <v>319.24529999999999</v>
      </c>
      <c r="W86" s="19">
        <v>275.1232</v>
      </c>
      <c r="X86" s="19">
        <v>746.04430000000002</v>
      </c>
      <c r="Y86" s="19">
        <v>404.976</v>
      </c>
      <c r="Z86" s="19">
        <v>396.37139999999999</v>
      </c>
      <c r="AA86" s="19">
        <v>3641.3822</v>
      </c>
      <c r="AB86" s="19">
        <v>493.2921</v>
      </c>
      <c r="AC86" s="19">
        <v>1289.6639</v>
      </c>
      <c r="AD86" s="19">
        <v>195.4599</v>
      </c>
      <c r="AE86" s="19">
        <v>2724.5282000000002</v>
      </c>
      <c r="AF86" s="19">
        <v>79.92</v>
      </c>
      <c r="AG86" s="19">
        <v>98.9619</v>
      </c>
      <c r="AH86" s="19">
        <v>276.58300000000003</v>
      </c>
      <c r="AI86" s="19">
        <v>108.2747</v>
      </c>
      <c r="AJ86" s="19">
        <v>104.6981</v>
      </c>
      <c r="AK86" s="19">
        <v>130.09829999999999</v>
      </c>
      <c r="AL86" s="19">
        <v>108.896</v>
      </c>
      <c r="AM86" s="19">
        <v>161.62209999999999</v>
      </c>
    </row>
    <row r="87" spans="1:39" x14ac:dyDescent="0.25">
      <c r="A87" s="5">
        <v>2005</v>
      </c>
      <c r="B87" s="19">
        <v>38893</v>
      </c>
      <c r="C87" s="19">
        <v>9232</v>
      </c>
      <c r="D87" s="19">
        <v>186127</v>
      </c>
      <c r="E87" s="19">
        <v>16183</v>
      </c>
      <c r="F87" s="19">
        <v>42648</v>
      </c>
      <c r="G87" s="19">
        <v>4286</v>
      </c>
      <c r="H87" s="19">
        <v>11262</v>
      </c>
      <c r="I87" s="19">
        <v>9097</v>
      </c>
      <c r="J87" s="19">
        <v>13826</v>
      </c>
      <c r="K87" s="19">
        <v>6052</v>
      </c>
      <c r="L87" s="19">
        <v>13096</v>
      </c>
      <c r="M87" s="19">
        <v>9195</v>
      </c>
      <c r="N87" s="19">
        <v>7459</v>
      </c>
      <c r="O87" s="19">
        <v>106005</v>
      </c>
      <c r="P87" s="19">
        <v>5439</v>
      </c>
      <c r="Q87" s="19">
        <v>3330</v>
      </c>
      <c r="R87" s="19">
        <v>5824</v>
      </c>
      <c r="S87" s="19">
        <v>27866</v>
      </c>
      <c r="T87" s="19">
        <v>3322</v>
      </c>
      <c r="U87" s="19">
        <v>26432</v>
      </c>
      <c r="V87" s="19">
        <v>325</v>
      </c>
      <c r="W87" s="19">
        <v>276</v>
      </c>
      <c r="X87" s="19">
        <v>746</v>
      </c>
      <c r="Y87" s="19">
        <v>403</v>
      </c>
      <c r="Z87" s="19">
        <v>397</v>
      </c>
      <c r="AA87" s="19">
        <v>3632</v>
      </c>
      <c r="AB87" s="19">
        <v>499</v>
      </c>
      <c r="AC87" s="19">
        <v>1296</v>
      </c>
      <c r="AD87" s="19">
        <v>203</v>
      </c>
      <c r="AE87" s="19">
        <v>2740</v>
      </c>
      <c r="AF87" s="19">
        <v>81</v>
      </c>
      <c r="AG87" s="19">
        <v>100</v>
      </c>
      <c r="AH87" s="19">
        <v>284</v>
      </c>
      <c r="AI87" s="19">
        <v>108</v>
      </c>
      <c r="AJ87" s="19">
        <v>105</v>
      </c>
      <c r="AK87" s="19">
        <v>130</v>
      </c>
      <c r="AL87" s="19">
        <v>109</v>
      </c>
      <c r="AM87" s="19">
        <v>163</v>
      </c>
    </row>
    <row r="88" spans="1:39" x14ac:dyDescent="0.25">
      <c r="A88" s="5">
        <v>2006</v>
      </c>
      <c r="B88" s="19">
        <v>39292.112800000003</v>
      </c>
      <c r="C88" s="19">
        <v>9395.1437999999998</v>
      </c>
      <c r="D88" s="19">
        <v>188160.89619999999</v>
      </c>
      <c r="E88" s="19">
        <v>16356.0375</v>
      </c>
      <c r="F88" s="19">
        <v>43193.790300000001</v>
      </c>
      <c r="G88" s="19">
        <v>4346.5300999999999</v>
      </c>
      <c r="H88" s="19">
        <v>11258.255999999999</v>
      </c>
      <c r="I88" s="19">
        <v>9218.5285999999996</v>
      </c>
      <c r="J88" s="19">
        <v>14060.141799999999</v>
      </c>
      <c r="K88" s="19">
        <v>6080.0873000000001</v>
      </c>
      <c r="L88" s="19">
        <v>13395.5651</v>
      </c>
      <c r="M88" s="19">
        <v>9344.4177</v>
      </c>
      <c r="N88" s="19">
        <v>7633.2682999999997</v>
      </c>
      <c r="O88" s="19">
        <v>107560.89079999999</v>
      </c>
      <c r="P88" s="19">
        <v>5514.8009000000002</v>
      </c>
      <c r="Q88" s="19">
        <v>3391.5619999999999</v>
      </c>
      <c r="R88" s="19">
        <v>5913.0510999999997</v>
      </c>
      <c r="S88" s="19">
        <v>28108.521199999999</v>
      </c>
      <c r="T88" s="19">
        <v>3324.9393</v>
      </c>
      <c r="U88" s="19">
        <v>26854.080300000001</v>
      </c>
      <c r="V88" s="19">
        <v>331.01339999999999</v>
      </c>
      <c r="W88" s="19">
        <v>277.11040000000003</v>
      </c>
      <c r="X88" s="19">
        <v>746.14739999999995</v>
      </c>
      <c r="Y88" s="19">
        <v>403.31200000000001</v>
      </c>
      <c r="Z88" s="19">
        <v>396.90649999999999</v>
      </c>
      <c r="AA88" s="19">
        <v>3623.6936000000001</v>
      </c>
      <c r="AB88" s="19">
        <v>504.86759999999998</v>
      </c>
      <c r="AC88" s="19">
        <v>1302.0601999999999</v>
      </c>
      <c r="AD88" s="19">
        <v>209.58170000000001</v>
      </c>
      <c r="AE88" s="19">
        <v>2754.7039</v>
      </c>
      <c r="AF88" s="19">
        <v>82.267899999999997</v>
      </c>
      <c r="AG88" s="19">
        <v>100.5629</v>
      </c>
      <c r="AH88" s="19">
        <v>291.51940000000002</v>
      </c>
      <c r="AI88" s="19">
        <v>107.664</v>
      </c>
      <c r="AJ88" s="19">
        <v>105.2235</v>
      </c>
      <c r="AK88" s="19">
        <v>131.5301</v>
      </c>
      <c r="AL88" s="19">
        <v>108.896</v>
      </c>
      <c r="AM88" s="19">
        <v>164.9179</v>
      </c>
    </row>
    <row r="89" spans="1:39" x14ac:dyDescent="0.25">
      <c r="A89" s="5">
        <v>2007</v>
      </c>
      <c r="B89" s="19">
        <v>39687.469100000002</v>
      </c>
      <c r="C89" s="19">
        <v>9558.3920999999991</v>
      </c>
      <c r="D89" s="19">
        <v>190118.85200000001</v>
      </c>
      <c r="E89" s="19">
        <v>16530.898499999999</v>
      </c>
      <c r="F89" s="19">
        <v>43721.421399999999</v>
      </c>
      <c r="G89" s="19">
        <v>4405.6427000000003</v>
      </c>
      <c r="H89" s="19">
        <v>11249.328</v>
      </c>
      <c r="I89" s="19">
        <v>9338.7027999999991</v>
      </c>
      <c r="J89" s="19">
        <v>14296.307699999999</v>
      </c>
      <c r="K89" s="19">
        <v>6106.4372000000003</v>
      </c>
      <c r="L89" s="19">
        <v>13698.8943</v>
      </c>
      <c r="M89" s="19">
        <v>9495.2559000000001</v>
      </c>
      <c r="N89" s="19">
        <v>7807.1315999999997</v>
      </c>
      <c r="O89" s="19">
        <v>109180.6646</v>
      </c>
      <c r="P89" s="19">
        <v>5591.2385000000004</v>
      </c>
      <c r="Q89" s="19">
        <v>3453.6790000000001</v>
      </c>
      <c r="R89" s="19">
        <v>5997.8824999999997</v>
      </c>
      <c r="S89" s="19">
        <v>28334.665700000001</v>
      </c>
      <c r="T89" s="19">
        <v>3331.3870000000002</v>
      </c>
      <c r="U89" s="19">
        <v>27270.3213</v>
      </c>
      <c r="V89" s="19">
        <v>337.41919999999999</v>
      </c>
      <c r="W89" s="19">
        <v>278.41919999999999</v>
      </c>
      <c r="X89" s="19">
        <v>746.56230000000005</v>
      </c>
      <c r="Y89" s="19">
        <v>404.05599999999998</v>
      </c>
      <c r="Z89" s="19">
        <v>396.63959999999997</v>
      </c>
      <c r="AA89" s="19">
        <v>3615.3773000000001</v>
      </c>
      <c r="AB89" s="19">
        <v>510.851</v>
      </c>
      <c r="AC89" s="19">
        <v>1308.1582000000001</v>
      </c>
      <c r="AD89" s="19">
        <v>215.7165</v>
      </c>
      <c r="AE89" s="19">
        <v>2768.4859000000001</v>
      </c>
      <c r="AF89" s="19">
        <v>83.683700000000002</v>
      </c>
      <c r="AG89" s="19">
        <v>100.9833</v>
      </c>
      <c r="AH89" s="19">
        <v>299.0797</v>
      </c>
      <c r="AI89" s="19">
        <v>107.232</v>
      </c>
      <c r="AJ89" s="19">
        <v>105.3904</v>
      </c>
      <c r="AK89" s="19">
        <v>135.35040000000001</v>
      </c>
      <c r="AL89" s="19">
        <v>108.648</v>
      </c>
      <c r="AM89" s="19">
        <v>167.33009999999999</v>
      </c>
    </row>
    <row r="90" spans="1:39" x14ac:dyDescent="0.25">
      <c r="A90" s="5">
        <v>2008</v>
      </c>
      <c r="B90" s="19">
        <v>40083.569000000003</v>
      </c>
      <c r="C90" s="19">
        <v>9721.7684000000008</v>
      </c>
      <c r="D90" s="19">
        <v>192018.55979999999</v>
      </c>
      <c r="E90" s="19">
        <v>16707.2408</v>
      </c>
      <c r="F90" s="19">
        <v>44233.657500000001</v>
      </c>
      <c r="G90" s="19">
        <v>4463.5902999999998</v>
      </c>
      <c r="H90" s="19">
        <v>11238.672</v>
      </c>
      <c r="I90" s="19">
        <v>9457.9125999999997</v>
      </c>
      <c r="J90" s="19">
        <v>14533.9028</v>
      </c>
      <c r="K90" s="19">
        <v>6131.9432999999999</v>
      </c>
      <c r="L90" s="19">
        <v>14005.841</v>
      </c>
      <c r="M90" s="19">
        <v>9646.7852999999996</v>
      </c>
      <c r="N90" s="19">
        <v>7979.6607000000004</v>
      </c>
      <c r="O90" s="19">
        <v>110831.29300000001</v>
      </c>
      <c r="P90" s="19">
        <v>5668.2757000000001</v>
      </c>
      <c r="Q90" s="19">
        <v>3516.3150000000001</v>
      </c>
      <c r="R90" s="19">
        <v>6080.5883999999996</v>
      </c>
      <c r="S90" s="19">
        <v>28555.749599999999</v>
      </c>
      <c r="T90" s="19">
        <v>3340.0650999999998</v>
      </c>
      <c r="U90" s="19">
        <v>27676.322199999999</v>
      </c>
      <c r="V90" s="19">
        <v>343.81819999999999</v>
      </c>
      <c r="W90" s="19">
        <v>279.77280000000002</v>
      </c>
      <c r="X90" s="19">
        <v>747.20339999999999</v>
      </c>
      <c r="Y90" s="19">
        <v>404.94400000000002</v>
      </c>
      <c r="Z90" s="19">
        <v>396.21940000000001</v>
      </c>
      <c r="AA90" s="19">
        <v>3606.0142999999998</v>
      </c>
      <c r="AB90" s="19">
        <v>516.90070000000003</v>
      </c>
      <c r="AC90" s="19">
        <v>1314.4262000000001</v>
      </c>
      <c r="AD90" s="19">
        <v>221.56039999999999</v>
      </c>
      <c r="AE90" s="19">
        <v>2781.9160000000002</v>
      </c>
      <c r="AF90" s="19">
        <v>85.165499999999994</v>
      </c>
      <c r="AG90" s="19">
        <v>101.3222</v>
      </c>
      <c r="AH90" s="19">
        <v>306.68029999999999</v>
      </c>
      <c r="AI90" s="19">
        <v>106.768</v>
      </c>
      <c r="AJ90" s="19">
        <v>105.54559999999999</v>
      </c>
      <c r="AK90" s="19">
        <v>140.3056</v>
      </c>
      <c r="AL90" s="19">
        <v>108.352</v>
      </c>
      <c r="AM90" s="19">
        <v>169.88339999999999</v>
      </c>
    </row>
    <row r="91" spans="1:39" x14ac:dyDescent="0.25">
      <c r="A91" s="5">
        <v>2009</v>
      </c>
      <c r="B91" s="19">
        <v>40484.912600000003</v>
      </c>
      <c r="C91" s="19">
        <v>9885.2965000000004</v>
      </c>
      <c r="D91" s="19">
        <v>193877.71179999999</v>
      </c>
      <c r="E91" s="19">
        <v>16884.722099999999</v>
      </c>
      <c r="F91" s="19">
        <v>44733.262300000002</v>
      </c>
      <c r="G91" s="19">
        <v>4520.6252000000004</v>
      </c>
      <c r="H91" s="19">
        <v>11229.744000000001</v>
      </c>
      <c r="I91" s="19">
        <v>9576.5483000000004</v>
      </c>
      <c r="J91" s="19">
        <v>14772.331899999999</v>
      </c>
      <c r="K91" s="19">
        <v>6157.4996000000001</v>
      </c>
      <c r="L91" s="19">
        <v>14316.2585</v>
      </c>
      <c r="M91" s="19">
        <v>9798.2764000000006</v>
      </c>
      <c r="N91" s="19">
        <v>8149.9264999999996</v>
      </c>
      <c r="O91" s="19">
        <v>112479.7476</v>
      </c>
      <c r="P91" s="19">
        <v>5745.8752000000004</v>
      </c>
      <c r="Q91" s="19">
        <v>3579.4340000000002</v>
      </c>
      <c r="R91" s="19">
        <v>6163.2628000000004</v>
      </c>
      <c r="S91" s="19">
        <v>28783.089</v>
      </c>
      <c r="T91" s="19">
        <v>3349.6954999999998</v>
      </c>
      <c r="U91" s="19">
        <v>28067.682100000002</v>
      </c>
      <c r="V91" s="19">
        <v>349.81150000000002</v>
      </c>
      <c r="W91" s="19">
        <v>281.01760000000002</v>
      </c>
      <c r="X91" s="19">
        <v>748.02970000000005</v>
      </c>
      <c r="Y91" s="19">
        <v>405.68799999999999</v>
      </c>
      <c r="Z91" s="19">
        <v>395.66609999999997</v>
      </c>
      <c r="AA91" s="19">
        <v>3594.5675999999999</v>
      </c>
      <c r="AB91" s="19">
        <v>522.96690000000001</v>
      </c>
      <c r="AC91" s="19">
        <v>1320.9961000000001</v>
      </c>
      <c r="AD91" s="19">
        <v>227.2696</v>
      </c>
      <c r="AE91" s="19">
        <v>2795.5641000000001</v>
      </c>
      <c r="AF91" s="19">
        <v>86.631600000000006</v>
      </c>
      <c r="AG91" s="19">
        <v>101.6407</v>
      </c>
      <c r="AH91" s="19">
        <v>314.32060000000001</v>
      </c>
      <c r="AI91" s="19">
        <v>106.336</v>
      </c>
      <c r="AJ91" s="19">
        <v>105.73390000000001</v>
      </c>
      <c r="AK91" s="19">
        <v>145.2405</v>
      </c>
      <c r="AL91" s="19">
        <v>108.104</v>
      </c>
      <c r="AM91" s="19">
        <v>172.22450000000001</v>
      </c>
    </row>
    <row r="92" spans="1:39" x14ac:dyDescent="0.25">
      <c r="A92" s="5">
        <v>2010</v>
      </c>
      <c r="B92" s="19">
        <v>40896</v>
      </c>
      <c r="C92" s="19">
        <v>10049</v>
      </c>
      <c r="D92" s="19">
        <v>195714</v>
      </c>
      <c r="E92" s="19">
        <v>17063</v>
      </c>
      <c r="F92" s="19">
        <v>45223</v>
      </c>
      <c r="G92" s="19">
        <v>4577</v>
      </c>
      <c r="H92" s="19">
        <v>11226</v>
      </c>
      <c r="I92" s="19">
        <v>9695</v>
      </c>
      <c r="J92" s="19">
        <v>15011</v>
      </c>
      <c r="K92" s="19">
        <v>6184</v>
      </c>
      <c r="L92" s="19">
        <v>14630</v>
      </c>
      <c r="M92" s="19">
        <v>9949</v>
      </c>
      <c r="N92" s="19">
        <v>8317</v>
      </c>
      <c r="O92" s="19">
        <v>114093</v>
      </c>
      <c r="P92" s="19">
        <v>5824</v>
      </c>
      <c r="Q92" s="19">
        <v>3643</v>
      </c>
      <c r="R92" s="19">
        <v>6248</v>
      </c>
      <c r="S92" s="19">
        <v>29028</v>
      </c>
      <c r="T92" s="19">
        <v>3359</v>
      </c>
      <c r="U92" s="19">
        <v>28440</v>
      </c>
      <c r="V92" s="19">
        <v>355</v>
      </c>
      <c r="W92" s="19">
        <v>282</v>
      </c>
      <c r="X92" s="19">
        <v>749</v>
      </c>
      <c r="Y92" s="19">
        <v>406</v>
      </c>
      <c r="Z92" s="19">
        <v>395</v>
      </c>
      <c r="AA92" s="19">
        <v>3580</v>
      </c>
      <c r="AB92" s="19">
        <v>529</v>
      </c>
      <c r="AC92" s="19">
        <v>1328</v>
      </c>
      <c r="AD92" s="19">
        <v>233</v>
      </c>
      <c r="AE92" s="19">
        <v>2810</v>
      </c>
      <c r="AF92" s="19">
        <v>88</v>
      </c>
      <c r="AG92" s="19">
        <v>102</v>
      </c>
      <c r="AH92" s="19">
        <v>322</v>
      </c>
      <c r="AI92" s="19">
        <v>106</v>
      </c>
      <c r="AJ92" s="19">
        <v>106</v>
      </c>
      <c r="AK92" s="19">
        <v>149</v>
      </c>
      <c r="AL92" s="19">
        <v>108</v>
      </c>
      <c r="AM92" s="19">
        <v>174</v>
      </c>
    </row>
    <row r="93" spans="1:39" x14ac:dyDescent="0.25">
      <c r="A93" s="5">
        <v>2011</v>
      </c>
      <c r="B93" s="19">
        <v>41321.002500000002</v>
      </c>
      <c r="C93" s="19">
        <v>10213.2346</v>
      </c>
      <c r="D93" s="19">
        <v>197527.4221</v>
      </c>
      <c r="E93" s="19">
        <v>17239.108400000001</v>
      </c>
      <c r="F93" s="19">
        <v>45685.496500000001</v>
      </c>
      <c r="G93" s="19">
        <v>4632.8537999999999</v>
      </c>
      <c r="H93" s="19">
        <v>11236.1705</v>
      </c>
      <c r="I93" s="19">
        <v>9813.4395999999997</v>
      </c>
      <c r="J93" s="19">
        <v>15246.8107</v>
      </c>
      <c r="K93" s="19">
        <v>6211.3062</v>
      </c>
      <c r="L93" s="19">
        <v>14947.9475</v>
      </c>
      <c r="M93" s="19">
        <v>10099.503500000001</v>
      </c>
      <c r="N93" s="19">
        <v>8480.0833999999995</v>
      </c>
      <c r="O93" s="19">
        <v>115677.80409999999</v>
      </c>
      <c r="P93" s="19">
        <v>5902.8401999999996</v>
      </c>
      <c r="Q93" s="19">
        <v>3706.8771000000002</v>
      </c>
      <c r="R93" s="19">
        <v>6335.0428000000002</v>
      </c>
      <c r="S93" s="19">
        <v>29284.289100000002</v>
      </c>
      <c r="T93" s="19">
        <v>3368.2611999999999</v>
      </c>
      <c r="U93" s="19">
        <v>28842.019199999999</v>
      </c>
      <c r="V93" s="19">
        <v>359.346</v>
      </c>
      <c r="W93" s="19">
        <v>282.74720000000002</v>
      </c>
      <c r="X93" s="19">
        <v>750.92399999999998</v>
      </c>
      <c r="Y93" s="19">
        <v>405.37599999999998</v>
      </c>
      <c r="Z93" s="19">
        <v>392.93709999999999</v>
      </c>
      <c r="AA93" s="19">
        <v>3558.0472</v>
      </c>
      <c r="AB93" s="19">
        <v>535.03309999999999</v>
      </c>
      <c r="AC93" s="19">
        <v>1335.9195999999999</v>
      </c>
      <c r="AD93" s="19">
        <v>238.58779999999999</v>
      </c>
      <c r="AE93" s="19">
        <v>2825.6334999999999</v>
      </c>
      <c r="AF93" s="19">
        <v>89.297499999999999</v>
      </c>
      <c r="AG93" s="19">
        <v>102.38720000000001</v>
      </c>
      <c r="AH93" s="19">
        <v>329.76799999999997</v>
      </c>
      <c r="AI93" s="19">
        <v>105.7573</v>
      </c>
      <c r="AJ93" s="19">
        <v>106.5111</v>
      </c>
      <c r="AK93" s="19">
        <v>151.7397</v>
      </c>
      <c r="AL93" s="19">
        <v>108.0613</v>
      </c>
      <c r="AM93" s="19">
        <v>175.24</v>
      </c>
    </row>
    <row r="94" spans="1:39" x14ac:dyDescent="0.25">
      <c r="A94" s="5">
        <v>2012</v>
      </c>
      <c r="B94" s="19">
        <v>41757.2163</v>
      </c>
      <c r="C94" s="19">
        <v>10377.984899999999</v>
      </c>
      <c r="D94" s="19">
        <v>199307.68169999999</v>
      </c>
      <c r="E94" s="19">
        <v>17413.290700000001</v>
      </c>
      <c r="F94" s="19">
        <v>46119.539100000002</v>
      </c>
      <c r="G94" s="19">
        <v>4688.0468000000001</v>
      </c>
      <c r="H94" s="19">
        <v>11260.471600000001</v>
      </c>
      <c r="I94" s="19">
        <v>9931.6110000000008</v>
      </c>
      <c r="J94" s="19">
        <v>15480.165000000001</v>
      </c>
      <c r="K94" s="19">
        <v>6238.8342000000002</v>
      </c>
      <c r="L94" s="19">
        <v>15270.2971</v>
      </c>
      <c r="M94" s="19">
        <v>10250.2745</v>
      </c>
      <c r="N94" s="19">
        <v>8639.8891000000003</v>
      </c>
      <c r="O94" s="19">
        <v>117256.4421</v>
      </c>
      <c r="P94" s="19">
        <v>5982.4305000000004</v>
      </c>
      <c r="Q94" s="19">
        <v>3771.0983000000001</v>
      </c>
      <c r="R94" s="19">
        <v>6423.0083999999997</v>
      </c>
      <c r="S94" s="19">
        <v>29545.6247</v>
      </c>
      <c r="T94" s="19">
        <v>3378.4450000000002</v>
      </c>
      <c r="U94" s="19">
        <v>29278.141599999999</v>
      </c>
      <c r="V94" s="19">
        <v>363.21420000000001</v>
      </c>
      <c r="W94" s="19">
        <v>283.40159999999997</v>
      </c>
      <c r="X94" s="19">
        <v>754.25760000000002</v>
      </c>
      <c r="Y94" s="19">
        <v>403.88799999999998</v>
      </c>
      <c r="Z94" s="19">
        <v>388.99020000000002</v>
      </c>
      <c r="AA94" s="19">
        <v>3525.9901</v>
      </c>
      <c r="AB94" s="19">
        <v>541.09929999999997</v>
      </c>
      <c r="AC94" s="19">
        <v>1344.721</v>
      </c>
      <c r="AD94" s="19">
        <v>243.93180000000001</v>
      </c>
      <c r="AE94" s="19">
        <v>2842.1167999999998</v>
      </c>
      <c r="AF94" s="19">
        <v>90.581699999999998</v>
      </c>
      <c r="AG94" s="19">
        <v>102.7616</v>
      </c>
      <c r="AH94" s="19">
        <v>337.62560000000002</v>
      </c>
      <c r="AI94" s="19">
        <v>105.55200000000001</v>
      </c>
      <c r="AJ94" s="19">
        <v>107.30929999999999</v>
      </c>
      <c r="AK94" s="19">
        <v>154.3152</v>
      </c>
      <c r="AL94" s="19">
        <v>108.224</v>
      </c>
      <c r="AM94" s="19">
        <v>176.27</v>
      </c>
    </row>
    <row r="95" spans="1:39" x14ac:dyDescent="0.25">
      <c r="A95" s="5">
        <v>2013</v>
      </c>
      <c r="B95" s="19">
        <v>42198.828800000003</v>
      </c>
      <c r="C95" s="19">
        <v>10542.7179</v>
      </c>
      <c r="D95" s="19">
        <v>201057.03030000001</v>
      </c>
      <c r="E95" s="19">
        <v>17590.018800000002</v>
      </c>
      <c r="F95" s="19">
        <v>46552.133399999999</v>
      </c>
      <c r="G95" s="19">
        <v>4742.4129000000003</v>
      </c>
      <c r="H95" s="19">
        <v>11289.5874</v>
      </c>
      <c r="I95" s="19">
        <v>10049.2626</v>
      </c>
      <c r="J95" s="19">
        <v>15715.714</v>
      </c>
      <c r="K95" s="19">
        <v>6266.8091000000004</v>
      </c>
      <c r="L95" s="19">
        <v>15595.8729</v>
      </c>
      <c r="M95" s="19">
        <v>10400.493700000001</v>
      </c>
      <c r="N95" s="19">
        <v>8797.7531999999992</v>
      </c>
      <c r="O95" s="19">
        <v>118819.178</v>
      </c>
      <c r="P95" s="19">
        <v>6062.5007999999998</v>
      </c>
      <c r="Q95" s="19">
        <v>3835.8809999999999</v>
      </c>
      <c r="R95" s="19">
        <v>6511.5527000000002</v>
      </c>
      <c r="S95" s="19">
        <v>29823.115699999998</v>
      </c>
      <c r="T95" s="19">
        <v>3389.2982000000002</v>
      </c>
      <c r="U95" s="19">
        <v>29677.454399999999</v>
      </c>
      <c r="V95" s="19">
        <v>366.80950000000001</v>
      </c>
      <c r="W95" s="19">
        <v>283.98239999999998</v>
      </c>
      <c r="X95" s="19">
        <v>758.42930000000001</v>
      </c>
      <c r="Y95" s="19">
        <v>402.11200000000002</v>
      </c>
      <c r="Z95" s="19">
        <v>384.37479999999999</v>
      </c>
      <c r="AA95" s="19">
        <v>3485.1093000000001</v>
      </c>
      <c r="AB95" s="19">
        <v>547.149</v>
      </c>
      <c r="AC95" s="19">
        <v>1353.7625</v>
      </c>
      <c r="AD95" s="19">
        <v>249.2818</v>
      </c>
      <c r="AE95" s="19">
        <v>2858.8832000000002</v>
      </c>
      <c r="AF95" s="19">
        <v>91.817099999999996</v>
      </c>
      <c r="AG95" s="19">
        <v>103.14239999999999</v>
      </c>
      <c r="AH95" s="19">
        <v>345.49919999999997</v>
      </c>
      <c r="AI95" s="19">
        <v>105.36799999999999</v>
      </c>
      <c r="AJ95" s="19">
        <v>108.25190000000001</v>
      </c>
      <c r="AK95" s="19">
        <v>156.6208</v>
      </c>
      <c r="AL95" s="19">
        <v>108.456</v>
      </c>
      <c r="AM95" s="19">
        <v>177.18</v>
      </c>
    </row>
    <row r="96" spans="1:39" x14ac:dyDescent="0.25">
      <c r="A96" s="5">
        <v>2014</v>
      </c>
      <c r="B96" s="19">
        <v>42640.027600000001</v>
      </c>
      <c r="C96" s="19">
        <v>10706.900600000001</v>
      </c>
      <c r="D96" s="19">
        <v>202777.71919999999</v>
      </c>
      <c r="E96" s="19">
        <v>17773.764599999999</v>
      </c>
      <c r="F96" s="19">
        <v>47010.285100000001</v>
      </c>
      <c r="G96" s="19">
        <v>4795.7860000000001</v>
      </c>
      <c r="H96" s="19">
        <v>11314.2021</v>
      </c>
      <c r="I96" s="19">
        <v>10166.1428</v>
      </c>
      <c r="J96" s="19">
        <v>15958.1086</v>
      </c>
      <c r="K96" s="19">
        <v>6295.4560000000001</v>
      </c>
      <c r="L96" s="19">
        <v>15923.499100000001</v>
      </c>
      <c r="M96" s="19">
        <v>10549.341899999999</v>
      </c>
      <c r="N96" s="19">
        <v>8955.0115000000005</v>
      </c>
      <c r="O96" s="19">
        <v>120356.276</v>
      </c>
      <c r="P96" s="19">
        <v>6142.7807000000003</v>
      </c>
      <c r="Q96" s="19">
        <v>3901.4425000000001</v>
      </c>
      <c r="R96" s="19">
        <v>6600.3312999999998</v>
      </c>
      <c r="S96" s="19">
        <v>30127.8711</v>
      </c>
      <c r="T96" s="19">
        <v>3400.5675999999999</v>
      </c>
      <c r="U96" s="19">
        <v>29969.0448</v>
      </c>
      <c r="V96" s="19">
        <v>370.3365</v>
      </c>
      <c r="W96" s="19">
        <v>284.50880000000001</v>
      </c>
      <c r="X96" s="19">
        <v>762.8673</v>
      </c>
      <c r="Y96" s="19">
        <v>400.62400000000002</v>
      </c>
      <c r="Z96" s="19">
        <v>380.30630000000002</v>
      </c>
      <c r="AA96" s="19">
        <v>3436.6855999999998</v>
      </c>
      <c r="AB96" s="19">
        <v>553.13239999999996</v>
      </c>
      <c r="AC96" s="19">
        <v>1362.4027000000001</v>
      </c>
      <c r="AD96" s="19">
        <v>254.8879</v>
      </c>
      <c r="AE96" s="19">
        <v>2875.3665000000001</v>
      </c>
      <c r="AF96" s="19">
        <v>92.968400000000003</v>
      </c>
      <c r="AG96" s="19">
        <v>103.5488</v>
      </c>
      <c r="AH96" s="19">
        <v>353.3152</v>
      </c>
      <c r="AI96" s="19">
        <v>105.1893</v>
      </c>
      <c r="AJ96" s="19">
        <v>109.19629999999999</v>
      </c>
      <c r="AK96" s="19">
        <v>158.55090000000001</v>
      </c>
      <c r="AL96" s="19">
        <v>108.7253</v>
      </c>
      <c r="AM96" s="19">
        <v>178.06</v>
      </c>
    </row>
    <row r="97" spans="1:39" x14ac:dyDescent="0.25">
      <c r="A97" s="5">
        <v>2015</v>
      </c>
      <c r="B97" s="19">
        <v>43075</v>
      </c>
      <c r="C97" s="19">
        <v>10870</v>
      </c>
      <c r="D97" s="19">
        <v>204472</v>
      </c>
      <c r="E97" s="19">
        <v>17969</v>
      </c>
      <c r="F97" s="19">
        <v>47521</v>
      </c>
      <c r="G97" s="19">
        <v>4848</v>
      </c>
      <c r="H97" s="19">
        <v>11325</v>
      </c>
      <c r="I97" s="19">
        <v>10282</v>
      </c>
      <c r="J97" s="19">
        <v>16212</v>
      </c>
      <c r="K97" s="19">
        <v>6325</v>
      </c>
      <c r="L97" s="19">
        <v>16252</v>
      </c>
      <c r="M97" s="19">
        <v>10696</v>
      </c>
      <c r="N97" s="19">
        <v>9113</v>
      </c>
      <c r="O97" s="19">
        <v>121858</v>
      </c>
      <c r="P97" s="19">
        <v>6223</v>
      </c>
      <c r="Q97" s="19">
        <v>3968</v>
      </c>
      <c r="R97" s="19">
        <v>6689</v>
      </c>
      <c r="S97" s="19">
        <v>30471</v>
      </c>
      <c r="T97" s="19">
        <v>3412</v>
      </c>
      <c r="U97" s="19">
        <v>30082</v>
      </c>
      <c r="V97" s="19">
        <v>374</v>
      </c>
      <c r="W97" s="19">
        <v>285</v>
      </c>
      <c r="X97" s="19">
        <v>767</v>
      </c>
      <c r="Y97" s="19">
        <v>400</v>
      </c>
      <c r="Z97" s="19">
        <v>378</v>
      </c>
      <c r="AA97" s="19">
        <v>3382</v>
      </c>
      <c r="AB97" s="19">
        <v>559</v>
      </c>
      <c r="AC97" s="19">
        <v>1370</v>
      </c>
      <c r="AD97" s="19">
        <v>261</v>
      </c>
      <c r="AE97" s="19">
        <v>2891</v>
      </c>
      <c r="AF97" s="19">
        <v>94</v>
      </c>
      <c r="AG97" s="19">
        <v>104</v>
      </c>
      <c r="AH97" s="19">
        <v>361</v>
      </c>
      <c r="AI97" s="19">
        <v>105</v>
      </c>
      <c r="AJ97" s="19">
        <v>110</v>
      </c>
      <c r="AK97" s="19">
        <v>160</v>
      </c>
      <c r="AL97" s="19">
        <v>109</v>
      </c>
      <c r="AM97" s="19">
        <v>179</v>
      </c>
    </row>
    <row r="98" spans="1:39" x14ac:dyDescent="0.25">
      <c r="A98" s="5">
        <v>2016</v>
      </c>
      <c r="B98" s="19">
        <v>43503.3197</v>
      </c>
      <c r="C98" s="19">
        <v>11031.881600000001</v>
      </c>
      <c r="D98" s="19">
        <v>206135.78760000001</v>
      </c>
      <c r="E98" s="19">
        <v>18179.0111</v>
      </c>
      <c r="F98" s="19">
        <v>48102.390800000001</v>
      </c>
      <c r="G98" s="19">
        <v>4898.9129999999996</v>
      </c>
      <c r="H98" s="19">
        <v>11325.676600000001</v>
      </c>
      <c r="I98" s="19">
        <v>10396.684499999999</v>
      </c>
      <c r="J98" s="19">
        <v>16480.192899999998</v>
      </c>
      <c r="K98" s="19">
        <v>6355.6646000000001</v>
      </c>
      <c r="L98" s="19">
        <v>16581.737300000001</v>
      </c>
      <c r="M98" s="19">
        <v>10840.200800000001</v>
      </c>
      <c r="N98" s="19">
        <v>9271.6872999999996</v>
      </c>
      <c r="O98" s="19">
        <v>123320.3701</v>
      </c>
      <c r="P98" s="19">
        <v>6303.1832000000004</v>
      </c>
      <c r="Q98" s="19">
        <v>4035.7640999999999</v>
      </c>
      <c r="R98" s="19">
        <v>6777.5833000000002</v>
      </c>
      <c r="S98" s="19">
        <v>30874.589400000001</v>
      </c>
      <c r="T98" s="19">
        <v>3423.7013000000002</v>
      </c>
      <c r="U98" s="19">
        <v>29989.824000000001</v>
      </c>
      <c r="V98" s="19">
        <v>377.8</v>
      </c>
      <c r="W98" s="19">
        <v>285.45760000000001</v>
      </c>
      <c r="X98" s="19">
        <v>770.84839999999997</v>
      </c>
      <c r="Y98" s="19">
        <v>400</v>
      </c>
      <c r="Z98" s="19">
        <v>377.0976</v>
      </c>
      <c r="AA98" s="19">
        <v>3311.5034000000001</v>
      </c>
      <c r="AB98" s="19">
        <v>564.73900000000003</v>
      </c>
      <c r="AC98" s="19">
        <v>1376.5645999999999</v>
      </c>
      <c r="AD98" s="19">
        <v>267.77089999999998</v>
      </c>
      <c r="AE98" s="19">
        <v>2905.7343000000001</v>
      </c>
      <c r="AF98" s="19">
        <v>94.915199999999999</v>
      </c>
      <c r="AG98" s="19">
        <v>104.5136</v>
      </c>
      <c r="AH98" s="19">
        <v>368.54020000000003</v>
      </c>
      <c r="AI98" s="19">
        <v>104.8</v>
      </c>
      <c r="AJ98" s="19">
        <v>110.6617</v>
      </c>
      <c r="AK98" s="19">
        <v>161.06880000000001</v>
      </c>
      <c r="AL98" s="19">
        <v>109.304</v>
      </c>
      <c r="AM98" s="19">
        <v>180</v>
      </c>
    </row>
    <row r="99" spans="1:39" x14ac:dyDescent="0.25">
      <c r="A99" s="5">
        <v>2017</v>
      </c>
      <c r="B99" s="19">
        <v>43928.892899999999</v>
      </c>
      <c r="C99" s="19">
        <v>11192.908799999999</v>
      </c>
      <c r="D99" s="19">
        <v>207768.6501</v>
      </c>
      <c r="E99" s="19">
        <v>18401.948100000001</v>
      </c>
      <c r="F99" s="19">
        <v>48744.454400000002</v>
      </c>
      <c r="G99" s="19">
        <v>4948.6839</v>
      </c>
      <c r="H99" s="19">
        <v>11326.168799999999</v>
      </c>
      <c r="I99" s="19">
        <v>10510.379300000001</v>
      </c>
      <c r="J99" s="19">
        <v>16760.390500000001</v>
      </c>
      <c r="K99" s="19">
        <v>6387.3527999999997</v>
      </c>
      <c r="L99" s="19">
        <v>16913.516500000002</v>
      </c>
      <c r="M99" s="19">
        <v>10982.5344</v>
      </c>
      <c r="N99" s="19">
        <v>9430.1830000000009</v>
      </c>
      <c r="O99" s="19">
        <v>124751.16009999999</v>
      </c>
      <c r="P99" s="19">
        <v>6383.5109000000002</v>
      </c>
      <c r="Q99" s="19">
        <v>4104.6189000000004</v>
      </c>
      <c r="R99" s="19">
        <v>6866.3109999999997</v>
      </c>
      <c r="S99" s="19">
        <v>31342.585800000001</v>
      </c>
      <c r="T99" s="19">
        <v>3435.8683999999998</v>
      </c>
      <c r="U99" s="19">
        <v>29739.632000000001</v>
      </c>
      <c r="V99" s="19">
        <v>381.6</v>
      </c>
      <c r="W99" s="19">
        <v>285.8768</v>
      </c>
      <c r="X99" s="19">
        <v>774.79790000000003</v>
      </c>
      <c r="Y99" s="19">
        <v>400</v>
      </c>
      <c r="Z99" s="19">
        <v>376.39679999999998</v>
      </c>
      <c r="AA99" s="19">
        <v>3218.5378999999998</v>
      </c>
      <c r="AB99" s="19">
        <v>570.3854</v>
      </c>
      <c r="AC99" s="19">
        <v>1382.6195</v>
      </c>
      <c r="AD99" s="19">
        <v>275.09449999999998</v>
      </c>
      <c r="AE99" s="19">
        <v>2919.9791</v>
      </c>
      <c r="AF99" s="19">
        <v>95.753600000000006</v>
      </c>
      <c r="AG99" s="19">
        <v>105.0848</v>
      </c>
      <c r="AH99" s="19">
        <v>375.98689999999999</v>
      </c>
      <c r="AI99" s="19">
        <v>104.6</v>
      </c>
      <c r="AJ99" s="19">
        <v>111.28230000000001</v>
      </c>
      <c r="AK99" s="19">
        <v>161.95840000000001</v>
      </c>
      <c r="AL99" s="19">
        <v>109.672</v>
      </c>
      <c r="AM99" s="19">
        <v>181</v>
      </c>
    </row>
    <row r="100" spans="1:39" x14ac:dyDescent="0.25">
      <c r="A100" s="5">
        <v>2018</v>
      </c>
      <c r="B100" s="19">
        <v>44352.406300000002</v>
      </c>
      <c r="C100" s="19">
        <v>11353.2952</v>
      </c>
      <c r="D100" s="19">
        <v>209378.31880000001</v>
      </c>
      <c r="E100" s="19">
        <v>18634.579600000001</v>
      </c>
      <c r="F100" s="19">
        <v>49432.022599999997</v>
      </c>
      <c r="G100" s="19">
        <v>4997.5985000000001</v>
      </c>
      <c r="H100" s="19">
        <v>11326.5227</v>
      </c>
      <c r="I100" s="19">
        <v>10623.331899999999</v>
      </c>
      <c r="J100" s="19">
        <v>17049.591700000001</v>
      </c>
      <c r="K100" s="19">
        <v>6419.8086999999996</v>
      </c>
      <c r="L100" s="19">
        <v>17246.8269</v>
      </c>
      <c r="M100" s="19">
        <v>11123.4676</v>
      </c>
      <c r="N100" s="19">
        <v>9588.5352000000003</v>
      </c>
      <c r="O100" s="19">
        <v>126158.2651</v>
      </c>
      <c r="P100" s="19">
        <v>6463.9471000000003</v>
      </c>
      <c r="Q100" s="19">
        <v>4174.2915000000003</v>
      </c>
      <c r="R100" s="19">
        <v>6955.1471000000001</v>
      </c>
      <c r="S100" s="19">
        <v>31858.887599999998</v>
      </c>
      <c r="T100" s="19">
        <v>3448.3847999999998</v>
      </c>
      <c r="U100" s="19">
        <v>29370.928</v>
      </c>
      <c r="V100" s="19">
        <v>385.4</v>
      </c>
      <c r="W100" s="19">
        <v>286.2672</v>
      </c>
      <c r="X100" s="19">
        <v>778.82320000000004</v>
      </c>
      <c r="Y100" s="19">
        <v>400</v>
      </c>
      <c r="Z100" s="19">
        <v>375.84719999999999</v>
      </c>
      <c r="AA100" s="19">
        <v>3108.7206000000001</v>
      </c>
      <c r="AB100" s="19">
        <v>575.96220000000005</v>
      </c>
      <c r="AC100" s="19">
        <v>1388.2920999999999</v>
      </c>
      <c r="AD100" s="19">
        <v>282.83269999999999</v>
      </c>
      <c r="AE100" s="19">
        <v>2933.8566999999998</v>
      </c>
      <c r="AF100" s="19">
        <v>96.534400000000005</v>
      </c>
      <c r="AG100" s="19">
        <v>105.6992</v>
      </c>
      <c r="AH100" s="19">
        <v>383.36360000000002</v>
      </c>
      <c r="AI100" s="19">
        <v>104.4</v>
      </c>
      <c r="AJ100" s="19">
        <v>111.872</v>
      </c>
      <c r="AK100" s="19">
        <v>162.71360000000001</v>
      </c>
      <c r="AL100" s="19">
        <v>110.08799999999999</v>
      </c>
      <c r="AM100" s="19">
        <v>182</v>
      </c>
    </row>
    <row r="101" spans="1:39" x14ac:dyDescent="0.25">
      <c r="A101" s="5">
        <v>2019</v>
      </c>
      <c r="B101" s="19">
        <v>44774.546399999999</v>
      </c>
      <c r="C101" s="19">
        <v>11513.2544</v>
      </c>
      <c r="D101" s="19">
        <v>210972.52499999999</v>
      </c>
      <c r="E101" s="19">
        <v>18873.673999999999</v>
      </c>
      <c r="F101" s="19">
        <v>50149.927199999998</v>
      </c>
      <c r="G101" s="19">
        <v>5045.942</v>
      </c>
      <c r="H101" s="19">
        <v>11326.7844</v>
      </c>
      <c r="I101" s="19">
        <v>10735.7896</v>
      </c>
      <c r="J101" s="19">
        <v>17344.795300000002</v>
      </c>
      <c r="K101" s="19">
        <v>6452.7763999999997</v>
      </c>
      <c r="L101" s="19">
        <v>17581.158200000002</v>
      </c>
      <c r="M101" s="19">
        <v>11263.467199999999</v>
      </c>
      <c r="N101" s="19">
        <v>9746.7914999999994</v>
      </c>
      <c r="O101" s="19">
        <v>127549.58010000001</v>
      </c>
      <c r="P101" s="19">
        <v>6544.4555</v>
      </c>
      <c r="Q101" s="19">
        <v>4244.5093999999999</v>
      </c>
      <c r="R101" s="19">
        <v>7044.0555000000004</v>
      </c>
      <c r="S101" s="19">
        <v>32407.392899999999</v>
      </c>
      <c r="T101" s="19">
        <v>3461.1342</v>
      </c>
      <c r="U101" s="19">
        <v>28923.216</v>
      </c>
      <c r="V101" s="19">
        <v>389.2</v>
      </c>
      <c r="W101" s="19">
        <v>286.63839999999999</v>
      </c>
      <c r="X101" s="19">
        <v>782.89890000000003</v>
      </c>
      <c r="Y101" s="19">
        <v>400</v>
      </c>
      <c r="Z101" s="19">
        <v>375.39839999999998</v>
      </c>
      <c r="AA101" s="19">
        <v>2987.6689000000001</v>
      </c>
      <c r="AB101" s="19">
        <v>581.49270000000001</v>
      </c>
      <c r="AC101" s="19">
        <v>1393.7097000000001</v>
      </c>
      <c r="AD101" s="19">
        <v>290.84730000000002</v>
      </c>
      <c r="AE101" s="19">
        <v>2947.4895000000001</v>
      </c>
      <c r="AF101" s="19">
        <v>97.276799999999994</v>
      </c>
      <c r="AG101" s="19">
        <v>106.3424</v>
      </c>
      <c r="AH101" s="19">
        <v>390.69349999999997</v>
      </c>
      <c r="AI101" s="19">
        <v>104.2</v>
      </c>
      <c r="AJ101" s="19">
        <v>112.44110000000001</v>
      </c>
      <c r="AK101" s="19">
        <v>163.3792</v>
      </c>
      <c r="AL101" s="19">
        <v>110.536</v>
      </c>
      <c r="AM101" s="19">
        <v>183</v>
      </c>
    </row>
    <row r="102" spans="1:39" x14ac:dyDescent="0.25">
      <c r="A102" s="5">
        <v>2020</v>
      </c>
      <c r="B102" s="19">
        <v>45196</v>
      </c>
      <c r="C102" s="19">
        <v>11673</v>
      </c>
      <c r="D102" s="19">
        <v>212559</v>
      </c>
      <c r="E102" s="19">
        <v>19116</v>
      </c>
      <c r="F102" s="19">
        <v>50883</v>
      </c>
      <c r="G102" s="19">
        <v>5094</v>
      </c>
      <c r="H102" s="19">
        <v>11327</v>
      </c>
      <c r="I102" s="19">
        <v>10848</v>
      </c>
      <c r="J102" s="19">
        <v>17643</v>
      </c>
      <c r="K102" s="19">
        <v>6486</v>
      </c>
      <c r="L102" s="19">
        <v>17916</v>
      </c>
      <c r="M102" s="19">
        <v>11403</v>
      </c>
      <c r="N102" s="19">
        <v>9905</v>
      </c>
      <c r="O102" s="19">
        <v>128933</v>
      </c>
      <c r="P102" s="19">
        <v>6625</v>
      </c>
      <c r="Q102" s="19">
        <v>4315</v>
      </c>
      <c r="R102" s="19">
        <v>7133</v>
      </c>
      <c r="S102" s="19">
        <v>32972</v>
      </c>
      <c r="T102" s="19">
        <v>3474</v>
      </c>
      <c r="U102" s="19">
        <v>28436</v>
      </c>
      <c r="V102" s="19">
        <v>393</v>
      </c>
      <c r="W102" s="19">
        <v>287</v>
      </c>
      <c r="X102" s="19">
        <v>787</v>
      </c>
      <c r="Y102" s="19">
        <v>400</v>
      </c>
      <c r="Z102" s="19">
        <v>375</v>
      </c>
      <c r="AA102" s="19">
        <v>2861</v>
      </c>
      <c r="AB102" s="19">
        <v>587</v>
      </c>
      <c r="AC102" s="19">
        <v>1399</v>
      </c>
      <c r="AD102" s="19">
        <v>299</v>
      </c>
      <c r="AE102" s="19">
        <v>2961</v>
      </c>
      <c r="AF102" s="19">
        <v>98</v>
      </c>
      <c r="AG102" s="19">
        <v>107</v>
      </c>
      <c r="AH102" s="19">
        <v>398</v>
      </c>
      <c r="AI102" s="19">
        <v>104</v>
      </c>
      <c r="AJ102" s="19">
        <v>113</v>
      </c>
      <c r="AK102" s="19">
        <v>164</v>
      </c>
      <c r="AL102" s="19">
        <v>111</v>
      </c>
      <c r="AM102" s="19">
        <v>184</v>
      </c>
    </row>
    <row r="103" spans="1:39" x14ac:dyDescent="0.2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</row>
    <row r="104" spans="1:39" x14ac:dyDescent="0.2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BF552-7037-4C19-9DDB-282B377D73E7}">
  <dimension ref="A1:AI12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6" sqref="L6"/>
    </sheetView>
  </sheetViews>
  <sheetFormatPr defaultRowHeight="15" x14ac:dyDescent="0.25"/>
  <cols>
    <col min="1" max="1" width="5" bestFit="1" customWidth="1"/>
    <col min="3" max="3" width="10.5703125" bestFit="1" customWidth="1"/>
    <col min="4" max="4" width="9.42578125" bestFit="1" customWidth="1"/>
    <col min="5" max="5" width="10.85546875" bestFit="1" customWidth="1"/>
    <col min="6" max="6" width="10.28515625" bestFit="1" customWidth="1"/>
    <col min="7" max="7" width="11" bestFit="1" customWidth="1"/>
    <col min="8" max="8" width="8" bestFit="1" customWidth="1"/>
    <col min="9" max="10" width="8.140625" bestFit="1" customWidth="1"/>
    <col min="11" max="11" width="16.140625" customWidth="1"/>
    <col min="12" max="12" width="12.5703125" bestFit="1" customWidth="1"/>
    <col min="13" max="13" width="10.5703125" bestFit="1" customWidth="1"/>
    <col min="14" max="14" width="10.28515625" bestFit="1" customWidth="1"/>
    <col min="15" max="15" width="8.7109375" bestFit="1" customWidth="1"/>
    <col min="16" max="16" width="8.140625" bestFit="1" customWidth="1"/>
    <col min="17" max="17" width="8.7109375" bestFit="1" customWidth="1"/>
    <col min="18" max="18" width="8.140625" bestFit="1" customWidth="1"/>
    <col min="19" max="19" width="9.5703125" bestFit="1" customWidth="1"/>
    <col min="20" max="20" width="9.28515625" bestFit="1" customWidth="1"/>
    <col min="21" max="21" width="8.140625" bestFit="1" customWidth="1"/>
    <col min="22" max="22" width="10.5703125" bestFit="1" customWidth="1"/>
    <col min="23" max="23" width="12.7109375" customWidth="1"/>
    <col min="24" max="24" width="13.5703125" customWidth="1"/>
    <col min="25" max="25" width="8" bestFit="1" customWidth="1"/>
    <col min="26" max="26" width="9.7109375" bestFit="1" customWidth="1"/>
    <col min="27" max="27" width="6.42578125" bestFit="1" customWidth="1"/>
    <col min="28" max="28" width="7.140625" bestFit="1" customWidth="1"/>
    <col min="29" max="29" width="8" bestFit="1" customWidth="1"/>
    <col min="31" max="31" width="11.42578125" customWidth="1"/>
    <col min="32" max="32" width="13.28515625" customWidth="1"/>
    <col min="33" max="33" width="16" customWidth="1"/>
    <col min="34" max="34" width="11.85546875" customWidth="1"/>
    <col min="35" max="35" width="11.5703125" customWidth="1"/>
  </cols>
  <sheetData>
    <row r="1" spans="1:35" ht="60" x14ac:dyDescent="0.25">
      <c r="A1" s="21" t="s">
        <v>1</v>
      </c>
      <c r="B1" s="21" t="s">
        <v>15</v>
      </c>
      <c r="C1" s="21" t="s">
        <v>12</v>
      </c>
      <c r="D1" s="21" t="s">
        <v>14</v>
      </c>
      <c r="E1" s="21" t="s">
        <v>109</v>
      </c>
      <c r="F1" s="21" t="s">
        <v>16</v>
      </c>
      <c r="G1" s="21" t="s">
        <v>7</v>
      </c>
      <c r="H1" s="21" t="s">
        <v>17</v>
      </c>
      <c r="I1" s="21" t="s">
        <v>8</v>
      </c>
      <c r="J1" s="21" t="s">
        <v>13</v>
      </c>
      <c r="K1" s="22" t="s">
        <v>110</v>
      </c>
      <c r="L1" s="21" t="s">
        <v>84</v>
      </c>
      <c r="M1" s="21" t="s">
        <v>93</v>
      </c>
      <c r="N1" s="21" t="s">
        <v>6</v>
      </c>
      <c r="O1" s="21" t="s">
        <v>10</v>
      </c>
      <c r="P1" s="21" t="s">
        <v>19</v>
      </c>
      <c r="Q1" s="21" t="s">
        <v>3</v>
      </c>
      <c r="R1" s="21" t="s">
        <v>5</v>
      </c>
      <c r="S1" s="21" t="s">
        <v>4</v>
      </c>
      <c r="T1" s="21" t="s">
        <v>18</v>
      </c>
      <c r="U1" s="21" t="s">
        <v>20</v>
      </c>
      <c r="V1" s="21" t="s">
        <v>2</v>
      </c>
      <c r="W1" s="22" t="s">
        <v>111</v>
      </c>
      <c r="X1" s="22" t="s">
        <v>112</v>
      </c>
      <c r="Y1" s="21" t="s">
        <v>73</v>
      </c>
      <c r="Z1" s="21" t="s">
        <v>74</v>
      </c>
      <c r="AA1" s="21" t="s">
        <v>75</v>
      </c>
      <c r="AB1" s="21" t="s">
        <v>80</v>
      </c>
      <c r="AC1" s="21" t="s">
        <v>82</v>
      </c>
      <c r="AD1" s="21" t="s">
        <v>88</v>
      </c>
      <c r="AE1" s="22" t="s">
        <v>117</v>
      </c>
      <c r="AF1" s="22" t="s">
        <v>116</v>
      </c>
      <c r="AG1" s="22" t="s">
        <v>113</v>
      </c>
      <c r="AH1" s="22" t="s">
        <v>114</v>
      </c>
      <c r="AI1" s="22" t="s">
        <v>115</v>
      </c>
    </row>
    <row r="2" spans="1:35" x14ac:dyDescent="0.25">
      <c r="A2" s="6">
        <v>1900</v>
      </c>
      <c r="B2" s="19">
        <v>13603.5</v>
      </c>
      <c r="C2" s="19">
        <v>1234.4839999999999</v>
      </c>
      <c r="D2" s="19">
        <v>504.995</v>
      </c>
      <c r="E2" s="19">
        <v>875.5</v>
      </c>
      <c r="F2" s="19">
        <v>447.5</v>
      </c>
      <c r="G2" s="19">
        <v>283.43799999999999</v>
      </c>
      <c r="H2" s="19">
        <v>296.24900000000002</v>
      </c>
      <c r="I2" s="19">
        <v>1612.8330000000001</v>
      </c>
      <c r="J2" s="19">
        <v>1387.8989999999999</v>
      </c>
      <c r="K2" s="19">
        <v>556.59199999999998</v>
      </c>
      <c r="L2" s="19">
        <v>967.41200000000003</v>
      </c>
      <c r="M2" s="19">
        <v>2314.3000000000002</v>
      </c>
      <c r="N2" s="19">
        <v>4019.5880000000002</v>
      </c>
      <c r="O2" s="19">
        <v>1269.481</v>
      </c>
      <c r="P2" s="19">
        <v>3198.2280000000001</v>
      </c>
      <c r="Q2" s="19">
        <v>1766.2260000000001</v>
      </c>
      <c r="R2" s="19">
        <v>2907.5</v>
      </c>
      <c r="S2" s="19">
        <v>18092</v>
      </c>
      <c r="T2" s="19">
        <v>494.52800000000002</v>
      </c>
      <c r="U2" s="19">
        <v>939.32399999999996</v>
      </c>
      <c r="V2" s="19">
        <v>4649.8590000000004</v>
      </c>
      <c r="W2" s="19">
        <v>62314.455999999998</v>
      </c>
      <c r="X2" s="19">
        <v>2544.9749999999999</v>
      </c>
      <c r="Y2" s="19">
        <v>55.512</v>
      </c>
      <c r="Z2" s="19">
        <v>194.5</v>
      </c>
      <c r="AA2" s="19">
        <v>36.997999999999998</v>
      </c>
      <c r="AB2" s="19">
        <v>294.94299999999998</v>
      </c>
      <c r="AC2" s="19">
        <v>748.53</v>
      </c>
      <c r="AD2" s="19">
        <v>92.968000000000004</v>
      </c>
      <c r="AE2" s="19">
        <v>268.44900000000001</v>
      </c>
      <c r="AF2" s="19">
        <v>424.94200000000001</v>
      </c>
      <c r="AG2" s="19">
        <v>45.6</v>
      </c>
      <c r="AH2" s="19">
        <v>349.20699999999999</v>
      </c>
      <c r="AI2" s="19">
        <v>33.326000000000001</v>
      </c>
    </row>
    <row r="3" spans="1:35" x14ac:dyDescent="0.25">
      <c r="A3" s="6">
        <v>1901</v>
      </c>
      <c r="B3" s="19">
        <v>13772.682000000001</v>
      </c>
      <c r="C3" s="19">
        <v>1256.758</v>
      </c>
      <c r="D3" s="19">
        <v>518.6</v>
      </c>
      <c r="E3" s="19">
        <v>892.26099999999997</v>
      </c>
      <c r="F3" s="19">
        <v>456.81200000000001</v>
      </c>
      <c r="G3" s="19">
        <v>289.29399999999998</v>
      </c>
      <c r="H3" s="19">
        <v>302.15600000000001</v>
      </c>
      <c r="I3" s="19">
        <v>1658.5540000000001</v>
      </c>
      <c r="J3" s="19">
        <v>1419.0930000000001</v>
      </c>
      <c r="K3" s="19">
        <v>568.46699999999998</v>
      </c>
      <c r="L3" s="19">
        <v>981.57399999999996</v>
      </c>
      <c r="M3" s="19">
        <v>2330.5830000000001</v>
      </c>
      <c r="N3" s="19">
        <v>4076.364</v>
      </c>
      <c r="O3" s="19">
        <v>1282.7950000000001</v>
      </c>
      <c r="P3" s="19">
        <v>3275.5450000000001</v>
      </c>
      <c r="Q3" s="19">
        <v>1780.722</v>
      </c>
      <c r="R3" s="19">
        <v>2943.5010000000002</v>
      </c>
      <c r="S3" s="19">
        <v>18494.026000000002</v>
      </c>
      <c r="T3" s="19">
        <v>508.16399999999999</v>
      </c>
      <c r="U3" s="19">
        <v>952.33699999999999</v>
      </c>
      <c r="V3" s="19">
        <v>4794.4949999999999</v>
      </c>
      <c r="W3" s="19">
        <v>63443.069000000003</v>
      </c>
      <c r="X3" s="19">
        <v>2557.31</v>
      </c>
      <c r="Y3" s="19">
        <v>55.551000000000002</v>
      </c>
      <c r="Z3" s="19">
        <v>194.101</v>
      </c>
      <c r="AA3" s="19">
        <v>37.386000000000003</v>
      </c>
      <c r="AB3" s="19">
        <v>296.54500000000002</v>
      </c>
      <c r="AC3" s="19">
        <v>757.57500000000005</v>
      </c>
      <c r="AD3" s="19">
        <v>95.593999999999994</v>
      </c>
      <c r="AE3" s="19">
        <v>275.71499999999997</v>
      </c>
      <c r="AF3" s="19">
        <v>424.40800000000002</v>
      </c>
      <c r="AG3" s="19">
        <v>46.262999999999998</v>
      </c>
      <c r="AH3" s="19">
        <v>347.73200000000003</v>
      </c>
      <c r="AI3" s="19">
        <v>32.939</v>
      </c>
    </row>
    <row r="4" spans="1:35" x14ac:dyDescent="0.25">
      <c r="A4" s="6">
        <v>1902</v>
      </c>
      <c r="B4" s="19">
        <v>13949.183000000001</v>
      </c>
      <c r="C4" s="19">
        <v>1279.567</v>
      </c>
      <c r="D4" s="19">
        <v>532.54300000000001</v>
      </c>
      <c r="E4" s="19">
        <v>909.39</v>
      </c>
      <c r="F4" s="19">
        <v>466.05399999999997</v>
      </c>
      <c r="G4" s="19">
        <v>295.12299999999999</v>
      </c>
      <c r="H4" s="19">
        <v>307.59199999999998</v>
      </c>
      <c r="I4" s="19">
        <v>1713.8979999999999</v>
      </c>
      <c r="J4" s="19">
        <v>1450.154</v>
      </c>
      <c r="K4" s="19">
        <v>579.96500000000003</v>
      </c>
      <c r="L4" s="19">
        <v>995.86199999999997</v>
      </c>
      <c r="M4" s="19">
        <v>2347.625</v>
      </c>
      <c r="N4" s="19">
        <v>4133.7860000000001</v>
      </c>
      <c r="O4" s="19">
        <v>1296.06</v>
      </c>
      <c r="P4" s="19">
        <v>3353.3310000000001</v>
      </c>
      <c r="Q4" s="19">
        <v>1795.114</v>
      </c>
      <c r="R4" s="19">
        <v>2979.81</v>
      </c>
      <c r="S4" s="19">
        <v>18887.673999999999</v>
      </c>
      <c r="T4" s="19">
        <v>521.28800000000001</v>
      </c>
      <c r="U4" s="19">
        <v>976.81100000000004</v>
      </c>
      <c r="V4" s="19">
        <v>4948.1049999999996</v>
      </c>
      <c r="W4" s="19">
        <v>64600.286999999997</v>
      </c>
      <c r="X4" s="19">
        <v>2568.04</v>
      </c>
      <c r="Y4" s="19">
        <v>55.585000000000001</v>
      </c>
      <c r="Z4" s="19">
        <v>192.99299999999999</v>
      </c>
      <c r="AA4" s="19">
        <v>37.732999999999997</v>
      </c>
      <c r="AB4" s="19">
        <v>298.23899999999998</v>
      </c>
      <c r="AC4" s="19">
        <v>766.50599999999997</v>
      </c>
      <c r="AD4" s="19">
        <v>98.207999999999998</v>
      </c>
      <c r="AE4" s="19">
        <v>282.64600000000002</v>
      </c>
      <c r="AF4" s="19">
        <v>422.94900000000001</v>
      </c>
      <c r="AG4" s="19">
        <v>47.08</v>
      </c>
      <c r="AH4" s="19">
        <v>343.72500000000002</v>
      </c>
      <c r="AI4" s="19">
        <v>32.421999999999997</v>
      </c>
    </row>
    <row r="5" spans="1:35" x14ac:dyDescent="0.25">
      <c r="A5" s="6">
        <v>1903</v>
      </c>
      <c r="B5" s="19">
        <v>14133.367</v>
      </c>
      <c r="C5" s="19">
        <v>1301.8900000000001</v>
      </c>
      <c r="D5" s="19">
        <v>546.726</v>
      </c>
      <c r="E5" s="19">
        <v>925.86599999999999</v>
      </c>
      <c r="F5" s="19">
        <v>475.27300000000002</v>
      </c>
      <c r="G5" s="19">
        <v>301.84199999999998</v>
      </c>
      <c r="H5" s="19">
        <v>313.55900000000003</v>
      </c>
      <c r="I5" s="19">
        <v>1777.2660000000001</v>
      </c>
      <c r="J5" s="19">
        <v>1480.7159999999999</v>
      </c>
      <c r="K5" s="19">
        <v>591.23599999999999</v>
      </c>
      <c r="L5" s="19">
        <v>1010.303</v>
      </c>
      <c r="M5" s="19">
        <v>2364.9290000000001</v>
      </c>
      <c r="N5" s="19">
        <v>4192.0510000000004</v>
      </c>
      <c r="O5" s="19">
        <v>1309.3340000000001</v>
      </c>
      <c r="P5" s="19">
        <v>3431.5859999999998</v>
      </c>
      <c r="Q5" s="19">
        <v>1810.338</v>
      </c>
      <c r="R5" s="19">
        <v>3016.0120000000002</v>
      </c>
      <c r="S5" s="19">
        <v>19286.591</v>
      </c>
      <c r="T5" s="19">
        <v>534.50300000000004</v>
      </c>
      <c r="U5" s="19">
        <v>1003.273</v>
      </c>
      <c r="V5" s="19">
        <v>5096.9459999999999</v>
      </c>
      <c r="W5" s="19">
        <v>65782.572</v>
      </c>
      <c r="X5" s="19">
        <v>2577.404</v>
      </c>
      <c r="Y5" s="19">
        <v>55.616</v>
      </c>
      <c r="Z5" s="19">
        <v>191.304</v>
      </c>
      <c r="AA5" s="19">
        <v>38.048000000000002</v>
      </c>
      <c r="AB5" s="19">
        <v>299.964</v>
      </c>
      <c r="AC5" s="19">
        <v>775.23800000000006</v>
      </c>
      <c r="AD5" s="19">
        <v>100.76600000000001</v>
      </c>
      <c r="AE5" s="19">
        <v>289.25099999999998</v>
      </c>
      <c r="AF5" s="19">
        <v>420.78399999999999</v>
      </c>
      <c r="AG5" s="19">
        <v>48.021999999999998</v>
      </c>
      <c r="AH5" s="19">
        <v>337.815</v>
      </c>
      <c r="AI5" s="19">
        <v>31.806000000000001</v>
      </c>
    </row>
    <row r="6" spans="1:35" x14ac:dyDescent="0.25">
      <c r="A6" s="6">
        <v>1904</v>
      </c>
      <c r="B6" s="19">
        <v>14308.102000000001</v>
      </c>
      <c r="C6" s="19">
        <v>1324.713</v>
      </c>
      <c r="D6" s="19">
        <v>561.04999999999995</v>
      </c>
      <c r="E6" s="19">
        <v>942.16700000000003</v>
      </c>
      <c r="F6" s="19">
        <v>485.01299999999998</v>
      </c>
      <c r="G6" s="19">
        <v>308.86599999999999</v>
      </c>
      <c r="H6" s="19">
        <v>319.55700000000002</v>
      </c>
      <c r="I6" s="19">
        <v>1828.5619999999999</v>
      </c>
      <c r="J6" s="19">
        <v>1511.9169999999999</v>
      </c>
      <c r="K6" s="19">
        <v>602.43100000000004</v>
      </c>
      <c r="L6" s="19">
        <v>1024.925</v>
      </c>
      <c r="M6" s="19">
        <v>2382.0010000000002</v>
      </c>
      <c r="N6" s="19">
        <v>4251.3580000000002</v>
      </c>
      <c r="O6" s="19">
        <v>1322.682</v>
      </c>
      <c r="P6" s="19">
        <v>3510.3110000000001</v>
      </c>
      <c r="Q6" s="19">
        <v>1825.3330000000001</v>
      </c>
      <c r="R6" s="19">
        <v>3052.19</v>
      </c>
      <c r="S6" s="19">
        <v>19691.925999999999</v>
      </c>
      <c r="T6" s="19">
        <v>546.91399999999999</v>
      </c>
      <c r="U6" s="19">
        <v>1024.748</v>
      </c>
      <c r="V6" s="19">
        <v>5264.7780000000002</v>
      </c>
      <c r="W6" s="19">
        <v>66986.385999999999</v>
      </c>
      <c r="X6" s="19">
        <v>2585.6390000000001</v>
      </c>
      <c r="Y6" s="19">
        <v>55.643000000000001</v>
      </c>
      <c r="Z6" s="19">
        <v>189.167</v>
      </c>
      <c r="AA6" s="19">
        <v>38.340000000000003</v>
      </c>
      <c r="AB6" s="19">
        <v>301.65699999999998</v>
      </c>
      <c r="AC6" s="19">
        <v>783.68299999999999</v>
      </c>
      <c r="AD6" s="19">
        <v>103.226</v>
      </c>
      <c r="AE6" s="19">
        <v>295.53800000000001</v>
      </c>
      <c r="AF6" s="19">
        <v>418.13</v>
      </c>
      <c r="AG6" s="19">
        <v>49.055</v>
      </c>
      <c r="AH6" s="19">
        <v>330.63</v>
      </c>
      <c r="AI6" s="19">
        <v>31.123999999999999</v>
      </c>
    </row>
    <row r="7" spans="1:35" x14ac:dyDescent="0.25">
      <c r="A7" s="6">
        <v>1905</v>
      </c>
      <c r="B7" s="19">
        <v>14484.251</v>
      </c>
      <c r="C7" s="19">
        <v>1347.5160000000001</v>
      </c>
      <c r="D7" s="19">
        <v>575.41899999999998</v>
      </c>
      <c r="E7" s="19">
        <v>958.77300000000002</v>
      </c>
      <c r="F7" s="19">
        <v>494.322</v>
      </c>
      <c r="G7" s="19">
        <v>316.11399999999998</v>
      </c>
      <c r="H7" s="19">
        <v>325.58699999999999</v>
      </c>
      <c r="I7" s="19">
        <v>1887.69</v>
      </c>
      <c r="J7" s="19">
        <v>1542.8920000000001</v>
      </c>
      <c r="K7" s="19">
        <v>613.70100000000002</v>
      </c>
      <c r="L7" s="19">
        <v>1039.7560000000001</v>
      </c>
      <c r="M7" s="19">
        <v>2406.8440000000001</v>
      </c>
      <c r="N7" s="19">
        <v>4311.9049999999997</v>
      </c>
      <c r="O7" s="19">
        <v>1336.163</v>
      </c>
      <c r="P7" s="19">
        <v>3589.5050000000001</v>
      </c>
      <c r="Q7" s="19">
        <v>1841.0340000000001</v>
      </c>
      <c r="R7" s="19">
        <v>3088.93</v>
      </c>
      <c r="S7" s="19">
        <v>20104.325000000001</v>
      </c>
      <c r="T7" s="19">
        <v>559.125</v>
      </c>
      <c r="U7" s="19">
        <v>1053.2639999999999</v>
      </c>
      <c r="V7" s="19">
        <v>5466.8580000000002</v>
      </c>
      <c r="W7" s="19">
        <v>68208.192999999999</v>
      </c>
      <c r="X7" s="19">
        <v>2592.9850000000001</v>
      </c>
      <c r="Y7" s="19">
        <v>55.665999999999997</v>
      </c>
      <c r="Z7" s="19">
        <v>186.71</v>
      </c>
      <c r="AA7" s="19">
        <v>38.619</v>
      </c>
      <c r="AB7" s="19">
        <v>303.25799999999998</v>
      </c>
      <c r="AC7" s="19">
        <v>791.75400000000002</v>
      </c>
      <c r="AD7" s="19">
        <v>105.544</v>
      </c>
      <c r="AE7" s="19">
        <v>301.51499999999999</v>
      </c>
      <c r="AF7" s="19">
        <v>415.20400000000001</v>
      </c>
      <c r="AG7" s="19">
        <v>50.148000000000003</v>
      </c>
      <c r="AH7" s="19">
        <v>322.798</v>
      </c>
      <c r="AI7" s="19">
        <v>30.407</v>
      </c>
    </row>
    <row r="8" spans="1:35" x14ac:dyDescent="0.25">
      <c r="A8" s="6">
        <v>1906</v>
      </c>
      <c r="B8" s="19">
        <v>14652.68</v>
      </c>
      <c r="C8" s="19">
        <v>1365.2840000000001</v>
      </c>
      <c r="D8" s="19">
        <v>587.23400000000004</v>
      </c>
      <c r="E8" s="19">
        <v>974.66300000000001</v>
      </c>
      <c r="F8" s="19">
        <v>503.745</v>
      </c>
      <c r="G8" s="19">
        <v>323.00200000000001</v>
      </c>
      <c r="H8" s="19">
        <v>331.65100000000001</v>
      </c>
      <c r="I8" s="19">
        <v>1952.05</v>
      </c>
      <c r="J8" s="19">
        <v>1574.777</v>
      </c>
      <c r="K8" s="19">
        <v>625.19500000000005</v>
      </c>
      <c r="L8" s="19">
        <v>1054.8230000000001</v>
      </c>
      <c r="M8" s="19">
        <v>2431.4639999999999</v>
      </c>
      <c r="N8" s="19">
        <v>4415.3879999999999</v>
      </c>
      <c r="O8" s="19">
        <v>1349.8409999999999</v>
      </c>
      <c r="P8" s="19">
        <v>3669.1689999999999</v>
      </c>
      <c r="Q8" s="19">
        <v>1856.38</v>
      </c>
      <c r="R8" s="19">
        <v>3125.8150000000001</v>
      </c>
      <c r="S8" s="19">
        <v>20523.934000000001</v>
      </c>
      <c r="T8" s="19">
        <v>567.73900000000003</v>
      </c>
      <c r="U8" s="19">
        <v>1081.348</v>
      </c>
      <c r="V8" s="19">
        <v>5696.4470000000001</v>
      </c>
      <c r="W8" s="19">
        <v>69444.453999999998</v>
      </c>
      <c r="X8" s="19">
        <v>2599.6779999999999</v>
      </c>
      <c r="Y8" s="19">
        <v>55.685000000000002</v>
      </c>
      <c r="Z8" s="19">
        <v>184.065</v>
      </c>
      <c r="AA8" s="19">
        <v>38.895000000000003</v>
      </c>
      <c r="AB8" s="19">
        <v>304.70499999999998</v>
      </c>
      <c r="AC8" s="19">
        <v>799.36599999999999</v>
      </c>
      <c r="AD8" s="19">
        <v>107.678</v>
      </c>
      <c r="AE8" s="19">
        <v>307.19</v>
      </c>
      <c r="AF8" s="19">
        <v>412.22500000000002</v>
      </c>
      <c r="AG8" s="19">
        <v>51.268000000000001</v>
      </c>
      <c r="AH8" s="19">
        <v>314.94900000000001</v>
      </c>
      <c r="AI8" s="19">
        <v>29.686</v>
      </c>
    </row>
    <row r="9" spans="1:35" x14ac:dyDescent="0.25">
      <c r="A9" s="6">
        <v>1907</v>
      </c>
      <c r="B9" s="19">
        <v>14810.254000000001</v>
      </c>
      <c r="C9" s="19">
        <v>1383.498</v>
      </c>
      <c r="D9" s="19">
        <v>598.39700000000005</v>
      </c>
      <c r="E9" s="19">
        <v>990.31500000000005</v>
      </c>
      <c r="F9" s="19">
        <v>511.32900000000001</v>
      </c>
      <c r="G9" s="19">
        <v>330.44799999999998</v>
      </c>
      <c r="H9" s="19">
        <v>337.75</v>
      </c>
      <c r="I9" s="19">
        <v>2019.547</v>
      </c>
      <c r="J9" s="19">
        <v>1606.7090000000001</v>
      </c>
      <c r="K9" s="19">
        <v>637.06500000000005</v>
      </c>
      <c r="L9" s="19">
        <v>1070.155</v>
      </c>
      <c r="M9" s="19">
        <v>2456.3649999999998</v>
      </c>
      <c r="N9" s="19">
        <v>4520.0079999999998</v>
      </c>
      <c r="O9" s="19">
        <v>1363.7750000000001</v>
      </c>
      <c r="P9" s="19">
        <v>3749.3009999999999</v>
      </c>
      <c r="Q9" s="19">
        <v>1872.307</v>
      </c>
      <c r="R9" s="19">
        <v>3162.931</v>
      </c>
      <c r="S9" s="19">
        <v>20951.902999999998</v>
      </c>
      <c r="T9" s="19">
        <v>576.86199999999997</v>
      </c>
      <c r="U9" s="19">
        <v>1112.5250000000001</v>
      </c>
      <c r="V9" s="19">
        <v>5959.8</v>
      </c>
      <c r="W9" s="19">
        <v>70691.633000000002</v>
      </c>
      <c r="X9" s="19">
        <v>2605.9589999999998</v>
      </c>
      <c r="Y9" s="19">
        <v>55.7</v>
      </c>
      <c r="Z9" s="19">
        <v>181.36199999999999</v>
      </c>
      <c r="AA9" s="19">
        <v>39.176000000000002</v>
      </c>
      <c r="AB9" s="19">
        <v>305.93700000000001</v>
      </c>
      <c r="AC9" s="19">
        <v>806.43299999999999</v>
      </c>
      <c r="AD9" s="19">
        <v>109.584</v>
      </c>
      <c r="AE9" s="19">
        <v>312.57299999999998</v>
      </c>
      <c r="AF9" s="19">
        <v>409.40800000000002</v>
      </c>
      <c r="AG9" s="19">
        <v>52.384999999999998</v>
      </c>
      <c r="AH9" s="19">
        <v>307.70999999999998</v>
      </c>
      <c r="AI9" s="19">
        <v>28.995000000000001</v>
      </c>
    </row>
    <row r="10" spans="1:35" x14ac:dyDescent="0.25">
      <c r="A10" s="6">
        <v>1908</v>
      </c>
      <c r="B10" s="19">
        <v>14952.838</v>
      </c>
      <c r="C10" s="19">
        <v>1401.1410000000001</v>
      </c>
      <c r="D10" s="19">
        <v>609.81100000000004</v>
      </c>
      <c r="E10" s="19">
        <v>1006.21</v>
      </c>
      <c r="F10" s="19">
        <v>518.61800000000005</v>
      </c>
      <c r="G10" s="19">
        <v>337.86700000000002</v>
      </c>
      <c r="H10" s="19">
        <v>343.88499999999999</v>
      </c>
      <c r="I10" s="19">
        <v>2088.5830000000001</v>
      </c>
      <c r="J10" s="19">
        <v>1619.8240000000001</v>
      </c>
      <c r="K10" s="19">
        <v>649.46199999999999</v>
      </c>
      <c r="L10" s="19">
        <v>1085.778</v>
      </c>
      <c r="M10" s="19">
        <v>2482.5509999999999</v>
      </c>
      <c r="N10" s="19">
        <v>4626.9610000000002</v>
      </c>
      <c r="O10" s="19">
        <v>1378.028</v>
      </c>
      <c r="P10" s="19">
        <v>3829.9029999999998</v>
      </c>
      <c r="Q10" s="19">
        <v>1887.7529999999999</v>
      </c>
      <c r="R10" s="19">
        <v>3201.86</v>
      </c>
      <c r="S10" s="19">
        <v>21389.376</v>
      </c>
      <c r="T10" s="19">
        <v>586.09500000000003</v>
      </c>
      <c r="U10" s="19">
        <v>1081.3219999999999</v>
      </c>
      <c r="V10" s="19">
        <v>6235.6779999999999</v>
      </c>
      <c r="W10" s="19">
        <v>71946.191999999995</v>
      </c>
      <c r="X10" s="19">
        <v>2612.0639999999999</v>
      </c>
      <c r="Y10" s="19">
        <v>55.71</v>
      </c>
      <c r="Z10" s="19">
        <v>178.73099999999999</v>
      </c>
      <c r="AA10" s="19">
        <v>39.472999999999999</v>
      </c>
      <c r="AB10" s="19">
        <v>306.89400000000001</v>
      </c>
      <c r="AC10" s="19">
        <v>812.86599999999999</v>
      </c>
      <c r="AD10" s="19">
        <v>111.218</v>
      </c>
      <c r="AE10" s="19">
        <v>317.67099999999999</v>
      </c>
      <c r="AF10" s="19">
        <v>406.97199999999998</v>
      </c>
      <c r="AG10" s="19">
        <v>53.466000000000001</v>
      </c>
      <c r="AH10" s="19">
        <v>301.70999999999998</v>
      </c>
      <c r="AI10" s="19">
        <v>28.364000000000001</v>
      </c>
    </row>
    <row r="11" spans="1:35" x14ac:dyDescent="0.25">
      <c r="A11" s="6">
        <v>1909</v>
      </c>
      <c r="B11" s="19">
        <v>15077.299000000001</v>
      </c>
      <c r="C11" s="19">
        <v>1419.1959999999999</v>
      </c>
      <c r="D11" s="19">
        <v>620.37800000000004</v>
      </c>
      <c r="E11" s="19">
        <v>1021.324</v>
      </c>
      <c r="F11" s="19">
        <v>526.66</v>
      </c>
      <c r="G11" s="19">
        <v>344.67700000000002</v>
      </c>
      <c r="H11" s="19">
        <v>350.05700000000002</v>
      </c>
      <c r="I11" s="19">
        <v>2158.0610000000001</v>
      </c>
      <c r="J11" s="19">
        <v>1673.758</v>
      </c>
      <c r="K11" s="19">
        <v>662.53399999999999</v>
      </c>
      <c r="L11" s="19">
        <v>1101.721</v>
      </c>
      <c r="M11" s="19">
        <v>2508.5279999999998</v>
      </c>
      <c r="N11" s="19">
        <v>4735.4459999999999</v>
      </c>
      <c r="O11" s="19">
        <v>1392.662</v>
      </c>
      <c r="P11" s="19">
        <v>3910.9740000000002</v>
      </c>
      <c r="Q11" s="19">
        <v>1903.655</v>
      </c>
      <c r="R11" s="19">
        <v>3241.6889999999999</v>
      </c>
      <c r="S11" s="19">
        <v>21836.002</v>
      </c>
      <c r="T11" s="19">
        <v>595.54499999999996</v>
      </c>
      <c r="U11" s="19">
        <v>1114.2670000000001</v>
      </c>
      <c r="V11" s="19">
        <v>6491.8389999999999</v>
      </c>
      <c r="W11" s="19">
        <v>73204.592999999993</v>
      </c>
      <c r="X11" s="19">
        <v>2618.232</v>
      </c>
      <c r="Y11" s="19">
        <v>55.716999999999999</v>
      </c>
      <c r="Z11" s="19">
        <v>176.303</v>
      </c>
      <c r="AA11" s="19">
        <v>39.793999999999997</v>
      </c>
      <c r="AB11" s="19">
        <v>307.512</v>
      </c>
      <c r="AC11" s="19">
        <v>818.58</v>
      </c>
      <c r="AD11" s="19">
        <v>112.538</v>
      </c>
      <c r="AE11" s="19">
        <v>322.49200000000002</v>
      </c>
      <c r="AF11" s="19">
        <v>405.13400000000001</v>
      </c>
      <c r="AG11" s="19">
        <v>54.478999999999999</v>
      </c>
      <c r="AH11" s="19">
        <v>297.57799999999997</v>
      </c>
      <c r="AI11" s="19">
        <v>27.826000000000001</v>
      </c>
    </row>
    <row r="12" spans="1:35" x14ac:dyDescent="0.25">
      <c r="A12" s="6">
        <v>1910</v>
      </c>
      <c r="B12" s="19">
        <v>15180</v>
      </c>
      <c r="C12" s="19">
        <v>1437.1469999999999</v>
      </c>
      <c r="D12" s="19">
        <v>631</v>
      </c>
      <c r="E12" s="19">
        <v>1036.6389999999999</v>
      </c>
      <c r="F12" s="19">
        <v>534.5</v>
      </c>
      <c r="G12" s="19">
        <v>351.79399999999998</v>
      </c>
      <c r="H12" s="19">
        <v>356.267</v>
      </c>
      <c r="I12" s="19">
        <v>2225.884</v>
      </c>
      <c r="J12" s="19">
        <v>1708.6469999999999</v>
      </c>
      <c r="K12" s="19">
        <v>676.43399999999997</v>
      </c>
      <c r="L12" s="19">
        <v>1118.0119999999999</v>
      </c>
      <c r="M12" s="19">
        <v>2534.8000000000002</v>
      </c>
      <c r="N12" s="19">
        <v>4846.6610000000001</v>
      </c>
      <c r="O12" s="19">
        <v>1408.239</v>
      </c>
      <c r="P12" s="19">
        <v>3992.5149999999999</v>
      </c>
      <c r="Q12" s="19">
        <v>1918.951</v>
      </c>
      <c r="R12" s="19">
        <v>3282.5</v>
      </c>
      <c r="S12" s="19">
        <v>22293.928</v>
      </c>
      <c r="T12" s="19">
        <v>605.31399999999996</v>
      </c>
      <c r="U12" s="19">
        <v>1145.386</v>
      </c>
      <c r="V12" s="19">
        <v>6784.54</v>
      </c>
      <c r="W12" s="19">
        <v>74463.3</v>
      </c>
      <c r="X12" s="19">
        <v>2624.701</v>
      </c>
      <c r="Y12" s="19">
        <v>55.719000000000001</v>
      </c>
      <c r="Z12" s="19">
        <v>174.209</v>
      </c>
      <c r="AA12" s="19">
        <v>40.15</v>
      </c>
      <c r="AB12" s="19">
        <v>307.73200000000003</v>
      </c>
      <c r="AC12" s="19">
        <v>823.48900000000003</v>
      </c>
      <c r="AD12" s="19">
        <v>113.501</v>
      </c>
      <c r="AE12" s="19">
        <v>327.04399999999998</v>
      </c>
      <c r="AF12" s="19">
        <v>404.11200000000002</v>
      </c>
      <c r="AG12" s="19">
        <v>55.392000000000003</v>
      </c>
      <c r="AH12" s="19">
        <v>295.94099999999997</v>
      </c>
      <c r="AI12" s="19">
        <v>27.411999999999999</v>
      </c>
    </row>
    <row r="13" spans="1:35" x14ac:dyDescent="0.25">
      <c r="A13" s="6">
        <v>1911</v>
      </c>
      <c r="B13" s="19">
        <v>15273.984</v>
      </c>
      <c r="C13" s="19">
        <v>1457.7149999999999</v>
      </c>
      <c r="D13" s="19">
        <v>640.12699999999995</v>
      </c>
      <c r="E13" s="19">
        <v>1051.0050000000001</v>
      </c>
      <c r="F13" s="19">
        <v>543.37099999999998</v>
      </c>
      <c r="G13" s="19">
        <v>358.72899999999998</v>
      </c>
      <c r="H13" s="19">
        <v>362.517</v>
      </c>
      <c r="I13" s="19">
        <v>2293.4279999999999</v>
      </c>
      <c r="J13" s="19">
        <v>1744.941</v>
      </c>
      <c r="K13" s="19">
        <v>691.42700000000002</v>
      </c>
      <c r="L13" s="19">
        <v>1134.57</v>
      </c>
      <c r="M13" s="19">
        <v>2558.777</v>
      </c>
      <c r="N13" s="19">
        <v>4961.5119999999997</v>
      </c>
      <c r="O13" s="19">
        <v>1423.7840000000001</v>
      </c>
      <c r="P13" s="19">
        <v>4074.5630000000001</v>
      </c>
      <c r="Q13" s="19">
        <v>1934.693</v>
      </c>
      <c r="R13" s="19">
        <v>3323.6570000000002</v>
      </c>
      <c r="S13" s="19">
        <v>22762.396000000001</v>
      </c>
      <c r="T13" s="19">
        <v>615.24099999999999</v>
      </c>
      <c r="U13" s="19">
        <v>1181.1610000000001</v>
      </c>
      <c r="V13" s="19">
        <v>7026.0789999999997</v>
      </c>
      <c r="W13" s="19">
        <v>75713.244000000006</v>
      </c>
      <c r="X13" s="19">
        <v>2630.873</v>
      </c>
      <c r="Y13" s="19">
        <v>55.652000000000001</v>
      </c>
      <c r="Z13" s="19">
        <v>172.19</v>
      </c>
      <c r="AA13" s="19">
        <v>40.537999999999997</v>
      </c>
      <c r="AB13" s="19">
        <v>307.72699999999998</v>
      </c>
      <c r="AC13" s="19">
        <v>827.524</v>
      </c>
      <c r="AD13" s="19">
        <v>114.184</v>
      </c>
      <c r="AE13" s="19">
        <v>331.26100000000002</v>
      </c>
      <c r="AF13" s="19">
        <v>403.62099999999998</v>
      </c>
      <c r="AG13" s="19">
        <v>56.207000000000001</v>
      </c>
      <c r="AH13" s="19">
        <v>295.77</v>
      </c>
      <c r="AI13" s="19">
        <v>27.093</v>
      </c>
    </row>
    <row r="14" spans="1:35" x14ac:dyDescent="0.25">
      <c r="A14" s="6">
        <v>1912</v>
      </c>
      <c r="B14" s="19">
        <v>15367.037</v>
      </c>
      <c r="C14" s="19">
        <v>1477.7670000000001</v>
      </c>
      <c r="D14" s="19">
        <v>648.84699999999998</v>
      </c>
      <c r="E14" s="19">
        <v>1064.8789999999999</v>
      </c>
      <c r="F14" s="19">
        <v>552.40499999999997</v>
      </c>
      <c r="G14" s="19">
        <v>365.072</v>
      </c>
      <c r="H14" s="19">
        <v>371.80700000000002</v>
      </c>
      <c r="I14" s="19">
        <v>2363.1410000000001</v>
      </c>
      <c r="J14" s="19">
        <v>1784.155</v>
      </c>
      <c r="K14" s="19">
        <v>708.97699999999998</v>
      </c>
      <c r="L14" s="19">
        <v>1151.336</v>
      </c>
      <c r="M14" s="19">
        <v>2588.4189999999999</v>
      </c>
      <c r="N14" s="19">
        <v>5080.32</v>
      </c>
      <c r="O14" s="19">
        <v>1439.7809999999999</v>
      </c>
      <c r="P14" s="19">
        <v>4150.6570000000002</v>
      </c>
      <c r="Q14" s="19">
        <v>1949.9770000000001</v>
      </c>
      <c r="R14" s="19">
        <v>3365.5079999999998</v>
      </c>
      <c r="S14" s="19">
        <v>23241.588</v>
      </c>
      <c r="T14" s="19">
        <v>625.13300000000004</v>
      </c>
      <c r="U14" s="19">
        <v>1218.058</v>
      </c>
      <c r="V14" s="19">
        <v>7329.4340000000002</v>
      </c>
      <c r="W14" s="19">
        <v>76953.195000000007</v>
      </c>
      <c r="X14" s="19">
        <v>2636.1849999999999</v>
      </c>
      <c r="Y14" s="19">
        <v>55.469000000000001</v>
      </c>
      <c r="Z14" s="19">
        <v>169.96799999999999</v>
      </c>
      <c r="AA14" s="19">
        <v>40.948999999999998</v>
      </c>
      <c r="AB14" s="19">
        <v>307.714</v>
      </c>
      <c r="AC14" s="19">
        <v>830.81299999999999</v>
      </c>
      <c r="AD14" s="19">
        <v>114.718</v>
      </c>
      <c r="AE14" s="19">
        <v>335.12099999999998</v>
      </c>
      <c r="AF14" s="19">
        <v>403.221</v>
      </c>
      <c r="AG14" s="19">
        <v>56.96</v>
      </c>
      <c r="AH14" s="19">
        <v>295.61599999999999</v>
      </c>
      <c r="AI14" s="19">
        <v>26.812000000000001</v>
      </c>
    </row>
    <row r="15" spans="1:35" x14ac:dyDescent="0.25">
      <c r="A15" s="6">
        <v>1913</v>
      </c>
      <c r="B15" s="19">
        <v>15303.638000000001</v>
      </c>
      <c r="C15" s="19">
        <v>1497.4970000000001</v>
      </c>
      <c r="D15" s="19">
        <v>656.77099999999996</v>
      </c>
      <c r="E15" s="19">
        <v>1078.8989999999999</v>
      </c>
      <c r="F15" s="19">
        <v>562.49800000000005</v>
      </c>
      <c r="G15" s="19">
        <v>371.863</v>
      </c>
      <c r="H15" s="19">
        <v>380.637</v>
      </c>
      <c r="I15" s="19">
        <v>2425.5329999999999</v>
      </c>
      <c r="J15" s="19">
        <v>1825.2719999999999</v>
      </c>
      <c r="K15" s="19">
        <v>728.27800000000002</v>
      </c>
      <c r="L15" s="19">
        <v>1168.367</v>
      </c>
      <c r="M15" s="19">
        <v>2615.8020000000001</v>
      </c>
      <c r="N15" s="19">
        <v>5197.4080000000004</v>
      </c>
      <c r="O15" s="19">
        <v>1456.2239999999999</v>
      </c>
      <c r="P15" s="19">
        <v>4223.8</v>
      </c>
      <c r="Q15" s="19">
        <v>1965.8050000000001</v>
      </c>
      <c r="R15" s="19">
        <v>3408.1109999999999</v>
      </c>
      <c r="S15" s="19">
        <v>23731.81</v>
      </c>
      <c r="T15" s="19">
        <v>635.04300000000001</v>
      </c>
      <c r="U15" s="19">
        <v>1257.577</v>
      </c>
      <c r="V15" s="19">
        <v>7619.3879999999999</v>
      </c>
      <c r="W15" s="19">
        <v>78191.370999999999</v>
      </c>
      <c r="X15" s="19">
        <v>2640.9250000000002</v>
      </c>
      <c r="Y15" s="19">
        <v>55.2</v>
      </c>
      <c r="Z15" s="19">
        <v>167.64</v>
      </c>
      <c r="AA15" s="19">
        <v>41.38</v>
      </c>
      <c r="AB15" s="19">
        <v>307.69400000000002</v>
      </c>
      <c r="AC15" s="19">
        <v>833.56600000000003</v>
      </c>
      <c r="AD15" s="19">
        <v>115.142</v>
      </c>
      <c r="AE15" s="19">
        <v>338.702</v>
      </c>
      <c r="AF15" s="19">
        <v>402.892</v>
      </c>
      <c r="AG15" s="19">
        <v>57.668999999999997</v>
      </c>
      <c r="AH15" s="19">
        <v>295.48</v>
      </c>
      <c r="AI15" s="19">
        <v>26.562000000000001</v>
      </c>
    </row>
    <row r="16" spans="1:35" x14ac:dyDescent="0.25">
      <c r="A16" s="6">
        <v>1914</v>
      </c>
      <c r="B16" s="19">
        <v>15161.767</v>
      </c>
      <c r="C16" s="19">
        <v>1513.1020000000001</v>
      </c>
      <c r="D16" s="19">
        <v>665.00699999999995</v>
      </c>
      <c r="E16" s="19">
        <v>1092.1990000000001</v>
      </c>
      <c r="F16" s="19">
        <v>572.54499999999996</v>
      </c>
      <c r="G16" s="19">
        <v>378.64299999999997</v>
      </c>
      <c r="H16" s="19">
        <v>390.50900000000001</v>
      </c>
      <c r="I16" s="19">
        <v>2508.1120000000001</v>
      </c>
      <c r="J16" s="19">
        <v>1867.7750000000001</v>
      </c>
      <c r="K16" s="19">
        <v>749.02599999999995</v>
      </c>
      <c r="L16" s="19">
        <v>1185.721</v>
      </c>
      <c r="M16" s="19">
        <v>2643.5059999999999</v>
      </c>
      <c r="N16" s="19">
        <v>5319.598</v>
      </c>
      <c r="O16" s="19">
        <v>1473.1079999999999</v>
      </c>
      <c r="P16" s="19">
        <v>4297.4920000000002</v>
      </c>
      <c r="Q16" s="19">
        <v>1981.174</v>
      </c>
      <c r="R16" s="19">
        <v>3451.029</v>
      </c>
      <c r="S16" s="19">
        <v>24231.87</v>
      </c>
      <c r="T16" s="19">
        <v>643.52700000000004</v>
      </c>
      <c r="U16" s="19">
        <v>1289.2180000000001</v>
      </c>
      <c r="V16" s="19">
        <v>7803.2219999999998</v>
      </c>
      <c r="W16" s="19">
        <v>79435.991999999998</v>
      </c>
      <c r="X16" s="19">
        <v>2645.384</v>
      </c>
      <c r="Y16" s="19">
        <v>54.872999999999998</v>
      </c>
      <c r="Z16" s="19">
        <v>165.304</v>
      </c>
      <c r="AA16" s="19">
        <v>41.83</v>
      </c>
      <c r="AB16" s="19">
        <v>307.67</v>
      </c>
      <c r="AC16" s="19">
        <v>835.99199999999996</v>
      </c>
      <c r="AD16" s="19">
        <v>115.495</v>
      </c>
      <c r="AE16" s="19">
        <v>342.084</v>
      </c>
      <c r="AF16" s="19">
        <v>402.61599999999999</v>
      </c>
      <c r="AG16" s="19">
        <v>58.351999999999997</v>
      </c>
      <c r="AH16" s="19">
        <v>295.36099999999999</v>
      </c>
      <c r="AI16" s="19">
        <v>26.334</v>
      </c>
    </row>
    <row r="17" spans="1:35" x14ac:dyDescent="0.25">
      <c r="A17" s="6">
        <v>1915</v>
      </c>
      <c r="B17" s="19">
        <v>14941.403</v>
      </c>
      <c r="C17" s="19">
        <v>1529.277</v>
      </c>
      <c r="D17" s="19">
        <v>673.16800000000001</v>
      </c>
      <c r="E17" s="19">
        <v>1105.4159999999999</v>
      </c>
      <c r="F17" s="19">
        <v>583.44100000000003</v>
      </c>
      <c r="G17" s="19">
        <v>385.45100000000002</v>
      </c>
      <c r="H17" s="19">
        <v>398.92099999999999</v>
      </c>
      <c r="I17" s="19">
        <v>2583.3879999999999</v>
      </c>
      <c r="J17" s="19">
        <v>1911.65</v>
      </c>
      <c r="K17" s="19">
        <v>770.91700000000003</v>
      </c>
      <c r="L17" s="19">
        <v>1203.453</v>
      </c>
      <c r="M17" s="19">
        <v>2671.6080000000002</v>
      </c>
      <c r="N17" s="19">
        <v>5446.2089999999998</v>
      </c>
      <c r="O17" s="19">
        <v>1490.4269999999999</v>
      </c>
      <c r="P17" s="19">
        <v>4371.7370000000001</v>
      </c>
      <c r="Q17" s="19">
        <v>1997.086</v>
      </c>
      <c r="R17" s="19">
        <v>3494.32</v>
      </c>
      <c r="S17" s="19">
        <v>24743.074000000001</v>
      </c>
      <c r="T17" s="19">
        <v>652.13800000000003</v>
      </c>
      <c r="U17" s="19">
        <v>1317.482</v>
      </c>
      <c r="V17" s="19">
        <v>7985.2179999999998</v>
      </c>
      <c r="W17" s="19">
        <v>80695.277000000002</v>
      </c>
      <c r="X17" s="19">
        <v>2649.8519999999999</v>
      </c>
      <c r="Y17" s="19">
        <v>54.517000000000003</v>
      </c>
      <c r="Z17" s="19">
        <v>163.059</v>
      </c>
      <c r="AA17" s="19">
        <v>42.296999999999997</v>
      </c>
      <c r="AB17" s="19">
        <v>307.64400000000001</v>
      </c>
      <c r="AC17" s="19">
        <v>838.3</v>
      </c>
      <c r="AD17" s="19">
        <v>115.813</v>
      </c>
      <c r="AE17" s="19">
        <v>345.34300000000002</v>
      </c>
      <c r="AF17" s="19">
        <v>402.37299999999999</v>
      </c>
      <c r="AG17" s="19">
        <v>59.027999999999999</v>
      </c>
      <c r="AH17" s="19">
        <v>295.26</v>
      </c>
      <c r="AI17" s="19">
        <v>26.122</v>
      </c>
    </row>
    <row r="18" spans="1:35" x14ac:dyDescent="0.25">
      <c r="A18" s="6">
        <v>1916</v>
      </c>
      <c r="B18" s="19">
        <v>14640.027</v>
      </c>
      <c r="C18" s="19">
        <v>1545.2159999999999</v>
      </c>
      <c r="D18" s="19">
        <v>681.36099999999999</v>
      </c>
      <c r="E18" s="19">
        <v>1119.1849999999999</v>
      </c>
      <c r="F18" s="19">
        <v>594.08199999999999</v>
      </c>
      <c r="G18" s="19">
        <v>391.827</v>
      </c>
      <c r="H18" s="19">
        <v>407.875</v>
      </c>
      <c r="I18" s="19">
        <v>2659.8679999999999</v>
      </c>
      <c r="J18" s="19">
        <v>1954.3779999999999</v>
      </c>
      <c r="K18" s="19">
        <v>793.64400000000001</v>
      </c>
      <c r="L18" s="19">
        <v>1221.6220000000001</v>
      </c>
      <c r="M18" s="19">
        <v>2700.1849999999999</v>
      </c>
      <c r="N18" s="19">
        <v>5576.0649999999996</v>
      </c>
      <c r="O18" s="19">
        <v>1508.1759999999999</v>
      </c>
      <c r="P18" s="19">
        <v>4447.0349999999999</v>
      </c>
      <c r="Q18" s="19">
        <v>2012.54</v>
      </c>
      <c r="R18" s="19">
        <v>3538.5459999999998</v>
      </c>
      <c r="S18" s="19">
        <v>25264.228999999999</v>
      </c>
      <c r="T18" s="19">
        <v>660.93</v>
      </c>
      <c r="U18" s="19">
        <v>1347.3689999999999</v>
      </c>
      <c r="V18" s="19">
        <v>8170.6589999999997</v>
      </c>
      <c r="W18" s="19">
        <v>81977.444000000003</v>
      </c>
      <c r="X18" s="19">
        <v>2654.6190000000001</v>
      </c>
      <c r="Y18" s="19">
        <v>54.161000000000001</v>
      </c>
      <c r="Z18" s="19">
        <v>161.00200000000001</v>
      </c>
      <c r="AA18" s="19">
        <v>42.777999999999999</v>
      </c>
      <c r="AB18" s="19">
        <v>307.61799999999999</v>
      </c>
      <c r="AC18" s="19">
        <v>840.7</v>
      </c>
      <c r="AD18" s="19">
        <v>116.136</v>
      </c>
      <c r="AE18" s="19">
        <v>348.55799999999999</v>
      </c>
      <c r="AF18" s="19">
        <v>402.14400000000001</v>
      </c>
      <c r="AG18" s="19">
        <v>59.716000000000001</v>
      </c>
      <c r="AH18" s="19">
        <v>295.17700000000002</v>
      </c>
      <c r="AI18" s="19">
        <v>25.917000000000002</v>
      </c>
    </row>
    <row r="19" spans="1:35" x14ac:dyDescent="0.25">
      <c r="A19" s="6">
        <v>1917</v>
      </c>
      <c r="B19" s="19">
        <v>14577.619000000001</v>
      </c>
      <c r="C19" s="19">
        <v>1561.615</v>
      </c>
      <c r="D19" s="19">
        <v>698.69899999999996</v>
      </c>
      <c r="E19" s="19">
        <v>1132.643</v>
      </c>
      <c r="F19" s="19">
        <v>605.36300000000006</v>
      </c>
      <c r="G19" s="19">
        <v>398.81200000000001</v>
      </c>
      <c r="H19" s="19">
        <v>416.87099999999998</v>
      </c>
      <c r="I19" s="19">
        <v>2738.5630000000001</v>
      </c>
      <c r="J19" s="19">
        <v>1997.943</v>
      </c>
      <c r="K19" s="19">
        <v>816.904</v>
      </c>
      <c r="L19" s="19">
        <v>1240.2850000000001</v>
      </c>
      <c r="M19" s="19">
        <v>2729.8139999999999</v>
      </c>
      <c r="N19" s="19">
        <v>5708.9870000000001</v>
      </c>
      <c r="O19" s="19">
        <v>1526.35</v>
      </c>
      <c r="P19" s="19">
        <v>4522.3879999999999</v>
      </c>
      <c r="Q19" s="19">
        <v>2028.537</v>
      </c>
      <c r="R19" s="19">
        <v>3583.7660000000001</v>
      </c>
      <c r="S19" s="19">
        <v>25796.143</v>
      </c>
      <c r="T19" s="19">
        <v>669.95799999999997</v>
      </c>
      <c r="U19" s="19">
        <v>1374.8789999999999</v>
      </c>
      <c r="V19" s="19">
        <v>8352.3250000000007</v>
      </c>
      <c r="W19" s="19">
        <v>83290.712</v>
      </c>
      <c r="X19" s="19">
        <v>2659.9740000000002</v>
      </c>
      <c r="Y19" s="19">
        <v>53.834000000000003</v>
      </c>
      <c r="Z19" s="19">
        <v>159.232</v>
      </c>
      <c r="AA19" s="19">
        <v>43.271999999999998</v>
      </c>
      <c r="AB19" s="19">
        <v>307.59399999999999</v>
      </c>
      <c r="AC19" s="19">
        <v>843.40200000000004</v>
      </c>
      <c r="AD19" s="19">
        <v>116.502</v>
      </c>
      <c r="AE19" s="19">
        <v>351.80700000000002</v>
      </c>
      <c r="AF19" s="19">
        <v>401.911</v>
      </c>
      <c r="AG19" s="19">
        <v>60.433</v>
      </c>
      <c r="AH19" s="19">
        <v>295.11200000000002</v>
      </c>
      <c r="AI19" s="19">
        <v>25.712</v>
      </c>
    </row>
    <row r="20" spans="1:35" x14ac:dyDescent="0.25">
      <c r="A20" s="6">
        <v>1918</v>
      </c>
      <c r="B20" s="19">
        <v>14632.659</v>
      </c>
      <c r="C20" s="19">
        <v>1578.67</v>
      </c>
      <c r="D20" s="19">
        <v>716.28899999999999</v>
      </c>
      <c r="E20" s="19">
        <v>1146.425</v>
      </c>
      <c r="F20" s="19">
        <v>616.17899999999997</v>
      </c>
      <c r="G20" s="19">
        <v>405.94499999999999</v>
      </c>
      <c r="H20" s="19">
        <v>426.40899999999999</v>
      </c>
      <c r="I20" s="19">
        <v>2817.982</v>
      </c>
      <c r="J20" s="19">
        <v>2040.83</v>
      </c>
      <c r="K20" s="19">
        <v>840.39200000000005</v>
      </c>
      <c r="L20" s="19">
        <v>1259.499</v>
      </c>
      <c r="M20" s="19">
        <v>2759.5749999999998</v>
      </c>
      <c r="N20" s="19">
        <v>5844.2960000000003</v>
      </c>
      <c r="O20" s="19">
        <v>1544.943</v>
      </c>
      <c r="P20" s="19">
        <v>4598.299</v>
      </c>
      <c r="Q20" s="19">
        <v>2044.076</v>
      </c>
      <c r="R20" s="19">
        <v>3629.5419999999999</v>
      </c>
      <c r="S20" s="19">
        <v>26337.620999999999</v>
      </c>
      <c r="T20" s="19">
        <v>679.27599999999995</v>
      </c>
      <c r="U20" s="19">
        <v>1400.0129999999999</v>
      </c>
      <c r="V20" s="19">
        <v>8539</v>
      </c>
      <c r="W20" s="19">
        <v>84643.3</v>
      </c>
      <c r="X20" s="19">
        <v>2666.2069999999999</v>
      </c>
      <c r="Y20" s="19">
        <v>53.564999999999998</v>
      </c>
      <c r="Z20" s="19">
        <v>157.846</v>
      </c>
      <c r="AA20" s="19">
        <v>43.776000000000003</v>
      </c>
      <c r="AB20" s="19">
        <v>307.57400000000001</v>
      </c>
      <c r="AC20" s="19">
        <v>846.61400000000003</v>
      </c>
      <c r="AD20" s="19">
        <v>116.949</v>
      </c>
      <c r="AE20" s="19">
        <v>355.16800000000001</v>
      </c>
      <c r="AF20" s="19">
        <v>401.65499999999997</v>
      </c>
      <c r="AG20" s="19">
        <v>61.198</v>
      </c>
      <c r="AH20" s="19">
        <v>295.06599999999997</v>
      </c>
      <c r="AI20" s="19">
        <v>25.498999999999999</v>
      </c>
    </row>
    <row r="21" spans="1:35" x14ac:dyDescent="0.25">
      <c r="A21" s="6">
        <v>1919</v>
      </c>
      <c r="B21" s="19">
        <v>14713.126</v>
      </c>
      <c r="C21" s="19">
        <v>1597.075</v>
      </c>
      <c r="D21" s="19">
        <v>734.74400000000003</v>
      </c>
      <c r="E21" s="19">
        <v>1161.1679999999999</v>
      </c>
      <c r="F21" s="19">
        <v>627.42700000000002</v>
      </c>
      <c r="G21" s="19">
        <v>412.767</v>
      </c>
      <c r="H21" s="19">
        <v>434.98899999999998</v>
      </c>
      <c r="I21" s="19">
        <v>2899.1320000000001</v>
      </c>
      <c r="J21" s="19">
        <v>2082.0210000000002</v>
      </c>
      <c r="K21" s="19">
        <v>863.803</v>
      </c>
      <c r="L21" s="19">
        <v>1279.3209999999999</v>
      </c>
      <c r="M21" s="19">
        <v>2790.5439999999999</v>
      </c>
      <c r="N21" s="19">
        <v>5996.3140000000003</v>
      </c>
      <c r="O21" s="19">
        <v>1563.95</v>
      </c>
      <c r="P21" s="19">
        <v>4674.768</v>
      </c>
      <c r="Q21" s="19">
        <v>2060.1579999999999</v>
      </c>
      <c r="R21" s="19">
        <v>3676.433</v>
      </c>
      <c r="S21" s="19">
        <v>26889.971000000001</v>
      </c>
      <c r="T21" s="19">
        <v>688.93899999999996</v>
      </c>
      <c r="U21" s="19">
        <v>1430.271</v>
      </c>
      <c r="V21" s="19">
        <v>8739.4639999999999</v>
      </c>
      <c r="W21" s="19">
        <v>86043.426999999996</v>
      </c>
      <c r="X21" s="19">
        <v>2673.6089999999999</v>
      </c>
      <c r="Y21" s="19">
        <v>53.381999999999998</v>
      </c>
      <c r="Z21" s="19">
        <v>156.94300000000001</v>
      </c>
      <c r="AA21" s="19">
        <v>44.287999999999997</v>
      </c>
      <c r="AB21" s="19">
        <v>307.56099999999998</v>
      </c>
      <c r="AC21" s="19">
        <v>850.54499999999996</v>
      </c>
      <c r="AD21" s="19">
        <v>117.514</v>
      </c>
      <c r="AE21" s="19">
        <v>358.72</v>
      </c>
      <c r="AF21" s="19">
        <v>401.35700000000003</v>
      </c>
      <c r="AG21" s="19">
        <v>62.03</v>
      </c>
      <c r="AH21" s="19">
        <v>295.03699999999998</v>
      </c>
      <c r="AI21" s="19">
        <v>25.27</v>
      </c>
    </row>
    <row r="22" spans="1:35" x14ac:dyDescent="0.25">
      <c r="A22" s="6">
        <v>1920</v>
      </c>
      <c r="B22" s="19">
        <v>14720.5</v>
      </c>
      <c r="C22" s="19">
        <v>1616.027</v>
      </c>
      <c r="D22" s="19">
        <v>753.17100000000005</v>
      </c>
      <c r="E22" s="19">
        <v>1176.0070000000001</v>
      </c>
      <c r="F22" s="19">
        <v>638</v>
      </c>
      <c r="G22" s="19">
        <v>420.31700000000001</v>
      </c>
      <c r="H22" s="19">
        <v>443.11099999999999</v>
      </c>
      <c r="I22" s="19">
        <v>2981.5239999999999</v>
      </c>
      <c r="J22" s="19">
        <v>2122</v>
      </c>
      <c r="K22" s="19">
        <v>886.83299999999997</v>
      </c>
      <c r="L22" s="19">
        <v>1299.809</v>
      </c>
      <c r="M22" s="19">
        <v>2822.3</v>
      </c>
      <c r="N22" s="19">
        <v>6090.3630000000003</v>
      </c>
      <c r="O22" s="19">
        <v>1583.365</v>
      </c>
      <c r="P22" s="19">
        <v>4751.7979999999998</v>
      </c>
      <c r="Q22" s="19">
        <v>2075.7820000000002</v>
      </c>
      <c r="R22" s="19">
        <v>3724.5</v>
      </c>
      <c r="S22" s="19">
        <v>27452</v>
      </c>
      <c r="T22" s="19">
        <v>699</v>
      </c>
      <c r="U22" s="19">
        <v>1453.154</v>
      </c>
      <c r="V22" s="19">
        <v>8970.5</v>
      </c>
      <c r="W22" s="19">
        <v>87499.311000000002</v>
      </c>
      <c r="X22" s="19">
        <v>2682.4690000000001</v>
      </c>
      <c r="Y22" s="19">
        <v>53.314999999999998</v>
      </c>
      <c r="Z22" s="19">
        <v>156.62</v>
      </c>
      <c r="AA22" s="19">
        <v>44.805999999999997</v>
      </c>
      <c r="AB22" s="19">
        <v>307.55599999999998</v>
      </c>
      <c r="AC22" s="19">
        <v>855.40599999999995</v>
      </c>
      <c r="AD22" s="19">
        <v>118.23699999999999</v>
      </c>
      <c r="AE22" s="19">
        <v>362.54</v>
      </c>
      <c r="AF22" s="19">
        <v>400.99700000000001</v>
      </c>
      <c r="AG22" s="19">
        <v>62.947000000000003</v>
      </c>
      <c r="AH22" s="19">
        <v>295.02800000000002</v>
      </c>
      <c r="AI22" s="19">
        <v>25.016999999999999</v>
      </c>
    </row>
    <row r="23" spans="1:35" x14ac:dyDescent="0.25">
      <c r="A23" s="6">
        <v>1921</v>
      </c>
      <c r="B23" s="19">
        <v>14829.468000000001</v>
      </c>
      <c r="C23" s="19">
        <v>1652.8230000000001</v>
      </c>
      <c r="D23" s="19">
        <v>772.11099999999999</v>
      </c>
      <c r="E23" s="19">
        <v>1195.1030000000001</v>
      </c>
      <c r="F23" s="19">
        <v>646.45000000000005</v>
      </c>
      <c r="G23" s="19">
        <v>427.11900000000003</v>
      </c>
      <c r="H23" s="19">
        <v>447.18299999999999</v>
      </c>
      <c r="I23" s="19">
        <v>3066.107</v>
      </c>
      <c r="J23" s="19">
        <v>2151.8710000000001</v>
      </c>
      <c r="K23" s="19">
        <v>919.23</v>
      </c>
      <c r="L23" s="19">
        <v>1321.0129999999999</v>
      </c>
      <c r="M23" s="19">
        <v>2855.9929999999999</v>
      </c>
      <c r="N23" s="19">
        <v>6214.53</v>
      </c>
      <c r="O23" s="19">
        <v>1611.6130000000001</v>
      </c>
      <c r="P23" s="19">
        <v>4829.6719999999996</v>
      </c>
      <c r="Q23" s="19">
        <v>2094.7750000000001</v>
      </c>
      <c r="R23" s="19">
        <v>3783.3069999999998</v>
      </c>
      <c r="S23" s="19">
        <v>28016.544999999998</v>
      </c>
      <c r="T23" s="19">
        <v>714.11</v>
      </c>
      <c r="U23" s="19">
        <v>1476.2940000000001</v>
      </c>
      <c r="V23" s="19">
        <v>9225.9079999999994</v>
      </c>
      <c r="W23" s="19">
        <v>89016.002999999997</v>
      </c>
      <c r="X23" s="19">
        <v>2695.5450000000001</v>
      </c>
      <c r="Y23" s="19">
        <v>53.418999999999997</v>
      </c>
      <c r="Z23" s="19">
        <v>156.648</v>
      </c>
      <c r="AA23" s="19">
        <v>45.343000000000004</v>
      </c>
      <c r="AB23" s="19">
        <v>307.58999999999997</v>
      </c>
      <c r="AC23" s="19">
        <v>863.11699999999996</v>
      </c>
      <c r="AD23" s="19">
        <v>119.45099999999999</v>
      </c>
      <c r="AE23" s="19">
        <v>366.51900000000001</v>
      </c>
      <c r="AF23" s="19">
        <v>400.52300000000002</v>
      </c>
      <c r="AG23" s="19">
        <v>63.935000000000002</v>
      </c>
      <c r="AH23" s="19">
        <v>295.57600000000002</v>
      </c>
      <c r="AI23" s="19">
        <v>24.716000000000001</v>
      </c>
    </row>
    <row r="24" spans="1:35" x14ac:dyDescent="0.25">
      <c r="A24" s="6">
        <v>1922</v>
      </c>
      <c r="B24" s="19">
        <v>14915.276</v>
      </c>
      <c r="C24" s="19">
        <v>1692.3320000000001</v>
      </c>
      <c r="D24" s="19">
        <v>791.50400000000002</v>
      </c>
      <c r="E24" s="19">
        <v>1214.454</v>
      </c>
      <c r="F24" s="19">
        <v>654.41499999999996</v>
      </c>
      <c r="G24" s="19">
        <v>435.15699999999998</v>
      </c>
      <c r="H24" s="19">
        <v>451.15600000000001</v>
      </c>
      <c r="I24" s="19">
        <v>3153.433</v>
      </c>
      <c r="J24" s="19">
        <v>2180.7539999999999</v>
      </c>
      <c r="K24" s="19">
        <v>952.471</v>
      </c>
      <c r="L24" s="19">
        <v>1342.944</v>
      </c>
      <c r="M24" s="19">
        <v>2891.6840000000002</v>
      </c>
      <c r="N24" s="19">
        <v>6340.0839999999998</v>
      </c>
      <c r="O24" s="19">
        <v>1645.7</v>
      </c>
      <c r="P24" s="19">
        <v>4909.0649999999996</v>
      </c>
      <c r="Q24" s="19">
        <v>2113.5419999999999</v>
      </c>
      <c r="R24" s="19">
        <v>3835.8589999999999</v>
      </c>
      <c r="S24" s="19">
        <v>28590.197</v>
      </c>
      <c r="T24" s="19">
        <v>730.33500000000004</v>
      </c>
      <c r="U24" s="19">
        <v>1499.769</v>
      </c>
      <c r="V24" s="19">
        <v>9521.7360000000008</v>
      </c>
      <c r="W24" s="19">
        <v>90590.437000000005</v>
      </c>
      <c r="X24" s="19">
        <v>2714.797</v>
      </c>
      <c r="Y24" s="19">
        <v>53.709000000000003</v>
      </c>
      <c r="Z24" s="19">
        <v>156.73099999999999</v>
      </c>
      <c r="AA24" s="19">
        <v>45.908999999999999</v>
      </c>
      <c r="AB24" s="19">
        <v>307.69200000000001</v>
      </c>
      <c r="AC24" s="19">
        <v>874.96400000000006</v>
      </c>
      <c r="AD24" s="19">
        <v>121.379</v>
      </c>
      <c r="AE24" s="19">
        <v>370.52</v>
      </c>
      <c r="AF24" s="19">
        <v>399.92200000000003</v>
      </c>
      <c r="AG24" s="19">
        <v>64.974000000000004</v>
      </c>
      <c r="AH24" s="19">
        <v>297.10599999999999</v>
      </c>
      <c r="AI24" s="19">
        <v>24.361000000000001</v>
      </c>
    </row>
    <row r="25" spans="1:35" x14ac:dyDescent="0.25">
      <c r="A25" s="6">
        <v>1923</v>
      </c>
      <c r="B25" s="19">
        <v>15084.244000000001</v>
      </c>
      <c r="C25" s="19">
        <v>1734.1010000000001</v>
      </c>
      <c r="D25" s="19">
        <v>811.31600000000003</v>
      </c>
      <c r="E25" s="19">
        <v>1235.9549999999999</v>
      </c>
      <c r="F25" s="19">
        <v>662.923</v>
      </c>
      <c r="G25" s="19">
        <v>444.41199999999998</v>
      </c>
      <c r="H25" s="19">
        <v>455.09100000000001</v>
      </c>
      <c r="I25" s="19">
        <v>3242.4180000000001</v>
      </c>
      <c r="J25" s="19">
        <v>2209.404</v>
      </c>
      <c r="K25" s="19">
        <v>986.58699999999999</v>
      </c>
      <c r="L25" s="19">
        <v>1365.597</v>
      </c>
      <c r="M25" s="19">
        <v>2928.8110000000001</v>
      </c>
      <c r="N25" s="19">
        <v>6466.8630000000003</v>
      </c>
      <c r="O25" s="19">
        <v>1678.2429999999999</v>
      </c>
      <c r="P25" s="19">
        <v>4988.8220000000001</v>
      </c>
      <c r="Q25" s="19">
        <v>2132.6990000000001</v>
      </c>
      <c r="R25" s="19">
        <v>3889.1309999999999</v>
      </c>
      <c r="S25" s="19">
        <v>29174.646000000001</v>
      </c>
      <c r="T25" s="19">
        <v>747.10699999999997</v>
      </c>
      <c r="U25" s="19">
        <v>1523.4939999999999</v>
      </c>
      <c r="V25" s="19">
        <v>9857.893</v>
      </c>
      <c r="W25" s="19">
        <v>92218.661999999997</v>
      </c>
      <c r="X25" s="19">
        <v>2739.3139999999999</v>
      </c>
      <c r="Y25" s="19">
        <v>54.155999999999999</v>
      </c>
      <c r="Z25" s="19">
        <v>156.86600000000001</v>
      </c>
      <c r="AA25" s="19">
        <v>46.497</v>
      </c>
      <c r="AB25" s="19">
        <v>307.85700000000003</v>
      </c>
      <c r="AC25" s="19">
        <v>890.20600000000002</v>
      </c>
      <c r="AD25" s="19">
        <v>123.893</v>
      </c>
      <c r="AE25" s="19">
        <v>374.58100000000002</v>
      </c>
      <c r="AF25" s="19">
        <v>399.23500000000001</v>
      </c>
      <c r="AG25" s="19">
        <v>66.073999999999998</v>
      </c>
      <c r="AH25" s="19">
        <v>299.44499999999999</v>
      </c>
      <c r="AI25" s="19">
        <v>23.972999999999999</v>
      </c>
    </row>
    <row r="26" spans="1:35" x14ac:dyDescent="0.25">
      <c r="A26" s="6">
        <v>1924</v>
      </c>
      <c r="B26" s="19">
        <v>15266.191999999999</v>
      </c>
      <c r="C26" s="19">
        <v>1780.1780000000001</v>
      </c>
      <c r="D26" s="19">
        <v>832.01099999999997</v>
      </c>
      <c r="E26" s="19">
        <v>1259.499</v>
      </c>
      <c r="F26" s="19">
        <v>671.00199999999995</v>
      </c>
      <c r="G26" s="19">
        <v>453.86200000000002</v>
      </c>
      <c r="H26" s="19">
        <v>459.05399999999997</v>
      </c>
      <c r="I26" s="19">
        <v>3332.9760000000001</v>
      </c>
      <c r="J26" s="19">
        <v>2236.578</v>
      </c>
      <c r="K26" s="19">
        <v>1021.6079999999999</v>
      </c>
      <c r="L26" s="19">
        <v>1388.9649999999999</v>
      </c>
      <c r="M26" s="19">
        <v>2966.3139999999999</v>
      </c>
      <c r="N26" s="19">
        <v>6595.2089999999998</v>
      </c>
      <c r="O26" s="19">
        <v>1712.856</v>
      </c>
      <c r="P26" s="19">
        <v>5068.7849999999999</v>
      </c>
      <c r="Q26" s="19">
        <v>2151.3620000000001</v>
      </c>
      <c r="R26" s="19">
        <v>3944.0970000000002</v>
      </c>
      <c r="S26" s="19">
        <v>29771.079000000002</v>
      </c>
      <c r="T26" s="19">
        <v>764.85599999999999</v>
      </c>
      <c r="U26" s="19">
        <v>1547.3820000000001</v>
      </c>
      <c r="V26" s="19">
        <v>10175.785</v>
      </c>
      <c r="W26" s="19">
        <v>93896.725000000006</v>
      </c>
      <c r="X26" s="19">
        <v>2768.1869999999999</v>
      </c>
      <c r="Y26" s="19">
        <v>54.728000000000002</v>
      </c>
      <c r="Z26" s="19">
        <v>157.04900000000001</v>
      </c>
      <c r="AA26" s="19">
        <v>47.101999999999997</v>
      </c>
      <c r="AB26" s="19">
        <v>308.084</v>
      </c>
      <c r="AC26" s="19">
        <v>908.101</v>
      </c>
      <c r="AD26" s="19">
        <v>126.86799999999999</v>
      </c>
      <c r="AE26" s="19">
        <v>378.73899999999998</v>
      </c>
      <c r="AF26" s="19">
        <v>398.505</v>
      </c>
      <c r="AG26" s="19">
        <v>67.245000000000005</v>
      </c>
      <c r="AH26" s="19">
        <v>302.42099999999999</v>
      </c>
      <c r="AI26" s="19">
        <v>23.57</v>
      </c>
    </row>
    <row r="27" spans="1:35" x14ac:dyDescent="0.25">
      <c r="A27" s="6">
        <v>1925</v>
      </c>
      <c r="B27" s="19">
        <v>15461.439</v>
      </c>
      <c r="C27" s="19">
        <v>1821.1130000000001</v>
      </c>
      <c r="D27" s="19">
        <v>852.55399999999997</v>
      </c>
      <c r="E27" s="19">
        <v>1281.9829999999999</v>
      </c>
      <c r="F27" s="19">
        <v>679.17899999999997</v>
      </c>
      <c r="G27" s="19">
        <v>463.99</v>
      </c>
      <c r="H27" s="19">
        <v>463.10700000000003</v>
      </c>
      <c r="I27" s="19">
        <v>3423.52</v>
      </c>
      <c r="J27" s="19">
        <v>2264.5340000000001</v>
      </c>
      <c r="K27" s="19">
        <v>1057.567</v>
      </c>
      <c r="L27" s="19">
        <v>1413.0440000000001</v>
      </c>
      <c r="M27" s="19">
        <v>3005.1309999999999</v>
      </c>
      <c r="N27" s="19">
        <v>6725.96</v>
      </c>
      <c r="O27" s="19">
        <v>1748.155</v>
      </c>
      <c r="P27" s="19">
        <v>5150.2979999999998</v>
      </c>
      <c r="Q27" s="19">
        <v>2170.6480000000001</v>
      </c>
      <c r="R27" s="19">
        <v>3999.7310000000002</v>
      </c>
      <c r="S27" s="19">
        <v>30379.187000000002</v>
      </c>
      <c r="T27" s="19">
        <v>783.01400000000001</v>
      </c>
      <c r="U27" s="19">
        <v>1571.35</v>
      </c>
      <c r="V27" s="19">
        <v>10476.319</v>
      </c>
      <c r="W27" s="19">
        <v>95620.672999999995</v>
      </c>
      <c r="X27" s="19">
        <v>2800.5079999999998</v>
      </c>
      <c r="Y27" s="19">
        <v>55.396999999999998</v>
      </c>
      <c r="Z27" s="19">
        <v>157.27799999999999</v>
      </c>
      <c r="AA27" s="19">
        <v>47.716000000000001</v>
      </c>
      <c r="AB27" s="19">
        <v>308.36900000000003</v>
      </c>
      <c r="AC27" s="19">
        <v>927.90599999999995</v>
      </c>
      <c r="AD27" s="19">
        <v>130.17500000000001</v>
      </c>
      <c r="AE27" s="19">
        <v>383.03199999999998</v>
      </c>
      <c r="AF27" s="19">
        <v>397.77199999999999</v>
      </c>
      <c r="AG27" s="19">
        <v>68.497</v>
      </c>
      <c r="AH27" s="19">
        <v>305.86200000000002</v>
      </c>
      <c r="AI27" s="19">
        <v>23.175000000000001</v>
      </c>
    </row>
    <row r="28" spans="1:35" x14ac:dyDescent="0.25">
      <c r="A28" s="6">
        <v>1926</v>
      </c>
      <c r="B28" s="19">
        <v>15667.305</v>
      </c>
      <c r="C28" s="19">
        <v>1862.453</v>
      </c>
      <c r="D28" s="19">
        <v>873.41099999999994</v>
      </c>
      <c r="E28" s="19">
        <v>1303.299</v>
      </c>
      <c r="F28" s="19">
        <v>687.98099999999999</v>
      </c>
      <c r="G28" s="19">
        <v>474.77600000000001</v>
      </c>
      <c r="H28" s="19">
        <v>467.315</v>
      </c>
      <c r="I28" s="19">
        <v>3513.9650000000001</v>
      </c>
      <c r="J28" s="19">
        <v>2294.5259999999998</v>
      </c>
      <c r="K28" s="19">
        <v>1094.4960000000001</v>
      </c>
      <c r="L28" s="19">
        <v>1437.828</v>
      </c>
      <c r="M28" s="19">
        <v>3044.701</v>
      </c>
      <c r="N28" s="19">
        <v>6859.4579999999996</v>
      </c>
      <c r="O28" s="19">
        <v>1783.7570000000001</v>
      </c>
      <c r="P28" s="19">
        <v>5233.7030000000004</v>
      </c>
      <c r="Q28" s="19">
        <v>2190.174</v>
      </c>
      <c r="R28" s="19">
        <v>4056.5059999999999</v>
      </c>
      <c r="S28" s="19">
        <v>30999.156999999999</v>
      </c>
      <c r="T28" s="19">
        <v>801.51</v>
      </c>
      <c r="U28" s="19">
        <v>1602.8109999999999</v>
      </c>
      <c r="V28" s="19">
        <v>10786.903</v>
      </c>
      <c r="W28" s="19">
        <v>97386.554999999993</v>
      </c>
      <c r="X28" s="19">
        <v>2835.3649999999998</v>
      </c>
      <c r="Y28" s="19">
        <v>56.131</v>
      </c>
      <c r="Z28" s="19">
        <v>157.55000000000001</v>
      </c>
      <c r="AA28" s="19">
        <v>48.332999999999998</v>
      </c>
      <c r="AB28" s="19">
        <v>308.70999999999998</v>
      </c>
      <c r="AC28" s="19">
        <v>948.87900000000002</v>
      </c>
      <c r="AD28" s="19">
        <v>133.68700000000001</v>
      </c>
      <c r="AE28" s="19">
        <v>387.49799999999999</v>
      </c>
      <c r="AF28" s="19">
        <v>397.07900000000001</v>
      </c>
      <c r="AG28" s="19">
        <v>69.840999999999994</v>
      </c>
      <c r="AH28" s="19">
        <v>309.59699999999998</v>
      </c>
      <c r="AI28" s="19">
        <v>22.806000000000001</v>
      </c>
    </row>
    <row r="29" spans="1:35" x14ac:dyDescent="0.25">
      <c r="A29" s="6">
        <v>1927</v>
      </c>
      <c r="B29" s="19">
        <v>15882.611000000001</v>
      </c>
      <c r="C29" s="19">
        <v>1904.748</v>
      </c>
      <c r="D29" s="19">
        <v>888.54700000000003</v>
      </c>
      <c r="E29" s="19">
        <v>1325.8440000000001</v>
      </c>
      <c r="F29" s="19">
        <v>696.93700000000001</v>
      </c>
      <c r="G29" s="19">
        <v>483.69900000000001</v>
      </c>
      <c r="H29" s="19">
        <v>472.24099999999999</v>
      </c>
      <c r="I29" s="19">
        <v>3603.7249999999999</v>
      </c>
      <c r="J29" s="19">
        <v>2325.3130000000001</v>
      </c>
      <c r="K29" s="19">
        <v>1132.425</v>
      </c>
      <c r="L29" s="19">
        <v>1463.3130000000001</v>
      </c>
      <c r="M29" s="19">
        <v>3086.4639999999999</v>
      </c>
      <c r="N29" s="19">
        <v>6995.5410000000002</v>
      </c>
      <c r="O29" s="19">
        <v>1820.2760000000001</v>
      </c>
      <c r="P29" s="19">
        <v>5318.3450000000003</v>
      </c>
      <c r="Q29" s="19">
        <v>2210.5549999999998</v>
      </c>
      <c r="R29" s="19">
        <v>4114.3959999999997</v>
      </c>
      <c r="S29" s="19">
        <v>31631.679</v>
      </c>
      <c r="T29" s="19">
        <v>820.77599999999995</v>
      </c>
      <c r="U29" s="19">
        <v>1633.68</v>
      </c>
      <c r="V29" s="19">
        <v>11103.941999999999</v>
      </c>
      <c r="W29" s="19">
        <v>99190.417000000001</v>
      </c>
      <c r="X29" s="19">
        <v>2871.8510000000001</v>
      </c>
      <c r="Y29" s="19">
        <v>56.899000000000001</v>
      </c>
      <c r="Z29" s="19">
        <v>157.86099999999999</v>
      </c>
      <c r="AA29" s="19">
        <v>48.948</v>
      </c>
      <c r="AB29" s="19">
        <v>309.10399999999998</v>
      </c>
      <c r="AC29" s="19">
        <v>970.27800000000002</v>
      </c>
      <c r="AD29" s="19">
        <v>137.27600000000001</v>
      </c>
      <c r="AE29" s="19">
        <v>392.17399999999998</v>
      </c>
      <c r="AF29" s="19">
        <v>396.46800000000002</v>
      </c>
      <c r="AG29" s="19">
        <v>71.286000000000001</v>
      </c>
      <c r="AH29" s="19">
        <v>313.452</v>
      </c>
      <c r="AI29" s="19">
        <v>22.483000000000001</v>
      </c>
    </row>
    <row r="30" spans="1:35" x14ac:dyDescent="0.25">
      <c r="A30" s="6">
        <v>1928</v>
      </c>
      <c r="B30" s="19">
        <v>16104.675999999999</v>
      </c>
      <c r="C30" s="19">
        <v>1953.0440000000001</v>
      </c>
      <c r="D30" s="19">
        <v>905.42700000000002</v>
      </c>
      <c r="E30" s="19">
        <v>1352.51</v>
      </c>
      <c r="F30" s="19">
        <v>705.57399999999996</v>
      </c>
      <c r="G30" s="19">
        <v>493.24099999999999</v>
      </c>
      <c r="H30" s="19">
        <v>476.94900000000001</v>
      </c>
      <c r="I30" s="19">
        <v>3599.2150000000001</v>
      </c>
      <c r="J30" s="19">
        <v>2356.15</v>
      </c>
      <c r="K30" s="19">
        <v>1171.8869999999999</v>
      </c>
      <c r="L30" s="19">
        <v>1489.492</v>
      </c>
      <c r="M30" s="19">
        <v>3130.8589999999999</v>
      </c>
      <c r="N30" s="19">
        <v>7135.05</v>
      </c>
      <c r="O30" s="19">
        <v>1861.829</v>
      </c>
      <c r="P30" s="19">
        <v>5401.5659999999998</v>
      </c>
      <c r="Q30" s="19">
        <v>2231.4090000000001</v>
      </c>
      <c r="R30" s="19">
        <v>4172.8760000000002</v>
      </c>
      <c r="S30" s="19">
        <v>32276.940999999999</v>
      </c>
      <c r="T30" s="19">
        <v>840.24300000000005</v>
      </c>
      <c r="U30" s="19">
        <v>1664.8720000000001</v>
      </c>
      <c r="V30" s="19">
        <v>11410.844999999999</v>
      </c>
      <c r="W30" s="19">
        <v>101028.307</v>
      </c>
      <c r="X30" s="19">
        <v>2909.0549999999998</v>
      </c>
      <c r="Y30" s="19">
        <v>57.673000000000002</v>
      </c>
      <c r="Z30" s="19">
        <v>158.208</v>
      </c>
      <c r="AA30" s="19">
        <v>49.552999999999997</v>
      </c>
      <c r="AB30" s="19">
        <v>309.54899999999998</v>
      </c>
      <c r="AC30" s="19">
        <v>991.36099999999999</v>
      </c>
      <c r="AD30" s="19">
        <v>140.81700000000001</v>
      </c>
      <c r="AE30" s="19">
        <v>397.09699999999998</v>
      </c>
      <c r="AF30" s="19">
        <v>395.98</v>
      </c>
      <c r="AG30" s="19">
        <v>72.843000000000004</v>
      </c>
      <c r="AH30" s="19">
        <v>317.25700000000001</v>
      </c>
      <c r="AI30" s="19">
        <v>22.228000000000002</v>
      </c>
    </row>
    <row r="31" spans="1:35" x14ac:dyDescent="0.25">
      <c r="A31" s="6">
        <v>1929</v>
      </c>
      <c r="B31" s="19">
        <v>16649.819</v>
      </c>
      <c r="C31" s="19">
        <v>1994.3920000000001</v>
      </c>
      <c r="D31" s="19">
        <v>922.01499999999999</v>
      </c>
      <c r="E31" s="19">
        <v>1375.693</v>
      </c>
      <c r="F31" s="19">
        <v>714.91899999999998</v>
      </c>
      <c r="G31" s="19">
        <v>504.38200000000001</v>
      </c>
      <c r="H31" s="19">
        <v>482.00200000000001</v>
      </c>
      <c r="I31" s="19">
        <v>3677.3490000000002</v>
      </c>
      <c r="J31" s="19">
        <v>2388.2930000000001</v>
      </c>
      <c r="K31" s="19">
        <v>1211.912</v>
      </c>
      <c r="L31" s="19">
        <v>1516.36</v>
      </c>
      <c r="M31" s="19">
        <v>3175.8249999999998</v>
      </c>
      <c r="N31" s="19">
        <v>7278.3249999999998</v>
      </c>
      <c r="O31" s="19">
        <v>1904.0319999999999</v>
      </c>
      <c r="P31" s="19">
        <v>5485.71</v>
      </c>
      <c r="Q31" s="19">
        <v>2252.8519999999999</v>
      </c>
      <c r="R31" s="19">
        <v>4232.42</v>
      </c>
      <c r="S31" s="19">
        <v>32935.131999999998</v>
      </c>
      <c r="T31" s="19">
        <v>859.84</v>
      </c>
      <c r="U31" s="19">
        <v>1695.3019999999999</v>
      </c>
      <c r="V31" s="19">
        <v>11708.018</v>
      </c>
      <c r="W31" s="19">
        <v>102896.273</v>
      </c>
      <c r="X31" s="19">
        <v>2946.0680000000002</v>
      </c>
      <c r="Y31" s="19">
        <v>58.42</v>
      </c>
      <c r="Z31" s="19">
        <v>158.589</v>
      </c>
      <c r="AA31" s="19">
        <v>50.142000000000003</v>
      </c>
      <c r="AB31" s="19">
        <v>310.041</v>
      </c>
      <c r="AC31" s="19">
        <v>1011.386</v>
      </c>
      <c r="AD31" s="19">
        <v>144.18100000000001</v>
      </c>
      <c r="AE31" s="19">
        <v>402.30599999999998</v>
      </c>
      <c r="AF31" s="19">
        <v>395.65600000000001</v>
      </c>
      <c r="AG31" s="19">
        <v>74.522000000000006</v>
      </c>
      <c r="AH31" s="19">
        <v>320.83699999999999</v>
      </c>
      <c r="AI31" s="19">
        <v>22.06</v>
      </c>
    </row>
    <row r="32" spans="1:35" x14ac:dyDescent="0.25">
      <c r="A32" s="6">
        <v>1930</v>
      </c>
      <c r="B32" s="19">
        <v>16552.861000000001</v>
      </c>
      <c r="C32" s="19">
        <v>2035.838</v>
      </c>
      <c r="D32" s="19">
        <v>940.27800000000002</v>
      </c>
      <c r="E32" s="19">
        <v>1400.7860000000001</v>
      </c>
      <c r="F32" s="19">
        <v>724</v>
      </c>
      <c r="G32" s="19">
        <v>515.60199999999998</v>
      </c>
      <c r="H32" s="19">
        <v>488.964</v>
      </c>
      <c r="I32" s="19">
        <v>3753.0410000000002</v>
      </c>
      <c r="J32" s="19">
        <v>2421</v>
      </c>
      <c r="K32" s="19">
        <v>1253.5340000000001</v>
      </c>
      <c r="L32" s="19">
        <v>1543.913</v>
      </c>
      <c r="M32" s="19">
        <v>3221.8</v>
      </c>
      <c r="N32" s="19">
        <v>7425.7060000000001</v>
      </c>
      <c r="O32" s="19">
        <v>1951.5</v>
      </c>
      <c r="P32" s="19">
        <v>5569.1210000000001</v>
      </c>
      <c r="Q32" s="19">
        <v>2275</v>
      </c>
      <c r="R32" s="19">
        <v>4293</v>
      </c>
      <c r="S32" s="19">
        <v>33606.942000000003</v>
      </c>
      <c r="T32" s="19">
        <v>880</v>
      </c>
      <c r="U32" s="19">
        <v>1725.885</v>
      </c>
      <c r="V32" s="19">
        <v>11991.369000000001</v>
      </c>
      <c r="W32" s="19">
        <v>104790.363</v>
      </c>
      <c r="X32" s="19">
        <v>2981.9810000000002</v>
      </c>
      <c r="Y32" s="19">
        <v>59.110999999999997</v>
      </c>
      <c r="Z32" s="19">
        <v>159</v>
      </c>
      <c r="AA32" s="19">
        <v>50.71</v>
      </c>
      <c r="AB32" s="19">
        <v>310.577</v>
      </c>
      <c r="AC32" s="19">
        <v>1029.6110000000001</v>
      </c>
      <c r="AD32" s="19">
        <v>147.24100000000001</v>
      </c>
      <c r="AE32" s="19">
        <v>407.83800000000002</v>
      </c>
      <c r="AF32" s="19">
        <v>395.53899999999999</v>
      </c>
      <c r="AG32" s="19">
        <v>76.331999999999994</v>
      </c>
      <c r="AH32" s="19">
        <v>324.02300000000002</v>
      </c>
      <c r="AI32" s="19">
        <v>22</v>
      </c>
    </row>
    <row r="33" spans="1:35" x14ac:dyDescent="0.25">
      <c r="A33" s="6">
        <v>1931</v>
      </c>
      <c r="B33" s="19">
        <v>16810.241999999998</v>
      </c>
      <c r="C33" s="19">
        <v>2080.4929999999999</v>
      </c>
      <c r="D33" s="19">
        <v>958.90200000000004</v>
      </c>
      <c r="E33" s="19">
        <v>1416.7860000000001</v>
      </c>
      <c r="F33" s="19">
        <v>733.14400000000001</v>
      </c>
      <c r="G33" s="19">
        <v>526.37199999999996</v>
      </c>
      <c r="H33" s="19">
        <v>501.61500000000001</v>
      </c>
      <c r="I33" s="19">
        <v>3948.0059999999999</v>
      </c>
      <c r="J33" s="19">
        <v>2457.971</v>
      </c>
      <c r="K33" s="19">
        <v>1296.327</v>
      </c>
      <c r="L33" s="19">
        <v>1572.586</v>
      </c>
      <c r="M33" s="19">
        <v>3268.0390000000002</v>
      </c>
      <c r="N33" s="19">
        <v>7576.4269999999997</v>
      </c>
      <c r="O33" s="19">
        <v>2000.011</v>
      </c>
      <c r="P33" s="19">
        <v>5658.1670000000004</v>
      </c>
      <c r="Q33" s="19">
        <v>2298.7629999999999</v>
      </c>
      <c r="R33" s="19">
        <v>4355.7449999999999</v>
      </c>
      <c r="S33" s="19">
        <v>34287.497000000003</v>
      </c>
      <c r="T33" s="19">
        <v>900.71199999999999</v>
      </c>
      <c r="U33" s="19">
        <v>1753.155</v>
      </c>
      <c r="V33" s="19">
        <v>12233.664000000001</v>
      </c>
      <c r="W33" s="19">
        <v>106686.929</v>
      </c>
      <c r="X33" s="19">
        <v>3017.511</v>
      </c>
      <c r="Y33" s="19">
        <v>59.765000000000001</v>
      </c>
      <c r="Z33" s="19">
        <v>159.68299999999999</v>
      </c>
      <c r="AA33" s="19">
        <v>51.238</v>
      </c>
      <c r="AB33" s="19">
        <v>311.60500000000002</v>
      </c>
      <c r="AC33" s="19">
        <v>1046.47</v>
      </c>
      <c r="AD33" s="19">
        <v>150.059</v>
      </c>
      <c r="AE33" s="19">
        <v>413.69900000000001</v>
      </c>
      <c r="AF33" s="19">
        <v>395.78800000000001</v>
      </c>
      <c r="AG33" s="19">
        <v>78.673000000000002</v>
      </c>
      <c r="AH33" s="19">
        <v>326.81</v>
      </c>
      <c r="AI33" s="19">
        <v>22.062000000000001</v>
      </c>
    </row>
    <row r="34" spans="1:35" x14ac:dyDescent="0.25">
      <c r="A34" s="6">
        <v>1932</v>
      </c>
      <c r="B34" s="19">
        <v>17065.670999999998</v>
      </c>
      <c r="C34" s="19">
        <v>2120.9</v>
      </c>
      <c r="D34" s="19">
        <v>978.553</v>
      </c>
      <c r="E34" s="19">
        <v>1435.3050000000001</v>
      </c>
      <c r="F34" s="19">
        <v>742.73800000000006</v>
      </c>
      <c r="G34" s="19">
        <v>537.702</v>
      </c>
      <c r="H34" s="19">
        <v>515.11800000000005</v>
      </c>
      <c r="I34" s="19">
        <v>3982.4670000000001</v>
      </c>
      <c r="J34" s="19">
        <v>2496.0880000000002</v>
      </c>
      <c r="K34" s="19">
        <v>1340.3409999999999</v>
      </c>
      <c r="L34" s="19">
        <v>1602.6790000000001</v>
      </c>
      <c r="M34" s="19">
        <v>3315.0120000000002</v>
      </c>
      <c r="N34" s="19">
        <v>7729.84</v>
      </c>
      <c r="O34" s="19">
        <v>2053.067</v>
      </c>
      <c r="P34" s="19">
        <v>5745.665</v>
      </c>
      <c r="Q34" s="19">
        <v>2323.835</v>
      </c>
      <c r="R34" s="19">
        <v>4419.5060000000003</v>
      </c>
      <c r="S34" s="19">
        <v>34973.703999999998</v>
      </c>
      <c r="T34" s="19">
        <v>921.55799999999999</v>
      </c>
      <c r="U34" s="19">
        <v>1780.2239999999999</v>
      </c>
      <c r="V34" s="19">
        <v>12463.203</v>
      </c>
      <c r="W34" s="19">
        <v>108578.72199999999</v>
      </c>
      <c r="X34" s="19">
        <v>3054.0929999999998</v>
      </c>
      <c r="Y34" s="19">
        <v>60.423999999999999</v>
      </c>
      <c r="Z34" s="19">
        <v>160.83699999999999</v>
      </c>
      <c r="AA34" s="19">
        <v>51.725000000000001</v>
      </c>
      <c r="AB34" s="19">
        <v>313.50200000000001</v>
      </c>
      <c r="AC34" s="19">
        <v>1062.9770000000001</v>
      </c>
      <c r="AD34" s="19">
        <v>152.80000000000001</v>
      </c>
      <c r="AE34" s="19">
        <v>419.89</v>
      </c>
      <c r="AF34" s="19">
        <v>396.49700000000001</v>
      </c>
      <c r="AG34" s="19">
        <v>81.787999999999997</v>
      </c>
      <c r="AH34" s="19">
        <v>329.37400000000002</v>
      </c>
      <c r="AI34" s="19">
        <v>22.234999999999999</v>
      </c>
    </row>
    <row r="35" spans="1:35" x14ac:dyDescent="0.25">
      <c r="A35" s="6">
        <v>1933</v>
      </c>
      <c r="B35" s="19">
        <v>17336.873</v>
      </c>
      <c r="C35" s="19">
        <v>2157.7570000000001</v>
      </c>
      <c r="D35" s="19">
        <v>997.16300000000001</v>
      </c>
      <c r="E35" s="19">
        <v>1454.4159999999999</v>
      </c>
      <c r="F35" s="19">
        <v>752.40099999999995</v>
      </c>
      <c r="G35" s="19">
        <v>549.13300000000004</v>
      </c>
      <c r="H35" s="19">
        <v>529.35799999999995</v>
      </c>
      <c r="I35" s="19">
        <v>4014.85</v>
      </c>
      <c r="J35" s="19">
        <v>2534.6329999999998</v>
      </c>
      <c r="K35" s="19">
        <v>1385.568</v>
      </c>
      <c r="L35" s="19">
        <v>1633.981</v>
      </c>
      <c r="M35" s="19">
        <v>3361.982</v>
      </c>
      <c r="N35" s="19">
        <v>7885.9530000000004</v>
      </c>
      <c r="O35" s="19">
        <v>2103.366</v>
      </c>
      <c r="P35" s="19">
        <v>5833.1220000000003</v>
      </c>
      <c r="Q35" s="19">
        <v>2350.5120000000002</v>
      </c>
      <c r="R35" s="19">
        <v>4484.5950000000003</v>
      </c>
      <c r="S35" s="19">
        <v>35670.165000000001</v>
      </c>
      <c r="T35" s="19">
        <v>943.10199999999998</v>
      </c>
      <c r="U35" s="19">
        <v>1807.12</v>
      </c>
      <c r="V35" s="19">
        <v>12677.94</v>
      </c>
      <c r="W35" s="19">
        <v>110486.38499999999</v>
      </c>
      <c r="X35" s="19">
        <v>3091.895</v>
      </c>
      <c r="Y35" s="19">
        <v>61.094999999999999</v>
      </c>
      <c r="Z35" s="19">
        <v>162.39500000000001</v>
      </c>
      <c r="AA35" s="19">
        <v>52.183999999999997</v>
      </c>
      <c r="AB35" s="19">
        <v>316.16000000000003</v>
      </c>
      <c r="AC35" s="19">
        <v>1079.2529999999999</v>
      </c>
      <c r="AD35" s="19">
        <v>155.494</v>
      </c>
      <c r="AE35" s="19">
        <v>426.44</v>
      </c>
      <c r="AF35" s="19">
        <v>397.61099999999999</v>
      </c>
      <c r="AG35" s="19">
        <v>85.453999999999994</v>
      </c>
      <c r="AH35" s="19">
        <v>331.81299999999999</v>
      </c>
      <c r="AI35" s="19">
        <v>22.497</v>
      </c>
    </row>
    <row r="36" spans="1:35" x14ac:dyDescent="0.25">
      <c r="A36" s="6">
        <v>1934</v>
      </c>
      <c r="B36" s="19">
        <v>17624.572</v>
      </c>
      <c r="C36" s="19">
        <v>2188.7620000000002</v>
      </c>
      <c r="D36" s="19">
        <v>1015.164</v>
      </c>
      <c r="E36" s="19">
        <v>1473.691</v>
      </c>
      <c r="F36" s="19">
        <v>766.74900000000002</v>
      </c>
      <c r="G36" s="19">
        <v>561.70699999999999</v>
      </c>
      <c r="H36" s="19">
        <v>544.22299999999996</v>
      </c>
      <c r="I36" s="19">
        <v>4084.5810000000001</v>
      </c>
      <c r="J36" s="19">
        <v>2574.386</v>
      </c>
      <c r="K36" s="19">
        <v>1432</v>
      </c>
      <c r="L36" s="19">
        <v>1666.2819999999999</v>
      </c>
      <c r="M36" s="19">
        <v>3410.212</v>
      </c>
      <c r="N36" s="19">
        <v>8046.2780000000002</v>
      </c>
      <c r="O36" s="19">
        <v>2155.6080000000002</v>
      </c>
      <c r="P36" s="19">
        <v>5920.0450000000001</v>
      </c>
      <c r="Q36" s="19">
        <v>2378.0909999999999</v>
      </c>
      <c r="R36" s="19">
        <v>4550.3220000000001</v>
      </c>
      <c r="S36" s="19">
        <v>36380.483</v>
      </c>
      <c r="T36" s="19">
        <v>964.91099999999994</v>
      </c>
      <c r="U36" s="19">
        <v>1833.873</v>
      </c>
      <c r="V36" s="19">
        <v>12888.329</v>
      </c>
      <c r="W36" s="19">
        <v>112430.56</v>
      </c>
      <c r="X36" s="19">
        <v>3131.0819999999999</v>
      </c>
      <c r="Y36" s="19">
        <v>61.783000000000001</v>
      </c>
      <c r="Z36" s="19">
        <v>164.29</v>
      </c>
      <c r="AA36" s="19">
        <v>52.631999999999998</v>
      </c>
      <c r="AB36" s="19">
        <v>319.471</v>
      </c>
      <c r="AC36" s="19">
        <v>1095.422</v>
      </c>
      <c r="AD36" s="19">
        <v>158.172</v>
      </c>
      <c r="AE36" s="19">
        <v>433.38200000000001</v>
      </c>
      <c r="AF36" s="19">
        <v>399.07499999999999</v>
      </c>
      <c r="AG36" s="19">
        <v>89.45</v>
      </c>
      <c r="AH36" s="19">
        <v>334.226</v>
      </c>
      <c r="AI36" s="19">
        <v>22.826000000000001</v>
      </c>
    </row>
    <row r="37" spans="1:35" x14ac:dyDescent="0.25">
      <c r="A37" s="6">
        <v>1935</v>
      </c>
      <c r="B37" s="19">
        <v>17927.992999999999</v>
      </c>
      <c r="C37" s="19">
        <v>2218.614</v>
      </c>
      <c r="D37" s="19">
        <v>1034.9880000000001</v>
      </c>
      <c r="E37" s="19">
        <v>1493.202</v>
      </c>
      <c r="F37" s="19">
        <v>782.90200000000004</v>
      </c>
      <c r="G37" s="19">
        <v>573.96500000000003</v>
      </c>
      <c r="H37" s="19">
        <v>559.59799999999996</v>
      </c>
      <c r="I37" s="19">
        <v>4131.5839999999998</v>
      </c>
      <c r="J37" s="19">
        <v>2614.6289999999999</v>
      </c>
      <c r="K37" s="19">
        <v>1478.626</v>
      </c>
      <c r="L37" s="19">
        <v>1699.37</v>
      </c>
      <c r="M37" s="19">
        <v>3458.9650000000001</v>
      </c>
      <c r="N37" s="19">
        <v>8210.8259999999991</v>
      </c>
      <c r="O37" s="19">
        <v>2214.9920000000002</v>
      </c>
      <c r="P37" s="19">
        <v>6007.9430000000002</v>
      </c>
      <c r="Q37" s="19">
        <v>2406.3670000000002</v>
      </c>
      <c r="R37" s="19">
        <v>4617.4979999999996</v>
      </c>
      <c r="S37" s="19">
        <v>37108.260999999999</v>
      </c>
      <c r="T37" s="19">
        <v>987.05</v>
      </c>
      <c r="U37" s="19">
        <v>1860.511</v>
      </c>
      <c r="V37" s="19">
        <v>13095.325999999999</v>
      </c>
      <c r="W37" s="19">
        <v>114431.89</v>
      </c>
      <c r="X37" s="19">
        <v>3171.8229999999999</v>
      </c>
      <c r="Y37" s="19">
        <v>62.494</v>
      </c>
      <c r="Z37" s="19">
        <v>166.45500000000001</v>
      </c>
      <c r="AA37" s="19">
        <v>53.084000000000003</v>
      </c>
      <c r="AB37" s="19">
        <v>323.32499999999999</v>
      </c>
      <c r="AC37" s="19">
        <v>1111.607</v>
      </c>
      <c r="AD37" s="19">
        <v>160.86199999999999</v>
      </c>
      <c r="AE37" s="19">
        <v>440.74299999999999</v>
      </c>
      <c r="AF37" s="19">
        <v>400.83199999999999</v>
      </c>
      <c r="AG37" s="19">
        <v>93.552000000000007</v>
      </c>
      <c r="AH37" s="19">
        <v>336.71100000000001</v>
      </c>
      <c r="AI37" s="19">
        <v>23.2</v>
      </c>
    </row>
    <row r="38" spans="1:35" x14ac:dyDescent="0.25">
      <c r="A38" s="6">
        <v>1936</v>
      </c>
      <c r="B38" s="19">
        <v>18249.36</v>
      </c>
      <c r="C38" s="19">
        <v>2256.5100000000002</v>
      </c>
      <c r="D38" s="19">
        <v>1053.567</v>
      </c>
      <c r="E38" s="19">
        <v>1513.5229999999999</v>
      </c>
      <c r="F38" s="19">
        <v>799.976</v>
      </c>
      <c r="G38" s="19">
        <v>586.947</v>
      </c>
      <c r="H38" s="19">
        <v>575.37099999999998</v>
      </c>
      <c r="I38" s="19">
        <v>4182.2860000000001</v>
      </c>
      <c r="J38" s="19">
        <v>2657.6410000000001</v>
      </c>
      <c r="K38" s="19">
        <v>1520.9380000000001</v>
      </c>
      <c r="L38" s="19">
        <v>1733.0360000000001</v>
      </c>
      <c r="M38" s="19">
        <v>3532.0050000000001</v>
      </c>
      <c r="N38" s="19">
        <v>8380.1080000000002</v>
      </c>
      <c r="O38" s="19">
        <v>2274.2159999999999</v>
      </c>
      <c r="P38" s="19">
        <v>6102.8239999999996</v>
      </c>
      <c r="Q38" s="19">
        <v>2435.136</v>
      </c>
      <c r="R38" s="19">
        <v>4686.9340000000002</v>
      </c>
      <c r="S38" s="19">
        <v>37857.101000000002</v>
      </c>
      <c r="T38" s="19">
        <v>1010.586</v>
      </c>
      <c r="U38" s="19">
        <v>1884.0619999999999</v>
      </c>
      <c r="V38" s="19">
        <v>13310.384</v>
      </c>
      <c r="W38" s="19">
        <v>116511.019</v>
      </c>
      <c r="X38" s="19">
        <v>3214.2829999999999</v>
      </c>
      <c r="Y38" s="19">
        <v>63.232999999999997</v>
      </c>
      <c r="Z38" s="19">
        <v>168.82400000000001</v>
      </c>
      <c r="AA38" s="19">
        <v>53.555</v>
      </c>
      <c r="AB38" s="19">
        <v>327.61700000000002</v>
      </c>
      <c r="AC38" s="19">
        <v>1127.931</v>
      </c>
      <c r="AD38" s="19">
        <v>163.596</v>
      </c>
      <c r="AE38" s="19">
        <v>448.55399999999997</v>
      </c>
      <c r="AF38" s="19">
        <v>402.82799999999997</v>
      </c>
      <c r="AG38" s="19">
        <v>97.54</v>
      </c>
      <c r="AH38" s="19">
        <v>339.36599999999999</v>
      </c>
      <c r="AI38" s="19">
        <v>23.597999999999999</v>
      </c>
    </row>
    <row r="39" spans="1:35" x14ac:dyDescent="0.25">
      <c r="A39" s="6">
        <v>1937</v>
      </c>
      <c r="B39" s="19">
        <v>18600.898000000001</v>
      </c>
      <c r="C39" s="19">
        <v>2292.1509999999998</v>
      </c>
      <c r="D39" s="19">
        <v>1073.3330000000001</v>
      </c>
      <c r="E39" s="19">
        <v>1534.2260000000001</v>
      </c>
      <c r="F39" s="19">
        <v>818.09</v>
      </c>
      <c r="G39" s="19">
        <v>600.69600000000003</v>
      </c>
      <c r="H39" s="19">
        <v>590.928</v>
      </c>
      <c r="I39" s="19">
        <v>4243.6109999999999</v>
      </c>
      <c r="J39" s="19">
        <v>2700.703</v>
      </c>
      <c r="K39" s="19">
        <v>1564.9280000000001</v>
      </c>
      <c r="L39" s="19">
        <v>1767.068</v>
      </c>
      <c r="M39" s="19">
        <v>3606.596</v>
      </c>
      <c r="N39" s="19">
        <v>8555.1329999999998</v>
      </c>
      <c r="O39" s="19">
        <v>2332.48</v>
      </c>
      <c r="P39" s="19">
        <v>6199.6949999999997</v>
      </c>
      <c r="Q39" s="19">
        <v>2464.694</v>
      </c>
      <c r="R39" s="19">
        <v>4757.942</v>
      </c>
      <c r="S39" s="19">
        <v>38630.607000000004</v>
      </c>
      <c r="T39" s="19">
        <v>1034.5830000000001</v>
      </c>
      <c r="U39" s="19">
        <v>1907.5550000000001</v>
      </c>
      <c r="V39" s="19">
        <v>13533.459000000001</v>
      </c>
      <c r="W39" s="19">
        <v>118688.58900000001</v>
      </c>
      <c r="X39" s="19">
        <v>3258.6309999999999</v>
      </c>
      <c r="Y39" s="19">
        <v>64.004999999999995</v>
      </c>
      <c r="Z39" s="19">
        <v>171.33</v>
      </c>
      <c r="AA39" s="19">
        <v>54.06</v>
      </c>
      <c r="AB39" s="19">
        <v>332.23599999999999</v>
      </c>
      <c r="AC39" s="19">
        <v>1144.518</v>
      </c>
      <c r="AD39" s="19">
        <v>166.40299999999999</v>
      </c>
      <c r="AE39" s="19">
        <v>456.84500000000003</v>
      </c>
      <c r="AF39" s="19">
        <v>405.00799999999998</v>
      </c>
      <c r="AG39" s="19">
        <v>101.19</v>
      </c>
      <c r="AH39" s="19">
        <v>342.28800000000001</v>
      </c>
      <c r="AI39" s="19">
        <v>23.998999999999999</v>
      </c>
    </row>
    <row r="40" spans="1:35" x14ac:dyDescent="0.25">
      <c r="A40" s="6">
        <v>1938</v>
      </c>
      <c r="B40" s="19">
        <v>18942.830000000002</v>
      </c>
      <c r="C40" s="19">
        <v>2330.232</v>
      </c>
      <c r="D40" s="19">
        <v>1095.2170000000001</v>
      </c>
      <c r="E40" s="19">
        <v>1555.3820000000001</v>
      </c>
      <c r="F40" s="19">
        <v>837.36099999999999</v>
      </c>
      <c r="G40" s="19">
        <v>615.25199999999995</v>
      </c>
      <c r="H40" s="19">
        <v>607.15700000000004</v>
      </c>
      <c r="I40" s="19">
        <v>4310.9870000000001</v>
      </c>
      <c r="J40" s="19">
        <v>2744.0970000000002</v>
      </c>
      <c r="K40" s="19">
        <v>1609.586</v>
      </c>
      <c r="L40" s="19">
        <v>1801.2560000000001</v>
      </c>
      <c r="M40" s="19">
        <v>3683</v>
      </c>
      <c r="N40" s="19">
        <v>8735.9140000000007</v>
      </c>
      <c r="O40" s="19">
        <v>2395.4839999999999</v>
      </c>
      <c r="P40" s="19">
        <v>6298.0649999999996</v>
      </c>
      <c r="Q40" s="19">
        <v>2494.3359999999998</v>
      </c>
      <c r="R40" s="19">
        <v>4831.3310000000001</v>
      </c>
      <c r="S40" s="19">
        <v>39433.381000000001</v>
      </c>
      <c r="T40" s="19">
        <v>1059.607</v>
      </c>
      <c r="U40" s="19">
        <v>1931.02</v>
      </c>
      <c r="V40" s="19">
        <v>13759.004999999999</v>
      </c>
      <c r="W40" s="19">
        <v>120985.24400000001</v>
      </c>
      <c r="X40" s="19">
        <v>3305.0320000000002</v>
      </c>
      <c r="Y40" s="19">
        <v>64.816999999999993</v>
      </c>
      <c r="Z40" s="19">
        <v>173.90600000000001</v>
      </c>
      <c r="AA40" s="19">
        <v>54.615000000000002</v>
      </c>
      <c r="AB40" s="19">
        <v>337.07499999999999</v>
      </c>
      <c r="AC40" s="19">
        <v>1161.489</v>
      </c>
      <c r="AD40" s="19">
        <v>169.31299999999999</v>
      </c>
      <c r="AE40" s="19">
        <v>465.64699999999999</v>
      </c>
      <c r="AF40" s="19">
        <v>407.31400000000002</v>
      </c>
      <c r="AG40" s="19">
        <v>104.28</v>
      </c>
      <c r="AH40" s="19">
        <v>345.577</v>
      </c>
      <c r="AI40" s="19">
        <v>24.381</v>
      </c>
    </row>
    <row r="41" spans="1:35" x14ac:dyDescent="0.25">
      <c r="A41" s="6">
        <v>1939</v>
      </c>
      <c r="B41" s="19">
        <v>19316.381000000001</v>
      </c>
      <c r="C41" s="19">
        <v>2363.9540000000002</v>
      </c>
      <c r="D41" s="19">
        <v>1118.152</v>
      </c>
      <c r="E41" s="19">
        <v>1577.5650000000001</v>
      </c>
      <c r="F41" s="19">
        <v>857.90800000000002</v>
      </c>
      <c r="G41" s="19">
        <v>630.65700000000004</v>
      </c>
      <c r="H41" s="19">
        <v>623.44200000000001</v>
      </c>
      <c r="I41" s="19">
        <v>4362.8370000000004</v>
      </c>
      <c r="J41" s="19">
        <v>2786.6019999999999</v>
      </c>
      <c r="K41" s="19">
        <v>1654.904</v>
      </c>
      <c r="L41" s="19">
        <v>1835.3879999999999</v>
      </c>
      <c r="M41" s="19">
        <v>3761.48</v>
      </c>
      <c r="N41" s="19">
        <v>8932.9599999999991</v>
      </c>
      <c r="O41" s="19">
        <v>2458.9259999999999</v>
      </c>
      <c r="P41" s="19">
        <v>6399.4409999999998</v>
      </c>
      <c r="Q41" s="19">
        <v>2523.8589999999999</v>
      </c>
      <c r="R41" s="19">
        <v>4907.9139999999998</v>
      </c>
      <c r="S41" s="19">
        <v>40268.525999999998</v>
      </c>
      <c r="T41" s="19">
        <v>1085.2239999999999</v>
      </c>
      <c r="U41" s="19">
        <v>1954.4839999999999</v>
      </c>
      <c r="V41" s="19">
        <v>13980.976000000001</v>
      </c>
      <c r="W41" s="19">
        <v>123421.626</v>
      </c>
      <c r="X41" s="19">
        <v>3353.654</v>
      </c>
      <c r="Y41" s="19">
        <v>65.674999999999997</v>
      </c>
      <c r="Z41" s="19">
        <v>176.48500000000001</v>
      </c>
      <c r="AA41" s="19">
        <v>55.234999999999999</v>
      </c>
      <c r="AB41" s="19">
        <v>342.02699999999999</v>
      </c>
      <c r="AC41" s="19">
        <v>1178.9680000000001</v>
      </c>
      <c r="AD41" s="19">
        <v>172.35599999999999</v>
      </c>
      <c r="AE41" s="19">
        <v>474.988</v>
      </c>
      <c r="AF41" s="19">
        <v>409.69299999999998</v>
      </c>
      <c r="AG41" s="19">
        <v>106.58799999999999</v>
      </c>
      <c r="AH41" s="19">
        <v>349.32900000000001</v>
      </c>
      <c r="AI41" s="19">
        <v>24.722000000000001</v>
      </c>
    </row>
    <row r="42" spans="1:35" x14ac:dyDescent="0.25">
      <c r="A42" s="6">
        <v>1940</v>
      </c>
      <c r="B42" s="19">
        <v>19653.776000000002</v>
      </c>
      <c r="C42" s="19">
        <v>2405.5140000000001</v>
      </c>
      <c r="D42" s="19">
        <v>1141.07</v>
      </c>
      <c r="E42" s="19">
        <v>1600.347</v>
      </c>
      <c r="F42" s="19">
        <v>878.34900000000005</v>
      </c>
      <c r="G42" s="19">
        <v>645.952</v>
      </c>
      <c r="H42" s="19">
        <v>639.67100000000005</v>
      </c>
      <c r="I42" s="19">
        <v>4425.5870000000004</v>
      </c>
      <c r="J42" s="19">
        <v>2828.5</v>
      </c>
      <c r="K42" s="19">
        <v>1744.374</v>
      </c>
      <c r="L42" s="19">
        <v>1869.2550000000001</v>
      </c>
      <c r="M42" s="19">
        <v>3842.3</v>
      </c>
      <c r="N42" s="19">
        <v>9138.7819999999992</v>
      </c>
      <c r="O42" s="19">
        <v>2521.0050000000001</v>
      </c>
      <c r="P42" s="19">
        <v>6503.3310000000001</v>
      </c>
      <c r="Q42" s="19">
        <v>2553.558</v>
      </c>
      <c r="R42" s="19">
        <v>4987.5</v>
      </c>
      <c r="S42" s="19">
        <v>41139.644999999997</v>
      </c>
      <c r="T42" s="19">
        <v>1111.5</v>
      </c>
      <c r="U42" s="19">
        <v>1977.9760000000001</v>
      </c>
      <c r="V42" s="19">
        <v>14160.826999999999</v>
      </c>
      <c r="W42" s="19">
        <v>126018.378</v>
      </c>
      <c r="X42" s="19">
        <v>3404.663</v>
      </c>
      <c r="Y42" s="19">
        <v>66.582999999999998</v>
      </c>
      <c r="Z42" s="19">
        <v>179</v>
      </c>
      <c r="AA42" s="19">
        <v>55.935000000000002</v>
      </c>
      <c r="AB42" s="19">
        <v>346.98200000000003</v>
      </c>
      <c r="AC42" s="19">
        <v>1197.079</v>
      </c>
      <c r="AD42" s="19">
        <v>175.56100000000001</v>
      </c>
      <c r="AE42" s="19">
        <v>484.9</v>
      </c>
      <c r="AF42" s="19">
        <v>412.08800000000002</v>
      </c>
      <c r="AG42" s="19">
        <v>107.89100000000001</v>
      </c>
      <c r="AH42" s="19">
        <v>353.64400000000001</v>
      </c>
      <c r="AI42" s="19">
        <v>25</v>
      </c>
    </row>
    <row r="43" spans="1:35" x14ac:dyDescent="0.25">
      <c r="A43" s="6">
        <v>1941</v>
      </c>
      <c r="B43" s="19">
        <v>20187.151000000002</v>
      </c>
      <c r="C43" s="19">
        <v>2447.384</v>
      </c>
      <c r="D43" s="19">
        <v>1164.28</v>
      </c>
      <c r="E43" s="19">
        <v>1623.713</v>
      </c>
      <c r="F43" s="19">
        <v>900.42600000000004</v>
      </c>
      <c r="G43" s="19">
        <v>661.66200000000003</v>
      </c>
      <c r="H43" s="19">
        <v>656.51300000000003</v>
      </c>
      <c r="I43" s="19">
        <v>4493.7569999999996</v>
      </c>
      <c r="J43" s="19">
        <v>2872.578</v>
      </c>
      <c r="K43" s="19">
        <v>1793.1279999999999</v>
      </c>
      <c r="L43" s="19">
        <v>1905.3140000000001</v>
      </c>
      <c r="M43" s="19">
        <v>3930.9929999999999</v>
      </c>
      <c r="N43" s="19">
        <v>9360.51</v>
      </c>
      <c r="O43" s="19">
        <v>2584.3150000000001</v>
      </c>
      <c r="P43" s="19">
        <v>6613.7640000000001</v>
      </c>
      <c r="Q43" s="19">
        <v>2582.7530000000002</v>
      </c>
      <c r="R43" s="19">
        <v>5076.3990000000003</v>
      </c>
      <c r="S43" s="19">
        <v>42113.133000000002</v>
      </c>
      <c r="T43" s="19">
        <v>1139.287</v>
      </c>
      <c r="U43" s="19">
        <v>2000.93</v>
      </c>
      <c r="V43" s="19">
        <v>14407.373</v>
      </c>
      <c r="W43" s="19">
        <v>128842.05899999999</v>
      </c>
      <c r="X43" s="19">
        <v>3459.0639999999999</v>
      </c>
      <c r="Y43" s="19">
        <v>67.555000000000007</v>
      </c>
      <c r="Z43" s="19">
        <v>181.59899999999999</v>
      </c>
      <c r="AA43" s="19">
        <v>56.755000000000003</v>
      </c>
      <c r="AB43" s="19">
        <v>352.24099999999999</v>
      </c>
      <c r="AC43" s="19">
        <v>1215.673</v>
      </c>
      <c r="AD43" s="19">
        <v>178.881</v>
      </c>
      <c r="AE43" s="19">
        <v>495.95800000000003</v>
      </c>
      <c r="AF43" s="19">
        <v>414.65300000000002</v>
      </c>
      <c r="AG43" s="19">
        <v>108.533</v>
      </c>
      <c r="AH43" s="19">
        <v>359.608</v>
      </c>
      <c r="AI43" s="19">
        <v>25.225999999999999</v>
      </c>
    </row>
    <row r="44" spans="1:35" x14ac:dyDescent="0.25">
      <c r="A44" s="6">
        <v>1942</v>
      </c>
      <c r="B44" s="19">
        <v>20726.175999999999</v>
      </c>
      <c r="C44" s="19">
        <v>2487.5889999999999</v>
      </c>
      <c r="D44" s="19">
        <v>1186.752</v>
      </c>
      <c r="E44" s="19">
        <v>1647.63</v>
      </c>
      <c r="F44" s="19">
        <v>924.59299999999996</v>
      </c>
      <c r="G44" s="19">
        <v>677.79499999999996</v>
      </c>
      <c r="H44" s="19">
        <v>673.19200000000001</v>
      </c>
      <c r="I44" s="19">
        <v>4575.2550000000001</v>
      </c>
      <c r="J44" s="19">
        <v>2921.4450000000002</v>
      </c>
      <c r="K44" s="19">
        <v>1843.299</v>
      </c>
      <c r="L44" s="19">
        <v>1945.154</v>
      </c>
      <c r="M44" s="19">
        <v>4031.0810000000001</v>
      </c>
      <c r="N44" s="19">
        <v>9594.348</v>
      </c>
      <c r="O44" s="19">
        <v>2648.5549999999998</v>
      </c>
      <c r="P44" s="19">
        <v>6727.9539999999997</v>
      </c>
      <c r="Q44" s="19">
        <v>2612.0619999999999</v>
      </c>
      <c r="R44" s="19">
        <v>5174.2889999999998</v>
      </c>
      <c r="S44" s="19">
        <v>43147.535000000003</v>
      </c>
      <c r="T44" s="19">
        <v>1168.7739999999999</v>
      </c>
      <c r="U44" s="19">
        <v>2023.78</v>
      </c>
      <c r="V44" s="19">
        <v>14661.746999999999</v>
      </c>
      <c r="W44" s="19">
        <v>131926.15100000001</v>
      </c>
      <c r="X44" s="19">
        <v>3517.5169999999998</v>
      </c>
      <c r="Y44" s="19">
        <v>68.597999999999999</v>
      </c>
      <c r="Z44" s="19">
        <v>184.44499999999999</v>
      </c>
      <c r="AA44" s="19">
        <v>57.715000000000003</v>
      </c>
      <c r="AB44" s="19">
        <v>358.14299999999997</v>
      </c>
      <c r="AC44" s="19">
        <v>1234.558</v>
      </c>
      <c r="AD44" s="19">
        <v>182.268</v>
      </c>
      <c r="AE44" s="19">
        <v>508.55900000000003</v>
      </c>
      <c r="AF44" s="19">
        <v>417.58199999999999</v>
      </c>
      <c r="AG44" s="19">
        <v>109.027</v>
      </c>
      <c r="AH44" s="19">
        <v>367.91500000000002</v>
      </c>
      <c r="AI44" s="19">
        <v>25.43</v>
      </c>
    </row>
    <row r="45" spans="1:35" x14ac:dyDescent="0.25">
      <c r="A45" s="6">
        <v>1943</v>
      </c>
      <c r="B45" s="19">
        <v>21343.376</v>
      </c>
      <c r="C45" s="19">
        <v>2523.4090000000001</v>
      </c>
      <c r="D45" s="19">
        <v>1206.1590000000001</v>
      </c>
      <c r="E45" s="19">
        <v>1669.6410000000001</v>
      </c>
      <c r="F45" s="19">
        <v>949.53099999999995</v>
      </c>
      <c r="G45" s="19">
        <v>694.36</v>
      </c>
      <c r="H45" s="19">
        <v>691.68200000000002</v>
      </c>
      <c r="I45" s="19">
        <v>4843.5870000000004</v>
      </c>
      <c r="J45" s="19">
        <v>2961.3670000000002</v>
      </c>
      <c r="K45" s="19">
        <v>1895.376</v>
      </c>
      <c r="L45" s="19">
        <v>1987.2570000000001</v>
      </c>
      <c r="M45" s="19">
        <v>4135.3140000000003</v>
      </c>
      <c r="N45" s="19">
        <v>9840.42</v>
      </c>
      <c r="O45" s="19">
        <v>2720.085</v>
      </c>
      <c r="P45" s="19">
        <v>6845.9409999999998</v>
      </c>
      <c r="Q45" s="19">
        <v>2641.223</v>
      </c>
      <c r="R45" s="19">
        <v>5277.0360000000001</v>
      </c>
      <c r="S45" s="19">
        <v>44188.671999999999</v>
      </c>
      <c r="T45" s="19">
        <v>1199.2860000000001</v>
      </c>
      <c r="U45" s="19">
        <v>2046.5550000000001</v>
      </c>
      <c r="V45" s="19">
        <v>14923.373</v>
      </c>
      <c r="W45" s="19">
        <v>135241.68400000001</v>
      </c>
      <c r="X45" s="19">
        <v>3579.6709999999998</v>
      </c>
      <c r="Y45" s="19">
        <v>69.707999999999998</v>
      </c>
      <c r="Z45" s="19">
        <v>187.494</v>
      </c>
      <c r="AA45" s="19">
        <v>58.802999999999997</v>
      </c>
      <c r="AB45" s="19">
        <v>364.642</v>
      </c>
      <c r="AC45" s="19">
        <v>1253.79</v>
      </c>
      <c r="AD45" s="19">
        <v>185.74700000000001</v>
      </c>
      <c r="AE45" s="19">
        <v>522.46199999999999</v>
      </c>
      <c r="AF45" s="19">
        <v>420.88</v>
      </c>
      <c r="AG45" s="19">
        <v>109.411</v>
      </c>
      <c r="AH45" s="19">
        <v>378.07</v>
      </c>
      <c r="AI45" s="19">
        <v>25.617000000000001</v>
      </c>
    </row>
    <row r="46" spans="1:35" x14ac:dyDescent="0.25">
      <c r="A46" s="6">
        <v>1944</v>
      </c>
      <c r="B46" s="19">
        <v>22000.278999999999</v>
      </c>
      <c r="C46" s="19">
        <v>2562.6219999999998</v>
      </c>
      <c r="D46" s="19">
        <v>1228.671</v>
      </c>
      <c r="E46" s="19">
        <v>1698.29</v>
      </c>
      <c r="F46" s="19">
        <v>977.42200000000003</v>
      </c>
      <c r="G46" s="19">
        <v>712.37099999999998</v>
      </c>
      <c r="H46" s="19">
        <v>709.45600000000002</v>
      </c>
      <c r="I46" s="19">
        <v>4948.2640000000001</v>
      </c>
      <c r="J46" s="19">
        <v>3006.11</v>
      </c>
      <c r="K46" s="19">
        <v>1948.348</v>
      </c>
      <c r="L46" s="19">
        <v>2030.1079999999999</v>
      </c>
      <c r="M46" s="19">
        <v>4244.4390000000003</v>
      </c>
      <c r="N46" s="19">
        <v>10097.348</v>
      </c>
      <c r="O46" s="19">
        <v>2795.2660000000001</v>
      </c>
      <c r="P46" s="19">
        <v>6968.7659999999996</v>
      </c>
      <c r="Q46" s="19">
        <v>2670.4749999999999</v>
      </c>
      <c r="R46" s="19">
        <v>5384.0050000000001</v>
      </c>
      <c r="S46" s="19">
        <v>45224.368999999999</v>
      </c>
      <c r="T46" s="19">
        <v>1231.143</v>
      </c>
      <c r="U46" s="19">
        <v>2069.7829999999999</v>
      </c>
      <c r="V46" s="19">
        <v>15196.179</v>
      </c>
      <c r="W46" s="19">
        <v>138759.68799999999</v>
      </c>
      <c r="X46" s="19">
        <v>3645.1779999999999</v>
      </c>
      <c r="Y46" s="19">
        <v>70.882999999999996</v>
      </c>
      <c r="Z46" s="19">
        <v>190.70599999999999</v>
      </c>
      <c r="AA46" s="19">
        <v>60.006999999999998</v>
      </c>
      <c r="AB46" s="19">
        <v>371.69</v>
      </c>
      <c r="AC46" s="19">
        <v>1273.4269999999999</v>
      </c>
      <c r="AD46" s="19">
        <v>189.34700000000001</v>
      </c>
      <c r="AE46" s="19">
        <v>537.42499999999995</v>
      </c>
      <c r="AF46" s="19">
        <v>424.55399999999997</v>
      </c>
      <c r="AG46" s="19">
        <v>109.72</v>
      </c>
      <c r="AH46" s="19">
        <v>389.58</v>
      </c>
      <c r="AI46" s="19">
        <v>25.794</v>
      </c>
    </row>
    <row r="47" spans="1:35" x14ac:dyDescent="0.25">
      <c r="A47" s="6">
        <v>1945</v>
      </c>
      <c r="B47" s="19">
        <v>22711.907999999999</v>
      </c>
      <c r="C47" s="19">
        <v>2607.0070000000001</v>
      </c>
      <c r="D47" s="19">
        <v>1251.46</v>
      </c>
      <c r="E47" s="19">
        <v>1725.12</v>
      </c>
      <c r="F47" s="19">
        <v>1007.949</v>
      </c>
      <c r="G47" s="19">
        <v>731.83799999999997</v>
      </c>
      <c r="H47" s="19">
        <v>728.48699999999997</v>
      </c>
      <c r="I47" s="19">
        <v>5062.7920000000004</v>
      </c>
      <c r="J47" s="19">
        <v>3051.9380000000001</v>
      </c>
      <c r="K47" s="19">
        <v>2003.703</v>
      </c>
      <c r="L47" s="19">
        <v>2072.19</v>
      </c>
      <c r="M47" s="19">
        <v>4358.2049999999999</v>
      </c>
      <c r="N47" s="19">
        <v>10364.754999999999</v>
      </c>
      <c r="O47" s="19">
        <v>2870.4569999999999</v>
      </c>
      <c r="P47" s="19">
        <v>7095.4669999999996</v>
      </c>
      <c r="Q47" s="19">
        <v>2700.558</v>
      </c>
      <c r="R47" s="19">
        <v>5494.5630000000001</v>
      </c>
      <c r="S47" s="19">
        <v>46374.947</v>
      </c>
      <c r="T47" s="19">
        <v>1263.6690000000001</v>
      </c>
      <c r="U47" s="19">
        <v>2092.9920000000002</v>
      </c>
      <c r="V47" s="19">
        <v>15476.59</v>
      </c>
      <c r="W47" s="19">
        <v>142451.19200000001</v>
      </c>
      <c r="X47" s="19">
        <v>3713.6849999999999</v>
      </c>
      <c r="Y47" s="19">
        <v>72.117999999999995</v>
      </c>
      <c r="Z47" s="19">
        <v>194.03700000000001</v>
      </c>
      <c r="AA47" s="19">
        <v>61.311999999999998</v>
      </c>
      <c r="AB47" s="19">
        <v>379.24200000000002</v>
      </c>
      <c r="AC47" s="19">
        <v>1293.5239999999999</v>
      </c>
      <c r="AD47" s="19">
        <v>193.09399999999999</v>
      </c>
      <c r="AE47" s="19">
        <v>553.20899999999995</v>
      </c>
      <c r="AF47" s="19">
        <v>428.60700000000003</v>
      </c>
      <c r="AG47" s="19">
        <v>109.989</v>
      </c>
      <c r="AH47" s="19">
        <v>401.95100000000002</v>
      </c>
      <c r="AI47" s="19">
        <v>25.966999999999999</v>
      </c>
    </row>
    <row r="48" spans="1:35" x14ac:dyDescent="0.25">
      <c r="A48" s="6">
        <v>1946</v>
      </c>
      <c r="B48" s="19">
        <v>23437.289000000001</v>
      </c>
      <c r="C48" s="19">
        <v>2655.3409999999999</v>
      </c>
      <c r="D48" s="19">
        <v>1275.6969999999999</v>
      </c>
      <c r="E48" s="19">
        <v>1752.175</v>
      </c>
      <c r="F48" s="19">
        <v>1040.7940000000001</v>
      </c>
      <c r="G48" s="19">
        <v>749.77300000000002</v>
      </c>
      <c r="H48" s="19">
        <v>747.74699999999996</v>
      </c>
      <c r="I48" s="19">
        <v>5191.1809999999996</v>
      </c>
      <c r="J48" s="19">
        <v>3098.616</v>
      </c>
      <c r="K48" s="19">
        <v>2059.9299999999998</v>
      </c>
      <c r="L48" s="19">
        <v>2111.9870000000001</v>
      </c>
      <c r="M48" s="19">
        <v>4476.8609999999999</v>
      </c>
      <c r="N48" s="19">
        <v>10642.266</v>
      </c>
      <c r="O48" s="19">
        <v>2948.0189999999998</v>
      </c>
      <c r="P48" s="19">
        <v>7227.0829999999996</v>
      </c>
      <c r="Q48" s="19">
        <v>2731.212</v>
      </c>
      <c r="R48" s="19">
        <v>5607.5739999999996</v>
      </c>
      <c r="S48" s="19">
        <v>47601.228999999999</v>
      </c>
      <c r="T48" s="19">
        <v>1296.6869999999999</v>
      </c>
      <c r="U48" s="19">
        <v>2116.7109999999998</v>
      </c>
      <c r="V48" s="19">
        <v>15762.535</v>
      </c>
      <c r="W48" s="19">
        <v>146287.22500000001</v>
      </c>
      <c r="X48" s="19">
        <v>3784.8449999999998</v>
      </c>
      <c r="Y48" s="19">
        <v>73.41</v>
      </c>
      <c r="Z48" s="19">
        <v>197.44499999999999</v>
      </c>
      <c r="AA48" s="19">
        <v>62.706000000000003</v>
      </c>
      <c r="AB48" s="19">
        <v>387.24900000000002</v>
      </c>
      <c r="AC48" s="19">
        <v>1314.1379999999999</v>
      </c>
      <c r="AD48" s="19">
        <v>197.01599999999999</v>
      </c>
      <c r="AE48" s="19">
        <v>569.57100000000003</v>
      </c>
      <c r="AF48" s="19">
        <v>433.04599999999999</v>
      </c>
      <c r="AG48" s="19">
        <v>110.255</v>
      </c>
      <c r="AH48" s="19">
        <v>414.68900000000002</v>
      </c>
      <c r="AI48" s="19">
        <v>26.141999999999999</v>
      </c>
    </row>
    <row r="49" spans="1:35" x14ac:dyDescent="0.25">
      <c r="A49" s="6">
        <v>1947</v>
      </c>
      <c r="B49" s="19">
        <v>24230.949000000001</v>
      </c>
      <c r="C49" s="19">
        <v>2708.904</v>
      </c>
      <c r="D49" s="19">
        <v>1304.0530000000001</v>
      </c>
      <c r="E49" s="19">
        <v>1780.999</v>
      </c>
      <c r="F49" s="19">
        <v>1075.1389999999999</v>
      </c>
      <c r="G49" s="19">
        <v>769.68799999999999</v>
      </c>
      <c r="H49" s="19">
        <v>767.21</v>
      </c>
      <c r="I49" s="19">
        <v>5322.9380000000001</v>
      </c>
      <c r="J49" s="19">
        <v>3146.4110000000001</v>
      </c>
      <c r="K49" s="19">
        <v>2118.0169999999998</v>
      </c>
      <c r="L49" s="19">
        <v>2147.9830000000002</v>
      </c>
      <c r="M49" s="19">
        <v>4615.6549999999997</v>
      </c>
      <c r="N49" s="19">
        <v>10929.502</v>
      </c>
      <c r="O49" s="19">
        <v>3031.8119999999999</v>
      </c>
      <c r="P49" s="19">
        <v>7362.6549999999997</v>
      </c>
      <c r="Q49" s="19">
        <v>2762.6750000000002</v>
      </c>
      <c r="R49" s="19">
        <v>5723.4040000000005</v>
      </c>
      <c r="S49" s="19">
        <v>48886.538999999997</v>
      </c>
      <c r="T49" s="19">
        <v>1331.018</v>
      </c>
      <c r="U49" s="19">
        <v>2140.9679999999998</v>
      </c>
      <c r="V49" s="19">
        <v>16056.438</v>
      </c>
      <c r="W49" s="19">
        <v>150238.81599999999</v>
      </c>
      <c r="X49" s="19">
        <v>3858.306</v>
      </c>
      <c r="Y49" s="19">
        <v>74.757000000000005</v>
      </c>
      <c r="Z49" s="19">
        <v>200.887</v>
      </c>
      <c r="AA49" s="19">
        <v>64.177000000000007</v>
      </c>
      <c r="AB49" s="19">
        <v>395.666</v>
      </c>
      <c r="AC49" s="19">
        <v>1335.326</v>
      </c>
      <c r="AD49" s="19">
        <v>201.14099999999999</v>
      </c>
      <c r="AE49" s="19">
        <v>586.27300000000002</v>
      </c>
      <c r="AF49" s="19">
        <v>437.875</v>
      </c>
      <c r="AG49" s="19">
        <v>110.553</v>
      </c>
      <c r="AH49" s="19">
        <v>427.30099999999999</v>
      </c>
      <c r="AI49" s="19">
        <v>26.327000000000002</v>
      </c>
    </row>
    <row r="50" spans="1:35" x14ac:dyDescent="0.25">
      <c r="A50" s="6">
        <v>1948</v>
      </c>
      <c r="B50" s="19">
        <v>25039.912</v>
      </c>
      <c r="C50" s="19">
        <v>2767.4740000000002</v>
      </c>
      <c r="D50" s="19">
        <v>1333.201</v>
      </c>
      <c r="E50" s="19">
        <v>1810.135</v>
      </c>
      <c r="F50" s="19">
        <v>1107.6669999999999</v>
      </c>
      <c r="G50" s="19">
        <v>791.59400000000005</v>
      </c>
      <c r="H50" s="19">
        <v>787.34900000000005</v>
      </c>
      <c r="I50" s="19">
        <v>5455.0709999999999</v>
      </c>
      <c r="J50" s="19">
        <v>3195.5859999999998</v>
      </c>
      <c r="K50" s="19">
        <v>2177.4520000000002</v>
      </c>
      <c r="L50" s="19">
        <v>2178.6610000000001</v>
      </c>
      <c r="M50" s="19">
        <v>4748.8370000000004</v>
      </c>
      <c r="N50" s="19">
        <v>11224.588</v>
      </c>
      <c r="O50" s="19">
        <v>3115.1959999999999</v>
      </c>
      <c r="P50" s="19">
        <v>7502.723</v>
      </c>
      <c r="Q50" s="19">
        <v>2795.6869999999999</v>
      </c>
      <c r="R50" s="19">
        <v>5840.4189999999999</v>
      </c>
      <c r="S50" s="19">
        <v>50229.2</v>
      </c>
      <c r="T50" s="19">
        <v>1365.4860000000001</v>
      </c>
      <c r="U50" s="19">
        <v>2165.2919999999999</v>
      </c>
      <c r="V50" s="19">
        <v>16386.226999999999</v>
      </c>
      <c r="W50" s="19">
        <v>154276.99600000001</v>
      </c>
      <c r="X50" s="19">
        <v>3933.7190000000001</v>
      </c>
      <c r="Y50" s="19">
        <v>76.153999999999996</v>
      </c>
      <c r="Z50" s="19">
        <v>204.321</v>
      </c>
      <c r="AA50" s="19">
        <v>65.710999999999999</v>
      </c>
      <c r="AB50" s="19">
        <v>404.44400000000002</v>
      </c>
      <c r="AC50" s="19">
        <v>1357.143</v>
      </c>
      <c r="AD50" s="19">
        <v>205.494</v>
      </c>
      <c r="AE50" s="19">
        <v>603.072</v>
      </c>
      <c r="AF50" s="19">
        <v>443.10199999999998</v>
      </c>
      <c r="AG50" s="19">
        <v>110.919</v>
      </c>
      <c r="AH50" s="19">
        <v>439.29199999999997</v>
      </c>
      <c r="AI50" s="19">
        <v>26.527000000000001</v>
      </c>
    </row>
    <row r="51" spans="1:35" x14ac:dyDescent="0.25">
      <c r="A51" s="6">
        <v>1949</v>
      </c>
      <c r="B51" s="19">
        <v>25844.204000000002</v>
      </c>
      <c r="C51" s="19">
        <v>2831.83</v>
      </c>
      <c r="D51" s="19">
        <v>1364.8109999999999</v>
      </c>
      <c r="E51" s="19">
        <v>1840.626</v>
      </c>
      <c r="F51" s="19">
        <v>1141.558</v>
      </c>
      <c r="G51" s="19">
        <v>816.50199999999995</v>
      </c>
      <c r="H51" s="19">
        <v>807.63699999999994</v>
      </c>
      <c r="I51" s="19">
        <v>5585.5879999999997</v>
      </c>
      <c r="J51" s="19">
        <v>3246.9059999999999</v>
      </c>
      <c r="K51" s="19">
        <v>2239.2260000000001</v>
      </c>
      <c r="L51" s="19">
        <v>2202.5059999999999</v>
      </c>
      <c r="M51" s="19">
        <v>4888.1530000000002</v>
      </c>
      <c r="N51" s="19">
        <v>11527.646000000001</v>
      </c>
      <c r="O51" s="19">
        <v>3202.0320000000002</v>
      </c>
      <c r="P51" s="19">
        <v>7648.3239999999996</v>
      </c>
      <c r="Q51" s="19">
        <v>2815.4870000000001</v>
      </c>
      <c r="R51" s="19">
        <v>5958.4840000000004</v>
      </c>
      <c r="S51" s="19">
        <v>51626.033000000003</v>
      </c>
      <c r="T51" s="19">
        <v>1400.413</v>
      </c>
      <c r="U51" s="19">
        <v>2190.7109999999998</v>
      </c>
      <c r="V51" s="19">
        <v>16740.828000000001</v>
      </c>
      <c r="W51" s="19">
        <v>158372.79399999999</v>
      </c>
      <c r="X51" s="19">
        <v>4010.7339999999999</v>
      </c>
      <c r="Y51" s="19">
        <v>77.599000000000004</v>
      </c>
      <c r="Z51" s="19">
        <v>207.70500000000001</v>
      </c>
      <c r="AA51" s="19">
        <v>67.296000000000006</v>
      </c>
      <c r="AB51" s="19">
        <v>413.53800000000001</v>
      </c>
      <c r="AC51" s="19">
        <v>1379.6479999999999</v>
      </c>
      <c r="AD51" s="19">
        <v>210.10499999999999</v>
      </c>
      <c r="AE51" s="19">
        <v>619.72699999999998</v>
      </c>
      <c r="AF51" s="19">
        <v>448.73</v>
      </c>
      <c r="AG51" s="19">
        <v>111.389</v>
      </c>
      <c r="AH51" s="19">
        <v>450.16899999999998</v>
      </c>
      <c r="AI51" s="19">
        <v>26.75</v>
      </c>
    </row>
    <row r="52" spans="1:35" x14ac:dyDescent="0.25">
      <c r="A52" s="6">
        <v>1950</v>
      </c>
      <c r="B52" s="19">
        <v>26765.85</v>
      </c>
      <c r="C52" s="19">
        <v>2897.2489999999998</v>
      </c>
      <c r="D52" s="19">
        <v>1399.056</v>
      </c>
      <c r="E52" s="19">
        <v>1876.5160000000001</v>
      </c>
      <c r="F52" s="19">
        <v>1177.4960000000001</v>
      </c>
      <c r="G52" s="19">
        <v>844.42499999999995</v>
      </c>
      <c r="H52" s="19">
        <v>828.54600000000005</v>
      </c>
      <c r="I52" s="19">
        <v>5713.9989999999998</v>
      </c>
      <c r="J52" s="19">
        <v>3300.6390000000001</v>
      </c>
      <c r="K52" s="19">
        <v>2303.8249999999998</v>
      </c>
      <c r="L52" s="19">
        <v>2218</v>
      </c>
      <c r="M52" s="19">
        <v>5033.8540000000003</v>
      </c>
      <c r="N52" s="19">
        <v>11839.3</v>
      </c>
      <c r="O52" s="19">
        <v>3292.1790000000001</v>
      </c>
      <c r="P52" s="19">
        <v>7800.5</v>
      </c>
      <c r="Q52" s="19">
        <v>2863.3150000000001</v>
      </c>
      <c r="R52" s="19">
        <v>6077.4650000000001</v>
      </c>
      <c r="S52" s="19">
        <v>53076.362000000001</v>
      </c>
      <c r="T52" s="19">
        <v>1435.123</v>
      </c>
      <c r="U52" s="19">
        <v>2216.7530000000002</v>
      </c>
      <c r="V52" s="19">
        <v>17110.168000000001</v>
      </c>
      <c r="W52" s="19">
        <v>162497.23800000001</v>
      </c>
      <c r="X52" s="19">
        <v>4089</v>
      </c>
      <c r="Y52" s="19">
        <v>79.087999999999994</v>
      </c>
      <c r="Z52" s="19">
        <v>210.995</v>
      </c>
      <c r="AA52" s="19">
        <v>68.918999999999997</v>
      </c>
      <c r="AB52" s="19">
        <v>422.9</v>
      </c>
      <c r="AC52" s="19">
        <v>1402.896</v>
      </c>
      <c r="AD52" s="19">
        <v>214.999</v>
      </c>
      <c r="AE52" s="19">
        <v>635.99900000000002</v>
      </c>
      <c r="AF52" s="19">
        <v>454.76499999999999</v>
      </c>
      <c r="AG52" s="19">
        <v>112</v>
      </c>
      <c r="AH52" s="19">
        <v>459.43900000000002</v>
      </c>
      <c r="AI52" s="19">
        <v>27</v>
      </c>
    </row>
    <row r="53" spans="1:35" x14ac:dyDescent="0.25">
      <c r="A53" s="6">
        <v>1951</v>
      </c>
      <c r="B53" s="19">
        <v>27560.798999999999</v>
      </c>
      <c r="C53" s="19">
        <v>2968.31</v>
      </c>
      <c r="D53" s="19">
        <v>1437.8589999999999</v>
      </c>
      <c r="E53" s="19">
        <v>1923.4110000000001</v>
      </c>
      <c r="F53" s="19">
        <v>1216.028</v>
      </c>
      <c r="G53" s="19">
        <v>874.01400000000001</v>
      </c>
      <c r="H53" s="19">
        <v>850.34900000000005</v>
      </c>
      <c r="I53" s="19">
        <v>5838.4340000000002</v>
      </c>
      <c r="J53" s="19">
        <v>3349.692</v>
      </c>
      <c r="K53" s="19">
        <v>2376.1480000000001</v>
      </c>
      <c r="L53" s="19">
        <v>2226.663</v>
      </c>
      <c r="M53" s="19">
        <v>5238.7669999999998</v>
      </c>
      <c r="N53" s="19">
        <v>12160.406000000001</v>
      </c>
      <c r="O53" s="19">
        <v>3382.2939999999999</v>
      </c>
      <c r="P53" s="19">
        <v>7995.6270000000004</v>
      </c>
      <c r="Q53" s="19">
        <v>2910.183</v>
      </c>
      <c r="R53" s="19">
        <v>6207.1949999999997</v>
      </c>
      <c r="S53" s="19">
        <v>54672.067999999999</v>
      </c>
      <c r="T53" s="19">
        <v>1471.4269999999999</v>
      </c>
      <c r="U53" s="19">
        <v>2241.0949999999998</v>
      </c>
      <c r="V53" s="19">
        <v>17448.163</v>
      </c>
      <c r="W53" s="19">
        <v>166792.21100000001</v>
      </c>
      <c r="X53" s="19">
        <v>4172.5420000000004</v>
      </c>
      <c r="Y53" s="19">
        <v>80.625</v>
      </c>
      <c r="Z53" s="19">
        <v>214.57900000000001</v>
      </c>
      <c r="AA53" s="19">
        <v>70.739000000000004</v>
      </c>
      <c r="AB53" s="19">
        <v>433.24099999999999</v>
      </c>
      <c r="AC53" s="19">
        <v>1429.03</v>
      </c>
      <c r="AD53" s="19">
        <v>220.67400000000001</v>
      </c>
      <c r="AE53" s="19">
        <v>651.87300000000005</v>
      </c>
      <c r="AF53" s="19">
        <v>462.70100000000002</v>
      </c>
      <c r="AG53" s="19">
        <v>113.22</v>
      </c>
      <c r="AH53" s="19">
        <v>467.447</v>
      </c>
      <c r="AI53" s="19">
        <v>27.292999999999999</v>
      </c>
    </row>
    <row r="54" spans="1:35" x14ac:dyDescent="0.25">
      <c r="A54" s="6">
        <v>1952</v>
      </c>
      <c r="B54" s="19">
        <v>28424.615000000002</v>
      </c>
      <c r="C54" s="19">
        <v>3056.3319999999999</v>
      </c>
      <c r="D54" s="19">
        <v>1484.3030000000001</v>
      </c>
      <c r="E54" s="19">
        <v>1980.328</v>
      </c>
      <c r="F54" s="19">
        <v>1262.075</v>
      </c>
      <c r="G54" s="19">
        <v>909.38199999999995</v>
      </c>
      <c r="H54" s="19">
        <v>874.81700000000001</v>
      </c>
      <c r="I54" s="19">
        <v>5972.826</v>
      </c>
      <c r="J54" s="19">
        <v>3399.8679999999999</v>
      </c>
      <c r="K54" s="19">
        <v>2456.6529999999998</v>
      </c>
      <c r="L54" s="19">
        <v>2232.2910000000002</v>
      </c>
      <c r="M54" s="19">
        <v>5479.59</v>
      </c>
      <c r="N54" s="19">
        <v>12502.031000000001</v>
      </c>
      <c r="O54" s="19">
        <v>3483.415</v>
      </c>
      <c r="P54" s="19">
        <v>8198.2019999999993</v>
      </c>
      <c r="Q54" s="19">
        <v>2965.3580000000002</v>
      </c>
      <c r="R54" s="19">
        <v>6355.52</v>
      </c>
      <c r="S54" s="19">
        <v>56407.053</v>
      </c>
      <c r="T54" s="19">
        <v>1511.2650000000001</v>
      </c>
      <c r="U54" s="19">
        <v>2267.6750000000002</v>
      </c>
      <c r="V54" s="19">
        <v>17796.096000000001</v>
      </c>
      <c r="W54" s="19">
        <v>171378.54199999999</v>
      </c>
      <c r="X54" s="19">
        <v>4263.6549999999997</v>
      </c>
      <c r="Y54" s="19">
        <v>82.268000000000001</v>
      </c>
      <c r="Z54" s="19">
        <v>218.524</v>
      </c>
      <c r="AA54" s="19">
        <v>72.856999999999999</v>
      </c>
      <c r="AB54" s="19">
        <v>445.072</v>
      </c>
      <c r="AC54" s="19">
        <v>1458.4849999999999</v>
      </c>
      <c r="AD54" s="19">
        <v>227.369</v>
      </c>
      <c r="AE54" s="19">
        <v>667.82100000000003</v>
      </c>
      <c r="AF54" s="19">
        <v>473.40499999999997</v>
      </c>
      <c r="AG54" s="19">
        <v>115.26900000000001</v>
      </c>
      <c r="AH54" s="19">
        <v>474.86900000000003</v>
      </c>
      <c r="AI54" s="19">
        <v>27.64</v>
      </c>
    </row>
    <row r="55" spans="1:35" x14ac:dyDescent="0.25">
      <c r="A55" s="6">
        <v>1953</v>
      </c>
      <c r="B55" s="19">
        <v>29357.446</v>
      </c>
      <c r="C55" s="19">
        <v>3157.2820000000002</v>
      </c>
      <c r="D55" s="19">
        <v>1536.8420000000001</v>
      </c>
      <c r="E55" s="19">
        <v>2047.3320000000001</v>
      </c>
      <c r="F55" s="19">
        <v>1315.152</v>
      </c>
      <c r="G55" s="19">
        <v>949.70399999999995</v>
      </c>
      <c r="H55" s="19">
        <v>901.69399999999996</v>
      </c>
      <c r="I55" s="19">
        <v>6116.3760000000002</v>
      </c>
      <c r="J55" s="19">
        <v>3451.018</v>
      </c>
      <c r="K55" s="19">
        <v>2544.5929999999998</v>
      </c>
      <c r="L55" s="19">
        <v>2236.788</v>
      </c>
      <c r="M55" s="19">
        <v>5747.7479999999996</v>
      </c>
      <c r="N55" s="19">
        <v>12860.937</v>
      </c>
      <c r="O55" s="19">
        <v>3594.3470000000002</v>
      </c>
      <c r="P55" s="19">
        <v>8405.5149999999994</v>
      </c>
      <c r="Q55" s="19">
        <v>3026.8850000000002</v>
      </c>
      <c r="R55" s="19">
        <v>6520.3580000000002</v>
      </c>
      <c r="S55" s="19">
        <v>58250.58</v>
      </c>
      <c r="T55" s="19">
        <v>1554.2650000000001</v>
      </c>
      <c r="U55" s="19">
        <v>2296.366</v>
      </c>
      <c r="V55" s="19">
        <v>18147.52</v>
      </c>
      <c r="W55" s="19">
        <v>176195.68400000001</v>
      </c>
      <c r="X55" s="19">
        <v>4359.3969999999999</v>
      </c>
      <c r="Y55" s="19">
        <v>84.094999999999999</v>
      </c>
      <c r="Z55" s="19">
        <v>222.30699999999999</v>
      </c>
      <c r="AA55" s="19">
        <v>75.173000000000002</v>
      </c>
      <c r="AB55" s="19">
        <v>458.041</v>
      </c>
      <c r="AC55" s="19">
        <v>1488.7539999999999</v>
      </c>
      <c r="AD55" s="19">
        <v>234.72800000000001</v>
      </c>
      <c r="AE55" s="19">
        <v>684.33199999999999</v>
      </c>
      <c r="AF55" s="19">
        <v>485.94400000000002</v>
      </c>
      <c r="AG55" s="19">
        <v>117.80800000000001</v>
      </c>
      <c r="AH55" s="19">
        <v>481.70100000000002</v>
      </c>
      <c r="AI55" s="19">
        <v>28.04</v>
      </c>
    </row>
    <row r="56" spans="1:35" x14ac:dyDescent="0.25">
      <c r="A56" s="6">
        <v>1954</v>
      </c>
      <c r="B56" s="19">
        <v>30360.188999999998</v>
      </c>
      <c r="C56" s="19">
        <v>3267.5279999999998</v>
      </c>
      <c r="D56" s="19">
        <v>1593.779</v>
      </c>
      <c r="E56" s="19">
        <v>2124.2869999999998</v>
      </c>
      <c r="F56" s="19">
        <v>1374.528</v>
      </c>
      <c r="G56" s="19">
        <v>994.25599999999997</v>
      </c>
      <c r="H56" s="19">
        <v>930.67600000000004</v>
      </c>
      <c r="I56" s="19">
        <v>6267.5879999999997</v>
      </c>
      <c r="J56" s="19">
        <v>3502.942</v>
      </c>
      <c r="K56" s="19">
        <v>2638.924</v>
      </c>
      <c r="L56" s="19">
        <v>2242.0549999999998</v>
      </c>
      <c r="M56" s="19">
        <v>6034.4690000000001</v>
      </c>
      <c r="N56" s="19">
        <v>13235.537</v>
      </c>
      <c r="O56" s="19">
        <v>3713.998</v>
      </c>
      <c r="P56" s="19">
        <v>8616.2070000000003</v>
      </c>
      <c r="Q56" s="19">
        <v>3092.808</v>
      </c>
      <c r="R56" s="19">
        <v>6699.7219999999998</v>
      </c>
      <c r="S56" s="19">
        <v>60172.161</v>
      </c>
      <c r="T56" s="19">
        <v>1600.01</v>
      </c>
      <c r="U56" s="19">
        <v>2326.9879999999998</v>
      </c>
      <c r="V56" s="19">
        <v>18496.684000000001</v>
      </c>
      <c r="W56" s="19">
        <v>181183.092</v>
      </c>
      <c r="X56" s="19">
        <v>4456.826</v>
      </c>
      <c r="Y56" s="19">
        <v>86.183000000000007</v>
      </c>
      <c r="Z56" s="19">
        <v>225.405</v>
      </c>
      <c r="AA56" s="19">
        <v>77.585999999999999</v>
      </c>
      <c r="AB56" s="19">
        <v>471.8</v>
      </c>
      <c r="AC56" s="19">
        <v>1517.328</v>
      </c>
      <c r="AD56" s="19">
        <v>242.392</v>
      </c>
      <c r="AE56" s="19">
        <v>701.89599999999996</v>
      </c>
      <c r="AF56" s="19">
        <v>499.387</v>
      </c>
      <c r="AG56" s="19">
        <v>120.498</v>
      </c>
      <c r="AH56" s="19">
        <v>487.94200000000001</v>
      </c>
      <c r="AI56" s="19">
        <v>28.492999999999999</v>
      </c>
    </row>
    <row r="57" spans="1:35" x14ac:dyDescent="0.25">
      <c r="A57" s="6">
        <v>1955</v>
      </c>
      <c r="B57" s="19">
        <v>31429.492999999999</v>
      </c>
      <c r="C57" s="19">
        <v>3383.59</v>
      </c>
      <c r="D57" s="19">
        <v>1653.32</v>
      </c>
      <c r="E57" s="19">
        <v>2211.2060000000001</v>
      </c>
      <c r="F57" s="19">
        <v>1439.318</v>
      </c>
      <c r="G57" s="19">
        <v>1041.915</v>
      </c>
      <c r="H57" s="19">
        <v>961.40899999999999</v>
      </c>
      <c r="I57" s="19">
        <v>6424.4660000000003</v>
      </c>
      <c r="J57" s="19">
        <v>3555.6410000000001</v>
      </c>
      <c r="K57" s="19">
        <v>2738.5990000000002</v>
      </c>
      <c r="L57" s="19">
        <v>2249.9949999999999</v>
      </c>
      <c r="M57" s="19">
        <v>6330.3789999999999</v>
      </c>
      <c r="N57" s="19">
        <v>13624.941999999999</v>
      </c>
      <c r="O57" s="19">
        <v>3840.971</v>
      </c>
      <c r="P57" s="19">
        <v>8829.7710000000006</v>
      </c>
      <c r="Q57" s="19">
        <v>3160.873</v>
      </c>
      <c r="R57" s="19">
        <v>6891.1279999999997</v>
      </c>
      <c r="S57" s="19">
        <v>62141.953999999998</v>
      </c>
      <c r="T57" s="19">
        <v>1647.8810000000001</v>
      </c>
      <c r="U57" s="19">
        <v>2359.364</v>
      </c>
      <c r="V57" s="19">
        <v>18837.841</v>
      </c>
      <c r="W57" s="19">
        <v>186280.21799999999</v>
      </c>
      <c r="X57" s="19">
        <v>4553</v>
      </c>
      <c r="Y57" s="19">
        <v>88.61</v>
      </c>
      <c r="Z57" s="19">
        <v>227.298</v>
      </c>
      <c r="AA57" s="19">
        <v>79.998000000000005</v>
      </c>
      <c r="AB57" s="19">
        <v>485.99799999999999</v>
      </c>
      <c r="AC57" s="19">
        <v>1541.702</v>
      </c>
      <c r="AD57" s="19">
        <v>250.00399999999999</v>
      </c>
      <c r="AE57" s="19">
        <v>721.00099999999998</v>
      </c>
      <c r="AF57" s="19">
        <v>512.79999999999995</v>
      </c>
      <c r="AG57" s="19">
        <v>123</v>
      </c>
      <c r="AH57" s="19">
        <v>493.589</v>
      </c>
      <c r="AI57" s="19">
        <v>29</v>
      </c>
    </row>
    <row r="58" spans="1:35" x14ac:dyDescent="0.25">
      <c r="A58" s="6">
        <v>1956</v>
      </c>
      <c r="B58" s="19">
        <v>32558.896000000001</v>
      </c>
      <c r="C58" s="19">
        <v>3503.3850000000002</v>
      </c>
      <c r="D58" s="19">
        <v>1714.884</v>
      </c>
      <c r="E58" s="19">
        <v>2314.5189999999998</v>
      </c>
      <c r="F58" s="19">
        <v>1508.5540000000001</v>
      </c>
      <c r="G58" s="19">
        <v>1092.3130000000001</v>
      </c>
      <c r="H58" s="19">
        <v>993.71699999999998</v>
      </c>
      <c r="I58" s="19">
        <v>6582.7460000000001</v>
      </c>
      <c r="J58" s="19">
        <v>3610.3339999999998</v>
      </c>
      <c r="K58" s="19">
        <v>2843.047</v>
      </c>
      <c r="L58" s="19">
        <v>2263.047</v>
      </c>
      <c r="M58" s="19">
        <v>6633.5540000000001</v>
      </c>
      <c r="N58" s="19">
        <v>14029.05</v>
      </c>
      <c r="O58" s="19">
        <v>3973.6289999999999</v>
      </c>
      <c r="P58" s="19">
        <v>9048.6589999999997</v>
      </c>
      <c r="Q58" s="19">
        <v>3230.8020000000001</v>
      </c>
      <c r="R58" s="19">
        <v>7093.0259999999998</v>
      </c>
      <c r="S58" s="19">
        <v>64149.118000000002</v>
      </c>
      <c r="T58" s="19">
        <v>1697.248</v>
      </c>
      <c r="U58" s="19">
        <v>2393.5819999999999</v>
      </c>
      <c r="V58" s="19">
        <v>19172.988000000001</v>
      </c>
      <c r="W58" s="19">
        <v>191504.86600000001</v>
      </c>
      <c r="X58" s="19">
        <v>4648.4859999999999</v>
      </c>
      <c r="Y58" s="19">
        <v>91.674999999999997</v>
      </c>
      <c r="Z58" s="19">
        <v>228.238</v>
      </c>
      <c r="AA58" s="19">
        <v>82.423000000000002</v>
      </c>
      <c r="AB58" s="19">
        <v>501.19099999999997</v>
      </c>
      <c r="AC58" s="19">
        <v>1561.144</v>
      </c>
      <c r="AD58" s="19">
        <v>257.62799999999999</v>
      </c>
      <c r="AE58" s="19">
        <v>744.13800000000003</v>
      </c>
      <c r="AF58" s="19">
        <v>526.76</v>
      </c>
      <c r="AG58" s="19">
        <v>125.35</v>
      </c>
      <c r="AH58" s="19">
        <v>498.61599999999999</v>
      </c>
      <c r="AI58" s="19">
        <v>29.55</v>
      </c>
    </row>
    <row r="59" spans="1:35" x14ac:dyDescent="0.25">
      <c r="A59" s="6">
        <v>1957</v>
      </c>
      <c r="B59" s="19">
        <v>33733.144999999997</v>
      </c>
      <c r="C59" s="19">
        <v>3626.8009999999999</v>
      </c>
      <c r="D59" s="19">
        <v>1778.3219999999999</v>
      </c>
      <c r="E59" s="19">
        <v>2434.2130000000002</v>
      </c>
      <c r="F59" s="19">
        <v>1580.2460000000001</v>
      </c>
      <c r="G59" s="19">
        <v>1145</v>
      </c>
      <c r="H59" s="19">
        <v>1027.183</v>
      </c>
      <c r="I59" s="19">
        <v>6739.2830000000004</v>
      </c>
      <c r="J59" s="19">
        <v>3667.8560000000002</v>
      </c>
      <c r="K59" s="19">
        <v>2951.5189999999998</v>
      </c>
      <c r="L59" s="19">
        <v>2281.65</v>
      </c>
      <c r="M59" s="19">
        <v>6945.4769999999999</v>
      </c>
      <c r="N59" s="19">
        <v>14450.745000000001</v>
      </c>
      <c r="O59" s="19">
        <v>4109.9799999999996</v>
      </c>
      <c r="P59" s="19">
        <v>9277.6470000000008</v>
      </c>
      <c r="Q59" s="19">
        <v>3303.1219999999998</v>
      </c>
      <c r="R59" s="19">
        <v>7301.0720000000001</v>
      </c>
      <c r="S59" s="19">
        <v>66201.475000000006</v>
      </c>
      <c r="T59" s="19">
        <v>1747.452</v>
      </c>
      <c r="U59" s="19">
        <v>2429.2269999999999</v>
      </c>
      <c r="V59" s="19">
        <v>19505.736000000001</v>
      </c>
      <c r="W59" s="19">
        <v>196910.253</v>
      </c>
      <c r="X59" s="19">
        <v>4745.26</v>
      </c>
      <c r="Y59" s="19">
        <v>95.5</v>
      </c>
      <c r="Z59" s="19">
        <v>228.91399999999999</v>
      </c>
      <c r="AA59" s="19">
        <v>84.933999999999997</v>
      </c>
      <c r="AB59" s="19">
        <v>517.71400000000006</v>
      </c>
      <c r="AC59" s="19">
        <v>1577.796</v>
      </c>
      <c r="AD59" s="19">
        <v>265.51600000000002</v>
      </c>
      <c r="AE59" s="19">
        <v>771.24400000000003</v>
      </c>
      <c r="AF59" s="19">
        <v>541.97500000000002</v>
      </c>
      <c r="AG59" s="19">
        <v>127.77500000000001</v>
      </c>
      <c r="AH59" s="19">
        <v>503.12900000000002</v>
      </c>
      <c r="AI59" s="19">
        <v>30.17</v>
      </c>
    </row>
    <row r="60" spans="1:35" x14ac:dyDescent="0.25">
      <c r="A60" s="6">
        <v>1958</v>
      </c>
      <c r="B60" s="19">
        <v>34931.904000000002</v>
      </c>
      <c r="C60" s="19">
        <v>3751.7559999999999</v>
      </c>
      <c r="D60" s="19">
        <v>1842.5619999999999</v>
      </c>
      <c r="E60" s="19">
        <v>2559.1390000000001</v>
      </c>
      <c r="F60" s="19">
        <v>1651.4760000000001</v>
      </c>
      <c r="G60" s="19">
        <v>1198.6790000000001</v>
      </c>
      <c r="H60" s="19">
        <v>1061.288</v>
      </c>
      <c r="I60" s="19">
        <v>6893.28</v>
      </c>
      <c r="J60" s="19">
        <v>3728.8380000000002</v>
      </c>
      <c r="K60" s="19">
        <v>3062.0279999999998</v>
      </c>
      <c r="L60" s="19">
        <v>2304.7080000000001</v>
      </c>
      <c r="M60" s="19">
        <v>7260.7839999999997</v>
      </c>
      <c r="N60" s="19">
        <v>14886.199000000001</v>
      </c>
      <c r="O60" s="19">
        <v>4247.5280000000002</v>
      </c>
      <c r="P60" s="19">
        <v>9519.2880000000005</v>
      </c>
      <c r="Q60" s="19">
        <v>3377.1060000000002</v>
      </c>
      <c r="R60" s="19">
        <v>7508.8879999999999</v>
      </c>
      <c r="S60" s="19">
        <v>68295.165999999997</v>
      </c>
      <c r="T60" s="19">
        <v>1797.7260000000001</v>
      </c>
      <c r="U60" s="19">
        <v>2465.348</v>
      </c>
      <c r="V60" s="19">
        <v>19836.677</v>
      </c>
      <c r="W60" s="19">
        <v>202488.95300000001</v>
      </c>
      <c r="X60" s="19">
        <v>4842.491</v>
      </c>
      <c r="Y60" s="19">
        <v>99.896000000000001</v>
      </c>
      <c r="Z60" s="19">
        <v>229.45699999999999</v>
      </c>
      <c r="AA60" s="19">
        <v>87.513999999999996</v>
      </c>
      <c r="AB60" s="19">
        <v>534.89200000000005</v>
      </c>
      <c r="AC60" s="19">
        <v>1593.4570000000001</v>
      </c>
      <c r="AD60" s="19">
        <v>273.59199999999998</v>
      </c>
      <c r="AE60" s="19">
        <v>798.98199999999997</v>
      </c>
      <c r="AF60" s="19">
        <v>557.71</v>
      </c>
      <c r="AG60" s="19">
        <v>130.22499999999999</v>
      </c>
      <c r="AH60" s="19">
        <v>507.32799999999997</v>
      </c>
      <c r="AI60" s="19">
        <v>30.914999999999999</v>
      </c>
    </row>
    <row r="61" spans="1:35" x14ac:dyDescent="0.25">
      <c r="A61" s="6">
        <v>1959</v>
      </c>
      <c r="B61" s="19">
        <v>36133.934999999998</v>
      </c>
      <c r="C61" s="19">
        <v>3877.5210000000002</v>
      </c>
      <c r="D61" s="19">
        <v>1906.133</v>
      </c>
      <c r="E61" s="19">
        <v>2678.5970000000002</v>
      </c>
      <c r="F61" s="19">
        <v>1718.8789999999999</v>
      </c>
      <c r="G61" s="19">
        <v>1251.702</v>
      </c>
      <c r="H61" s="19">
        <v>1095.213</v>
      </c>
      <c r="I61" s="19">
        <v>7043.8389999999999</v>
      </c>
      <c r="J61" s="19">
        <v>3793.9589999999998</v>
      </c>
      <c r="K61" s="19">
        <v>3172.6350000000002</v>
      </c>
      <c r="L61" s="19">
        <v>2331.1219999999998</v>
      </c>
      <c r="M61" s="19">
        <v>7571.5110000000004</v>
      </c>
      <c r="N61" s="19">
        <v>15336.982</v>
      </c>
      <c r="O61" s="19">
        <v>4383.5770000000002</v>
      </c>
      <c r="P61" s="19">
        <v>9776.6319999999996</v>
      </c>
      <c r="Q61" s="19">
        <v>3451.9810000000002</v>
      </c>
      <c r="R61" s="19">
        <v>7710.1980000000003</v>
      </c>
      <c r="S61" s="19">
        <v>70425.282999999996</v>
      </c>
      <c r="T61" s="19">
        <v>1847.3050000000001</v>
      </c>
      <c r="U61" s="19">
        <v>2500.7910000000002</v>
      </c>
      <c r="V61" s="19">
        <v>20169.954000000002</v>
      </c>
      <c r="W61" s="19">
        <v>208233.538</v>
      </c>
      <c r="X61" s="19">
        <v>4939.348</v>
      </c>
      <c r="Y61" s="19">
        <v>104.67400000000001</v>
      </c>
      <c r="Z61" s="19">
        <v>229.99600000000001</v>
      </c>
      <c r="AA61" s="19">
        <v>90.147000000000006</v>
      </c>
      <c r="AB61" s="19">
        <v>552.04600000000005</v>
      </c>
      <c r="AC61" s="19">
        <v>1609.9259999999999</v>
      </c>
      <c r="AD61" s="19">
        <v>281.77800000000002</v>
      </c>
      <c r="AE61" s="19">
        <v>824.01499999999999</v>
      </c>
      <c r="AF61" s="19">
        <v>573.23</v>
      </c>
      <c r="AG61" s="19">
        <v>132.65</v>
      </c>
      <c r="AH61" s="19">
        <v>511.40800000000002</v>
      </c>
      <c r="AI61" s="19">
        <v>31.84</v>
      </c>
    </row>
    <row r="62" spans="1:35" x14ac:dyDescent="0.25">
      <c r="A62" s="6">
        <v>1960</v>
      </c>
      <c r="B62" s="19">
        <v>37317.402000000002</v>
      </c>
      <c r="C62" s="19">
        <v>4003.0650000000001</v>
      </c>
      <c r="D62" s="19">
        <v>1967.662</v>
      </c>
      <c r="E62" s="19">
        <v>2782.2370000000001</v>
      </c>
      <c r="F62" s="19">
        <v>1778.489</v>
      </c>
      <c r="G62" s="19">
        <v>1302.07</v>
      </c>
      <c r="H62" s="19">
        <v>1128.338</v>
      </c>
      <c r="I62" s="19">
        <v>7189.5640000000003</v>
      </c>
      <c r="J62" s="19">
        <v>3863.8980000000001</v>
      </c>
      <c r="K62" s="19">
        <v>3281.0529999999999</v>
      </c>
      <c r="L62" s="19">
        <v>2359.797</v>
      </c>
      <c r="M62" s="19">
        <v>7869.5439999999999</v>
      </c>
      <c r="N62" s="19">
        <v>15805.366</v>
      </c>
      <c r="O62" s="19">
        <v>4514.8310000000001</v>
      </c>
      <c r="P62" s="19">
        <v>10052.532999999999</v>
      </c>
      <c r="Q62" s="19">
        <v>3526.8690000000001</v>
      </c>
      <c r="R62" s="19">
        <v>7898.3729999999996</v>
      </c>
      <c r="S62" s="19">
        <v>72581.014999999999</v>
      </c>
      <c r="T62" s="19">
        <v>1895.0709999999999</v>
      </c>
      <c r="U62" s="19">
        <v>2534.4050000000002</v>
      </c>
      <c r="V62" s="19">
        <v>20505.208999999999</v>
      </c>
      <c r="W62" s="19">
        <v>214136.58100000001</v>
      </c>
      <c r="X62" s="19">
        <v>5035</v>
      </c>
      <c r="Y62" s="19">
        <v>109.64400000000001</v>
      </c>
      <c r="Z62" s="19">
        <v>230.66200000000001</v>
      </c>
      <c r="AA62" s="19">
        <v>92.817999999999998</v>
      </c>
      <c r="AB62" s="19">
        <v>568.5</v>
      </c>
      <c r="AC62" s="19">
        <v>1629.0029999999999</v>
      </c>
      <c r="AD62" s="19">
        <v>290</v>
      </c>
      <c r="AE62" s="19">
        <v>843.005</v>
      </c>
      <c r="AF62" s="19">
        <v>587.79999999999995</v>
      </c>
      <c r="AG62" s="19">
        <v>135</v>
      </c>
      <c r="AH62" s="19">
        <v>515.56799999999998</v>
      </c>
      <c r="AI62" s="19">
        <v>33</v>
      </c>
    </row>
    <row r="63" spans="1:35" x14ac:dyDescent="0.25">
      <c r="A63" s="6">
        <v>1961</v>
      </c>
      <c r="B63" s="19">
        <v>38515.233999999997</v>
      </c>
      <c r="C63" s="19">
        <v>4134.8919999999998</v>
      </c>
      <c r="D63" s="19">
        <v>2028.6</v>
      </c>
      <c r="E63" s="19">
        <v>2872.5659999999998</v>
      </c>
      <c r="F63" s="19">
        <v>1833.2950000000001</v>
      </c>
      <c r="G63" s="19">
        <v>1351.4880000000001</v>
      </c>
      <c r="H63" s="19">
        <v>1161.3779999999999</v>
      </c>
      <c r="I63" s="19">
        <v>7337.7269999999999</v>
      </c>
      <c r="J63" s="19">
        <v>3937.7350000000001</v>
      </c>
      <c r="K63" s="19">
        <v>3389.232</v>
      </c>
      <c r="L63" s="19">
        <v>2396.5100000000002</v>
      </c>
      <c r="M63" s="19">
        <v>8162.45</v>
      </c>
      <c r="N63" s="19">
        <v>16290.378000000001</v>
      </c>
      <c r="O63" s="19">
        <v>4645.6490000000003</v>
      </c>
      <c r="P63" s="19">
        <v>10345.498</v>
      </c>
      <c r="Q63" s="19">
        <v>3602.48</v>
      </c>
      <c r="R63" s="19">
        <v>8080.8540000000003</v>
      </c>
      <c r="S63" s="19">
        <v>74789.436000000002</v>
      </c>
      <c r="T63" s="19">
        <v>1942.5</v>
      </c>
      <c r="U63" s="19">
        <v>2566.69</v>
      </c>
      <c r="V63" s="19">
        <v>20842.994999999999</v>
      </c>
      <c r="W63" s="19">
        <v>220260.883</v>
      </c>
      <c r="X63" s="19">
        <v>5129.6859999999997</v>
      </c>
      <c r="Y63" s="19">
        <v>115.095</v>
      </c>
      <c r="Z63" s="19">
        <v>231.5</v>
      </c>
      <c r="AA63" s="19">
        <v>95.524000000000001</v>
      </c>
      <c r="AB63" s="19">
        <v>584.38</v>
      </c>
      <c r="AC63" s="19">
        <v>1652.2909999999999</v>
      </c>
      <c r="AD63" s="19">
        <v>298.33</v>
      </c>
      <c r="AE63" s="19">
        <v>856.07500000000005</v>
      </c>
      <c r="AF63" s="19">
        <v>601.755</v>
      </c>
      <c r="AG63" s="19">
        <v>137.232</v>
      </c>
      <c r="AH63" s="19">
        <v>519.63800000000003</v>
      </c>
      <c r="AI63" s="19">
        <v>35.106000000000002</v>
      </c>
    </row>
    <row r="64" spans="1:35" x14ac:dyDescent="0.25">
      <c r="A64" s="6">
        <v>1962</v>
      </c>
      <c r="B64" s="19">
        <v>39768.652999999998</v>
      </c>
      <c r="C64" s="19">
        <v>4277.8890000000001</v>
      </c>
      <c r="D64" s="19">
        <v>2091.817</v>
      </c>
      <c r="E64" s="19">
        <v>2959.4090000000001</v>
      </c>
      <c r="F64" s="19">
        <v>1889.2270000000001</v>
      </c>
      <c r="G64" s="19">
        <v>1402.5740000000001</v>
      </c>
      <c r="H64" s="19">
        <v>1195.57</v>
      </c>
      <c r="I64" s="19">
        <v>7495.4750000000004</v>
      </c>
      <c r="J64" s="19">
        <v>4013.9059999999999</v>
      </c>
      <c r="K64" s="19">
        <v>3500.1390000000001</v>
      </c>
      <c r="L64" s="19">
        <v>2443.538</v>
      </c>
      <c r="M64" s="19">
        <v>8461.9809999999998</v>
      </c>
      <c r="N64" s="19">
        <v>16792.396000000001</v>
      </c>
      <c r="O64" s="19">
        <v>4782.3540000000003</v>
      </c>
      <c r="P64" s="19">
        <v>10649.805</v>
      </c>
      <c r="Q64" s="19">
        <v>3680.317</v>
      </c>
      <c r="R64" s="19">
        <v>8268.1569999999992</v>
      </c>
      <c r="S64" s="19">
        <v>77070.892000000007</v>
      </c>
      <c r="T64" s="19">
        <v>1991.73</v>
      </c>
      <c r="U64" s="19">
        <v>2598.721</v>
      </c>
      <c r="V64" s="19">
        <v>21182.971000000001</v>
      </c>
      <c r="W64" s="19">
        <v>226624.32500000001</v>
      </c>
      <c r="X64" s="19">
        <v>5223.9690000000001</v>
      </c>
      <c r="Y64" s="19">
        <v>121.227</v>
      </c>
      <c r="Z64" s="19">
        <v>232.43</v>
      </c>
      <c r="AA64" s="19">
        <v>98.278000000000006</v>
      </c>
      <c r="AB64" s="19">
        <v>600.14700000000005</v>
      </c>
      <c r="AC64" s="19">
        <v>1678.9449999999999</v>
      </c>
      <c r="AD64" s="19">
        <v>306.82</v>
      </c>
      <c r="AE64" s="19">
        <v>866.52499999999998</v>
      </c>
      <c r="AF64" s="19">
        <v>615.61699999999996</v>
      </c>
      <c r="AG64" s="19">
        <v>139.381</v>
      </c>
      <c r="AH64" s="19">
        <v>523.48800000000006</v>
      </c>
      <c r="AI64" s="19">
        <v>38.442999999999998</v>
      </c>
    </row>
    <row r="65" spans="1:35" x14ac:dyDescent="0.25">
      <c r="A65" s="6">
        <v>1963</v>
      </c>
      <c r="B65" s="19">
        <v>41068.383999999998</v>
      </c>
      <c r="C65" s="19">
        <v>4426.5240000000003</v>
      </c>
      <c r="D65" s="19">
        <v>2157.3180000000002</v>
      </c>
      <c r="E65" s="19">
        <v>3044.39</v>
      </c>
      <c r="F65" s="19">
        <v>1946.748</v>
      </c>
      <c r="G65" s="19">
        <v>1454.605</v>
      </c>
      <c r="H65" s="19">
        <v>1230.876</v>
      </c>
      <c r="I65" s="19">
        <v>7660.1419999999998</v>
      </c>
      <c r="J65" s="19">
        <v>4090.5529999999999</v>
      </c>
      <c r="K65" s="19">
        <v>3613.2649999999999</v>
      </c>
      <c r="L65" s="19">
        <v>2494.5300000000002</v>
      </c>
      <c r="M65" s="19">
        <v>8767.7939999999999</v>
      </c>
      <c r="N65" s="19">
        <v>17307.214</v>
      </c>
      <c r="O65" s="19">
        <v>4924.4719999999998</v>
      </c>
      <c r="P65" s="19">
        <v>10963.692999999999</v>
      </c>
      <c r="Q65" s="19">
        <v>3760.5720000000001</v>
      </c>
      <c r="R65" s="19">
        <v>8457.5910000000003</v>
      </c>
      <c r="S65" s="19">
        <v>79402.080000000002</v>
      </c>
      <c r="T65" s="19">
        <v>2043.3119999999999</v>
      </c>
      <c r="U65" s="19">
        <v>2630.0070000000001</v>
      </c>
      <c r="V65" s="19">
        <v>21524.135999999999</v>
      </c>
      <c r="W65" s="19">
        <v>233152.10200000001</v>
      </c>
      <c r="X65" s="19">
        <v>5317.51</v>
      </c>
      <c r="Y65" s="19">
        <v>127.71899999999999</v>
      </c>
      <c r="Z65" s="19">
        <v>233.39500000000001</v>
      </c>
      <c r="AA65" s="19">
        <v>101.087</v>
      </c>
      <c r="AB65" s="19">
        <v>615.62300000000005</v>
      </c>
      <c r="AC65" s="19">
        <v>1707.095</v>
      </c>
      <c r="AD65" s="19">
        <v>315.36599999999999</v>
      </c>
      <c r="AE65" s="19">
        <v>875.77800000000002</v>
      </c>
      <c r="AF65" s="19">
        <v>628.93299999999999</v>
      </c>
      <c r="AG65" s="19">
        <v>141.51400000000001</v>
      </c>
      <c r="AH65" s="19">
        <v>527.37400000000002</v>
      </c>
      <c r="AI65" s="19">
        <v>42.427</v>
      </c>
    </row>
    <row r="66" spans="1:35" x14ac:dyDescent="0.25">
      <c r="A66" s="6">
        <v>1964</v>
      </c>
      <c r="B66" s="19">
        <v>42412.654999999999</v>
      </c>
      <c r="C66" s="19">
        <v>4575.6660000000002</v>
      </c>
      <c r="D66" s="19">
        <v>2225.2109999999998</v>
      </c>
      <c r="E66" s="19">
        <v>3131.0329999999999</v>
      </c>
      <c r="F66" s="19">
        <v>2006.124</v>
      </c>
      <c r="G66" s="19">
        <v>1506.807</v>
      </c>
      <c r="H66" s="19">
        <v>1267.2059999999999</v>
      </c>
      <c r="I66" s="19">
        <v>7826.8130000000001</v>
      </c>
      <c r="J66" s="19">
        <v>4168.7160000000003</v>
      </c>
      <c r="K66" s="19">
        <v>3728.2530000000002</v>
      </c>
      <c r="L66" s="19">
        <v>2543.1350000000002</v>
      </c>
      <c r="M66" s="19">
        <v>9079.348</v>
      </c>
      <c r="N66" s="19">
        <v>17831.427</v>
      </c>
      <c r="O66" s="19">
        <v>5071.8310000000001</v>
      </c>
      <c r="P66" s="19">
        <v>11285.85</v>
      </c>
      <c r="Q66" s="19">
        <v>3843.3870000000002</v>
      </c>
      <c r="R66" s="19">
        <v>8645.9130000000005</v>
      </c>
      <c r="S66" s="19">
        <v>81754.751999999993</v>
      </c>
      <c r="T66" s="19">
        <v>2096.799</v>
      </c>
      <c r="U66" s="19">
        <v>2659.9540000000002</v>
      </c>
      <c r="V66" s="19">
        <v>21864.741000000002</v>
      </c>
      <c r="W66" s="19">
        <v>239769.41099999999</v>
      </c>
      <c r="X66" s="19">
        <v>5409.9669999999996</v>
      </c>
      <c r="Y66" s="19">
        <v>134.251</v>
      </c>
      <c r="Z66" s="19">
        <v>234.33799999999999</v>
      </c>
      <c r="AA66" s="19">
        <v>103.959</v>
      </c>
      <c r="AB66" s="19">
        <v>630.63300000000004</v>
      </c>
      <c r="AC66" s="19">
        <v>1734.87</v>
      </c>
      <c r="AD66" s="19">
        <v>323.86200000000002</v>
      </c>
      <c r="AE66" s="19">
        <v>885.26199999999994</v>
      </c>
      <c r="AF66" s="19">
        <v>641.25099999999998</v>
      </c>
      <c r="AG66" s="19">
        <v>143.69800000000001</v>
      </c>
      <c r="AH66" s="19">
        <v>531.553</v>
      </c>
      <c r="AI66" s="19">
        <v>46.473999999999997</v>
      </c>
    </row>
    <row r="67" spans="1:35" x14ac:dyDescent="0.25">
      <c r="A67" s="6">
        <v>1965</v>
      </c>
      <c r="B67" s="19">
        <v>43801.891000000003</v>
      </c>
      <c r="C67" s="19">
        <v>4720.4830000000002</v>
      </c>
      <c r="D67" s="19">
        <v>2295.5</v>
      </c>
      <c r="E67" s="19">
        <v>3221.5140000000001</v>
      </c>
      <c r="F67" s="19">
        <v>2067.819</v>
      </c>
      <c r="G67" s="19">
        <v>1558.4570000000001</v>
      </c>
      <c r="H67" s="19">
        <v>1304.3209999999999</v>
      </c>
      <c r="I67" s="19">
        <v>7990.42</v>
      </c>
      <c r="J67" s="19">
        <v>4249.5360000000001</v>
      </c>
      <c r="K67" s="19">
        <v>3843.7440000000001</v>
      </c>
      <c r="L67" s="19">
        <v>2583.0030000000002</v>
      </c>
      <c r="M67" s="19">
        <v>9395.7489999999998</v>
      </c>
      <c r="N67" s="19">
        <v>18362.38</v>
      </c>
      <c r="O67" s="19">
        <v>5224.107</v>
      </c>
      <c r="P67" s="19">
        <v>11614.164000000001</v>
      </c>
      <c r="Q67" s="19">
        <v>3928.8519999999999</v>
      </c>
      <c r="R67" s="19">
        <v>8829.8320000000003</v>
      </c>
      <c r="S67" s="19">
        <v>84096.955000000002</v>
      </c>
      <c r="T67" s="19">
        <v>2151.3429999999998</v>
      </c>
      <c r="U67" s="19">
        <v>2687.9720000000002</v>
      </c>
      <c r="V67" s="19">
        <v>22203.584999999999</v>
      </c>
      <c r="W67" s="19">
        <v>246401.446</v>
      </c>
      <c r="X67" s="19">
        <v>5501</v>
      </c>
      <c r="Y67" s="19">
        <v>140.5</v>
      </c>
      <c r="Z67" s="19">
        <v>235.2</v>
      </c>
      <c r="AA67" s="19">
        <v>106.9</v>
      </c>
      <c r="AB67" s="19">
        <v>645</v>
      </c>
      <c r="AC67" s="19">
        <v>1760.4</v>
      </c>
      <c r="AD67" s="19">
        <v>332.2</v>
      </c>
      <c r="AE67" s="19">
        <v>896.4</v>
      </c>
      <c r="AF67" s="19">
        <v>652.11800000000005</v>
      </c>
      <c r="AG67" s="19">
        <v>146</v>
      </c>
      <c r="AH67" s="19">
        <v>536.28200000000004</v>
      </c>
      <c r="AI67" s="19">
        <v>50</v>
      </c>
    </row>
    <row r="68" spans="1:35" x14ac:dyDescent="0.25">
      <c r="A68" s="6">
        <v>1966</v>
      </c>
      <c r="B68" s="19">
        <v>45236.612000000001</v>
      </c>
      <c r="C68" s="19">
        <v>4859.0730000000003</v>
      </c>
      <c r="D68" s="19">
        <v>2368.4070000000002</v>
      </c>
      <c r="E68" s="19">
        <v>3315.7310000000002</v>
      </c>
      <c r="F68" s="19">
        <v>2131.924</v>
      </c>
      <c r="G68" s="19">
        <v>1609.5909999999999</v>
      </c>
      <c r="H68" s="19">
        <v>1342.4110000000001</v>
      </c>
      <c r="I68" s="19">
        <v>8149.6390000000001</v>
      </c>
      <c r="J68" s="19">
        <v>4331.7060000000001</v>
      </c>
      <c r="K68" s="19">
        <v>3961.06</v>
      </c>
      <c r="L68" s="19">
        <v>2612.8960000000002</v>
      </c>
      <c r="M68" s="19">
        <v>9715.5560000000005</v>
      </c>
      <c r="N68" s="19">
        <v>18900.115000000002</v>
      </c>
      <c r="O68" s="19">
        <v>5381.5420000000004</v>
      </c>
      <c r="P68" s="19">
        <v>11948.588</v>
      </c>
      <c r="Q68" s="19">
        <v>4017.19</v>
      </c>
      <c r="R68" s="19">
        <v>9009.6620000000003</v>
      </c>
      <c r="S68" s="19">
        <v>86419.664999999994</v>
      </c>
      <c r="T68" s="19">
        <v>2206.8870000000002</v>
      </c>
      <c r="U68" s="19">
        <v>2715.0949999999998</v>
      </c>
      <c r="V68" s="19">
        <v>22539.327000000001</v>
      </c>
      <c r="W68" s="19">
        <v>253034.636</v>
      </c>
      <c r="X68" s="19">
        <v>5592.9549999999999</v>
      </c>
      <c r="Y68" s="19">
        <v>146.636</v>
      </c>
      <c r="Z68" s="19">
        <v>235.93799999999999</v>
      </c>
      <c r="AA68" s="19">
        <v>110.03400000000001</v>
      </c>
      <c r="AB68" s="19">
        <v>659.51300000000003</v>
      </c>
      <c r="AC68" s="19">
        <v>1782.9559999999999</v>
      </c>
      <c r="AD68" s="19">
        <v>341.63400000000001</v>
      </c>
      <c r="AE68" s="19">
        <v>910.41800000000001</v>
      </c>
      <c r="AF68" s="19">
        <v>661.923</v>
      </c>
      <c r="AG68" s="19">
        <v>148.58600000000001</v>
      </c>
      <c r="AH68" s="19">
        <v>542.62800000000004</v>
      </c>
      <c r="AI68" s="19">
        <v>52.874000000000002</v>
      </c>
    </row>
    <row r="69" spans="1:35" x14ac:dyDescent="0.25">
      <c r="A69" s="6">
        <v>1967</v>
      </c>
      <c r="B69" s="19">
        <v>46715.290999999997</v>
      </c>
      <c r="C69" s="19">
        <v>4994.9340000000002</v>
      </c>
      <c r="D69" s="19">
        <v>2444.04</v>
      </c>
      <c r="E69" s="19">
        <v>3411.877</v>
      </c>
      <c r="F69" s="19">
        <v>2198.3870000000002</v>
      </c>
      <c r="G69" s="19">
        <v>1660.462</v>
      </c>
      <c r="H69" s="19">
        <v>1381.348</v>
      </c>
      <c r="I69" s="19">
        <v>8306.0580000000009</v>
      </c>
      <c r="J69" s="19">
        <v>4415.6580000000004</v>
      </c>
      <c r="K69" s="19">
        <v>4081.482</v>
      </c>
      <c r="L69" s="19">
        <v>2637.9540000000002</v>
      </c>
      <c r="M69" s="19">
        <v>10039.128000000001</v>
      </c>
      <c r="N69" s="19">
        <v>19445.055</v>
      </c>
      <c r="O69" s="19">
        <v>5544.6220000000003</v>
      </c>
      <c r="P69" s="19">
        <v>12290.451999999999</v>
      </c>
      <c r="Q69" s="19">
        <v>4108.5450000000001</v>
      </c>
      <c r="R69" s="19">
        <v>9187.1990000000005</v>
      </c>
      <c r="S69" s="19">
        <v>88733.273000000001</v>
      </c>
      <c r="T69" s="19">
        <v>2263.39</v>
      </c>
      <c r="U69" s="19">
        <v>2741.69</v>
      </c>
      <c r="V69" s="19">
        <v>22874.517</v>
      </c>
      <c r="W69" s="19">
        <v>259720.50899999999</v>
      </c>
      <c r="X69" s="19">
        <v>5686.0959999999995</v>
      </c>
      <c r="Y69" s="19">
        <v>152.875</v>
      </c>
      <c r="Z69" s="19">
        <v>236.59299999999999</v>
      </c>
      <c r="AA69" s="19">
        <v>113.361</v>
      </c>
      <c r="AB69" s="19">
        <v>674.33100000000002</v>
      </c>
      <c r="AC69" s="19">
        <v>1803.8720000000001</v>
      </c>
      <c r="AD69" s="19">
        <v>352.23700000000002</v>
      </c>
      <c r="AE69" s="19">
        <v>926.50400000000002</v>
      </c>
      <c r="AF69" s="19">
        <v>671.17700000000002</v>
      </c>
      <c r="AG69" s="19">
        <v>151.41800000000001</v>
      </c>
      <c r="AH69" s="19">
        <v>550.53300000000002</v>
      </c>
      <c r="AI69" s="19">
        <v>55.496000000000002</v>
      </c>
    </row>
    <row r="70" spans="1:35" x14ac:dyDescent="0.25">
      <c r="A70" s="6">
        <v>1968</v>
      </c>
      <c r="B70" s="19">
        <v>48233.402000000002</v>
      </c>
      <c r="C70" s="19">
        <v>5130.1319999999996</v>
      </c>
      <c r="D70" s="19">
        <v>2522.52</v>
      </c>
      <c r="E70" s="19">
        <v>3509.0940000000001</v>
      </c>
      <c r="F70" s="19">
        <v>2267.11</v>
      </c>
      <c r="G70" s="19">
        <v>1710.588</v>
      </c>
      <c r="H70" s="19">
        <v>1421.04</v>
      </c>
      <c r="I70" s="19">
        <v>8460.4639999999999</v>
      </c>
      <c r="J70" s="19">
        <v>4501.0609999999997</v>
      </c>
      <c r="K70" s="19">
        <v>4203.24</v>
      </c>
      <c r="L70" s="19">
        <v>2661.395</v>
      </c>
      <c r="M70" s="19">
        <v>10368.65</v>
      </c>
      <c r="N70" s="19">
        <v>19992.254000000001</v>
      </c>
      <c r="O70" s="19">
        <v>5712.7960000000003</v>
      </c>
      <c r="P70" s="19">
        <v>12640.276</v>
      </c>
      <c r="Q70" s="19">
        <v>4203.0169999999998</v>
      </c>
      <c r="R70" s="19">
        <v>9362.4709999999995</v>
      </c>
      <c r="S70" s="19">
        <v>91044.221999999994</v>
      </c>
      <c r="T70" s="19">
        <v>2320.5549999999998</v>
      </c>
      <c r="U70" s="19">
        <v>2765.8870000000002</v>
      </c>
      <c r="V70" s="19">
        <v>23214.545999999998</v>
      </c>
      <c r="W70" s="19">
        <v>266481.908</v>
      </c>
      <c r="X70" s="19">
        <v>5776.96</v>
      </c>
      <c r="Y70" s="19">
        <v>158.96600000000001</v>
      </c>
      <c r="Z70" s="19">
        <v>237.24</v>
      </c>
      <c r="AA70" s="19">
        <v>116.7</v>
      </c>
      <c r="AB70" s="19">
        <v>688.33299999999997</v>
      </c>
      <c r="AC70" s="19">
        <v>1824.3689999999999</v>
      </c>
      <c r="AD70" s="19">
        <v>362.13299999999998</v>
      </c>
      <c r="AE70" s="19">
        <v>943.03099999999995</v>
      </c>
      <c r="AF70" s="19">
        <v>679.61199999999997</v>
      </c>
      <c r="AG70" s="19">
        <v>154.25800000000001</v>
      </c>
      <c r="AH70" s="19">
        <v>558.56200000000001</v>
      </c>
      <c r="AI70" s="19">
        <v>58.082000000000001</v>
      </c>
    </row>
    <row r="71" spans="1:35" x14ac:dyDescent="0.25">
      <c r="A71" s="6">
        <v>1969</v>
      </c>
      <c r="B71" s="19">
        <v>49784.271999999997</v>
      </c>
      <c r="C71" s="19">
        <v>5266.2860000000001</v>
      </c>
      <c r="D71" s="19">
        <v>2603.7170000000001</v>
      </c>
      <c r="E71" s="19">
        <v>3606.5239999999999</v>
      </c>
      <c r="F71" s="19">
        <v>2338.145</v>
      </c>
      <c r="G71" s="19">
        <v>1760.1369999999999</v>
      </c>
      <c r="H71" s="19">
        <v>1461.444</v>
      </c>
      <c r="I71" s="19">
        <v>8614.1419999999998</v>
      </c>
      <c r="J71" s="19">
        <v>4587.335</v>
      </c>
      <c r="K71" s="19">
        <v>4326.2659999999996</v>
      </c>
      <c r="L71" s="19">
        <v>2686.4380000000001</v>
      </c>
      <c r="M71" s="19">
        <v>10706.057000000001</v>
      </c>
      <c r="N71" s="19">
        <v>20535.07</v>
      </c>
      <c r="O71" s="19">
        <v>5885.6109999999999</v>
      </c>
      <c r="P71" s="19">
        <v>12998.334000000001</v>
      </c>
      <c r="Q71" s="19">
        <v>4300.5050000000001</v>
      </c>
      <c r="R71" s="19">
        <v>9536.0069999999996</v>
      </c>
      <c r="S71" s="19">
        <v>93367.754000000001</v>
      </c>
      <c r="T71" s="19">
        <v>2378.1869999999999</v>
      </c>
      <c r="U71" s="19">
        <v>2785.9169999999999</v>
      </c>
      <c r="V71" s="19">
        <v>23563.752</v>
      </c>
      <c r="W71" s="19">
        <v>273341.679</v>
      </c>
      <c r="X71" s="19">
        <v>5862.0829999999996</v>
      </c>
      <c r="Y71" s="19">
        <v>164.65799999999999</v>
      </c>
      <c r="Z71" s="19">
        <v>237.95099999999999</v>
      </c>
      <c r="AA71" s="19">
        <v>119.873</v>
      </c>
      <c r="AB71" s="19">
        <v>700.39700000000005</v>
      </c>
      <c r="AC71" s="19">
        <v>1845.671</v>
      </c>
      <c r="AD71" s="19">
        <v>369.44600000000003</v>
      </c>
      <c r="AE71" s="19">
        <v>958.37199999999996</v>
      </c>
      <c r="AF71" s="19">
        <v>686.95899999999995</v>
      </c>
      <c r="AG71" s="19">
        <v>156.86500000000001</v>
      </c>
      <c r="AH71" s="19">
        <v>565.28</v>
      </c>
      <c r="AI71" s="19">
        <v>60.844999999999999</v>
      </c>
    </row>
    <row r="72" spans="1:35" x14ac:dyDescent="0.25">
      <c r="A72" s="6">
        <v>1970</v>
      </c>
      <c r="B72" s="19">
        <v>51362.574999999997</v>
      </c>
      <c r="C72" s="19">
        <v>5406.3130000000001</v>
      </c>
      <c r="D72" s="19">
        <v>2687.75</v>
      </c>
      <c r="E72" s="19">
        <v>3702.2069999999999</v>
      </c>
      <c r="F72" s="19">
        <v>2411.3939999999998</v>
      </c>
      <c r="G72" s="19">
        <v>1809.277</v>
      </c>
      <c r="H72" s="19">
        <v>1502.4690000000001</v>
      </c>
      <c r="I72" s="19">
        <v>8767.4279999999999</v>
      </c>
      <c r="J72" s="19">
        <v>4674.049</v>
      </c>
      <c r="K72" s="19">
        <v>4450.8410000000003</v>
      </c>
      <c r="L72" s="19">
        <v>2716.299</v>
      </c>
      <c r="M72" s="19">
        <v>11054.534</v>
      </c>
      <c r="N72" s="19">
        <v>21069.51</v>
      </c>
      <c r="O72" s="19">
        <v>6062.6639999999998</v>
      </c>
      <c r="P72" s="19">
        <v>13346.946</v>
      </c>
      <c r="Q72" s="19">
        <v>4400.8090000000002</v>
      </c>
      <c r="R72" s="19">
        <v>9707.5349999999999</v>
      </c>
      <c r="S72" s="19">
        <v>95716.464000000007</v>
      </c>
      <c r="T72" s="19">
        <v>2436.0880000000002</v>
      </c>
      <c r="U72" s="19">
        <v>2800.4079999999999</v>
      </c>
      <c r="V72" s="19">
        <v>23928.774000000001</v>
      </c>
      <c r="W72" s="19">
        <v>280322.66600000003</v>
      </c>
      <c r="X72" s="19">
        <v>5938</v>
      </c>
      <c r="Y72" s="19">
        <v>169.7</v>
      </c>
      <c r="Z72" s="19">
        <v>238.8</v>
      </c>
      <c r="AA72" s="19">
        <v>122.7</v>
      </c>
      <c r="AB72" s="19">
        <v>709.4</v>
      </c>
      <c r="AC72" s="19">
        <v>1869</v>
      </c>
      <c r="AD72" s="19">
        <v>372.3</v>
      </c>
      <c r="AE72" s="19">
        <v>970.9</v>
      </c>
      <c r="AF72" s="19">
        <v>692.947</v>
      </c>
      <c r="AG72" s="19">
        <v>159</v>
      </c>
      <c r="AH72" s="19">
        <v>569.25300000000004</v>
      </c>
      <c r="AI72" s="19">
        <v>64</v>
      </c>
    </row>
    <row r="73" spans="1:35" x14ac:dyDescent="0.25">
      <c r="A73" s="6">
        <v>1971</v>
      </c>
      <c r="B73" s="19">
        <v>52978.593000000001</v>
      </c>
      <c r="C73" s="19">
        <v>5551.2719999999999</v>
      </c>
      <c r="D73" s="19">
        <v>2775.16</v>
      </c>
      <c r="E73" s="19">
        <v>3796.67</v>
      </c>
      <c r="F73" s="19">
        <v>2487.0390000000002</v>
      </c>
      <c r="G73" s="19">
        <v>1857.4169999999999</v>
      </c>
      <c r="H73" s="19">
        <v>1544.182</v>
      </c>
      <c r="I73" s="19">
        <v>8921.5630000000001</v>
      </c>
      <c r="J73" s="19">
        <v>4760.5780000000004</v>
      </c>
      <c r="K73" s="19">
        <v>4577.107</v>
      </c>
      <c r="L73" s="19">
        <v>2753.1370000000002</v>
      </c>
      <c r="M73" s="19">
        <v>11416.28</v>
      </c>
      <c r="N73" s="19">
        <v>21588.705000000002</v>
      </c>
      <c r="O73" s="19">
        <v>6244.0649999999996</v>
      </c>
      <c r="P73" s="19">
        <v>13702.472</v>
      </c>
      <c r="Q73" s="19">
        <v>4504.415</v>
      </c>
      <c r="R73" s="19">
        <v>9877.2170000000006</v>
      </c>
      <c r="S73" s="19">
        <v>98088.357000000004</v>
      </c>
      <c r="T73" s="19">
        <v>2494.402</v>
      </c>
      <c r="U73" s="19">
        <v>2811.01</v>
      </c>
      <c r="V73" s="19">
        <v>24313.350999999999</v>
      </c>
      <c r="W73" s="19">
        <v>287439.86700000003</v>
      </c>
      <c r="X73" s="19">
        <v>6003.9340000000002</v>
      </c>
      <c r="Y73" s="19">
        <v>174.017</v>
      </c>
      <c r="Z73" s="19">
        <v>239.965</v>
      </c>
      <c r="AA73" s="19">
        <v>125.167</v>
      </c>
      <c r="AB73" s="19">
        <v>715.66899999999998</v>
      </c>
      <c r="AC73" s="19">
        <v>1895.6010000000001</v>
      </c>
      <c r="AD73" s="19">
        <v>371.76</v>
      </c>
      <c r="AE73" s="19">
        <v>980.28</v>
      </c>
      <c r="AF73" s="19">
        <v>697.91200000000003</v>
      </c>
      <c r="AG73" s="19">
        <v>160.654</v>
      </c>
      <c r="AH73" s="19">
        <v>570.94299999999998</v>
      </c>
      <c r="AI73" s="19">
        <v>67.980999999999995</v>
      </c>
    </row>
    <row r="74" spans="1:35" x14ac:dyDescent="0.25">
      <c r="A74" s="6">
        <v>1972</v>
      </c>
      <c r="B74" s="19">
        <v>54636.224000000002</v>
      </c>
      <c r="C74" s="19">
        <v>5700.4690000000001</v>
      </c>
      <c r="D74" s="19">
        <v>2866.201</v>
      </c>
      <c r="E74" s="19">
        <v>3892.1529999999998</v>
      </c>
      <c r="F74" s="19">
        <v>2562.6979999999999</v>
      </c>
      <c r="G74" s="19">
        <v>1904.704</v>
      </c>
      <c r="H74" s="19">
        <v>1586.559</v>
      </c>
      <c r="I74" s="19">
        <v>9073.1090000000004</v>
      </c>
      <c r="J74" s="19">
        <v>4847.393</v>
      </c>
      <c r="K74" s="19">
        <v>4705.32</v>
      </c>
      <c r="L74" s="19">
        <v>2795.7</v>
      </c>
      <c r="M74" s="19">
        <v>11789.938</v>
      </c>
      <c r="N74" s="19">
        <v>22098.588</v>
      </c>
      <c r="O74" s="19">
        <v>6430.0069999999996</v>
      </c>
      <c r="P74" s="19">
        <v>14081.316000000001</v>
      </c>
      <c r="Q74" s="19">
        <v>4611.3779999999997</v>
      </c>
      <c r="R74" s="19">
        <v>10045.769</v>
      </c>
      <c r="S74" s="19">
        <v>100485.599</v>
      </c>
      <c r="T74" s="19">
        <v>2554.0329999999999</v>
      </c>
      <c r="U74" s="19">
        <v>2820.3130000000001</v>
      </c>
      <c r="V74" s="19">
        <v>24715.019</v>
      </c>
      <c r="W74" s="19">
        <v>294682.36</v>
      </c>
      <c r="X74" s="19">
        <v>6063.3320000000003</v>
      </c>
      <c r="Y74" s="19">
        <v>177.86</v>
      </c>
      <c r="Z74" s="19">
        <v>241.43600000000001</v>
      </c>
      <c r="AA74" s="19">
        <v>127.429</v>
      </c>
      <c r="AB74" s="19">
        <v>720.66899999999998</v>
      </c>
      <c r="AC74" s="19">
        <v>1924.855</v>
      </c>
      <c r="AD74" s="19">
        <v>370.36700000000002</v>
      </c>
      <c r="AE74" s="19">
        <v>987.98699999999997</v>
      </c>
      <c r="AF74" s="19">
        <v>702.34699999999998</v>
      </c>
      <c r="AG74" s="19">
        <v>162.05799999999999</v>
      </c>
      <c r="AH74" s="19">
        <v>572.03</v>
      </c>
      <c r="AI74" s="19">
        <v>72.716999999999999</v>
      </c>
    </row>
    <row r="75" spans="1:35" x14ac:dyDescent="0.25">
      <c r="A75" s="6">
        <v>1973</v>
      </c>
      <c r="B75" s="19">
        <v>56320.998</v>
      </c>
      <c r="C75" s="19">
        <v>5853.6670000000004</v>
      </c>
      <c r="D75" s="19">
        <v>2959.6089999999999</v>
      </c>
      <c r="E75" s="19">
        <v>3988.4160000000002</v>
      </c>
      <c r="F75" s="19">
        <v>2640.5790000000002</v>
      </c>
      <c r="G75" s="19">
        <v>1952.191</v>
      </c>
      <c r="H75" s="19">
        <v>1629.4970000000001</v>
      </c>
      <c r="I75" s="19">
        <v>9215.6370000000006</v>
      </c>
      <c r="J75" s="19">
        <v>4935.5590000000002</v>
      </c>
      <c r="K75" s="19">
        <v>4835.2510000000002</v>
      </c>
      <c r="L75" s="19">
        <v>2842.0940000000001</v>
      </c>
      <c r="M75" s="19">
        <v>12174.737999999999</v>
      </c>
      <c r="N75" s="19">
        <v>22610.063999999998</v>
      </c>
      <c r="O75" s="19">
        <v>6620.3379999999997</v>
      </c>
      <c r="P75" s="19">
        <v>14465.446</v>
      </c>
      <c r="Q75" s="19">
        <v>4721.2259999999997</v>
      </c>
      <c r="R75" s="19">
        <v>10213.111000000001</v>
      </c>
      <c r="S75" s="19">
        <v>102919.16800000001</v>
      </c>
      <c r="T75" s="19">
        <v>2616.0500000000002</v>
      </c>
      <c r="U75" s="19">
        <v>2829.4589999999998</v>
      </c>
      <c r="V75" s="19">
        <v>25131.042000000001</v>
      </c>
      <c r="W75" s="19">
        <v>302034.109</v>
      </c>
      <c r="X75" s="19">
        <v>6119.0619999999999</v>
      </c>
      <c r="Y75" s="19">
        <v>181.464</v>
      </c>
      <c r="Z75" s="19">
        <v>243.006</v>
      </c>
      <c r="AA75" s="19">
        <v>129.55699999999999</v>
      </c>
      <c r="AB75" s="19">
        <v>724.98400000000004</v>
      </c>
      <c r="AC75" s="19">
        <v>1955.1890000000001</v>
      </c>
      <c r="AD75" s="19">
        <v>368.46499999999997</v>
      </c>
      <c r="AE75" s="19">
        <v>995.10299999999995</v>
      </c>
      <c r="AF75" s="19">
        <v>706.21699999999998</v>
      </c>
      <c r="AG75" s="19">
        <v>163.334</v>
      </c>
      <c r="AH75" s="19">
        <v>572.904</v>
      </c>
      <c r="AI75" s="19">
        <v>77.662000000000006</v>
      </c>
    </row>
    <row r="76" spans="1:35" x14ac:dyDescent="0.25">
      <c r="A76" s="6">
        <v>1974</v>
      </c>
      <c r="B76" s="19">
        <v>58016.792999999998</v>
      </c>
      <c r="C76" s="19">
        <v>6008.1310000000003</v>
      </c>
      <c r="D76" s="19">
        <v>3053.4679999999998</v>
      </c>
      <c r="E76" s="19">
        <v>4083.67</v>
      </c>
      <c r="F76" s="19">
        <v>2723.087</v>
      </c>
      <c r="G76" s="19">
        <v>2001.183</v>
      </c>
      <c r="H76" s="19">
        <v>1672.893</v>
      </c>
      <c r="I76" s="19">
        <v>9344.9169999999995</v>
      </c>
      <c r="J76" s="19">
        <v>5026.4920000000002</v>
      </c>
      <c r="K76" s="19">
        <v>4966.3209999999999</v>
      </c>
      <c r="L76" s="19">
        <v>2890.4259999999999</v>
      </c>
      <c r="M76" s="19">
        <v>12570.108</v>
      </c>
      <c r="N76" s="19">
        <v>23126.49</v>
      </c>
      <c r="O76" s="19">
        <v>6814.7039999999997</v>
      </c>
      <c r="P76" s="19">
        <v>14854.028</v>
      </c>
      <c r="Q76" s="19">
        <v>4833.7359999999999</v>
      </c>
      <c r="R76" s="19">
        <v>10378.609</v>
      </c>
      <c r="S76" s="19">
        <v>105392.54399999999</v>
      </c>
      <c r="T76" s="19">
        <v>2680.819</v>
      </c>
      <c r="U76" s="19">
        <v>2839.5419999999999</v>
      </c>
      <c r="V76" s="19">
        <v>25555.034</v>
      </c>
      <c r="W76" s="19">
        <v>309479.07699999999</v>
      </c>
      <c r="X76" s="19">
        <v>6173.9949999999999</v>
      </c>
      <c r="Y76" s="19">
        <v>185.065</v>
      </c>
      <c r="Z76" s="19">
        <v>244.46299999999999</v>
      </c>
      <c r="AA76" s="19">
        <v>131.62299999999999</v>
      </c>
      <c r="AB76" s="19">
        <v>729.2</v>
      </c>
      <c r="AC76" s="19">
        <v>1985.028</v>
      </c>
      <c r="AD76" s="19">
        <v>366.39499999999998</v>
      </c>
      <c r="AE76" s="19">
        <v>1002.713</v>
      </c>
      <c r="AF76" s="19">
        <v>709.48699999999997</v>
      </c>
      <c r="AG76" s="19">
        <v>164.607</v>
      </c>
      <c r="AH76" s="19">
        <v>573.95500000000004</v>
      </c>
      <c r="AI76" s="19">
        <v>82.272000000000006</v>
      </c>
    </row>
    <row r="77" spans="1:35" x14ac:dyDescent="0.25">
      <c r="A77" s="6">
        <v>1975</v>
      </c>
      <c r="B77" s="19">
        <v>59706.288</v>
      </c>
      <c r="C77" s="19">
        <v>6161.4750000000004</v>
      </c>
      <c r="D77" s="19">
        <v>3150.4650000000001</v>
      </c>
      <c r="E77" s="19">
        <v>4176.3760000000002</v>
      </c>
      <c r="F77" s="19">
        <v>2807.4780000000001</v>
      </c>
      <c r="G77" s="19">
        <v>2052.8829999999998</v>
      </c>
      <c r="H77" s="19">
        <v>1716.7919999999999</v>
      </c>
      <c r="I77" s="19">
        <v>9455.8209999999999</v>
      </c>
      <c r="J77" s="19">
        <v>5121.4570000000003</v>
      </c>
      <c r="K77" s="19">
        <v>5097.8540000000003</v>
      </c>
      <c r="L77" s="19">
        <v>2938.8</v>
      </c>
      <c r="M77" s="19">
        <v>12975.227000000001</v>
      </c>
      <c r="N77" s="19">
        <v>23653.069</v>
      </c>
      <c r="O77" s="19">
        <v>7012.7529999999997</v>
      </c>
      <c r="P77" s="19">
        <v>15247.58</v>
      </c>
      <c r="Q77" s="19">
        <v>4948.1850000000004</v>
      </c>
      <c r="R77" s="19">
        <v>10542.482</v>
      </c>
      <c r="S77" s="19">
        <v>107918.655</v>
      </c>
      <c r="T77" s="19">
        <v>2748.06</v>
      </c>
      <c r="U77" s="19">
        <v>2851.3560000000002</v>
      </c>
      <c r="V77" s="19">
        <v>25972.86</v>
      </c>
      <c r="W77" s="19">
        <v>317001.228</v>
      </c>
      <c r="X77" s="19">
        <v>6231</v>
      </c>
      <c r="Y77" s="19">
        <v>188.9</v>
      </c>
      <c r="Z77" s="19">
        <v>245.6</v>
      </c>
      <c r="AA77" s="19">
        <v>133.69999999999999</v>
      </c>
      <c r="AB77" s="19">
        <v>733.9</v>
      </c>
      <c r="AC77" s="19">
        <v>2012.8</v>
      </c>
      <c r="AD77" s="19">
        <v>364.5</v>
      </c>
      <c r="AE77" s="19">
        <v>1011.9</v>
      </c>
      <c r="AF77" s="19">
        <v>712.125</v>
      </c>
      <c r="AG77" s="19">
        <v>166</v>
      </c>
      <c r="AH77" s="19">
        <v>575.57500000000005</v>
      </c>
      <c r="AI77" s="19">
        <v>86</v>
      </c>
    </row>
    <row r="78" spans="1:35" x14ac:dyDescent="0.25">
      <c r="A78" s="6">
        <v>1976</v>
      </c>
      <c r="B78" s="19">
        <v>61398.163999999997</v>
      </c>
      <c r="C78" s="19">
        <v>6307.2510000000002</v>
      </c>
      <c r="D78" s="19">
        <v>3251.8670000000002</v>
      </c>
      <c r="E78" s="19">
        <v>4266.9290000000001</v>
      </c>
      <c r="F78" s="19">
        <v>2894.3270000000002</v>
      </c>
      <c r="G78" s="19">
        <v>2107.8040000000001</v>
      </c>
      <c r="H78" s="19">
        <v>1761.2339999999999</v>
      </c>
      <c r="I78" s="19">
        <v>9549.6360000000004</v>
      </c>
      <c r="J78" s="19">
        <v>5220.6229999999996</v>
      </c>
      <c r="K78" s="19">
        <v>5229.9970000000003</v>
      </c>
      <c r="L78" s="19">
        <v>2989.3539999999998</v>
      </c>
      <c r="M78" s="19">
        <v>13395.328</v>
      </c>
      <c r="N78" s="19">
        <v>24191.132000000001</v>
      </c>
      <c r="O78" s="19">
        <v>7214.8739999999998</v>
      </c>
      <c r="P78" s="19">
        <v>15648.516</v>
      </c>
      <c r="Q78" s="19">
        <v>5065.5739999999996</v>
      </c>
      <c r="R78" s="19">
        <v>10703.234</v>
      </c>
      <c r="S78" s="19">
        <v>110514.25900000001</v>
      </c>
      <c r="T78" s="19">
        <v>2817.634</v>
      </c>
      <c r="U78" s="19">
        <v>2866.0030000000002</v>
      </c>
      <c r="V78" s="19">
        <v>26381.978999999999</v>
      </c>
      <c r="W78" s="19">
        <v>324638.16200000001</v>
      </c>
      <c r="X78" s="19">
        <v>6288.5010000000002</v>
      </c>
      <c r="Y78" s="19">
        <v>192.97399999999999</v>
      </c>
      <c r="Z78" s="19">
        <v>246.42</v>
      </c>
      <c r="AA78" s="19">
        <v>135.67400000000001</v>
      </c>
      <c r="AB78" s="19">
        <v>739.99599999999998</v>
      </c>
      <c r="AC78" s="19">
        <v>2037.6590000000001</v>
      </c>
      <c r="AD78" s="19">
        <v>362.45299999999997</v>
      </c>
      <c r="AE78" s="19">
        <v>1023.184</v>
      </c>
      <c r="AF78" s="19">
        <v>714.00599999999997</v>
      </c>
      <c r="AG78" s="19">
        <v>167.53200000000001</v>
      </c>
      <c r="AH78" s="19">
        <v>578.75</v>
      </c>
      <c r="AI78" s="19">
        <v>88.953000000000003</v>
      </c>
    </row>
    <row r="79" spans="1:35" x14ac:dyDescent="0.25">
      <c r="A79" s="6">
        <v>1977</v>
      </c>
      <c r="B79" s="19">
        <v>63101.459000000003</v>
      </c>
      <c r="C79" s="19">
        <v>6455.6930000000002</v>
      </c>
      <c r="D79" s="19">
        <v>3355.4920000000002</v>
      </c>
      <c r="E79" s="19">
        <v>4357.009</v>
      </c>
      <c r="F79" s="19">
        <v>2983.5309999999999</v>
      </c>
      <c r="G79" s="19">
        <v>2165.5729999999999</v>
      </c>
      <c r="H79" s="19">
        <v>1806.2860000000001</v>
      </c>
      <c r="I79" s="19">
        <v>9631.2909999999993</v>
      </c>
      <c r="J79" s="19">
        <v>5323.2929999999997</v>
      </c>
      <c r="K79" s="19">
        <v>5363.0389999999998</v>
      </c>
      <c r="L79" s="19">
        <v>3043.453</v>
      </c>
      <c r="M79" s="19">
        <v>13831.93</v>
      </c>
      <c r="N79" s="19">
        <v>24746.435000000001</v>
      </c>
      <c r="O79" s="19">
        <v>7421.4709999999995</v>
      </c>
      <c r="P79" s="19">
        <v>16060.007</v>
      </c>
      <c r="Q79" s="19">
        <v>5186.1419999999998</v>
      </c>
      <c r="R79" s="19">
        <v>10860.837</v>
      </c>
      <c r="S79" s="19">
        <v>113176.66099999999</v>
      </c>
      <c r="T79" s="19">
        <v>2889.6309999999999</v>
      </c>
      <c r="U79" s="19">
        <v>2883.0059999999999</v>
      </c>
      <c r="V79" s="19">
        <v>26794.258000000002</v>
      </c>
      <c r="W79" s="19">
        <v>332403.28399999999</v>
      </c>
      <c r="X79" s="19">
        <v>6344.5860000000002</v>
      </c>
      <c r="Y79" s="19">
        <v>197.13300000000001</v>
      </c>
      <c r="Z79" s="19">
        <v>247.108</v>
      </c>
      <c r="AA79" s="19">
        <v>137.499</v>
      </c>
      <c r="AB79" s="19">
        <v>747.10299999999995</v>
      </c>
      <c r="AC79" s="19">
        <v>2060.7370000000001</v>
      </c>
      <c r="AD79" s="19">
        <v>360.02199999999999</v>
      </c>
      <c r="AE79" s="19">
        <v>1036.144</v>
      </c>
      <c r="AF79" s="19">
        <v>715.327</v>
      </c>
      <c r="AG79" s="19">
        <v>169.12299999999999</v>
      </c>
      <c r="AH79" s="19">
        <v>583.70000000000005</v>
      </c>
      <c r="AI79" s="19">
        <v>91.611000000000004</v>
      </c>
    </row>
    <row r="80" spans="1:35" x14ac:dyDescent="0.25">
      <c r="A80" s="6">
        <v>1978</v>
      </c>
      <c r="B80" s="19">
        <v>64800.436999999998</v>
      </c>
      <c r="C80" s="19">
        <v>6615.4620000000004</v>
      </c>
      <c r="D80" s="19">
        <v>3461.4470000000001</v>
      </c>
      <c r="E80" s="19">
        <v>4446.5969999999998</v>
      </c>
      <c r="F80" s="19">
        <v>3073.2820000000002</v>
      </c>
      <c r="G80" s="19">
        <v>2225.9389999999999</v>
      </c>
      <c r="H80" s="19">
        <v>1851.739</v>
      </c>
      <c r="I80" s="19">
        <v>9701.6859999999997</v>
      </c>
      <c r="J80" s="19">
        <v>5429.5780000000004</v>
      </c>
      <c r="K80" s="19">
        <v>5497.1090000000004</v>
      </c>
      <c r="L80" s="19">
        <v>3098.047</v>
      </c>
      <c r="M80" s="19">
        <v>14278.621999999999</v>
      </c>
      <c r="N80" s="19">
        <v>25318.298999999999</v>
      </c>
      <c r="O80" s="19">
        <v>7632.1180000000004</v>
      </c>
      <c r="P80" s="19">
        <v>16481.532999999999</v>
      </c>
      <c r="Q80" s="19">
        <v>5308.6790000000001</v>
      </c>
      <c r="R80" s="19">
        <v>11017.789000000001</v>
      </c>
      <c r="S80" s="19">
        <v>115897.481</v>
      </c>
      <c r="T80" s="19">
        <v>2964.4520000000002</v>
      </c>
      <c r="U80" s="19">
        <v>2900.7759999999998</v>
      </c>
      <c r="V80" s="19">
        <v>27211.969000000001</v>
      </c>
      <c r="W80" s="19">
        <v>340244.261</v>
      </c>
      <c r="X80" s="19">
        <v>6401.6210000000001</v>
      </c>
      <c r="Y80" s="19">
        <v>201.375</v>
      </c>
      <c r="Z80" s="19">
        <v>247.72499999999999</v>
      </c>
      <c r="AA80" s="19">
        <v>139.346</v>
      </c>
      <c r="AB80" s="19">
        <v>753.86199999999997</v>
      </c>
      <c r="AC80" s="19">
        <v>2083.4259999999999</v>
      </c>
      <c r="AD80" s="19">
        <v>357.68700000000001</v>
      </c>
      <c r="AE80" s="19">
        <v>1050.452</v>
      </c>
      <c r="AF80" s="19">
        <v>716.53300000000002</v>
      </c>
      <c r="AG80" s="19">
        <v>170.749</v>
      </c>
      <c r="AH80" s="19">
        <v>589.66200000000003</v>
      </c>
      <c r="AI80" s="19">
        <v>93.994</v>
      </c>
    </row>
    <row r="81" spans="1:35" x14ac:dyDescent="0.25">
      <c r="A81" s="6">
        <v>1979</v>
      </c>
      <c r="B81" s="19">
        <v>66471.513000000006</v>
      </c>
      <c r="C81" s="19">
        <v>6780.1719999999996</v>
      </c>
      <c r="D81" s="19">
        <v>3570.04</v>
      </c>
      <c r="E81" s="19">
        <v>4531.174</v>
      </c>
      <c r="F81" s="19">
        <v>3161.5720000000001</v>
      </c>
      <c r="G81" s="19">
        <v>2288.6489999999999</v>
      </c>
      <c r="H81" s="19">
        <v>1897.4849999999999</v>
      </c>
      <c r="I81" s="19">
        <v>9762.0740000000005</v>
      </c>
      <c r="J81" s="19">
        <v>5539.4390000000003</v>
      </c>
      <c r="K81" s="19">
        <v>5632.1890000000003</v>
      </c>
      <c r="L81" s="19">
        <v>3150.087</v>
      </c>
      <c r="M81" s="19">
        <v>14728.64</v>
      </c>
      <c r="N81" s="19">
        <v>25898.447</v>
      </c>
      <c r="O81" s="19">
        <v>7846.192</v>
      </c>
      <c r="P81" s="19">
        <v>16909.721000000001</v>
      </c>
      <c r="Q81" s="19">
        <v>5432.5219999999999</v>
      </c>
      <c r="R81" s="19">
        <v>11176.786</v>
      </c>
      <c r="S81" s="19">
        <v>118666.04</v>
      </c>
      <c r="T81" s="19">
        <v>3042.8</v>
      </c>
      <c r="U81" s="19">
        <v>2918.1289999999999</v>
      </c>
      <c r="V81" s="19">
        <v>27635.284</v>
      </c>
      <c r="W81" s="19">
        <v>348108.761</v>
      </c>
      <c r="X81" s="19">
        <v>6461.97</v>
      </c>
      <c r="Y81" s="19">
        <v>205.69800000000001</v>
      </c>
      <c r="Z81" s="19">
        <v>248.33500000000001</v>
      </c>
      <c r="AA81" s="19">
        <v>141.38900000000001</v>
      </c>
      <c r="AB81" s="19">
        <v>758.91399999999999</v>
      </c>
      <c r="AC81" s="19">
        <v>2107.1170000000002</v>
      </c>
      <c r="AD81" s="19">
        <v>355.93299999999999</v>
      </c>
      <c r="AE81" s="19">
        <v>1065.78</v>
      </c>
      <c r="AF81" s="19">
        <v>718.07100000000003</v>
      </c>
      <c r="AG81" s="19">
        <v>172.38300000000001</v>
      </c>
      <c r="AH81" s="19">
        <v>595.87400000000002</v>
      </c>
      <c r="AI81" s="19">
        <v>96.117000000000004</v>
      </c>
    </row>
    <row r="82" spans="1:35" x14ac:dyDescent="0.25">
      <c r="A82" s="6">
        <v>1980</v>
      </c>
      <c r="B82" s="19">
        <v>68086.202000000005</v>
      </c>
      <c r="C82" s="19">
        <v>6950.6350000000002</v>
      </c>
      <c r="D82" s="19">
        <v>3681.5309999999999</v>
      </c>
      <c r="E82" s="19">
        <v>4600.4719999999998</v>
      </c>
      <c r="F82" s="19">
        <v>3251.44</v>
      </c>
      <c r="G82" s="19">
        <v>2353.1529999999998</v>
      </c>
      <c r="H82" s="19">
        <v>1943.3130000000001</v>
      </c>
      <c r="I82" s="19">
        <v>9814.107</v>
      </c>
      <c r="J82" s="19">
        <v>5652.8879999999999</v>
      </c>
      <c r="K82" s="19">
        <v>5768.4589999999998</v>
      </c>
      <c r="L82" s="19">
        <v>3196.52</v>
      </c>
      <c r="M82" s="19">
        <v>15174.772999999999</v>
      </c>
      <c r="N82" s="19">
        <v>26492.948</v>
      </c>
      <c r="O82" s="19">
        <v>8063.6660000000002</v>
      </c>
      <c r="P82" s="19">
        <v>17342.552</v>
      </c>
      <c r="Q82" s="19">
        <v>5557.0129999999999</v>
      </c>
      <c r="R82" s="19">
        <v>11341.476000000001</v>
      </c>
      <c r="S82" s="19">
        <v>121472.558</v>
      </c>
      <c r="T82" s="19">
        <v>3125.4780000000001</v>
      </c>
      <c r="U82" s="19">
        <v>2933.8789999999999</v>
      </c>
      <c r="V82" s="19">
        <v>28066.525000000001</v>
      </c>
      <c r="W82" s="19">
        <v>355944.45400000003</v>
      </c>
      <c r="X82" s="19">
        <v>6528</v>
      </c>
      <c r="Y82" s="19">
        <v>210.1</v>
      </c>
      <c r="Z82" s="19">
        <v>249</v>
      </c>
      <c r="AA82" s="19">
        <v>143.80000000000001</v>
      </c>
      <c r="AB82" s="19">
        <v>760.9</v>
      </c>
      <c r="AC82" s="19">
        <v>2133.1999999999998</v>
      </c>
      <c r="AD82" s="19">
        <v>355.24099999999999</v>
      </c>
      <c r="AE82" s="19">
        <v>1081.8</v>
      </c>
      <c r="AF82" s="19">
        <v>720.38599999999997</v>
      </c>
      <c r="AG82" s="19">
        <v>174</v>
      </c>
      <c r="AH82" s="19">
        <v>601.57299999999998</v>
      </c>
      <c r="AI82" s="19">
        <v>98</v>
      </c>
    </row>
    <row r="83" spans="1:35" x14ac:dyDescent="0.25">
      <c r="A83" s="6">
        <v>1981</v>
      </c>
      <c r="B83" s="19">
        <v>69610.278999999995</v>
      </c>
      <c r="C83" s="19">
        <v>7126</v>
      </c>
      <c r="D83" s="19">
        <v>3796.0010000000002</v>
      </c>
      <c r="E83" s="19">
        <v>4652.3459999999995</v>
      </c>
      <c r="F83" s="19">
        <v>3344.0529999999999</v>
      </c>
      <c r="G83" s="19">
        <v>2419.6660000000002</v>
      </c>
      <c r="H83" s="19">
        <v>1989.404</v>
      </c>
      <c r="I83" s="19">
        <v>9862.7880000000005</v>
      </c>
      <c r="J83" s="19">
        <v>5771.6369999999997</v>
      </c>
      <c r="K83" s="19">
        <v>5905.32</v>
      </c>
      <c r="L83" s="19">
        <v>3237.4290000000001</v>
      </c>
      <c r="M83" s="19">
        <v>15614.535</v>
      </c>
      <c r="N83" s="19">
        <v>27100.780999999999</v>
      </c>
      <c r="O83" s="19">
        <v>8284.8619999999992</v>
      </c>
      <c r="P83" s="19">
        <v>17779.522000000001</v>
      </c>
      <c r="Q83" s="19">
        <v>5681.3990000000003</v>
      </c>
      <c r="R83" s="19">
        <v>11512.355</v>
      </c>
      <c r="S83" s="19">
        <v>124325.48299999999</v>
      </c>
      <c r="T83" s="19">
        <v>3213.788</v>
      </c>
      <c r="U83" s="19">
        <v>2948.7150000000001</v>
      </c>
      <c r="V83" s="19">
        <v>28508.591</v>
      </c>
      <c r="W83" s="19">
        <v>363741.23599999998</v>
      </c>
      <c r="X83" s="19">
        <v>6605.8850000000002</v>
      </c>
      <c r="Y83" s="19">
        <v>214.64400000000001</v>
      </c>
      <c r="Z83" s="19">
        <v>249.715</v>
      </c>
      <c r="AA83" s="19">
        <v>146.83799999999999</v>
      </c>
      <c r="AB83" s="19">
        <v>760.50699999999995</v>
      </c>
      <c r="AC83" s="19">
        <v>2164.7669999999998</v>
      </c>
      <c r="AD83" s="19">
        <v>357.45</v>
      </c>
      <c r="AE83" s="19">
        <v>1100.6120000000001</v>
      </c>
      <c r="AF83" s="19">
        <v>725.55700000000002</v>
      </c>
      <c r="AG83" s="19">
        <v>175.637</v>
      </c>
      <c r="AH83" s="19">
        <v>606.76499999999999</v>
      </c>
      <c r="AI83" s="19">
        <v>99.86</v>
      </c>
    </row>
    <row r="84" spans="1:35" x14ac:dyDescent="0.25">
      <c r="A84" s="6">
        <v>1982</v>
      </c>
      <c r="B84" s="19">
        <v>71064.396999999997</v>
      </c>
      <c r="C84" s="19">
        <v>7298.9040000000005</v>
      </c>
      <c r="D84" s="19">
        <v>3913.3229999999999</v>
      </c>
      <c r="E84" s="19">
        <v>4712.9780000000001</v>
      </c>
      <c r="F84" s="19">
        <v>3436.9650000000001</v>
      </c>
      <c r="G84" s="19">
        <v>2488.66</v>
      </c>
      <c r="H84" s="19">
        <v>2035.93</v>
      </c>
      <c r="I84" s="19">
        <v>9916.3629999999994</v>
      </c>
      <c r="J84" s="19">
        <v>5896.3879999999999</v>
      </c>
      <c r="K84" s="19">
        <v>6042.174</v>
      </c>
      <c r="L84" s="19">
        <v>3275.373</v>
      </c>
      <c r="M84" s="19">
        <v>16052.043</v>
      </c>
      <c r="N84" s="19">
        <v>27721.190999999999</v>
      </c>
      <c r="O84" s="19">
        <v>8509.8950000000004</v>
      </c>
      <c r="P84" s="19">
        <v>18221.868999999999</v>
      </c>
      <c r="Q84" s="19">
        <v>5805.84</v>
      </c>
      <c r="R84" s="19">
        <v>11687.973</v>
      </c>
      <c r="S84" s="19">
        <v>127217.29300000001</v>
      </c>
      <c r="T84" s="19">
        <v>3307.3690000000001</v>
      </c>
      <c r="U84" s="19">
        <v>2964.4090000000001</v>
      </c>
      <c r="V84" s="19">
        <v>28959.071</v>
      </c>
      <c r="W84" s="19">
        <v>371534.00799999997</v>
      </c>
      <c r="X84" s="19">
        <v>6694.9049999999997</v>
      </c>
      <c r="Y84" s="19">
        <v>219.33600000000001</v>
      </c>
      <c r="Z84" s="19">
        <v>250.441</v>
      </c>
      <c r="AA84" s="19">
        <v>150.50399999999999</v>
      </c>
      <c r="AB84" s="19">
        <v>759.43799999999999</v>
      </c>
      <c r="AC84" s="19">
        <v>2201.1529999999998</v>
      </c>
      <c r="AD84" s="19">
        <v>362.99099999999999</v>
      </c>
      <c r="AE84" s="19">
        <v>1122.6120000000001</v>
      </c>
      <c r="AF84" s="19">
        <v>734.56200000000001</v>
      </c>
      <c r="AG84" s="19">
        <v>177.31</v>
      </c>
      <c r="AH84" s="19">
        <v>611.95799999999997</v>
      </c>
      <c r="AI84" s="19">
        <v>101.73699999999999</v>
      </c>
    </row>
    <row r="85" spans="1:35" x14ac:dyDescent="0.25">
      <c r="A85" s="6">
        <v>1983</v>
      </c>
      <c r="B85" s="19">
        <v>72497.414000000004</v>
      </c>
      <c r="C85" s="19">
        <v>7481.3159999999998</v>
      </c>
      <c r="D85" s="19">
        <v>4033.444</v>
      </c>
      <c r="E85" s="19">
        <v>4788.8909999999996</v>
      </c>
      <c r="F85" s="19">
        <v>3529.1590000000001</v>
      </c>
      <c r="G85" s="19">
        <v>2559.7890000000002</v>
      </c>
      <c r="H85" s="19">
        <v>2082.873</v>
      </c>
      <c r="I85" s="19">
        <v>9976.2270000000008</v>
      </c>
      <c r="J85" s="19">
        <v>6025.41</v>
      </c>
      <c r="K85" s="19">
        <v>6180.1530000000002</v>
      </c>
      <c r="L85" s="19">
        <v>3311.0239999999999</v>
      </c>
      <c r="M85" s="19">
        <v>16491.087</v>
      </c>
      <c r="N85" s="19">
        <v>28357.455000000002</v>
      </c>
      <c r="O85" s="19">
        <v>8738.7999999999993</v>
      </c>
      <c r="P85" s="19">
        <v>18670.826000000001</v>
      </c>
      <c r="Q85" s="19">
        <v>5931.3419999999996</v>
      </c>
      <c r="R85" s="19">
        <v>11869.28</v>
      </c>
      <c r="S85" s="19">
        <v>130124.037</v>
      </c>
      <c r="T85" s="19">
        <v>3404.7550000000001</v>
      </c>
      <c r="U85" s="19">
        <v>2980.7930000000001</v>
      </c>
      <c r="V85" s="19">
        <v>29415.993999999999</v>
      </c>
      <c r="W85" s="19">
        <v>379337.94</v>
      </c>
      <c r="X85" s="19">
        <v>6787.0820000000003</v>
      </c>
      <c r="Y85" s="19">
        <v>224.08600000000001</v>
      </c>
      <c r="Z85" s="19">
        <v>251.18299999999999</v>
      </c>
      <c r="AA85" s="19">
        <v>154.58099999999999</v>
      </c>
      <c r="AB85" s="19">
        <v>757.85500000000002</v>
      </c>
      <c r="AC85" s="19">
        <v>2238.116</v>
      </c>
      <c r="AD85" s="19">
        <v>370.233</v>
      </c>
      <c r="AE85" s="19">
        <v>1144.9159999999999</v>
      </c>
      <c r="AF85" s="19">
        <v>746.19100000000003</v>
      </c>
      <c r="AG85" s="19">
        <v>178.965</v>
      </c>
      <c r="AH85" s="19">
        <v>617.14400000000001</v>
      </c>
      <c r="AI85" s="19">
        <v>103.38500000000001</v>
      </c>
    </row>
    <row r="86" spans="1:35" x14ac:dyDescent="0.25">
      <c r="A86" s="6">
        <v>1984</v>
      </c>
      <c r="B86" s="19">
        <v>73935.036999999997</v>
      </c>
      <c r="C86" s="19">
        <v>7680.857</v>
      </c>
      <c r="D86" s="19">
        <v>4155.9579999999996</v>
      </c>
      <c r="E86" s="19">
        <v>4867.3050000000003</v>
      </c>
      <c r="F86" s="19">
        <v>3619.4639999999999</v>
      </c>
      <c r="G86" s="19">
        <v>2632.605</v>
      </c>
      <c r="H86" s="19">
        <v>2130.2620000000002</v>
      </c>
      <c r="I86" s="19">
        <v>10040.323</v>
      </c>
      <c r="J86" s="19">
        <v>6156.9210000000003</v>
      </c>
      <c r="K86" s="19">
        <v>6319.2889999999998</v>
      </c>
      <c r="L86" s="19">
        <v>3345.0520000000001</v>
      </c>
      <c r="M86" s="19">
        <v>16935.654999999999</v>
      </c>
      <c r="N86" s="19">
        <v>28998.346000000001</v>
      </c>
      <c r="O86" s="19">
        <v>8971.2630000000008</v>
      </c>
      <c r="P86" s="19">
        <v>19125.325000000001</v>
      </c>
      <c r="Q86" s="19">
        <v>6059.2120000000004</v>
      </c>
      <c r="R86" s="19">
        <v>12056.373</v>
      </c>
      <c r="S86" s="19">
        <v>133018.16099999999</v>
      </c>
      <c r="T86" s="19">
        <v>3504.7280000000001</v>
      </c>
      <c r="U86" s="19">
        <v>2997.453</v>
      </c>
      <c r="V86" s="19">
        <v>29877.042000000001</v>
      </c>
      <c r="W86" s="19">
        <v>387168.20400000003</v>
      </c>
      <c r="X86" s="19">
        <v>6874.44</v>
      </c>
      <c r="Y86" s="19">
        <v>228.804</v>
      </c>
      <c r="Z86" s="19">
        <v>251.94800000000001</v>
      </c>
      <c r="AA86" s="19">
        <v>158.852</v>
      </c>
      <c r="AB86" s="19">
        <v>755.92200000000003</v>
      </c>
      <c r="AC86" s="19">
        <v>2271.413</v>
      </c>
      <c r="AD86" s="19">
        <v>377.54599999999999</v>
      </c>
      <c r="AE86" s="19">
        <v>1164.6400000000001</v>
      </c>
      <c r="AF86" s="19">
        <v>759.23599999999999</v>
      </c>
      <c r="AG86" s="19">
        <v>180.54599999999999</v>
      </c>
      <c r="AH86" s="19">
        <v>622.31700000000001</v>
      </c>
      <c r="AI86" s="19">
        <v>104.55500000000001</v>
      </c>
    </row>
    <row r="87" spans="1:35" x14ac:dyDescent="0.25">
      <c r="A87" s="6">
        <v>1985</v>
      </c>
      <c r="B87" s="19">
        <v>75404.123999999996</v>
      </c>
      <c r="C87" s="19">
        <v>7884.7960000000003</v>
      </c>
      <c r="D87" s="19">
        <v>4280.41</v>
      </c>
      <c r="E87" s="19">
        <v>4949.2920000000004</v>
      </c>
      <c r="F87" s="19">
        <v>3708.1120000000001</v>
      </c>
      <c r="G87" s="19">
        <v>2706.712</v>
      </c>
      <c r="H87" s="19">
        <v>2177.8780000000002</v>
      </c>
      <c r="I87" s="19">
        <v>10110.846</v>
      </c>
      <c r="J87" s="19">
        <v>6289.54</v>
      </c>
      <c r="K87" s="19">
        <v>6458.4620000000004</v>
      </c>
      <c r="L87" s="19">
        <v>3378.125</v>
      </c>
      <c r="M87" s="19">
        <v>17389.287</v>
      </c>
      <c r="N87" s="19">
        <v>29626.138999999999</v>
      </c>
      <c r="O87" s="19">
        <v>9205.0220000000008</v>
      </c>
      <c r="P87" s="19">
        <v>19583.399000000001</v>
      </c>
      <c r="Q87" s="19">
        <v>6190.2060000000001</v>
      </c>
      <c r="R87" s="19">
        <v>12248.851000000001</v>
      </c>
      <c r="S87" s="19">
        <v>135867.56099999999</v>
      </c>
      <c r="T87" s="19">
        <v>3606.3209999999999</v>
      </c>
      <c r="U87" s="19">
        <v>3014.473</v>
      </c>
      <c r="V87" s="19">
        <v>30339.192999999999</v>
      </c>
      <c r="W87" s="19">
        <v>395039.97200000001</v>
      </c>
      <c r="X87" s="19">
        <v>6949</v>
      </c>
      <c r="Y87" s="19">
        <v>233.4</v>
      </c>
      <c r="Z87" s="19">
        <v>252.74199999999999</v>
      </c>
      <c r="AA87" s="19">
        <v>163.1</v>
      </c>
      <c r="AB87" s="19">
        <v>753.8</v>
      </c>
      <c r="AC87" s="19">
        <v>2296.8000000000002</v>
      </c>
      <c r="AD87" s="19">
        <v>383.3</v>
      </c>
      <c r="AE87" s="19">
        <v>1178.9000000000001</v>
      </c>
      <c r="AF87" s="19">
        <v>772.49</v>
      </c>
      <c r="AG87" s="19">
        <v>182</v>
      </c>
      <c r="AH87" s="19">
        <v>627.46799999999996</v>
      </c>
      <c r="AI87" s="19">
        <v>105</v>
      </c>
    </row>
    <row r="88" spans="1:35" x14ac:dyDescent="0.25">
      <c r="A88" s="6">
        <v>1986</v>
      </c>
      <c r="B88" s="19">
        <v>76909.346000000005</v>
      </c>
      <c r="C88" s="19">
        <v>8089.759</v>
      </c>
      <c r="D88" s="19">
        <v>4407.4840000000004</v>
      </c>
      <c r="E88" s="19">
        <v>5032.0159999999996</v>
      </c>
      <c r="F88" s="19">
        <v>3795.058</v>
      </c>
      <c r="G88" s="19">
        <v>2781.6179999999999</v>
      </c>
      <c r="H88" s="19">
        <v>2225.44</v>
      </c>
      <c r="I88" s="19">
        <v>10194.874</v>
      </c>
      <c r="J88" s="19">
        <v>6423.3540000000003</v>
      </c>
      <c r="K88" s="19">
        <v>6597.5709999999999</v>
      </c>
      <c r="L88" s="19">
        <v>3409.8119999999999</v>
      </c>
      <c r="M88" s="19">
        <v>17855.986000000001</v>
      </c>
      <c r="N88" s="19">
        <v>30248.050999999999</v>
      </c>
      <c r="O88" s="19">
        <v>9438.9740000000002</v>
      </c>
      <c r="P88" s="19">
        <v>20041.466</v>
      </c>
      <c r="Q88" s="19">
        <v>6324.7250000000004</v>
      </c>
      <c r="R88" s="19">
        <v>12447.163</v>
      </c>
      <c r="S88" s="19">
        <v>138662.891</v>
      </c>
      <c r="T88" s="19">
        <v>3709.8670000000002</v>
      </c>
      <c r="U88" s="19">
        <v>3031.9969999999998</v>
      </c>
      <c r="V88" s="19">
        <v>30804.008000000002</v>
      </c>
      <c r="W88" s="19">
        <v>402971.29100000003</v>
      </c>
      <c r="X88" s="19">
        <v>7009.116</v>
      </c>
      <c r="Y88" s="19">
        <v>237.80199999999999</v>
      </c>
      <c r="Z88" s="19">
        <v>253.566</v>
      </c>
      <c r="AA88" s="19">
        <v>167.31</v>
      </c>
      <c r="AB88" s="19">
        <v>750.06600000000003</v>
      </c>
      <c r="AC88" s="19">
        <v>2314.3969999999999</v>
      </c>
      <c r="AD88" s="19">
        <v>387.697</v>
      </c>
      <c r="AE88" s="19">
        <v>1188.145</v>
      </c>
      <c r="AF88" s="19">
        <v>787.64099999999996</v>
      </c>
      <c r="AG88" s="19">
        <v>183.21799999999999</v>
      </c>
      <c r="AH88" s="19">
        <v>632.327</v>
      </c>
      <c r="AI88" s="19">
        <v>104.792</v>
      </c>
    </row>
    <row r="89" spans="1:35" x14ac:dyDescent="0.25">
      <c r="A89" s="6">
        <v>1987</v>
      </c>
      <c r="B89" s="19">
        <v>78436.316000000006</v>
      </c>
      <c r="C89" s="19">
        <v>8297.5759999999991</v>
      </c>
      <c r="D89" s="19">
        <v>4537.4840000000004</v>
      </c>
      <c r="E89" s="19">
        <v>5114.9449999999997</v>
      </c>
      <c r="F89" s="19">
        <v>3880.6370000000002</v>
      </c>
      <c r="G89" s="19">
        <v>2857.1750000000002</v>
      </c>
      <c r="H89" s="19">
        <v>2272.9279999999999</v>
      </c>
      <c r="I89" s="19">
        <v>10292.445</v>
      </c>
      <c r="J89" s="19">
        <v>6559.6750000000002</v>
      </c>
      <c r="K89" s="19">
        <v>6737.2160000000003</v>
      </c>
      <c r="L89" s="19">
        <v>3439.7890000000002</v>
      </c>
      <c r="M89" s="19">
        <v>18333.393</v>
      </c>
      <c r="N89" s="19">
        <v>30877.329000000002</v>
      </c>
      <c r="O89" s="19">
        <v>9673.59</v>
      </c>
      <c r="P89" s="19">
        <v>20499.830000000002</v>
      </c>
      <c r="Q89" s="19">
        <v>6463.0039999999999</v>
      </c>
      <c r="R89" s="19">
        <v>12652.748</v>
      </c>
      <c r="S89" s="19">
        <v>141413.48699999999</v>
      </c>
      <c r="T89" s="19">
        <v>3815.877</v>
      </c>
      <c r="U89" s="19">
        <v>3050.1019999999999</v>
      </c>
      <c r="V89" s="19">
        <v>31273.366000000002</v>
      </c>
      <c r="W89" s="19">
        <v>410952.36599999998</v>
      </c>
      <c r="X89" s="19">
        <v>7061.4650000000001</v>
      </c>
      <c r="Y89" s="19">
        <v>242.07300000000001</v>
      </c>
      <c r="Z89" s="19">
        <v>254.416</v>
      </c>
      <c r="AA89" s="19">
        <v>171.637</v>
      </c>
      <c r="AB89" s="19">
        <v>744.28800000000001</v>
      </c>
      <c r="AC89" s="19">
        <v>2328.453</v>
      </c>
      <c r="AD89" s="19">
        <v>391.90499999999997</v>
      </c>
      <c r="AE89" s="19">
        <v>1195.4059999999999</v>
      </c>
      <c r="AF89" s="19">
        <v>805.82</v>
      </c>
      <c r="AG89" s="19">
        <v>184.24799999999999</v>
      </c>
      <c r="AH89" s="19">
        <v>636.899</v>
      </c>
      <c r="AI89" s="19">
        <v>104.29600000000001</v>
      </c>
    </row>
    <row r="90" spans="1:35" x14ac:dyDescent="0.25">
      <c r="A90" s="6">
        <v>1988</v>
      </c>
      <c r="B90" s="19">
        <v>79982.023000000001</v>
      </c>
      <c r="C90" s="19">
        <v>8511.6540000000005</v>
      </c>
      <c r="D90" s="19">
        <v>4670.0559999999996</v>
      </c>
      <c r="E90" s="19">
        <v>5199.96</v>
      </c>
      <c r="F90" s="19">
        <v>3967.1239999999998</v>
      </c>
      <c r="G90" s="19">
        <v>2933.337</v>
      </c>
      <c r="H90" s="19">
        <v>2320.5880000000002</v>
      </c>
      <c r="I90" s="19">
        <v>10397.821</v>
      </c>
      <c r="J90" s="19">
        <v>6698.4080000000004</v>
      </c>
      <c r="K90" s="19">
        <v>6878.1019999999999</v>
      </c>
      <c r="L90" s="19">
        <v>3468.89</v>
      </c>
      <c r="M90" s="19">
        <v>18815.91</v>
      </c>
      <c r="N90" s="19">
        <v>31513.723000000002</v>
      </c>
      <c r="O90" s="19">
        <v>9907.6890000000003</v>
      </c>
      <c r="P90" s="19">
        <v>20962.286</v>
      </c>
      <c r="Q90" s="19">
        <v>6605.1239999999998</v>
      </c>
      <c r="R90" s="19">
        <v>12865.361999999999</v>
      </c>
      <c r="S90" s="19">
        <v>144119.37</v>
      </c>
      <c r="T90" s="19">
        <v>3923.701</v>
      </c>
      <c r="U90" s="19">
        <v>3068.797</v>
      </c>
      <c r="V90" s="19">
        <v>31747.909</v>
      </c>
      <c r="W90" s="19">
        <v>418956.60100000002</v>
      </c>
      <c r="X90" s="19">
        <v>7110.5559999999996</v>
      </c>
      <c r="Y90" s="19">
        <v>246.32300000000001</v>
      </c>
      <c r="Z90" s="19">
        <v>255.298</v>
      </c>
      <c r="AA90" s="19">
        <v>176.119</v>
      </c>
      <c r="AB90" s="19">
        <v>738.11599999999999</v>
      </c>
      <c r="AC90" s="19">
        <v>2340.92</v>
      </c>
      <c r="AD90" s="19">
        <v>395.745</v>
      </c>
      <c r="AE90" s="19">
        <v>1201.674</v>
      </c>
      <c r="AF90" s="19">
        <v>824.98299999999995</v>
      </c>
      <c r="AG90" s="19">
        <v>185.26900000000001</v>
      </c>
      <c r="AH90" s="19">
        <v>641.59</v>
      </c>
      <c r="AI90" s="19">
        <v>103.70399999999999</v>
      </c>
    </row>
    <row r="91" spans="1:35" x14ac:dyDescent="0.25">
      <c r="A91" s="6">
        <v>1989</v>
      </c>
      <c r="B91" s="19">
        <v>81536.66</v>
      </c>
      <c r="C91" s="19">
        <v>8731.6959999999999</v>
      </c>
      <c r="D91" s="19">
        <v>4804.8969999999999</v>
      </c>
      <c r="E91" s="19">
        <v>5285.7920000000004</v>
      </c>
      <c r="F91" s="19">
        <v>4056.8890000000001</v>
      </c>
      <c r="G91" s="19">
        <v>3010.4059999999999</v>
      </c>
      <c r="H91" s="19">
        <v>2368.817</v>
      </c>
      <c r="I91" s="19">
        <v>10502.76</v>
      </c>
      <c r="J91" s="19">
        <v>6839.16</v>
      </c>
      <c r="K91" s="19">
        <v>7020.9870000000001</v>
      </c>
      <c r="L91" s="19">
        <v>3497.9470000000001</v>
      </c>
      <c r="M91" s="19">
        <v>19299.082999999999</v>
      </c>
      <c r="N91" s="19">
        <v>32158.682000000001</v>
      </c>
      <c r="O91" s="19">
        <v>10140.939</v>
      </c>
      <c r="P91" s="19">
        <v>21426.33</v>
      </c>
      <c r="Q91" s="19">
        <v>6750.7650000000003</v>
      </c>
      <c r="R91" s="19">
        <v>13083.911</v>
      </c>
      <c r="S91" s="19">
        <v>146778.96100000001</v>
      </c>
      <c r="T91" s="19">
        <v>4032.636</v>
      </c>
      <c r="U91" s="19">
        <v>3087.8429999999998</v>
      </c>
      <c r="V91" s="19">
        <v>32222.323</v>
      </c>
      <c r="W91" s="19">
        <v>426957.40299999999</v>
      </c>
      <c r="X91" s="19">
        <v>7160.8980000000001</v>
      </c>
      <c r="Y91" s="19">
        <v>250.661</v>
      </c>
      <c r="Z91" s="19">
        <v>256.21499999999997</v>
      </c>
      <c r="AA91" s="19">
        <v>180.79400000000001</v>
      </c>
      <c r="AB91" s="19">
        <v>733.202</v>
      </c>
      <c r="AC91" s="19">
        <v>2353.752</v>
      </c>
      <c r="AD91" s="19">
        <v>399.03800000000001</v>
      </c>
      <c r="AE91" s="19">
        <v>1207.9380000000001</v>
      </c>
      <c r="AF91" s="19">
        <v>843.08500000000004</v>
      </c>
      <c r="AG91" s="19">
        <v>186.46</v>
      </c>
      <c r="AH91" s="19">
        <v>646.80700000000002</v>
      </c>
      <c r="AI91" s="19">
        <v>103.208</v>
      </c>
    </row>
    <row r="92" spans="1:35" x14ac:dyDescent="0.25">
      <c r="A92" s="6">
        <v>1990</v>
      </c>
      <c r="B92" s="19">
        <v>83112.014999999999</v>
      </c>
      <c r="C92" s="19">
        <v>8957.5079999999998</v>
      </c>
      <c r="D92" s="19">
        <v>4942.1019999999999</v>
      </c>
      <c r="E92" s="19">
        <v>5372.0190000000002</v>
      </c>
      <c r="F92" s="19">
        <v>4150.2079999999996</v>
      </c>
      <c r="G92" s="19">
        <v>3089.4319999999998</v>
      </c>
      <c r="H92" s="19">
        <v>2418.2629999999999</v>
      </c>
      <c r="I92" s="19">
        <v>10597.822</v>
      </c>
      <c r="J92" s="19">
        <v>6981.4849999999997</v>
      </c>
      <c r="K92" s="19">
        <v>7165.3289999999997</v>
      </c>
      <c r="L92" s="19">
        <v>3527.7959999999998</v>
      </c>
      <c r="M92" s="19">
        <v>19778.914000000001</v>
      </c>
      <c r="N92" s="19">
        <v>32813.156000000003</v>
      </c>
      <c r="O92" s="19">
        <v>10372.861999999999</v>
      </c>
      <c r="P92" s="19">
        <v>21889.706999999999</v>
      </c>
      <c r="Q92" s="19">
        <v>6899.4070000000002</v>
      </c>
      <c r="R92" s="19">
        <v>13308.155000000001</v>
      </c>
      <c r="S92" s="19">
        <v>149393.88099999999</v>
      </c>
      <c r="T92" s="19">
        <v>4141.6819999999998</v>
      </c>
      <c r="U92" s="19">
        <v>3107.1979999999999</v>
      </c>
      <c r="V92" s="19">
        <v>32691.35</v>
      </c>
      <c r="W92" s="19">
        <v>434928.17800000001</v>
      </c>
      <c r="X92" s="19">
        <v>7217</v>
      </c>
      <c r="Y92" s="19">
        <v>255.2</v>
      </c>
      <c r="Z92" s="19">
        <v>257.17</v>
      </c>
      <c r="AA92" s="19">
        <v>185.7</v>
      </c>
      <c r="AB92" s="19">
        <v>731.197</v>
      </c>
      <c r="AC92" s="19">
        <v>2368.9</v>
      </c>
      <c r="AD92" s="19">
        <v>401.60500000000002</v>
      </c>
      <c r="AE92" s="19">
        <v>1215.1880000000001</v>
      </c>
      <c r="AF92" s="19">
        <v>858.08399999999995</v>
      </c>
      <c r="AG92" s="19">
        <v>188</v>
      </c>
      <c r="AH92" s="19">
        <v>652.95600000000002</v>
      </c>
      <c r="AI92" s="19">
        <v>103</v>
      </c>
    </row>
    <row r="93" spans="1:35" x14ac:dyDescent="0.25">
      <c r="A93" s="6">
        <v>1991</v>
      </c>
      <c r="B93" s="19">
        <v>84724.630999999994</v>
      </c>
      <c r="C93" s="19">
        <v>9185.6239999999998</v>
      </c>
      <c r="D93" s="19">
        <v>5082.2280000000001</v>
      </c>
      <c r="E93" s="19">
        <v>5459.9279999999999</v>
      </c>
      <c r="F93" s="19">
        <v>4248.28</v>
      </c>
      <c r="G93" s="19">
        <v>3170.8719999999998</v>
      </c>
      <c r="H93" s="19">
        <v>2469.1210000000001</v>
      </c>
      <c r="I93" s="19">
        <v>10678.572</v>
      </c>
      <c r="J93" s="19">
        <v>7124.49</v>
      </c>
      <c r="K93" s="19">
        <v>7310.2969999999996</v>
      </c>
      <c r="L93" s="19">
        <v>3558.9430000000002</v>
      </c>
      <c r="M93" s="19">
        <v>20254.891</v>
      </c>
      <c r="N93" s="19">
        <v>33465.180999999997</v>
      </c>
      <c r="O93" s="19">
        <v>10603.11</v>
      </c>
      <c r="P93" s="19">
        <v>22343.789000000001</v>
      </c>
      <c r="Q93" s="19">
        <v>7051.9120000000003</v>
      </c>
      <c r="R93" s="19">
        <v>13539.44</v>
      </c>
      <c r="S93" s="19">
        <v>151941.899</v>
      </c>
      <c r="T93" s="19">
        <v>4250.9930000000004</v>
      </c>
      <c r="U93" s="19">
        <v>3127.2350000000001</v>
      </c>
      <c r="V93" s="19">
        <v>33152.957999999999</v>
      </c>
      <c r="W93" s="19">
        <v>442878.83299999998</v>
      </c>
      <c r="X93" s="19">
        <v>7281.0749999999998</v>
      </c>
      <c r="Y93" s="19">
        <v>260.04700000000003</v>
      </c>
      <c r="Z93" s="19">
        <v>258.19400000000002</v>
      </c>
      <c r="AA93" s="19">
        <v>191.005</v>
      </c>
      <c r="AB93" s="19">
        <v>731.84500000000003</v>
      </c>
      <c r="AC93" s="19">
        <v>2387.078</v>
      </c>
      <c r="AD93" s="19">
        <v>403.43700000000001</v>
      </c>
      <c r="AE93" s="19">
        <v>1223.9670000000001</v>
      </c>
      <c r="AF93" s="19">
        <v>869.67100000000005</v>
      </c>
      <c r="AG93" s="19">
        <v>190.5</v>
      </c>
      <c r="AH93" s="19">
        <v>661.58</v>
      </c>
      <c r="AI93" s="19">
        <v>103.331</v>
      </c>
    </row>
    <row r="94" spans="1:35" x14ac:dyDescent="0.25">
      <c r="A94" s="6">
        <v>1992</v>
      </c>
      <c r="B94" s="19">
        <v>86359.78</v>
      </c>
      <c r="C94" s="19">
        <v>9417.3870000000006</v>
      </c>
      <c r="D94" s="19">
        <v>5225.5</v>
      </c>
      <c r="E94" s="19">
        <v>5549.3389999999999</v>
      </c>
      <c r="F94" s="19">
        <v>4350.1260000000002</v>
      </c>
      <c r="G94" s="19">
        <v>3254.2</v>
      </c>
      <c r="H94" s="19">
        <v>2520.9</v>
      </c>
      <c r="I94" s="19">
        <v>10747.915999999999</v>
      </c>
      <c r="J94" s="19">
        <v>7267.6049999999996</v>
      </c>
      <c r="K94" s="19">
        <v>7455.4390000000003</v>
      </c>
      <c r="L94" s="19">
        <v>3590.8359999999998</v>
      </c>
      <c r="M94" s="19">
        <v>20728.285</v>
      </c>
      <c r="N94" s="19">
        <v>34119.9</v>
      </c>
      <c r="O94" s="19">
        <v>10833.441000000001</v>
      </c>
      <c r="P94" s="19">
        <v>22793.061000000002</v>
      </c>
      <c r="Q94" s="19">
        <v>7207.3980000000001</v>
      </c>
      <c r="R94" s="19">
        <v>13775.018</v>
      </c>
      <c r="S94" s="19">
        <v>154440.25700000001</v>
      </c>
      <c r="T94" s="19">
        <v>4360.7219999999998</v>
      </c>
      <c r="U94" s="19">
        <v>3147.5740000000001</v>
      </c>
      <c r="V94" s="19">
        <v>33608.012999999999</v>
      </c>
      <c r="W94" s="19">
        <v>450827.14500000002</v>
      </c>
      <c r="X94" s="19">
        <v>7350.5230000000001</v>
      </c>
      <c r="Y94" s="19">
        <v>265.13799999999998</v>
      </c>
      <c r="Z94" s="19">
        <v>259.28899999999999</v>
      </c>
      <c r="AA94" s="19">
        <v>196.71100000000001</v>
      </c>
      <c r="AB94" s="19">
        <v>733.548</v>
      </c>
      <c r="AC94" s="19">
        <v>2407.201</v>
      </c>
      <c r="AD94" s="19">
        <v>404.83100000000002</v>
      </c>
      <c r="AE94" s="19">
        <v>1233.6559999999999</v>
      </c>
      <c r="AF94" s="19">
        <v>879.56200000000001</v>
      </c>
      <c r="AG94" s="19">
        <v>194.05199999999999</v>
      </c>
      <c r="AH94" s="19">
        <v>672.726</v>
      </c>
      <c r="AI94" s="19">
        <v>104.152</v>
      </c>
    </row>
    <row r="95" spans="1:35" x14ac:dyDescent="0.25">
      <c r="A95" s="6">
        <v>1993</v>
      </c>
      <c r="B95" s="19">
        <v>88000.918000000005</v>
      </c>
      <c r="C95" s="19">
        <v>9655.6170000000002</v>
      </c>
      <c r="D95" s="19">
        <v>5371.0469999999996</v>
      </c>
      <c r="E95" s="19">
        <v>5630.7860000000001</v>
      </c>
      <c r="F95" s="19">
        <v>4452.92</v>
      </c>
      <c r="G95" s="19">
        <v>3338.7979999999998</v>
      </c>
      <c r="H95" s="19">
        <v>2573.6930000000002</v>
      </c>
      <c r="I95" s="19">
        <v>10807.873</v>
      </c>
      <c r="J95" s="19">
        <v>7411.1469999999999</v>
      </c>
      <c r="K95" s="19">
        <v>7600.4309999999996</v>
      </c>
      <c r="L95" s="19">
        <v>3622.723</v>
      </c>
      <c r="M95" s="19">
        <v>21199.337</v>
      </c>
      <c r="N95" s="19">
        <v>34785.040999999997</v>
      </c>
      <c r="O95" s="19">
        <v>11060.306</v>
      </c>
      <c r="P95" s="19">
        <v>23243.138999999999</v>
      </c>
      <c r="Q95" s="19">
        <v>7364.2809999999999</v>
      </c>
      <c r="R95" s="19">
        <v>14009.892</v>
      </c>
      <c r="S95" s="19">
        <v>156906.40599999999</v>
      </c>
      <c r="T95" s="19">
        <v>4470.4859999999999</v>
      </c>
      <c r="U95" s="19">
        <v>3167.768</v>
      </c>
      <c r="V95" s="19">
        <v>34059.300000000003</v>
      </c>
      <c r="W95" s="19">
        <v>458758.32400000002</v>
      </c>
      <c r="X95" s="19">
        <v>7422.634</v>
      </c>
      <c r="Y95" s="19">
        <v>270.32600000000002</v>
      </c>
      <c r="Z95" s="19">
        <v>260.41500000000002</v>
      </c>
      <c r="AA95" s="19">
        <v>202.60400000000001</v>
      </c>
      <c r="AB95" s="19">
        <v>735.94600000000003</v>
      </c>
      <c r="AC95" s="19">
        <v>2428.5230000000001</v>
      </c>
      <c r="AD95" s="19">
        <v>406.06599999999997</v>
      </c>
      <c r="AE95" s="19">
        <v>1243.5039999999999</v>
      </c>
      <c r="AF95" s="19">
        <v>888.74800000000005</v>
      </c>
      <c r="AG95" s="19">
        <v>198.054</v>
      </c>
      <c r="AH95" s="19">
        <v>684.55600000000004</v>
      </c>
      <c r="AI95" s="19">
        <v>105.208</v>
      </c>
    </row>
    <row r="96" spans="1:35" x14ac:dyDescent="0.25">
      <c r="A96" s="6">
        <v>1994</v>
      </c>
      <c r="B96" s="19">
        <v>89636.798999999999</v>
      </c>
      <c r="C96" s="19">
        <v>9899.4840000000004</v>
      </c>
      <c r="D96" s="19">
        <v>5518.0460000000003</v>
      </c>
      <c r="E96" s="19">
        <v>5698.3040000000001</v>
      </c>
      <c r="F96" s="19">
        <v>4554.1840000000002</v>
      </c>
      <c r="G96" s="19">
        <v>3424.145</v>
      </c>
      <c r="H96" s="19">
        <v>2627.24</v>
      </c>
      <c r="I96" s="19">
        <v>10859.558999999999</v>
      </c>
      <c r="J96" s="19">
        <v>7554.933</v>
      </c>
      <c r="K96" s="19">
        <v>7744.9009999999998</v>
      </c>
      <c r="L96" s="19">
        <v>3653.8490000000002</v>
      </c>
      <c r="M96" s="19">
        <v>21668.289000000001</v>
      </c>
      <c r="N96" s="19">
        <v>35454.080999999998</v>
      </c>
      <c r="O96" s="19">
        <v>11280.001</v>
      </c>
      <c r="P96" s="19">
        <v>23691.484</v>
      </c>
      <c r="Q96" s="19">
        <v>7521.5749999999998</v>
      </c>
      <c r="R96" s="19">
        <v>14240.019</v>
      </c>
      <c r="S96" s="19">
        <v>159349.39799999999</v>
      </c>
      <c r="T96" s="19">
        <v>4580.0519999999997</v>
      </c>
      <c r="U96" s="19">
        <v>3187.6709999999998</v>
      </c>
      <c r="V96" s="19">
        <v>34508.803999999996</v>
      </c>
      <c r="W96" s="19">
        <v>466657.57699999999</v>
      </c>
      <c r="X96" s="19">
        <v>7494.6959999999999</v>
      </c>
      <c r="Y96" s="19">
        <v>275.46300000000002</v>
      </c>
      <c r="Z96" s="19">
        <v>261.53100000000001</v>
      </c>
      <c r="AA96" s="19">
        <v>208.471</v>
      </c>
      <c r="AB96" s="19">
        <v>738.678</v>
      </c>
      <c r="AC96" s="19">
        <v>2450.3000000000002</v>
      </c>
      <c r="AD96" s="19">
        <v>407.42399999999998</v>
      </c>
      <c r="AE96" s="19">
        <v>1252.7570000000001</v>
      </c>
      <c r="AF96" s="19">
        <v>898.22</v>
      </c>
      <c r="AG96" s="19">
        <v>201.904</v>
      </c>
      <c r="AH96" s="19">
        <v>695.23199999999997</v>
      </c>
      <c r="AI96" s="19">
        <v>106.24299999999999</v>
      </c>
    </row>
    <row r="97" spans="1:35" x14ac:dyDescent="0.25">
      <c r="A97" s="6">
        <v>1995</v>
      </c>
      <c r="B97" s="19">
        <v>91256.13</v>
      </c>
      <c r="C97" s="19">
        <v>10148.357</v>
      </c>
      <c r="D97" s="19">
        <v>5665.7749999999996</v>
      </c>
      <c r="E97" s="19">
        <v>5755.1260000000002</v>
      </c>
      <c r="F97" s="19">
        <v>4651.1930000000002</v>
      </c>
      <c r="G97" s="19">
        <v>3509.8220000000001</v>
      </c>
      <c r="H97" s="19">
        <v>2681.4349999999999</v>
      </c>
      <c r="I97" s="19">
        <v>10904.994000000001</v>
      </c>
      <c r="J97" s="19">
        <v>7699.58</v>
      </c>
      <c r="K97" s="19">
        <v>7887.875</v>
      </c>
      <c r="L97" s="19">
        <v>3683.462</v>
      </c>
      <c r="M97" s="19">
        <v>22136.031999999999</v>
      </c>
      <c r="N97" s="19">
        <v>36120.550000000003</v>
      </c>
      <c r="O97" s="19">
        <v>11493.578</v>
      </c>
      <c r="P97" s="19">
        <v>24137.712</v>
      </c>
      <c r="Q97" s="19">
        <v>7678.1970000000001</v>
      </c>
      <c r="R97" s="19">
        <v>14461.402</v>
      </c>
      <c r="S97" s="19">
        <v>161811.58499999999</v>
      </c>
      <c r="T97" s="19">
        <v>4689.3890000000001</v>
      </c>
      <c r="U97" s="19">
        <v>3206.9360000000001</v>
      </c>
      <c r="V97" s="19">
        <v>34952.758999999998</v>
      </c>
      <c r="W97" s="19">
        <v>474510.114</v>
      </c>
      <c r="X97" s="19">
        <v>7564</v>
      </c>
      <c r="Y97" s="19">
        <v>280.39999999999998</v>
      </c>
      <c r="Z97" s="19">
        <v>262.59899999999999</v>
      </c>
      <c r="AA97" s="19">
        <v>214.1</v>
      </c>
      <c r="AB97" s="19">
        <v>741.38400000000001</v>
      </c>
      <c r="AC97" s="19">
        <v>2471.7840000000001</v>
      </c>
      <c r="AD97" s="19">
        <v>409.18299999999999</v>
      </c>
      <c r="AE97" s="19">
        <v>1260.663</v>
      </c>
      <c r="AF97" s="19">
        <v>908.96799999999996</v>
      </c>
      <c r="AG97" s="19">
        <v>205</v>
      </c>
      <c r="AH97" s="19">
        <v>702.91899999999998</v>
      </c>
      <c r="AI97" s="19">
        <v>107</v>
      </c>
    </row>
    <row r="98" spans="1:35" x14ac:dyDescent="0.25">
      <c r="A98" s="6">
        <v>1996</v>
      </c>
      <c r="B98" s="19">
        <v>92863.759000000005</v>
      </c>
      <c r="C98" s="19">
        <v>10399.498</v>
      </c>
      <c r="D98" s="19">
        <v>5813.5640000000003</v>
      </c>
      <c r="E98" s="19">
        <v>5803.0640000000003</v>
      </c>
      <c r="F98" s="19">
        <v>4742.0169999999998</v>
      </c>
      <c r="G98" s="19">
        <v>3596.6410000000001</v>
      </c>
      <c r="H98" s="19">
        <v>2736.3510000000001</v>
      </c>
      <c r="I98" s="19">
        <v>10946.235000000001</v>
      </c>
      <c r="J98" s="19">
        <v>7846.0510000000004</v>
      </c>
      <c r="K98" s="19">
        <v>8028.6120000000001</v>
      </c>
      <c r="L98" s="19">
        <v>3711.8879999999999</v>
      </c>
      <c r="M98" s="19">
        <v>22603.282999999999</v>
      </c>
      <c r="N98" s="19">
        <v>36780.086000000003</v>
      </c>
      <c r="O98" s="19">
        <v>11702.191999999999</v>
      </c>
      <c r="P98" s="19">
        <v>24580.722000000002</v>
      </c>
      <c r="Q98" s="19">
        <v>7834.241</v>
      </c>
      <c r="R98" s="19">
        <v>14673.285</v>
      </c>
      <c r="S98" s="19">
        <v>164303.05900000001</v>
      </c>
      <c r="T98" s="19">
        <v>4798.2470000000003</v>
      </c>
      <c r="U98" s="19">
        <v>3226.9740000000002</v>
      </c>
      <c r="V98" s="19">
        <v>35388.803</v>
      </c>
      <c r="W98" s="19">
        <v>482361.51500000001</v>
      </c>
      <c r="X98" s="19">
        <v>7630.335</v>
      </c>
      <c r="Y98" s="19">
        <v>285.15199999999999</v>
      </c>
      <c r="Z98" s="19">
        <v>263.61399999999998</v>
      </c>
      <c r="AA98" s="19">
        <v>219.459</v>
      </c>
      <c r="AB98" s="19">
        <v>744.46199999999999</v>
      </c>
      <c r="AC98" s="19">
        <v>2492.875</v>
      </c>
      <c r="AD98" s="19">
        <v>411.62099999999998</v>
      </c>
      <c r="AE98" s="19">
        <v>1267.28</v>
      </c>
      <c r="AF98" s="19">
        <v>921.61599999999999</v>
      </c>
      <c r="AG98" s="19">
        <v>207.34899999999999</v>
      </c>
      <c r="AH98" s="19">
        <v>707.75099999999998</v>
      </c>
      <c r="AI98" s="19">
        <v>107.54900000000001</v>
      </c>
    </row>
    <row r="99" spans="1:35" x14ac:dyDescent="0.25">
      <c r="A99" s="6">
        <v>1997</v>
      </c>
      <c r="B99" s="19">
        <v>94463.58</v>
      </c>
      <c r="C99" s="19">
        <v>10654.433000000001</v>
      </c>
      <c r="D99" s="19">
        <v>5961.5420000000004</v>
      </c>
      <c r="E99" s="19">
        <v>5846.3559999999998</v>
      </c>
      <c r="F99" s="19">
        <v>4827.8040000000001</v>
      </c>
      <c r="G99" s="19">
        <v>3684.42</v>
      </c>
      <c r="H99" s="19">
        <v>2792.3119999999999</v>
      </c>
      <c r="I99" s="19">
        <v>10985.183999999999</v>
      </c>
      <c r="J99" s="19">
        <v>7993.9059999999999</v>
      </c>
      <c r="K99" s="19">
        <v>8166.5439999999999</v>
      </c>
      <c r="L99" s="19">
        <v>3739.7069999999999</v>
      </c>
      <c r="M99" s="19">
        <v>23070.517</v>
      </c>
      <c r="N99" s="19">
        <v>37442.339</v>
      </c>
      <c r="O99" s="19">
        <v>11906.539000000001</v>
      </c>
      <c r="P99" s="19">
        <v>25023.495999999999</v>
      </c>
      <c r="Q99" s="19">
        <v>7990.2690000000002</v>
      </c>
      <c r="R99" s="19">
        <v>14877.108</v>
      </c>
      <c r="S99" s="19">
        <v>166809.215</v>
      </c>
      <c r="T99" s="19">
        <v>4906.634</v>
      </c>
      <c r="U99" s="19">
        <v>3248.0120000000002</v>
      </c>
      <c r="V99" s="19">
        <v>35819.019999999997</v>
      </c>
      <c r="W99" s="19">
        <v>490222.06300000002</v>
      </c>
      <c r="X99" s="19">
        <v>7695.5389999999998</v>
      </c>
      <c r="Y99" s="19">
        <v>289.822</v>
      </c>
      <c r="Z99" s="19">
        <v>264.60300000000001</v>
      </c>
      <c r="AA99" s="19">
        <v>224.69499999999999</v>
      </c>
      <c r="AB99" s="19">
        <v>748.22699999999998</v>
      </c>
      <c r="AC99" s="19">
        <v>2514.0749999999998</v>
      </c>
      <c r="AD99" s="19">
        <v>414.66899999999998</v>
      </c>
      <c r="AE99" s="19">
        <v>1273.268</v>
      </c>
      <c r="AF99" s="19">
        <v>935.61199999999997</v>
      </c>
      <c r="AG99" s="19">
        <v>209.42400000000001</v>
      </c>
      <c r="AH99" s="19">
        <v>711.495</v>
      </c>
      <c r="AI99" s="19">
        <v>108.08799999999999</v>
      </c>
    </row>
    <row r="100" spans="1:35" x14ac:dyDescent="0.25">
      <c r="A100" s="6">
        <v>1998</v>
      </c>
      <c r="B100" s="19">
        <v>96043.921000000002</v>
      </c>
      <c r="C100" s="19">
        <v>10915.925999999999</v>
      </c>
      <c r="D100" s="19">
        <v>6106.607</v>
      </c>
      <c r="E100" s="19">
        <v>5885.4750000000004</v>
      </c>
      <c r="F100" s="19">
        <v>4909.2790000000005</v>
      </c>
      <c r="G100" s="19">
        <v>3771.18</v>
      </c>
      <c r="H100" s="19">
        <v>2848.9780000000001</v>
      </c>
      <c r="I100" s="19">
        <v>11022.644</v>
      </c>
      <c r="J100" s="19">
        <v>8142.4260000000004</v>
      </c>
      <c r="K100" s="19">
        <v>8301.4879999999994</v>
      </c>
      <c r="L100" s="19">
        <v>3766.54</v>
      </c>
      <c r="M100" s="19">
        <v>23537.363000000001</v>
      </c>
      <c r="N100" s="19">
        <v>38112.000999999997</v>
      </c>
      <c r="O100" s="19">
        <v>12107.120999999999</v>
      </c>
      <c r="P100" s="19">
        <v>25464.392</v>
      </c>
      <c r="Q100" s="19">
        <v>8146.424</v>
      </c>
      <c r="R100" s="19">
        <v>15075.942999999999</v>
      </c>
      <c r="S100" s="19">
        <v>169336.785</v>
      </c>
      <c r="T100" s="19">
        <v>5014.3689999999997</v>
      </c>
      <c r="U100" s="19">
        <v>3267.5819999999999</v>
      </c>
      <c r="V100" s="19">
        <v>36241.235999999997</v>
      </c>
      <c r="W100" s="19">
        <v>498024.027</v>
      </c>
      <c r="X100" s="19">
        <v>7759.9759999999997</v>
      </c>
      <c r="Y100" s="19">
        <v>294.39600000000002</v>
      </c>
      <c r="Z100" s="19">
        <v>265.57499999999999</v>
      </c>
      <c r="AA100" s="19">
        <v>229.86</v>
      </c>
      <c r="AB100" s="19">
        <v>752.2</v>
      </c>
      <c r="AC100" s="19">
        <v>2535.5439999999999</v>
      </c>
      <c r="AD100" s="19">
        <v>418.08800000000002</v>
      </c>
      <c r="AE100" s="19">
        <v>1278.7809999999999</v>
      </c>
      <c r="AF100" s="19">
        <v>950.18799999999999</v>
      </c>
      <c r="AG100" s="19">
        <v>211.32499999999999</v>
      </c>
      <c r="AH100" s="19">
        <v>714.75800000000004</v>
      </c>
      <c r="AI100" s="19">
        <v>108.55200000000001</v>
      </c>
    </row>
    <row r="101" spans="1:35" x14ac:dyDescent="0.25">
      <c r="A101" s="6">
        <v>1999</v>
      </c>
      <c r="B101" s="19">
        <v>97590.008000000002</v>
      </c>
      <c r="C101" s="19">
        <v>11182.941999999999</v>
      </c>
      <c r="D101" s="19">
        <v>6253.4089999999997</v>
      </c>
      <c r="E101" s="19">
        <v>5920.4939999999997</v>
      </c>
      <c r="F101" s="19">
        <v>4987.0129999999999</v>
      </c>
      <c r="G101" s="19">
        <v>3855.0909999999999</v>
      </c>
      <c r="H101" s="19">
        <v>2906.11</v>
      </c>
      <c r="I101" s="19">
        <v>11058.52</v>
      </c>
      <c r="J101" s="19">
        <v>8291.2939999999999</v>
      </c>
      <c r="K101" s="19">
        <v>8436.11</v>
      </c>
      <c r="L101" s="19">
        <v>3792.01</v>
      </c>
      <c r="M101" s="19">
        <v>24001.948</v>
      </c>
      <c r="N101" s="19">
        <v>38777.063999999998</v>
      </c>
      <c r="O101" s="19">
        <v>12303.994000000001</v>
      </c>
      <c r="P101" s="19">
        <v>25893.17</v>
      </c>
      <c r="Q101" s="19">
        <v>8303.5949999999993</v>
      </c>
      <c r="R101" s="19">
        <v>15269.816999999999</v>
      </c>
      <c r="S101" s="19">
        <v>171841.49600000001</v>
      </c>
      <c r="T101" s="19">
        <v>5120.9229999999998</v>
      </c>
      <c r="U101" s="19">
        <v>3283.6149999999998</v>
      </c>
      <c r="V101" s="19">
        <v>36655.627999999997</v>
      </c>
      <c r="W101" s="19">
        <v>505699.67200000002</v>
      </c>
      <c r="X101" s="19">
        <v>7824.0079999999998</v>
      </c>
      <c r="Y101" s="19">
        <v>298.86</v>
      </c>
      <c r="Z101" s="19">
        <v>266.53699999999998</v>
      </c>
      <c r="AA101" s="19">
        <v>235.006</v>
      </c>
      <c r="AB101" s="19">
        <v>755.89800000000002</v>
      </c>
      <c r="AC101" s="19">
        <v>2557.4430000000002</v>
      </c>
      <c r="AD101" s="19">
        <v>421.64</v>
      </c>
      <c r="AE101" s="19">
        <v>1283.971</v>
      </c>
      <c r="AF101" s="19">
        <v>964.57299999999998</v>
      </c>
      <c r="AG101" s="19">
        <v>213.15</v>
      </c>
      <c r="AH101" s="19">
        <v>718.14599999999996</v>
      </c>
      <c r="AI101" s="19">
        <v>108.877</v>
      </c>
    </row>
    <row r="102" spans="1:35" x14ac:dyDescent="0.25">
      <c r="A102" s="6">
        <v>2000</v>
      </c>
      <c r="B102" s="19">
        <v>99078.02</v>
      </c>
      <c r="C102" s="19">
        <v>11450.695</v>
      </c>
      <c r="D102" s="19">
        <v>6406.6980000000003</v>
      </c>
      <c r="E102" s="19">
        <v>5951.2349999999997</v>
      </c>
      <c r="F102" s="19">
        <v>5061.7790000000005</v>
      </c>
      <c r="G102" s="19">
        <v>3933.4740000000002</v>
      </c>
      <c r="H102" s="19">
        <v>2963.471</v>
      </c>
      <c r="I102" s="19">
        <v>11092.166999999999</v>
      </c>
      <c r="J102" s="19">
        <v>8440.6919999999991</v>
      </c>
      <c r="K102" s="19">
        <v>8572.2270000000008</v>
      </c>
      <c r="L102" s="19">
        <v>3815.739</v>
      </c>
      <c r="M102" s="19">
        <v>24464.101999999999</v>
      </c>
      <c r="N102" s="19">
        <v>39426.421000000002</v>
      </c>
      <c r="O102" s="19">
        <v>12497.109</v>
      </c>
      <c r="P102" s="19">
        <v>26297.437999999998</v>
      </c>
      <c r="Q102" s="19">
        <v>8461.4740000000002</v>
      </c>
      <c r="R102" s="19">
        <v>15457.552</v>
      </c>
      <c r="S102" s="19">
        <v>174262.179</v>
      </c>
      <c r="T102" s="19">
        <v>5224.9679999999998</v>
      </c>
      <c r="U102" s="19">
        <v>3293.5909999999999</v>
      </c>
      <c r="V102" s="19">
        <v>37059.972999999998</v>
      </c>
      <c r="W102" s="19">
        <v>513181.26400000002</v>
      </c>
      <c r="X102" s="19">
        <v>7888</v>
      </c>
      <c r="Y102" s="19">
        <v>303.2</v>
      </c>
      <c r="Z102" s="19">
        <v>267.49700000000001</v>
      </c>
      <c r="AA102" s="19">
        <v>240.18700000000001</v>
      </c>
      <c r="AB102" s="19">
        <v>758.84</v>
      </c>
      <c r="AC102" s="19">
        <v>2579.9319999999998</v>
      </c>
      <c r="AD102" s="19">
        <v>425.084</v>
      </c>
      <c r="AE102" s="19">
        <v>1288.992</v>
      </c>
      <c r="AF102" s="19">
        <v>978</v>
      </c>
      <c r="AG102" s="19">
        <v>215</v>
      </c>
      <c r="AH102" s="19">
        <v>722.26800000000003</v>
      </c>
      <c r="AI102" s="19">
        <v>109</v>
      </c>
    </row>
    <row r="103" spans="1:35" x14ac:dyDescent="0.25">
      <c r="A103" s="6">
        <v>2001</v>
      </c>
      <c r="B103" s="19">
        <v>100497.31</v>
      </c>
      <c r="C103" s="19">
        <v>11723.785</v>
      </c>
      <c r="D103" s="19">
        <v>6562.05</v>
      </c>
      <c r="E103" s="19">
        <v>5976.9139999999998</v>
      </c>
      <c r="F103" s="19">
        <v>5132.2709999999997</v>
      </c>
      <c r="G103" s="19">
        <v>4005.8209999999999</v>
      </c>
      <c r="H103" s="19">
        <v>3020.9969999999998</v>
      </c>
      <c r="I103" s="19">
        <v>11124.285</v>
      </c>
      <c r="J103" s="19">
        <v>8588.893</v>
      </c>
      <c r="K103" s="19">
        <v>8707.9419999999991</v>
      </c>
      <c r="L103" s="19">
        <v>3837.915</v>
      </c>
      <c r="M103" s="19">
        <v>24979.9</v>
      </c>
      <c r="N103" s="19">
        <v>40066.012999999999</v>
      </c>
      <c r="O103" s="19">
        <v>12688.124</v>
      </c>
      <c r="P103" s="19">
        <v>26672.735000000001</v>
      </c>
      <c r="Q103" s="19">
        <v>8620.3520000000008</v>
      </c>
      <c r="R103" s="19">
        <v>15640.251</v>
      </c>
      <c r="S103" s="19">
        <v>176621.41</v>
      </c>
      <c r="T103" s="19">
        <v>5323.68</v>
      </c>
      <c r="U103" s="19">
        <v>3298.2730000000001</v>
      </c>
      <c r="V103" s="19">
        <v>37449.665999999997</v>
      </c>
      <c r="W103" s="19">
        <v>520466.88900000002</v>
      </c>
      <c r="X103" s="19">
        <v>7952.1059999999998</v>
      </c>
      <c r="Y103" s="19">
        <v>307.51900000000001</v>
      </c>
      <c r="Z103" s="19">
        <v>268.46100000000001</v>
      </c>
      <c r="AA103" s="19">
        <v>245.417</v>
      </c>
      <c r="AB103" s="19">
        <v>761.28800000000001</v>
      </c>
      <c r="AC103" s="19">
        <v>2603.0700000000002</v>
      </c>
      <c r="AD103" s="19">
        <v>428.47399999999999</v>
      </c>
      <c r="AE103" s="19">
        <v>1293.838</v>
      </c>
      <c r="AF103" s="19">
        <v>990.81700000000001</v>
      </c>
      <c r="AG103" s="19">
        <v>216.86099999999999</v>
      </c>
      <c r="AH103" s="19">
        <v>727.19399999999996</v>
      </c>
      <c r="AI103" s="19">
        <v>108.93899999999999</v>
      </c>
    </row>
    <row r="104" spans="1:35" x14ac:dyDescent="0.25">
      <c r="A104" s="6">
        <v>2002</v>
      </c>
      <c r="B104" s="19">
        <v>101867.315</v>
      </c>
      <c r="C104" s="19">
        <v>12006.165999999999</v>
      </c>
      <c r="D104" s="19">
        <v>6717.8739999999998</v>
      </c>
      <c r="E104" s="19">
        <v>5997.366</v>
      </c>
      <c r="F104" s="19">
        <v>5199.0140000000001</v>
      </c>
      <c r="G104" s="19">
        <v>4073.6</v>
      </c>
      <c r="H104" s="19">
        <v>3078.9490000000001</v>
      </c>
      <c r="I104" s="19">
        <v>11155.361000000001</v>
      </c>
      <c r="J104" s="19">
        <v>8735.3169999999991</v>
      </c>
      <c r="K104" s="19">
        <v>8841.7960000000003</v>
      </c>
      <c r="L104" s="19">
        <v>3858.9749999999999</v>
      </c>
      <c r="M104" s="19">
        <v>25435.7</v>
      </c>
      <c r="N104" s="19">
        <v>40702.618000000002</v>
      </c>
      <c r="O104" s="19">
        <v>12878.72</v>
      </c>
      <c r="P104" s="19">
        <v>27022</v>
      </c>
      <c r="Q104" s="19">
        <v>8780.8799999999992</v>
      </c>
      <c r="R104" s="19">
        <v>15816.786</v>
      </c>
      <c r="S104" s="19">
        <v>178937.81</v>
      </c>
      <c r="T104" s="19">
        <v>5415.9139999999998</v>
      </c>
      <c r="U104" s="19">
        <v>3300.9250000000002</v>
      </c>
      <c r="V104" s="19">
        <v>37828.108999999997</v>
      </c>
      <c r="W104" s="19">
        <v>527608.53899999999</v>
      </c>
      <c r="X104" s="19">
        <v>8016.0860000000002</v>
      </c>
      <c r="Y104" s="19">
        <v>311.83499999999998</v>
      </c>
      <c r="Z104" s="19">
        <v>269.42500000000001</v>
      </c>
      <c r="AA104" s="19">
        <v>250.661</v>
      </c>
      <c r="AB104" s="19">
        <v>763.66700000000003</v>
      </c>
      <c r="AC104" s="19">
        <v>2626.78</v>
      </c>
      <c r="AD104" s="19">
        <v>431.971</v>
      </c>
      <c r="AE104" s="19">
        <v>1298.4349999999999</v>
      </c>
      <c r="AF104" s="19">
        <v>1003.57</v>
      </c>
      <c r="AG104" s="19">
        <v>218.66800000000001</v>
      </c>
      <c r="AH104" s="19">
        <v>732.60699999999997</v>
      </c>
      <c r="AI104" s="19">
        <v>108.776</v>
      </c>
    </row>
    <row r="105" spans="1:35" x14ac:dyDescent="0.25">
      <c r="A105" s="6">
        <v>2003</v>
      </c>
      <c r="B105" s="19">
        <v>103206.43399999999</v>
      </c>
      <c r="C105" s="19">
        <v>12294.385</v>
      </c>
      <c r="D105" s="19">
        <v>6873.9350000000004</v>
      </c>
      <c r="E105" s="19">
        <v>6013.5889999999999</v>
      </c>
      <c r="F105" s="19">
        <v>5264.0290000000005</v>
      </c>
      <c r="G105" s="19">
        <v>4137.8670000000002</v>
      </c>
      <c r="H105" s="19">
        <v>3137.268</v>
      </c>
      <c r="I105" s="19">
        <v>11184.156000000001</v>
      </c>
      <c r="J105" s="19">
        <v>8881.9429999999993</v>
      </c>
      <c r="K105" s="19">
        <v>8973.9069999999992</v>
      </c>
      <c r="L105" s="19">
        <v>3878.91</v>
      </c>
      <c r="M105" s="19">
        <v>25892.7</v>
      </c>
      <c r="N105" s="19">
        <v>41337.057000000001</v>
      </c>
      <c r="O105" s="19">
        <v>13069.914000000001</v>
      </c>
      <c r="P105" s="19">
        <v>27351.370999999999</v>
      </c>
      <c r="Q105" s="19">
        <v>8943.1360000000004</v>
      </c>
      <c r="R105" s="19">
        <v>15987.558999999999</v>
      </c>
      <c r="S105" s="19">
        <v>181185.769</v>
      </c>
      <c r="T105" s="19">
        <v>5503.9769999999999</v>
      </c>
      <c r="U105" s="19">
        <v>3302.328</v>
      </c>
      <c r="V105" s="19">
        <v>38196.936999999998</v>
      </c>
      <c r="W105" s="19">
        <v>534619.34299999999</v>
      </c>
      <c r="X105" s="19">
        <v>8079.7139999999999</v>
      </c>
      <c r="Y105" s="19">
        <v>316</v>
      </c>
      <c r="Z105" s="19">
        <v>270.37900000000002</v>
      </c>
      <c r="AA105" s="19">
        <v>255.89599999999999</v>
      </c>
      <c r="AB105" s="19">
        <v>765.73699999999997</v>
      </c>
      <c r="AC105" s="19">
        <v>2651.0140000000001</v>
      </c>
      <c r="AD105" s="19">
        <v>435.5</v>
      </c>
      <c r="AE105" s="19">
        <v>1302.837</v>
      </c>
      <c r="AF105" s="19">
        <v>1015.785</v>
      </c>
      <c r="AG105" s="19">
        <v>220.44499999999999</v>
      </c>
      <c r="AH105" s="19">
        <v>738.53499999999997</v>
      </c>
      <c r="AI105" s="19">
        <v>108.544</v>
      </c>
    </row>
    <row r="106" spans="1:35" x14ac:dyDescent="0.25">
      <c r="A106" s="6">
        <v>2004</v>
      </c>
      <c r="B106" s="19">
        <v>104533.519</v>
      </c>
      <c r="C106" s="19">
        <v>12587.793</v>
      </c>
      <c r="D106" s="19">
        <v>7030.701</v>
      </c>
      <c r="E106" s="19">
        <v>6027.03</v>
      </c>
      <c r="F106" s="19">
        <v>5329.1859999999997</v>
      </c>
      <c r="G106" s="19">
        <v>4200.2780000000002</v>
      </c>
      <c r="H106" s="19">
        <v>3195.998</v>
      </c>
      <c r="I106" s="19">
        <v>11208.582</v>
      </c>
      <c r="J106" s="19">
        <v>9028.7019999999993</v>
      </c>
      <c r="K106" s="19">
        <v>9103.7430000000004</v>
      </c>
      <c r="L106" s="19">
        <v>3897.7139999999999</v>
      </c>
      <c r="M106" s="19">
        <v>26340.799999999999</v>
      </c>
      <c r="N106" s="19">
        <v>41967.404000000002</v>
      </c>
      <c r="O106" s="19">
        <v>13261.174000000001</v>
      </c>
      <c r="P106" s="19">
        <v>27666.633000000002</v>
      </c>
      <c r="Q106" s="19">
        <v>9106.902</v>
      </c>
      <c r="R106" s="19">
        <v>16154.921</v>
      </c>
      <c r="S106" s="19">
        <v>183349.08</v>
      </c>
      <c r="T106" s="19">
        <v>5590.4279999999999</v>
      </c>
      <c r="U106" s="19">
        <v>3303.6149999999998</v>
      </c>
      <c r="V106" s="19">
        <v>38562.436999999998</v>
      </c>
      <c r="W106" s="19">
        <v>541512.429</v>
      </c>
      <c r="X106" s="19">
        <v>8142.7610000000004</v>
      </c>
      <c r="Y106" s="19">
        <v>319.87</v>
      </c>
      <c r="Z106" s="19">
        <v>271.31099999999998</v>
      </c>
      <c r="AA106" s="19">
        <v>261.10300000000001</v>
      </c>
      <c r="AB106" s="19">
        <v>767.26199999999994</v>
      </c>
      <c r="AC106" s="19">
        <v>2675.7260000000001</v>
      </c>
      <c r="AD106" s="19">
        <v>438.98500000000001</v>
      </c>
      <c r="AE106" s="19">
        <v>1307.0940000000001</v>
      </c>
      <c r="AF106" s="19">
        <v>1026.989</v>
      </c>
      <c r="AG106" s="19">
        <v>222.215</v>
      </c>
      <c r="AH106" s="19">
        <v>745.00300000000004</v>
      </c>
      <c r="AI106" s="19">
        <v>108.27500000000001</v>
      </c>
    </row>
    <row r="107" spans="1:35" x14ac:dyDescent="0.25">
      <c r="A107" s="6">
        <v>2005</v>
      </c>
      <c r="B107" s="19">
        <v>105872.82</v>
      </c>
      <c r="C107" s="19">
        <v>12883.036</v>
      </c>
      <c r="D107" s="19">
        <v>7188.6409999999996</v>
      </c>
      <c r="E107" s="19">
        <v>6039.19</v>
      </c>
      <c r="F107" s="19">
        <v>5398.7039999999997</v>
      </c>
      <c r="G107" s="19">
        <v>4262.3389999999999</v>
      </c>
      <c r="H107" s="19">
        <v>3254.8310000000001</v>
      </c>
      <c r="I107" s="19">
        <v>11225.700999999999</v>
      </c>
      <c r="J107" s="19">
        <v>9178.0249999999996</v>
      </c>
      <c r="K107" s="19">
        <v>9231.0229999999992</v>
      </c>
      <c r="L107" s="19">
        <v>3915.3789999999999</v>
      </c>
      <c r="M107" s="19">
        <v>26785.8</v>
      </c>
      <c r="N107" s="19">
        <v>42587.281000000003</v>
      </c>
      <c r="O107" s="19">
        <v>13452.918</v>
      </c>
      <c r="P107" s="19">
        <v>27967.171999999999</v>
      </c>
      <c r="Q107" s="19">
        <v>9271.4079999999994</v>
      </c>
      <c r="R107" s="19">
        <v>16321.523999999999</v>
      </c>
      <c r="S107" s="19">
        <v>185417.084</v>
      </c>
      <c r="T107" s="19">
        <v>5675.924</v>
      </c>
      <c r="U107" s="19">
        <v>3305.569</v>
      </c>
      <c r="V107" s="19">
        <v>38934.195</v>
      </c>
      <c r="W107" s="19">
        <v>548300.92700000003</v>
      </c>
      <c r="X107" s="19">
        <v>8205</v>
      </c>
      <c r="Y107" s="19">
        <v>323.3</v>
      </c>
      <c r="Z107" s="19">
        <v>272.214</v>
      </c>
      <c r="AA107" s="19">
        <v>266.26</v>
      </c>
      <c r="AB107" s="19">
        <v>768.00300000000004</v>
      </c>
      <c r="AC107" s="19">
        <v>2700.8679999999999</v>
      </c>
      <c r="AD107" s="19">
        <v>442.351</v>
      </c>
      <c r="AE107" s="19">
        <v>1311.259</v>
      </c>
      <c r="AF107" s="19">
        <v>1036.7070000000001</v>
      </c>
      <c r="AG107" s="19">
        <v>224</v>
      </c>
      <c r="AH107" s="19">
        <v>752.03800000000001</v>
      </c>
      <c r="AI107" s="19">
        <v>108</v>
      </c>
    </row>
    <row r="108" spans="1:35" x14ac:dyDescent="0.25">
      <c r="A108" s="6">
        <v>2006</v>
      </c>
      <c r="B108" s="19">
        <v>107240.298</v>
      </c>
      <c r="C108" s="19">
        <v>13181.115</v>
      </c>
      <c r="D108" s="19">
        <v>7347.6760000000004</v>
      </c>
      <c r="E108" s="19">
        <v>6050.6319999999996</v>
      </c>
      <c r="F108" s="19">
        <v>5472.2830000000004</v>
      </c>
      <c r="G108" s="19">
        <v>4323.7929999999997</v>
      </c>
      <c r="H108" s="19">
        <v>3313.7260000000001</v>
      </c>
      <c r="I108" s="19">
        <v>11235.83</v>
      </c>
      <c r="J108" s="19">
        <v>9332.2279999999992</v>
      </c>
      <c r="K108" s="19">
        <v>9356.1589999999997</v>
      </c>
      <c r="L108" s="19">
        <v>3932.0940000000001</v>
      </c>
      <c r="M108" s="19">
        <v>27224.7</v>
      </c>
      <c r="N108" s="19">
        <v>43195.983999999997</v>
      </c>
      <c r="O108" s="19">
        <v>13645.008</v>
      </c>
      <c r="P108" s="19">
        <v>28250.026000000002</v>
      </c>
      <c r="Q108" s="19">
        <v>9437.4840000000004</v>
      </c>
      <c r="R108" s="19">
        <v>16487.484</v>
      </c>
      <c r="S108" s="19">
        <v>187384.149</v>
      </c>
      <c r="T108" s="19">
        <v>5760.0429999999997</v>
      </c>
      <c r="U108" s="19">
        <v>3309.5889999999999</v>
      </c>
      <c r="V108" s="19">
        <v>39309.305</v>
      </c>
      <c r="W108" s="19">
        <v>554974.95400000003</v>
      </c>
      <c r="X108" s="19">
        <v>8266.4940000000006</v>
      </c>
      <c r="Y108" s="19">
        <v>326.24</v>
      </c>
      <c r="Z108" s="19">
        <v>273.09199999999998</v>
      </c>
      <c r="AA108" s="19">
        <v>271.37599999999998</v>
      </c>
      <c r="AB108" s="19">
        <v>768.25099999999998</v>
      </c>
      <c r="AC108" s="19">
        <v>2726.5070000000001</v>
      </c>
      <c r="AD108" s="19">
        <v>445.63</v>
      </c>
      <c r="AE108" s="19">
        <v>1315.4449999999999</v>
      </c>
      <c r="AF108" s="19">
        <v>1044.806</v>
      </c>
      <c r="AG108" s="19">
        <v>225.83600000000001</v>
      </c>
      <c r="AH108" s="19">
        <v>760.452</v>
      </c>
      <c r="AI108" s="19">
        <v>107.621</v>
      </c>
    </row>
    <row r="109" spans="1:35" x14ac:dyDescent="0.25">
      <c r="A109" s="6">
        <v>2007</v>
      </c>
      <c r="B109" s="19">
        <v>108652.004</v>
      </c>
      <c r="C109" s="19">
        <v>13485.556</v>
      </c>
      <c r="D109" s="19">
        <v>7507.8770000000004</v>
      </c>
      <c r="E109" s="19">
        <v>6068.1679999999997</v>
      </c>
      <c r="F109" s="19">
        <v>5546.2259999999997</v>
      </c>
      <c r="G109" s="19">
        <v>4384.1030000000001</v>
      </c>
      <c r="H109" s="19">
        <v>3372.8710000000001</v>
      </c>
      <c r="I109" s="19">
        <v>11241.733</v>
      </c>
      <c r="J109" s="19">
        <v>9489.1530000000002</v>
      </c>
      <c r="K109" s="19">
        <v>9480.41</v>
      </c>
      <c r="L109" s="19">
        <v>3948.0050000000001</v>
      </c>
      <c r="M109" s="19">
        <v>27649.4</v>
      </c>
      <c r="N109" s="19">
        <v>43796.351999999999</v>
      </c>
      <c r="O109" s="19">
        <v>13836.892</v>
      </c>
      <c r="P109" s="19">
        <v>28519.379000000001</v>
      </c>
      <c r="Q109" s="19">
        <v>9605.0149999999994</v>
      </c>
      <c r="R109" s="19">
        <v>16653.737000000001</v>
      </c>
      <c r="S109" s="19">
        <v>189264.326</v>
      </c>
      <c r="T109" s="19">
        <v>5842.9160000000002</v>
      </c>
      <c r="U109" s="19">
        <v>3316.7759999999998</v>
      </c>
      <c r="V109" s="19">
        <v>39678.112999999998</v>
      </c>
      <c r="W109" s="19">
        <v>561530.15300000005</v>
      </c>
      <c r="X109" s="19">
        <v>8327.4130000000005</v>
      </c>
      <c r="Y109" s="19">
        <v>328.84699999999998</v>
      </c>
      <c r="Z109" s="19">
        <v>273.95400000000001</v>
      </c>
      <c r="AA109" s="19">
        <v>276.46699999999998</v>
      </c>
      <c r="AB109" s="19">
        <v>768.45299999999997</v>
      </c>
      <c r="AC109" s="19">
        <v>2752.6970000000001</v>
      </c>
      <c r="AD109" s="19">
        <v>448.87599999999998</v>
      </c>
      <c r="AE109" s="19">
        <v>1319.626</v>
      </c>
      <c r="AF109" s="19">
        <v>1051.837</v>
      </c>
      <c r="AG109" s="19">
        <v>227.708</v>
      </c>
      <c r="AH109" s="19">
        <v>770.39300000000003</v>
      </c>
      <c r="AI109" s="19">
        <v>107.104</v>
      </c>
    </row>
    <row r="110" spans="1:35" x14ac:dyDescent="0.25">
      <c r="A110" s="6">
        <v>2008</v>
      </c>
      <c r="B110" s="19">
        <v>110101.59699999999</v>
      </c>
      <c r="C110" s="19">
        <v>13793.047</v>
      </c>
      <c r="D110" s="19">
        <v>7669.0780000000004</v>
      </c>
      <c r="E110" s="19">
        <v>6092.4139999999998</v>
      </c>
      <c r="F110" s="19">
        <v>5621.0110000000004</v>
      </c>
      <c r="G110" s="19">
        <v>4444.2150000000001</v>
      </c>
      <c r="H110" s="19">
        <v>3432.2289999999998</v>
      </c>
      <c r="I110" s="19">
        <v>11245.171</v>
      </c>
      <c r="J110" s="19">
        <v>9647.9230000000007</v>
      </c>
      <c r="K110" s="19">
        <v>9605.6859999999997</v>
      </c>
      <c r="L110" s="19">
        <v>3963.04</v>
      </c>
      <c r="M110" s="19">
        <v>28053.7</v>
      </c>
      <c r="N110" s="19">
        <v>44385.118000000002</v>
      </c>
      <c r="O110" s="19">
        <v>14030.231</v>
      </c>
      <c r="P110" s="19">
        <v>28777.284</v>
      </c>
      <c r="Q110" s="19">
        <v>9772.482</v>
      </c>
      <c r="R110" s="19">
        <v>16821.57</v>
      </c>
      <c r="S110" s="19">
        <v>191060.48699999999</v>
      </c>
      <c r="T110" s="19">
        <v>5925.7219999999998</v>
      </c>
      <c r="U110" s="19">
        <v>3325.9250000000002</v>
      </c>
      <c r="V110" s="19">
        <v>40052.910000000003</v>
      </c>
      <c r="W110" s="19">
        <v>567987.93900000001</v>
      </c>
      <c r="X110" s="19">
        <v>8387.6839999999993</v>
      </c>
      <c r="Y110" s="19">
        <v>331.28699999999998</v>
      </c>
      <c r="Z110" s="19">
        <v>274.79300000000001</v>
      </c>
      <c r="AA110" s="19">
        <v>281.51799999999997</v>
      </c>
      <c r="AB110" s="19">
        <v>768.60299999999995</v>
      </c>
      <c r="AC110" s="19">
        <v>2779.3739999999998</v>
      </c>
      <c r="AD110" s="19">
        <v>452.04500000000002</v>
      </c>
      <c r="AE110" s="19">
        <v>1323.644</v>
      </c>
      <c r="AF110" s="19">
        <v>1058.347</v>
      </c>
      <c r="AG110" s="19">
        <v>229.56200000000001</v>
      </c>
      <c r="AH110" s="19">
        <v>780.88800000000003</v>
      </c>
      <c r="AI110" s="19">
        <v>106.57599999999999</v>
      </c>
    </row>
    <row r="111" spans="1:35" x14ac:dyDescent="0.25">
      <c r="A111" s="6">
        <v>2009</v>
      </c>
      <c r="B111" s="19">
        <v>111555.539</v>
      </c>
      <c r="C111" s="19">
        <v>14102.474</v>
      </c>
      <c r="D111" s="19">
        <v>7830.866</v>
      </c>
      <c r="E111" s="19">
        <v>6117.1350000000002</v>
      </c>
      <c r="F111" s="19">
        <v>5697.0649999999996</v>
      </c>
      <c r="G111" s="19">
        <v>4503.3720000000003</v>
      </c>
      <c r="H111" s="19">
        <v>3491.759</v>
      </c>
      <c r="I111" s="19">
        <v>11247.648999999999</v>
      </c>
      <c r="J111" s="19">
        <v>9808.2080000000005</v>
      </c>
      <c r="K111" s="19">
        <v>9732.5460000000003</v>
      </c>
      <c r="L111" s="19">
        <v>3977.1289999999999</v>
      </c>
      <c r="M111" s="19">
        <v>28438.3</v>
      </c>
      <c r="N111" s="19">
        <v>44965.665000000001</v>
      </c>
      <c r="O111" s="19">
        <v>14226.585999999999</v>
      </c>
      <c r="P111" s="19">
        <v>29029.898000000001</v>
      </c>
      <c r="Q111" s="19">
        <v>9939.7170000000006</v>
      </c>
      <c r="R111" s="19">
        <v>16989.919000000002</v>
      </c>
      <c r="S111" s="19">
        <v>192775.65</v>
      </c>
      <c r="T111" s="19">
        <v>6010.0919999999996</v>
      </c>
      <c r="U111" s="19">
        <v>3335.9760000000001</v>
      </c>
      <c r="V111" s="19">
        <v>40439.788</v>
      </c>
      <c r="W111" s="19">
        <v>574369.72699999996</v>
      </c>
      <c r="X111" s="19">
        <v>8447.2369999999992</v>
      </c>
      <c r="Y111" s="19">
        <v>333.72300000000001</v>
      </c>
      <c r="Z111" s="19">
        <v>275.601</v>
      </c>
      <c r="AA111" s="19">
        <v>286.51499999999999</v>
      </c>
      <c r="AB111" s="19">
        <v>768.697</v>
      </c>
      <c r="AC111" s="19">
        <v>2806.473</v>
      </c>
      <c r="AD111" s="19">
        <v>455.09399999999999</v>
      </c>
      <c r="AE111" s="19">
        <v>1327.3430000000001</v>
      </c>
      <c r="AF111" s="19">
        <v>1064.885</v>
      </c>
      <c r="AG111" s="19">
        <v>231.34399999999999</v>
      </c>
      <c r="AH111" s="19">
        <v>790.96699999999998</v>
      </c>
      <c r="AI111" s="19">
        <v>106.16500000000001</v>
      </c>
    </row>
    <row r="112" spans="1:35" x14ac:dyDescent="0.25">
      <c r="A112" s="6">
        <v>2010</v>
      </c>
      <c r="B112" s="19">
        <v>112993.791</v>
      </c>
      <c r="C112" s="19">
        <v>14416.924000000001</v>
      </c>
      <c r="D112" s="19">
        <v>7992.5770000000002</v>
      </c>
      <c r="E112" s="19">
        <v>6143.0469999999996</v>
      </c>
      <c r="F112" s="19">
        <v>5775.2160000000003</v>
      </c>
      <c r="G112" s="19">
        <v>4559.7700000000004</v>
      </c>
      <c r="H112" s="19">
        <v>3551.174</v>
      </c>
      <c r="I112" s="19">
        <v>11250.078</v>
      </c>
      <c r="J112" s="19">
        <v>9946.2289999999994</v>
      </c>
      <c r="K112" s="19">
        <v>9859.5490000000009</v>
      </c>
      <c r="L112" s="19">
        <v>3990.1990000000001</v>
      </c>
      <c r="M112" s="19">
        <v>28813.1</v>
      </c>
      <c r="N112" s="19">
        <v>45538.175999999999</v>
      </c>
      <c r="O112" s="19">
        <v>14424.92</v>
      </c>
      <c r="P112" s="19">
        <v>29290.626</v>
      </c>
      <c r="Q112" s="19">
        <v>10106.653</v>
      </c>
      <c r="R112" s="19">
        <v>17157.471000000001</v>
      </c>
      <c r="S112" s="19">
        <v>194427.636</v>
      </c>
      <c r="T112" s="19">
        <v>6098.8090000000002</v>
      </c>
      <c r="U112" s="19">
        <v>3345.922</v>
      </c>
      <c r="V112" s="19">
        <v>40829.337</v>
      </c>
      <c r="W112" s="19">
        <v>580696.93299999996</v>
      </c>
      <c r="X112" s="19">
        <v>8506</v>
      </c>
      <c r="Y112" s="19">
        <v>336.32100000000003</v>
      </c>
      <c r="Z112" s="19">
        <v>276.37200000000001</v>
      </c>
      <c r="AA112" s="19">
        <v>291.44600000000003</v>
      </c>
      <c r="AB112" s="19">
        <v>768.73</v>
      </c>
      <c r="AC112" s="19">
        <v>2833.9319999999998</v>
      </c>
      <c r="AD112" s="19">
        <v>457.97800000000001</v>
      </c>
      <c r="AE112" s="19">
        <v>1330.5640000000001</v>
      </c>
      <c r="AF112" s="19">
        <v>1072</v>
      </c>
      <c r="AG112" s="19">
        <v>233</v>
      </c>
      <c r="AH112" s="19">
        <v>799.65700000000004</v>
      </c>
      <c r="AI112" s="19">
        <v>106</v>
      </c>
    </row>
    <row r="113" spans="1:35" x14ac:dyDescent="0.25">
      <c r="A113" s="6">
        <v>2011</v>
      </c>
      <c r="B113" s="19">
        <v>114416.883</v>
      </c>
      <c r="C113" s="19">
        <v>14739.596</v>
      </c>
      <c r="D113" s="19">
        <v>8154.8190000000004</v>
      </c>
      <c r="E113" s="19">
        <v>6170.973</v>
      </c>
      <c r="F113" s="19">
        <v>5856.3010000000004</v>
      </c>
      <c r="G113" s="19">
        <v>4613.6710000000003</v>
      </c>
      <c r="H113" s="19">
        <v>3610.7809999999999</v>
      </c>
      <c r="I113" s="19">
        <v>11253.453</v>
      </c>
      <c r="J113" s="19">
        <v>10083.742</v>
      </c>
      <c r="K113" s="19">
        <v>9985.7279999999992</v>
      </c>
      <c r="L113" s="19">
        <v>4002.634</v>
      </c>
      <c r="M113" s="19">
        <v>29185.200000000001</v>
      </c>
      <c r="N113" s="19">
        <v>46094.722999999998</v>
      </c>
      <c r="O113" s="19">
        <v>14625.1</v>
      </c>
      <c r="P113" s="19">
        <v>29568.686000000002</v>
      </c>
      <c r="Q113" s="19">
        <v>10273.419</v>
      </c>
      <c r="R113" s="19">
        <v>17323.276999999998</v>
      </c>
      <c r="S113" s="19">
        <v>196046.266</v>
      </c>
      <c r="T113" s="19">
        <v>6192.277</v>
      </c>
      <c r="U113" s="19">
        <v>3355.357</v>
      </c>
      <c r="V113" s="19">
        <v>41225.038999999997</v>
      </c>
      <c r="W113" s="19">
        <v>586989.52500000002</v>
      </c>
      <c r="X113" s="19">
        <v>8564.1530000000002</v>
      </c>
      <c r="Y113" s="19">
        <v>339.13600000000002</v>
      </c>
      <c r="Z113" s="19">
        <v>277.12</v>
      </c>
      <c r="AA113" s="19">
        <v>296.32100000000003</v>
      </c>
      <c r="AB113" s="19">
        <v>768.26599999999996</v>
      </c>
      <c r="AC113" s="19">
        <v>2861.835</v>
      </c>
      <c r="AD113" s="19">
        <v>460.73200000000003</v>
      </c>
      <c r="AE113" s="19">
        <v>1333.4860000000001</v>
      </c>
      <c r="AF113" s="19">
        <v>1079.893</v>
      </c>
      <c r="AG113" s="19">
        <v>234.529</v>
      </c>
      <c r="AH113" s="19">
        <v>806.90700000000004</v>
      </c>
      <c r="AI113" s="19">
        <v>106.104</v>
      </c>
    </row>
    <row r="114" spans="1:35" x14ac:dyDescent="0.25">
      <c r="A114" s="6">
        <v>2012</v>
      </c>
      <c r="B114" s="19">
        <v>115809.545</v>
      </c>
      <c r="C114" s="19">
        <v>15069.897999999999</v>
      </c>
      <c r="D114" s="19">
        <v>8318.3389999999999</v>
      </c>
      <c r="E114" s="19">
        <v>6201.0110000000004</v>
      </c>
      <c r="F114" s="19">
        <v>5939.9269999999997</v>
      </c>
      <c r="G114" s="19">
        <v>4666.5940000000001</v>
      </c>
      <c r="H114" s="19">
        <v>3670.5949999999998</v>
      </c>
      <c r="I114" s="19">
        <v>11255.6</v>
      </c>
      <c r="J114" s="19">
        <v>10243.848</v>
      </c>
      <c r="K114" s="19">
        <v>10110.824000000001</v>
      </c>
      <c r="L114" s="19">
        <v>4014.6170000000002</v>
      </c>
      <c r="M114" s="19">
        <v>29553.8</v>
      </c>
      <c r="N114" s="19">
        <v>46635.24</v>
      </c>
      <c r="O114" s="19">
        <v>14825.222</v>
      </c>
      <c r="P114" s="19">
        <v>29862.100999999999</v>
      </c>
      <c r="Q114" s="19">
        <v>10439.951999999999</v>
      </c>
      <c r="R114" s="19">
        <v>17486.772000000001</v>
      </c>
      <c r="S114" s="19">
        <v>197649.071</v>
      </c>
      <c r="T114" s="19">
        <v>6288.58</v>
      </c>
      <c r="U114" s="19">
        <v>3365.22</v>
      </c>
      <c r="V114" s="19">
        <v>41616.889000000003</v>
      </c>
      <c r="W114" s="19">
        <v>593235.00800000003</v>
      </c>
      <c r="X114" s="19">
        <v>8621.7639999999992</v>
      </c>
      <c r="Y114" s="19">
        <v>342.06</v>
      </c>
      <c r="Z114" s="19">
        <v>277.85300000000001</v>
      </c>
      <c r="AA114" s="19">
        <v>301.14999999999998</v>
      </c>
      <c r="AB114" s="19">
        <v>767.03399999999999</v>
      </c>
      <c r="AC114" s="19">
        <v>2890.241</v>
      </c>
      <c r="AD114" s="19">
        <v>463.399</v>
      </c>
      <c r="AE114" s="19">
        <v>1336.2860000000001</v>
      </c>
      <c r="AF114" s="19">
        <v>1088.2139999999999</v>
      </c>
      <c r="AG114" s="19">
        <v>235.97800000000001</v>
      </c>
      <c r="AH114" s="19">
        <v>813.48699999999997</v>
      </c>
      <c r="AI114" s="19">
        <v>106.352</v>
      </c>
    </row>
    <row r="115" spans="1:35" x14ac:dyDescent="0.25">
      <c r="A115" s="6">
        <v>2013</v>
      </c>
      <c r="B115" s="19">
        <v>117166.86599999999</v>
      </c>
      <c r="C115" s="19">
        <v>15403.174000000001</v>
      </c>
      <c r="D115" s="19">
        <v>8482.2029999999995</v>
      </c>
      <c r="E115" s="19">
        <v>6232.3530000000001</v>
      </c>
      <c r="F115" s="19">
        <v>6024.7020000000002</v>
      </c>
      <c r="G115" s="19">
        <v>4717.9620000000004</v>
      </c>
      <c r="H115" s="19">
        <v>3730.3069999999998</v>
      </c>
      <c r="I115" s="19">
        <v>11254.314</v>
      </c>
      <c r="J115" s="19">
        <v>10403.385</v>
      </c>
      <c r="K115" s="19">
        <v>10234.290999999999</v>
      </c>
      <c r="L115" s="19">
        <v>4025.7759999999998</v>
      </c>
      <c r="M115" s="19">
        <v>29912.2</v>
      </c>
      <c r="N115" s="19">
        <v>47162.150999999998</v>
      </c>
      <c r="O115" s="19">
        <v>15020.941999999999</v>
      </c>
      <c r="P115" s="19">
        <v>30166.681</v>
      </c>
      <c r="Q115" s="19">
        <v>10605.869000000001</v>
      </c>
      <c r="R115" s="19">
        <v>17649.29</v>
      </c>
      <c r="S115" s="19">
        <v>199233.78400000001</v>
      </c>
      <c r="T115" s="19">
        <v>6386.1570000000002</v>
      </c>
      <c r="U115" s="19">
        <v>3375.9160000000002</v>
      </c>
      <c r="V115" s="19">
        <v>42003.748</v>
      </c>
      <c r="W115" s="19">
        <v>599406.103</v>
      </c>
      <c r="X115" s="19">
        <v>8678.6</v>
      </c>
      <c r="Y115" s="19">
        <v>345.01499999999999</v>
      </c>
      <c r="Z115" s="19">
        <v>278.553</v>
      </c>
      <c r="AA115" s="19">
        <v>305.92099999999999</v>
      </c>
      <c r="AB115" s="19">
        <v>765.27800000000002</v>
      </c>
      <c r="AC115" s="19">
        <v>2919.0450000000001</v>
      </c>
      <c r="AD115" s="19">
        <v>465.94600000000003</v>
      </c>
      <c r="AE115" s="19">
        <v>1338.8050000000001</v>
      </c>
      <c r="AF115" s="19">
        <v>1096.6890000000001</v>
      </c>
      <c r="AG115" s="19">
        <v>237.36199999999999</v>
      </c>
      <c r="AH115" s="19">
        <v>819.65200000000004</v>
      </c>
      <c r="AI115" s="19">
        <v>106.648</v>
      </c>
    </row>
    <row r="116" spans="1:35" x14ac:dyDescent="0.25">
      <c r="A116" s="6">
        <v>2014</v>
      </c>
      <c r="B116" s="19">
        <v>118468.43700000001</v>
      </c>
      <c r="C116" s="19">
        <v>15735.671</v>
      </c>
      <c r="D116" s="19">
        <v>8645.4789999999994</v>
      </c>
      <c r="E116" s="19">
        <v>6263.9970000000003</v>
      </c>
      <c r="F116" s="19">
        <v>6109.3339999999998</v>
      </c>
      <c r="G116" s="19">
        <v>4768.6509999999998</v>
      </c>
      <c r="H116" s="19">
        <v>3790.2089999999998</v>
      </c>
      <c r="I116" s="19">
        <v>11248.993</v>
      </c>
      <c r="J116" s="19">
        <v>10562.241</v>
      </c>
      <c r="K116" s="19">
        <v>10355.828</v>
      </c>
      <c r="L116" s="19">
        <v>4035.74</v>
      </c>
      <c r="M116" s="19">
        <v>30254.1</v>
      </c>
      <c r="N116" s="19">
        <v>47674.23</v>
      </c>
      <c r="O116" s="19">
        <v>15213.817999999999</v>
      </c>
      <c r="P116" s="19">
        <v>30486.339</v>
      </c>
      <c r="Q116" s="19">
        <v>10770.786</v>
      </c>
      <c r="R116" s="19">
        <v>17814.719000000001</v>
      </c>
      <c r="S116" s="19">
        <v>200793.93799999999</v>
      </c>
      <c r="T116" s="19">
        <v>6484.35</v>
      </c>
      <c r="U116" s="19">
        <v>3387.3040000000001</v>
      </c>
      <c r="V116" s="19">
        <v>42399.576000000001</v>
      </c>
      <c r="W116" s="19">
        <v>605475.52899999998</v>
      </c>
      <c r="X116" s="19">
        <v>8734.4230000000007</v>
      </c>
      <c r="Y116" s="19">
        <v>347.92200000000003</v>
      </c>
      <c r="Z116" s="19">
        <v>279.20299999999997</v>
      </c>
      <c r="AA116" s="19">
        <v>310.61700000000002</v>
      </c>
      <c r="AB116" s="19">
        <v>763.23900000000003</v>
      </c>
      <c r="AC116" s="19">
        <v>2948.1419999999998</v>
      </c>
      <c r="AD116" s="19">
        <v>468.34300000000002</v>
      </c>
      <c r="AE116" s="19">
        <v>1340.886</v>
      </c>
      <c r="AF116" s="19">
        <v>1105.0429999999999</v>
      </c>
      <c r="AG116" s="19">
        <v>238.697</v>
      </c>
      <c r="AH116" s="19">
        <v>825.66099999999994</v>
      </c>
      <c r="AI116" s="19">
        <v>106.896</v>
      </c>
    </row>
    <row r="117" spans="1:35" x14ac:dyDescent="0.25">
      <c r="A117" s="6">
        <v>2015</v>
      </c>
      <c r="B117" s="19">
        <v>119677.546</v>
      </c>
      <c r="C117" s="19">
        <v>16064.834999999999</v>
      </c>
      <c r="D117" s="19">
        <v>8807.6839999999993</v>
      </c>
      <c r="E117" s="19">
        <v>6294.2370000000001</v>
      </c>
      <c r="F117" s="19">
        <v>6192.5789999999997</v>
      </c>
      <c r="G117" s="19">
        <v>4819.7359999999999</v>
      </c>
      <c r="H117" s="19">
        <v>3850.4459999999999</v>
      </c>
      <c r="I117" s="19">
        <v>11243.981</v>
      </c>
      <c r="J117" s="19">
        <v>10720.554</v>
      </c>
      <c r="K117" s="19">
        <v>10474.938</v>
      </c>
      <c r="L117" s="19">
        <v>4044.1350000000002</v>
      </c>
      <c r="M117" s="19">
        <v>30574</v>
      </c>
      <c r="N117" s="19">
        <v>48177.400999999998</v>
      </c>
      <c r="O117" s="19">
        <v>15408.306</v>
      </c>
      <c r="P117" s="19">
        <v>30827.134999999998</v>
      </c>
      <c r="Q117" s="19">
        <v>10934.519</v>
      </c>
      <c r="R117" s="19">
        <v>17981.043000000001</v>
      </c>
      <c r="S117" s="19">
        <v>202315.66899999999</v>
      </c>
      <c r="T117" s="19">
        <v>6582.95</v>
      </c>
      <c r="U117" s="19">
        <v>3399.1379999999999</v>
      </c>
      <c r="V117" s="19">
        <v>42798.084999999999</v>
      </c>
      <c r="W117" s="19">
        <v>611416.00800000003</v>
      </c>
      <c r="X117" s="19">
        <v>8789</v>
      </c>
      <c r="Y117" s="19">
        <v>350.702</v>
      </c>
      <c r="Z117" s="19">
        <v>279.78699999999998</v>
      </c>
      <c r="AA117" s="19">
        <v>315.22399999999999</v>
      </c>
      <c r="AB117" s="19">
        <v>761.16</v>
      </c>
      <c r="AC117" s="19">
        <v>2977.43</v>
      </c>
      <c r="AD117" s="19">
        <v>470.55799999999999</v>
      </c>
      <c r="AE117" s="19">
        <v>1342.3679999999999</v>
      </c>
      <c r="AF117" s="19">
        <v>1113</v>
      </c>
      <c r="AG117" s="19">
        <v>240</v>
      </c>
      <c r="AH117" s="19">
        <v>831.77099999999996</v>
      </c>
      <c r="AI117" s="19">
        <v>107</v>
      </c>
    </row>
    <row r="118" spans="1:35" x14ac:dyDescent="0.25">
      <c r="A118" s="6">
        <v>2016</v>
      </c>
      <c r="B118" s="19">
        <v>120818.478</v>
      </c>
      <c r="C118" s="19">
        <v>16396.741999999998</v>
      </c>
      <c r="D118" s="19">
        <v>8969.2759999999998</v>
      </c>
      <c r="E118" s="19">
        <v>6323.2209999999995</v>
      </c>
      <c r="F118" s="19">
        <v>6274.7219999999998</v>
      </c>
      <c r="G118" s="19">
        <v>4870.4160000000002</v>
      </c>
      <c r="H118" s="19">
        <v>3911.0839999999998</v>
      </c>
      <c r="I118" s="19">
        <v>11238.664000000001</v>
      </c>
      <c r="J118" s="19">
        <v>10878.053</v>
      </c>
      <c r="K118" s="19">
        <v>10591.567999999999</v>
      </c>
      <c r="L118" s="19">
        <v>4051.9059999999999</v>
      </c>
      <c r="M118" s="19">
        <v>30765.7</v>
      </c>
      <c r="N118" s="19">
        <v>48708.623</v>
      </c>
      <c r="O118" s="19">
        <v>15607.1</v>
      </c>
      <c r="P118" s="19">
        <v>31201.238000000001</v>
      </c>
      <c r="Q118" s="19">
        <v>11097.22</v>
      </c>
      <c r="R118" s="19">
        <v>18163.547999999999</v>
      </c>
      <c r="S118" s="19">
        <v>203787.625</v>
      </c>
      <c r="T118" s="19">
        <v>6681.4669999999996</v>
      </c>
      <c r="U118" s="19">
        <v>3411.018</v>
      </c>
      <c r="V118" s="19">
        <v>43179.366999999998</v>
      </c>
      <c r="W118" s="19">
        <v>617245.95900000003</v>
      </c>
      <c r="X118" s="19">
        <v>8842.89</v>
      </c>
      <c r="Y118" s="19">
        <v>353.37200000000001</v>
      </c>
      <c r="Z118" s="19">
        <v>280.327</v>
      </c>
      <c r="AA118" s="19">
        <v>319.76</v>
      </c>
      <c r="AB118" s="19">
        <v>758.87</v>
      </c>
      <c r="AC118" s="19">
        <v>3007.2710000000002</v>
      </c>
      <c r="AD118" s="19">
        <v>472.625</v>
      </c>
      <c r="AE118" s="19">
        <v>1343.4780000000001</v>
      </c>
      <c r="AF118" s="19">
        <v>1120.549</v>
      </c>
      <c r="AG118" s="19">
        <v>241.297</v>
      </c>
      <c r="AH118" s="19">
        <v>838.03800000000001</v>
      </c>
      <c r="AI118" s="19">
        <v>107</v>
      </c>
    </row>
    <row r="119" spans="1:35" x14ac:dyDescent="0.25">
      <c r="A119" s="6">
        <v>2017</v>
      </c>
      <c r="B119" s="19">
        <v>121933.106</v>
      </c>
      <c r="C119" s="19">
        <v>16729.93</v>
      </c>
      <c r="D119" s="19">
        <v>9130.7090000000007</v>
      </c>
      <c r="E119" s="19">
        <v>6350.7579999999998</v>
      </c>
      <c r="F119" s="19">
        <v>6356.518</v>
      </c>
      <c r="G119" s="19">
        <v>4919.8950000000004</v>
      </c>
      <c r="H119" s="19">
        <v>3971.7809999999999</v>
      </c>
      <c r="I119" s="19">
        <v>11228.239</v>
      </c>
      <c r="J119" s="19">
        <v>11034.829</v>
      </c>
      <c r="K119" s="19">
        <v>10706.616</v>
      </c>
      <c r="L119" s="19">
        <v>4059.6109999999999</v>
      </c>
      <c r="M119" s="19">
        <v>30565.3</v>
      </c>
      <c r="N119" s="19">
        <v>49349.754000000001</v>
      </c>
      <c r="O119" s="19">
        <v>15814.421</v>
      </c>
      <c r="P119" s="19">
        <v>31600.159</v>
      </c>
      <c r="Q119" s="19">
        <v>11258.931</v>
      </c>
      <c r="R119" s="19">
        <v>18380.603999999999</v>
      </c>
      <c r="S119" s="19">
        <v>205209.60200000001</v>
      </c>
      <c r="T119" s="19">
        <v>6779.4639999999999</v>
      </c>
      <c r="U119" s="19">
        <v>3422.078</v>
      </c>
      <c r="V119" s="19">
        <v>43541.951000000001</v>
      </c>
      <c r="W119" s="19">
        <v>622988.34400000004</v>
      </c>
      <c r="X119" s="19">
        <v>8896.2999999999993</v>
      </c>
      <c r="Y119" s="19">
        <v>355.988</v>
      </c>
      <c r="Z119" s="19">
        <v>280.84399999999999</v>
      </c>
      <c r="AA119" s="19">
        <v>324.23700000000002</v>
      </c>
      <c r="AB119" s="19">
        <v>756.10799999999995</v>
      </c>
      <c r="AC119" s="19">
        <v>3037.741</v>
      </c>
      <c r="AD119" s="19">
        <v>474.58600000000001</v>
      </c>
      <c r="AE119" s="19">
        <v>1344.491</v>
      </c>
      <c r="AF119" s="19">
        <v>1127.8869999999999</v>
      </c>
      <c r="AG119" s="19">
        <v>242.58199999999999</v>
      </c>
      <c r="AH119" s="19">
        <v>844.29200000000003</v>
      </c>
      <c r="AI119" s="19">
        <v>107</v>
      </c>
    </row>
    <row r="120" spans="1:35" x14ac:dyDescent="0.25">
      <c r="A120" s="6">
        <v>2018</v>
      </c>
      <c r="B120" s="19">
        <v>123046.724</v>
      </c>
      <c r="C120" s="19">
        <v>17053.008999999998</v>
      </c>
      <c r="D120" s="19">
        <v>9292.0930000000008</v>
      </c>
      <c r="E120" s="19">
        <v>6375.6080000000002</v>
      </c>
      <c r="F120" s="19">
        <v>6437.8249999999998</v>
      </c>
      <c r="G120" s="19">
        <v>4968.62</v>
      </c>
      <c r="H120" s="19">
        <v>4032.069</v>
      </c>
      <c r="I120" s="19">
        <v>11215.668</v>
      </c>
      <c r="J120" s="19">
        <v>11190.764999999999</v>
      </c>
      <c r="K120" s="19">
        <v>10820.56</v>
      </c>
      <c r="L120" s="19">
        <v>4066.297</v>
      </c>
      <c r="M120" s="19">
        <v>29807.599999999999</v>
      </c>
      <c r="N120" s="19">
        <v>50086.741999999998</v>
      </c>
      <c r="O120" s="19">
        <v>16039.808000000001</v>
      </c>
      <c r="P120" s="19">
        <v>32055.897000000001</v>
      </c>
      <c r="Q120" s="19">
        <v>11419.404</v>
      </c>
      <c r="R120" s="19">
        <v>18617.191999999999</v>
      </c>
      <c r="S120" s="19">
        <v>206566.48</v>
      </c>
      <c r="T120" s="19">
        <v>6876.5410000000002</v>
      </c>
      <c r="U120" s="19">
        <v>3431.7089999999998</v>
      </c>
      <c r="V120" s="19">
        <v>43891.152000000002</v>
      </c>
      <c r="W120" s="19">
        <v>628622.69999999995</v>
      </c>
      <c r="X120" s="19">
        <v>8948.4639999999999</v>
      </c>
      <c r="Y120" s="19">
        <v>358.53300000000002</v>
      </c>
      <c r="Z120" s="19">
        <v>281.31799999999998</v>
      </c>
      <c r="AA120" s="19">
        <v>328.63400000000001</v>
      </c>
      <c r="AB120" s="19">
        <v>752.97699999999998</v>
      </c>
      <c r="AC120" s="19">
        <v>3068.3029999999999</v>
      </c>
      <c r="AD120" s="19">
        <v>476.42599999999999</v>
      </c>
      <c r="AE120" s="19">
        <v>1345.319</v>
      </c>
      <c r="AF120" s="19">
        <v>1135.05</v>
      </c>
      <c r="AG120" s="19">
        <v>243.81700000000001</v>
      </c>
      <c r="AH120" s="19">
        <v>850.452</v>
      </c>
      <c r="AI120" s="19">
        <v>107</v>
      </c>
    </row>
    <row r="121" spans="1:35" x14ac:dyDescent="0.25">
      <c r="A121" s="6">
        <v>2019</v>
      </c>
      <c r="B121" s="19">
        <v>124152.376</v>
      </c>
      <c r="C121" s="19">
        <v>17365.539000000001</v>
      </c>
      <c r="D121" s="19">
        <v>9453.0859999999993</v>
      </c>
      <c r="E121" s="19">
        <v>6398.8280000000004</v>
      </c>
      <c r="F121" s="19">
        <v>6518.05</v>
      </c>
      <c r="G121" s="19">
        <v>5015.8419999999996</v>
      </c>
      <c r="H121" s="19">
        <v>4090.9279999999999</v>
      </c>
      <c r="I121" s="19">
        <v>11200.864</v>
      </c>
      <c r="J121" s="19">
        <v>11345.546</v>
      </c>
      <c r="K121" s="19">
        <v>10931.679</v>
      </c>
      <c r="L121" s="19">
        <v>4071.011</v>
      </c>
      <c r="M121" s="19">
        <v>28938.1</v>
      </c>
      <c r="N121" s="19">
        <v>50813.783000000003</v>
      </c>
      <c r="O121" s="19">
        <v>16265.2</v>
      </c>
      <c r="P121" s="19">
        <v>32499.505000000001</v>
      </c>
      <c r="Q121" s="19">
        <v>11578.439</v>
      </c>
      <c r="R121" s="19">
        <v>18836.847000000002</v>
      </c>
      <c r="S121" s="19">
        <v>207868.03899999999</v>
      </c>
      <c r="T121" s="19">
        <v>6972.4979999999996</v>
      </c>
      <c r="U121" s="19">
        <v>3439.5010000000002</v>
      </c>
      <c r="V121" s="19">
        <v>44213.832000000002</v>
      </c>
      <c r="W121" s="19">
        <v>634128.56200000003</v>
      </c>
      <c r="X121" s="19">
        <v>8998.6200000000008</v>
      </c>
      <c r="Y121" s="19">
        <v>360.988</v>
      </c>
      <c r="Z121" s="19">
        <v>281.72699999999998</v>
      </c>
      <c r="AA121" s="19">
        <v>332.93099999999998</v>
      </c>
      <c r="AB121" s="19">
        <v>749.58299999999997</v>
      </c>
      <c r="AC121" s="19">
        <v>3098.4209999999998</v>
      </c>
      <c r="AD121" s="19">
        <v>478.12599999999998</v>
      </c>
      <c r="AE121" s="19">
        <v>1345.8789999999999</v>
      </c>
      <c r="AF121" s="19">
        <v>1142.075</v>
      </c>
      <c r="AG121" s="19">
        <v>244.96799999999999</v>
      </c>
      <c r="AH121" s="19">
        <v>856.43600000000004</v>
      </c>
      <c r="AI121" s="19">
        <v>107</v>
      </c>
    </row>
    <row r="122" spans="1:35" x14ac:dyDescent="0.25">
      <c r="A122" s="6">
        <v>2020</v>
      </c>
      <c r="B122" s="19">
        <v>125163.257</v>
      </c>
      <c r="C122" s="19">
        <v>17674.830000000002</v>
      </c>
      <c r="D122" s="19">
        <v>9611.5460000000003</v>
      </c>
      <c r="E122" s="19">
        <v>6427.03</v>
      </c>
      <c r="F122" s="19">
        <v>6596.1040000000003</v>
      </c>
      <c r="G122" s="19">
        <v>5059.2569999999996</v>
      </c>
      <c r="H122" s="19">
        <v>4145.4369999999999</v>
      </c>
      <c r="I122" s="19">
        <v>11184.838</v>
      </c>
      <c r="J122" s="19">
        <v>11497.706</v>
      </c>
      <c r="K122" s="19">
        <v>11042.799000000001</v>
      </c>
      <c r="L122" s="19">
        <v>4072.8029999999999</v>
      </c>
      <c r="M122" s="19">
        <v>28444.1</v>
      </c>
      <c r="N122" s="19">
        <v>51454.123</v>
      </c>
      <c r="O122" s="19">
        <v>16447.638999999999</v>
      </c>
      <c r="P122" s="19">
        <v>32859.580999999998</v>
      </c>
      <c r="Q122" s="19">
        <v>11727.187</v>
      </c>
      <c r="R122" s="19">
        <v>18988.401000000002</v>
      </c>
      <c r="S122" s="19">
        <v>209067.60699999999</v>
      </c>
      <c r="T122" s="19">
        <v>7068.1329999999998</v>
      </c>
      <c r="U122" s="19">
        <v>3446.4929999999999</v>
      </c>
      <c r="V122" s="19">
        <v>44482.906000000003</v>
      </c>
      <c r="W122" s="19">
        <v>639485.46499999997</v>
      </c>
      <c r="X122" s="19">
        <v>9046</v>
      </c>
      <c r="Y122" s="19">
        <v>363.33499999999998</v>
      </c>
      <c r="Z122" s="19">
        <v>282.05200000000002</v>
      </c>
      <c r="AA122" s="19">
        <v>337.10700000000003</v>
      </c>
      <c r="AB122" s="19">
        <v>746.02800000000002</v>
      </c>
      <c r="AC122" s="19">
        <v>3127.5569999999998</v>
      </c>
      <c r="AD122" s="19">
        <v>479.67200000000003</v>
      </c>
      <c r="AE122" s="19">
        <v>1346.085</v>
      </c>
      <c r="AF122" s="19">
        <v>1149</v>
      </c>
      <c r="AG122" s="19">
        <v>246</v>
      </c>
      <c r="AH122" s="19">
        <v>862.16399999999999</v>
      </c>
      <c r="AI122" s="19">
        <v>107</v>
      </c>
    </row>
    <row r="123" spans="1:35" x14ac:dyDescent="0.25">
      <c r="A123" s="6">
        <v>2021</v>
      </c>
      <c r="B123" s="19">
        <v>126065.887</v>
      </c>
      <c r="C123" s="19">
        <v>17977.419000000002</v>
      </c>
      <c r="D123" s="19">
        <v>9766.0030000000006</v>
      </c>
      <c r="E123" s="19">
        <v>6459.6490000000003</v>
      </c>
      <c r="F123" s="19">
        <v>6672.0460000000003</v>
      </c>
      <c r="G123" s="19">
        <v>5098.1279999999997</v>
      </c>
      <c r="H123" s="19">
        <v>4196.5039999999999</v>
      </c>
      <c r="I123" s="19">
        <v>11154.347</v>
      </c>
      <c r="J123" s="19">
        <v>11645.495999999999</v>
      </c>
      <c r="K123" s="19">
        <v>11153.264999999999</v>
      </c>
      <c r="L123" s="19">
        <v>4072.8150000000001</v>
      </c>
      <c r="M123" s="19">
        <v>28237.8</v>
      </c>
      <c r="N123" s="19">
        <v>52007.404000000002</v>
      </c>
      <c r="O123" s="19">
        <v>16594.731</v>
      </c>
      <c r="P123" s="19">
        <v>33181.512000000002</v>
      </c>
      <c r="Q123" s="19">
        <v>11862.968000000001</v>
      </c>
      <c r="R123" s="19">
        <v>19094.521000000001</v>
      </c>
      <c r="S123" s="19">
        <v>210081.06299999999</v>
      </c>
      <c r="T123" s="19">
        <v>7159.018</v>
      </c>
      <c r="U123" s="19">
        <v>3451.136</v>
      </c>
      <c r="V123" s="19">
        <v>44699.696000000004</v>
      </c>
      <c r="W123" s="19">
        <v>644708.93299999996</v>
      </c>
      <c r="X123" s="19">
        <v>9091.1409999999996</v>
      </c>
      <c r="Y123" s="19">
        <v>365.59500000000003</v>
      </c>
      <c r="Z123" s="19">
        <v>282.33199999999999</v>
      </c>
      <c r="AA123" s="19">
        <v>341.17700000000002</v>
      </c>
      <c r="AB123" s="19">
        <v>742.22299999999996</v>
      </c>
      <c r="AC123" s="19">
        <v>3155.8290000000002</v>
      </c>
      <c r="AD123" s="19">
        <v>481.11500000000001</v>
      </c>
      <c r="AE123" s="19">
        <v>1345.7470000000001</v>
      </c>
      <c r="AF123" s="19">
        <v>1155.8889999999999</v>
      </c>
      <c r="AG123" s="19">
        <v>246.92099999999999</v>
      </c>
      <c r="AH123" s="19">
        <v>867.69200000000001</v>
      </c>
      <c r="AI123" s="19">
        <v>106.928</v>
      </c>
    </row>
    <row r="124" spans="1:35" x14ac:dyDescent="0.25">
      <c r="A124" s="6">
        <v>2022</v>
      </c>
      <c r="B124" s="19">
        <v>127014.602</v>
      </c>
      <c r="C124" s="19">
        <v>18283.587</v>
      </c>
      <c r="D124" s="19">
        <v>9921.3940000000002</v>
      </c>
      <c r="E124" s="19">
        <v>6494.2020000000002</v>
      </c>
      <c r="F124" s="19">
        <v>6750.4979999999996</v>
      </c>
      <c r="G124" s="19">
        <v>5135.1049999999996</v>
      </c>
      <c r="H124" s="19">
        <v>4249.0479999999998</v>
      </c>
      <c r="I124" s="19">
        <v>11118.74</v>
      </c>
      <c r="J124" s="19">
        <v>11792.097</v>
      </c>
      <c r="K124" s="19">
        <v>11258.73</v>
      </c>
      <c r="L124" s="19">
        <v>4072.8229999999999</v>
      </c>
      <c r="M124" s="19">
        <v>28213</v>
      </c>
      <c r="N124" s="19">
        <v>52552.142999999996</v>
      </c>
      <c r="O124" s="19">
        <v>16744.171999999999</v>
      </c>
      <c r="P124" s="19">
        <v>33503.010999999999</v>
      </c>
      <c r="Q124" s="19">
        <v>12007.199000000001</v>
      </c>
      <c r="R124" s="19">
        <v>19204.635999999999</v>
      </c>
      <c r="S124" s="19">
        <v>211004.45800000001</v>
      </c>
      <c r="T124" s="19">
        <v>7247.2240000000002</v>
      </c>
      <c r="U124" s="19">
        <v>3453.8829999999998</v>
      </c>
      <c r="V124" s="19">
        <v>44901.58</v>
      </c>
      <c r="W124" s="19">
        <v>649820.30000000005</v>
      </c>
      <c r="X124" s="19">
        <v>9134.7780000000002</v>
      </c>
      <c r="Y124" s="19">
        <v>367.78699999999998</v>
      </c>
      <c r="Z124" s="19">
        <v>282.59899999999999</v>
      </c>
      <c r="AA124" s="19">
        <v>345.161</v>
      </c>
      <c r="AB124" s="19">
        <v>738.04399999999998</v>
      </c>
      <c r="AC124" s="19">
        <v>3183.6260000000002</v>
      </c>
      <c r="AD124" s="19">
        <v>482.48899999999998</v>
      </c>
      <c r="AE124" s="19">
        <v>1344.8420000000001</v>
      </c>
      <c r="AF124" s="19">
        <v>1162.723</v>
      </c>
      <c r="AG124" s="19">
        <v>247.77</v>
      </c>
      <c r="AH124" s="19">
        <v>873.08900000000006</v>
      </c>
      <c r="AI124" s="19">
        <v>106.744</v>
      </c>
    </row>
    <row r="125" spans="1:35" x14ac:dyDescent="0.25">
      <c r="A125" s="6">
        <v>2023</v>
      </c>
      <c r="B125" s="19">
        <v>128028.875</v>
      </c>
      <c r="C125" s="19">
        <v>18602.863000000001</v>
      </c>
      <c r="D125" s="19">
        <v>10079.164000000001</v>
      </c>
      <c r="E125" s="19">
        <v>6531.3379999999997</v>
      </c>
      <c r="F125" s="19">
        <v>6831.4629999999997</v>
      </c>
      <c r="G125" s="19">
        <v>5172.7780000000002</v>
      </c>
      <c r="H125" s="19">
        <v>4302.6400000000003</v>
      </c>
      <c r="I125" s="19">
        <v>11093.55</v>
      </c>
      <c r="J125" s="19">
        <v>11940.736999999999</v>
      </c>
      <c r="K125" s="19">
        <v>11359.839</v>
      </c>
      <c r="L125" s="19">
        <v>4072.83</v>
      </c>
      <c r="M125" s="19">
        <v>28300.9</v>
      </c>
      <c r="N125" s="19">
        <v>53108.557000000001</v>
      </c>
      <c r="O125" s="19">
        <v>16900.483</v>
      </c>
      <c r="P125" s="19">
        <v>33848.114999999998</v>
      </c>
      <c r="Q125" s="19">
        <v>12163.937</v>
      </c>
      <c r="R125" s="19">
        <v>19317.324000000001</v>
      </c>
      <c r="S125" s="19">
        <v>211944.31400000001</v>
      </c>
      <c r="T125" s="19">
        <v>7338.4250000000002</v>
      </c>
      <c r="U125" s="19">
        <v>3457.9369999999999</v>
      </c>
      <c r="V125" s="19">
        <v>45118</v>
      </c>
      <c r="W125" s="19">
        <v>654807.81499999994</v>
      </c>
      <c r="X125" s="19">
        <v>9176.4449999999997</v>
      </c>
      <c r="Y125" s="19">
        <v>369.89499999999998</v>
      </c>
      <c r="Z125" s="19">
        <v>282.827</v>
      </c>
      <c r="AA125" s="19">
        <v>349.04500000000002</v>
      </c>
      <c r="AB125" s="19">
        <v>733.54700000000003</v>
      </c>
      <c r="AC125" s="19">
        <v>3210.8180000000002</v>
      </c>
      <c r="AD125" s="19">
        <v>483.75299999999999</v>
      </c>
      <c r="AE125" s="19">
        <v>1343.5340000000001</v>
      </c>
      <c r="AF125" s="19">
        <v>1169.413</v>
      </c>
      <c r="AG125" s="19">
        <v>248.559</v>
      </c>
      <c r="AH125" s="19">
        <v>878.29499999999996</v>
      </c>
      <c r="AI125" s="19">
        <v>106.496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Notes</vt:lpstr>
      <vt:lpstr>SALA 1974</vt:lpstr>
      <vt:lpstr>SALA 2002</vt:lpstr>
      <vt:lpstr>SALA Alt</vt:lpstr>
      <vt:lpstr>WPP 2024 начало года</vt:lpstr>
      <vt:lpstr>WPP 2024 середина года</vt:lpstr>
      <vt:lpstr>SALA WPP 2024 195x</vt:lpstr>
      <vt:lpstr>SALA WPP 2024 199x</vt:lpstr>
      <vt:lpstr>CEPAL</vt:lpstr>
      <vt:lpstr>CEPAL годовые</vt:lpstr>
      <vt:lpstr>SALA WPP 195x и Бриньоли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sergey</cp:lastModifiedBy>
  <dcterms:created xsi:type="dcterms:W3CDTF">2026-05-16T19:05:17Z</dcterms:created>
  <dcterms:modified xsi:type="dcterms:W3CDTF">2026-06-14T17:26:58Z</dcterms:modified>
</cp:coreProperties>
</file>