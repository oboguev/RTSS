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8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9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0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2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F0FE2CF3-2828-4D64-878D-0A1304623CFF}" xr6:coauthVersionLast="45" xr6:coauthVersionMax="47" xr10:uidLastSave="{00000000-0000-0000-0000-000000000000}"/>
  <bookViews>
    <workbookView xWindow="-60" yWindow="-60" windowWidth="38520" windowHeight="23700" tabRatio="746" firstSheet="17" activeTab="25" xr2:uid="{1C09CCFF-0B27-4A10-912F-66BA333F54C8}"/>
  </bookViews>
  <sheets>
    <sheet name="Notes" sheetId="2" r:id="rId1"/>
    <sheet name="Бриньоли-1993" sheetId="47" r:id="rId2"/>
    <sheet name="Бриньоли-1993-годовые" sheetId="48" r:id="rId3"/>
    <sheet name="Все страны" sheetId="1" r:id="rId4"/>
    <sheet name="Все годичные" sheetId="4" r:id="rId5"/>
    <sheet name="Аргентина-Бриньоли" sheetId="23" r:id="rId6"/>
    <sheet name="Аргентина-Колвер" sheetId="14" r:id="rId7"/>
    <sheet name="Аргентина-Ротман" sheetId="15" r:id="rId8"/>
    <sheet name="Боливия-Колвер" sheetId="21" r:id="rId9"/>
    <sheet name="Боливия-WPP" sheetId="30" r:id="rId10"/>
    <sheet name="Бразилия" sheetId="3" r:id="rId11"/>
    <sheet name="Венесуэла-Колвер" sheetId="5" r:id="rId12"/>
    <sheet name="Венесуэла-Бриньоли" sheetId="24" r:id="rId13"/>
    <sheet name="Гватемала-Бриньоли" sheetId="42" r:id="rId14"/>
    <sheet name="Гватемала-Колвер" sheetId="7" r:id="rId15"/>
    <sheet name="Гватемала-Колвер-без-кризиса" sheetId="41" r:id="rId16"/>
    <sheet name="Гондурас-Бриньоли" sheetId="44" r:id="rId17"/>
    <sheet name="Гондурас-Колвер" sheetId="22" r:id="rId18"/>
    <sheet name="Гондурас-Колвер-правка" sheetId="32" r:id="rId19"/>
    <sheet name="Доминиканская республика" sheetId="33" r:id="rId20"/>
    <sheet name="Колумбия" sheetId="8" r:id="rId21"/>
    <sheet name="Коста-Рика-Бриньоли-1993" sheetId="25" r:id="rId22"/>
    <sheet name="Коста-Рика-Бриньоли-2015" sheetId="46" r:id="rId23"/>
    <sheet name="Коста-Рика-Колвер" sheetId="6" r:id="rId24"/>
    <sheet name="Куба-все" sheetId="40" r:id="rId25"/>
    <sheet name="Куба-Бриньоли" sheetId="26" r:id="rId26"/>
    <sheet name="Куба-Колвер" sheetId="18" r:id="rId27"/>
    <sheet name="Мексика-Бриньоли-WPP" sheetId="29" r:id="rId28"/>
    <sheet name="Мексика-Бриньоли-WPP-реформа" sheetId="38" r:id="rId29"/>
    <sheet name="Мексика-Бриньоли-CONAPO" sheetId="34" r:id="rId30"/>
    <sheet name="Мексика-Бриньоли-CONAPO-реформа" sheetId="39" r:id="rId31"/>
    <sheet name="Мексика-Колвер-WPP" sheetId="19" r:id="rId32"/>
    <sheet name="Мексика-Колвер-WPP-реформа" sheetId="36" r:id="rId33"/>
    <sheet name="Мексика-Колвер-CONAPO" sheetId="35" r:id="rId34"/>
    <sheet name="Мексика-Колвер-CONAPO-реформа" sheetId="37" r:id="rId35"/>
    <sheet name="Никарагуа-Бриньоли" sheetId="45" r:id="rId36"/>
    <sheet name="Панама" sheetId="17" r:id="rId37"/>
    <sheet name="Парагвай" sheetId="10" r:id="rId38"/>
    <sheet name="Перу" sheetId="11" r:id="rId39"/>
    <sheet name="Сальвадор-Бриньоли" sheetId="43" r:id="rId40"/>
    <sheet name="Сальвадор-Колвер" sheetId="12" r:id="rId41"/>
    <sheet name="Уругвай-Бриньоли" sheetId="27" r:id="rId42"/>
    <sheet name="Уругвай-Ротман" sheetId="16" r:id="rId43"/>
    <sheet name="Уругвай-Митчел" sheetId="20" r:id="rId44"/>
    <sheet name="Чили-Бриньоли" sheetId="28" r:id="rId45"/>
    <sheet name="Чили-Колвер" sheetId="13" r:id="rId46"/>
    <sheet name="Эквадор" sheetId="9" r:id="rId47"/>
  </sheets>
  <definedNames>
    <definedName name="LIFT" localSheetId="18">'Гондурас-Колвер-правка'!$B$118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2" i="20" l="1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A122" i="46" l="1"/>
  <c r="A123" i="46" s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61" i="45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9" i="43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1" i="44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20" i="42"/>
  <c r="A121" i="42" s="1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<sst xmlns="http://schemas.openxmlformats.org/spreadsheetml/2006/main" count="947" uniqueCount="442">
  <si>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</si>
  <si>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</si>
  <si>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</si>
  <si>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</si>
  <si>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</si>
  <si>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</si>
  <si>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</si>
  <si>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</si>
  <si>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</si>
  <si>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</si>
  <si>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</si>
  <si>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</si>
  <si>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</si>
  <si>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</si>
  <si>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</si>
  <si>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</si>
  <si>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</si>
  <si>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</si>
  <si>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</si>
  <si>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</si>
  <si>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</si>
  <si>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</si>
  <si>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</si>
  <si>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</si>
  <si>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</si>
  <si>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</si>
  <si>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</si>
  <si>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</si>
  <si>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</si>
  <si>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</si>
  <si>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</si>
  <si>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</si>
  <si>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</si>
  <si>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</si>
  <si>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</si>
  <si>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</si>
  <si>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</si>
  <si>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</si>
  <si>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</si>
  <si>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</si>
  <si>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</si>
  <si>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</si>
  <si>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</si>
  <si>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</si>
  <si>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</si>
  <si>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</si>
  <si>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</si>
  <si>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</si>
  <si>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</si>
  <si>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</si>
  <si>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</si>
  <si>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</si>
  <si>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</si>
  <si>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</si>
  <si>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</si>
  <si>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</si>
  <si>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</si>
  <si>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</si>
  <si>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</si>
  <si>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</si>
  <si>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</si>
  <si>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</si>
  <si>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</si>
  <si>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</si>
  <si>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</si>
  <si>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</si>
  <si>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</si>
  <si>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</si>
  <si>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</si>
  <si>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</si>
  <si>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</si>
  <si>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</si>
  <si>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</si>
  <si>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</si>
  <si>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</si>
  <si>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</si>
  <si>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</si>
  <si>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</si>
  <si>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</si>
  <si>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</si>
  <si>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</si>
  <si>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</si>
  <si>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</si>
  <si>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</si>
  <si>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</si>
  <si>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</si>
  <si>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</si>
  <si>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</si>
  <si>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</si>
  <si>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</si>
  <si>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</si>
  <si>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</si>
  <si>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</si>
  <si>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</si>
  <si>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</si>
  <si>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</si>
  <si>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</si>
  <si>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</si>
  <si>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</si>
  <si>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</si>
  <si>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</si>
  <si>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</si>
  <si>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</si>
  <si>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</si>
  <si>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</si>
  <si>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</si>
  <si>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</si>
  <si>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</si>
  <si>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</si>
  <si>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</si>
  <si>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</si>
  <si>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</si>
  <si>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</si>
  <si>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</si>
  <si>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</si>
  <si>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</si>
  <si>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</si>
  <si>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</si>
  <si>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</si>
  <si>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</si>
  <si>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</si>
  <si>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</si>
  <si>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</si>
  <si>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</si>
  <si>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</si>
  <si>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</si>
  <si>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</si>
  <si>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</si>
  <si>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</si>
  <si>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</si>
  <si>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</si>
  <si>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</si>
  <si>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</si>
  <si>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</si>
  <si>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</si>
  <si>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</si>
  <si>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</si>
  <si>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</si>
  <si>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</si>
  <si>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</si>
  <si>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</si>
  <si>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</si>
  <si>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</si>
  <si>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</si>
  <si>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</si>
  <si>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</si>
  <si>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</si>
  <si>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</si>
  <si>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</si>
  <si>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</si>
  <si>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</si>
  <si>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</si>
  <si>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</si>
  <si>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</si>
  <si>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</si>
  <si>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</si>
  <si>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</si>
  <si>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</si>
  <si>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</si>
  <si>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</si>
  <si>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</si>
  <si>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</si>
  <si>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</si>
  <si>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</si>
  <si>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</si>
  <si>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</si>
  <si>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</si>
  <si>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</si>
  <si>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</si>
  <si>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</si>
  <si>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</si>
  <si>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</si>
  <si>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</si>
  <si>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</si>
  <si>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</si>
  <si>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</si>
  <si>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</si>
  <si>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</si>
  <si>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</si>
  <si>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</si>
  <si>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</si>
  <si>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</si>
  <si>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</si>
  <si>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</si>
  <si>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</si>
  <si>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</si>
  <si>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</si>
  <si>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</si>
  <si>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</si>
  <si>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</si>
  <si>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</si>
  <si>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</si>
  <si>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</si>
  <si>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</si>
  <si>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</si>
  <si>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</si>
  <si>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</si>
  <si>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</si>
  <si>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</si>
  <si>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</si>
  <si>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</si>
  <si>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</si>
  <si>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</si>
  <si>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</si>
  <si>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</si>
  <si>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</si>
  <si>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</si>
  <si>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</si>
  <si>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</si>
  <si>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</si>
  <si>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</si>
  <si>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</si>
  <si>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</si>
  <si>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</si>
  <si>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</si>
  <si>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</si>
  <si>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</si>
  <si>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</si>
  <si>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</si>
  <si>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</si>
  <si>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</si>
  <si>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</si>
  <si>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</si>
  <si>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</si>
  <si>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</si>
  <si>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</si>
  <si>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</si>
  <si>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</si>
  <si>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</si>
  <si>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</si>
  <si>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</si>
  <si>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</si>
  <si>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</si>
  <si>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</si>
  <si>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</si>
  <si>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</si>
  <si>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</si>
  <si>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</si>
  <si>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</si>
  <si>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</si>
  <si>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</si>
  <si>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</si>
  <si>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</si>
  <si>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</si>
  <si>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</si>
  <si>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</si>
  <si>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</si>
  <si>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</si>
  <si>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</si>
  <si>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</si>
  <si>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</si>
  <si>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</si>
  <si>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</si>
  <si>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</si>
  <si>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</si>
  <si>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</si>
  <si>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</si>
  <si>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</si>
  <si>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</si>
  <si>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</si>
  <si>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</si>
  <si>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</si>
  <si>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</si>
  <si>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</si>
  <si>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</si>
  <si>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</si>
  <si>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</si>
  <si>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</si>
  <si>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</si>
  <si>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</si>
  <si>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</si>
  <si>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</si>
  <si>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</si>
  <si>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</si>
  <si>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</si>
  <si>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</si>
  <si>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</si>
  <si>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</si>
  <si>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</si>
  <si>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</si>
  <si>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</si>
  <si>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</si>
  <si>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</si>
  <si>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</si>
  <si>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</si>
  <si>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</si>
  <si>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</si>
  <si>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</si>
  <si>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</si>
  <si>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</si>
  <si>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</si>
  <si>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</si>
  <si>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</si>
  <si>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</si>
  <si>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</si>
  <si>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</si>
  <si>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</si>
  <si>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</si>
  <si>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</si>
  <si>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</si>
  <si>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</si>
  <si>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</si>
  <si>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</si>
  <si>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</si>
  <si>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</si>
  <si>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</si>
  <si>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</si>
  <si>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</si>
  <si>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</si>
  <si>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</si>
  <si>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</si>
  <si>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</si>
  <si>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</si>
  <si>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</si>
  <si>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</si>
  <si>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</si>
  <si>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</si>
  <si>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</si>
  <si>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</si>
  <si>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</si>
  <si>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</si>
  <si>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</si>
  <si>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</si>
  <si>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</si>
  <si>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</si>
  <si>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</si>
  <si>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</si>
  <si>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</si>
  <si>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</si>
  <si>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</si>
  <si>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</si>
  <si>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</si>
  <si>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</si>
  <si>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</si>
  <si>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</si>
  <si>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</si>
  <si>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</si>
  <si>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</si>
  <si>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</si>
  <si>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</si>
  <si>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</si>
  <si>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</si>
  <si>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</si>
  <si>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</si>
  <si>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</si>
  <si>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</si>
  <si>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</si>
  <si>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</si>
  <si>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</si>
  <si>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</si>
  <si>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</si>
  <si>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</si>
  <si>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</si>
  <si>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</si>
  <si>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</si>
  <si>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</si>
  <si>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</si>
  <si>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</si>
  <si>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</si>
  <si>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</si>
  <si>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</si>
  <si>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</si>
  <si>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</si>
  <si>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</si>
  <si>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</si>
  <si>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</si>
  <si>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</si>
  <si>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</si>
  <si>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</si>
  <si>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</si>
  <si>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</si>
  <si>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</si>
  <si>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</si>
  <si>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</si>
  <si>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</si>
  <si>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</si>
  <si>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</si>
  <si>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</si>
  <si>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</si>
  <si>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</si>
  <si>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</si>
  <si>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</si>
  <si>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</si>
  <si>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</si>
  <si>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</si>
  <si>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</si>
  <si>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</si>
  <si>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</si>
  <si>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</si>
  <si>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</si>
  <si>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</si>
  <si>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</si>
  <si>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</si>
  <si>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</si>
  <si>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</si>
  <si>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Вероятный эпидемический/санитарный всплеск; наиболее вероятно paludismo / malaria, возможно в сочетании с кишечными и другими инфекциями.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</si>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</sst>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47.4818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35.900300000000001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13.339700000000001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10.907</c:v>
                </c:pt>
                <c:pt idx="82">
                  <c:v>10.7324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608647</xdr:colOff>
      <xdr:row>1</xdr:row>
      <xdr:rowOff>153352</xdr:rowOff>
    </xdr:from>
    <xdr:to>
      <xdr:col>32</xdr:col>
      <xdr:colOff>19050</xdr:colOff>
      <xdr:row>47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331470</xdr:colOff>
      <xdr:row>42</xdr:row>
      <xdr:rowOff>172402</xdr:rowOff>
    </xdr:from>
    <xdr:to>
      <xdr:col>35</xdr:col>
      <xdr:colOff>19050</xdr:colOff>
      <xdr:row>102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116</xdr:row>
      <xdr:rowOff>56196</xdr:rowOff>
    </xdr:from>
    <xdr:to>
      <xdr:col>37</xdr:col>
      <xdr:colOff>628650</xdr:colOff>
      <xdr:row>169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17145</xdr:colOff>
      <xdr:row>57</xdr:row>
      <xdr:rowOff>134301</xdr:rowOff>
    </xdr:from>
    <xdr:to>
      <xdr:col>31</xdr:col>
      <xdr:colOff>9525</xdr:colOff>
      <xdr:row>103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561975</xdr:colOff>
      <xdr:row>58</xdr:row>
      <xdr:rowOff>20001</xdr:rowOff>
    </xdr:from>
    <xdr:to>
      <xdr:col>33</xdr:col>
      <xdr:colOff>619125</xdr:colOff>
      <xdr:row>110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3" workbookViewId="0">
      <selection activeCell="B55" sqref="B55:B57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191</v>
      </c>
    </row>
    <row r="76" spans="1:3" x14ac:dyDescent="0.25">
      <c r="B76" t="s">
        <v>192</v>
      </c>
    </row>
    <row r="77" spans="1:3" x14ac:dyDescent="0.25">
      <c r="B77" t="s">
        <v>194</v>
      </c>
    </row>
    <row r="78" spans="1:3" x14ac:dyDescent="0.25">
      <c r="B78" t="s">
        <v>195</v>
      </c>
    </row>
    <row r="80" spans="1:3" x14ac:dyDescent="0.25">
      <c r="B80" t="s">
        <v>193</v>
      </c>
    </row>
    <row r="81" spans="1:3" x14ac:dyDescent="0.25">
      <c r="B81" t="s">
        <v>196</v>
      </c>
    </row>
    <row r="82" spans="1:3" x14ac:dyDescent="0.25">
      <c r="B82" t="s">
        <v>197</v>
      </c>
    </row>
    <row r="83" spans="1:3" x14ac:dyDescent="0.25">
      <c r="B83" t="s">
        <v>198</v>
      </c>
    </row>
    <row r="85" spans="1:3" x14ac:dyDescent="0.25">
      <c r="A85" t="s">
        <v>199</v>
      </c>
    </row>
    <row r="87" spans="1:3" x14ac:dyDescent="0.25">
      <c r="B87" t="s">
        <v>164</v>
      </c>
    </row>
    <row r="88" spans="1:3" x14ac:dyDescent="0.25">
      <c r="B88" t="s">
        <v>165</v>
      </c>
    </row>
    <row r="89" spans="1:3" x14ac:dyDescent="0.25">
      <c r="B89" t="s">
        <v>166</v>
      </c>
    </row>
    <row r="91" spans="1:3" x14ac:dyDescent="0.25">
      <c r="C91" t="s">
        <v>167</v>
      </c>
    </row>
    <row r="92" spans="1:3" x14ac:dyDescent="0.25">
      <c r="C92" t="s">
        <v>168</v>
      </c>
    </row>
    <row r="94" spans="1:3" x14ac:dyDescent="0.25">
      <c r="B94" t="s">
        <v>169</v>
      </c>
    </row>
    <row r="96" spans="1:3" x14ac:dyDescent="0.25">
      <c r="C96" t="s">
        <v>170</v>
      </c>
    </row>
    <row r="97" spans="2:3" x14ac:dyDescent="0.25">
      <c r="C97" t="s">
        <v>171</v>
      </c>
    </row>
    <row r="98" spans="2:3" x14ac:dyDescent="0.25">
      <c r="C98" t="s">
        <v>172</v>
      </c>
    </row>
    <row r="99" spans="2:3" x14ac:dyDescent="0.25">
      <c r="C99" t="s">
        <v>173</v>
      </c>
    </row>
    <row r="101" spans="2:3" x14ac:dyDescent="0.25">
      <c r="B101" t="s">
        <v>184</v>
      </c>
    </row>
    <row r="102" spans="2:3" x14ac:dyDescent="0.25">
      <c r="B102" t="s">
        <v>174</v>
      </c>
    </row>
    <row r="104" spans="2:3" x14ac:dyDescent="0.25">
      <c r="C104" t="s">
        <v>175</v>
      </c>
    </row>
    <row r="105" spans="2:3" x14ac:dyDescent="0.25">
      <c r="C105" t="s">
        <v>176</v>
      </c>
    </row>
    <row r="106" spans="2:3" x14ac:dyDescent="0.25">
      <c r="C106" t="s">
        <v>177</v>
      </c>
    </row>
    <row r="108" spans="2:3" x14ac:dyDescent="0.25">
      <c r="B108" t="s">
        <v>178</v>
      </c>
    </row>
    <row r="109" spans="2:3" x14ac:dyDescent="0.25">
      <c r="B109" t="s">
        <v>179</v>
      </c>
    </row>
    <row r="111" spans="2:3" x14ac:dyDescent="0.25">
      <c r="C111" t="s">
        <v>180</v>
      </c>
    </row>
    <row r="112" spans="2:3" x14ac:dyDescent="0.25">
      <c r="C112" t="s">
        <v>181</v>
      </c>
    </row>
    <row r="113" spans="1:3" x14ac:dyDescent="0.25">
      <c r="C113" t="s">
        <v>182</v>
      </c>
    </row>
    <row r="114" spans="1:3" x14ac:dyDescent="0.25">
      <c r="C114" t="s">
        <v>183</v>
      </c>
    </row>
    <row r="116" spans="1:3" x14ac:dyDescent="0.25">
      <c r="B116" t="s">
        <v>200</v>
      </c>
    </row>
    <row r="117" spans="1:3" x14ac:dyDescent="0.25">
      <c r="B117" t="s">
        <v>201</v>
      </c>
    </row>
    <row r="119" spans="1:3" x14ac:dyDescent="0.25">
      <c r="A119" t="s">
        <v>189</v>
      </c>
    </row>
    <row r="120" spans="1:3" x14ac:dyDescent="0.25">
      <c r="A120" t="s">
        <v>190</v>
      </c>
    </row>
    <row r="122" spans="1:3" x14ac:dyDescent="0.25">
      <c r="A122" t="s">
        <v>138</v>
      </c>
    </row>
    <row r="123" spans="1:3" x14ac:dyDescent="0.25">
      <c r="A123" t="s">
        <v>139</v>
      </c>
    </row>
    <row r="124" spans="1:3" x14ac:dyDescent="0.25">
      <c r="B124" t="s">
        <v>149</v>
      </c>
    </row>
    <row r="125" spans="1:3" x14ac:dyDescent="0.25">
      <c r="B125" t="s">
        <v>139</v>
      </c>
    </row>
    <row r="126" spans="1:3" x14ac:dyDescent="0.25">
      <c r="C126" t="s">
        <v>140</v>
      </c>
    </row>
    <row r="127" spans="1:3" x14ac:dyDescent="0.25">
      <c r="C127" t="s">
        <v>141</v>
      </c>
    </row>
    <row r="128" spans="1:3" x14ac:dyDescent="0.25">
      <c r="C128" t="s">
        <v>142</v>
      </c>
    </row>
    <row r="129" spans="1:3" x14ac:dyDescent="0.25">
      <c r="C129" t="s">
        <v>143</v>
      </c>
    </row>
    <row r="130" spans="1:3" x14ac:dyDescent="0.25">
      <c r="C130" t="s">
        <v>144</v>
      </c>
    </row>
    <row r="131" spans="1:3" x14ac:dyDescent="0.25">
      <c r="C131" t="s">
        <v>139</v>
      </c>
    </row>
    <row r="132" spans="1:3" x14ac:dyDescent="0.25">
      <c r="C132" t="s">
        <v>145</v>
      </c>
    </row>
    <row r="133" spans="1:3" x14ac:dyDescent="0.25">
      <c r="C133" t="s">
        <v>146</v>
      </c>
    </row>
    <row r="134" spans="1:3" x14ac:dyDescent="0.25">
      <c r="C134" t="s">
        <v>147</v>
      </c>
    </row>
    <row r="136" spans="1:3" x14ac:dyDescent="0.25">
      <c r="B136" t="s">
        <v>150</v>
      </c>
    </row>
    <row r="137" spans="1:3" x14ac:dyDescent="0.25">
      <c r="B137" t="s">
        <v>148</v>
      </c>
    </row>
    <row r="138" spans="1:3" x14ac:dyDescent="0.25">
      <c r="B138" t="s">
        <v>159</v>
      </c>
    </row>
    <row r="140" spans="1:3" x14ac:dyDescent="0.25">
      <c r="A140" t="s">
        <v>151</v>
      </c>
    </row>
    <row r="142" spans="1:3" x14ac:dyDescent="0.25">
      <c r="A142" t="s">
        <v>152</v>
      </c>
    </row>
    <row r="144" spans="1:3" x14ac:dyDescent="0.25">
      <c r="A144" t="s">
        <v>186</v>
      </c>
    </row>
    <row r="146" spans="2:2" x14ac:dyDescent="0.25">
      <c r="B146" t="s">
        <v>185</v>
      </c>
    </row>
    <row r="147" spans="2:2" x14ac:dyDescent="0.25">
      <c r="B147" t="s">
        <v>188</v>
      </c>
    </row>
    <row r="148" spans="2:2" x14ac:dyDescent="0.25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topLeftCell="A130" workbookViewId="0">
      <selection activeCell="A172" sqref="A172:J185"/>
    </sheetView>
  </sheetViews>
  <sheetFormatPr defaultRowHeight="15" x14ac:dyDescent="0.25"/>
  <cols>
    <col min="3" max="3" width="29.42578125" customWidth="1"/>
  </cols>
  <sheetData>
    <row r="1" spans="1:4" ht="21" x14ac:dyDescent="0.35">
      <c r="A1" s="30" t="s">
        <v>399</v>
      </c>
    </row>
    <row r="3" spans="1:4" x14ac:dyDescent="0.25">
      <c r="B3" s="3" t="s">
        <v>117</v>
      </c>
    </row>
    <row r="4" spans="1:4" x14ac:dyDescent="0.25">
      <c r="B4" s="3" t="s">
        <v>118</v>
      </c>
    </row>
    <row r="5" spans="1:4" x14ac:dyDescent="0.25">
      <c r="B5" s="3" t="s">
        <v>119</v>
      </c>
    </row>
    <row r="7" spans="1:4" x14ac:dyDescent="0.25">
      <c r="A7" t="s">
        <v>153</v>
      </c>
      <c r="B7" t="s">
        <v>400</v>
      </c>
      <c r="C7" t="s">
        <v>401</v>
      </c>
      <c r="D7" t="s">
        <v>402</v>
      </c>
    </row>
    <row r="8" spans="1:4" x14ac:dyDescent="0.25">
      <c r="A8" t="s">
        <v>403</v>
      </c>
      <c r="B8" t="s">
        <v>404</v>
      </c>
      <c r="C8" t="s">
        <v>405</v>
      </c>
      <c r="D8" t="s">
        <v>406</v>
      </c>
    </row>
    <row r="9" spans="1:4" x14ac:dyDescent="0.25">
      <c r="A9" t="s">
        <v>84</v>
      </c>
      <c r="B9" t="s">
        <v>407</v>
      </c>
      <c r="C9" t="s">
        <v>408</v>
      </c>
      <c r="D9" t="s">
        <v>409</v>
      </c>
    </row>
    <row r="10" spans="1:4" x14ac:dyDescent="0.25">
      <c r="A10" t="s">
        <v>85</v>
      </c>
      <c r="B10" t="s">
        <v>410</v>
      </c>
      <c r="C10" t="s">
        <v>411</v>
      </c>
      <c r="D10" t="s">
        <v>412</v>
      </c>
    </row>
    <row r="11" spans="1:4" x14ac:dyDescent="0.25">
      <c r="A11" t="s">
        <v>88</v>
      </c>
      <c r="B11" t="s">
        <v>413</v>
      </c>
      <c r="C11" t="s">
        <v>414</v>
      </c>
      <c r="D11" t="s">
        <v>415</v>
      </c>
    </row>
    <row r="12" spans="1:4" x14ac:dyDescent="0.25">
      <c r="A12" t="s">
        <v>416</v>
      </c>
      <c r="B12" t="s">
        <v>417</v>
      </c>
      <c r="C12" t="s">
        <v>418</v>
      </c>
      <c r="D12" t="s">
        <v>419</v>
      </c>
    </row>
    <row r="13" spans="1:4" x14ac:dyDescent="0.25">
      <c r="A13" t="s">
        <v>420</v>
      </c>
      <c r="B13" t="s">
        <v>421</v>
      </c>
      <c r="C13" t="s">
        <v>422</v>
      </c>
      <c r="D13" t="s">
        <v>423</v>
      </c>
    </row>
    <row r="14" spans="1:4" x14ac:dyDescent="0.25">
      <c r="A14" t="s">
        <v>424</v>
      </c>
      <c r="B14" t="s">
        <v>425</v>
      </c>
      <c r="C14" t="s">
        <v>426</v>
      </c>
      <c r="D14" t="s">
        <v>427</v>
      </c>
    </row>
    <row r="15" spans="1:4" x14ac:dyDescent="0.25">
      <c r="A15" t="s">
        <v>428</v>
      </c>
      <c r="B15" t="s">
        <v>429</v>
      </c>
      <c r="C15" t="s">
        <v>430</v>
      </c>
      <c r="D15" t="s">
        <v>431</v>
      </c>
    </row>
    <row r="17" spans="1:13" x14ac:dyDescent="0.25">
      <c r="A17" t="s">
        <v>432</v>
      </c>
    </row>
    <row r="19" spans="1:13" x14ac:dyDescent="0.25">
      <c r="A19" s="31" t="s">
        <v>2</v>
      </c>
    </row>
    <row r="21" spans="1:13" x14ac:dyDescent="0.25">
      <c r="A21" s="28" t="s">
        <v>73</v>
      </c>
      <c r="B21" s="32" t="s">
        <v>153</v>
      </c>
      <c r="C21" s="28" t="s">
        <v>403</v>
      </c>
      <c r="D21" s="7" t="s">
        <v>84</v>
      </c>
      <c r="E21" s="7" t="s">
        <v>85</v>
      </c>
      <c r="F21" s="7" t="s">
        <v>88</v>
      </c>
      <c r="G21" s="7" t="s">
        <v>416</v>
      </c>
      <c r="H21" s="7" t="s">
        <v>420</v>
      </c>
      <c r="I21" s="7" t="s">
        <v>424</v>
      </c>
      <c r="J21" s="28" t="s">
        <v>428</v>
      </c>
      <c r="L21" s="28"/>
      <c r="M21" s="4"/>
    </row>
    <row r="22" spans="1:13" x14ac:dyDescent="0.25">
      <c r="A22" s="29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29">
        <v>323</v>
      </c>
      <c r="L22" s="27"/>
      <c r="M22" s="21"/>
    </row>
    <row r="23" spans="1:13" x14ac:dyDescent="0.25">
      <c r="A23" s="29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29">
        <v>322</v>
      </c>
      <c r="L23" s="27"/>
      <c r="M23" s="21"/>
    </row>
    <row r="24" spans="1:13" x14ac:dyDescent="0.25">
      <c r="A24" s="29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29">
        <v>321</v>
      </c>
      <c r="L24" s="27"/>
      <c r="M24" s="21"/>
    </row>
    <row r="25" spans="1:13" x14ac:dyDescent="0.25">
      <c r="A25" s="29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29">
        <v>320</v>
      </c>
      <c r="L25" s="27"/>
      <c r="M25" s="21"/>
    </row>
    <row r="26" spans="1:13" x14ac:dyDescent="0.25">
      <c r="A26" s="29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29">
        <v>260</v>
      </c>
      <c r="L26" s="27"/>
      <c r="M26" s="21"/>
    </row>
    <row r="27" spans="1:13" x14ac:dyDescent="0.25">
      <c r="A27" s="29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29">
        <v>205</v>
      </c>
      <c r="L27" s="27"/>
      <c r="M27" s="21"/>
    </row>
    <row r="28" spans="1:13" x14ac:dyDescent="0.25">
      <c r="A28" s="29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29">
        <v>427</v>
      </c>
      <c r="L28" s="27"/>
      <c r="M28" s="21"/>
    </row>
    <row r="29" spans="1:13" x14ac:dyDescent="0.25">
      <c r="A29" s="29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29">
        <v>210</v>
      </c>
      <c r="L29" s="27"/>
      <c r="M29" s="21"/>
    </row>
    <row r="30" spans="1:13" x14ac:dyDescent="0.25">
      <c r="A30" s="29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29">
        <v>207</v>
      </c>
      <c r="L30" s="27"/>
      <c r="M30" s="21"/>
    </row>
    <row r="31" spans="1:13" x14ac:dyDescent="0.25">
      <c r="A31" s="29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29">
        <v>215</v>
      </c>
      <c r="L31" s="27"/>
      <c r="M31" s="21"/>
    </row>
    <row r="32" spans="1:13" x14ac:dyDescent="0.25">
      <c r="A32" s="29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29">
        <v>305</v>
      </c>
      <c r="L32" s="27"/>
      <c r="M32" s="21"/>
    </row>
    <row r="33" spans="1:13" x14ac:dyDescent="0.25">
      <c r="A33" s="29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29">
        <v>323</v>
      </c>
      <c r="L33" s="27"/>
      <c r="M33" s="21"/>
    </row>
    <row r="34" spans="1:13" x14ac:dyDescent="0.25">
      <c r="A34" s="29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29">
        <v>247</v>
      </c>
      <c r="L34" s="27"/>
      <c r="M34" s="21"/>
    </row>
    <row r="35" spans="1:13" x14ac:dyDescent="0.25">
      <c r="A35" s="29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29">
        <v>233</v>
      </c>
      <c r="L35" s="27"/>
      <c r="M35" s="21"/>
    </row>
    <row r="36" spans="1:13" x14ac:dyDescent="0.25">
      <c r="A36" s="29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29">
        <v>280</v>
      </c>
      <c r="L36" s="27"/>
      <c r="M36" s="21"/>
    </row>
    <row r="37" spans="1:13" x14ac:dyDescent="0.25">
      <c r="A37" s="29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29">
        <v>249</v>
      </c>
      <c r="L37" s="27"/>
      <c r="M37" s="21"/>
    </row>
    <row r="38" spans="1:13" x14ac:dyDescent="0.25">
      <c r="A38" s="29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29">
        <v>263</v>
      </c>
      <c r="L38" s="27"/>
      <c r="M38" s="21"/>
    </row>
    <row r="39" spans="1:13" x14ac:dyDescent="0.25">
      <c r="A39" s="29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29">
        <v>211</v>
      </c>
      <c r="L39" s="27"/>
      <c r="M39" s="21"/>
    </row>
    <row r="40" spans="1:13" x14ac:dyDescent="0.25">
      <c r="A40" s="29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29">
        <v>207</v>
      </c>
      <c r="L40" s="27"/>
      <c r="M40" s="21"/>
    </row>
    <row r="41" spans="1:13" x14ac:dyDescent="0.25">
      <c r="A41" s="29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29">
        <v>188</v>
      </c>
      <c r="L41" s="27"/>
      <c r="M41" s="21"/>
    </row>
    <row r="42" spans="1:13" x14ac:dyDescent="0.25">
      <c r="A42" s="29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29">
        <v>270</v>
      </c>
      <c r="L42" s="27"/>
      <c r="M42" s="21"/>
    </row>
    <row r="43" spans="1:13" x14ac:dyDescent="0.25">
      <c r="A43" s="29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29">
        <v>368</v>
      </c>
      <c r="L43" s="27"/>
      <c r="M43" s="21"/>
    </row>
    <row r="44" spans="1:13" x14ac:dyDescent="0.25">
      <c r="A44" s="29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29">
        <v>261</v>
      </c>
      <c r="L44" s="27"/>
      <c r="M44" s="21"/>
    </row>
    <row r="45" spans="1:13" x14ac:dyDescent="0.25">
      <c r="A45" s="29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29">
        <v>264</v>
      </c>
      <c r="L45" s="27"/>
      <c r="M45" s="21"/>
    </row>
    <row r="46" spans="1:13" x14ac:dyDescent="0.25">
      <c r="A46" s="29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29">
        <v>253</v>
      </c>
      <c r="L46" s="27"/>
      <c r="M46" s="21"/>
    </row>
    <row r="47" spans="1:13" x14ac:dyDescent="0.25">
      <c r="A47" s="29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29">
        <v>237</v>
      </c>
      <c r="L47" s="27"/>
      <c r="M47" s="21"/>
    </row>
    <row r="48" spans="1:13" x14ac:dyDescent="0.25">
      <c r="A48" s="29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29">
        <v>223</v>
      </c>
      <c r="L48" s="27"/>
      <c r="M48" s="21"/>
    </row>
    <row r="49" spans="1:13" x14ac:dyDescent="0.25">
      <c r="A49" s="29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29">
        <v>236</v>
      </c>
      <c r="L49" s="27"/>
      <c r="M49" s="21"/>
    </row>
    <row r="50" spans="1:13" x14ac:dyDescent="0.25">
      <c r="A50" s="29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29">
        <v>294</v>
      </c>
      <c r="L50" s="27"/>
      <c r="M50" s="21"/>
    </row>
    <row r="51" spans="1:13" x14ac:dyDescent="0.25">
      <c r="A51" s="29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29">
        <v>306</v>
      </c>
      <c r="L51" s="27"/>
      <c r="M51" s="21"/>
    </row>
    <row r="52" spans="1:13" x14ac:dyDescent="0.25">
      <c r="A52" s="29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29">
        <v>295</v>
      </c>
      <c r="L52" s="27"/>
      <c r="M52" s="21"/>
    </row>
    <row r="53" spans="1:13" x14ac:dyDescent="0.25">
      <c r="A53" s="29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29">
        <v>305</v>
      </c>
      <c r="L53" s="27"/>
      <c r="M53" s="21"/>
    </row>
    <row r="54" spans="1:13" x14ac:dyDescent="0.25">
      <c r="A54" s="29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29">
        <v>280</v>
      </c>
      <c r="L54" s="27"/>
      <c r="M54" s="21"/>
    </row>
    <row r="55" spans="1:13" x14ac:dyDescent="0.25">
      <c r="A55" s="29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29">
        <v>302</v>
      </c>
      <c r="L55" s="27"/>
      <c r="M55" s="21"/>
    </row>
    <row r="56" spans="1:13" x14ac:dyDescent="0.25">
      <c r="A56" s="29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29">
        <v>285</v>
      </c>
      <c r="L56" s="27"/>
      <c r="M56" s="21"/>
    </row>
    <row r="57" spans="1:13" x14ac:dyDescent="0.25">
      <c r="A57" s="29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29">
        <v>260</v>
      </c>
      <c r="L57" s="27"/>
      <c r="M57" s="21"/>
    </row>
    <row r="58" spans="1:13" x14ac:dyDescent="0.25">
      <c r="A58" s="29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29">
        <v>234</v>
      </c>
      <c r="L58" s="27"/>
      <c r="M58" s="21"/>
    </row>
    <row r="59" spans="1:13" x14ac:dyDescent="0.25">
      <c r="A59" s="29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29">
        <v>216</v>
      </c>
      <c r="L59" s="27"/>
      <c r="M59" s="21"/>
    </row>
    <row r="60" spans="1:13" x14ac:dyDescent="0.25">
      <c r="A60" s="29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29">
        <v>195</v>
      </c>
      <c r="L60" s="27"/>
      <c r="M60" s="21"/>
    </row>
    <row r="61" spans="1:13" x14ac:dyDescent="0.25">
      <c r="A61" s="29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29">
        <v>148</v>
      </c>
      <c r="L61" s="27"/>
      <c r="M61" s="21"/>
    </row>
    <row r="62" spans="1:13" x14ac:dyDescent="0.25">
      <c r="A62" s="29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29">
        <v>199</v>
      </c>
      <c r="L62" s="27"/>
      <c r="M62" s="21"/>
    </row>
    <row r="63" spans="1:13" x14ac:dyDescent="0.25">
      <c r="B63" s="25"/>
      <c r="C63" s="3"/>
      <c r="D63" s="26"/>
      <c r="E63" s="26"/>
      <c r="F63" s="26"/>
      <c r="G63" s="26"/>
      <c r="H63" s="26"/>
      <c r="I63" s="26"/>
      <c r="J63" s="29"/>
      <c r="L63" s="27"/>
    </row>
    <row r="64" spans="1:13" x14ac:dyDescent="0.25">
      <c r="A64" s="31" t="s">
        <v>12</v>
      </c>
      <c r="B64" s="25"/>
      <c r="C64" s="3"/>
      <c r="D64" s="26"/>
      <c r="E64" s="26"/>
      <c r="F64" s="26"/>
      <c r="G64" s="26"/>
      <c r="H64" s="26"/>
      <c r="I64" s="26"/>
      <c r="J64" s="29"/>
      <c r="L64" s="27"/>
    </row>
    <row r="65" spans="1:12" x14ac:dyDescent="0.25">
      <c r="B65" s="25"/>
      <c r="C65" s="3"/>
      <c r="D65" s="26"/>
      <c r="E65" s="26"/>
      <c r="F65" s="26"/>
      <c r="G65" s="26"/>
      <c r="H65" s="26"/>
      <c r="I65" s="26"/>
      <c r="J65" s="29"/>
      <c r="L65" s="27"/>
    </row>
    <row r="66" spans="1:12" x14ac:dyDescent="0.25">
      <c r="A66" s="28" t="s">
        <v>73</v>
      </c>
      <c r="B66" s="32" t="s">
        <v>153</v>
      </c>
      <c r="C66" s="7" t="s">
        <v>403</v>
      </c>
      <c r="D66" s="7" t="s">
        <v>84</v>
      </c>
      <c r="E66" s="7" t="s">
        <v>85</v>
      </c>
      <c r="F66" s="7" t="s">
        <v>88</v>
      </c>
      <c r="G66" s="7" t="s">
        <v>416</v>
      </c>
      <c r="H66" s="7" t="s">
        <v>420</v>
      </c>
      <c r="I66" s="7" t="s">
        <v>424</v>
      </c>
      <c r="J66" s="28" t="s">
        <v>428</v>
      </c>
      <c r="L66" s="27"/>
    </row>
    <row r="67" spans="1:12" x14ac:dyDescent="0.25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29">
        <v>284</v>
      </c>
      <c r="L67" s="27"/>
    </row>
    <row r="68" spans="1:12" x14ac:dyDescent="0.25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29">
        <v>267</v>
      </c>
      <c r="L68" s="27"/>
    </row>
    <row r="69" spans="1:12" x14ac:dyDescent="0.25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29">
        <v>267</v>
      </c>
      <c r="L69" s="27"/>
    </row>
    <row r="70" spans="1:12" x14ac:dyDescent="0.25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29">
        <v>273</v>
      </c>
      <c r="L70" s="27"/>
    </row>
    <row r="71" spans="1:12" x14ac:dyDescent="0.25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29">
        <v>260</v>
      </c>
      <c r="L71" s="27"/>
    </row>
    <row r="72" spans="1:12" x14ac:dyDescent="0.25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29">
        <v>266</v>
      </c>
      <c r="L72" s="27"/>
    </row>
    <row r="73" spans="1:12" x14ac:dyDescent="0.25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29">
        <v>234</v>
      </c>
      <c r="L73" s="27"/>
    </row>
    <row r="74" spans="1:12" x14ac:dyDescent="0.25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29">
        <v>210</v>
      </c>
      <c r="L74" s="27"/>
    </row>
    <row r="75" spans="1:12" x14ac:dyDescent="0.25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29">
        <v>181</v>
      </c>
      <c r="L75" s="27"/>
    </row>
    <row r="76" spans="1:12" x14ac:dyDescent="0.25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29">
        <v>163</v>
      </c>
      <c r="L76" s="27"/>
    </row>
    <row r="77" spans="1:12" x14ac:dyDescent="0.25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29">
        <v>136</v>
      </c>
      <c r="L77" s="27"/>
    </row>
    <row r="78" spans="1:12" x14ac:dyDescent="0.25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29">
        <v>122</v>
      </c>
      <c r="L78" s="27"/>
    </row>
    <row r="79" spans="1:12" x14ac:dyDescent="0.25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29">
        <v>112</v>
      </c>
      <c r="L79" s="27"/>
    </row>
    <row r="80" spans="1:12" x14ac:dyDescent="0.25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29">
        <v>112</v>
      </c>
      <c r="L80" s="27"/>
    </row>
    <row r="81" spans="1:12" x14ac:dyDescent="0.25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29">
        <v>850</v>
      </c>
      <c r="L81" s="27"/>
    </row>
    <row r="82" spans="1:12" x14ac:dyDescent="0.25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29">
        <v>70</v>
      </c>
      <c r="L82" s="27"/>
    </row>
    <row r="83" spans="1:12" x14ac:dyDescent="0.25">
      <c r="B83" s="25"/>
      <c r="C83" s="3"/>
      <c r="D83" s="26"/>
      <c r="E83" s="26"/>
      <c r="F83" s="26"/>
      <c r="G83" s="26"/>
      <c r="H83" s="26"/>
      <c r="I83" s="26"/>
      <c r="J83" s="29"/>
      <c r="L83" s="27"/>
    </row>
    <row r="84" spans="1:12" x14ac:dyDescent="0.25">
      <c r="A84" s="31" t="s">
        <v>11</v>
      </c>
      <c r="B84" s="25"/>
      <c r="C84" s="3"/>
      <c r="D84" s="26"/>
      <c r="E84" s="26"/>
      <c r="F84" s="26"/>
      <c r="G84" s="26"/>
      <c r="H84" s="26"/>
      <c r="I84" s="26"/>
      <c r="J84" s="29"/>
      <c r="L84" s="27"/>
    </row>
    <row r="85" spans="1:12" x14ac:dyDescent="0.25">
      <c r="A85" s="4"/>
      <c r="B85" s="25"/>
      <c r="C85" s="3"/>
      <c r="D85" s="26"/>
      <c r="E85" s="26"/>
      <c r="F85" s="26"/>
      <c r="G85" s="26"/>
      <c r="H85" s="26"/>
      <c r="I85" s="26"/>
      <c r="J85" s="29"/>
      <c r="L85" s="27"/>
    </row>
    <row r="86" spans="1:12" x14ac:dyDescent="0.25">
      <c r="A86" s="28" t="s">
        <v>73</v>
      </c>
      <c r="B86" s="32" t="s">
        <v>153</v>
      </c>
      <c r="C86" s="7" t="s">
        <v>403</v>
      </c>
      <c r="D86" s="7" t="s">
        <v>84</v>
      </c>
      <c r="E86" s="7" t="s">
        <v>85</v>
      </c>
      <c r="F86" s="7" t="s">
        <v>88</v>
      </c>
      <c r="G86" s="7" t="s">
        <v>416</v>
      </c>
      <c r="H86" s="7" t="s">
        <v>420</v>
      </c>
      <c r="I86" s="7" t="s">
        <v>424</v>
      </c>
      <c r="J86" s="28" t="s">
        <v>428</v>
      </c>
      <c r="L86" s="27"/>
    </row>
    <row r="87" spans="1:12" x14ac:dyDescent="0.25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29">
        <v>331</v>
      </c>
      <c r="L87" s="27"/>
    </row>
    <row r="88" spans="1:12" x14ac:dyDescent="0.25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29">
        <v>322</v>
      </c>
      <c r="L88" s="27"/>
    </row>
    <row r="89" spans="1:12" x14ac:dyDescent="0.25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29">
        <v>319</v>
      </c>
      <c r="L89" s="27"/>
    </row>
    <row r="90" spans="1:12" x14ac:dyDescent="0.25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29">
        <v>322</v>
      </c>
      <c r="L90" s="27"/>
    </row>
    <row r="91" spans="1:12" x14ac:dyDescent="0.25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29">
        <v>315</v>
      </c>
      <c r="L91" s="27"/>
    </row>
    <row r="92" spans="1:12" x14ac:dyDescent="0.25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29">
        <v>319</v>
      </c>
      <c r="L92" s="27"/>
    </row>
    <row r="93" spans="1:12" x14ac:dyDescent="0.25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29">
        <v>314</v>
      </c>
      <c r="L93" s="27"/>
    </row>
    <row r="94" spans="1:12" x14ac:dyDescent="0.25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29">
        <v>310</v>
      </c>
      <c r="L94" s="27"/>
    </row>
    <row r="95" spans="1:12" x14ac:dyDescent="0.25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29">
        <v>307</v>
      </c>
      <c r="L95" s="27"/>
    </row>
    <row r="96" spans="1:12" x14ac:dyDescent="0.25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29">
        <v>288</v>
      </c>
      <c r="L96" s="27"/>
    </row>
    <row r="97" spans="1:12" x14ac:dyDescent="0.25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29">
        <v>300</v>
      </c>
      <c r="L97" s="27"/>
    </row>
    <row r="98" spans="1:12" x14ac:dyDescent="0.25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29">
        <v>316</v>
      </c>
      <c r="L98" s="27"/>
    </row>
    <row r="99" spans="1:12" x14ac:dyDescent="0.25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29">
        <v>301</v>
      </c>
      <c r="L99" s="27"/>
    </row>
    <row r="100" spans="1:12" x14ac:dyDescent="0.25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29">
        <v>299</v>
      </c>
      <c r="L100" s="27"/>
    </row>
    <row r="101" spans="1:12" x14ac:dyDescent="0.25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29">
        <v>304</v>
      </c>
      <c r="L101" s="27"/>
    </row>
    <row r="102" spans="1:12" x14ac:dyDescent="0.25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29">
        <v>254</v>
      </c>
      <c r="L102" s="27"/>
    </row>
    <row r="103" spans="1:12" x14ac:dyDescent="0.25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29">
        <v>240</v>
      </c>
      <c r="L103" s="27"/>
    </row>
    <row r="104" spans="1:12" x14ac:dyDescent="0.25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29">
        <v>237</v>
      </c>
      <c r="L104" s="27"/>
    </row>
    <row r="105" spans="1:12" x14ac:dyDescent="0.25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29">
        <v>200</v>
      </c>
      <c r="L105" s="27"/>
    </row>
    <row r="106" spans="1:12" x14ac:dyDescent="0.25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29">
        <v>173</v>
      </c>
      <c r="L106" s="27"/>
    </row>
    <row r="107" spans="1:12" x14ac:dyDescent="0.25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29">
        <v>132</v>
      </c>
      <c r="L107" s="27"/>
    </row>
    <row r="108" spans="1:12" x14ac:dyDescent="0.25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29">
        <v>117</v>
      </c>
      <c r="L108" s="27"/>
    </row>
    <row r="109" spans="1:12" x14ac:dyDescent="0.25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29">
        <v>110</v>
      </c>
      <c r="L109" s="27"/>
    </row>
    <row r="110" spans="1:12" x14ac:dyDescent="0.25">
      <c r="B110" s="25"/>
      <c r="C110" s="3"/>
      <c r="D110" s="26"/>
      <c r="E110" s="26"/>
      <c r="F110" s="26"/>
      <c r="G110" s="26"/>
      <c r="H110" s="26"/>
      <c r="I110" s="26"/>
      <c r="J110" s="29"/>
      <c r="L110" s="27"/>
    </row>
    <row r="111" spans="1:12" x14ac:dyDescent="0.25">
      <c r="A111" s="31" t="s">
        <v>13</v>
      </c>
      <c r="B111" s="25"/>
      <c r="C111" s="3"/>
      <c r="D111" s="26"/>
      <c r="E111" s="26"/>
      <c r="F111" s="26"/>
      <c r="G111" s="26"/>
      <c r="H111" s="26"/>
      <c r="I111" s="26"/>
      <c r="J111" s="29"/>
      <c r="L111" s="27"/>
    </row>
    <row r="112" spans="1:12" x14ac:dyDescent="0.25">
      <c r="A112" s="4"/>
      <c r="B112" s="25"/>
      <c r="C112" s="3"/>
      <c r="D112" s="26"/>
      <c r="E112" s="26"/>
      <c r="F112" s="26"/>
      <c r="G112" s="26"/>
      <c r="H112" s="26"/>
      <c r="I112" s="26"/>
      <c r="J112" s="29"/>
      <c r="L112" s="27"/>
    </row>
    <row r="113" spans="1:15" x14ac:dyDescent="0.25">
      <c r="A113" s="28" t="s">
        <v>73</v>
      </c>
      <c r="B113" s="32" t="s">
        <v>153</v>
      </c>
      <c r="C113" s="7" t="s">
        <v>403</v>
      </c>
      <c r="D113" s="7" t="s">
        <v>84</v>
      </c>
      <c r="E113" s="7" t="s">
        <v>85</v>
      </c>
      <c r="F113" s="7" t="s">
        <v>88</v>
      </c>
      <c r="G113" s="7" t="s">
        <v>416</v>
      </c>
      <c r="H113" s="7" t="s">
        <v>420</v>
      </c>
      <c r="I113" s="7" t="s">
        <v>424</v>
      </c>
      <c r="J113" s="28" t="s">
        <v>428</v>
      </c>
      <c r="L113" s="27"/>
      <c r="O113" s="33"/>
    </row>
    <row r="114" spans="1:15" x14ac:dyDescent="0.25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29">
        <v>308</v>
      </c>
      <c r="L114" s="27"/>
    </row>
    <row r="115" spans="1:15" x14ac:dyDescent="0.25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29">
        <v>300</v>
      </c>
      <c r="L115" s="27"/>
    </row>
    <row r="116" spans="1:15" x14ac:dyDescent="0.25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29">
        <v>296</v>
      </c>
      <c r="L116" s="27"/>
    </row>
    <row r="117" spans="1:15" x14ac:dyDescent="0.25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29">
        <v>423</v>
      </c>
      <c r="L117" s="27"/>
    </row>
    <row r="118" spans="1:15" x14ac:dyDescent="0.25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4">
        <v>456</v>
      </c>
      <c r="L118" s="27"/>
    </row>
    <row r="119" spans="1:15" x14ac:dyDescent="0.25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29">
        <v>259</v>
      </c>
      <c r="L119" s="27"/>
    </row>
    <row r="120" spans="1:15" x14ac:dyDescent="0.25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29">
        <v>234</v>
      </c>
      <c r="L120" s="27"/>
    </row>
    <row r="121" spans="1:15" x14ac:dyDescent="0.25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29">
        <v>233</v>
      </c>
      <c r="L121" s="27"/>
    </row>
    <row r="122" spans="1:15" x14ac:dyDescent="0.25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29">
        <v>203</v>
      </c>
      <c r="L122" s="27"/>
    </row>
    <row r="123" spans="1:15" x14ac:dyDescent="0.25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29">
        <v>186</v>
      </c>
      <c r="L123" s="27"/>
    </row>
    <row r="124" spans="1:15" x14ac:dyDescent="0.25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29">
        <v>148</v>
      </c>
      <c r="L124" s="27"/>
    </row>
    <row r="125" spans="1:15" x14ac:dyDescent="0.25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29">
        <v>137</v>
      </c>
      <c r="L125" s="27"/>
    </row>
    <row r="126" spans="1:15" x14ac:dyDescent="0.25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29">
        <v>108</v>
      </c>
      <c r="L126" s="27"/>
    </row>
    <row r="127" spans="1:15" x14ac:dyDescent="0.25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29">
        <v>91</v>
      </c>
      <c r="L127" s="27"/>
    </row>
    <row r="128" spans="1:15" x14ac:dyDescent="0.25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29">
        <v>83</v>
      </c>
      <c r="L128" s="27"/>
    </row>
    <row r="129" spans="1:12" x14ac:dyDescent="0.25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29">
        <v>75</v>
      </c>
      <c r="L129" s="27"/>
    </row>
    <row r="130" spans="1:12" x14ac:dyDescent="0.25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29">
        <v>67</v>
      </c>
      <c r="L130" s="27"/>
    </row>
    <row r="131" spans="1:12" x14ac:dyDescent="0.25">
      <c r="B131" s="25"/>
      <c r="C131" s="3"/>
      <c r="D131" s="26"/>
      <c r="E131" s="26"/>
      <c r="F131" s="26"/>
      <c r="G131" s="26"/>
      <c r="H131" s="26"/>
      <c r="I131" s="26"/>
      <c r="J131" s="29"/>
      <c r="L131" s="27"/>
    </row>
    <row r="132" spans="1:12" x14ac:dyDescent="0.25">
      <c r="A132" s="31" t="s">
        <v>14</v>
      </c>
      <c r="B132" s="25"/>
      <c r="C132" s="3"/>
      <c r="D132" s="26"/>
      <c r="E132" s="26"/>
      <c r="F132" s="26"/>
      <c r="G132" s="26"/>
      <c r="H132" s="26"/>
      <c r="I132" s="26"/>
      <c r="J132" s="29"/>
      <c r="L132" s="27"/>
    </row>
    <row r="133" spans="1:12" x14ac:dyDescent="0.25">
      <c r="B133" s="25"/>
      <c r="C133" s="3"/>
      <c r="D133" s="26"/>
      <c r="E133" s="26"/>
      <c r="F133" s="26"/>
      <c r="G133" s="26"/>
      <c r="H133" s="26"/>
      <c r="I133" s="26"/>
      <c r="J133" s="29"/>
      <c r="L133" s="27"/>
    </row>
    <row r="134" spans="1:12" x14ac:dyDescent="0.25">
      <c r="A134" s="28" t="s">
        <v>73</v>
      </c>
      <c r="B134" s="32" t="s">
        <v>153</v>
      </c>
      <c r="C134" s="7" t="s">
        <v>403</v>
      </c>
      <c r="D134" s="7" t="s">
        <v>84</v>
      </c>
      <c r="E134" s="7" t="s">
        <v>85</v>
      </c>
      <c r="F134" s="7" t="s">
        <v>88</v>
      </c>
      <c r="G134" s="7" t="s">
        <v>416</v>
      </c>
      <c r="H134" s="7" t="s">
        <v>420</v>
      </c>
      <c r="I134" s="7" t="s">
        <v>424</v>
      </c>
      <c r="J134" s="28" t="s">
        <v>428</v>
      </c>
      <c r="L134" s="27"/>
    </row>
    <row r="135" spans="1:12" x14ac:dyDescent="0.25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29">
        <v>221</v>
      </c>
      <c r="L135" s="27"/>
    </row>
    <row r="136" spans="1:12" x14ac:dyDescent="0.25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29">
        <v>214</v>
      </c>
      <c r="L136" s="27"/>
    </row>
    <row r="137" spans="1:12" x14ac:dyDescent="0.25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29">
        <v>196</v>
      </c>
      <c r="L137" s="27"/>
    </row>
    <row r="138" spans="1:12" x14ac:dyDescent="0.25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29">
        <v>211</v>
      </c>
      <c r="L138" s="27"/>
    </row>
    <row r="139" spans="1:12" x14ac:dyDescent="0.25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29">
        <v>188</v>
      </c>
      <c r="L139" s="27"/>
    </row>
    <row r="140" spans="1:12" x14ac:dyDescent="0.25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29">
        <v>149</v>
      </c>
      <c r="L140" s="27"/>
    </row>
    <row r="141" spans="1:12" x14ac:dyDescent="0.25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29">
        <v>128</v>
      </c>
      <c r="L141" s="27"/>
    </row>
    <row r="142" spans="1:12" x14ac:dyDescent="0.25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29">
        <v>118</v>
      </c>
      <c r="L142" s="27"/>
    </row>
    <row r="143" spans="1:12" x14ac:dyDescent="0.25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29">
        <v>91</v>
      </c>
      <c r="L143" s="27"/>
    </row>
    <row r="144" spans="1:12" x14ac:dyDescent="0.25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29">
        <v>62</v>
      </c>
      <c r="L144" s="27"/>
    </row>
    <row r="145" spans="1:12" x14ac:dyDescent="0.25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29">
        <v>43</v>
      </c>
      <c r="L145" s="27"/>
    </row>
    <row r="146" spans="1:12" x14ac:dyDescent="0.25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29">
        <v>37</v>
      </c>
      <c r="L146" s="27"/>
    </row>
    <row r="147" spans="1:12" x14ac:dyDescent="0.25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29">
        <v>32</v>
      </c>
      <c r="L147" s="27"/>
    </row>
    <row r="148" spans="1:12" x14ac:dyDescent="0.25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29">
        <v>28</v>
      </c>
      <c r="L148" s="27"/>
    </row>
    <row r="149" spans="1:12" x14ac:dyDescent="0.25">
      <c r="B149" s="25"/>
      <c r="C149" s="3"/>
      <c r="D149" s="26"/>
      <c r="E149" s="26"/>
      <c r="F149" s="26"/>
      <c r="G149" s="26"/>
      <c r="H149" s="26"/>
      <c r="I149" s="26"/>
      <c r="J149" s="29"/>
      <c r="L149" s="27"/>
    </row>
    <row r="150" spans="1:12" x14ac:dyDescent="0.25">
      <c r="A150" s="31" t="s">
        <v>433</v>
      </c>
      <c r="B150" s="25"/>
      <c r="C150" s="3"/>
      <c r="D150" s="26"/>
      <c r="E150" s="26"/>
      <c r="F150" s="26"/>
      <c r="G150" s="26"/>
      <c r="H150" s="26"/>
      <c r="I150" s="26"/>
      <c r="J150" s="29"/>
      <c r="L150" s="27"/>
    </row>
    <row r="151" spans="1:12" x14ac:dyDescent="0.25">
      <c r="B151" s="25"/>
      <c r="C151" s="3"/>
      <c r="D151" s="26"/>
      <c r="E151" s="26"/>
      <c r="F151" s="26"/>
      <c r="G151" s="26"/>
      <c r="H151" s="26"/>
      <c r="I151" s="26"/>
      <c r="J151" s="29"/>
      <c r="L151" s="27"/>
    </row>
    <row r="152" spans="1:12" x14ac:dyDescent="0.25">
      <c r="A152" s="28" t="s">
        <v>73</v>
      </c>
      <c r="B152" s="32" t="s">
        <v>153</v>
      </c>
      <c r="C152" s="7" t="s">
        <v>403</v>
      </c>
      <c r="D152" s="7" t="s">
        <v>84</v>
      </c>
      <c r="E152" s="7" t="s">
        <v>85</v>
      </c>
      <c r="F152" s="7" t="s">
        <v>88</v>
      </c>
      <c r="G152" s="7" t="s">
        <v>416</v>
      </c>
      <c r="H152" s="7" t="s">
        <v>420</v>
      </c>
      <c r="I152" s="7" t="s">
        <v>424</v>
      </c>
      <c r="J152" s="28" t="s">
        <v>428</v>
      </c>
      <c r="L152" s="27"/>
    </row>
    <row r="153" spans="1:12" x14ac:dyDescent="0.25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29">
        <v>314</v>
      </c>
      <c r="L153" s="27"/>
    </row>
    <row r="154" spans="1:12" x14ac:dyDescent="0.25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29">
        <v>278</v>
      </c>
      <c r="L154" s="27"/>
    </row>
    <row r="155" spans="1:12" x14ac:dyDescent="0.25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29">
        <v>291</v>
      </c>
      <c r="L155" s="27"/>
    </row>
    <row r="156" spans="1:12" x14ac:dyDescent="0.25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29">
        <v>292</v>
      </c>
      <c r="L156" s="27"/>
    </row>
    <row r="157" spans="1:12" x14ac:dyDescent="0.25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29">
        <v>294</v>
      </c>
      <c r="L157" s="27"/>
    </row>
    <row r="158" spans="1:12" x14ac:dyDescent="0.25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29">
        <v>274</v>
      </c>
      <c r="L158" s="27"/>
    </row>
    <row r="159" spans="1:12" x14ac:dyDescent="0.25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29">
        <v>292</v>
      </c>
      <c r="L159" s="27"/>
    </row>
    <row r="160" spans="1:12" x14ac:dyDescent="0.25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29">
        <v>246</v>
      </c>
      <c r="L160" s="27"/>
    </row>
    <row r="161" spans="1:12" x14ac:dyDescent="0.25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29">
        <v>225</v>
      </c>
      <c r="L161" s="27"/>
    </row>
    <row r="162" spans="1:12" x14ac:dyDescent="0.25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29">
        <v>206</v>
      </c>
      <c r="L162" s="27"/>
    </row>
    <row r="163" spans="1:12" x14ac:dyDescent="0.25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29">
        <v>198</v>
      </c>
      <c r="L163" s="27"/>
    </row>
    <row r="164" spans="1:12" x14ac:dyDescent="0.25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29">
        <v>183</v>
      </c>
      <c r="L164" s="27"/>
    </row>
    <row r="165" spans="1:12" x14ac:dyDescent="0.25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29">
        <v>147</v>
      </c>
      <c r="L165" s="27"/>
    </row>
    <row r="166" spans="1:12" x14ac:dyDescent="0.25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29">
        <v>109</v>
      </c>
      <c r="L166" s="27"/>
    </row>
    <row r="167" spans="1:12" x14ac:dyDescent="0.25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29">
        <v>94</v>
      </c>
      <c r="L167" s="27"/>
    </row>
    <row r="168" spans="1:12" x14ac:dyDescent="0.25">
      <c r="B168" s="25"/>
      <c r="C168" s="3"/>
      <c r="D168" s="26"/>
      <c r="E168" s="26"/>
      <c r="F168" s="26"/>
      <c r="G168" s="26"/>
      <c r="H168" s="26"/>
      <c r="I168" s="26"/>
      <c r="J168" s="29"/>
      <c r="L168" s="27"/>
    </row>
    <row r="169" spans="1:12" x14ac:dyDescent="0.25">
      <c r="A169" s="31" t="s">
        <v>18</v>
      </c>
      <c r="B169" s="25"/>
      <c r="C169" s="3"/>
      <c r="D169" s="26"/>
      <c r="E169" s="26"/>
      <c r="F169" s="26"/>
      <c r="G169" s="26"/>
      <c r="H169" s="26"/>
      <c r="I169" s="26"/>
      <c r="J169" s="29"/>
      <c r="L169" s="27"/>
    </row>
    <row r="170" spans="1:12" x14ac:dyDescent="0.25">
      <c r="B170" s="25"/>
      <c r="C170" s="3"/>
      <c r="D170" s="26"/>
      <c r="E170" s="26"/>
      <c r="F170" s="26"/>
      <c r="G170" s="26"/>
      <c r="H170" s="26"/>
      <c r="I170" s="26"/>
      <c r="J170" s="29"/>
      <c r="L170" s="27"/>
    </row>
    <row r="171" spans="1:12" x14ac:dyDescent="0.25">
      <c r="A171" s="28" t="s">
        <v>73</v>
      </c>
      <c r="B171" s="32" t="s">
        <v>153</v>
      </c>
      <c r="C171" s="7" t="s">
        <v>403</v>
      </c>
      <c r="D171" s="7" t="s">
        <v>84</v>
      </c>
      <c r="E171" s="7" t="s">
        <v>85</v>
      </c>
      <c r="F171" s="7" t="s">
        <v>88</v>
      </c>
      <c r="G171" s="7" t="s">
        <v>416</v>
      </c>
      <c r="H171" s="7" t="s">
        <v>420</v>
      </c>
      <c r="I171" s="7" t="s">
        <v>424</v>
      </c>
      <c r="J171" s="28" t="s">
        <v>428</v>
      </c>
      <c r="L171" s="27"/>
    </row>
    <row r="172" spans="1:12" x14ac:dyDescent="0.25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29">
        <v>139</v>
      </c>
      <c r="L172" s="27"/>
    </row>
    <row r="173" spans="1:12" x14ac:dyDescent="0.25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29">
        <v>126</v>
      </c>
      <c r="L173" s="27"/>
    </row>
    <row r="174" spans="1:12" x14ac:dyDescent="0.25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29">
        <v>127</v>
      </c>
      <c r="L174" s="27"/>
    </row>
    <row r="175" spans="1:12" x14ac:dyDescent="0.25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29">
        <v>121</v>
      </c>
      <c r="L175" s="27"/>
    </row>
    <row r="176" spans="1:12" x14ac:dyDescent="0.25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29">
        <v>131</v>
      </c>
      <c r="L176" s="27"/>
    </row>
    <row r="177" spans="1:12" x14ac:dyDescent="0.25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29">
        <v>116</v>
      </c>
      <c r="L177" s="27"/>
    </row>
    <row r="178" spans="1:12" x14ac:dyDescent="0.25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29">
        <v>106</v>
      </c>
      <c r="L178" s="27"/>
    </row>
    <row r="179" spans="1:12" x14ac:dyDescent="0.25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29">
        <v>100</v>
      </c>
      <c r="L179" s="27"/>
    </row>
    <row r="180" spans="1:12" x14ac:dyDescent="0.25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29">
        <v>95</v>
      </c>
      <c r="L180" s="27"/>
    </row>
    <row r="181" spans="1:12" x14ac:dyDescent="0.25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29">
        <v>81</v>
      </c>
      <c r="L181" s="27"/>
    </row>
    <row r="182" spans="1:12" x14ac:dyDescent="0.25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29">
        <v>60</v>
      </c>
      <c r="L182" s="27"/>
    </row>
    <row r="183" spans="1:12" x14ac:dyDescent="0.25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29">
        <v>45</v>
      </c>
      <c r="L183" s="27"/>
    </row>
    <row r="184" spans="1:12" x14ac:dyDescent="0.25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29">
        <v>41</v>
      </c>
      <c r="L184" s="27"/>
    </row>
    <row r="185" spans="1:12" x14ac:dyDescent="0.25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29">
        <v>33</v>
      </c>
      <c r="L185" s="2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5" x14ac:dyDescent="0.25"/>
  <cols>
    <col min="1" max="1" width="9.140625" style="29"/>
    <col min="3" max="3" width="9.140625" style="21" customWidth="1"/>
    <col min="4" max="4" width="9.140625" style="21"/>
  </cols>
  <sheetData>
    <row r="1" spans="1:5" x14ac:dyDescent="0.25">
      <c r="A1" s="36" t="s">
        <v>441</v>
      </c>
    </row>
    <row r="2" spans="1:5" x14ac:dyDescent="0.25">
      <c r="A2" s="36"/>
    </row>
    <row r="3" spans="1:5" x14ac:dyDescent="0.25">
      <c r="A3" s="36" t="s">
        <v>416</v>
      </c>
      <c r="B3" t="s">
        <v>417</v>
      </c>
      <c r="C3" s="21" t="s">
        <v>434</v>
      </c>
    </row>
    <row r="4" spans="1:5" x14ac:dyDescent="0.25">
      <c r="A4" s="36" t="s">
        <v>420</v>
      </c>
      <c r="B4" t="s">
        <v>421</v>
      </c>
      <c r="C4" s="21" t="s">
        <v>435</v>
      </c>
    </row>
    <row r="5" spans="1:5" x14ac:dyDescent="0.25">
      <c r="A5" s="36" t="s">
        <v>424</v>
      </c>
      <c r="B5" t="s">
        <v>425</v>
      </c>
      <c r="C5" s="21" t="s">
        <v>436</v>
      </c>
    </row>
    <row r="6" spans="1:5" x14ac:dyDescent="0.25">
      <c r="A6" s="36" t="s">
        <v>428</v>
      </c>
      <c r="B6" t="s">
        <v>429</v>
      </c>
      <c r="C6" s="21" t="s">
        <v>437</v>
      </c>
    </row>
    <row r="8" spans="1:5" x14ac:dyDescent="0.25">
      <c r="A8" s="38" t="s">
        <v>2</v>
      </c>
    </row>
    <row r="10" spans="1:5" x14ac:dyDescent="0.25">
      <c r="A10" s="28" t="s">
        <v>73</v>
      </c>
      <c r="B10" s="7" t="s">
        <v>416</v>
      </c>
      <c r="C10" s="37" t="s">
        <v>420</v>
      </c>
      <c r="D10" s="37" t="s">
        <v>424</v>
      </c>
      <c r="E10" s="7" t="s">
        <v>428</v>
      </c>
    </row>
    <row r="11" spans="1:5" x14ac:dyDescent="0.25">
      <c r="A11" s="29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 x14ac:dyDescent="0.25">
      <c r="A12" s="29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 x14ac:dyDescent="0.25">
      <c r="A13" s="29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 x14ac:dyDescent="0.25">
      <c r="A14" s="29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 x14ac:dyDescent="0.25">
      <c r="A15" s="29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 x14ac:dyDescent="0.25">
      <c r="A16" s="29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 x14ac:dyDescent="0.25">
      <c r="A17" s="29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 x14ac:dyDescent="0.25">
      <c r="A18" s="29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 x14ac:dyDescent="0.25">
      <c r="A19" s="29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 x14ac:dyDescent="0.25">
      <c r="A20" s="29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 x14ac:dyDescent="0.25">
      <c r="A21" s="29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 x14ac:dyDescent="0.25">
      <c r="A22" s="29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 x14ac:dyDescent="0.25">
      <c r="A23" s="29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 x14ac:dyDescent="0.25">
      <c r="A24" s="29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 x14ac:dyDescent="0.25">
      <c r="A25" s="29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 x14ac:dyDescent="0.25">
      <c r="A26" s="29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 x14ac:dyDescent="0.25">
      <c r="A27" s="29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 x14ac:dyDescent="0.25">
      <c r="A28" s="29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 x14ac:dyDescent="0.25">
      <c r="A29" s="29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 x14ac:dyDescent="0.25">
      <c r="A30" s="29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 x14ac:dyDescent="0.25">
      <c r="A31" s="29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 x14ac:dyDescent="0.25">
      <c r="A32" s="29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 x14ac:dyDescent="0.25">
      <c r="A33" s="29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 x14ac:dyDescent="0.25">
      <c r="A34" s="29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 x14ac:dyDescent="0.25">
      <c r="A35" s="29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 x14ac:dyDescent="0.25">
      <c r="A36" s="29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 x14ac:dyDescent="0.25">
      <c r="A37" s="29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 x14ac:dyDescent="0.25">
      <c r="A38" s="29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 x14ac:dyDescent="0.25">
      <c r="A39" s="29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 x14ac:dyDescent="0.25">
      <c r="A40" s="29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 x14ac:dyDescent="0.25">
      <c r="A41" s="29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 x14ac:dyDescent="0.25">
      <c r="A42" s="29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 x14ac:dyDescent="0.25">
      <c r="A43" s="29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 x14ac:dyDescent="0.25">
      <c r="A44" s="29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 x14ac:dyDescent="0.25">
      <c r="A45" s="29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 x14ac:dyDescent="0.25">
      <c r="A46" s="29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 x14ac:dyDescent="0.25">
      <c r="A47" s="29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 x14ac:dyDescent="0.25">
      <c r="A48" s="29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 x14ac:dyDescent="0.25">
      <c r="A49" s="29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 x14ac:dyDescent="0.25">
      <c r="A50" s="29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 x14ac:dyDescent="0.25">
      <c r="A51" s="29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 x14ac:dyDescent="0.25">
      <c r="A52" s="29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 x14ac:dyDescent="0.25">
      <c r="A53" s="29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 x14ac:dyDescent="0.25">
      <c r="A54" s="29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 x14ac:dyDescent="0.25">
      <c r="A55" s="29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 x14ac:dyDescent="0.25">
      <c r="A56" s="29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 x14ac:dyDescent="0.25">
      <c r="A57" s="29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 x14ac:dyDescent="0.25">
      <c r="A58" s="29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 x14ac:dyDescent="0.25">
      <c r="A59" s="29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 x14ac:dyDescent="0.25">
      <c r="A60" s="29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 x14ac:dyDescent="0.25">
      <c r="A61" s="29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 x14ac:dyDescent="0.25">
      <c r="A62" s="29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 x14ac:dyDescent="0.25">
      <c r="A63" s="29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 x14ac:dyDescent="0.25">
      <c r="A64" s="29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 x14ac:dyDescent="0.25">
      <c r="A65" s="29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 x14ac:dyDescent="0.25">
      <c r="A66" s="29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 x14ac:dyDescent="0.25">
      <c r="A67" s="29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 x14ac:dyDescent="0.25">
      <c r="A68" s="29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 x14ac:dyDescent="0.25">
      <c r="A69" s="29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 x14ac:dyDescent="0.25">
      <c r="A70" s="29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 x14ac:dyDescent="0.25">
      <c r="A71" s="29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 x14ac:dyDescent="0.25">
      <c r="A72" s="29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 x14ac:dyDescent="0.25">
      <c r="A73" s="29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 x14ac:dyDescent="0.25">
      <c r="A74" s="29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 x14ac:dyDescent="0.25">
      <c r="A75" s="29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 x14ac:dyDescent="0.25">
      <c r="A76" s="29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 x14ac:dyDescent="0.25">
      <c r="A77" s="29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 x14ac:dyDescent="0.25">
      <c r="A78" s="29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 x14ac:dyDescent="0.25">
      <c r="A79" s="29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 x14ac:dyDescent="0.25">
      <c r="A80" s="29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 x14ac:dyDescent="0.25">
      <c r="A81" s="29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 x14ac:dyDescent="0.25">
      <c r="A82" s="29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 x14ac:dyDescent="0.25">
      <c r="A83" s="29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 x14ac:dyDescent="0.25">
      <c r="A84" s="29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 x14ac:dyDescent="0.25">
      <c r="A85" s="29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 x14ac:dyDescent="0.25">
      <c r="A86" s="29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 x14ac:dyDescent="0.25">
      <c r="A87" s="29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 x14ac:dyDescent="0.25">
      <c r="A88" s="29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 x14ac:dyDescent="0.25">
      <c r="A89" s="29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 x14ac:dyDescent="0.25">
      <c r="A90" s="29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 x14ac:dyDescent="0.25">
      <c r="A91" s="29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 x14ac:dyDescent="0.25">
      <c r="A92" s="29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 x14ac:dyDescent="0.25">
      <c r="A93" s="29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 x14ac:dyDescent="0.25">
      <c r="A94" s="29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 x14ac:dyDescent="0.25">
      <c r="A95" s="29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 x14ac:dyDescent="0.25">
      <c r="A96" s="29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 x14ac:dyDescent="0.25">
      <c r="A97" s="29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 x14ac:dyDescent="0.25">
      <c r="A98" s="29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 x14ac:dyDescent="0.25">
      <c r="A99" s="29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 x14ac:dyDescent="0.25">
      <c r="A100" s="29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 x14ac:dyDescent="0.25">
      <c r="A101" s="29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 x14ac:dyDescent="0.25">
      <c r="A102" s="29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 x14ac:dyDescent="0.25">
      <c r="A103" s="29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 x14ac:dyDescent="0.25">
      <c r="A104" s="29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 x14ac:dyDescent="0.25">
      <c r="A105" s="29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 x14ac:dyDescent="0.25">
      <c r="A106" s="29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 x14ac:dyDescent="0.25">
      <c r="A107" s="29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 x14ac:dyDescent="0.25">
      <c r="A108" s="29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 x14ac:dyDescent="0.25">
      <c r="A109" s="29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 x14ac:dyDescent="0.25">
      <c r="A110" s="29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 x14ac:dyDescent="0.25">
      <c r="A111" s="29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 x14ac:dyDescent="0.25">
      <c r="B112" s="3"/>
      <c r="E112" s="3"/>
    </row>
    <row r="113" spans="1:5" x14ac:dyDescent="0.25">
      <c r="A113" s="38" t="s">
        <v>12</v>
      </c>
      <c r="B113" s="3"/>
      <c r="E113" s="3"/>
    </row>
    <row r="114" spans="1:5" x14ac:dyDescent="0.25">
      <c r="B114" s="3"/>
      <c r="E114" s="3"/>
    </row>
    <row r="115" spans="1:5" x14ac:dyDescent="0.25">
      <c r="A115" s="28" t="s">
        <v>73</v>
      </c>
      <c r="B115" s="7" t="s">
        <v>416</v>
      </c>
      <c r="C115" s="37" t="s">
        <v>420</v>
      </c>
      <c r="D115" s="37" t="s">
        <v>424</v>
      </c>
      <c r="E115" s="7" t="s">
        <v>428</v>
      </c>
    </row>
    <row r="116" spans="1:5" x14ac:dyDescent="0.25">
      <c r="A116" s="29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 x14ac:dyDescent="0.25">
      <c r="A117" s="29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 x14ac:dyDescent="0.25">
      <c r="A118" s="29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 x14ac:dyDescent="0.25">
      <c r="A119" s="29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 x14ac:dyDescent="0.25">
      <c r="A120" s="29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 x14ac:dyDescent="0.25">
      <c r="A121" s="29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 x14ac:dyDescent="0.25">
      <c r="A122" s="29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 x14ac:dyDescent="0.25">
      <c r="A123" s="29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 x14ac:dyDescent="0.25">
      <c r="A124" s="29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 x14ac:dyDescent="0.25">
      <c r="A125" s="29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 x14ac:dyDescent="0.25">
      <c r="A126" s="29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 x14ac:dyDescent="0.25">
      <c r="A127" s="29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 x14ac:dyDescent="0.25">
      <c r="A128" s="29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 x14ac:dyDescent="0.25">
      <c r="A129" s="29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 x14ac:dyDescent="0.25">
      <c r="A130" s="29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 x14ac:dyDescent="0.25">
      <c r="A131" s="29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 x14ac:dyDescent="0.25">
      <c r="A132" s="29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 x14ac:dyDescent="0.25">
      <c r="A133" s="29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 x14ac:dyDescent="0.25">
      <c r="A134" s="29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 x14ac:dyDescent="0.25">
      <c r="A135" s="29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 x14ac:dyDescent="0.25">
      <c r="A136" s="29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 x14ac:dyDescent="0.25">
      <c r="A137" s="29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 x14ac:dyDescent="0.25">
      <c r="A138" s="29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 x14ac:dyDescent="0.25">
      <c r="A139" s="29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 x14ac:dyDescent="0.25">
      <c r="A140" s="29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 x14ac:dyDescent="0.25">
      <c r="A141" s="29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 x14ac:dyDescent="0.25">
      <c r="A142" s="29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 x14ac:dyDescent="0.25">
      <c r="A143" s="29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 x14ac:dyDescent="0.25">
      <c r="A144" s="29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 x14ac:dyDescent="0.25">
      <c r="A145" s="29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 x14ac:dyDescent="0.25">
      <c r="A146" s="29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 x14ac:dyDescent="0.25">
      <c r="A147" s="29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 x14ac:dyDescent="0.25">
      <c r="A148" s="29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 x14ac:dyDescent="0.25">
      <c r="A149" s="29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 x14ac:dyDescent="0.25">
      <c r="A150" s="29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 x14ac:dyDescent="0.25">
      <c r="A151" s="29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 x14ac:dyDescent="0.25">
      <c r="A152" s="29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 x14ac:dyDescent="0.25">
      <c r="A153" s="29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 x14ac:dyDescent="0.25">
      <c r="A154" s="29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 x14ac:dyDescent="0.25">
      <c r="A155" s="29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 x14ac:dyDescent="0.25">
      <c r="A156" s="29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 x14ac:dyDescent="0.25">
      <c r="A157" s="29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 x14ac:dyDescent="0.25">
      <c r="A158" s="29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 x14ac:dyDescent="0.25">
      <c r="A159" s="29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 x14ac:dyDescent="0.25">
      <c r="A160" s="29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 x14ac:dyDescent="0.25">
      <c r="A161" s="29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 x14ac:dyDescent="0.25">
      <c r="A162" s="29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 x14ac:dyDescent="0.25">
      <c r="A163" s="29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 x14ac:dyDescent="0.25">
      <c r="A164" s="29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 x14ac:dyDescent="0.25">
      <c r="A165" s="29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 x14ac:dyDescent="0.25">
      <c r="A166" s="29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 x14ac:dyDescent="0.25">
      <c r="A167" s="29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 x14ac:dyDescent="0.25">
      <c r="A168" s="29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 x14ac:dyDescent="0.25">
      <c r="A169" s="29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 x14ac:dyDescent="0.25">
      <c r="A170" s="29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 x14ac:dyDescent="0.25">
      <c r="A171" s="29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 x14ac:dyDescent="0.25">
      <c r="A172" s="29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 x14ac:dyDescent="0.25">
      <c r="A173" s="29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 x14ac:dyDescent="0.25">
      <c r="A174" s="29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 x14ac:dyDescent="0.25">
      <c r="A175" s="29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 x14ac:dyDescent="0.25">
      <c r="A176" s="29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 x14ac:dyDescent="0.25">
      <c r="A177" s="29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 x14ac:dyDescent="0.25">
      <c r="A178" s="29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 x14ac:dyDescent="0.25">
      <c r="A179" s="29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 x14ac:dyDescent="0.25">
      <c r="A180" s="29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 x14ac:dyDescent="0.25">
      <c r="A181" s="29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 x14ac:dyDescent="0.25">
      <c r="A182" s="29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 x14ac:dyDescent="0.25">
      <c r="A183" s="29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 x14ac:dyDescent="0.25">
      <c r="A184" s="29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 x14ac:dyDescent="0.25">
      <c r="A185" s="29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 x14ac:dyDescent="0.25">
      <c r="A186" s="29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 x14ac:dyDescent="0.25">
      <c r="A187" s="29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 x14ac:dyDescent="0.25">
      <c r="A188" s="29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 x14ac:dyDescent="0.25">
      <c r="A189" s="29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 x14ac:dyDescent="0.25">
      <c r="A190" s="29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 x14ac:dyDescent="0.25">
      <c r="A191" s="29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 x14ac:dyDescent="0.25">
      <c r="B192" s="3"/>
      <c r="E192" s="3"/>
    </row>
    <row r="193" spans="1:5" x14ac:dyDescent="0.25">
      <c r="A193" s="38" t="s">
        <v>11</v>
      </c>
      <c r="B193" s="3"/>
      <c r="E193" s="3"/>
    </row>
    <row r="194" spans="1:5" x14ac:dyDescent="0.25">
      <c r="B194" s="3"/>
      <c r="E194" s="3"/>
    </row>
    <row r="195" spans="1:5" x14ac:dyDescent="0.25">
      <c r="A195" s="28" t="s">
        <v>73</v>
      </c>
      <c r="B195" s="7" t="s">
        <v>416</v>
      </c>
      <c r="C195" s="37" t="s">
        <v>420</v>
      </c>
      <c r="D195" s="37" t="s">
        <v>424</v>
      </c>
      <c r="E195" s="7" t="s">
        <v>428</v>
      </c>
    </row>
    <row r="196" spans="1:5" x14ac:dyDescent="0.25">
      <c r="A196" s="29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 x14ac:dyDescent="0.25">
      <c r="A197" s="29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 x14ac:dyDescent="0.25">
      <c r="A198" s="29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 x14ac:dyDescent="0.25">
      <c r="A199" s="29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 x14ac:dyDescent="0.25">
      <c r="A200" s="29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 x14ac:dyDescent="0.25">
      <c r="A201" s="29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 x14ac:dyDescent="0.25">
      <c r="A202" s="29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 x14ac:dyDescent="0.25">
      <c r="A203" s="29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 x14ac:dyDescent="0.25">
      <c r="A204" s="29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 x14ac:dyDescent="0.25">
      <c r="A205" s="29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 x14ac:dyDescent="0.25">
      <c r="A206" s="29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 x14ac:dyDescent="0.25">
      <c r="A207" s="29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 x14ac:dyDescent="0.25">
      <c r="A208" s="29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 x14ac:dyDescent="0.25">
      <c r="A209" s="29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 x14ac:dyDescent="0.25">
      <c r="A210" s="29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 x14ac:dyDescent="0.25">
      <c r="A211" s="29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 x14ac:dyDescent="0.25">
      <c r="A212" s="29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 x14ac:dyDescent="0.25">
      <c r="A213" s="29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 x14ac:dyDescent="0.25">
      <c r="A214" s="29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 x14ac:dyDescent="0.25">
      <c r="A215" s="29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 x14ac:dyDescent="0.25">
      <c r="A216" s="29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 x14ac:dyDescent="0.25">
      <c r="A217" s="29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 x14ac:dyDescent="0.25">
      <c r="A218" s="29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 x14ac:dyDescent="0.25">
      <c r="A219" s="29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 x14ac:dyDescent="0.25">
      <c r="A220" s="29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 x14ac:dyDescent="0.25">
      <c r="A221" s="29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 x14ac:dyDescent="0.25">
      <c r="A222" s="29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 x14ac:dyDescent="0.25">
      <c r="A223" s="29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 x14ac:dyDescent="0.25">
      <c r="A224" s="29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 x14ac:dyDescent="0.25">
      <c r="A225" s="29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 x14ac:dyDescent="0.25">
      <c r="A226" s="29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 x14ac:dyDescent="0.25">
      <c r="A227" s="29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 x14ac:dyDescent="0.25">
      <c r="A228" s="29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 x14ac:dyDescent="0.25">
      <c r="A229" s="29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 x14ac:dyDescent="0.25">
      <c r="A230" s="29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 x14ac:dyDescent="0.25">
      <c r="A231" s="29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 x14ac:dyDescent="0.25">
      <c r="A232" s="29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 x14ac:dyDescent="0.25">
      <c r="A233" s="29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 x14ac:dyDescent="0.25">
      <c r="A234" s="29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 x14ac:dyDescent="0.25">
      <c r="A235" s="29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 x14ac:dyDescent="0.25">
      <c r="A236" s="29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 x14ac:dyDescent="0.25">
      <c r="A237" s="29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 x14ac:dyDescent="0.25">
      <c r="A238" s="29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 x14ac:dyDescent="0.25">
      <c r="A239" s="29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 x14ac:dyDescent="0.25">
      <c r="A240" s="29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 x14ac:dyDescent="0.25">
      <c r="A241" s="29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 x14ac:dyDescent="0.25">
      <c r="A242" s="29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 x14ac:dyDescent="0.25">
      <c r="A243" s="29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 x14ac:dyDescent="0.25">
      <c r="A244" s="29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 x14ac:dyDescent="0.25">
      <c r="A245" s="29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 x14ac:dyDescent="0.25">
      <c r="A246" s="29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 x14ac:dyDescent="0.25">
      <c r="A247" s="29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 x14ac:dyDescent="0.25">
      <c r="A248" s="29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 x14ac:dyDescent="0.25">
      <c r="A249" s="29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 x14ac:dyDescent="0.25">
      <c r="A250" s="29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 x14ac:dyDescent="0.25">
      <c r="A251" s="29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 x14ac:dyDescent="0.25">
      <c r="A252" s="29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 x14ac:dyDescent="0.25">
      <c r="A253" s="29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 x14ac:dyDescent="0.25">
      <c r="A254" s="29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 x14ac:dyDescent="0.25">
      <c r="A255" s="29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 x14ac:dyDescent="0.25">
      <c r="A256" s="29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 x14ac:dyDescent="0.25">
      <c r="A257" s="29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 x14ac:dyDescent="0.25">
      <c r="A258" s="29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 x14ac:dyDescent="0.25">
      <c r="A259" s="29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 x14ac:dyDescent="0.25">
      <c r="A260" s="29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 x14ac:dyDescent="0.25">
      <c r="A261" s="29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 x14ac:dyDescent="0.25">
      <c r="A262" s="29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 x14ac:dyDescent="0.25">
      <c r="A263" s="29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 x14ac:dyDescent="0.25">
      <c r="A264" s="29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 x14ac:dyDescent="0.25">
      <c r="A265" s="29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 x14ac:dyDescent="0.25">
      <c r="A266" s="29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 x14ac:dyDescent="0.25">
      <c r="A267" s="29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 x14ac:dyDescent="0.25">
      <c r="A268" s="29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 x14ac:dyDescent="0.25">
      <c r="A269" s="29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 x14ac:dyDescent="0.25">
      <c r="A270" s="29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 x14ac:dyDescent="0.25">
      <c r="A271" s="29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 x14ac:dyDescent="0.25">
      <c r="A272" s="29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 x14ac:dyDescent="0.25">
      <c r="A273" s="29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 x14ac:dyDescent="0.25">
      <c r="A274" s="29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 x14ac:dyDescent="0.25">
      <c r="A275" s="29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 x14ac:dyDescent="0.25">
      <c r="A276" s="29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 x14ac:dyDescent="0.25">
      <c r="A277" s="29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 x14ac:dyDescent="0.25">
      <c r="A278" s="29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 x14ac:dyDescent="0.25">
      <c r="A279" s="29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 x14ac:dyDescent="0.25">
      <c r="A280" s="29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 x14ac:dyDescent="0.25">
      <c r="A281" s="29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 x14ac:dyDescent="0.25">
      <c r="A282" s="29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 x14ac:dyDescent="0.25">
      <c r="A283" s="29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 x14ac:dyDescent="0.25">
      <c r="A284" s="29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 x14ac:dyDescent="0.25">
      <c r="A285" s="29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 x14ac:dyDescent="0.25">
      <c r="A286" s="29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 x14ac:dyDescent="0.25">
      <c r="A287" s="29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 x14ac:dyDescent="0.25">
      <c r="A288" s="29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 x14ac:dyDescent="0.25">
      <c r="A289" s="29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 x14ac:dyDescent="0.25">
      <c r="A290" s="29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 x14ac:dyDescent="0.25">
      <c r="A291" s="29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 x14ac:dyDescent="0.25">
      <c r="A292" s="29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 x14ac:dyDescent="0.25">
      <c r="A293" s="29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 x14ac:dyDescent="0.25">
      <c r="A294" s="29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 x14ac:dyDescent="0.25">
      <c r="A295" s="29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 x14ac:dyDescent="0.25">
      <c r="A296" s="29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 x14ac:dyDescent="0.25">
      <c r="A297" s="29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 x14ac:dyDescent="0.25">
      <c r="A298" s="29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 x14ac:dyDescent="0.25">
      <c r="A299" s="29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 x14ac:dyDescent="0.25">
      <c r="A300" s="29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 x14ac:dyDescent="0.25">
      <c r="A301" s="29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 x14ac:dyDescent="0.25">
      <c r="A302" s="29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 x14ac:dyDescent="0.25">
      <c r="A303" s="29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 x14ac:dyDescent="0.25">
      <c r="A304" s="29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 x14ac:dyDescent="0.25">
      <c r="A305" s="29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 x14ac:dyDescent="0.25">
      <c r="A306" s="29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 x14ac:dyDescent="0.25">
      <c r="B307" s="3"/>
      <c r="E307" s="3"/>
    </row>
    <row r="308" spans="1:5" x14ac:dyDescent="0.25">
      <c r="A308" s="35" t="s">
        <v>13</v>
      </c>
      <c r="B308" s="3"/>
      <c r="E308" s="3"/>
    </row>
    <row r="309" spans="1:5" x14ac:dyDescent="0.25">
      <c r="A309" s="35"/>
      <c r="B309" s="3"/>
      <c r="E309" s="3"/>
    </row>
    <row r="310" spans="1:5" x14ac:dyDescent="0.25">
      <c r="A310" s="28" t="s">
        <v>73</v>
      </c>
      <c r="B310" s="7" t="s">
        <v>416</v>
      </c>
      <c r="C310" s="37" t="s">
        <v>420</v>
      </c>
      <c r="D310" s="37" t="s">
        <v>424</v>
      </c>
      <c r="E310" s="7" t="s">
        <v>428</v>
      </c>
    </row>
    <row r="311" spans="1:5" x14ac:dyDescent="0.25">
      <c r="A311" s="29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 x14ac:dyDescent="0.25">
      <c r="A312" s="29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 x14ac:dyDescent="0.25">
      <c r="A313" s="29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 x14ac:dyDescent="0.25">
      <c r="A314" s="29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 x14ac:dyDescent="0.25">
      <c r="A315" s="29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 x14ac:dyDescent="0.25">
      <c r="A316" s="29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 x14ac:dyDescent="0.25">
      <c r="A317" s="29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 x14ac:dyDescent="0.25">
      <c r="A318" s="29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 x14ac:dyDescent="0.25">
      <c r="A319" s="29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 x14ac:dyDescent="0.25">
      <c r="A320" s="29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 x14ac:dyDescent="0.25">
      <c r="A321" s="29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 x14ac:dyDescent="0.25">
      <c r="A322" s="29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 x14ac:dyDescent="0.25">
      <c r="A323" s="29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 x14ac:dyDescent="0.25">
      <c r="A324" s="29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 x14ac:dyDescent="0.25">
      <c r="A325" s="29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 x14ac:dyDescent="0.25">
      <c r="A326" s="29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 x14ac:dyDescent="0.25">
      <c r="A327" s="29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 x14ac:dyDescent="0.25">
      <c r="A328" s="29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 x14ac:dyDescent="0.25">
      <c r="A329" s="29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 x14ac:dyDescent="0.25">
      <c r="A330" s="29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 x14ac:dyDescent="0.25">
      <c r="A331" s="29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 x14ac:dyDescent="0.25">
      <c r="A332" s="29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 x14ac:dyDescent="0.25">
      <c r="A333" s="29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 x14ac:dyDescent="0.25">
      <c r="A334" s="29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 x14ac:dyDescent="0.25">
      <c r="A335" s="29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 x14ac:dyDescent="0.25">
      <c r="A336" s="29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 x14ac:dyDescent="0.25">
      <c r="A337" s="29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 x14ac:dyDescent="0.25">
      <c r="A338" s="29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 x14ac:dyDescent="0.25">
      <c r="A339" s="29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 x14ac:dyDescent="0.25">
      <c r="A340" s="29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 x14ac:dyDescent="0.25">
      <c r="A341" s="29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 x14ac:dyDescent="0.25">
      <c r="A342" s="29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 x14ac:dyDescent="0.25">
      <c r="A343" s="29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 x14ac:dyDescent="0.25">
      <c r="A344" s="29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 x14ac:dyDescent="0.25">
      <c r="A345" s="29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 x14ac:dyDescent="0.25">
      <c r="A346" s="29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 x14ac:dyDescent="0.25">
      <c r="A347" s="29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 x14ac:dyDescent="0.25">
      <c r="A348" s="29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 x14ac:dyDescent="0.25">
      <c r="A349" s="29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 x14ac:dyDescent="0.25">
      <c r="A350" s="29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 x14ac:dyDescent="0.25">
      <c r="A351" s="29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 x14ac:dyDescent="0.25">
      <c r="A352" s="29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 x14ac:dyDescent="0.25">
      <c r="A353" s="29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 x14ac:dyDescent="0.25">
      <c r="A354" s="29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 x14ac:dyDescent="0.25">
      <c r="A355" s="29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 x14ac:dyDescent="0.25">
      <c r="A356" s="29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 x14ac:dyDescent="0.25">
      <c r="A357" s="29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 x14ac:dyDescent="0.25">
      <c r="A358" s="29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 x14ac:dyDescent="0.25">
      <c r="A359" s="29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 x14ac:dyDescent="0.25">
      <c r="A360" s="29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 x14ac:dyDescent="0.25">
      <c r="A361" s="29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 x14ac:dyDescent="0.25">
      <c r="A362" s="29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 x14ac:dyDescent="0.25">
      <c r="A363" s="29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 x14ac:dyDescent="0.25">
      <c r="A364" s="29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 x14ac:dyDescent="0.25">
      <c r="A365" s="29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 x14ac:dyDescent="0.25">
      <c r="A366" s="29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 x14ac:dyDescent="0.25">
      <c r="A367" s="29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 x14ac:dyDescent="0.25">
      <c r="A368" s="29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 x14ac:dyDescent="0.25">
      <c r="A369" s="29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 x14ac:dyDescent="0.25">
      <c r="A370" s="29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 x14ac:dyDescent="0.25">
      <c r="A371" s="29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 x14ac:dyDescent="0.25">
      <c r="A372" s="29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 x14ac:dyDescent="0.25">
      <c r="A373" s="29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 x14ac:dyDescent="0.25">
      <c r="A374" s="29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 x14ac:dyDescent="0.25">
      <c r="A375" s="29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 x14ac:dyDescent="0.25">
      <c r="A376" s="29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 x14ac:dyDescent="0.25">
      <c r="A377" s="29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 x14ac:dyDescent="0.25">
      <c r="A378" s="29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 x14ac:dyDescent="0.25">
      <c r="A379" s="29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 x14ac:dyDescent="0.25">
      <c r="A380" s="29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 x14ac:dyDescent="0.25">
      <c r="A381" s="29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 x14ac:dyDescent="0.25">
      <c r="A382" s="29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 x14ac:dyDescent="0.25">
      <c r="A383" s="29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 x14ac:dyDescent="0.25">
      <c r="A384" s="29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 x14ac:dyDescent="0.25">
      <c r="A385" s="29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 x14ac:dyDescent="0.25">
      <c r="A386" s="29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 x14ac:dyDescent="0.25">
      <c r="A387" s="29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 x14ac:dyDescent="0.25">
      <c r="A388" s="29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 x14ac:dyDescent="0.25">
      <c r="A389" s="29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 x14ac:dyDescent="0.25">
      <c r="A390" s="29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 x14ac:dyDescent="0.25">
      <c r="A391" s="29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 x14ac:dyDescent="0.25">
      <c r="B392" s="3"/>
      <c r="E392" s="3"/>
    </row>
    <row r="393" spans="1:5" x14ac:dyDescent="0.25">
      <c r="A393" s="38" t="s">
        <v>14</v>
      </c>
      <c r="B393" s="3"/>
      <c r="E393" s="3"/>
    </row>
    <row r="394" spans="1:5" x14ac:dyDescent="0.25">
      <c r="B394" s="3"/>
      <c r="E394" s="3"/>
    </row>
    <row r="395" spans="1:5" x14ac:dyDescent="0.25">
      <c r="A395" s="28" t="s">
        <v>73</v>
      </c>
      <c r="B395" s="7" t="s">
        <v>416</v>
      </c>
      <c r="C395" s="37" t="s">
        <v>420</v>
      </c>
      <c r="D395" s="37" t="s">
        <v>424</v>
      </c>
      <c r="E395" s="7" t="s">
        <v>428</v>
      </c>
    </row>
    <row r="396" spans="1:5" x14ac:dyDescent="0.25">
      <c r="A396" s="29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 x14ac:dyDescent="0.25">
      <c r="A397" s="29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 x14ac:dyDescent="0.25">
      <c r="A398" s="29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 x14ac:dyDescent="0.25">
      <c r="A399" s="29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 x14ac:dyDescent="0.25">
      <c r="A400" s="29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 x14ac:dyDescent="0.25">
      <c r="A401" s="29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 x14ac:dyDescent="0.25">
      <c r="A402" s="29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 x14ac:dyDescent="0.25">
      <c r="A403" s="29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 x14ac:dyDescent="0.25">
      <c r="A404" s="29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 x14ac:dyDescent="0.25">
      <c r="A405" s="29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 x14ac:dyDescent="0.25">
      <c r="A406" s="29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 x14ac:dyDescent="0.25">
      <c r="A407" s="29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 x14ac:dyDescent="0.25">
      <c r="A408" s="29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 x14ac:dyDescent="0.25">
      <c r="A409" s="29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 x14ac:dyDescent="0.25">
      <c r="A410" s="29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 x14ac:dyDescent="0.25">
      <c r="A411" s="29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 x14ac:dyDescent="0.25">
      <c r="A412" s="29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 x14ac:dyDescent="0.25">
      <c r="A413" s="29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 x14ac:dyDescent="0.25">
      <c r="A414" s="29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 x14ac:dyDescent="0.25">
      <c r="A415" s="29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 x14ac:dyDescent="0.25">
      <c r="A416" s="29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 x14ac:dyDescent="0.25">
      <c r="A417" s="29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 x14ac:dyDescent="0.25">
      <c r="A418" s="29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 x14ac:dyDescent="0.25">
      <c r="A419" s="29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 x14ac:dyDescent="0.25">
      <c r="A420" s="29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 x14ac:dyDescent="0.25">
      <c r="A421" s="29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 x14ac:dyDescent="0.25">
      <c r="A422" s="29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 x14ac:dyDescent="0.25">
      <c r="A423" s="29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 x14ac:dyDescent="0.25">
      <c r="A424" s="29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 x14ac:dyDescent="0.25">
      <c r="A425" s="29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 x14ac:dyDescent="0.25">
      <c r="A426" s="29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 x14ac:dyDescent="0.25">
      <c r="A427" s="29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 x14ac:dyDescent="0.25">
      <c r="A428" s="29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 x14ac:dyDescent="0.25">
      <c r="A429" s="29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 x14ac:dyDescent="0.25">
      <c r="A430" s="29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 x14ac:dyDescent="0.25">
      <c r="A431" s="29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 x14ac:dyDescent="0.25">
      <c r="A432" s="29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 x14ac:dyDescent="0.25">
      <c r="A433" s="29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 x14ac:dyDescent="0.25">
      <c r="A434" s="29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 x14ac:dyDescent="0.25">
      <c r="A435" s="29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 x14ac:dyDescent="0.25">
      <c r="A436" s="29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 x14ac:dyDescent="0.25">
      <c r="A437" s="29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 x14ac:dyDescent="0.25">
      <c r="A438" s="29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 x14ac:dyDescent="0.25">
      <c r="A439" s="29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 x14ac:dyDescent="0.25">
      <c r="A440" s="29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 x14ac:dyDescent="0.25">
      <c r="A441" s="29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 x14ac:dyDescent="0.25">
      <c r="A442" s="29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 x14ac:dyDescent="0.25">
      <c r="A443" s="29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 x14ac:dyDescent="0.25">
      <c r="A444" s="29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 x14ac:dyDescent="0.25">
      <c r="A445" s="29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 x14ac:dyDescent="0.25">
      <c r="A446" s="29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 x14ac:dyDescent="0.25">
      <c r="A447" s="29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 x14ac:dyDescent="0.25">
      <c r="A448" s="29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 x14ac:dyDescent="0.25">
      <c r="A449" s="29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 x14ac:dyDescent="0.25">
      <c r="A450" s="29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 x14ac:dyDescent="0.25">
      <c r="A451" s="29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 x14ac:dyDescent="0.25">
      <c r="A452" s="29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 x14ac:dyDescent="0.25">
      <c r="A453" s="29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 x14ac:dyDescent="0.25">
      <c r="A454" s="29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 x14ac:dyDescent="0.25">
      <c r="A455" s="29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 x14ac:dyDescent="0.25">
      <c r="A456" s="29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 x14ac:dyDescent="0.25">
      <c r="A457" s="29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 x14ac:dyDescent="0.25">
      <c r="A458" s="29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 x14ac:dyDescent="0.25">
      <c r="A459" s="29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 x14ac:dyDescent="0.25">
      <c r="A460" s="29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 x14ac:dyDescent="0.25">
      <c r="A461" s="29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 x14ac:dyDescent="0.25">
      <c r="B462" s="3"/>
      <c r="E462" s="3"/>
    </row>
    <row r="463" spans="1:5" x14ac:dyDescent="0.25">
      <c r="A463" s="38" t="s">
        <v>433</v>
      </c>
      <c r="B463" s="3"/>
      <c r="E463" s="3"/>
    </row>
    <row r="464" spans="1:5" x14ac:dyDescent="0.25">
      <c r="B464" s="3"/>
      <c r="E464" s="3"/>
    </row>
    <row r="465" spans="1:5" x14ac:dyDescent="0.25">
      <c r="A465" s="28" t="s">
        <v>73</v>
      </c>
      <c r="B465" s="7" t="s">
        <v>416</v>
      </c>
      <c r="C465" s="37" t="s">
        <v>420</v>
      </c>
      <c r="D465" s="37" t="s">
        <v>424</v>
      </c>
      <c r="E465" s="7" t="s">
        <v>428</v>
      </c>
    </row>
    <row r="466" spans="1:5" x14ac:dyDescent="0.25">
      <c r="A466" s="29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 x14ac:dyDescent="0.25">
      <c r="A467" s="29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 x14ac:dyDescent="0.25">
      <c r="A468" s="29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 x14ac:dyDescent="0.25">
      <c r="A469" s="29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 x14ac:dyDescent="0.25">
      <c r="A470" s="29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 x14ac:dyDescent="0.25">
      <c r="A471" s="29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 x14ac:dyDescent="0.25">
      <c r="A472" s="29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 x14ac:dyDescent="0.25">
      <c r="A473" s="29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 x14ac:dyDescent="0.25">
      <c r="A474" s="29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 x14ac:dyDescent="0.25">
      <c r="A475" s="29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 x14ac:dyDescent="0.25">
      <c r="A476" s="29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 x14ac:dyDescent="0.25">
      <c r="A477" s="29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 x14ac:dyDescent="0.25">
      <c r="A478" s="29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 x14ac:dyDescent="0.25">
      <c r="A479" s="29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 x14ac:dyDescent="0.25">
      <c r="A480" s="29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 x14ac:dyDescent="0.25">
      <c r="A481" s="29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 x14ac:dyDescent="0.25">
      <c r="A482" s="29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 x14ac:dyDescent="0.25">
      <c r="A483" s="29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 x14ac:dyDescent="0.25">
      <c r="A484" s="29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 x14ac:dyDescent="0.25">
      <c r="A485" s="29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 x14ac:dyDescent="0.25">
      <c r="A486" s="29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 x14ac:dyDescent="0.25">
      <c r="A487" s="29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 x14ac:dyDescent="0.25">
      <c r="A488" s="29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 x14ac:dyDescent="0.25">
      <c r="A489" s="29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 x14ac:dyDescent="0.25">
      <c r="A490" s="29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 x14ac:dyDescent="0.25">
      <c r="A491" s="29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 x14ac:dyDescent="0.25">
      <c r="A492" s="29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 x14ac:dyDescent="0.25">
      <c r="A493" s="29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 x14ac:dyDescent="0.25">
      <c r="A494" s="29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 x14ac:dyDescent="0.25">
      <c r="A495" s="29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 x14ac:dyDescent="0.25">
      <c r="A496" s="29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 x14ac:dyDescent="0.25">
      <c r="A497" s="29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 x14ac:dyDescent="0.25">
      <c r="A498" s="29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 x14ac:dyDescent="0.25">
      <c r="A499" s="29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 x14ac:dyDescent="0.25">
      <c r="A500" s="29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 x14ac:dyDescent="0.25">
      <c r="A501" s="29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 x14ac:dyDescent="0.25">
      <c r="A502" s="29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 x14ac:dyDescent="0.25">
      <c r="A503" s="29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 x14ac:dyDescent="0.25">
      <c r="A504" s="29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 x14ac:dyDescent="0.25">
      <c r="A505" s="29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 x14ac:dyDescent="0.25">
      <c r="A506" s="29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 x14ac:dyDescent="0.25">
      <c r="A507" s="29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 x14ac:dyDescent="0.25">
      <c r="A508" s="29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 x14ac:dyDescent="0.25">
      <c r="A509" s="29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 x14ac:dyDescent="0.25">
      <c r="A510" s="29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 x14ac:dyDescent="0.25">
      <c r="A511" s="29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 x14ac:dyDescent="0.25">
      <c r="A512" s="29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 x14ac:dyDescent="0.25">
      <c r="A513" s="29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 x14ac:dyDescent="0.25">
      <c r="A514" s="29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 x14ac:dyDescent="0.25">
      <c r="A515" s="29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 x14ac:dyDescent="0.25">
      <c r="A516" s="29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 x14ac:dyDescent="0.25">
      <c r="A517" s="29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 x14ac:dyDescent="0.25">
      <c r="A518" s="29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 x14ac:dyDescent="0.25">
      <c r="A519" s="29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 x14ac:dyDescent="0.25">
      <c r="A520" s="29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 x14ac:dyDescent="0.25">
      <c r="A521" s="29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 x14ac:dyDescent="0.25">
      <c r="A522" s="29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 x14ac:dyDescent="0.25">
      <c r="A523" s="29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 x14ac:dyDescent="0.25">
      <c r="A524" s="29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 x14ac:dyDescent="0.25">
      <c r="A525" s="29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 x14ac:dyDescent="0.25">
      <c r="A526" s="29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 x14ac:dyDescent="0.25">
      <c r="A527" s="29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 x14ac:dyDescent="0.25">
      <c r="A528" s="29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 x14ac:dyDescent="0.25">
      <c r="A529" s="29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 x14ac:dyDescent="0.25">
      <c r="A530" s="29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 x14ac:dyDescent="0.25">
      <c r="A531" s="29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 x14ac:dyDescent="0.25">
      <c r="A532" s="29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 x14ac:dyDescent="0.25">
      <c r="A533" s="29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 x14ac:dyDescent="0.25">
      <c r="A534" s="29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 x14ac:dyDescent="0.25">
      <c r="A535" s="29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 x14ac:dyDescent="0.25">
      <c r="A536" s="29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 x14ac:dyDescent="0.25">
      <c r="B537" s="3"/>
      <c r="E537" s="3"/>
    </row>
    <row r="538" spans="1:5" x14ac:dyDescent="0.25">
      <c r="A538" s="35" t="s">
        <v>18</v>
      </c>
      <c r="B538" s="3"/>
      <c r="E538" s="3"/>
    </row>
    <row r="539" spans="1:5" x14ac:dyDescent="0.25">
      <c r="B539" s="3"/>
      <c r="E539" s="3"/>
    </row>
    <row r="540" spans="1:5" x14ac:dyDescent="0.25">
      <c r="A540" s="28" t="s">
        <v>73</v>
      </c>
      <c r="B540" s="7" t="s">
        <v>416</v>
      </c>
      <c r="C540" s="37" t="s">
        <v>420</v>
      </c>
      <c r="D540" s="37" t="s">
        <v>424</v>
      </c>
      <c r="E540" s="7" t="s">
        <v>428</v>
      </c>
    </row>
    <row r="541" spans="1:5" x14ac:dyDescent="0.25">
      <c r="A541" s="29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 x14ac:dyDescent="0.25">
      <c r="A542" s="29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 x14ac:dyDescent="0.25">
      <c r="A543" s="29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 x14ac:dyDescent="0.25">
      <c r="A544" s="29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 x14ac:dyDescent="0.25">
      <c r="A545" s="29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 x14ac:dyDescent="0.25">
      <c r="A546" s="29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 x14ac:dyDescent="0.25">
      <c r="A547" s="29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 x14ac:dyDescent="0.25">
      <c r="A548" s="29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 x14ac:dyDescent="0.25">
      <c r="A549" s="29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 x14ac:dyDescent="0.25">
      <c r="A550" s="29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 x14ac:dyDescent="0.25">
      <c r="A551" s="29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 x14ac:dyDescent="0.25">
      <c r="A552" s="29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 x14ac:dyDescent="0.25">
      <c r="A553" s="29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 x14ac:dyDescent="0.25">
      <c r="A554" s="29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 x14ac:dyDescent="0.25">
      <c r="A555" s="29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 x14ac:dyDescent="0.25">
      <c r="A556" s="29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 x14ac:dyDescent="0.25">
      <c r="A557" s="29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 x14ac:dyDescent="0.25">
      <c r="A558" s="29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 x14ac:dyDescent="0.25">
      <c r="A559" s="29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 x14ac:dyDescent="0.25">
      <c r="A560" s="29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 x14ac:dyDescent="0.25">
      <c r="A561" s="29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 x14ac:dyDescent="0.25">
      <c r="A562" s="29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 x14ac:dyDescent="0.25">
      <c r="A563" s="29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 x14ac:dyDescent="0.25">
      <c r="A564" s="29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 x14ac:dyDescent="0.25">
      <c r="A565" s="29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 x14ac:dyDescent="0.25">
      <c r="A566" s="29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 x14ac:dyDescent="0.25">
      <c r="A567" s="29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 x14ac:dyDescent="0.25">
      <c r="A568" s="29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 x14ac:dyDescent="0.25">
      <c r="A569" s="29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 x14ac:dyDescent="0.25">
      <c r="A570" s="29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 x14ac:dyDescent="0.25">
      <c r="A571" s="29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 x14ac:dyDescent="0.25">
      <c r="A572" s="29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 x14ac:dyDescent="0.25">
      <c r="A573" s="29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 x14ac:dyDescent="0.25">
      <c r="A574" s="29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 x14ac:dyDescent="0.25">
      <c r="A575" s="29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 x14ac:dyDescent="0.25">
      <c r="A576" s="29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 x14ac:dyDescent="0.25">
      <c r="A577" s="29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 x14ac:dyDescent="0.25">
      <c r="A578" s="29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 x14ac:dyDescent="0.25">
      <c r="A579" s="29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 x14ac:dyDescent="0.25">
      <c r="A580" s="29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 x14ac:dyDescent="0.25">
      <c r="A581" s="29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 x14ac:dyDescent="0.25">
      <c r="A582" s="29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 x14ac:dyDescent="0.25">
      <c r="A583" s="29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 x14ac:dyDescent="0.25">
      <c r="A584" s="29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 x14ac:dyDescent="0.25">
      <c r="A585" s="29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 x14ac:dyDescent="0.25">
      <c r="A586" s="29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 x14ac:dyDescent="0.25">
      <c r="A587" s="29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 x14ac:dyDescent="0.25">
      <c r="A588" s="29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 x14ac:dyDescent="0.25">
      <c r="A589" s="29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 x14ac:dyDescent="0.25">
      <c r="A590" s="29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 x14ac:dyDescent="0.25">
      <c r="A591" s="29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 x14ac:dyDescent="0.25">
      <c r="A592" s="29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 x14ac:dyDescent="0.25">
      <c r="A593" s="29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 x14ac:dyDescent="0.25">
      <c r="A594" s="29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 x14ac:dyDescent="0.25">
      <c r="A595" s="29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 x14ac:dyDescent="0.25">
      <c r="A596" s="29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 x14ac:dyDescent="0.25">
      <c r="A597" s="29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 x14ac:dyDescent="0.25">
      <c r="A598" s="29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 x14ac:dyDescent="0.25">
      <c r="A599" s="29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 x14ac:dyDescent="0.25">
      <c r="A600" s="29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 x14ac:dyDescent="0.25">
      <c r="A601" s="29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 x14ac:dyDescent="0.25">
      <c r="A602" s="29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 x14ac:dyDescent="0.25">
      <c r="A603" s="29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 x14ac:dyDescent="0.25">
      <c r="A604" s="29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 x14ac:dyDescent="0.25">
      <c r="A605" s="29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 x14ac:dyDescent="0.25">
      <c r="A606" s="29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40" t="s">
        <v>20</v>
      </c>
      <c r="C1" s="40"/>
      <c r="D1" s="40" t="s">
        <v>21</v>
      </c>
      <c r="E1" s="40"/>
      <c r="F1" s="40" t="s">
        <v>22</v>
      </c>
      <c r="G1" s="40"/>
      <c r="H1" s="40" t="s">
        <v>23</v>
      </c>
      <c r="I1" s="40"/>
      <c r="J1" s="40" t="s">
        <v>24</v>
      </c>
      <c r="K1" s="40"/>
      <c r="L1" s="40" t="s">
        <v>25</v>
      </c>
      <c r="M1" s="40"/>
      <c r="N1" s="40" t="s">
        <v>26</v>
      </c>
      <c r="O1" s="40"/>
      <c r="P1" s="40" t="s">
        <v>27</v>
      </c>
      <c r="Q1" s="40"/>
      <c r="R1" s="40" t="s">
        <v>28</v>
      </c>
      <c r="S1" s="40"/>
      <c r="T1" s="40" t="s">
        <v>57</v>
      </c>
      <c r="U1" s="40"/>
      <c r="V1" s="40" t="s">
        <v>29</v>
      </c>
      <c r="W1" s="40"/>
      <c r="X1" s="40" t="s">
        <v>30</v>
      </c>
      <c r="Y1" s="40"/>
      <c r="Z1" s="40" t="s">
        <v>31</v>
      </c>
      <c r="AA1" s="40"/>
      <c r="AB1" s="40" t="s">
        <v>32</v>
      </c>
      <c r="AC1" s="40"/>
      <c r="AD1" s="40" t="s">
        <v>33</v>
      </c>
      <c r="AE1" s="40"/>
      <c r="AF1" s="19" t="s">
        <v>34</v>
      </c>
      <c r="AG1" s="19"/>
      <c r="AH1" s="40" t="s">
        <v>35</v>
      </c>
      <c r="AI1" s="40"/>
      <c r="AJ1" s="40" t="s">
        <v>36</v>
      </c>
      <c r="AK1" s="40"/>
      <c r="AL1" s="40" t="s">
        <v>93</v>
      </c>
      <c r="AM1" s="40"/>
    </row>
    <row r="2" spans="1:39" x14ac:dyDescent="0.25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40" t="s">
        <v>20</v>
      </c>
      <c r="C1" s="40"/>
      <c r="D1" s="40" t="s">
        <v>21</v>
      </c>
      <c r="E1" s="40"/>
      <c r="F1" s="40" t="s">
        <v>22</v>
      </c>
      <c r="G1" s="40"/>
      <c r="H1" s="40" t="s">
        <v>23</v>
      </c>
      <c r="I1" s="40"/>
      <c r="J1" s="40" t="s">
        <v>24</v>
      </c>
      <c r="K1" s="40"/>
      <c r="L1" s="40" t="s">
        <v>25</v>
      </c>
      <c r="M1" s="40"/>
      <c r="N1" s="40" t="s">
        <v>26</v>
      </c>
      <c r="O1" s="40"/>
      <c r="P1" s="40" t="s">
        <v>27</v>
      </c>
      <c r="Q1" s="40"/>
      <c r="R1" s="40" t="s">
        <v>28</v>
      </c>
      <c r="S1" s="40"/>
      <c r="T1" s="40" t="s">
        <v>57</v>
      </c>
      <c r="U1" s="40"/>
      <c r="V1" s="40" t="s">
        <v>29</v>
      </c>
      <c r="W1" s="40"/>
      <c r="X1" s="40" t="s">
        <v>30</v>
      </c>
      <c r="Y1" s="40"/>
      <c r="Z1" s="40" t="s">
        <v>31</v>
      </c>
      <c r="AA1" s="40"/>
      <c r="AB1" s="40" t="s">
        <v>32</v>
      </c>
      <c r="AC1" s="40"/>
      <c r="AD1" s="40" t="s">
        <v>33</v>
      </c>
      <c r="AE1" s="40"/>
      <c r="AF1" s="19" t="s">
        <v>34</v>
      </c>
      <c r="AG1" s="19"/>
      <c r="AH1" s="40" t="s">
        <v>35</v>
      </c>
      <c r="AI1" s="40"/>
      <c r="AJ1" s="40" t="s">
        <v>36</v>
      </c>
      <c r="AK1" s="40"/>
      <c r="AL1" s="40" t="s">
        <v>93</v>
      </c>
      <c r="AM1" s="40"/>
    </row>
    <row r="2" spans="1:39" x14ac:dyDescent="0.25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41" t="s">
        <v>115</v>
      </c>
      <c r="C1" s="41"/>
      <c r="D1" s="41" t="s">
        <v>75</v>
      </c>
      <c r="E1" s="41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41" t="s">
        <v>100</v>
      </c>
      <c r="C1" s="41"/>
      <c r="D1" s="41" t="s">
        <v>75</v>
      </c>
      <c r="E1" s="41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25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25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25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25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25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25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25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25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25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25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25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25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25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25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25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25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25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25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25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25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25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25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25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25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25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25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25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25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25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25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25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41" t="s">
        <v>75</v>
      </c>
      <c r="C1" s="41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41" t="s">
        <v>74</v>
      </c>
      <c r="C1" s="41"/>
      <c r="D1" s="41" t="s">
        <v>75</v>
      </c>
      <c r="E1" s="41"/>
      <c r="G1" s="41" t="s">
        <v>86</v>
      </c>
      <c r="H1" s="41"/>
      <c r="J1" s="41" t="s">
        <v>87</v>
      </c>
      <c r="K1" s="41"/>
      <c r="L1" s="41"/>
      <c r="M1" s="41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J146"/>
  <sheetViews>
    <sheetView workbookViewId="0">
      <selection activeCell="AJ4" sqref="AJ4:AJ17"/>
    </sheetView>
  </sheetViews>
  <sheetFormatPr defaultRowHeight="15" x14ac:dyDescent="0.25"/>
  <sheetData>
    <row r="1" spans="1:36" x14ac:dyDescent="0.25">
      <c r="A1" s="1"/>
      <c r="B1" s="41" t="s">
        <v>115</v>
      </c>
      <c r="C1" s="41"/>
      <c r="D1" s="41" t="s">
        <v>370</v>
      </c>
      <c r="E1" s="41"/>
      <c r="F1" s="41" t="s">
        <v>75</v>
      </c>
      <c r="G1" s="41"/>
    </row>
    <row r="2" spans="1:36" x14ac:dyDescent="0.25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AJ2" t="s">
        <v>383</v>
      </c>
    </row>
    <row r="3" spans="1:36" x14ac:dyDescent="0.25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</row>
    <row r="4" spans="1:36" x14ac:dyDescent="0.25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AJ4" t="s">
        <v>371</v>
      </c>
    </row>
    <row r="5" spans="1:36" x14ac:dyDescent="0.25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AJ5" t="s">
        <v>372</v>
      </c>
    </row>
    <row r="6" spans="1:36" x14ac:dyDescent="0.25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AJ6" t="s">
        <v>373</v>
      </c>
    </row>
    <row r="7" spans="1:36" x14ac:dyDescent="0.25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AJ7" t="s">
        <v>374</v>
      </c>
    </row>
    <row r="8" spans="1:36" x14ac:dyDescent="0.25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AJ8" t="s">
        <v>375</v>
      </c>
    </row>
    <row r="9" spans="1:36" x14ac:dyDescent="0.25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AJ9" t="s">
        <v>376</v>
      </c>
    </row>
    <row r="10" spans="1:36" x14ac:dyDescent="0.25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AJ10" t="s">
        <v>377</v>
      </c>
    </row>
    <row r="11" spans="1:36" x14ac:dyDescent="0.25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</row>
    <row r="12" spans="1:36" x14ac:dyDescent="0.25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AJ12" t="s">
        <v>378</v>
      </c>
    </row>
    <row r="13" spans="1:36" x14ac:dyDescent="0.25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AJ13" t="s">
        <v>379</v>
      </c>
    </row>
    <row r="14" spans="1:36" x14ac:dyDescent="0.25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AJ14" t="s">
        <v>380</v>
      </c>
    </row>
    <row r="15" spans="1:36" x14ac:dyDescent="0.25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AJ15" t="s">
        <v>381</v>
      </c>
    </row>
    <row r="16" spans="1:36" x14ac:dyDescent="0.25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AJ16" t="s">
        <v>382</v>
      </c>
    </row>
    <row r="17" spans="1:36" x14ac:dyDescent="0.25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AJ17" t="s">
        <v>257</v>
      </c>
    </row>
    <row r="18" spans="1:36" x14ac:dyDescent="0.25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</row>
    <row r="19" spans="1:36" x14ac:dyDescent="0.25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</row>
    <row r="20" spans="1:36" x14ac:dyDescent="0.25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</row>
    <row r="21" spans="1:36" x14ac:dyDescent="0.25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</row>
    <row r="22" spans="1:36" x14ac:dyDescent="0.25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</row>
    <row r="23" spans="1:36" x14ac:dyDescent="0.25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</row>
    <row r="24" spans="1:36" x14ac:dyDescent="0.25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</row>
    <row r="25" spans="1:36" x14ac:dyDescent="0.25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</row>
    <row r="26" spans="1:36" x14ac:dyDescent="0.25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</row>
    <row r="27" spans="1:36" x14ac:dyDescent="0.25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</row>
    <row r="28" spans="1:36" x14ac:dyDescent="0.25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</row>
    <row r="29" spans="1:36" x14ac:dyDescent="0.25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</row>
    <row r="30" spans="1:36" x14ac:dyDescent="0.25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</row>
    <row r="31" spans="1:36" x14ac:dyDescent="0.25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</row>
    <row r="32" spans="1:36" x14ac:dyDescent="0.25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</row>
    <row r="33" spans="1:7" x14ac:dyDescent="0.25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</row>
    <row r="34" spans="1:7" x14ac:dyDescent="0.25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</row>
    <row r="35" spans="1:7" x14ac:dyDescent="0.25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</row>
    <row r="36" spans="1:7" x14ac:dyDescent="0.25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</row>
    <row r="37" spans="1:7" x14ac:dyDescent="0.25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</row>
    <row r="38" spans="1:7" x14ac:dyDescent="0.25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</row>
    <row r="39" spans="1:7" x14ac:dyDescent="0.25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</row>
    <row r="40" spans="1:7" x14ac:dyDescent="0.25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</row>
    <row r="41" spans="1:7" x14ac:dyDescent="0.25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</row>
    <row r="42" spans="1:7" x14ac:dyDescent="0.25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</row>
    <row r="43" spans="1:7" x14ac:dyDescent="0.25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</row>
    <row r="44" spans="1:7" x14ac:dyDescent="0.25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</row>
    <row r="45" spans="1:7" x14ac:dyDescent="0.25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</row>
    <row r="46" spans="1:7" x14ac:dyDescent="0.25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</row>
    <row r="47" spans="1:7" x14ac:dyDescent="0.25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</row>
    <row r="48" spans="1:7" x14ac:dyDescent="0.25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</row>
    <row r="49" spans="1:7" x14ac:dyDescent="0.25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</row>
    <row r="50" spans="1:7" x14ac:dyDescent="0.25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</row>
    <row r="51" spans="1:7" x14ac:dyDescent="0.25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</row>
    <row r="52" spans="1:7" x14ac:dyDescent="0.25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</row>
    <row r="53" spans="1:7" x14ac:dyDescent="0.25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</row>
    <row r="54" spans="1:7" x14ac:dyDescent="0.25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</row>
    <row r="55" spans="1:7" x14ac:dyDescent="0.25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</row>
    <row r="56" spans="1:7" x14ac:dyDescent="0.25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</row>
    <row r="57" spans="1:7" x14ac:dyDescent="0.25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</row>
    <row r="58" spans="1:7" x14ac:dyDescent="0.25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</row>
    <row r="59" spans="1:7" x14ac:dyDescent="0.25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</row>
    <row r="60" spans="1:7" x14ac:dyDescent="0.25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</row>
    <row r="61" spans="1:7" x14ac:dyDescent="0.25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</row>
    <row r="62" spans="1:7" x14ac:dyDescent="0.25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</row>
    <row r="63" spans="1:7" x14ac:dyDescent="0.25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</row>
    <row r="64" spans="1:7" x14ac:dyDescent="0.25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</row>
    <row r="65" spans="1:7" x14ac:dyDescent="0.25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</row>
    <row r="66" spans="1:7" x14ac:dyDescent="0.25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</row>
    <row r="67" spans="1:7" x14ac:dyDescent="0.25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</row>
    <row r="68" spans="1:7" x14ac:dyDescent="0.25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</row>
    <row r="69" spans="1:7" x14ac:dyDescent="0.25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</row>
    <row r="70" spans="1:7" x14ac:dyDescent="0.25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</row>
    <row r="71" spans="1:7" x14ac:dyDescent="0.25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</row>
    <row r="72" spans="1:7" x14ac:dyDescent="0.25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</row>
    <row r="73" spans="1:7" x14ac:dyDescent="0.25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</row>
    <row r="74" spans="1:7" x14ac:dyDescent="0.25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</row>
    <row r="75" spans="1:7" x14ac:dyDescent="0.25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</row>
    <row r="76" spans="1:7" x14ac:dyDescent="0.25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</row>
    <row r="77" spans="1:7" x14ac:dyDescent="0.25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</row>
    <row r="78" spans="1:7" x14ac:dyDescent="0.25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</row>
    <row r="79" spans="1:7" x14ac:dyDescent="0.25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</row>
    <row r="80" spans="1:7" x14ac:dyDescent="0.25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</row>
    <row r="81" spans="1:7" x14ac:dyDescent="0.25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</row>
    <row r="82" spans="1:7" x14ac:dyDescent="0.25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</row>
    <row r="83" spans="1:7" x14ac:dyDescent="0.25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</row>
    <row r="84" spans="1:7" x14ac:dyDescent="0.25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</row>
    <row r="85" spans="1:7" x14ac:dyDescent="0.25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</row>
    <row r="86" spans="1:7" x14ac:dyDescent="0.25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</row>
    <row r="87" spans="1:7" x14ac:dyDescent="0.25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</row>
    <row r="88" spans="1:7" x14ac:dyDescent="0.25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</row>
    <row r="89" spans="1:7" x14ac:dyDescent="0.25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</row>
    <row r="90" spans="1:7" x14ac:dyDescent="0.25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</row>
    <row r="91" spans="1:7" x14ac:dyDescent="0.25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</row>
    <row r="92" spans="1:7" x14ac:dyDescent="0.25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</row>
    <row r="93" spans="1:7" x14ac:dyDescent="0.25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</row>
    <row r="94" spans="1:7" x14ac:dyDescent="0.25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</row>
    <row r="95" spans="1:7" x14ac:dyDescent="0.25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</row>
    <row r="96" spans="1:7" x14ac:dyDescent="0.25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</row>
    <row r="97" spans="1:7" x14ac:dyDescent="0.25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</row>
    <row r="98" spans="1:7" x14ac:dyDescent="0.25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</row>
    <row r="99" spans="1:7" x14ac:dyDescent="0.25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</row>
    <row r="100" spans="1:7" x14ac:dyDescent="0.25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</row>
    <row r="101" spans="1:7" x14ac:dyDescent="0.25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</row>
    <row r="102" spans="1:7" x14ac:dyDescent="0.25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</row>
    <row r="103" spans="1:7" x14ac:dyDescent="0.25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</row>
    <row r="104" spans="1:7" x14ac:dyDescent="0.25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</row>
    <row r="105" spans="1:7" x14ac:dyDescent="0.25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</row>
    <row r="106" spans="1:7" x14ac:dyDescent="0.25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</row>
    <row r="107" spans="1:7" x14ac:dyDescent="0.25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</row>
    <row r="108" spans="1:7" x14ac:dyDescent="0.25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</row>
    <row r="109" spans="1:7" x14ac:dyDescent="0.25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</row>
    <row r="110" spans="1:7" x14ac:dyDescent="0.25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</row>
    <row r="111" spans="1:7" x14ac:dyDescent="0.25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</row>
    <row r="112" spans="1:7" x14ac:dyDescent="0.25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</row>
    <row r="113" spans="1:7" x14ac:dyDescent="0.25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</row>
    <row r="114" spans="1:7" x14ac:dyDescent="0.25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</row>
    <row r="115" spans="1:7" x14ac:dyDescent="0.25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</row>
    <row r="116" spans="1:7" x14ac:dyDescent="0.25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</row>
    <row r="117" spans="1:7" x14ac:dyDescent="0.25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</row>
    <row r="118" spans="1:7" x14ac:dyDescent="0.25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</row>
    <row r="119" spans="1:7" x14ac:dyDescent="0.25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</row>
    <row r="120" spans="1:7" x14ac:dyDescent="0.25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</row>
    <row r="121" spans="1:7" x14ac:dyDescent="0.25">
      <c r="A121">
        <f t="shared" ref="A121:A146" si="0">A120+1</f>
        <v>1998</v>
      </c>
      <c r="B121" s="21"/>
      <c r="C121" s="21"/>
      <c r="D121" s="21"/>
      <c r="E121" s="21"/>
      <c r="F121" s="3">
        <v>35.9</v>
      </c>
      <c r="G121" s="3">
        <v>6.7</v>
      </c>
    </row>
    <row r="122" spans="1:7" x14ac:dyDescent="0.25">
      <c r="A122">
        <f t="shared" si="0"/>
        <v>1999</v>
      </c>
      <c r="B122" s="21"/>
      <c r="C122" s="21"/>
      <c r="D122" s="21"/>
      <c r="E122" s="21"/>
      <c r="F122" s="3">
        <v>35.200000000000003</v>
      </c>
      <c r="G122" s="3">
        <v>6.4</v>
      </c>
    </row>
    <row r="123" spans="1:7" x14ac:dyDescent="0.25">
      <c r="A123">
        <f t="shared" si="0"/>
        <v>2000</v>
      </c>
      <c r="B123" s="21"/>
      <c r="C123" s="21"/>
      <c r="D123" s="21"/>
      <c r="E123" s="21"/>
      <c r="F123" s="3">
        <v>34.700000000000003</v>
      </c>
      <c r="G123" s="3">
        <v>6.3</v>
      </c>
    </row>
    <row r="124" spans="1:7" x14ac:dyDescent="0.25">
      <c r="A124">
        <f t="shared" si="0"/>
        <v>2001</v>
      </c>
      <c r="B124" s="21"/>
      <c r="C124" s="21"/>
      <c r="D124" s="21"/>
      <c r="E124" s="21"/>
      <c r="F124" s="3">
        <v>34.200000000000003</v>
      </c>
      <c r="G124" s="3">
        <v>6.1</v>
      </c>
    </row>
    <row r="125" spans="1:7" x14ac:dyDescent="0.25">
      <c r="A125">
        <f t="shared" si="0"/>
        <v>2002</v>
      </c>
      <c r="B125" s="21"/>
      <c r="C125" s="21"/>
      <c r="D125" s="21"/>
      <c r="E125" s="21"/>
      <c r="F125" s="3">
        <v>33.299999999999997</v>
      </c>
      <c r="G125" s="3">
        <v>6</v>
      </c>
    </row>
    <row r="126" spans="1:7" x14ac:dyDescent="0.25">
      <c r="A126">
        <f t="shared" si="0"/>
        <v>2003</v>
      </c>
      <c r="B126" s="21"/>
      <c r="C126" s="21"/>
      <c r="D126" s="21"/>
      <c r="E126" s="21"/>
      <c r="F126" s="3">
        <v>32.5</v>
      </c>
      <c r="G126" s="3">
        <v>5.8</v>
      </c>
    </row>
    <row r="127" spans="1:7" x14ac:dyDescent="0.25">
      <c r="A127">
        <f t="shared" si="0"/>
        <v>2004</v>
      </c>
      <c r="B127" s="21"/>
      <c r="C127" s="21"/>
      <c r="D127" s="21"/>
      <c r="E127" s="21"/>
      <c r="F127" s="3">
        <v>31.7</v>
      </c>
      <c r="G127" s="3">
        <v>5.8</v>
      </c>
    </row>
    <row r="128" spans="1:7" x14ac:dyDescent="0.25">
      <c r="A128">
        <f t="shared" si="0"/>
        <v>2005</v>
      </c>
      <c r="B128" s="21"/>
      <c r="C128" s="21"/>
      <c r="D128" s="21"/>
      <c r="E128" s="21"/>
      <c r="F128" s="3">
        <v>30.8</v>
      </c>
      <c r="G128" s="3">
        <v>5.9</v>
      </c>
    </row>
    <row r="129" spans="1:7" x14ac:dyDescent="0.25">
      <c r="A129">
        <f t="shared" si="0"/>
        <v>2006</v>
      </c>
      <c r="B129" s="21"/>
      <c r="C129" s="21"/>
      <c r="D129" s="21"/>
      <c r="E129" s="21"/>
      <c r="F129" s="3">
        <v>30</v>
      </c>
      <c r="G129" s="3">
        <v>5.7</v>
      </c>
    </row>
    <row r="130" spans="1:7" x14ac:dyDescent="0.25">
      <c r="A130">
        <f t="shared" si="0"/>
        <v>2007</v>
      </c>
      <c r="B130" s="21"/>
      <c r="C130" s="21"/>
      <c r="D130" s="21"/>
      <c r="E130" s="21"/>
      <c r="F130" s="3">
        <v>29.4</v>
      </c>
      <c r="G130" s="3">
        <v>5.5</v>
      </c>
    </row>
    <row r="131" spans="1:7" x14ac:dyDescent="0.25">
      <c r="A131">
        <f t="shared" si="0"/>
        <v>2008</v>
      </c>
      <c r="B131" s="21"/>
      <c r="C131" s="21"/>
      <c r="D131" s="21"/>
      <c r="E131" s="21"/>
      <c r="F131" s="3">
        <v>28.7</v>
      </c>
      <c r="G131" s="3">
        <v>5.5</v>
      </c>
    </row>
    <row r="132" spans="1:7" x14ac:dyDescent="0.25">
      <c r="A132">
        <f t="shared" si="0"/>
        <v>2009</v>
      </c>
      <c r="B132" s="21"/>
      <c r="C132" s="21"/>
      <c r="D132" s="21"/>
      <c r="E132" s="21"/>
      <c r="F132" s="3">
        <v>28.2</v>
      </c>
      <c r="G132" s="3">
        <v>5.5</v>
      </c>
    </row>
    <row r="133" spans="1:7" x14ac:dyDescent="0.25">
      <c r="A133">
        <f t="shared" si="0"/>
        <v>2010</v>
      </c>
      <c r="B133" s="21"/>
      <c r="C133" s="21"/>
      <c r="D133" s="21"/>
      <c r="E133" s="21"/>
      <c r="F133" s="3">
        <v>27.8</v>
      </c>
      <c r="G133" s="3">
        <v>5.4</v>
      </c>
    </row>
    <row r="134" spans="1:7" x14ac:dyDescent="0.25">
      <c r="A134">
        <f t="shared" si="0"/>
        <v>2011</v>
      </c>
      <c r="B134" s="21"/>
      <c r="C134" s="21"/>
      <c r="D134" s="21"/>
      <c r="E134" s="21"/>
      <c r="F134" s="3">
        <v>27.5</v>
      </c>
      <c r="G134" s="3">
        <v>5.3</v>
      </c>
    </row>
    <row r="135" spans="1:7" x14ac:dyDescent="0.25">
      <c r="A135">
        <f t="shared" si="0"/>
        <v>2012</v>
      </c>
      <c r="B135" s="21"/>
      <c r="C135" s="21"/>
      <c r="D135" s="21"/>
      <c r="E135" s="21"/>
      <c r="F135" s="3">
        <v>27.2</v>
      </c>
      <c r="G135" s="3">
        <v>5.2</v>
      </c>
    </row>
    <row r="136" spans="1:7" x14ac:dyDescent="0.25">
      <c r="A136">
        <f t="shared" si="0"/>
        <v>2013</v>
      </c>
      <c r="B136" s="21"/>
      <c r="C136" s="21"/>
      <c r="D136" s="21"/>
      <c r="E136" s="21"/>
      <c r="F136" s="3">
        <v>26.7</v>
      </c>
      <c r="G136" s="3">
        <v>5.2</v>
      </c>
    </row>
    <row r="137" spans="1:7" x14ac:dyDescent="0.25">
      <c r="A137">
        <f t="shared" si="0"/>
        <v>2014</v>
      </c>
      <c r="B137" s="21"/>
      <c r="C137" s="21"/>
      <c r="D137" s="21"/>
      <c r="E137" s="21"/>
      <c r="F137" s="3">
        <v>26.5</v>
      </c>
      <c r="G137" s="3">
        <v>5.2</v>
      </c>
    </row>
    <row r="138" spans="1:7" x14ac:dyDescent="0.25">
      <c r="A138">
        <f t="shared" si="0"/>
        <v>2015</v>
      </c>
      <c r="B138" s="21"/>
      <c r="C138" s="21"/>
      <c r="D138" s="21"/>
      <c r="E138" s="21"/>
      <c r="F138" s="3">
        <v>26.2</v>
      </c>
      <c r="G138" s="3">
        <v>5.2</v>
      </c>
    </row>
    <row r="139" spans="1:7" x14ac:dyDescent="0.25">
      <c r="A139">
        <f t="shared" si="0"/>
        <v>2016</v>
      </c>
      <c r="B139" s="21"/>
      <c r="C139" s="21"/>
      <c r="D139" s="21"/>
      <c r="E139" s="21"/>
      <c r="F139" s="3">
        <v>26</v>
      </c>
      <c r="G139" s="3">
        <v>5.2</v>
      </c>
    </row>
    <row r="140" spans="1:7" x14ac:dyDescent="0.25">
      <c r="A140">
        <f t="shared" si="0"/>
        <v>2017</v>
      </c>
      <c r="B140" s="21"/>
      <c r="C140" s="21"/>
      <c r="D140" s="21"/>
      <c r="E140" s="21"/>
      <c r="F140" s="3">
        <v>25.2</v>
      </c>
      <c r="G140" s="3">
        <v>5.0999999999999996</v>
      </c>
    </row>
    <row r="141" spans="1:7" x14ac:dyDescent="0.25">
      <c r="A141">
        <f t="shared" si="0"/>
        <v>2018</v>
      </c>
      <c r="B141" s="21"/>
      <c r="C141" s="21"/>
      <c r="D141" s="21"/>
      <c r="E141" s="21"/>
      <c r="F141" s="3">
        <v>24.3</v>
      </c>
      <c r="G141" s="3">
        <v>5.0999999999999996</v>
      </c>
    </row>
    <row r="142" spans="1:7" x14ac:dyDescent="0.25">
      <c r="A142">
        <f t="shared" si="0"/>
        <v>2019</v>
      </c>
      <c r="B142" s="21"/>
      <c r="C142" s="21"/>
      <c r="D142" s="21"/>
      <c r="E142" s="21"/>
      <c r="F142" s="3">
        <v>23.1</v>
      </c>
      <c r="G142" s="3">
        <v>5.0999999999999996</v>
      </c>
    </row>
    <row r="143" spans="1:7" x14ac:dyDescent="0.25">
      <c r="A143">
        <f t="shared" si="0"/>
        <v>2020</v>
      </c>
      <c r="B143" s="21"/>
      <c r="C143" s="21"/>
      <c r="D143" s="21"/>
      <c r="E143" s="21"/>
      <c r="F143" s="3">
        <v>22</v>
      </c>
      <c r="G143" s="3">
        <v>5.8</v>
      </c>
    </row>
    <row r="144" spans="1:7" x14ac:dyDescent="0.25">
      <c r="A144">
        <f t="shared" si="0"/>
        <v>2021</v>
      </c>
      <c r="B144" s="21"/>
      <c r="C144" s="21"/>
      <c r="D144" s="21"/>
      <c r="E144" s="21"/>
      <c r="F144" s="3">
        <v>21.4</v>
      </c>
      <c r="G144" s="3">
        <v>6.9</v>
      </c>
    </row>
    <row r="145" spans="1:7" x14ac:dyDescent="0.25">
      <c r="A145">
        <f t="shared" si="0"/>
        <v>2022</v>
      </c>
      <c r="B145" s="21"/>
      <c r="C145" s="21"/>
      <c r="D145" s="21"/>
      <c r="E145" s="21"/>
      <c r="F145" s="3">
        <v>21.1</v>
      </c>
      <c r="G145" s="3">
        <v>5.3</v>
      </c>
    </row>
    <row r="146" spans="1:7" x14ac:dyDescent="0.25">
      <c r="A146">
        <f t="shared" si="0"/>
        <v>2023</v>
      </c>
      <c r="B146" s="21"/>
      <c r="C146" s="21"/>
      <c r="D146" s="21"/>
      <c r="E146" s="21"/>
      <c r="F146" s="3">
        <v>20.8</v>
      </c>
      <c r="G146" s="3">
        <v>4.8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workbookViewId="0">
      <selection activeCell="AF26" sqref="AF2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25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25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5" x14ac:dyDescent="0.25"/>
  <sheetData>
    <row r="1" spans="1:30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G116"/>
  <sheetViews>
    <sheetView topLeftCell="A49" workbookViewId="0">
      <selection activeCell="AK89" sqref="AK89"/>
    </sheetView>
  </sheetViews>
  <sheetFormatPr defaultRowHeight="15" x14ac:dyDescent="0.25"/>
  <sheetData>
    <row r="1" spans="1:7" x14ac:dyDescent="0.25">
      <c r="A1" s="1"/>
      <c r="B1" s="41" t="s">
        <v>115</v>
      </c>
      <c r="C1" s="41"/>
      <c r="D1" s="41" t="s">
        <v>370</v>
      </c>
      <c r="E1" s="41"/>
      <c r="F1" s="41" t="s">
        <v>75</v>
      </c>
      <c r="G1" s="41"/>
    </row>
    <row r="2" spans="1:7" x14ac:dyDescent="0.25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25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</row>
    <row r="4" spans="1:7" x14ac:dyDescent="0.25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</row>
    <row r="5" spans="1:7" x14ac:dyDescent="0.25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</row>
    <row r="6" spans="1:7" x14ac:dyDescent="0.25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</row>
    <row r="7" spans="1:7" x14ac:dyDescent="0.25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</row>
    <row r="8" spans="1:7" x14ac:dyDescent="0.25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</row>
    <row r="9" spans="1:7" x14ac:dyDescent="0.25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</row>
    <row r="10" spans="1:7" x14ac:dyDescent="0.25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</row>
    <row r="11" spans="1:7" x14ac:dyDescent="0.25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</row>
    <row r="12" spans="1:7" x14ac:dyDescent="0.25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</row>
    <row r="13" spans="1:7" x14ac:dyDescent="0.25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</row>
    <row r="14" spans="1:7" x14ac:dyDescent="0.25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</row>
    <row r="15" spans="1:7" x14ac:dyDescent="0.25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</row>
    <row r="16" spans="1:7" x14ac:dyDescent="0.25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</row>
    <row r="17" spans="1:7" x14ac:dyDescent="0.25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</row>
    <row r="18" spans="1:7" x14ac:dyDescent="0.25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</row>
    <row r="19" spans="1:7" x14ac:dyDescent="0.25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</row>
    <row r="20" spans="1:7" x14ac:dyDescent="0.25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</row>
    <row r="21" spans="1:7" x14ac:dyDescent="0.25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</row>
    <row r="22" spans="1:7" x14ac:dyDescent="0.25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</row>
    <row r="23" spans="1:7" x14ac:dyDescent="0.25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</row>
    <row r="24" spans="1:7" x14ac:dyDescent="0.25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</row>
    <row r="25" spans="1:7" x14ac:dyDescent="0.25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</row>
    <row r="26" spans="1:7" x14ac:dyDescent="0.25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</row>
    <row r="27" spans="1:7" x14ac:dyDescent="0.25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</row>
    <row r="28" spans="1:7" x14ac:dyDescent="0.25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</row>
    <row r="29" spans="1:7" x14ac:dyDescent="0.25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</row>
    <row r="30" spans="1:7" x14ac:dyDescent="0.25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</row>
    <row r="31" spans="1:7" x14ac:dyDescent="0.25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</row>
    <row r="32" spans="1:7" x14ac:dyDescent="0.25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</row>
    <row r="33" spans="1:7" x14ac:dyDescent="0.25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</row>
    <row r="34" spans="1:7" x14ac:dyDescent="0.25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</row>
    <row r="35" spans="1:7" x14ac:dyDescent="0.25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</row>
    <row r="36" spans="1:7" x14ac:dyDescent="0.25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</row>
    <row r="37" spans="1:7" x14ac:dyDescent="0.25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</row>
    <row r="38" spans="1:7" x14ac:dyDescent="0.25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</row>
    <row r="39" spans="1:7" x14ac:dyDescent="0.25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</row>
    <row r="40" spans="1:7" x14ac:dyDescent="0.25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</row>
    <row r="41" spans="1:7" x14ac:dyDescent="0.25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</row>
    <row r="42" spans="1:7" x14ac:dyDescent="0.25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</row>
    <row r="43" spans="1:7" x14ac:dyDescent="0.25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</row>
    <row r="44" spans="1:7" x14ac:dyDescent="0.25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</row>
    <row r="45" spans="1:7" x14ac:dyDescent="0.25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</row>
    <row r="46" spans="1:7" x14ac:dyDescent="0.25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</row>
    <row r="47" spans="1:7" x14ac:dyDescent="0.25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</row>
    <row r="48" spans="1:7" x14ac:dyDescent="0.25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</row>
    <row r="49" spans="1:7" x14ac:dyDescent="0.25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</row>
    <row r="50" spans="1:7" x14ac:dyDescent="0.25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</row>
    <row r="51" spans="1:7" x14ac:dyDescent="0.25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</row>
    <row r="52" spans="1:7" x14ac:dyDescent="0.25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</row>
    <row r="53" spans="1:7" x14ac:dyDescent="0.25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</row>
    <row r="54" spans="1:7" x14ac:dyDescent="0.25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</row>
    <row r="55" spans="1:7" x14ac:dyDescent="0.25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</row>
    <row r="56" spans="1:7" x14ac:dyDescent="0.25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</row>
    <row r="57" spans="1:7" x14ac:dyDescent="0.25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</row>
    <row r="58" spans="1:7" x14ac:dyDescent="0.25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</row>
    <row r="59" spans="1:7" x14ac:dyDescent="0.25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</row>
    <row r="60" spans="1:7" x14ac:dyDescent="0.25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</row>
    <row r="61" spans="1:7" x14ac:dyDescent="0.25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</row>
    <row r="62" spans="1:7" x14ac:dyDescent="0.25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</row>
    <row r="63" spans="1:7" x14ac:dyDescent="0.25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</row>
    <row r="64" spans="1:7" x14ac:dyDescent="0.25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</row>
    <row r="65" spans="1:7" x14ac:dyDescent="0.25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</row>
    <row r="66" spans="1:7" x14ac:dyDescent="0.25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</row>
    <row r="67" spans="1:7" x14ac:dyDescent="0.25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</row>
    <row r="68" spans="1:7" x14ac:dyDescent="0.25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</row>
    <row r="69" spans="1:7" x14ac:dyDescent="0.25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</row>
    <row r="70" spans="1:7" x14ac:dyDescent="0.25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</row>
    <row r="71" spans="1:7" x14ac:dyDescent="0.25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</row>
    <row r="72" spans="1:7" x14ac:dyDescent="0.25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</row>
    <row r="73" spans="1:7" x14ac:dyDescent="0.25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</row>
    <row r="74" spans="1:7" x14ac:dyDescent="0.25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</row>
    <row r="75" spans="1:7" x14ac:dyDescent="0.25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</row>
    <row r="76" spans="1:7" x14ac:dyDescent="0.25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</row>
    <row r="77" spans="1:7" x14ac:dyDescent="0.25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</row>
    <row r="78" spans="1:7" x14ac:dyDescent="0.25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</row>
    <row r="79" spans="1:7" x14ac:dyDescent="0.25">
      <c r="A79">
        <v>1986</v>
      </c>
      <c r="B79" s="21"/>
      <c r="C79" s="21"/>
      <c r="D79" s="21"/>
      <c r="E79" s="21"/>
      <c r="F79" s="3">
        <v>40.5</v>
      </c>
      <c r="G79" s="3">
        <v>8</v>
      </c>
    </row>
    <row r="80" spans="1:7" x14ac:dyDescent="0.25">
      <c r="A80">
        <v>1987</v>
      </c>
      <c r="B80" s="21"/>
      <c r="C80" s="21"/>
      <c r="D80" s="21"/>
      <c r="E80" s="21"/>
      <c r="F80" s="3">
        <v>39.9</v>
      </c>
      <c r="G80" s="3">
        <v>7.8</v>
      </c>
    </row>
    <row r="81" spans="1:7" x14ac:dyDescent="0.25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</row>
    <row r="82" spans="1:7" x14ac:dyDescent="0.25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</row>
    <row r="83" spans="1:7" x14ac:dyDescent="0.25">
      <c r="A83">
        <v>1990</v>
      </c>
      <c r="B83" s="21"/>
      <c r="C83" s="21"/>
      <c r="D83" s="21"/>
      <c r="E83" s="21"/>
      <c r="F83" s="3">
        <v>38.5</v>
      </c>
      <c r="G83" s="3">
        <v>7</v>
      </c>
    </row>
    <row r="84" spans="1:7" x14ac:dyDescent="0.25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</row>
    <row r="85" spans="1:7" x14ac:dyDescent="0.25">
      <c r="A85">
        <v>1992</v>
      </c>
      <c r="B85" s="21"/>
      <c r="C85" s="21"/>
      <c r="D85" s="21"/>
      <c r="E85" s="21"/>
      <c r="F85" s="3">
        <v>37.9</v>
      </c>
      <c r="G85" s="3">
        <v>6.6</v>
      </c>
    </row>
    <row r="86" spans="1:7" x14ac:dyDescent="0.25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</row>
    <row r="87" spans="1:7" x14ac:dyDescent="0.25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</row>
    <row r="88" spans="1:7" x14ac:dyDescent="0.25">
      <c r="A88">
        <v>1995</v>
      </c>
      <c r="B88" s="21"/>
      <c r="C88" s="21"/>
      <c r="D88" s="21"/>
      <c r="E88" s="21"/>
      <c r="F88" s="3">
        <v>36.9</v>
      </c>
      <c r="G88" s="3">
        <v>6</v>
      </c>
    </row>
    <row r="89" spans="1:7" x14ac:dyDescent="0.25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</row>
    <row r="90" spans="1:7" x14ac:dyDescent="0.25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</row>
    <row r="91" spans="1:7" x14ac:dyDescent="0.25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</row>
    <row r="92" spans="1:7" x14ac:dyDescent="0.25">
      <c r="A92">
        <f t="shared" ref="A92:A116" si="0">A91+1</f>
        <v>1999</v>
      </c>
      <c r="B92" s="21"/>
      <c r="C92" s="21"/>
      <c r="D92" s="21"/>
      <c r="E92" s="21"/>
      <c r="F92" s="3">
        <v>34.6</v>
      </c>
      <c r="G92" s="3">
        <v>5.4</v>
      </c>
    </row>
    <row r="93" spans="1:7" x14ac:dyDescent="0.25">
      <c r="A93">
        <f t="shared" si="0"/>
        <v>2000</v>
      </c>
      <c r="B93" s="21"/>
      <c r="C93" s="21"/>
      <c r="D93" s="21"/>
      <c r="E93" s="21"/>
      <c r="F93" s="3">
        <v>34.200000000000003</v>
      </c>
      <c r="G93" s="3">
        <v>5.2</v>
      </c>
    </row>
    <row r="94" spans="1:7" x14ac:dyDescent="0.25">
      <c r="A94">
        <f t="shared" si="0"/>
        <v>2001</v>
      </c>
      <c r="B94" s="21"/>
      <c r="C94" s="21"/>
      <c r="D94" s="21"/>
      <c r="E94" s="21"/>
      <c r="F94" s="3">
        <v>33.4</v>
      </c>
      <c r="G94" s="3">
        <v>5.0999999999999996</v>
      </c>
    </row>
    <row r="95" spans="1:7" x14ac:dyDescent="0.25">
      <c r="A95">
        <f t="shared" si="0"/>
        <v>2002</v>
      </c>
      <c r="B95" s="21"/>
      <c r="C95" s="21"/>
      <c r="D95" s="21"/>
      <c r="E95" s="21"/>
      <c r="F95" s="3">
        <v>32.4</v>
      </c>
      <c r="G95" s="3">
        <v>5</v>
      </c>
    </row>
    <row r="96" spans="1:7" x14ac:dyDescent="0.25">
      <c r="A96">
        <f t="shared" si="0"/>
        <v>2003</v>
      </c>
      <c r="B96" s="21"/>
      <c r="C96" s="21"/>
      <c r="D96" s="21"/>
      <c r="E96" s="21"/>
      <c r="F96" s="3">
        <v>31.4</v>
      </c>
      <c r="G96" s="3">
        <v>5</v>
      </c>
    </row>
    <row r="97" spans="1:7" x14ac:dyDescent="0.25">
      <c r="A97">
        <f t="shared" si="0"/>
        <v>2004</v>
      </c>
      <c r="B97" s="21"/>
      <c r="C97" s="21"/>
      <c r="D97" s="21"/>
      <c r="E97" s="21"/>
      <c r="F97" s="3">
        <v>30.5</v>
      </c>
      <c r="G97" s="3">
        <v>4.9000000000000004</v>
      </c>
    </row>
    <row r="98" spans="1:7" x14ac:dyDescent="0.25">
      <c r="A98">
        <f t="shared" si="0"/>
        <v>2005</v>
      </c>
      <c r="B98" s="21"/>
      <c r="C98" s="21"/>
      <c r="D98" s="21"/>
      <c r="E98" s="21"/>
      <c r="F98" s="3">
        <v>29.6</v>
      </c>
      <c r="G98" s="3">
        <v>4.8</v>
      </c>
    </row>
    <row r="99" spans="1:7" x14ac:dyDescent="0.25">
      <c r="A99">
        <f t="shared" si="0"/>
        <v>2006</v>
      </c>
      <c r="B99" s="21"/>
      <c r="C99" s="21"/>
      <c r="D99" s="21"/>
      <c r="E99" s="21"/>
      <c r="F99" s="3">
        <v>28.7</v>
      </c>
      <c r="G99" s="3">
        <v>4.8</v>
      </c>
    </row>
    <row r="100" spans="1:7" x14ac:dyDescent="0.25">
      <c r="A100">
        <f t="shared" si="0"/>
        <v>2007</v>
      </c>
      <c r="B100" s="21"/>
      <c r="C100" s="21"/>
      <c r="D100" s="21"/>
      <c r="E100" s="21"/>
      <c r="F100" s="3">
        <v>28.1</v>
      </c>
      <c r="G100" s="3">
        <v>4.8</v>
      </c>
    </row>
    <row r="101" spans="1:7" x14ac:dyDescent="0.25">
      <c r="A101">
        <f t="shared" si="0"/>
        <v>2008</v>
      </c>
      <c r="B101" s="21"/>
      <c r="C101" s="21"/>
      <c r="D101" s="21"/>
      <c r="E101" s="21"/>
      <c r="F101" s="3">
        <v>27.5</v>
      </c>
      <c r="G101" s="3">
        <v>4.7</v>
      </c>
    </row>
    <row r="102" spans="1:7" x14ac:dyDescent="0.25">
      <c r="A102">
        <f t="shared" si="0"/>
        <v>2009</v>
      </c>
      <c r="B102" s="21"/>
      <c r="C102" s="21"/>
      <c r="D102" s="21"/>
      <c r="E102" s="21"/>
      <c r="F102" s="3">
        <v>27</v>
      </c>
      <c r="G102" s="3">
        <v>4.7</v>
      </c>
    </row>
    <row r="103" spans="1:7" x14ac:dyDescent="0.25">
      <c r="A103">
        <f t="shared" si="0"/>
        <v>2010</v>
      </c>
      <c r="B103" s="21"/>
      <c r="C103" s="21"/>
      <c r="D103" s="21"/>
      <c r="E103" s="21"/>
      <c r="F103" s="3">
        <v>26.3</v>
      </c>
      <c r="G103" s="3">
        <v>4.8</v>
      </c>
    </row>
    <row r="104" spans="1:7" x14ac:dyDescent="0.25">
      <c r="A104">
        <f t="shared" si="0"/>
        <v>2011</v>
      </c>
      <c r="B104" s="21"/>
      <c r="C104" s="21"/>
      <c r="D104" s="21"/>
      <c r="E104" s="21"/>
      <c r="F104" s="3">
        <v>25.8</v>
      </c>
      <c r="G104" s="3">
        <v>4.7</v>
      </c>
    </row>
    <row r="105" spans="1:7" x14ac:dyDescent="0.25">
      <c r="A105">
        <f t="shared" si="0"/>
        <v>2012</v>
      </c>
      <c r="B105" s="21"/>
      <c r="C105" s="21"/>
      <c r="D105" s="21"/>
      <c r="E105" s="21"/>
      <c r="F105" s="3">
        <v>25.3</v>
      </c>
      <c r="G105" s="3">
        <v>4.5999999999999996</v>
      </c>
    </row>
    <row r="106" spans="1:7" x14ac:dyDescent="0.25">
      <c r="A106">
        <f t="shared" si="0"/>
        <v>2013</v>
      </c>
      <c r="B106" s="21"/>
      <c r="C106" s="21"/>
      <c r="D106" s="21"/>
      <c r="E106" s="21"/>
      <c r="F106" s="3">
        <v>24.8</v>
      </c>
      <c r="G106" s="3">
        <v>4.5999999999999996</v>
      </c>
    </row>
    <row r="107" spans="1:7" x14ac:dyDescent="0.25">
      <c r="A107">
        <f t="shared" si="0"/>
        <v>2014</v>
      </c>
      <c r="B107" s="21"/>
      <c r="C107" s="21"/>
      <c r="D107" s="21"/>
      <c r="E107" s="21"/>
      <c r="F107" s="3">
        <v>24.4</v>
      </c>
      <c r="G107" s="3">
        <v>4.5</v>
      </c>
    </row>
    <row r="108" spans="1:7" x14ac:dyDescent="0.25">
      <c r="A108">
        <f t="shared" si="0"/>
        <v>2015</v>
      </c>
      <c r="B108" s="21"/>
      <c r="C108" s="21"/>
      <c r="D108" s="21"/>
      <c r="E108" s="21"/>
      <c r="F108" s="3">
        <v>24.1</v>
      </c>
      <c r="G108" s="3">
        <v>4.5</v>
      </c>
    </row>
    <row r="109" spans="1:7" x14ac:dyDescent="0.25">
      <c r="A109">
        <f t="shared" si="0"/>
        <v>2016</v>
      </c>
      <c r="B109" s="21"/>
      <c r="C109" s="21"/>
      <c r="D109" s="21"/>
      <c r="E109" s="21"/>
      <c r="F109" s="3">
        <v>23.8</v>
      </c>
      <c r="G109" s="3">
        <v>4.4000000000000004</v>
      </c>
    </row>
    <row r="110" spans="1:7" x14ac:dyDescent="0.25">
      <c r="A110">
        <f t="shared" si="0"/>
        <v>2017</v>
      </c>
      <c r="B110" s="21"/>
      <c r="C110" s="21"/>
      <c r="D110" s="21"/>
      <c r="E110" s="21"/>
      <c r="F110" s="3">
        <v>23.5</v>
      </c>
      <c r="G110" s="3">
        <v>4.4000000000000004</v>
      </c>
    </row>
    <row r="111" spans="1:7" x14ac:dyDescent="0.25">
      <c r="A111">
        <f t="shared" si="0"/>
        <v>2018</v>
      </c>
      <c r="B111" s="21"/>
      <c r="C111" s="21"/>
      <c r="D111" s="21"/>
      <c r="E111" s="21"/>
      <c r="F111" s="3">
        <v>23.4</v>
      </c>
      <c r="G111" s="3">
        <v>4.5</v>
      </c>
    </row>
    <row r="112" spans="1:7" x14ac:dyDescent="0.25">
      <c r="A112">
        <f t="shared" si="0"/>
        <v>2019</v>
      </c>
      <c r="B112" s="21"/>
      <c r="C112" s="21"/>
      <c r="D112" s="21"/>
      <c r="E112" s="21"/>
      <c r="F112" s="3">
        <v>23.1</v>
      </c>
      <c r="G112" s="3">
        <v>4.5</v>
      </c>
    </row>
    <row r="113" spans="1:7" x14ac:dyDescent="0.25">
      <c r="A113">
        <f t="shared" si="0"/>
        <v>2020</v>
      </c>
      <c r="B113" s="21"/>
      <c r="C113" s="21"/>
      <c r="D113" s="21"/>
      <c r="E113" s="21"/>
      <c r="F113" s="3">
        <v>22.8</v>
      </c>
      <c r="G113" s="3">
        <v>5.0999999999999996</v>
      </c>
    </row>
    <row r="114" spans="1:7" x14ac:dyDescent="0.25">
      <c r="A114">
        <f t="shared" si="0"/>
        <v>2021</v>
      </c>
      <c r="B114" s="21"/>
      <c r="C114" s="21"/>
      <c r="D114" s="21"/>
      <c r="E114" s="21"/>
      <c r="F114" s="3">
        <v>22.5</v>
      </c>
      <c r="G114" s="3">
        <v>5.7</v>
      </c>
    </row>
    <row r="115" spans="1:7" x14ac:dyDescent="0.25">
      <c r="A115">
        <f t="shared" si="0"/>
        <v>2022</v>
      </c>
      <c r="B115" s="21"/>
      <c r="C115" s="21"/>
      <c r="D115" s="21"/>
      <c r="E115" s="21"/>
      <c r="F115" s="3">
        <v>22.2</v>
      </c>
      <c r="G115" s="3">
        <v>4.4000000000000004</v>
      </c>
    </row>
    <row r="116" spans="1:7" x14ac:dyDescent="0.25">
      <c r="A116">
        <f t="shared" si="0"/>
        <v>2023</v>
      </c>
      <c r="B116" s="21"/>
      <c r="C116" s="21"/>
      <c r="D116" s="21"/>
      <c r="E116" s="21"/>
      <c r="F116" s="3">
        <v>22</v>
      </c>
      <c r="G116" s="3">
        <v>4.5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41" t="s">
        <v>100</v>
      </c>
      <c r="C1" s="41"/>
      <c r="D1" s="41" t="s">
        <v>75</v>
      </c>
      <c r="E1" s="41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25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25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25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25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25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25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25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25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25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25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45" x14ac:dyDescent="0.25">
      <c r="B1" s="42" t="s">
        <v>90</v>
      </c>
      <c r="C1" s="42"/>
      <c r="D1" s="42"/>
      <c r="E1" s="42"/>
      <c r="I1" s="42" t="s">
        <v>89</v>
      </c>
      <c r="J1" s="42"/>
      <c r="K1" s="42"/>
      <c r="U1" s="3"/>
    </row>
    <row r="2" spans="1:45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5" x14ac:dyDescent="0.25"/>
  <cols>
    <col min="1" max="1" width="8.85546875" style="1"/>
  </cols>
  <sheetData>
    <row r="2" spans="1:32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25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25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25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25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25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25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25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25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25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25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25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25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25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25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25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25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25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25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25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25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25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25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25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25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25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25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25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25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25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25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25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25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25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25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25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25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25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25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25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25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25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25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25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25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25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25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25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25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25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25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353</v>
      </c>
    </row>
    <row r="3" spans="1:30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354</v>
      </c>
    </row>
    <row r="5" spans="1:30" x14ac:dyDescent="0.25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355</v>
      </c>
    </row>
    <row r="6" spans="1:30" x14ac:dyDescent="0.25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356</v>
      </c>
    </row>
    <row r="7" spans="1:30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357</v>
      </c>
    </row>
    <row r="8" spans="1:30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358</v>
      </c>
    </row>
    <row r="10" spans="1:30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359</v>
      </c>
    </row>
    <row r="11" spans="1:30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360</v>
      </c>
    </row>
    <row r="12" spans="1:30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361</v>
      </c>
    </row>
    <row r="13" spans="1:30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362</v>
      </c>
    </row>
    <row r="15" spans="1:30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363</v>
      </c>
    </row>
    <row r="16" spans="1:30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364</v>
      </c>
    </row>
    <row r="17" spans="1:30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365</v>
      </c>
    </row>
    <row r="18" spans="1:30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366</v>
      </c>
    </row>
    <row r="19" spans="1:30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367</v>
      </c>
    </row>
    <row r="21" spans="1:30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368</v>
      </c>
    </row>
    <row r="22" spans="1:30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D91" sqref="D91:E164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N253"/>
  <sheetViews>
    <sheetView topLeftCell="A115" workbookViewId="0">
      <selection activeCell="AN118" sqref="AN118:AN130"/>
    </sheetView>
  </sheetViews>
  <sheetFormatPr defaultRowHeight="15" x14ac:dyDescent="0.25"/>
  <sheetData>
    <row r="1" spans="1:7" x14ac:dyDescent="0.25">
      <c r="A1" s="1"/>
      <c r="B1" s="41" t="s">
        <v>115</v>
      </c>
      <c r="C1" s="41"/>
      <c r="D1" s="41" t="s">
        <v>370</v>
      </c>
      <c r="E1" s="41"/>
      <c r="F1" s="41" t="s">
        <v>75</v>
      </c>
      <c r="G1" s="41"/>
    </row>
    <row r="2" spans="1:7" x14ac:dyDescent="0.25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25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</row>
    <row r="4" spans="1:7" x14ac:dyDescent="0.25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</row>
    <row r="5" spans="1:7" x14ac:dyDescent="0.25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</row>
    <row r="6" spans="1:7" x14ac:dyDescent="0.25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</row>
    <row r="7" spans="1:7" x14ac:dyDescent="0.25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</row>
    <row r="8" spans="1:7" x14ac:dyDescent="0.25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</row>
    <row r="9" spans="1:7" x14ac:dyDescent="0.25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</row>
    <row r="10" spans="1:7" x14ac:dyDescent="0.25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</row>
    <row r="11" spans="1:7" x14ac:dyDescent="0.25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</row>
    <row r="12" spans="1:7" x14ac:dyDescent="0.25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</row>
    <row r="13" spans="1:7" x14ac:dyDescent="0.25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</row>
    <row r="14" spans="1:7" x14ac:dyDescent="0.25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</row>
    <row r="15" spans="1:7" x14ac:dyDescent="0.25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</row>
    <row r="16" spans="1:7" x14ac:dyDescent="0.25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</row>
    <row r="17" spans="1:7" x14ac:dyDescent="0.25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</row>
    <row r="18" spans="1:7" x14ac:dyDescent="0.25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</row>
    <row r="19" spans="1:7" x14ac:dyDescent="0.25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</row>
    <row r="20" spans="1:7" x14ac:dyDescent="0.25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</row>
    <row r="21" spans="1:7" x14ac:dyDescent="0.25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</row>
    <row r="22" spans="1:7" x14ac:dyDescent="0.25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</row>
    <row r="23" spans="1:7" x14ac:dyDescent="0.25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</row>
    <row r="24" spans="1:7" x14ac:dyDescent="0.25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</row>
    <row r="25" spans="1:7" x14ac:dyDescent="0.25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</row>
    <row r="26" spans="1:7" x14ac:dyDescent="0.25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</row>
    <row r="27" spans="1:7" x14ac:dyDescent="0.25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</row>
    <row r="28" spans="1:7" x14ac:dyDescent="0.25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</row>
    <row r="29" spans="1:7" x14ac:dyDescent="0.25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</row>
    <row r="30" spans="1:7" x14ac:dyDescent="0.25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</row>
    <row r="31" spans="1:7" x14ac:dyDescent="0.25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</row>
    <row r="32" spans="1:7" x14ac:dyDescent="0.25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</row>
    <row r="33" spans="1:7" x14ac:dyDescent="0.25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</row>
    <row r="34" spans="1:7" x14ac:dyDescent="0.25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</row>
    <row r="35" spans="1:7" x14ac:dyDescent="0.25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</row>
    <row r="36" spans="1:7" x14ac:dyDescent="0.25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</row>
    <row r="37" spans="1:7" x14ac:dyDescent="0.25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</row>
    <row r="38" spans="1:7" x14ac:dyDescent="0.25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</row>
    <row r="39" spans="1:7" x14ac:dyDescent="0.25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</row>
    <row r="40" spans="1:7" x14ac:dyDescent="0.25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</row>
    <row r="41" spans="1:7" x14ac:dyDescent="0.25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</row>
    <row r="42" spans="1:7" x14ac:dyDescent="0.25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</row>
    <row r="43" spans="1:7" x14ac:dyDescent="0.25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</row>
    <row r="44" spans="1:7" x14ac:dyDescent="0.25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</row>
    <row r="45" spans="1:7" x14ac:dyDescent="0.25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</row>
    <row r="46" spans="1:7" x14ac:dyDescent="0.25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</row>
    <row r="47" spans="1:7" x14ac:dyDescent="0.25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</row>
    <row r="48" spans="1:7" x14ac:dyDescent="0.25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</row>
    <row r="49" spans="1:7" x14ac:dyDescent="0.25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</row>
    <row r="50" spans="1:7" x14ac:dyDescent="0.25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</row>
    <row r="51" spans="1:7" x14ac:dyDescent="0.25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</row>
    <row r="52" spans="1:7" x14ac:dyDescent="0.25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</row>
    <row r="53" spans="1:7" x14ac:dyDescent="0.25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</row>
    <row r="54" spans="1:7" x14ac:dyDescent="0.25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</row>
    <row r="55" spans="1:7" x14ac:dyDescent="0.25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</row>
    <row r="56" spans="1:7" x14ac:dyDescent="0.25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</row>
    <row r="57" spans="1:7" x14ac:dyDescent="0.25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</row>
    <row r="58" spans="1:7" x14ac:dyDescent="0.25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</row>
    <row r="59" spans="1:7" x14ac:dyDescent="0.25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</row>
    <row r="60" spans="1:7" x14ac:dyDescent="0.25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</row>
    <row r="61" spans="1:7" x14ac:dyDescent="0.25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</row>
    <row r="62" spans="1:7" x14ac:dyDescent="0.25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</row>
    <row r="63" spans="1:7" x14ac:dyDescent="0.25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</row>
    <row r="64" spans="1:7" x14ac:dyDescent="0.25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</row>
    <row r="65" spans="1:7" x14ac:dyDescent="0.25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</row>
    <row r="66" spans="1:7" x14ac:dyDescent="0.25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</row>
    <row r="67" spans="1:7" x14ac:dyDescent="0.25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</row>
    <row r="68" spans="1:7" x14ac:dyDescent="0.25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</row>
    <row r="69" spans="1:7" x14ac:dyDescent="0.25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</row>
    <row r="70" spans="1:7" x14ac:dyDescent="0.25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</row>
    <row r="71" spans="1:7" x14ac:dyDescent="0.25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</row>
    <row r="72" spans="1:7" x14ac:dyDescent="0.25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</row>
    <row r="73" spans="1:7" x14ac:dyDescent="0.25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</row>
    <row r="74" spans="1:7" x14ac:dyDescent="0.25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</row>
    <row r="75" spans="1:7" x14ac:dyDescent="0.25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</row>
    <row r="76" spans="1:7" x14ac:dyDescent="0.25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</row>
    <row r="77" spans="1:7" x14ac:dyDescent="0.25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</row>
    <row r="78" spans="1:7" x14ac:dyDescent="0.25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</row>
    <row r="79" spans="1:7" x14ac:dyDescent="0.25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</row>
    <row r="80" spans="1:7" x14ac:dyDescent="0.25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</row>
    <row r="81" spans="1:7" x14ac:dyDescent="0.25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</row>
    <row r="82" spans="1:7" x14ac:dyDescent="0.25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</row>
    <row r="83" spans="1:7" x14ac:dyDescent="0.25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</row>
    <row r="84" spans="1:7" x14ac:dyDescent="0.25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</row>
    <row r="85" spans="1:7" x14ac:dyDescent="0.25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</row>
    <row r="86" spans="1:7" x14ac:dyDescent="0.25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</row>
    <row r="87" spans="1:7" x14ac:dyDescent="0.25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</row>
    <row r="88" spans="1:7" x14ac:dyDescent="0.25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</row>
    <row r="89" spans="1:7" x14ac:dyDescent="0.25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</row>
    <row r="90" spans="1:7" x14ac:dyDescent="0.25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</row>
    <row r="91" spans="1:7" x14ac:dyDescent="0.25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</row>
    <row r="92" spans="1:7" x14ac:dyDescent="0.25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</row>
    <row r="93" spans="1:7" x14ac:dyDescent="0.25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</row>
    <row r="94" spans="1:7" x14ac:dyDescent="0.25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</row>
    <row r="95" spans="1:7" x14ac:dyDescent="0.25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</row>
    <row r="96" spans="1:7" x14ac:dyDescent="0.25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</row>
    <row r="97" spans="1:7" x14ac:dyDescent="0.25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</row>
    <row r="98" spans="1:7" x14ac:dyDescent="0.25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</row>
    <row r="99" spans="1:7" x14ac:dyDescent="0.25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</row>
    <row r="100" spans="1:7" x14ac:dyDescent="0.25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</row>
    <row r="101" spans="1:7" x14ac:dyDescent="0.25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</row>
    <row r="102" spans="1:7" x14ac:dyDescent="0.25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</row>
    <row r="103" spans="1:7" x14ac:dyDescent="0.25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</row>
    <row r="104" spans="1:7" x14ac:dyDescent="0.25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</row>
    <row r="105" spans="1:7" x14ac:dyDescent="0.25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</row>
    <row r="106" spans="1:7" x14ac:dyDescent="0.25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</row>
    <row r="107" spans="1:7" x14ac:dyDescent="0.25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</row>
    <row r="108" spans="1:7" x14ac:dyDescent="0.25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</row>
    <row r="109" spans="1:7" x14ac:dyDescent="0.25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</row>
    <row r="110" spans="1:7" x14ac:dyDescent="0.25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</row>
    <row r="111" spans="1:7" x14ac:dyDescent="0.25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</row>
    <row r="112" spans="1:7" x14ac:dyDescent="0.25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</row>
    <row r="113" spans="1:40" x14ac:dyDescent="0.25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</row>
    <row r="114" spans="1:40" x14ac:dyDescent="0.25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</row>
    <row r="115" spans="1:40" x14ac:dyDescent="0.25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</row>
    <row r="116" spans="1:40" x14ac:dyDescent="0.25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</row>
    <row r="117" spans="1:40" x14ac:dyDescent="0.25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</row>
    <row r="118" spans="1:40" x14ac:dyDescent="0.25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AN118" t="s">
        <v>384</v>
      </c>
    </row>
    <row r="119" spans="1:40" x14ac:dyDescent="0.25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</row>
    <row r="120" spans="1:40" x14ac:dyDescent="0.25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AN120" t="s">
        <v>385</v>
      </c>
    </row>
    <row r="121" spans="1:40" x14ac:dyDescent="0.25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AN121" t="s">
        <v>386</v>
      </c>
    </row>
    <row r="122" spans="1:40" x14ac:dyDescent="0.25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AN122" t="s">
        <v>387</v>
      </c>
    </row>
    <row r="123" spans="1:40" x14ac:dyDescent="0.25">
      <c r="A123">
        <f t="shared" ref="A123:A146" si="0">A122+1</f>
        <v>2000</v>
      </c>
      <c r="B123" s="21"/>
      <c r="C123" s="21"/>
      <c r="D123" s="21"/>
      <c r="E123" s="21"/>
      <c r="F123" s="3">
        <v>20.2</v>
      </c>
      <c r="G123" s="3">
        <v>3.9</v>
      </c>
    </row>
    <row r="124" spans="1:40" x14ac:dyDescent="0.25">
      <c r="A124">
        <f t="shared" si="0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AN124" t="s">
        <v>388</v>
      </c>
    </row>
    <row r="125" spans="1:40" x14ac:dyDescent="0.25">
      <c r="A125">
        <f t="shared" si="0"/>
        <v>2002</v>
      </c>
      <c r="B125" s="21"/>
      <c r="C125" s="21"/>
      <c r="D125" s="21"/>
      <c r="E125" s="21"/>
      <c r="F125" s="3">
        <v>18.2</v>
      </c>
      <c r="G125" s="3">
        <v>3.9</v>
      </c>
      <c r="AN125" t="s">
        <v>389</v>
      </c>
    </row>
    <row r="126" spans="1:40" x14ac:dyDescent="0.25">
      <c r="A126">
        <f t="shared" si="0"/>
        <v>2003</v>
      </c>
      <c r="B126" s="21"/>
      <c r="C126" s="21"/>
      <c r="D126" s="21"/>
      <c r="E126" s="21"/>
      <c r="F126" s="3">
        <v>17.600000000000001</v>
      </c>
      <c r="G126" s="3">
        <v>3.9</v>
      </c>
    </row>
    <row r="127" spans="1:40" x14ac:dyDescent="0.25">
      <c r="A127">
        <f t="shared" si="0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AN127" t="s">
        <v>390</v>
      </c>
    </row>
    <row r="128" spans="1:40" x14ac:dyDescent="0.25">
      <c r="A128">
        <f t="shared" si="0"/>
        <v>2005</v>
      </c>
      <c r="B128" s="21"/>
      <c r="C128" s="21"/>
      <c r="D128" s="21"/>
      <c r="E128" s="21"/>
      <c r="F128" s="3">
        <v>17.3</v>
      </c>
      <c r="G128" s="3">
        <v>3.8</v>
      </c>
      <c r="AN128" t="s">
        <v>391</v>
      </c>
    </row>
    <row r="129" spans="1:40" x14ac:dyDescent="0.25">
      <c r="A129">
        <f t="shared" si="0"/>
        <v>2006</v>
      </c>
      <c r="B129" s="21"/>
      <c r="C129" s="21"/>
      <c r="D129" s="21"/>
      <c r="E129" s="21"/>
      <c r="F129" s="3">
        <v>16.399999999999999</v>
      </c>
      <c r="G129" s="3">
        <v>3.9</v>
      </c>
    </row>
    <row r="130" spans="1:40" x14ac:dyDescent="0.25">
      <c r="A130">
        <f t="shared" si="0"/>
        <v>2007</v>
      </c>
      <c r="B130" s="21"/>
      <c r="C130" s="21"/>
      <c r="D130" s="21"/>
      <c r="E130" s="21"/>
      <c r="F130" s="3">
        <v>16.600000000000001</v>
      </c>
      <c r="G130" s="3">
        <v>4</v>
      </c>
      <c r="AN130" t="s">
        <v>392</v>
      </c>
    </row>
    <row r="131" spans="1:40" x14ac:dyDescent="0.25">
      <c r="A131">
        <f t="shared" si="0"/>
        <v>2008</v>
      </c>
      <c r="B131" s="21"/>
      <c r="C131" s="21"/>
      <c r="D131" s="21"/>
      <c r="E131" s="21"/>
      <c r="F131" s="3">
        <v>16.8</v>
      </c>
      <c r="G131" s="3">
        <v>4.0999999999999996</v>
      </c>
    </row>
    <row r="132" spans="1:40" x14ac:dyDescent="0.25">
      <c r="A132">
        <f t="shared" si="0"/>
        <v>2009</v>
      </c>
      <c r="B132" s="21"/>
      <c r="C132" s="21"/>
      <c r="D132" s="21"/>
      <c r="E132" s="21"/>
      <c r="F132" s="3">
        <v>16.5</v>
      </c>
      <c r="G132" s="3">
        <v>4.0999999999999996</v>
      </c>
    </row>
    <row r="133" spans="1:40" x14ac:dyDescent="0.25">
      <c r="A133">
        <f t="shared" si="0"/>
        <v>2010</v>
      </c>
      <c r="B133" s="21"/>
      <c r="C133" s="21"/>
      <c r="D133" s="21"/>
      <c r="E133" s="21"/>
      <c r="F133" s="3">
        <v>15.4</v>
      </c>
      <c r="G133" s="3">
        <v>4.3</v>
      </c>
    </row>
    <row r="134" spans="1:40" x14ac:dyDescent="0.25">
      <c r="A134">
        <f t="shared" si="0"/>
        <v>2011</v>
      </c>
      <c r="B134" s="21"/>
      <c r="C134" s="21"/>
      <c r="D134" s="21"/>
      <c r="E134" s="21"/>
      <c r="F134" s="3">
        <v>15.8</v>
      </c>
      <c r="G134" s="3">
        <v>4.3</v>
      </c>
    </row>
    <row r="135" spans="1:40" x14ac:dyDescent="0.25">
      <c r="A135">
        <f t="shared" si="0"/>
        <v>2012</v>
      </c>
      <c r="B135" s="21"/>
      <c r="C135" s="21"/>
      <c r="D135" s="21"/>
      <c r="E135" s="21"/>
      <c r="F135" s="3">
        <v>15.5</v>
      </c>
      <c r="G135" s="3">
        <v>4.3</v>
      </c>
    </row>
    <row r="136" spans="1:40" x14ac:dyDescent="0.25">
      <c r="A136">
        <f t="shared" si="0"/>
        <v>2013</v>
      </c>
      <c r="B136" s="21"/>
      <c r="C136" s="21"/>
      <c r="D136" s="21"/>
      <c r="E136" s="21"/>
      <c r="F136" s="3">
        <v>14.8</v>
      </c>
      <c r="G136" s="3">
        <v>4.3</v>
      </c>
    </row>
    <row r="137" spans="1:40" x14ac:dyDescent="0.25">
      <c r="A137">
        <f t="shared" si="0"/>
        <v>2014</v>
      </c>
      <c r="B137" s="21"/>
      <c r="C137" s="21"/>
      <c r="D137" s="21"/>
      <c r="E137" s="21"/>
      <c r="F137" s="3">
        <v>14.8</v>
      </c>
      <c r="G137" s="3">
        <v>4.5</v>
      </c>
    </row>
    <row r="138" spans="1:40" x14ac:dyDescent="0.25">
      <c r="A138">
        <f t="shared" si="0"/>
        <v>2015</v>
      </c>
      <c r="B138" s="21"/>
      <c r="C138" s="21"/>
      <c r="D138" s="21"/>
      <c r="E138" s="21"/>
      <c r="F138" s="3">
        <v>14.7</v>
      </c>
      <c r="G138" s="3">
        <v>4.5</v>
      </c>
    </row>
    <row r="139" spans="1:40" x14ac:dyDescent="0.25">
      <c r="A139">
        <f t="shared" si="0"/>
        <v>2016</v>
      </c>
      <c r="B139" s="21"/>
      <c r="C139" s="21"/>
      <c r="D139" s="21"/>
      <c r="E139" s="21"/>
      <c r="F139" s="3">
        <v>14.2</v>
      </c>
      <c r="G139" s="3">
        <v>4.8</v>
      </c>
    </row>
    <row r="140" spans="1:40" x14ac:dyDescent="0.25">
      <c r="A140">
        <f t="shared" si="0"/>
        <v>2017</v>
      </c>
      <c r="B140" s="21"/>
      <c r="C140" s="21"/>
      <c r="D140" s="21"/>
      <c r="E140" s="21"/>
      <c r="F140" s="3">
        <v>13.8</v>
      </c>
      <c r="G140" s="3">
        <v>5</v>
      </c>
    </row>
    <row r="141" spans="1:40" x14ac:dyDescent="0.25">
      <c r="A141">
        <f t="shared" si="0"/>
        <v>2018</v>
      </c>
      <c r="B141" s="21"/>
      <c r="C141" s="21"/>
      <c r="D141" s="21"/>
      <c r="E141" s="21"/>
      <c r="F141" s="3">
        <v>13.6</v>
      </c>
      <c r="G141" s="3">
        <v>5.0999999999999996</v>
      </c>
    </row>
    <row r="142" spans="1:40" x14ac:dyDescent="0.25">
      <c r="A142">
        <f t="shared" si="0"/>
        <v>2019</v>
      </c>
      <c r="B142" s="21"/>
      <c r="C142" s="21"/>
      <c r="D142" s="21"/>
      <c r="E142" s="21"/>
      <c r="F142" s="3">
        <v>12.7</v>
      </c>
      <c r="G142" s="3">
        <v>5.0999999999999996</v>
      </c>
    </row>
    <row r="143" spans="1:40" x14ac:dyDescent="0.25">
      <c r="A143">
        <f t="shared" si="0"/>
        <v>2020</v>
      </c>
      <c r="B143" s="21"/>
      <c r="C143" s="21"/>
      <c r="D143" s="21"/>
      <c r="E143" s="21"/>
      <c r="F143" s="3">
        <v>11.4</v>
      </c>
      <c r="G143" s="3">
        <v>5.6</v>
      </c>
    </row>
    <row r="144" spans="1:40" x14ac:dyDescent="0.25">
      <c r="A144">
        <f t="shared" si="0"/>
        <v>2021</v>
      </c>
      <c r="B144" s="21"/>
      <c r="C144" s="21"/>
      <c r="D144" s="21"/>
      <c r="E144" s="21"/>
      <c r="F144" s="3">
        <v>10.5</v>
      </c>
      <c r="G144" s="3">
        <v>6.6</v>
      </c>
    </row>
    <row r="145" spans="1:7" x14ac:dyDescent="0.25">
      <c r="A145">
        <f t="shared" si="0"/>
        <v>2022</v>
      </c>
      <c r="B145" s="21"/>
      <c r="C145" s="21"/>
      <c r="D145" s="21"/>
      <c r="E145" s="21"/>
      <c r="F145" s="3">
        <v>10.3</v>
      </c>
      <c r="G145" s="3">
        <v>6.1</v>
      </c>
    </row>
    <row r="146" spans="1:7" x14ac:dyDescent="0.25">
      <c r="A146">
        <f t="shared" si="0"/>
        <v>2023</v>
      </c>
      <c r="B146" s="21"/>
      <c r="C146" s="21"/>
      <c r="D146" s="21"/>
      <c r="E146" s="21"/>
      <c r="F146" s="3">
        <v>10.199999999999999</v>
      </c>
      <c r="G146" s="3">
        <v>5.5</v>
      </c>
    </row>
    <row r="147" spans="1:7" x14ac:dyDescent="0.25">
      <c r="B147" s="21"/>
      <c r="C147" s="21"/>
      <c r="D147" s="21"/>
      <c r="E147" s="21"/>
      <c r="F147" s="21"/>
      <c r="G147" s="21"/>
    </row>
    <row r="148" spans="1:7" x14ac:dyDescent="0.25">
      <c r="B148" s="21"/>
      <c r="C148" s="21"/>
      <c r="D148" s="21"/>
      <c r="E148" s="21"/>
      <c r="F148" s="21"/>
      <c r="G148" s="21"/>
    </row>
    <row r="149" spans="1:7" x14ac:dyDescent="0.25">
      <c r="B149" s="21"/>
      <c r="C149" s="21"/>
      <c r="D149" s="21"/>
      <c r="E149" s="21"/>
      <c r="F149" s="21"/>
      <c r="G149" s="21"/>
    </row>
    <row r="150" spans="1:7" x14ac:dyDescent="0.25">
      <c r="B150" s="21"/>
      <c r="C150" s="21"/>
      <c r="D150" s="21"/>
      <c r="E150" s="21"/>
      <c r="F150" s="21"/>
      <c r="G150" s="21"/>
    </row>
    <row r="151" spans="1:7" x14ac:dyDescent="0.25">
      <c r="B151" s="21"/>
      <c r="C151" s="21"/>
      <c r="D151" s="21"/>
      <c r="E151" s="21"/>
      <c r="F151" s="21"/>
      <c r="G151" s="21"/>
    </row>
    <row r="152" spans="1:7" x14ac:dyDescent="0.25">
      <c r="B152" s="21"/>
      <c r="C152" s="21"/>
      <c r="D152" s="21"/>
      <c r="E152" s="21"/>
      <c r="F152" s="21"/>
      <c r="G152" s="21"/>
    </row>
    <row r="153" spans="1:7" x14ac:dyDescent="0.25">
      <c r="B153" s="21"/>
      <c r="C153" s="21"/>
      <c r="D153" s="21"/>
      <c r="E153" s="21"/>
      <c r="F153" s="21"/>
      <c r="G153" s="21"/>
    </row>
    <row r="154" spans="1:7" x14ac:dyDescent="0.25">
      <c r="B154" s="21"/>
      <c r="C154" s="21"/>
      <c r="D154" s="21"/>
      <c r="E154" s="21"/>
      <c r="F154" s="21"/>
      <c r="G154" s="21"/>
    </row>
    <row r="155" spans="1:7" x14ac:dyDescent="0.25">
      <c r="B155" s="21"/>
      <c r="C155" s="21"/>
      <c r="D155" s="21"/>
      <c r="E155" s="21"/>
      <c r="F155" s="21"/>
      <c r="G155" s="21"/>
    </row>
    <row r="156" spans="1:7" x14ac:dyDescent="0.25">
      <c r="B156" s="21"/>
      <c r="C156" s="21"/>
      <c r="D156" s="21"/>
      <c r="E156" s="21"/>
      <c r="F156" s="21"/>
      <c r="G156" s="21"/>
    </row>
    <row r="157" spans="1:7" x14ac:dyDescent="0.25">
      <c r="B157" s="21"/>
      <c r="C157" s="21"/>
      <c r="D157" s="21"/>
      <c r="E157" s="21"/>
      <c r="F157" s="21"/>
      <c r="G157" s="21"/>
    </row>
    <row r="158" spans="1:7" x14ac:dyDescent="0.25">
      <c r="B158" s="21"/>
      <c r="C158" s="21"/>
      <c r="D158" s="21"/>
      <c r="E158" s="21"/>
      <c r="F158" s="21"/>
      <c r="G158" s="21"/>
    </row>
    <row r="159" spans="1:7" x14ac:dyDescent="0.25">
      <c r="B159" s="21"/>
      <c r="C159" s="21"/>
      <c r="D159" s="21"/>
      <c r="E159" s="21"/>
      <c r="F159" s="21"/>
      <c r="G159" s="21"/>
    </row>
    <row r="160" spans="1:7" x14ac:dyDescent="0.25">
      <c r="B160" s="21"/>
      <c r="C160" s="21"/>
      <c r="D160" s="21"/>
      <c r="E160" s="21"/>
      <c r="F160" s="21"/>
      <c r="G160" s="21"/>
    </row>
    <row r="161" spans="2:7" x14ac:dyDescent="0.25">
      <c r="B161" s="21"/>
      <c r="C161" s="21"/>
      <c r="D161" s="21"/>
      <c r="E161" s="21"/>
      <c r="F161" s="21"/>
      <c r="G161" s="21"/>
    </row>
    <row r="162" spans="2:7" x14ac:dyDescent="0.25">
      <c r="B162" s="21"/>
      <c r="C162" s="21"/>
      <c r="D162" s="21"/>
      <c r="E162" s="21"/>
      <c r="F162" s="21"/>
      <c r="G162" s="21"/>
    </row>
    <row r="163" spans="2:7" x14ac:dyDescent="0.25">
      <c r="B163" s="21"/>
      <c r="C163" s="21"/>
      <c r="D163" s="21"/>
      <c r="E163" s="21"/>
      <c r="F163" s="21"/>
      <c r="G163" s="21"/>
    </row>
    <row r="164" spans="2:7" x14ac:dyDescent="0.25">
      <c r="B164" s="21"/>
      <c r="C164" s="21"/>
      <c r="D164" s="21"/>
      <c r="E164" s="21"/>
      <c r="F164" s="21"/>
      <c r="G164" s="21"/>
    </row>
    <row r="165" spans="2:7" x14ac:dyDescent="0.25">
      <c r="B165" s="21"/>
      <c r="C165" s="21"/>
      <c r="D165" s="21"/>
      <c r="E165" s="21"/>
      <c r="F165" s="21"/>
      <c r="G165" s="21"/>
    </row>
    <row r="166" spans="2:7" x14ac:dyDescent="0.25">
      <c r="B166" s="21"/>
      <c r="C166" s="21"/>
      <c r="D166" s="21"/>
      <c r="E166" s="21"/>
      <c r="F166" s="21"/>
      <c r="G166" s="21"/>
    </row>
    <row r="167" spans="2:7" x14ac:dyDescent="0.25">
      <c r="B167" s="21"/>
      <c r="C167" s="21"/>
      <c r="D167" s="21"/>
      <c r="E167" s="21"/>
      <c r="F167" s="21"/>
      <c r="G167" s="21"/>
    </row>
    <row r="168" spans="2:7" x14ac:dyDescent="0.25">
      <c r="B168" s="21"/>
      <c r="C168" s="21"/>
      <c r="D168" s="21"/>
      <c r="E168" s="21"/>
      <c r="F168" s="21"/>
      <c r="G168" s="21"/>
    </row>
    <row r="169" spans="2:7" x14ac:dyDescent="0.25">
      <c r="B169" s="21"/>
      <c r="C169" s="21"/>
      <c r="D169" s="21"/>
      <c r="E169" s="21"/>
      <c r="F169" s="21"/>
      <c r="G169" s="21"/>
    </row>
    <row r="170" spans="2:7" x14ac:dyDescent="0.25">
      <c r="B170" s="21"/>
      <c r="C170" s="21"/>
      <c r="D170" s="21"/>
      <c r="E170" s="21"/>
      <c r="F170" s="21"/>
      <c r="G170" s="21"/>
    </row>
    <row r="171" spans="2:7" x14ac:dyDescent="0.25">
      <c r="B171" s="21"/>
      <c r="C171" s="21"/>
      <c r="D171" s="21"/>
      <c r="E171" s="21"/>
      <c r="F171" s="21"/>
      <c r="G171" s="21"/>
    </row>
    <row r="172" spans="2:7" x14ac:dyDescent="0.25">
      <c r="B172" s="21"/>
      <c r="C172" s="21"/>
      <c r="D172" s="21"/>
      <c r="E172" s="21"/>
      <c r="F172" s="21"/>
      <c r="G172" s="21"/>
    </row>
    <row r="173" spans="2:7" x14ac:dyDescent="0.25">
      <c r="B173" s="21"/>
      <c r="C173" s="21"/>
      <c r="D173" s="21"/>
      <c r="E173" s="21"/>
      <c r="F173" s="21"/>
      <c r="G173" s="21"/>
    </row>
    <row r="174" spans="2:7" x14ac:dyDescent="0.25">
      <c r="B174" s="21"/>
      <c r="C174" s="21"/>
      <c r="D174" s="21"/>
      <c r="E174" s="21"/>
      <c r="F174" s="21"/>
      <c r="G174" s="21"/>
    </row>
    <row r="175" spans="2:7" x14ac:dyDescent="0.25">
      <c r="B175" s="21"/>
      <c r="C175" s="21"/>
      <c r="D175" s="21"/>
      <c r="E175" s="21"/>
      <c r="F175" s="21"/>
      <c r="G175" s="21"/>
    </row>
    <row r="176" spans="2:7" x14ac:dyDescent="0.25">
      <c r="B176" s="21"/>
      <c r="C176" s="21"/>
      <c r="D176" s="21"/>
      <c r="E176" s="21"/>
      <c r="F176" s="21"/>
      <c r="G176" s="21"/>
    </row>
    <row r="177" spans="2:7" x14ac:dyDescent="0.25">
      <c r="B177" s="21"/>
      <c r="C177" s="21"/>
      <c r="D177" s="21"/>
      <c r="E177" s="21"/>
      <c r="F177" s="21"/>
      <c r="G177" s="21"/>
    </row>
    <row r="178" spans="2:7" x14ac:dyDescent="0.25">
      <c r="B178" s="21"/>
      <c r="C178" s="21"/>
      <c r="D178" s="21"/>
      <c r="E178" s="21"/>
      <c r="F178" s="21"/>
      <c r="G178" s="21"/>
    </row>
    <row r="179" spans="2:7" x14ac:dyDescent="0.25">
      <c r="B179" s="21"/>
      <c r="C179" s="21"/>
      <c r="D179" s="21"/>
      <c r="E179" s="21"/>
      <c r="F179" s="21"/>
      <c r="G179" s="21"/>
    </row>
    <row r="180" spans="2:7" x14ac:dyDescent="0.25">
      <c r="B180" s="21"/>
      <c r="C180" s="21"/>
      <c r="D180" s="21"/>
      <c r="E180" s="21"/>
      <c r="F180" s="21"/>
      <c r="G180" s="21"/>
    </row>
    <row r="181" spans="2:7" x14ac:dyDescent="0.25">
      <c r="B181" s="21"/>
      <c r="C181" s="21"/>
      <c r="D181" s="21"/>
      <c r="E181" s="21"/>
      <c r="F181" s="21"/>
      <c r="G181" s="21"/>
    </row>
    <row r="182" spans="2:7" x14ac:dyDescent="0.25">
      <c r="B182" s="21"/>
      <c r="C182" s="21"/>
      <c r="D182" s="21"/>
      <c r="E182" s="21"/>
      <c r="F182" s="21"/>
      <c r="G182" s="21"/>
    </row>
    <row r="183" spans="2:7" x14ac:dyDescent="0.25">
      <c r="B183" s="21"/>
      <c r="C183" s="21"/>
      <c r="D183" s="21"/>
      <c r="E183" s="21"/>
      <c r="F183" s="21"/>
      <c r="G183" s="21"/>
    </row>
    <row r="184" spans="2:7" x14ac:dyDescent="0.25">
      <c r="B184" s="21"/>
      <c r="C184" s="21"/>
      <c r="D184" s="21"/>
      <c r="E184" s="21"/>
      <c r="F184" s="21"/>
      <c r="G184" s="21"/>
    </row>
    <row r="185" spans="2:7" x14ac:dyDescent="0.25">
      <c r="B185" s="21"/>
      <c r="C185" s="21"/>
      <c r="D185" s="21"/>
      <c r="E185" s="21"/>
      <c r="F185" s="21"/>
      <c r="G185" s="21"/>
    </row>
    <row r="186" spans="2:7" x14ac:dyDescent="0.25">
      <c r="B186" s="21"/>
      <c r="C186" s="21"/>
      <c r="D186" s="21"/>
      <c r="E186" s="21"/>
      <c r="F186" s="21"/>
      <c r="G186" s="21"/>
    </row>
    <row r="187" spans="2:7" x14ac:dyDescent="0.25">
      <c r="B187" s="21"/>
      <c r="C187" s="21"/>
      <c r="D187" s="21"/>
      <c r="E187" s="21"/>
      <c r="F187" s="21"/>
      <c r="G187" s="21"/>
    </row>
    <row r="188" spans="2:7" x14ac:dyDescent="0.25">
      <c r="B188" s="21"/>
      <c r="C188" s="21"/>
      <c r="D188" s="21"/>
      <c r="E188" s="21"/>
      <c r="F188" s="21"/>
      <c r="G188" s="21"/>
    </row>
    <row r="189" spans="2:7" x14ac:dyDescent="0.25">
      <c r="B189" s="21"/>
      <c r="C189" s="21"/>
      <c r="D189" s="21"/>
      <c r="E189" s="21"/>
      <c r="F189" s="21"/>
      <c r="G189" s="21"/>
    </row>
    <row r="190" spans="2:7" x14ac:dyDescent="0.25">
      <c r="B190" s="21"/>
      <c r="C190" s="21"/>
      <c r="D190" s="21"/>
      <c r="E190" s="21"/>
      <c r="F190" s="21"/>
      <c r="G190" s="21"/>
    </row>
    <row r="191" spans="2:7" x14ac:dyDescent="0.25">
      <c r="B191" s="21"/>
      <c r="C191" s="21"/>
      <c r="D191" s="21"/>
      <c r="E191" s="21"/>
      <c r="F191" s="21"/>
      <c r="G191" s="21"/>
    </row>
    <row r="192" spans="2:7" x14ac:dyDescent="0.25">
      <c r="B192" s="21"/>
      <c r="C192" s="21"/>
      <c r="D192" s="21"/>
      <c r="E192" s="21"/>
      <c r="F192" s="21"/>
      <c r="G192" s="21"/>
    </row>
    <row r="193" spans="2:7" x14ac:dyDescent="0.25">
      <c r="B193" s="21"/>
      <c r="C193" s="21"/>
      <c r="D193" s="21"/>
      <c r="E193" s="21"/>
      <c r="F193" s="21"/>
      <c r="G193" s="21"/>
    </row>
    <row r="194" spans="2:7" x14ac:dyDescent="0.25">
      <c r="B194" s="21"/>
      <c r="C194" s="21"/>
      <c r="D194" s="21"/>
      <c r="E194" s="21"/>
      <c r="F194" s="21"/>
      <c r="G194" s="21"/>
    </row>
    <row r="195" spans="2:7" x14ac:dyDescent="0.25">
      <c r="B195" s="21"/>
      <c r="C195" s="21"/>
      <c r="D195" s="21"/>
      <c r="E195" s="21"/>
      <c r="F195" s="21"/>
      <c r="G195" s="21"/>
    </row>
    <row r="196" spans="2:7" x14ac:dyDescent="0.25">
      <c r="B196" s="21"/>
      <c r="C196" s="21"/>
      <c r="D196" s="21"/>
      <c r="E196" s="21"/>
      <c r="F196" s="21"/>
      <c r="G196" s="21"/>
    </row>
    <row r="197" spans="2:7" x14ac:dyDescent="0.25">
      <c r="B197" s="21"/>
      <c r="C197" s="21"/>
      <c r="D197" s="21"/>
      <c r="E197" s="21"/>
      <c r="F197" s="21"/>
      <c r="G197" s="21"/>
    </row>
    <row r="198" spans="2:7" x14ac:dyDescent="0.25">
      <c r="B198" s="21"/>
      <c r="C198" s="21"/>
      <c r="D198" s="21"/>
      <c r="E198" s="21"/>
      <c r="F198" s="21"/>
      <c r="G198" s="21"/>
    </row>
    <row r="199" spans="2:7" x14ac:dyDescent="0.25">
      <c r="B199" s="21"/>
      <c r="C199" s="21"/>
      <c r="D199" s="21"/>
      <c r="E199" s="21"/>
      <c r="F199" s="21"/>
      <c r="G199" s="21"/>
    </row>
    <row r="200" spans="2:7" x14ac:dyDescent="0.25">
      <c r="B200" s="21"/>
      <c r="C200" s="21"/>
      <c r="D200" s="21"/>
      <c r="E200" s="21"/>
      <c r="F200" s="21"/>
      <c r="G200" s="21"/>
    </row>
    <row r="201" spans="2:7" x14ac:dyDescent="0.25">
      <c r="B201" s="21"/>
      <c r="C201" s="21"/>
      <c r="D201" s="21"/>
      <c r="E201" s="21"/>
      <c r="F201" s="21"/>
      <c r="G201" s="21"/>
    </row>
    <row r="202" spans="2:7" x14ac:dyDescent="0.25">
      <c r="B202" s="21"/>
      <c r="C202" s="21"/>
      <c r="D202" s="21"/>
      <c r="E202" s="21"/>
      <c r="F202" s="21"/>
      <c r="G202" s="21"/>
    </row>
    <row r="203" spans="2:7" x14ac:dyDescent="0.25">
      <c r="B203" s="21"/>
      <c r="C203" s="21"/>
      <c r="D203" s="21"/>
      <c r="E203" s="21"/>
      <c r="F203" s="21"/>
      <c r="G203" s="21"/>
    </row>
    <row r="204" spans="2:7" x14ac:dyDescent="0.25">
      <c r="B204" s="21"/>
      <c r="C204" s="21"/>
      <c r="D204" s="21"/>
      <c r="E204" s="21"/>
      <c r="F204" s="21"/>
      <c r="G204" s="21"/>
    </row>
    <row r="205" spans="2:7" x14ac:dyDescent="0.25">
      <c r="B205" s="21"/>
      <c r="C205" s="21"/>
      <c r="D205" s="21"/>
      <c r="E205" s="21"/>
      <c r="F205" s="21"/>
      <c r="G205" s="21"/>
    </row>
    <row r="206" spans="2:7" x14ac:dyDescent="0.25">
      <c r="B206" s="21"/>
      <c r="C206" s="21"/>
      <c r="D206" s="21"/>
      <c r="E206" s="21"/>
      <c r="F206" s="21"/>
      <c r="G206" s="21"/>
    </row>
    <row r="207" spans="2:7" x14ac:dyDescent="0.25">
      <c r="B207" s="21"/>
      <c r="C207" s="21"/>
      <c r="D207" s="21"/>
      <c r="E207" s="21"/>
      <c r="F207" s="21"/>
      <c r="G207" s="21"/>
    </row>
    <row r="208" spans="2:7" x14ac:dyDescent="0.25">
      <c r="B208" s="21"/>
      <c r="C208" s="21"/>
      <c r="D208" s="21"/>
      <c r="E208" s="21"/>
      <c r="F208" s="21"/>
      <c r="G208" s="21"/>
    </row>
    <row r="209" spans="2:7" x14ac:dyDescent="0.25">
      <c r="B209" s="21"/>
      <c r="C209" s="21"/>
      <c r="D209" s="21"/>
      <c r="E209" s="21"/>
      <c r="F209" s="21"/>
      <c r="G209" s="21"/>
    </row>
    <row r="210" spans="2:7" x14ac:dyDescent="0.25">
      <c r="B210" s="21"/>
      <c r="C210" s="21"/>
      <c r="D210" s="21"/>
      <c r="E210" s="21"/>
      <c r="F210" s="21"/>
      <c r="G210" s="21"/>
    </row>
    <row r="211" spans="2:7" x14ac:dyDescent="0.25">
      <c r="B211" s="21"/>
      <c r="C211" s="21"/>
      <c r="D211" s="21"/>
      <c r="E211" s="21"/>
      <c r="F211" s="21"/>
      <c r="G211" s="21"/>
    </row>
    <row r="212" spans="2:7" x14ac:dyDescent="0.25">
      <c r="B212" s="21"/>
      <c r="C212" s="21"/>
      <c r="D212" s="21"/>
      <c r="E212" s="21"/>
      <c r="F212" s="21"/>
      <c r="G212" s="21"/>
    </row>
    <row r="213" spans="2:7" x14ac:dyDescent="0.25">
      <c r="B213" s="21"/>
      <c r="C213" s="21"/>
      <c r="D213" s="21"/>
      <c r="E213" s="21"/>
      <c r="F213" s="21"/>
      <c r="G213" s="21"/>
    </row>
    <row r="214" spans="2:7" x14ac:dyDescent="0.25">
      <c r="B214" s="21"/>
      <c r="C214" s="21"/>
      <c r="D214" s="21"/>
      <c r="E214" s="21"/>
      <c r="F214" s="21"/>
      <c r="G214" s="21"/>
    </row>
    <row r="215" spans="2:7" x14ac:dyDescent="0.25">
      <c r="B215" s="21"/>
      <c r="C215" s="21"/>
      <c r="D215" s="21"/>
      <c r="E215" s="21"/>
      <c r="F215" s="21"/>
      <c r="G215" s="21"/>
    </row>
    <row r="216" spans="2:7" x14ac:dyDescent="0.25">
      <c r="B216" s="21"/>
      <c r="C216" s="21"/>
      <c r="D216" s="21"/>
      <c r="E216" s="21"/>
      <c r="F216" s="21"/>
      <c r="G216" s="21"/>
    </row>
    <row r="217" spans="2:7" x14ac:dyDescent="0.25">
      <c r="B217" s="21"/>
      <c r="C217" s="21"/>
      <c r="D217" s="21"/>
      <c r="E217" s="21"/>
      <c r="F217" s="21"/>
      <c r="G217" s="21"/>
    </row>
    <row r="218" spans="2:7" x14ac:dyDescent="0.25">
      <c r="B218" s="21"/>
      <c r="C218" s="21"/>
      <c r="D218" s="21"/>
      <c r="E218" s="21"/>
      <c r="F218" s="21"/>
      <c r="G218" s="21"/>
    </row>
    <row r="219" spans="2:7" x14ac:dyDescent="0.25">
      <c r="B219" s="21"/>
      <c r="C219" s="21"/>
      <c r="D219" s="21"/>
      <c r="E219" s="21"/>
      <c r="F219" s="21"/>
      <c r="G219" s="21"/>
    </row>
    <row r="220" spans="2:7" x14ac:dyDescent="0.25">
      <c r="B220" s="21"/>
      <c r="C220" s="21"/>
      <c r="D220" s="21"/>
      <c r="E220" s="21"/>
      <c r="F220" s="21"/>
      <c r="G220" s="21"/>
    </row>
    <row r="221" spans="2:7" x14ac:dyDescent="0.25">
      <c r="B221" s="21"/>
      <c r="C221" s="21"/>
      <c r="D221" s="21"/>
      <c r="E221" s="21"/>
      <c r="F221" s="21"/>
      <c r="G221" s="21"/>
    </row>
    <row r="222" spans="2:7" x14ac:dyDescent="0.25">
      <c r="B222" s="21"/>
      <c r="C222" s="21"/>
      <c r="D222" s="21"/>
      <c r="E222" s="21"/>
      <c r="F222" s="21"/>
      <c r="G222" s="21"/>
    </row>
    <row r="223" spans="2:7" x14ac:dyDescent="0.25">
      <c r="B223" s="21"/>
      <c r="C223" s="21"/>
      <c r="D223" s="21"/>
      <c r="E223" s="21"/>
      <c r="F223" s="21"/>
      <c r="G223" s="21"/>
    </row>
    <row r="224" spans="2:7" x14ac:dyDescent="0.25">
      <c r="B224" s="21"/>
      <c r="C224" s="21"/>
      <c r="D224" s="21"/>
      <c r="E224" s="21"/>
      <c r="F224" s="21"/>
      <c r="G224" s="21"/>
    </row>
    <row r="225" spans="2:7" x14ac:dyDescent="0.25">
      <c r="B225" s="21"/>
      <c r="C225" s="21"/>
      <c r="D225" s="21"/>
      <c r="E225" s="21"/>
      <c r="F225" s="21"/>
      <c r="G225" s="21"/>
    </row>
    <row r="226" spans="2:7" x14ac:dyDescent="0.25">
      <c r="B226" s="21"/>
      <c r="C226" s="21"/>
      <c r="D226" s="21"/>
      <c r="E226" s="21"/>
      <c r="F226" s="21"/>
      <c r="G226" s="21"/>
    </row>
    <row r="227" spans="2:7" x14ac:dyDescent="0.25">
      <c r="B227" s="21"/>
      <c r="C227" s="21"/>
      <c r="D227" s="21"/>
      <c r="E227" s="21"/>
      <c r="F227" s="21"/>
      <c r="G227" s="21"/>
    </row>
    <row r="228" spans="2:7" x14ac:dyDescent="0.25">
      <c r="B228" s="21"/>
      <c r="C228" s="21"/>
      <c r="D228" s="21"/>
      <c r="E228" s="21"/>
      <c r="F228" s="21"/>
      <c r="G228" s="21"/>
    </row>
    <row r="229" spans="2:7" x14ac:dyDescent="0.25">
      <c r="B229" s="21"/>
      <c r="C229" s="21"/>
      <c r="D229" s="21"/>
      <c r="E229" s="21"/>
      <c r="F229" s="21"/>
      <c r="G229" s="21"/>
    </row>
    <row r="230" spans="2:7" x14ac:dyDescent="0.25">
      <c r="B230" s="21"/>
      <c r="C230" s="21"/>
      <c r="D230" s="21"/>
      <c r="E230" s="21"/>
      <c r="F230" s="21"/>
      <c r="G230" s="21"/>
    </row>
    <row r="231" spans="2:7" x14ac:dyDescent="0.25">
      <c r="B231" s="21"/>
      <c r="C231" s="21"/>
      <c r="D231" s="21"/>
      <c r="E231" s="21"/>
      <c r="F231" s="21"/>
      <c r="G231" s="21"/>
    </row>
    <row r="232" spans="2:7" x14ac:dyDescent="0.25">
      <c r="B232" s="21"/>
      <c r="C232" s="21"/>
      <c r="D232" s="21"/>
      <c r="E232" s="21"/>
      <c r="F232" s="21"/>
      <c r="G232" s="21"/>
    </row>
    <row r="233" spans="2:7" x14ac:dyDescent="0.25">
      <c r="B233" s="21"/>
      <c r="C233" s="21"/>
      <c r="D233" s="21"/>
      <c r="E233" s="21"/>
      <c r="F233" s="21"/>
      <c r="G233" s="21"/>
    </row>
    <row r="234" spans="2:7" x14ac:dyDescent="0.25">
      <c r="B234" s="21"/>
      <c r="C234" s="21"/>
      <c r="D234" s="21"/>
      <c r="E234" s="21"/>
      <c r="F234" s="21"/>
      <c r="G234" s="21"/>
    </row>
    <row r="235" spans="2:7" x14ac:dyDescent="0.25">
      <c r="B235" s="21"/>
      <c r="C235" s="21"/>
      <c r="D235" s="21"/>
      <c r="E235" s="21"/>
      <c r="F235" s="21"/>
      <c r="G235" s="21"/>
    </row>
    <row r="236" spans="2:7" x14ac:dyDescent="0.25">
      <c r="B236" s="21"/>
      <c r="C236" s="21"/>
      <c r="D236" s="21"/>
      <c r="E236" s="21"/>
      <c r="F236" s="21"/>
      <c r="G236" s="21"/>
    </row>
    <row r="237" spans="2:7" x14ac:dyDescent="0.25">
      <c r="B237" s="21"/>
      <c r="C237" s="21"/>
      <c r="D237" s="21"/>
      <c r="E237" s="21"/>
      <c r="F237" s="21"/>
      <c r="G237" s="21"/>
    </row>
    <row r="238" spans="2:7" x14ac:dyDescent="0.25">
      <c r="B238" s="21"/>
      <c r="C238" s="21"/>
      <c r="D238" s="21"/>
      <c r="E238" s="21"/>
      <c r="F238" s="21"/>
      <c r="G238" s="21"/>
    </row>
    <row r="239" spans="2:7" x14ac:dyDescent="0.25">
      <c r="B239" s="21"/>
      <c r="C239" s="21"/>
      <c r="D239" s="21"/>
      <c r="E239" s="21"/>
      <c r="F239" s="21"/>
      <c r="G239" s="21"/>
    </row>
    <row r="240" spans="2:7" x14ac:dyDescent="0.25">
      <c r="B240" s="21"/>
      <c r="C240" s="21"/>
      <c r="D240" s="21"/>
      <c r="E240" s="21"/>
      <c r="F240" s="21"/>
      <c r="G240" s="21"/>
    </row>
    <row r="241" spans="2:7" x14ac:dyDescent="0.25">
      <c r="B241" s="21"/>
      <c r="C241" s="21"/>
      <c r="D241" s="21"/>
      <c r="E241" s="21"/>
      <c r="F241" s="21"/>
      <c r="G241" s="21"/>
    </row>
    <row r="242" spans="2:7" x14ac:dyDescent="0.25">
      <c r="B242" s="21"/>
      <c r="C242" s="21"/>
      <c r="D242" s="21"/>
      <c r="E242" s="21"/>
      <c r="F242" s="21"/>
      <c r="G242" s="21"/>
    </row>
    <row r="243" spans="2:7" x14ac:dyDescent="0.25">
      <c r="B243" s="21"/>
      <c r="C243" s="21"/>
      <c r="D243" s="21"/>
      <c r="E243" s="21"/>
      <c r="F243" s="21"/>
      <c r="G243" s="21"/>
    </row>
    <row r="244" spans="2:7" x14ac:dyDescent="0.25">
      <c r="B244" s="21"/>
      <c r="C244" s="21"/>
      <c r="D244" s="21"/>
      <c r="E244" s="21"/>
      <c r="F244" s="21"/>
      <c r="G244" s="21"/>
    </row>
    <row r="245" spans="2:7" x14ac:dyDescent="0.25">
      <c r="B245" s="21"/>
      <c r="C245" s="21"/>
      <c r="D245" s="21"/>
      <c r="E245" s="21"/>
      <c r="F245" s="21"/>
      <c r="G245" s="21"/>
    </row>
    <row r="246" spans="2:7" x14ac:dyDescent="0.25">
      <c r="B246" s="21"/>
      <c r="C246" s="21"/>
      <c r="D246" s="21"/>
      <c r="E246" s="21"/>
      <c r="F246" s="21"/>
      <c r="G246" s="21"/>
    </row>
    <row r="247" spans="2:7" x14ac:dyDescent="0.25">
      <c r="B247" s="21"/>
      <c r="C247" s="21"/>
      <c r="D247" s="21"/>
      <c r="E247" s="21"/>
      <c r="F247" s="21"/>
      <c r="G247" s="21"/>
    </row>
    <row r="248" spans="2:7" x14ac:dyDescent="0.25">
      <c r="B248" s="21"/>
      <c r="C248" s="21"/>
      <c r="D248" s="21"/>
      <c r="E248" s="21"/>
      <c r="F248" s="21"/>
      <c r="G248" s="21"/>
    </row>
    <row r="249" spans="2:7" x14ac:dyDescent="0.25">
      <c r="B249" s="21"/>
      <c r="C249" s="21"/>
      <c r="D249" s="21"/>
      <c r="E249" s="21"/>
      <c r="F249" s="21"/>
      <c r="G249" s="21"/>
    </row>
    <row r="250" spans="2:7" x14ac:dyDescent="0.25">
      <c r="B250" s="21"/>
      <c r="C250" s="21"/>
      <c r="D250" s="21"/>
      <c r="E250" s="21"/>
      <c r="F250" s="21"/>
      <c r="G250" s="21"/>
    </row>
    <row r="251" spans="2:7" x14ac:dyDescent="0.25">
      <c r="B251" s="21"/>
      <c r="C251" s="21"/>
      <c r="D251" s="21"/>
      <c r="E251" s="21"/>
      <c r="F251" s="21"/>
      <c r="G251" s="21"/>
    </row>
    <row r="252" spans="2:7" x14ac:dyDescent="0.25">
      <c r="B252" s="21"/>
      <c r="C252" s="21"/>
      <c r="D252" s="21"/>
      <c r="E252" s="21"/>
      <c r="F252" s="21"/>
      <c r="G252" s="21"/>
    </row>
    <row r="253" spans="2:7" x14ac:dyDescent="0.25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5" x14ac:dyDescent="0.25"/>
  <cols>
    <col min="1" max="1" width="5" bestFit="1" customWidth="1"/>
    <col min="2" max="2" width="9.5703125" bestFit="1" customWidth="1"/>
    <col min="3" max="3" width="9.28515625" bestFit="1" customWidth="1"/>
    <col min="4" max="4" width="10.7109375" bestFit="1" customWidth="1"/>
    <col min="5" max="5" width="11.85546875" bestFit="1" customWidth="1"/>
    <col min="6" max="6" width="11.5703125" bestFit="1" customWidth="1"/>
    <col min="7" max="7" width="13.140625" bestFit="1" customWidth="1"/>
    <col min="8" max="8" width="7.140625" bestFit="1" customWidth="1"/>
    <col min="9" max="9" width="6.85546875" bestFit="1" customWidth="1"/>
    <col min="10" max="10" width="8.28515625" bestFit="1" customWidth="1"/>
    <col min="11" max="11" width="12.42578125" bestFit="1" customWidth="1"/>
    <col min="12" max="12" width="12.28515625" bestFit="1" customWidth="1"/>
  </cols>
  <sheetData>
    <row r="1" spans="1:12" x14ac:dyDescent="0.25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25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25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25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25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25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25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25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25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25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25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25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25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25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25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25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25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25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25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25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25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25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25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25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25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25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25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25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25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25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25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25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25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25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25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25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25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25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25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25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25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25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25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25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25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25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25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25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25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25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25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25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25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25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25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25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25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25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25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25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25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25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25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25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25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25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25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25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25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25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25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25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25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25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25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25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25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25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25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25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25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25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25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25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25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25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25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25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25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25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25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25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25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25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25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25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25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25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25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25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25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25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25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25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25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25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25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25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25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25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25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25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25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25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25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25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25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25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25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25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25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25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25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25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25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  <col min="12" max="12" width="4.5703125" customWidth="1"/>
  </cols>
  <sheetData>
    <row r="1" spans="1:13" x14ac:dyDescent="0.25">
      <c r="B1" s="41" t="s">
        <v>115</v>
      </c>
      <c r="C1" s="41"/>
      <c r="D1" s="41" t="s">
        <v>75</v>
      </c>
      <c r="E1" s="41"/>
    </row>
    <row r="2" spans="1:13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160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160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25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25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25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25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25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25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25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25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25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25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25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25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25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25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25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25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25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25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25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41" t="s">
        <v>100</v>
      </c>
      <c r="C1" s="41"/>
      <c r="D1" s="41" t="s">
        <v>75</v>
      </c>
      <c r="E1" s="41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41" t="s">
        <v>100</v>
      </c>
      <c r="C1" s="41"/>
      <c r="D1" s="41" t="s">
        <v>75</v>
      </c>
      <c r="E1" s="41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25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25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25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25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25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25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25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25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25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25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25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25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25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25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25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25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25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25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25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25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25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25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25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25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25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25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25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25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25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25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25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25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25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25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25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25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25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25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25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25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25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25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25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25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25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25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25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25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25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25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25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25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25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25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25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25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25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25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25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25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25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25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25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25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25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25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25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25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25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25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25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25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25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25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25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25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25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25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25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41" t="s">
        <v>100</v>
      </c>
      <c r="C1" s="41"/>
      <c r="D1" s="41" t="s">
        <v>160</v>
      </c>
      <c r="E1" s="41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25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25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25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25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25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25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25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25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25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25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25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25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25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25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25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25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25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25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25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25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25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25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25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25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25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25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25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25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25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25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25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25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25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25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25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25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25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25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25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25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25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25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25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25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25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25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25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25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25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25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25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25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25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25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25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25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25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25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25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25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25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25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25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25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25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25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25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25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25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25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25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25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25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25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25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25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25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25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25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25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25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25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25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25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 x14ac:dyDescent="0.25">
      <c r="B1" s="41" t="s">
        <v>100</v>
      </c>
      <c r="C1" s="41"/>
      <c r="D1" s="41" t="s">
        <v>160</v>
      </c>
      <c r="E1" s="41"/>
    </row>
    <row r="2" spans="1:12" x14ac:dyDescent="0.25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25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25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25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25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25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25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25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25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25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25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25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25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25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25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25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25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25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25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25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25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25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25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25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25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25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25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25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25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25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25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25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25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25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25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25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25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25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25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25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25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25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25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25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25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25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25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25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25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25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25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25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25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25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25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25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25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25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25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25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25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25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25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25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25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25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25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25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25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25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25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25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25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25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25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25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25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25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25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25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25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25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25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25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25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25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25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25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25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25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25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25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25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25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25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25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25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25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25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25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25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25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25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25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25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25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25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25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25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25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25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25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25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25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25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25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25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25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25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25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25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25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25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25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25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25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25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25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H93"/>
  <sheetViews>
    <sheetView topLeftCell="A58" workbookViewId="0">
      <selection activeCell="AH69" sqref="AH69"/>
    </sheetView>
  </sheetViews>
  <sheetFormatPr defaultRowHeight="15" x14ac:dyDescent="0.25"/>
  <sheetData>
    <row r="1" spans="1:7" x14ac:dyDescent="0.25">
      <c r="A1" s="1"/>
      <c r="B1" s="41" t="s">
        <v>115</v>
      </c>
      <c r="C1" s="41"/>
      <c r="D1" s="41" t="s">
        <v>370</v>
      </c>
      <c r="E1" s="41"/>
      <c r="F1" s="41" t="s">
        <v>75</v>
      </c>
      <c r="G1" s="41"/>
    </row>
    <row r="2" spans="1:7" x14ac:dyDescent="0.25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25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</row>
    <row r="4" spans="1:7" x14ac:dyDescent="0.25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</row>
    <row r="5" spans="1:7" x14ac:dyDescent="0.25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</row>
    <row r="6" spans="1:7" x14ac:dyDescent="0.25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</row>
    <row r="7" spans="1:7" x14ac:dyDescent="0.25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</row>
    <row r="8" spans="1:7" x14ac:dyDescent="0.25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</row>
    <row r="9" spans="1:7" x14ac:dyDescent="0.25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</row>
    <row r="10" spans="1:7" x14ac:dyDescent="0.25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</row>
    <row r="11" spans="1:7" x14ac:dyDescent="0.25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</row>
    <row r="12" spans="1:7" x14ac:dyDescent="0.25">
      <c r="A12">
        <v>1942</v>
      </c>
      <c r="B12" s="21">
        <v>47.61</v>
      </c>
      <c r="C12" s="21">
        <v>42.82</v>
      </c>
      <c r="D12" s="21">
        <v>46.999200000000002</v>
      </c>
      <c r="E12" s="21">
        <v>35.900300000000001</v>
      </c>
      <c r="F12" s="21"/>
      <c r="G12" s="21"/>
    </row>
    <row r="13" spans="1:7" x14ac:dyDescent="0.25">
      <c r="A13">
        <v>1943</v>
      </c>
      <c r="B13" s="21">
        <v>44.23</v>
      </c>
      <c r="C13" s="21">
        <v>34.06</v>
      </c>
      <c r="D13" s="21">
        <v>47.4818</v>
      </c>
      <c r="E13" s="21">
        <v>35.266199999999998</v>
      </c>
      <c r="F13" s="21"/>
      <c r="G13" s="21"/>
    </row>
    <row r="14" spans="1:7" x14ac:dyDescent="0.25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</row>
    <row r="15" spans="1:7" x14ac:dyDescent="0.25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</row>
    <row r="16" spans="1:7" x14ac:dyDescent="0.25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</row>
    <row r="17" spans="1:7" x14ac:dyDescent="0.25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</row>
    <row r="18" spans="1:7" x14ac:dyDescent="0.25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</row>
    <row r="19" spans="1:7" x14ac:dyDescent="0.25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</row>
    <row r="20" spans="1:7" x14ac:dyDescent="0.25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</row>
    <row r="21" spans="1:7" x14ac:dyDescent="0.25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</row>
    <row r="22" spans="1:7" x14ac:dyDescent="0.25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</row>
    <row r="23" spans="1:7" x14ac:dyDescent="0.25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</row>
    <row r="24" spans="1:7" x14ac:dyDescent="0.25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</row>
    <row r="25" spans="1:7" x14ac:dyDescent="0.25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</row>
    <row r="26" spans="1:7" x14ac:dyDescent="0.25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</row>
    <row r="27" spans="1:7" x14ac:dyDescent="0.25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</row>
    <row r="28" spans="1:7" x14ac:dyDescent="0.25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</row>
    <row r="29" spans="1:7" x14ac:dyDescent="0.25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</row>
    <row r="30" spans="1:7" x14ac:dyDescent="0.25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</row>
    <row r="31" spans="1:7" x14ac:dyDescent="0.25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</row>
    <row r="32" spans="1:7" x14ac:dyDescent="0.25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</row>
    <row r="33" spans="1:7" x14ac:dyDescent="0.25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</row>
    <row r="34" spans="1:7" x14ac:dyDescent="0.25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</row>
    <row r="35" spans="1:7" x14ac:dyDescent="0.25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</row>
    <row r="36" spans="1:7" x14ac:dyDescent="0.25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</row>
    <row r="37" spans="1:7" x14ac:dyDescent="0.25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</row>
    <row r="38" spans="1:7" x14ac:dyDescent="0.25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</row>
    <row r="39" spans="1:7" x14ac:dyDescent="0.25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</row>
    <row r="40" spans="1:7" x14ac:dyDescent="0.25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</row>
    <row r="41" spans="1:7" x14ac:dyDescent="0.25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</row>
    <row r="42" spans="1:7" x14ac:dyDescent="0.25">
      <c r="A42">
        <v>1972</v>
      </c>
      <c r="B42" s="21">
        <v>49.84</v>
      </c>
      <c r="C42" s="21">
        <v>19.23</v>
      </c>
      <c r="D42" s="21">
        <v>48.3675</v>
      </c>
      <c r="E42" s="21">
        <v>13.339700000000001</v>
      </c>
      <c r="F42" s="21">
        <v>46.7</v>
      </c>
      <c r="G42" s="21">
        <v>16.8</v>
      </c>
    </row>
    <row r="43" spans="1:7" x14ac:dyDescent="0.25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</row>
    <row r="44" spans="1:7" x14ac:dyDescent="0.25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</row>
    <row r="45" spans="1:7" x14ac:dyDescent="0.25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</row>
    <row r="46" spans="1:7" x14ac:dyDescent="0.25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</row>
    <row r="47" spans="1:7" x14ac:dyDescent="0.25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</row>
    <row r="48" spans="1:7" x14ac:dyDescent="0.25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</row>
    <row r="49" spans="1:34" x14ac:dyDescent="0.25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</row>
    <row r="50" spans="1:34" x14ac:dyDescent="0.25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</row>
    <row r="51" spans="1:34" x14ac:dyDescent="0.25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</row>
    <row r="52" spans="1:34" x14ac:dyDescent="0.25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</row>
    <row r="53" spans="1:34" x14ac:dyDescent="0.25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</row>
    <row r="54" spans="1:34" x14ac:dyDescent="0.25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</row>
    <row r="55" spans="1:34" x14ac:dyDescent="0.25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</row>
    <row r="56" spans="1:34" x14ac:dyDescent="0.25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</row>
    <row r="57" spans="1:34" x14ac:dyDescent="0.25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</row>
    <row r="58" spans="1:34" x14ac:dyDescent="0.25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</row>
    <row r="59" spans="1:34" x14ac:dyDescent="0.25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</row>
    <row r="60" spans="1:34" x14ac:dyDescent="0.25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</row>
    <row r="61" spans="1:34" x14ac:dyDescent="0.25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</row>
    <row r="62" spans="1:34" x14ac:dyDescent="0.25">
      <c r="A62">
        <f t="shared" ref="A62:A93" si="0">A61+1</f>
        <v>1992</v>
      </c>
      <c r="B62" s="21"/>
      <c r="C62" s="21"/>
      <c r="D62" s="21"/>
      <c r="E62" s="21"/>
      <c r="F62" s="21">
        <v>34.9</v>
      </c>
      <c r="G62" s="21">
        <v>7</v>
      </c>
    </row>
    <row r="63" spans="1:34" x14ac:dyDescent="0.25">
      <c r="A63">
        <f t="shared" si="0"/>
        <v>1993</v>
      </c>
      <c r="B63" s="21"/>
      <c r="C63" s="21"/>
      <c r="D63" s="21"/>
      <c r="E63" s="21"/>
      <c r="F63" s="21">
        <v>33.9</v>
      </c>
      <c r="G63" s="21">
        <v>6.8</v>
      </c>
      <c r="AH63" t="s">
        <v>393</v>
      </c>
    </row>
    <row r="64" spans="1:34" x14ac:dyDescent="0.25">
      <c r="A64">
        <f t="shared" si="0"/>
        <v>1994</v>
      </c>
      <c r="B64" s="21"/>
      <c r="C64" s="21"/>
      <c r="D64" s="21"/>
      <c r="E64" s="21"/>
      <c r="F64" s="21">
        <v>32.9</v>
      </c>
      <c r="G64" s="21">
        <v>6.6</v>
      </c>
    </row>
    <row r="65" spans="1:34" x14ac:dyDescent="0.25">
      <c r="A65">
        <f t="shared" si="0"/>
        <v>1995</v>
      </c>
      <c r="B65" s="21"/>
      <c r="C65" s="21"/>
      <c r="D65" s="21"/>
      <c r="E65" s="21"/>
      <c r="F65" s="21">
        <v>31.9</v>
      </c>
      <c r="G65" s="21">
        <v>6.4</v>
      </c>
      <c r="AH65" t="s">
        <v>394</v>
      </c>
    </row>
    <row r="66" spans="1:34" x14ac:dyDescent="0.25">
      <c r="A66">
        <f t="shared" si="0"/>
        <v>1996</v>
      </c>
      <c r="B66" s="21"/>
      <c r="C66" s="21"/>
      <c r="D66" s="21"/>
      <c r="E66" s="21"/>
      <c r="F66" s="21">
        <v>31</v>
      </c>
      <c r="G66" s="21">
        <v>6.3</v>
      </c>
      <c r="AH66" t="s">
        <v>395</v>
      </c>
    </row>
    <row r="67" spans="1:34" x14ac:dyDescent="0.25">
      <c r="A67">
        <f t="shared" si="0"/>
        <v>1997</v>
      </c>
      <c r="B67" s="21"/>
      <c r="C67" s="21"/>
      <c r="D67" s="21"/>
      <c r="E67" s="21"/>
      <c r="F67" s="21">
        <v>30</v>
      </c>
      <c r="G67" s="21">
        <v>6.2</v>
      </c>
    </row>
    <row r="68" spans="1:34" x14ac:dyDescent="0.25">
      <c r="A68">
        <f t="shared" si="0"/>
        <v>1998</v>
      </c>
      <c r="B68" s="21"/>
      <c r="C68" s="21"/>
      <c r="D68" s="21"/>
      <c r="E68" s="21"/>
      <c r="F68" s="21">
        <v>29.2</v>
      </c>
      <c r="G68" s="21">
        <v>6.9</v>
      </c>
      <c r="AH68" t="s">
        <v>396</v>
      </c>
    </row>
    <row r="69" spans="1:34" x14ac:dyDescent="0.25">
      <c r="A69">
        <f t="shared" si="0"/>
        <v>1999</v>
      </c>
      <c r="B69" s="21"/>
      <c r="C69" s="21"/>
      <c r="D69" s="21"/>
      <c r="E69" s="21"/>
      <c r="F69" s="21">
        <v>28.5</v>
      </c>
      <c r="G69" s="21">
        <v>6.2</v>
      </c>
      <c r="AH69" t="s">
        <v>397</v>
      </c>
    </row>
    <row r="70" spans="1:34" x14ac:dyDescent="0.25">
      <c r="A70">
        <f t="shared" si="0"/>
        <v>2000</v>
      </c>
      <c r="B70" s="21"/>
      <c r="C70" s="21"/>
      <c r="D70" s="21"/>
      <c r="E70" s="21"/>
      <c r="F70" s="21">
        <v>27.9</v>
      </c>
      <c r="G70" s="21">
        <v>6.1</v>
      </c>
    </row>
    <row r="71" spans="1:34" x14ac:dyDescent="0.25">
      <c r="A71">
        <f t="shared" si="0"/>
        <v>2001</v>
      </c>
      <c r="B71" s="21"/>
      <c r="C71" s="21"/>
      <c r="D71" s="21"/>
      <c r="E71" s="21"/>
      <c r="F71" s="21">
        <v>27</v>
      </c>
      <c r="G71" s="21">
        <v>6</v>
      </c>
    </row>
    <row r="72" spans="1:34" x14ac:dyDescent="0.25">
      <c r="A72">
        <f t="shared" si="0"/>
        <v>2002</v>
      </c>
      <c r="B72" s="21"/>
      <c r="C72" s="21"/>
      <c r="D72" s="21"/>
      <c r="E72" s="21"/>
      <c r="F72" s="21">
        <v>26.3</v>
      </c>
      <c r="G72" s="21">
        <v>5.7</v>
      </c>
    </row>
    <row r="73" spans="1:34" x14ac:dyDescent="0.25">
      <c r="A73">
        <f t="shared" si="0"/>
        <v>2003</v>
      </c>
      <c r="B73" s="21"/>
      <c r="C73" s="21"/>
      <c r="D73" s="21"/>
      <c r="E73" s="21"/>
      <c r="F73" s="21">
        <v>25.9</v>
      </c>
      <c r="G73" s="21">
        <v>5.6</v>
      </c>
    </row>
    <row r="74" spans="1:34" x14ac:dyDescent="0.25">
      <c r="A74">
        <f t="shared" si="0"/>
        <v>2004</v>
      </c>
      <c r="B74" s="21"/>
      <c r="C74" s="21"/>
      <c r="D74" s="21"/>
      <c r="E74" s="21"/>
      <c r="F74" s="21">
        <v>25.7</v>
      </c>
      <c r="G74" s="21">
        <v>5.4</v>
      </c>
    </row>
    <row r="75" spans="1:34" x14ac:dyDescent="0.25">
      <c r="A75">
        <f t="shared" si="0"/>
        <v>2005</v>
      </c>
      <c r="B75" s="21"/>
      <c r="C75" s="21"/>
      <c r="D75" s="21"/>
      <c r="E75" s="21"/>
      <c r="F75" s="21">
        <v>25.6</v>
      </c>
      <c r="G75" s="21">
        <v>5.2</v>
      </c>
    </row>
    <row r="76" spans="1:34" x14ac:dyDescent="0.25">
      <c r="A76">
        <f t="shared" si="0"/>
        <v>2006</v>
      </c>
      <c r="B76" s="21"/>
      <c r="C76" s="21"/>
      <c r="D76" s="21"/>
      <c r="E76" s="21"/>
      <c r="F76" s="21">
        <v>25.4</v>
      </c>
      <c r="G76" s="21">
        <v>5.0999999999999996</v>
      </c>
    </row>
    <row r="77" spans="1:34" x14ac:dyDescent="0.25">
      <c r="A77">
        <f t="shared" si="0"/>
        <v>2007</v>
      </c>
      <c r="B77" s="21"/>
      <c r="C77" s="21"/>
      <c r="D77" s="21"/>
      <c r="E77" s="21"/>
      <c r="F77" s="21">
        <v>25.2</v>
      </c>
      <c r="G77" s="21">
        <v>5.0999999999999996</v>
      </c>
    </row>
    <row r="78" spans="1:34" x14ac:dyDescent="0.25">
      <c r="A78">
        <f t="shared" si="0"/>
        <v>2008</v>
      </c>
      <c r="B78" s="21"/>
      <c r="C78" s="21"/>
      <c r="D78" s="21"/>
      <c r="E78" s="21"/>
      <c r="F78" s="21">
        <v>24.9</v>
      </c>
      <c r="G78" s="21">
        <v>5.0999999999999996</v>
      </c>
    </row>
    <row r="79" spans="1:34" x14ac:dyDescent="0.25">
      <c r="A79">
        <f t="shared" si="0"/>
        <v>2009</v>
      </c>
      <c r="B79" s="21"/>
      <c r="C79" s="21"/>
      <c r="D79" s="21"/>
      <c r="E79" s="21"/>
      <c r="F79" s="21">
        <v>24.6</v>
      </c>
      <c r="G79" s="21">
        <v>5.0999999999999996</v>
      </c>
    </row>
    <row r="80" spans="1:34" x14ac:dyDescent="0.25">
      <c r="A80">
        <f t="shared" si="0"/>
        <v>2010</v>
      </c>
      <c r="B80" s="21"/>
      <c r="C80" s="21"/>
      <c r="D80" s="21"/>
      <c r="E80" s="21"/>
      <c r="F80" s="21">
        <v>24.3</v>
      </c>
      <c r="G80" s="21">
        <v>5.0999999999999996</v>
      </c>
    </row>
    <row r="81" spans="1:7" x14ac:dyDescent="0.25">
      <c r="A81">
        <f t="shared" si="0"/>
        <v>2011</v>
      </c>
      <c r="B81" s="21"/>
      <c r="C81" s="21"/>
      <c r="D81" s="21"/>
      <c r="E81" s="21"/>
      <c r="F81" s="21">
        <v>24</v>
      </c>
      <c r="G81" s="21">
        <v>5.0999999999999996</v>
      </c>
    </row>
    <row r="82" spans="1:7" x14ac:dyDescent="0.25">
      <c r="A82">
        <f t="shared" si="0"/>
        <v>2012</v>
      </c>
      <c r="B82" s="21"/>
      <c r="C82" s="21"/>
      <c r="D82" s="21"/>
      <c r="E82" s="21"/>
      <c r="F82" s="21">
        <v>23.6</v>
      </c>
      <c r="G82" s="21">
        <v>5</v>
      </c>
    </row>
    <row r="83" spans="1:7" x14ac:dyDescent="0.25">
      <c r="A83">
        <f t="shared" si="0"/>
        <v>2013</v>
      </c>
      <c r="B83" s="21"/>
      <c r="C83" s="21"/>
      <c r="D83" s="21"/>
      <c r="E83" s="21"/>
      <c r="F83" s="21">
        <v>23.2</v>
      </c>
      <c r="G83" s="21">
        <v>5</v>
      </c>
    </row>
    <row r="84" spans="1:7" x14ac:dyDescent="0.25">
      <c r="A84">
        <f t="shared" si="0"/>
        <v>2014</v>
      </c>
      <c r="B84" s="21"/>
      <c r="C84" s="21"/>
      <c r="D84" s="21"/>
      <c r="E84" s="21"/>
      <c r="F84" s="21">
        <v>22.8</v>
      </c>
      <c r="G84" s="21">
        <v>5</v>
      </c>
    </row>
    <row r="85" spans="1:7" x14ac:dyDescent="0.25">
      <c r="A85">
        <f t="shared" si="0"/>
        <v>2015</v>
      </c>
      <c r="B85" s="21"/>
      <c r="C85" s="21"/>
      <c r="D85" s="21"/>
      <c r="E85" s="21"/>
      <c r="F85" s="21">
        <v>22.4</v>
      </c>
      <c r="G85" s="21">
        <v>5</v>
      </c>
    </row>
    <row r="86" spans="1:7" x14ac:dyDescent="0.25">
      <c r="A86">
        <f t="shared" si="0"/>
        <v>2016</v>
      </c>
      <c r="B86" s="21"/>
      <c r="C86" s="21"/>
      <c r="D86" s="21"/>
      <c r="E86" s="21"/>
      <c r="F86" s="21">
        <v>22.1</v>
      </c>
      <c r="G86" s="21">
        <v>5</v>
      </c>
    </row>
    <row r="87" spans="1:7" x14ac:dyDescent="0.25">
      <c r="A87">
        <f t="shared" si="0"/>
        <v>2017</v>
      </c>
      <c r="B87" s="21"/>
      <c r="C87" s="21"/>
      <c r="D87" s="21"/>
      <c r="E87" s="21"/>
      <c r="F87" s="21">
        <v>21.6</v>
      </c>
      <c r="G87" s="21">
        <v>4.9000000000000004</v>
      </c>
    </row>
    <row r="88" spans="1:7" x14ac:dyDescent="0.25">
      <c r="A88">
        <f t="shared" si="0"/>
        <v>2018</v>
      </c>
      <c r="B88" s="21"/>
      <c r="C88" s="21"/>
      <c r="D88" s="21"/>
      <c r="E88" s="21"/>
      <c r="F88" s="21">
        <v>21.2</v>
      </c>
      <c r="G88" s="21">
        <v>4.8</v>
      </c>
    </row>
    <row r="89" spans="1:7" x14ac:dyDescent="0.25">
      <c r="A89">
        <f t="shared" si="0"/>
        <v>2019</v>
      </c>
      <c r="B89" s="21"/>
      <c r="C89" s="21"/>
      <c r="D89" s="21"/>
      <c r="E89" s="21"/>
      <c r="F89" s="21">
        <v>20.8</v>
      </c>
      <c r="G89" s="21">
        <v>5</v>
      </c>
    </row>
    <row r="90" spans="1:7" x14ac:dyDescent="0.25">
      <c r="A90">
        <f t="shared" si="0"/>
        <v>2020</v>
      </c>
      <c r="B90" s="21"/>
      <c r="C90" s="21"/>
      <c r="D90" s="21"/>
      <c r="E90" s="21"/>
      <c r="F90" s="21">
        <v>20.5</v>
      </c>
      <c r="G90" s="21">
        <v>6.7</v>
      </c>
    </row>
    <row r="91" spans="1:7" x14ac:dyDescent="0.25">
      <c r="A91">
        <f t="shared" si="0"/>
        <v>2021</v>
      </c>
      <c r="B91" s="21"/>
      <c r="C91" s="21"/>
      <c r="D91" s="21"/>
      <c r="E91" s="21"/>
      <c r="F91" s="21">
        <v>20</v>
      </c>
      <c r="G91" s="21">
        <v>6.6</v>
      </c>
    </row>
    <row r="92" spans="1:7" x14ac:dyDescent="0.25">
      <c r="A92">
        <f t="shared" si="0"/>
        <v>2022</v>
      </c>
      <c r="B92" s="21"/>
      <c r="C92" s="21"/>
      <c r="D92" s="21"/>
      <c r="E92" s="21"/>
      <c r="F92" s="21">
        <v>19.7</v>
      </c>
      <c r="G92" s="21">
        <v>4.7</v>
      </c>
    </row>
    <row r="93" spans="1:7" x14ac:dyDescent="0.25">
      <c r="A93">
        <f t="shared" si="0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25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25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25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25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25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25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25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25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25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25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25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25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25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25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25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25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25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25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25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25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25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25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25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25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25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25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25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25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25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25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25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25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25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25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25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25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25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25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25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25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25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25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25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25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25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25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25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25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25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25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2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25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25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25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25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25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25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25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25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25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25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25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25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25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25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25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25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25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25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25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25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25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25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25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25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25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25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25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25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25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25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25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25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25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25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25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25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25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25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25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25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G127"/>
  <sheetViews>
    <sheetView topLeftCell="A58" workbookViewId="0">
      <selection activeCell="AS81" sqref="AS81"/>
    </sheetView>
  </sheetViews>
  <sheetFormatPr defaultRowHeight="15" x14ac:dyDescent="0.25"/>
  <sheetData>
    <row r="1" spans="1:7" x14ac:dyDescent="0.25">
      <c r="A1" s="1"/>
      <c r="B1" s="41" t="s">
        <v>115</v>
      </c>
      <c r="C1" s="41"/>
      <c r="D1" s="41" t="s">
        <v>370</v>
      </c>
      <c r="E1" s="41"/>
      <c r="F1" s="41" t="s">
        <v>75</v>
      </c>
      <c r="G1" s="41"/>
    </row>
    <row r="2" spans="1:7" x14ac:dyDescent="0.25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25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</row>
    <row r="4" spans="1:7" x14ac:dyDescent="0.25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</row>
    <row r="5" spans="1:7" x14ac:dyDescent="0.25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</row>
    <row r="6" spans="1:7" x14ac:dyDescent="0.25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</row>
    <row r="7" spans="1:7" x14ac:dyDescent="0.25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</row>
    <row r="8" spans="1:7" x14ac:dyDescent="0.25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</row>
    <row r="9" spans="1:7" x14ac:dyDescent="0.25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</row>
    <row r="10" spans="1:7" x14ac:dyDescent="0.25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</row>
    <row r="11" spans="1:7" x14ac:dyDescent="0.25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</row>
    <row r="12" spans="1:7" x14ac:dyDescent="0.25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</row>
    <row r="13" spans="1:7" x14ac:dyDescent="0.25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</row>
    <row r="14" spans="1:7" x14ac:dyDescent="0.25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</row>
    <row r="15" spans="1:7" x14ac:dyDescent="0.25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</row>
    <row r="16" spans="1:7" x14ac:dyDescent="0.25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</row>
    <row r="17" spans="1:7" x14ac:dyDescent="0.25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</row>
    <row r="18" spans="1:7" x14ac:dyDescent="0.25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</row>
    <row r="19" spans="1:7" x14ac:dyDescent="0.25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</row>
    <row r="20" spans="1:7" x14ac:dyDescent="0.25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</row>
    <row r="21" spans="1:7" x14ac:dyDescent="0.25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</row>
    <row r="22" spans="1:7" x14ac:dyDescent="0.25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</row>
    <row r="23" spans="1:7" x14ac:dyDescent="0.25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</row>
    <row r="24" spans="1:7" x14ac:dyDescent="0.25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</row>
    <row r="25" spans="1:7" x14ac:dyDescent="0.25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</row>
    <row r="26" spans="1:7" x14ac:dyDescent="0.25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</row>
    <row r="27" spans="1:7" x14ac:dyDescent="0.25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</row>
    <row r="28" spans="1:7" x14ac:dyDescent="0.25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</row>
    <row r="29" spans="1:7" x14ac:dyDescent="0.25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</row>
    <row r="30" spans="1:7" x14ac:dyDescent="0.25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</row>
    <row r="31" spans="1:7" x14ac:dyDescent="0.25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</row>
    <row r="32" spans="1:7" x14ac:dyDescent="0.25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</row>
    <row r="33" spans="1:7" x14ac:dyDescent="0.25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</row>
    <row r="34" spans="1:7" x14ac:dyDescent="0.25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</row>
    <row r="35" spans="1:7" x14ac:dyDescent="0.25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</row>
    <row r="36" spans="1:7" x14ac:dyDescent="0.25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</row>
    <row r="37" spans="1:7" x14ac:dyDescent="0.25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</row>
    <row r="38" spans="1:7" x14ac:dyDescent="0.25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</row>
    <row r="39" spans="1:7" x14ac:dyDescent="0.25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</row>
    <row r="40" spans="1:7" x14ac:dyDescent="0.25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</row>
    <row r="41" spans="1:7" x14ac:dyDescent="0.25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</row>
    <row r="42" spans="1:7" x14ac:dyDescent="0.25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</row>
    <row r="43" spans="1:7" x14ac:dyDescent="0.25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</row>
    <row r="44" spans="1:7" x14ac:dyDescent="0.25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</row>
    <row r="45" spans="1:7" x14ac:dyDescent="0.25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</row>
    <row r="46" spans="1:7" x14ac:dyDescent="0.25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</row>
    <row r="47" spans="1:7" x14ac:dyDescent="0.25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</row>
    <row r="48" spans="1:7" x14ac:dyDescent="0.25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</row>
    <row r="49" spans="1:7" x14ac:dyDescent="0.25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</row>
    <row r="50" spans="1:7" x14ac:dyDescent="0.25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</row>
    <row r="51" spans="1:7" x14ac:dyDescent="0.25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</row>
    <row r="52" spans="1:7" x14ac:dyDescent="0.25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</row>
    <row r="53" spans="1:7" x14ac:dyDescent="0.25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</row>
    <row r="54" spans="1:7" x14ac:dyDescent="0.25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</row>
    <row r="55" spans="1:7" x14ac:dyDescent="0.25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</row>
    <row r="56" spans="1:7" x14ac:dyDescent="0.25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</row>
    <row r="57" spans="1:7" x14ac:dyDescent="0.25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</row>
    <row r="58" spans="1:7" x14ac:dyDescent="0.25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</row>
    <row r="59" spans="1:7" x14ac:dyDescent="0.25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</row>
    <row r="60" spans="1:7" x14ac:dyDescent="0.25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</row>
    <row r="61" spans="1:7" x14ac:dyDescent="0.25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</row>
    <row r="62" spans="1:7" x14ac:dyDescent="0.25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</row>
    <row r="63" spans="1:7" x14ac:dyDescent="0.25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</row>
    <row r="64" spans="1:7" x14ac:dyDescent="0.25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</row>
    <row r="65" spans="1:7" x14ac:dyDescent="0.25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</row>
    <row r="66" spans="1:7" x14ac:dyDescent="0.25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</row>
    <row r="67" spans="1:7" x14ac:dyDescent="0.25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</row>
    <row r="68" spans="1:7" x14ac:dyDescent="0.25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</row>
    <row r="69" spans="1:7" x14ac:dyDescent="0.25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</row>
    <row r="70" spans="1:7" x14ac:dyDescent="0.25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</row>
    <row r="71" spans="1:7" x14ac:dyDescent="0.25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</row>
    <row r="72" spans="1:7" x14ac:dyDescent="0.25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</row>
    <row r="73" spans="1:7" x14ac:dyDescent="0.25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</row>
    <row r="74" spans="1:7" x14ac:dyDescent="0.25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</row>
    <row r="75" spans="1:7" x14ac:dyDescent="0.25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</row>
    <row r="76" spans="1:7" x14ac:dyDescent="0.25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</row>
    <row r="77" spans="1:7" x14ac:dyDescent="0.25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</row>
    <row r="78" spans="1:7" x14ac:dyDescent="0.25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</row>
    <row r="79" spans="1:7" x14ac:dyDescent="0.25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</row>
    <row r="80" spans="1:7" x14ac:dyDescent="0.25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</row>
    <row r="81" spans="1:7" x14ac:dyDescent="0.25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</row>
    <row r="82" spans="1:7" x14ac:dyDescent="0.25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</row>
    <row r="83" spans="1:7" x14ac:dyDescent="0.25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</row>
    <row r="84" spans="1:7" x14ac:dyDescent="0.25">
      <c r="A84">
        <v>1980</v>
      </c>
      <c r="B84" s="21">
        <v>38.83</v>
      </c>
      <c r="C84" s="21">
        <v>12.02</v>
      </c>
      <c r="D84" s="21">
        <v>38.675199999999997</v>
      </c>
      <c r="E84" s="21">
        <v>10.907</v>
      </c>
      <c r="F84" s="3">
        <v>39.799999999999997</v>
      </c>
      <c r="G84" s="3">
        <v>15.2</v>
      </c>
    </row>
    <row r="85" spans="1:7" x14ac:dyDescent="0.25">
      <c r="A85">
        <v>1981</v>
      </c>
      <c r="B85" s="21">
        <v>36.979999999999997</v>
      </c>
      <c r="C85" s="21">
        <v>11.45</v>
      </c>
      <c r="D85" s="21">
        <v>36.8446</v>
      </c>
      <c r="E85" s="21">
        <v>10.7324</v>
      </c>
      <c r="F85" s="3">
        <v>39.6</v>
      </c>
      <c r="G85" s="3">
        <v>13.9</v>
      </c>
    </row>
    <row r="86" spans="1:7" x14ac:dyDescent="0.25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</row>
    <row r="87" spans="1:7" x14ac:dyDescent="0.25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</row>
    <row r="88" spans="1:7" x14ac:dyDescent="0.25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</row>
    <row r="89" spans="1:7" x14ac:dyDescent="0.25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</row>
    <row r="90" spans="1:7" x14ac:dyDescent="0.25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</row>
    <row r="91" spans="1:7" x14ac:dyDescent="0.25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</row>
    <row r="92" spans="1:7" x14ac:dyDescent="0.25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</row>
    <row r="93" spans="1:7" x14ac:dyDescent="0.25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</row>
    <row r="94" spans="1:7" x14ac:dyDescent="0.25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</row>
    <row r="95" spans="1:7" x14ac:dyDescent="0.25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</row>
    <row r="96" spans="1:7" x14ac:dyDescent="0.25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</row>
    <row r="97" spans="1:7" x14ac:dyDescent="0.25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</row>
    <row r="98" spans="1:7" x14ac:dyDescent="0.25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</row>
    <row r="99" spans="1:7" x14ac:dyDescent="0.25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</row>
    <row r="100" spans="1:7" x14ac:dyDescent="0.25">
      <c r="A100">
        <f t="shared" ref="A100:A127" si="0">A99+1</f>
        <v>1996</v>
      </c>
      <c r="B100" s="21"/>
      <c r="C100" s="21"/>
      <c r="D100" s="21"/>
      <c r="E100" s="21"/>
      <c r="F100" s="3">
        <v>30.3</v>
      </c>
      <c r="G100" s="3">
        <v>6.7</v>
      </c>
    </row>
    <row r="101" spans="1:7" x14ac:dyDescent="0.25">
      <c r="A101">
        <f t="shared" si="0"/>
        <v>1997</v>
      </c>
      <c r="B101" s="21"/>
      <c r="C101" s="21"/>
      <c r="D101" s="21"/>
      <c r="E101" s="21"/>
      <c r="F101" s="3">
        <v>29.6</v>
      </c>
      <c r="G101" s="3">
        <v>6.6</v>
      </c>
    </row>
    <row r="102" spans="1:7" x14ac:dyDescent="0.25">
      <c r="A102">
        <f t="shared" si="0"/>
        <v>1998</v>
      </c>
      <c r="B102" s="21"/>
      <c r="C102" s="21"/>
      <c r="D102" s="21"/>
      <c r="E102" s="21"/>
      <c r="F102" s="3">
        <v>29.4</v>
      </c>
      <c r="G102" s="3">
        <v>6.6</v>
      </c>
    </row>
    <row r="103" spans="1:7" x14ac:dyDescent="0.25">
      <c r="A103">
        <f t="shared" si="0"/>
        <v>1999</v>
      </c>
      <c r="B103" s="21"/>
      <c r="C103" s="21"/>
      <c r="D103" s="21"/>
      <c r="E103" s="21"/>
      <c r="F103" s="3">
        <v>28.3</v>
      </c>
      <c r="G103" s="3">
        <v>6.5</v>
      </c>
    </row>
    <row r="104" spans="1:7" x14ac:dyDescent="0.25">
      <c r="A104">
        <f t="shared" si="0"/>
        <v>2000</v>
      </c>
      <c r="B104" s="21"/>
      <c r="C104" s="21"/>
      <c r="D104" s="21"/>
      <c r="E104" s="21"/>
      <c r="F104" s="3">
        <v>27.1</v>
      </c>
      <c r="G104" s="3">
        <v>6.6</v>
      </c>
    </row>
    <row r="105" spans="1:7" x14ac:dyDescent="0.25">
      <c r="A105">
        <f t="shared" si="0"/>
        <v>2001</v>
      </c>
      <c r="B105" s="21"/>
      <c r="C105" s="21"/>
      <c r="D105" s="21"/>
      <c r="E105" s="21"/>
      <c r="F105" s="3">
        <v>25.8</v>
      </c>
      <c r="G105" s="3">
        <v>6.7</v>
      </c>
    </row>
    <row r="106" spans="1:7" x14ac:dyDescent="0.25">
      <c r="A106">
        <f t="shared" si="0"/>
        <v>2002</v>
      </c>
      <c r="B106" s="21"/>
      <c r="C106" s="21"/>
      <c r="D106" s="21"/>
      <c r="E106" s="21"/>
      <c r="F106" s="3">
        <v>24.4</v>
      </c>
      <c r="G106" s="3">
        <v>6.7</v>
      </c>
    </row>
    <row r="107" spans="1:7" x14ac:dyDescent="0.25">
      <c r="A107">
        <f t="shared" si="0"/>
        <v>2003</v>
      </c>
      <c r="B107" s="21"/>
      <c r="C107" s="21"/>
      <c r="D107" s="21"/>
      <c r="E107" s="21"/>
      <c r="F107" s="3">
        <v>23.1</v>
      </c>
      <c r="G107" s="3">
        <v>6.8</v>
      </c>
    </row>
    <row r="108" spans="1:7" x14ac:dyDescent="0.25">
      <c r="A108">
        <f t="shared" si="0"/>
        <v>2004</v>
      </c>
      <c r="B108" s="21"/>
      <c r="C108" s="21"/>
      <c r="D108" s="21"/>
      <c r="E108" s="21"/>
      <c r="F108" s="3">
        <v>22.1</v>
      </c>
      <c r="G108" s="3">
        <v>6.9</v>
      </c>
    </row>
    <row r="109" spans="1:7" x14ac:dyDescent="0.25">
      <c r="A109">
        <f t="shared" si="0"/>
        <v>2005</v>
      </c>
      <c r="B109" s="21"/>
      <c r="C109" s="21"/>
      <c r="D109" s="21"/>
      <c r="E109" s="21"/>
      <c r="F109" s="3">
        <v>21.4</v>
      </c>
      <c r="G109" s="3">
        <v>7.2</v>
      </c>
    </row>
    <row r="110" spans="1:7" x14ac:dyDescent="0.25">
      <c r="A110">
        <f t="shared" si="0"/>
        <v>2006</v>
      </c>
      <c r="B110" s="21"/>
      <c r="C110" s="21"/>
      <c r="D110" s="21"/>
      <c r="E110" s="21"/>
      <c r="F110" s="3">
        <v>21</v>
      </c>
      <c r="G110" s="3">
        <v>7.5</v>
      </c>
    </row>
    <row r="111" spans="1:7" x14ac:dyDescent="0.25">
      <c r="A111">
        <f t="shared" si="0"/>
        <v>2007</v>
      </c>
      <c r="B111" s="21"/>
      <c r="C111" s="21"/>
      <c r="D111" s="21"/>
      <c r="E111" s="21"/>
      <c r="F111" s="3">
        <v>20.6</v>
      </c>
      <c r="G111" s="3">
        <v>7.8</v>
      </c>
    </row>
    <row r="112" spans="1:7" x14ac:dyDescent="0.25">
      <c r="A112">
        <f t="shared" si="0"/>
        <v>2008</v>
      </c>
      <c r="B112" s="21"/>
      <c r="C112" s="21"/>
      <c r="D112" s="21"/>
      <c r="E112" s="21"/>
      <c r="F112" s="3">
        <v>20</v>
      </c>
      <c r="G112" s="3">
        <v>7.6</v>
      </c>
    </row>
    <row r="113" spans="1:7" x14ac:dyDescent="0.25">
      <c r="A113">
        <f t="shared" si="0"/>
        <v>2009</v>
      </c>
      <c r="B113" s="21"/>
      <c r="C113" s="21"/>
      <c r="D113" s="21"/>
      <c r="E113" s="21"/>
      <c r="F113" s="3">
        <v>19.8</v>
      </c>
      <c r="G113" s="3">
        <v>7.5</v>
      </c>
    </row>
    <row r="114" spans="1:7" x14ac:dyDescent="0.25">
      <c r="A114">
        <f t="shared" si="0"/>
        <v>2010</v>
      </c>
      <c r="B114" s="21"/>
      <c r="C114" s="21"/>
      <c r="D114" s="21"/>
      <c r="E114" s="21"/>
      <c r="F114" s="3">
        <v>19.7</v>
      </c>
      <c r="G114" s="3">
        <v>7.2</v>
      </c>
    </row>
    <row r="115" spans="1:7" x14ac:dyDescent="0.25">
      <c r="A115">
        <f t="shared" si="0"/>
        <v>2011</v>
      </c>
      <c r="B115" s="21"/>
      <c r="C115" s="21"/>
      <c r="D115" s="21"/>
      <c r="E115" s="21"/>
      <c r="F115" s="3">
        <v>19.600000000000001</v>
      </c>
      <c r="G115" s="3">
        <v>7.1</v>
      </c>
    </row>
    <row r="116" spans="1:7" x14ac:dyDescent="0.25">
      <c r="A116">
        <f t="shared" si="0"/>
        <v>2012</v>
      </c>
      <c r="B116" s="21"/>
      <c r="C116" s="21"/>
      <c r="D116" s="21"/>
      <c r="E116" s="21"/>
      <c r="F116" s="3">
        <v>19.399999999999999</v>
      </c>
      <c r="G116" s="3">
        <v>7</v>
      </c>
    </row>
    <row r="117" spans="1:7" x14ac:dyDescent="0.25">
      <c r="A117">
        <f t="shared" si="0"/>
        <v>2013</v>
      </c>
      <c r="B117" s="21"/>
      <c r="C117" s="21"/>
      <c r="D117" s="21"/>
      <c r="E117" s="21"/>
      <c r="F117" s="3">
        <v>19.2</v>
      </c>
      <c r="G117" s="3">
        <v>7.2</v>
      </c>
    </row>
    <row r="118" spans="1:7" x14ac:dyDescent="0.25">
      <c r="A118">
        <f t="shared" si="0"/>
        <v>2014</v>
      </c>
      <c r="B118" s="21"/>
      <c r="C118" s="21"/>
      <c r="D118" s="21"/>
      <c r="E118" s="21"/>
      <c r="F118" s="3">
        <v>19</v>
      </c>
      <c r="G118" s="3">
        <v>7.2</v>
      </c>
    </row>
    <row r="119" spans="1:7" x14ac:dyDescent="0.25">
      <c r="A119">
        <f t="shared" si="0"/>
        <v>2015</v>
      </c>
      <c r="B119" s="21"/>
      <c r="C119" s="21"/>
      <c r="D119" s="21"/>
      <c r="E119" s="21"/>
      <c r="F119" s="3">
        <v>18.600000000000001</v>
      </c>
      <c r="G119" s="3">
        <v>7.4</v>
      </c>
    </row>
    <row r="120" spans="1:7" x14ac:dyDescent="0.25">
      <c r="A120">
        <f t="shared" si="0"/>
        <v>2016</v>
      </c>
      <c r="B120" s="21"/>
      <c r="C120" s="21"/>
      <c r="D120" s="21"/>
      <c r="E120" s="21"/>
      <c r="F120" s="3">
        <v>17.7</v>
      </c>
      <c r="G120" s="3">
        <v>7.4</v>
      </c>
    </row>
    <row r="121" spans="1:7" x14ac:dyDescent="0.25">
      <c r="A121">
        <f t="shared" si="0"/>
        <v>2017</v>
      </c>
      <c r="B121" s="21"/>
      <c r="C121" s="21"/>
      <c r="D121" s="21"/>
      <c r="E121" s="21"/>
      <c r="F121" s="3">
        <v>17.100000000000001</v>
      </c>
      <c r="G121" s="3">
        <v>7.5</v>
      </c>
    </row>
    <row r="122" spans="1:7" x14ac:dyDescent="0.25">
      <c r="A122">
        <f t="shared" si="0"/>
        <v>2018</v>
      </c>
      <c r="B122" s="21"/>
      <c r="C122" s="21"/>
      <c r="D122" s="21"/>
      <c r="E122" s="21"/>
      <c r="F122" s="3">
        <v>16.7</v>
      </c>
      <c r="G122" s="3">
        <v>7.4</v>
      </c>
    </row>
    <row r="123" spans="1:7" x14ac:dyDescent="0.25">
      <c r="A123">
        <f t="shared" si="0"/>
        <v>2019</v>
      </c>
      <c r="B123" s="21"/>
      <c r="C123" s="21"/>
      <c r="D123" s="21"/>
      <c r="E123" s="21"/>
      <c r="F123" s="3">
        <v>16.600000000000001</v>
      </c>
      <c r="G123" s="3">
        <v>7.4</v>
      </c>
    </row>
    <row r="124" spans="1:7" x14ac:dyDescent="0.25">
      <c r="A124">
        <f t="shared" si="0"/>
        <v>2020</v>
      </c>
      <c r="B124" s="21"/>
      <c r="C124" s="21"/>
      <c r="D124" s="21"/>
      <c r="E124" s="21"/>
      <c r="F124" s="3">
        <v>16.3</v>
      </c>
      <c r="G124" s="3">
        <v>8.6</v>
      </c>
    </row>
    <row r="125" spans="1:7" x14ac:dyDescent="0.25">
      <c r="A125">
        <f t="shared" si="0"/>
        <v>2021</v>
      </c>
      <c r="B125" s="21"/>
      <c r="C125" s="21"/>
      <c r="D125" s="21"/>
      <c r="E125" s="21"/>
      <c r="F125" s="3">
        <v>16.2</v>
      </c>
      <c r="G125" s="3">
        <v>8.6999999999999993</v>
      </c>
    </row>
    <row r="126" spans="1:7" x14ac:dyDescent="0.25">
      <c r="A126">
        <f t="shared" si="0"/>
        <v>2022</v>
      </c>
      <c r="B126" s="21"/>
      <c r="C126" s="21"/>
      <c r="D126" s="21"/>
      <c r="E126" s="21"/>
      <c r="F126" s="3">
        <v>15.9</v>
      </c>
      <c r="G126" s="3">
        <v>7.5</v>
      </c>
    </row>
    <row r="127" spans="1:7" x14ac:dyDescent="0.25">
      <c r="A127">
        <f t="shared" si="0"/>
        <v>2023</v>
      </c>
      <c r="B127" s="21"/>
      <c r="C127" s="21"/>
      <c r="D127" s="21"/>
      <c r="E127" s="21"/>
      <c r="F127" s="3">
        <v>15.8</v>
      </c>
      <c r="G127" s="3">
        <v>7.5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7" sqref="AD2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398</v>
      </c>
    </row>
    <row r="27" spans="1:30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335</v>
      </c>
    </row>
    <row r="29" spans="1:30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336</v>
      </c>
    </row>
    <row r="30" spans="1:30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337</v>
      </c>
    </row>
    <row r="31" spans="1:30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338</v>
      </c>
    </row>
    <row r="32" spans="1:30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339</v>
      </c>
    </row>
    <row r="33" spans="1:30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340</v>
      </c>
    </row>
    <row r="35" spans="1:30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341</v>
      </c>
    </row>
    <row r="36" spans="1:30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342</v>
      </c>
    </row>
    <row r="37" spans="1:30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339</v>
      </c>
    </row>
    <row r="38" spans="1:30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343</v>
      </c>
    </row>
    <row r="40" spans="1:30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344</v>
      </c>
    </row>
    <row r="41" spans="1:30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345</v>
      </c>
    </row>
    <row r="42" spans="1:30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346</v>
      </c>
    </row>
    <row r="43" spans="1:30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347</v>
      </c>
    </row>
    <row r="45" spans="1:30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348</v>
      </c>
    </row>
    <row r="46" spans="1:30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349</v>
      </c>
    </row>
    <row r="47" spans="1:30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350</v>
      </c>
    </row>
    <row r="48" spans="1:30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351</v>
      </c>
    </row>
    <row r="50" spans="1:30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352</v>
      </c>
    </row>
    <row r="51" spans="1:30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5" x14ac:dyDescent="0.25"/>
  <cols>
    <col min="1" max="1" width="5" bestFit="1" customWidth="1"/>
    <col min="2" max="3" width="4.5703125" bestFit="1" customWidth="1"/>
    <col min="4" max="4" width="9" bestFit="1" customWidth="1"/>
    <col min="6" max="6" width="5" bestFit="1" customWidth="1"/>
    <col min="7" max="7" width="13.85546875" style="21" bestFit="1" customWidth="1"/>
    <col min="8" max="8" width="11.5703125" style="21" bestFit="1" customWidth="1"/>
    <col min="9" max="9" width="5.5703125" bestFit="1" customWidth="1"/>
  </cols>
  <sheetData>
    <row r="1" spans="1:9" x14ac:dyDescent="0.25">
      <c r="B1" s="41" t="s">
        <v>438</v>
      </c>
      <c r="C1" s="41"/>
      <c r="D1" s="41"/>
      <c r="G1" s="41" t="s">
        <v>440</v>
      </c>
      <c r="H1" s="41"/>
      <c r="I1" s="41"/>
    </row>
    <row r="2" spans="1:9" x14ac:dyDescent="0.25">
      <c r="A2" s="13" t="s">
        <v>73</v>
      </c>
      <c r="B2" s="13" t="s">
        <v>84</v>
      </c>
      <c r="C2" s="13" t="s">
        <v>85</v>
      </c>
      <c r="D2" s="13" t="s">
        <v>439</v>
      </c>
      <c r="F2" s="28" t="s">
        <v>73</v>
      </c>
      <c r="G2" s="37" t="s">
        <v>89</v>
      </c>
      <c r="H2" s="37" t="s">
        <v>90</v>
      </c>
      <c r="I2" s="28" t="s">
        <v>88</v>
      </c>
    </row>
    <row r="3" spans="1:9" x14ac:dyDescent="0.25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 x14ac:dyDescent="0.25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 x14ac:dyDescent="0.25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 x14ac:dyDescent="0.25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 x14ac:dyDescent="0.25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 x14ac:dyDescent="0.25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 x14ac:dyDescent="0.25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 x14ac:dyDescent="0.25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 x14ac:dyDescent="0.25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 x14ac:dyDescent="0.25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 x14ac:dyDescent="0.25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 x14ac:dyDescent="0.25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 x14ac:dyDescent="0.25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 x14ac:dyDescent="0.25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 x14ac:dyDescent="0.25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 x14ac:dyDescent="0.25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 x14ac:dyDescent="0.25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 x14ac:dyDescent="0.25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 x14ac:dyDescent="0.25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 x14ac:dyDescent="0.25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 x14ac:dyDescent="0.25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 x14ac:dyDescent="0.25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 x14ac:dyDescent="0.25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 x14ac:dyDescent="0.25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 x14ac:dyDescent="0.25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 x14ac:dyDescent="0.25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 x14ac:dyDescent="0.25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 x14ac:dyDescent="0.25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 x14ac:dyDescent="0.25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 x14ac:dyDescent="0.25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 x14ac:dyDescent="0.25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 x14ac:dyDescent="0.25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 x14ac:dyDescent="0.25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 x14ac:dyDescent="0.25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 x14ac:dyDescent="0.25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 x14ac:dyDescent="0.25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 x14ac:dyDescent="0.25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 x14ac:dyDescent="0.25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 x14ac:dyDescent="0.25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 x14ac:dyDescent="0.25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 x14ac:dyDescent="0.25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 x14ac:dyDescent="0.25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 x14ac:dyDescent="0.25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 x14ac:dyDescent="0.25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 x14ac:dyDescent="0.25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 x14ac:dyDescent="0.25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 x14ac:dyDescent="0.25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 x14ac:dyDescent="0.25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 x14ac:dyDescent="0.25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 x14ac:dyDescent="0.25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 x14ac:dyDescent="0.25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 x14ac:dyDescent="0.25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 x14ac:dyDescent="0.25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 x14ac:dyDescent="0.25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 x14ac:dyDescent="0.25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 x14ac:dyDescent="0.25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 x14ac:dyDescent="0.25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 x14ac:dyDescent="0.25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 x14ac:dyDescent="0.25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 x14ac:dyDescent="0.25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 x14ac:dyDescent="0.25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 x14ac:dyDescent="0.25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 x14ac:dyDescent="0.25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 x14ac:dyDescent="0.25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 x14ac:dyDescent="0.25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 x14ac:dyDescent="0.25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 x14ac:dyDescent="0.25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 x14ac:dyDescent="0.25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 x14ac:dyDescent="0.25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 x14ac:dyDescent="0.25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 x14ac:dyDescent="0.25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 x14ac:dyDescent="0.25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 x14ac:dyDescent="0.25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 x14ac:dyDescent="0.25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 x14ac:dyDescent="0.25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 x14ac:dyDescent="0.25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 x14ac:dyDescent="0.25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 x14ac:dyDescent="0.25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 x14ac:dyDescent="0.25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 x14ac:dyDescent="0.25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 x14ac:dyDescent="0.25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 x14ac:dyDescent="0.25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 x14ac:dyDescent="0.25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 x14ac:dyDescent="0.25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 x14ac:dyDescent="0.25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 x14ac:dyDescent="0.25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 x14ac:dyDescent="0.25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 x14ac:dyDescent="0.25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 x14ac:dyDescent="0.25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 x14ac:dyDescent="0.25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 x14ac:dyDescent="0.25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 x14ac:dyDescent="0.25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 x14ac:dyDescent="0.25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 x14ac:dyDescent="0.25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 x14ac:dyDescent="0.25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 x14ac:dyDescent="0.25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 x14ac:dyDescent="0.25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 x14ac:dyDescent="0.25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 x14ac:dyDescent="0.25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 x14ac:dyDescent="0.25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 x14ac:dyDescent="0.25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 x14ac:dyDescent="0.25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 x14ac:dyDescent="0.25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 x14ac:dyDescent="0.25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 x14ac:dyDescent="0.25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 x14ac:dyDescent="0.25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 x14ac:dyDescent="0.25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 x14ac:dyDescent="0.25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 x14ac:dyDescent="0.25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 x14ac:dyDescent="0.25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41" t="s">
        <v>115</v>
      </c>
      <c r="C1" s="41"/>
      <c r="D1" s="41" t="s">
        <v>75</v>
      </c>
      <c r="E1" s="41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47</vt:i4>
      </vt:variant>
      <vt:variant>
        <vt:lpstr>Named Ranges</vt:lpstr>
      </vt:variant>
      <vt:variant>
        <vt:i4>1</vt:i4>
      </vt:variant>
    </vt:vector>
  </HeadingPairs>
  <TitlesOfParts>
    <vt:vector size="48" baseType="lpstr">
      <vt:lpstr>Notes</vt:lpstr>
      <vt:lpstr>Бриньоли-1993</vt:lpstr>
      <vt:lpstr>Бриньоли-1993-годовые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2026-06-11T17:47:10Z</dcterms:modified>
</cp:coreProperties>
</file>