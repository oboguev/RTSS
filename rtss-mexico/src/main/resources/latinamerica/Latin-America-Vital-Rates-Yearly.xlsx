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36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37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44A0611A-B68D-49B3-BFFC-83F3690134B2}" xr6:coauthVersionLast="47" xr6:coauthVersionMax="47" xr10:uidLastSave="{00000000-0000-0000-0000-000000000000}"/>
  <bookViews>
    <workbookView xWindow="57480" yWindow="-120" windowWidth="51840" windowHeight="21120" tabRatio="746" firstSheet="21" activeTab="32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ватемала-без-кризиса" sheetId="41" r:id="rId13"/>
    <sheet name="Гондурас-Колвер" sheetId="22" r:id="rId14"/>
    <sheet name="Гондурас-правка" sheetId="32" r:id="rId15"/>
    <sheet name="Доминиканская республика" sheetId="33" r:id="rId16"/>
    <sheet name="Колумбия" sheetId="8" r:id="rId17"/>
    <sheet name="Коста-Рика-Бриньоли" sheetId="25" r:id="rId18"/>
    <sheet name="Коста-Рика-Колвер" sheetId="6" r:id="rId19"/>
    <sheet name="Куба-все" sheetId="40" r:id="rId20"/>
    <sheet name="Куба-Бриньоли" sheetId="26" r:id="rId21"/>
    <sheet name="Куба-Колвер" sheetId="18" r:id="rId22"/>
    <sheet name="Мексика-Бриньоли-WPP" sheetId="29" r:id="rId23"/>
    <sheet name="Мексика-Бриньоли-WPP-реформа" sheetId="38" r:id="rId24"/>
    <sheet name="Мексика-Бриньоли-CONAPO" sheetId="34" r:id="rId25"/>
    <sheet name="Мексика-Бриньоли-CONAPO-реформа" sheetId="39" r:id="rId26"/>
    <sheet name="Мексика-Колвер-WPP" sheetId="19" r:id="rId27"/>
    <sheet name="Мексика-Колвер-WPP-реформа" sheetId="36" r:id="rId28"/>
    <sheet name="Мексика-Колвер-CONAPO" sheetId="35" r:id="rId29"/>
    <sheet name="Мексика-Колвер-CONAPO-реформа" sheetId="37" r:id="rId30"/>
    <sheet name="Панама" sheetId="17" r:id="rId31"/>
    <sheet name="Парагвай" sheetId="10" r:id="rId32"/>
    <sheet name="Перу" sheetId="11" r:id="rId33"/>
    <sheet name="Сальвадор" sheetId="12" r:id="rId34"/>
    <sheet name="Уругвай-Бриньоли" sheetId="27" r:id="rId35"/>
    <sheet name="Уругвай-Ротман" sheetId="16" r:id="rId36"/>
    <sheet name="Уругвай-Митчел" sheetId="20" r:id="rId37"/>
    <sheet name="Чили-Бриньоли" sheetId="28" r:id="rId38"/>
    <sheet name="Чили-Колвер" sheetId="13" r:id="rId39"/>
    <sheet name="Эквадор" sheetId="9" r:id="rId40"/>
  </sheets>
  <definedNames>
    <definedName name="LIFT" localSheetId="14">'Гондурас-правка'!$B$118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5" i="41" l="1"/>
  <c r="D124" i="41"/>
  <c r="D123" i="41"/>
  <c r="D122" i="41"/>
  <c r="D121" i="41"/>
  <c r="D120" i="41"/>
  <c r="D119" i="41"/>
  <c r="D118" i="41"/>
  <c r="D117" i="41"/>
  <c r="D116" i="41"/>
  <c r="D115" i="41"/>
  <c r="D114" i="41"/>
  <c r="D113" i="41"/>
  <c r="D112" i="41"/>
  <c r="D111" i="41"/>
  <c r="D110" i="41"/>
  <c r="D109" i="41"/>
  <c r="D108" i="41"/>
  <c r="D107" i="41"/>
  <c r="D106" i="41"/>
  <c r="D105" i="41"/>
  <c r="D104" i="41"/>
  <c r="D103" i="41"/>
  <c r="D102" i="41"/>
  <c r="D101" i="41"/>
  <c r="D100" i="41"/>
  <c r="D99" i="41"/>
  <c r="D98" i="41"/>
  <c r="D97" i="41"/>
  <c r="D96" i="41"/>
  <c r="D95" i="41"/>
  <c r="D94" i="41"/>
  <c r="D93" i="41"/>
  <c r="D92" i="41"/>
  <c r="D91" i="41"/>
  <c r="D90" i="41"/>
  <c r="D89" i="41"/>
  <c r="D88" i="41"/>
  <c r="D87" i="41"/>
  <c r="D86" i="41"/>
  <c r="D85" i="41"/>
  <c r="D84" i="41"/>
  <c r="D83" i="41"/>
  <c r="D82" i="41"/>
  <c r="D81" i="41"/>
  <c r="D80" i="41"/>
  <c r="D79" i="41"/>
  <c r="D78" i="41"/>
  <c r="D77" i="41"/>
  <c r="D76" i="41"/>
  <c r="D75" i="41"/>
  <c r="D74" i="41"/>
  <c r="D73" i="41"/>
  <c r="D72" i="41"/>
  <c r="D71" i="41"/>
  <c r="D70" i="41"/>
  <c r="D69" i="41"/>
  <c r="D68" i="41"/>
  <c r="D67" i="41"/>
  <c r="D66" i="41"/>
  <c r="D65" i="41"/>
  <c r="D64" i="41"/>
  <c r="D63" i="41"/>
  <c r="D62" i="41"/>
  <c r="D61" i="41"/>
  <c r="D60" i="41"/>
  <c r="D59" i="41"/>
  <c r="D58" i="41"/>
  <c r="D57" i="41"/>
  <c r="D56" i="41"/>
  <c r="D55" i="41"/>
  <c r="D54" i="41"/>
  <c r="D53" i="41"/>
  <c r="D52" i="41"/>
  <c r="D51" i="41"/>
  <c r="D50" i="41"/>
  <c r="D49" i="41"/>
  <c r="D48" i="41"/>
  <c r="D47" i="41"/>
  <c r="D46" i="41"/>
  <c r="D45" i="41"/>
  <c r="D44" i="41"/>
  <c r="D43" i="41"/>
  <c r="D42" i="41"/>
  <c r="D41" i="41"/>
  <c r="D40" i="41"/>
  <c r="D39" i="41"/>
  <c r="D38" i="41"/>
  <c r="D37" i="41"/>
  <c r="D36" i="41"/>
  <c r="D35" i="41"/>
  <c r="D34" i="41"/>
  <c r="D33" i="41"/>
  <c r="D32" i="41"/>
  <c r="D31" i="41"/>
  <c r="D30" i="41"/>
  <c r="D29" i="41"/>
  <c r="D28" i="41"/>
  <c r="D27" i="41"/>
  <c r="D26" i="41"/>
  <c r="D25" i="41"/>
  <c r="D24" i="41"/>
  <c r="D23" i="41"/>
  <c r="D22" i="41"/>
  <c r="D21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D3" i="41"/>
  <c r="D2" i="41"/>
  <c r="J69" i="26"/>
  <c r="J70" i="26"/>
  <c r="J125" i="40" l="1"/>
  <c r="J124" i="40"/>
  <c r="J123" i="40"/>
  <c r="J122" i="40"/>
  <c r="J121" i="40"/>
  <c r="J120" i="40"/>
  <c r="J119" i="40"/>
  <c r="J118" i="40"/>
  <c r="J117" i="40"/>
  <c r="J116" i="40"/>
  <c r="J115" i="40"/>
  <c r="J114" i="40"/>
  <c r="J113" i="40"/>
  <c r="J112" i="40"/>
  <c r="J111" i="40"/>
  <c r="J110" i="40"/>
  <c r="J109" i="40"/>
  <c r="J108" i="40"/>
  <c r="J107" i="40"/>
  <c r="J106" i="40"/>
  <c r="J105" i="40"/>
  <c r="J104" i="40"/>
  <c r="J103" i="40"/>
  <c r="J102" i="40"/>
  <c r="J101" i="40"/>
  <c r="J100" i="40"/>
  <c r="J99" i="40"/>
  <c r="J98" i="40"/>
  <c r="J97" i="40"/>
  <c r="J96" i="40"/>
  <c r="J95" i="40"/>
  <c r="J94" i="40"/>
  <c r="J93" i="40"/>
  <c r="J92" i="40"/>
  <c r="J91" i="40"/>
  <c r="J90" i="40"/>
  <c r="J89" i="40"/>
  <c r="J88" i="40"/>
  <c r="J87" i="40"/>
  <c r="J86" i="40"/>
  <c r="J85" i="40"/>
  <c r="J84" i="40"/>
  <c r="J83" i="40"/>
  <c r="J82" i="40"/>
  <c r="J81" i="40"/>
  <c r="J80" i="40"/>
  <c r="J79" i="40"/>
  <c r="J78" i="40"/>
  <c r="J77" i="40"/>
  <c r="J76" i="40"/>
  <c r="J75" i="40"/>
  <c r="J74" i="40"/>
  <c r="K73" i="40"/>
  <c r="J73" i="40"/>
  <c r="K72" i="40"/>
  <c r="J72" i="40"/>
  <c r="K71" i="40"/>
  <c r="J71" i="40"/>
  <c r="K70" i="40"/>
  <c r="J70" i="40"/>
  <c r="K69" i="40"/>
  <c r="J69" i="40"/>
  <c r="G69" i="40"/>
  <c r="K68" i="40"/>
  <c r="J68" i="40"/>
  <c r="G68" i="40"/>
  <c r="K67" i="40"/>
  <c r="J67" i="40"/>
  <c r="G67" i="40"/>
  <c r="K66" i="40"/>
  <c r="J66" i="40"/>
  <c r="G66" i="40"/>
  <c r="K65" i="40"/>
  <c r="J65" i="40"/>
  <c r="G65" i="40"/>
  <c r="K64" i="40"/>
  <c r="J64" i="40"/>
  <c r="G64" i="40"/>
  <c r="K63" i="40"/>
  <c r="J63" i="40"/>
  <c r="G63" i="40"/>
  <c r="K62" i="40"/>
  <c r="J62" i="40"/>
  <c r="G62" i="40"/>
  <c r="K61" i="40"/>
  <c r="J61" i="40"/>
  <c r="G61" i="40"/>
  <c r="K60" i="40"/>
  <c r="J60" i="40"/>
  <c r="G60" i="40"/>
  <c r="K59" i="40"/>
  <c r="J59" i="40"/>
  <c r="G59" i="40"/>
  <c r="K58" i="40"/>
  <c r="J58" i="40"/>
  <c r="G58" i="40"/>
  <c r="K57" i="40"/>
  <c r="J57" i="40"/>
  <c r="G57" i="40"/>
  <c r="K56" i="40"/>
  <c r="J56" i="40"/>
  <c r="G56" i="40"/>
  <c r="K55" i="40"/>
  <c r="J55" i="40"/>
  <c r="G55" i="40"/>
  <c r="K54" i="40"/>
  <c r="J54" i="40"/>
  <c r="G54" i="40"/>
  <c r="K53" i="40"/>
  <c r="J53" i="40"/>
  <c r="G53" i="40"/>
  <c r="K52" i="40"/>
  <c r="J52" i="40"/>
  <c r="G52" i="40"/>
  <c r="K51" i="40"/>
  <c r="G51" i="40"/>
  <c r="D51" i="40"/>
  <c r="K50" i="40"/>
  <c r="G50" i="40"/>
  <c r="D50" i="40"/>
  <c r="K49" i="40"/>
  <c r="G49" i="40"/>
  <c r="D49" i="40"/>
  <c r="K48" i="40"/>
  <c r="G48" i="40"/>
  <c r="D48" i="40"/>
  <c r="K47" i="40"/>
  <c r="G47" i="40"/>
  <c r="D47" i="40"/>
  <c r="K46" i="40"/>
  <c r="G46" i="40"/>
  <c r="D46" i="40"/>
  <c r="K45" i="40"/>
  <c r="G45" i="40"/>
  <c r="D45" i="40"/>
  <c r="K44" i="40"/>
  <c r="G44" i="40"/>
  <c r="D44" i="40"/>
  <c r="K43" i="40"/>
  <c r="G43" i="40"/>
  <c r="D43" i="40"/>
  <c r="K42" i="40"/>
  <c r="G42" i="40"/>
  <c r="D42" i="40"/>
  <c r="K41" i="40"/>
  <c r="G41" i="40"/>
  <c r="D41" i="40"/>
  <c r="K40" i="40"/>
  <c r="G40" i="40"/>
  <c r="D40" i="40"/>
  <c r="K39" i="40"/>
  <c r="G39" i="40"/>
  <c r="D39" i="40"/>
  <c r="K38" i="40"/>
  <c r="G38" i="40"/>
  <c r="D38" i="40"/>
  <c r="K37" i="40"/>
  <c r="G37" i="40"/>
  <c r="D37" i="40"/>
  <c r="K36" i="40"/>
  <c r="G36" i="40"/>
  <c r="D36" i="40"/>
  <c r="K35" i="40"/>
  <c r="G35" i="40"/>
  <c r="D35" i="40"/>
  <c r="K34" i="40"/>
  <c r="G34" i="40"/>
  <c r="D34" i="40"/>
  <c r="K33" i="40"/>
  <c r="G33" i="40"/>
  <c r="D33" i="40"/>
  <c r="K32" i="40"/>
  <c r="G32" i="40"/>
  <c r="D32" i="40"/>
  <c r="K31" i="40"/>
  <c r="G31" i="40"/>
  <c r="D31" i="40"/>
  <c r="K30" i="40"/>
  <c r="G30" i="40"/>
  <c r="D30" i="40"/>
  <c r="K29" i="40"/>
  <c r="G29" i="40"/>
  <c r="D29" i="40"/>
  <c r="K28" i="40"/>
  <c r="G28" i="40"/>
  <c r="D28" i="40"/>
  <c r="K27" i="40"/>
  <c r="G27" i="40"/>
  <c r="D27" i="40"/>
  <c r="K26" i="40"/>
  <c r="G26" i="40"/>
  <c r="D26" i="40"/>
  <c r="K25" i="40"/>
  <c r="G25" i="40"/>
  <c r="D25" i="40"/>
  <c r="K24" i="40"/>
  <c r="G24" i="40"/>
  <c r="D24" i="40"/>
  <c r="K23" i="40"/>
  <c r="G23" i="40"/>
  <c r="D23" i="40"/>
  <c r="K22" i="40"/>
  <c r="G22" i="40"/>
  <c r="D22" i="40"/>
  <c r="K21" i="40"/>
  <c r="G21" i="40"/>
  <c r="D21" i="40"/>
  <c r="K20" i="40"/>
  <c r="G20" i="40"/>
  <c r="D20" i="40"/>
  <c r="K19" i="40"/>
  <c r="G19" i="40"/>
  <c r="D19" i="40"/>
  <c r="K18" i="40"/>
  <c r="G18" i="40"/>
  <c r="D18" i="40"/>
  <c r="K17" i="40"/>
  <c r="G17" i="40"/>
  <c r="D17" i="40"/>
  <c r="K16" i="40"/>
  <c r="G16" i="40"/>
  <c r="D16" i="40"/>
  <c r="K15" i="40"/>
  <c r="G15" i="40"/>
  <c r="D15" i="40"/>
  <c r="K14" i="40"/>
  <c r="G14" i="40"/>
  <c r="D14" i="40"/>
  <c r="K13" i="40"/>
  <c r="G13" i="40"/>
  <c r="D13" i="40"/>
  <c r="K12" i="40"/>
  <c r="G12" i="40"/>
  <c r="D12" i="40"/>
  <c r="K11" i="40"/>
  <c r="G11" i="40"/>
  <c r="D11" i="40"/>
  <c r="K10" i="40"/>
  <c r="G10" i="40"/>
  <c r="D10" i="40"/>
  <c r="K9" i="40"/>
  <c r="G9" i="40"/>
  <c r="D9" i="40"/>
  <c r="K8" i="40"/>
  <c r="G8" i="40"/>
  <c r="D8" i="40"/>
  <c r="K7" i="40"/>
  <c r="G7" i="40"/>
  <c r="D7" i="40"/>
  <c r="K6" i="40"/>
  <c r="G6" i="40"/>
  <c r="D6" i="40"/>
  <c r="K5" i="40"/>
  <c r="G5" i="40"/>
  <c r="D5" i="40"/>
  <c r="K4" i="40"/>
  <c r="G4" i="40"/>
  <c r="D4" i="40"/>
  <c r="K3" i="40"/>
  <c r="D3" i="40"/>
  <c r="A3" i="40"/>
  <c r="A4" i="40" s="1"/>
  <c r="A5" i="40" s="1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114" i="40" s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K2" i="40"/>
  <c r="D2" i="40"/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J44" i="37" s="1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J36" i="37" s="1"/>
  <c r="G35" i="37"/>
  <c r="F35" i="37"/>
  <c r="G34" i="37"/>
  <c r="K34" i="37" s="1"/>
  <c r="F34" i="37"/>
  <c r="G33" i="37"/>
  <c r="F33" i="37"/>
  <c r="J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J20" i="37" s="1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J127" i="39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I115" i="39"/>
  <c r="J114" i="39"/>
  <c r="I114" i="39"/>
  <c r="K114" i="39" s="1"/>
  <c r="J113" i="39"/>
  <c r="I113" i="39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J104" i="39"/>
  <c r="I104" i="39"/>
  <c r="J103" i="39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J98" i="39"/>
  <c r="I98" i="39"/>
  <c r="K98" i="39" s="1"/>
  <c r="J97" i="39"/>
  <c r="I97" i="39"/>
  <c r="J96" i="39"/>
  <c r="I96" i="39"/>
  <c r="J95" i="39"/>
  <c r="I95" i="39"/>
  <c r="K95" i="39" s="1"/>
  <c r="J94" i="39"/>
  <c r="I94" i="39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H82" i="39"/>
  <c r="J81" i="39"/>
  <c r="I81" i="39"/>
  <c r="H81" i="39"/>
  <c r="J80" i="39"/>
  <c r="I80" i="39"/>
  <c r="H80" i="39"/>
  <c r="J79" i="39"/>
  <c r="I79" i="39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H59" i="39"/>
  <c r="J58" i="39"/>
  <c r="I58" i="39"/>
  <c r="H58" i="39"/>
  <c r="J57" i="39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H50" i="39"/>
  <c r="J49" i="39"/>
  <c r="I49" i="39"/>
  <c r="K49" i="39" s="1"/>
  <c r="H49" i="39"/>
  <c r="J48" i="39"/>
  <c r="I48" i="39"/>
  <c r="H48" i="39"/>
  <c r="J47" i="39"/>
  <c r="I47" i="39"/>
  <c r="H47" i="39"/>
  <c r="J46" i="39"/>
  <c r="I46" i="39"/>
  <c r="K46" i="39" s="1"/>
  <c r="H46" i="39"/>
  <c r="J45" i="39"/>
  <c r="I45" i="39"/>
  <c r="H45" i="39"/>
  <c r="J44" i="39"/>
  <c r="I44" i="39"/>
  <c r="K44" i="39" s="1"/>
  <c r="H44" i="39"/>
  <c r="J43" i="39"/>
  <c r="I43" i="39"/>
  <c r="H43" i="39"/>
  <c r="J42" i="39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H11" i="39"/>
  <c r="J10" i="39"/>
  <c r="I10" i="39"/>
  <c r="H10" i="39"/>
  <c r="J9" i="39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J128" i="38"/>
  <c r="I128" i="38"/>
  <c r="K128" i="38" s="1"/>
  <c r="J127" i="38"/>
  <c r="I127" i="38"/>
  <c r="K127" i="38" s="1"/>
  <c r="J126" i="38"/>
  <c r="I126" i="38"/>
  <c r="J125" i="38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J116" i="38"/>
  <c r="I116" i="38"/>
  <c r="K116" i="38" s="1"/>
  <c r="J115" i="38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I108" i="38"/>
  <c r="J107" i="38"/>
  <c r="I107" i="38"/>
  <c r="K107" i="38" s="1"/>
  <c r="J106" i="38"/>
  <c r="I106" i="38"/>
  <c r="K106" i="38" s="1"/>
  <c r="J105" i="38"/>
  <c r="I105" i="38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J96" i="38"/>
  <c r="I96" i="38"/>
  <c r="K96" i="38" s="1"/>
  <c r="J95" i="38"/>
  <c r="I95" i="38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I38" i="37"/>
  <c r="K38" i="37"/>
  <c r="J38" i="37"/>
  <c r="I37" i="37"/>
  <c r="K37" i="37"/>
  <c r="J37" i="37"/>
  <c r="I36" i="37"/>
  <c r="K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G43" i="36"/>
  <c r="F43" i="36"/>
  <c r="J42" i="36"/>
  <c r="H42" i="36"/>
  <c r="L42" i="36" s="1"/>
  <c r="G42" i="36"/>
  <c r="K42" i="36" s="1"/>
  <c r="M42" i="36" s="1"/>
  <c r="F42" i="36"/>
  <c r="J41" i="36"/>
  <c r="H41" i="36"/>
  <c r="L41" i="36" s="1"/>
  <c r="G41" i="36"/>
  <c r="K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F35" i="36"/>
  <c r="J34" i="36"/>
  <c r="H34" i="36"/>
  <c r="L34" i="36" s="1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J31" i="36"/>
  <c r="H31" i="36"/>
  <c r="L31" i="36" s="1"/>
  <c r="G31" i="36"/>
  <c r="K31" i="36" s="1"/>
  <c r="F31" i="36"/>
  <c r="J30" i="36"/>
  <c r="H30" i="36"/>
  <c r="L30" i="36" s="1"/>
  <c r="G30" i="36"/>
  <c r="K30" i="36" s="1"/>
  <c r="F30" i="36"/>
  <c r="K29" i="36"/>
  <c r="J29" i="36"/>
  <c r="H29" i="36"/>
  <c r="L29" i="36" s="1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F25" i="36"/>
  <c r="J24" i="36"/>
  <c r="H24" i="36"/>
  <c r="L24" i="36" s="1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J19" i="36"/>
  <c r="H19" i="36"/>
  <c r="L19" i="36" s="1"/>
  <c r="G19" i="36"/>
  <c r="K19" i="36" s="1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M41" i="36" l="1"/>
  <c r="L39" i="37"/>
  <c r="K6" i="38"/>
  <c r="K22" i="38"/>
  <c r="K38" i="38"/>
  <c r="K54" i="38"/>
  <c r="K70" i="38"/>
  <c r="K87" i="38"/>
  <c r="K95" i="38"/>
  <c r="K11" i="39"/>
  <c r="K43" i="39"/>
  <c r="K48" i="39"/>
  <c r="K59" i="39"/>
  <c r="K86" i="39"/>
  <c r="K94" i="39"/>
  <c r="L33" i="37"/>
  <c r="M31" i="36"/>
  <c r="K18" i="38"/>
  <c r="K34" i="38"/>
  <c r="K50" i="38"/>
  <c r="K66" i="38"/>
  <c r="K82" i="38"/>
  <c r="K97" i="38"/>
  <c r="K105" i="38"/>
  <c r="K96" i="39"/>
  <c r="K103" i="39"/>
  <c r="K127" i="39"/>
  <c r="M35" i="36"/>
  <c r="M54" i="36"/>
  <c r="K129" i="38"/>
  <c r="K50" i="39"/>
  <c r="K82" i="39"/>
  <c r="K128" i="39"/>
  <c r="M14" i="36"/>
  <c r="M25" i="36"/>
  <c r="M43" i="36"/>
  <c r="M47" i="36"/>
  <c r="K45" i="39"/>
  <c r="K105" i="39"/>
  <c r="K113" i="39"/>
  <c r="K121" i="39"/>
  <c r="K115" i="38"/>
  <c r="M22" i="36"/>
  <c r="K9" i="39"/>
  <c r="K57" i="39"/>
  <c r="F59" i="36"/>
  <c r="H59" i="36"/>
  <c r="L59" i="36" s="1"/>
  <c r="K108" i="38"/>
  <c r="J59" i="36"/>
  <c r="K117" i="38"/>
  <c r="K31" i="39"/>
  <c r="K47" i="39"/>
  <c r="K79" i="39"/>
  <c r="K115" i="39"/>
  <c r="K125" i="38"/>
  <c r="K42" i="39"/>
  <c r="L42" i="37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A87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J127" i="34"/>
  <c r="I127" i="34"/>
  <c r="J126" i="34"/>
  <c r="I126" i="34"/>
  <c r="J125" i="34"/>
  <c r="I125" i="34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J108" i="34"/>
  <c r="I108" i="34"/>
  <c r="J107" i="34"/>
  <c r="I107" i="34"/>
  <c r="J106" i="34"/>
  <c r="I106" i="34"/>
  <c r="J105" i="34"/>
  <c r="I105" i="34"/>
  <c r="J104" i="34"/>
  <c r="I104" i="34"/>
  <c r="J103" i="34"/>
  <c r="I103" i="34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H54" i="34"/>
  <c r="J53" i="34"/>
  <c r="I53" i="34"/>
  <c r="K53" i="34" s="1"/>
  <c r="H53" i="34"/>
  <c r="J52" i="34"/>
  <c r="I52" i="34"/>
  <c r="K52" i="34" s="1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H48" i="34"/>
  <c r="J47" i="34"/>
  <c r="I47" i="34"/>
  <c r="K47" i="34" s="1"/>
  <c r="H47" i="34"/>
  <c r="J46" i="34"/>
  <c r="I46" i="34"/>
  <c r="H46" i="34"/>
  <c r="J45" i="34"/>
  <c r="I45" i="34"/>
  <c r="H45" i="34"/>
  <c r="J44" i="34"/>
  <c r="I44" i="34"/>
  <c r="H44" i="34"/>
  <c r="J43" i="34"/>
  <c r="K43" i="34" s="1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J38" i="34"/>
  <c r="K38" i="34" s="1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H34" i="34"/>
  <c r="J33" i="34"/>
  <c r="I33" i="34"/>
  <c r="K33" i="34" s="1"/>
  <c r="H33" i="34"/>
  <c r="J32" i="34"/>
  <c r="I32" i="34"/>
  <c r="H32" i="34"/>
  <c r="J31" i="34"/>
  <c r="I31" i="34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J25" i="34"/>
  <c r="K25" i="34" s="1"/>
  <c r="I25" i="34"/>
  <c r="H25" i="34"/>
  <c r="J24" i="34"/>
  <c r="I24" i="34"/>
  <c r="H24" i="34"/>
  <c r="J23" i="34"/>
  <c r="I23" i="34"/>
  <c r="K23" i="34" s="1"/>
  <c r="H23" i="34"/>
  <c r="J22" i="34"/>
  <c r="I22" i="34"/>
  <c r="K22" i="34" s="1"/>
  <c r="H22" i="34"/>
  <c r="J21" i="34"/>
  <c r="I21" i="34"/>
  <c r="H21" i="34"/>
  <c r="J20" i="34"/>
  <c r="I20" i="34"/>
  <c r="H20" i="34"/>
  <c r="J19" i="34"/>
  <c r="I19" i="34"/>
  <c r="H19" i="34"/>
  <c r="J18" i="34"/>
  <c r="I18" i="34"/>
  <c r="K18" i="34" s="1"/>
  <c r="H18" i="34"/>
  <c r="J17" i="34"/>
  <c r="I17" i="34"/>
  <c r="K17" i="34" s="1"/>
  <c r="H17" i="34"/>
  <c r="J16" i="34"/>
  <c r="I16" i="34"/>
  <c r="H16" i="34"/>
  <c r="J15" i="34"/>
  <c r="I15" i="34"/>
  <c r="H15" i="34"/>
  <c r="J14" i="34"/>
  <c r="K14" i="34" s="1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H9" i="34"/>
  <c r="J8" i="34"/>
  <c r="K8" i="34" s="1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K32" i="34" l="1"/>
  <c r="K48" i="34"/>
  <c r="K85" i="34"/>
  <c r="K109" i="34"/>
  <c r="K125" i="34"/>
  <c r="K9" i="34"/>
  <c r="K34" i="34"/>
  <c r="K44" i="34"/>
  <c r="K54" i="34"/>
  <c r="K103" i="34"/>
  <c r="K119" i="34"/>
  <c r="M61" i="36"/>
  <c r="K19" i="34"/>
  <c r="K60" i="34"/>
  <c r="K104" i="34"/>
  <c r="K128" i="34"/>
  <c r="K15" i="34"/>
  <c r="K20" i="34"/>
  <c r="K16" i="34"/>
  <c r="K21" i="34"/>
  <c r="K31" i="34"/>
  <c r="K46" i="34"/>
  <c r="L54" i="35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2" i="21"/>
  <c r="A41" i="21" s="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H58" i="29"/>
  <c r="J57" i="29"/>
  <c r="I57" i="29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H10" i="29"/>
  <c r="J9" i="29"/>
  <c r="I9" i="29"/>
  <c r="K9" i="29" s="1"/>
  <c r="H9" i="29"/>
  <c r="J8" i="29"/>
  <c r="I8" i="29"/>
  <c r="H8" i="29"/>
  <c r="J7" i="29"/>
  <c r="I7" i="29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J118" i="26"/>
  <c r="I118" i="26"/>
  <c r="J117" i="26"/>
  <c r="I117" i="26"/>
  <c r="J116" i="26"/>
  <c r="I116" i="26"/>
  <c r="J115" i="26"/>
  <c r="I115" i="26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J102" i="26"/>
  <c r="I102" i="26"/>
  <c r="J101" i="26"/>
  <c r="I101" i="26"/>
  <c r="J100" i="26"/>
  <c r="I100" i="26"/>
  <c r="J99" i="26"/>
  <c r="I99" i="26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J79" i="26"/>
  <c r="I79" i="26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I70" i="26"/>
  <c r="I69" i="26"/>
  <c r="J68" i="26"/>
  <c r="I68" i="26"/>
  <c r="H68" i="26"/>
  <c r="J67" i="26"/>
  <c r="I67" i="26"/>
  <c r="H67" i="26"/>
  <c r="J66" i="26"/>
  <c r="I66" i="26"/>
  <c r="H66" i="26"/>
  <c r="J65" i="26"/>
  <c r="I65" i="26"/>
  <c r="H65" i="26"/>
  <c r="J64" i="26"/>
  <c r="I64" i="26"/>
  <c r="H64" i="26"/>
  <c r="J63" i="26"/>
  <c r="I63" i="26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H54" i="26"/>
  <c r="J53" i="26"/>
  <c r="I53" i="26"/>
  <c r="H53" i="26"/>
  <c r="J52" i="26"/>
  <c r="I52" i="26"/>
  <c r="H52" i="26"/>
  <c r="J51" i="26"/>
  <c r="I51" i="26"/>
  <c r="H51" i="26"/>
  <c r="J50" i="26"/>
  <c r="I50" i="26"/>
  <c r="H50" i="26"/>
  <c r="J49" i="26"/>
  <c r="I49" i="26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H39" i="26"/>
  <c r="J38" i="26"/>
  <c r="I38" i="26"/>
  <c r="H38" i="26"/>
  <c r="J37" i="26"/>
  <c r="I37" i="26"/>
  <c r="H37" i="26"/>
  <c r="J36" i="26"/>
  <c r="I36" i="26"/>
  <c r="H36" i="26"/>
  <c r="J35" i="26"/>
  <c r="I35" i="26"/>
  <c r="H35" i="26"/>
  <c r="J34" i="26"/>
  <c r="I34" i="26"/>
  <c r="H34" i="26"/>
  <c r="J33" i="26"/>
  <c r="I33" i="26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H23" i="26"/>
  <c r="J22" i="26"/>
  <c r="I22" i="26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H7" i="26"/>
  <c r="J6" i="26"/>
  <c r="I6" i="26"/>
  <c r="H6" i="26"/>
  <c r="J5" i="26"/>
  <c r="I5" i="26"/>
  <c r="H5" i="26"/>
  <c r="J4" i="26"/>
  <c r="I4" i="26"/>
  <c r="H4" i="26"/>
  <c r="J3" i="26"/>
  <c r="I3" i="26"/>
  <c r="K3" i="26" s="1"/>
  <c r="H3" i="26"/>
  <c r="J122" i="28"/>
  <c r="I122" i="28"/>
  <c r="J121" i="28"/>
  <c r="I121" i="28"/>
  <c r="J120" i="28"/>
  <c r="I120" i="28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J168" i="28"/>
  <c r="I168" i="28"/>
  <c r="J167" i="28"/>
  <c r="I167" i="28"/>
  <c r="K167" i="28" s="1"/>
  <c r="J166" i="28"/>
  <c r="I166" i="28"/>
  <c r="J165" i="28"/>
  <c r="I165" i="28"/>
  <c r="J164" i="28"/>
  <c r="I164" i="28"/>
  <c r="J163" i="28"/>
  <c r="I163" i="28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J152" i="28"/>
  <c r="I152" i="28"/>
  <c r="J151" i="28"/>
  <c r="I151" i="28"/>
  <c r="K151" i="28" s="1"/>
  <c r="J150" i="28"/>
  <c r="I150" i="28"/>
  <c r="J149" i="28"/>
  <c r="I149" i="28"/>
  <c r="J148" i="28"/>
  <c r="I148" i="28"/>
  <c r="J147" i="28"/>
  <c r="I147" i="28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J136" i="28"/>
  <c r="I136" i="28"/>
  <c r="J135" i="28"/>
  <c r="I135" i="28"/>
  <c r="K135" i="28" s="1"/>
  <c r="J134" i="28"/>
  <c r="I134" i="28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J121" i="27"/>
  <c r="I121" i="27"/>
  <c r="J120" i="27"/>
  <c r="I120" i="27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J105" i="27"/>
  <c r="I105" i="27"/>
  <c r="J104" i="27"/>
  <c r="I104" i="27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J75" i="27"/>
  <c r="I75" i="27"/>
  <c r="J74" i="27"/>
  <c r="I74" i="27"/>
  <c r="K74" i="27" s="1"/>
  <c r="J73" i="27"/>
  <c r="I73" i="27"/>
  <c r="J72" i="27"/>
  <c r="I72" i="27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H65" i="27"/>
  <c r="J64" i="27"/>
  <c r="I64" i="27"/>
  <c r="H64" i="27"/>
  <c r="J63" i="27"/>
  <c r="I63" i="27"/>
  <c r="H63" i="27"/>
  <c r="J62" i="27"/>
  <c r="I62" i="27"/>
  <c r="H62" i="27"/>
  <c r="J61" i="27"/>
  <c r="I61" i="27"/>
  <c r="H61" i="27"/>
  <c r="J60" i="27"/>
  <c r="I60" i="27"/>
  <c r="H60" i="27"/>
  <c r="J59" i="27"/>
  <c r="I59" i="27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H46" i="27"/>
  <c r="J45" i="27"/>
  <c r="I45" i="27"/>
  <c r="H45" i="27"/>
  <c r="J44" i="27"/>
  <c r="I44" i="27"/>
  <c r="H44" i="27"/>
  <c r="J43" i="27"/>
  <c r="I43" i="27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H30" i="27"/>
  <c r="J29" i="27"/>
  <c r="I29" i="27"/>
  <c r="H29" i="27"/>
  <c r="J28" i="27"/>
  <c r="I28" i="27"/>
  <c r="H28" i="27"/>
  <c r="J27" i="27"/>
  <c r="I27" i="27"/>
  <c r="H27" i="27"/>
  <c r="J26" i="27"/>
  <c r="I26" i="27"/>
  <c r="H26" i="27"/>
  <c r="J25" i="27"/>
  <c r="I25" i="27"/>
  <c r="H25" i="27"/>
  <c r="J24" i="27"/>
  <c r="I24" i="27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H14" i="27"/>
  <c r="J13" i="27"/>
  <c r="I13" i="27"/>
  <c r="H13" i="27"/>
  <c r="J12" i="27"/>
  <c r="I12" i="27"/>
  <c r="H12" i="27"/>
  <c r="J11" i="27"/>
  <c r="I11" i="27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H26" i="25"/>
  <c r="J25" i="25"/>
  <c r="I25" i="25"/>
  <c r="H25" i="25"/>
  <c r="J24" i="25"/>
  <c r="I24" i="25"/>
  <c r="H24" i="25"/>
  <c r="J23" i="25"/>
  <c r="I23" i="25"/>
  <c r="H23" i="25"/>
  <c r="J22" i="25"/>
  <c r="I22" i="25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8" i="24" l="1"/>
  <c r="K16" i="24"/>
  <c r="K24" i="24"/>
  <c r="K32" i="24"/>
  <c r="K40" i="24"/>
  <c r="K48" i="24"/>
  <c r="K56" i="24"/>
  <c r="K64" i="24"/>
  <c r="K94" i="25"/>
  <c r="K110" i="25"/>
  <c r="K126" i="25"/>
  <c r="K142" i="25"/>
  <c r="K158" i="25"/>
  <c r="K14" i="27"/>
  <c r="K30" i="27"/>
  <c r="K46" i="27"/>
  <c r="K62" i="27"/>
  <c r="K75" i="27"/>
  <c r="K17" i="26"/>
  <c r="K33" i="26"/>
  <c r="K49" i="26"/>
  <c r="K65" i="26"/>
  <c r="K37" i="29"/>
  <c r="K76" i="27"/>
  <c r="K7" i="26"/>
  <c r="K23" i="26"/>
  <c r="K39" i="26"/>
  <c r="K32" i="29"/>
  <c r="K80" i="29"/>
  <c r="K26" i="25"/>
  <c r="K134" i="28"/>
  <c r="K150" i="28"/>
  <c r="K166" i="28"/>
  <c r="K99" i="26"/>
  <c r="K35" i="26"/>
  <c r="K51" i="26"/>
  <c r="K67" i="26"/>
  <c r="K7" i="29"/>
  <c r="K48" i="25"/>
  <c r="K11" i="27"/>
  <c r="K27" i="27"/>
  <c r="K43" i="27"/>
  <c r="K59" i="27"/>
  <c r="R53" i="32"/>
  <c r="K6" i="25"/>
  <c r="K22" i="25"/>
  <c r="K65" i="27"/>
  <c r="K4" i="26"/>
  <c r="K12" i="27"/>
  <c r="K28" i="27"/>
  <c r="K44" i="27"/>
  <c r="K60" i="27"/>
  <c r="K72" i="27"/>
  <c r="K88" i="27"/>
  <c r="K104" i="27"/>
  <c r="K120" i="27"/>
  <c r="K12" i="28"/>
  <c r="K28" i="28"/>
  <c r="K44" i="28"/>
  <c r="K60" i="28"/>
  <c r="K63" i="26"/>
  <c r="K8" i="29"/>
  <c r="K137" i="28"/>
  <c r="K153" i="28"/>
  <c r="K169" i="28"/>
  <c r="K57" i="29"/>
  <c r="K73" i="29"/>
  <c r="K124" i="29"/>
  <c r="K119" i="26"/>
  <c r="K24" i="27"/>
  <c r="K106" i="27"/>
  <c r="K114" i="27"/>
  <c r="K122" i="27"/>
  <c r="K3" i="28"/>
  <c r="K19" i="28"/>
  <c r="K35" i="28"/>
  <c r="K51" i="28"/>
  <c r="K67" i="28"/>
  <c r="K147" i="28"/>
  <c r="K163" i="28"/>
  <c r="K96" i="28"/>
  <c r="K104" i="28"/>
  <c r="K112" i="28"/>
  <c r="K120" i="28"/>
  <c r="K6" i="26"/>
  <c r="K22" i="26"/>
  <c r="K38" i="26"/>
  <c r="K54" i="26"/>
  <c r="K10" i="29"/>
  <c r="K42" i="29"/>
  <c r="K58" i="29"/>
  <c r="K100" i="26"/>
  <c r="K118" i="26"/>
  <c r="K79" i="26"/>
  <c r="K103" i="26"/>
  <c r="K109" i="26"/>
  <c r="K115" i="26"/>
  <c r="K80" i="26"/>
  <c r="K86" i="26"/>
  <c r="K116" i="26"/>
  <c r="K52" i="26"/>
  <c r="K64" i="26"/>
  <c r="K68" i="26"/>
  <c r="K96" i="25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24" i="23"/>
  <c r="J116" i="23"/>
  <c r="J108" i="23"/>
  <c r="J100" i="23"/>
  <c r="J84" i="23"/>
  <c r="J58" i="23"/>
  <c r="J42" i="23"/>
  <c r="I154" i="23"/>
  <c r="H154" i="23"/>
  <c r="I153" i="23"/>
  <c r="H153" i="23"/>
  <c r="I152" i="23"/>
  <c r="H152" i="23"/>
  <c r="I151" i="23"/>
  <c r="H151" i="23"/>
  <c r="I150" i="23"/>
  <c r="H150" i="23"/>
  <c r="I149" i="23"/>
  <c r="H149" i="23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I142" i="23"/>
  <c r="H142" i="23"/>
  <c r="J142" i="23" s="1"/>
  <c r="I141" i="23"/>
  <c r="H141" i="23"/>
  <c r="I140" i="23"/>
  <c r="H140" i="23"/>
  <c r="J140" i="23" s="1"/>
  <c r="I139" i="23"/>
  <c r="H139" i="23"/>
  <c r="I138" i="23"/>
  <c r="H138" i="23"/>
  <c r="I137" i="23"/>
  <c r="H137" i="23"/>
  <c r="I136" i="23"/>
  <c r="H136" i="23"/>
  <c r="I135" i="23"/>
  <c r="H135" i="23"/>
  <c r="I134" i="23"/>
  <c r="H134" i="23"/>
  <c r="I133" i="23"/>
  <c r="H133" i="23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I126" i="23"/>
  <c r="H126" i="23"/>
  <c r="J126" i="23" s="1"/>
  <c r="I125" i="23"/>
  <c r="H125" i="23"/>
  <c r="J125" i="23" s="1"/>
  <c r="I124" i="23"/>
  <c r="H124" i="23"/>
  <c r="I123" i="23"/>
  <c r="H123" i="23"/>
  <c r="J123" i="23" s="1"/>
  <c r="I122" i="23"/>
  <c r="H122" i="23"/>
  <c r="J122" i="23" s="1"/>
  <c r="I121" i="23"/>
  <c r="J121" i="23" s="1"/>
  <c r="H121" i="23"/>
  <c r="I120" i="23"/>
  <c r="H120" i="23"/>
  <c r="I119" i="23"/>
  <c r="H119" i="23"/>
  <c r="I118" i="23"/>
  <c r="H118" i="23"/>
  <c r="I117" i="23"/>
  <c r="H117" i="23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I110" i="23"/>
  <c r="H110" i="23"/>
  <c r="J110" i="23" s="1"/>
  <c r="I109" i="23"/>
  <c r="H109" i="23"/>
  <c r="I108" i="23"/>
  <c r="H108" i="23"/>
  <c r="I107" i="23"/>
  <c r="H107" i="23"/>
  <c r="J107" i="23" s="1"/>
  <c r="I106" i="23"/>
  <c r="H106" i="23"/>
  <c r="J106" i="23" s="1"/>
  <c r="I105" i="23"/>
  <c r="H105" i="23"/>
  <c r="I104" i="23"/>
  <c r="H104" i="23"/>
  <c r="I103" i="23"/>
  <c r="H103" i="23"/>
  <c r="I102" i="23"/>
  <c r="H102" i="23"/>
  <c r="I101" i="23"/>
  <c r="H101" i="23"/>
  <c r="I100" i="23"/>
  <c r="H100" i="23"/>
  <c r="I99" i="23"/>
  <c r="H99" i="23"/>
  <c r="I98" i="23"/>
  <c r="H98" i="23"/>
  <c r="I97" i="23"/>
  <c r="H97" i="23"/>
  <c r="I96" i="23"/>
  <c r="H96" i="23"/>
  <c r="I95" i="23"/>
  <c r="H95" i="23"/>
  <c r="I94" i="23"/>
  <c r="H94" i="23"/>
  <c r="J94" i="23" s="1"/>
  <c r="I93" i="23"/>
  <c r="H93" i="23"/>
  <c r="I92" i="23"/>
  <c r="H92" i="23"/>
  <c r="J92" i="23" s="1"/>
  <c r="I91" i="23"/>
  <c r="H91" i="23"/>
  <c r="I90" i="23"/>
  <c r="H90" i="23"/>
  <c r="J90" i="23" s="1"/>
  <c r="I89" i="23"/>
  <c r="J89" i="23" s="1"/>
  <c r="H89" i="23"/>
  <c r="I88" i="23"/>
  <c r="H88" i="23"/>
  <c r="I87" i="23"/>
  <c r="H87" i="23"/>
  <c r="I86" i="23"/>
  <c r="H86" i="23"/>
  <c r="I85" i="23"/>
  <c r="H85" i="23"/>
  <c r="I84" i="23"/>
  <c r="H84" i="23"/>
  <c r="I83" i="23"/>
  <c r="H83" i="23"/>
  <c r="I82" i="23"/>
  <c r="H82" i="23"/>
  <c r="I81" i="23"/>
  <c r="H81" i="23"/>
  <c r="I78" i="23"/>
  <c r="H78" i="23"/>
  <c r="I77" i="23"/>
  <c r="H77" i="23"/>
  <c r="I76" i="23"/>
  <c r="H76" i="23"/>
  <c r="J76" i="23" s="1"/>
  <c r="I75" i="23"/>
  <c r="H75" i="23"/>
  <c r="J75" i="23" s="1"/>
  <c r="I74" i="23"/>
  <c r="H74" i="23"/>
  <c r="J74" i="23" s="1"/>
  <c r="I73" i="23"/>
  <c r="H73" i="23"/>
  <c r="I72" i="23"/>
  <c r="H72" i="23"/>
  <c r="I71" i="23"/>
  <c r="H71" i="23"/>
  <c r="I70" i="23"/>
  <c r="H70" i="23"/>
  <c r="I69" i="23"/>
  <c r="H69" i="23"/>
  <c r="I68" i="23"/>
  <c r="H68" i="23"/>
  <c r="J68" i="23" s="1"/>
  <c r="I67" i="23"/>
  <c r="H67" i="23"/>
  <c r="I66" i="23"/>
  <c r="H66" i="23"/>
  <c r="I65" i="23"/>
  <c r="H65" i="23"/>
  <c r="I64" i="23"/>
  <c r="H64" i="23"/>
  <c r="I63" i="23"/>
  <c r="H63" i="23"/>
  <c r="I62" i="23"/>
  <c r="H62" i="23"/>
  <c r="I61" i="23"/>
  <c r="H61" i="23"/>
  <c r="I60" i="23"/>
  <c r="H60" i="23"/>
  <c r="J60" i="23" s="1"/>
  <c r="I59" i="23"/>
  <c r="H59" i="23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I52" i="23"/>
  <c r="H52" i="23"/>
  <c r="J52" i="23" s="1"/>
  <c r="I51" i="23"/>
  <c r="H51" i="23"/>
  <c r="I50" i="23"/>
  <c r="H50" i="23"/>
  <c r="I49" i="23"/>
  <c r="H49" i="23"/>
  <c r="I48" i="23"/>
  <c r="H48" i="23"/>
  <c r="I47" i="23"/>
  <c r="H47" i="23"/>
  <c r="I46" i="23"/>
  <c r="H46" i="23"/>
  <c r="I45" i="23"/>
  <c r="H45" i="23"/>
  <c r="I44" i="23"/>
  <c r="H44" i="23"/>
  <c r="J44" i="23" s="1"/>
  <c r="I43" i="23"/>
  <c r="J43" i="23" s="1"/>
  <c r="H43" i="23"/>
  <c r="I42" i="23"/>
  <c r="H42" i="23"/>
  <c r="I41" i="23"/>
  <c r="H41" i="23"/>
  <c r="I40" i="23"/>
  <c r="H40" i="23"/>
  <c r="I39" i="23"/>
  <c r="H39" i="23"/>
  <c r="I38" i="23"/>
  <c r="H38" i="23"/>
  <c r="I37" i="23"/>
  <c r="H37" i="23"/>
  <c r="I36" i="23"/>
  <c r="H36" i="23"/>
  <c r="J36" i="23" s="1"/>
  <c r="I35" i="23"/>
  <c r="H35" i="23"/>
  <c r="I34" i="23"/>
  <c r="H34" i="23"/>
  <c r="I33" i="23"/>
  <c r="H33" i="23"/>
  <c r="I32" i="23"/>
  <c r="H32" i="23"/>
  <c r="I31" i="23"/>
  <c r="H31" i="23"/>
  <c r="I30" i="23"/>
  <c r="H30" i="23"/>
  <c r="I29" i="23"/>
  <c r="H29" i="23"/>
  <c r="I28" i="23"/>
  <c r="H28" i="23"/>
  <c r="J28" i="23" s="1"/>
  <c r="I27" i="23"/>
  <c r="H27" i="23"/>
  <c r="I26" i="23"/>
  <c r="H26" i="23"/>
  <c r="J26" i="23" s="1"/>
  <c r="I25" i="23"/>
  <c r="H25" i="23"/>
  <c r="J25" i="23" s="1"/>
  <c r="I24" i="23"/>
  <c r="H24" i="23"/>
  <c r="I23" i="23"/>
  <c r="H23" i="23"/>
  <c r="I22" i="23"/>
  <c r="H22" i="23"/>
  <c r="I21" i="23"/>
  <c r="H21" i="23"/>
  <c r="I20" i="23"/>
  <c r="H20" i="23"/>
  <c r="J20" i="23" s="1"/>
  <c r="I19" i="23"/>
  <c r="H19" i="23"/>
  <c r="I18" i="23"/>
  <c r="H18" i="23"/>
  <c r="I17" i="23"/>
  <c r="H17" i="23"/>
  <c r="I16" i="23"/>
  <c r="H16" i="23"/>
  <c r="I15" i="23"/>
  <c r="H15" i="23"/>
  <c r="I14" i="23"/>
  <c r="H14" i="23"/>
  <c r="I13" i="23"/>
  <c r="H13" i="23"/>
  <c r="I12" i="23"/>
  <c r="H12" i="23"/>
  <c r="J12" i="23" s="1"/>
  <c r="I11" i="23"/>
  <c r="H11" i="23"/>
  <c r="I10" i="23"/>
  <c r="H10" i="23"/>
  <c r="J10" i="23" s="1"/>
  <c r="I9" i="23"/>
  <c r="H9" i="23"/>
  <c r="J9" i="23" s="1"/>
  <c r="I8" i="23"/>
  <c r="H8" i="23"/>
  <c r="I7" i="23"/>
  <c r="H7" i="23"/>
  <c r="I6" i="23"/>
  <c r="H6" i="23"/>
  <c r="I5" i="23"/>
  <c r="H5" i="23"/>
  <c r="I4" i="23"/>
  <c r="H4" i="23"/>
  <c r="J4" i="23" s="1"/>
  <c r="I3" i="23"/>
  <c r="H3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69" i="27"/>
  <c r="H69" i="27" s="1"/>
  <c r="A84" i="29"/>
  <c r="H84" i="29" s="1"/>
  <c r="A69" i="26"/>
  <c r="H69" i="26" s="1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J105" i="23" l="1"/>
  <c r="J153" i="23"/>
  <c r="M66" i="36"/>
  <c r="J138" i="23"/>
  <c r="J154" i="23"/>
  <c r="J91" i="23"/>
  <c r="J73" i="23"/>
  <c r="J139" i="23"/>
  <c r="J41" i="23"/>
  <c r="A70" i="27"/>
  <c r="A71" i="27" s="1"/>
  <c r="A95" i="25"/>
  <c r="J3" i="23"/>
  <c r="J11" i="23"/>
  <c r="J19" i="23"/>
  <c r="J27" i="23"/>
  <c r="J35" i="23"/>
  <c r="J51" i="23"/>
  <c r="J59" i="23"/>
  <c r="J67" i="23"/>
  <c r="J85" i="23"/>
  <c r="J93" i="23"/>
  <c r="J101" i="23"/>
  <c r="J109" i="23"/>
  <c r="J117" i="23"/>
  <c r="J133" i="23"/>
  <c r="J141" i="23"/>
  <c r="J149" i="23"/>
  <c r="J5" i="23"/>
  <c r="J13" i="23"/>
  <c r="J21" i="23"/>
  <c r="J29" i="23"/>
  <c r="J37" i="23"/>
  <c r="J45" i="23"/>
  <c r="J53" i="23"/>
  <c r="J61" i="23"/>
  <c r="J69" i="23"/>
  <c r="J77" i="23"/>
  <c r="J87" i="23"/>
  <c r="J95" i="23"/>
  <c r="J103" i="23"/>
  <c r="J111" i="23"/>
  <c r="J119" i="23"/>
  <c r="J127" i="23"/>
  <c r="J135" i="23"/>
  <c r="J143" i="23"/>
  <c r="J151" i="23"/>
  <c r="L63" i="35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0" i="23" s="1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M11" i="19" l="1"/>
  <c r="M35" i="19"/>
  <c r="H70" i="27"/>
  <c r="J79" i="23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F68" i="36"/>
  <c r="H68" i="36" s="1"/>
  <c r="L68" i="36" s="1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G75" i="19" s="1"/>
  <c r="K75" i="19" s="1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H76" i="19" s="1"/>
  <c r="L76" i="19" s="1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G77" i="19" s="1"/>
  <c r="K77" i="19" s="1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83" i="19"/>
  <c r="K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G69" i="19" s="1"/>
  <c r="K69" i="19" s="1"/>
  <c r="F85" i="19"/>
  <c r="F101" i="19"/>
  <c r="F117" i="19"/>
  <c r="H59" i="19"/>
  <c r="L59" i="19" s="1"/>
  <c r="H67" i="19"/>
  <c r="L67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M24" i="19"/>
  <c r="J83" i="19"/>
  <c r="J115" i="19"/>
  <c r="F72" i="19"/>
  <c r="H72" i="19" s="1"/>
  <c r="L72" i="19" s="1"/>
  <c r="F88" i="19"/>
  <c r="F104" i="19"/>
  <c r="F120" i="19"/>
  <c r="G61" i="19"/>
  <c r="K61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H75" i="19" l="1"/>
  <c r="L75" i="19" s="1"/>
  <c r="G76" i="19"/>
  <c r="K76" i="19" s="1"/>
  <c r="M83" i="19"/>
  <c r="H77" i="19"/>
  <c r="L77" i="19" s="1"/>
  <c r="G68" i="36"/>
  <c r="K68" i="36" s="1"/>
  <c r="M68" i="36" s="1"/>
  <c r="M112" i="19"/>
  <c r="M62" i="19"/>
  <c r="M100" i="19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K118" i="3" s="1"/>
  <c r="M118" i="3" s="1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L112" i="3" s="1"/>
  <c r="G112" i="3"/>
  <c r="K112" i="3" s="1"/>
  <c r="H111" i="3"/>
  <c r="L111" i="3" s="1"/>
  <c r="G111" i="3"/>
  <c r="K111" i="3" s="1"/>
  <c r="H110" i="3"/>
  <c r="L110" i="3" s="1"/>
  <c r="G110" i="3"/>
  <c r="K110" i="3" s="1"/>
  <c r="H109" i="3"/>
  <c r="L109" i="3" s="1"/>
  <c r="G109" i="3"/>
  <c r="K109" i="3" s="1"/>
  <c r="H108" i="3"/>
  <c r="L108" i="3" s="1"/>
  <c r="G108" i="3"/>
  <c r="K108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L64" i="3" s="1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K51" i="3" s="1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K43" i="3" s="1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K27" i="3" s="1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M110" i="3" l="1"/>
  <c r="H94" i="3"/>
  <c r="L94" i="3" s="1"/>
  <c r="L67" i="37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72" i="36" l="1"/>
  <c r="M132" i="3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F74" i="36"/>
  <c r="G74" i="36" s="1"/>
  <c r="K74" i="36" s="1"/>
  <c r="M74" i="36" s="1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F135" i="3"/>
  <c r="M134" i="3"/>
  <c r="M135" i="3" l="1"/>
  <c r="M75" i="36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I76" i="37"/>
  <c r="A77" i="37"/>
  <c r="J78" i="36"/>
  <c r="F78" i="36"/>
  <c r="H78" i="36"/>
  <c r="L78" i="36" s="1"/>
  <c r="G78" i="36"/>
  <c r="K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M78" i="36" l="1"/>
  <c r="L76" i="37"/>
  <c r="H103" i="39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M81" i="36" l="1"/>
  <c r="H106" i="39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M84" i="36" l="1"/>
  <c r="H109" i="39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L82" i="35" l="1"/>
  <c r="M85" i="36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M88" i="36" l="1"/>
  <c r="A114" i="39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L88" i="37" l="1"/>
  <c r="L87" i="35"/>
  <c r="M90" i="36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L94" i="37" l="1"/>
  <c r="H121" i="39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R8" i="32" l="1"/>
  <c r="A124" i="39"/>
  <c r="H123" i="39"/>
  <c r="A125" i="38"/>
  <c r="H124" i="38"/>
  <c r="K97" i="37"/>
  <c r="J97" i="37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L97" i="37" l="1"/>
  <c r="M99" i="36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L98" i="35" l="1"/>
  <c r="M101" i="36"/>
  <c r="R5" i="32"/>
  <c r="H126" i="39"/>
  <c r="A127" i="39"/>
  <c r="A128" i="38"/>
  <c r="H127" i="38"/>
  <c r="L99" i="37"/>
  <c r="K100" i="37"/>
  <c r="J100" i="37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L100" i="37" l="1"/>
  <c r="M102" i="36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M103" i="36" l="1"/>
  <c r="R3" i="32"/>
  <c r="H128" i="39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L109" i="35" l="1"/>
  <c r="A112" i="37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L112" i="35" l="1"/>
  <c r="A115" i="37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M118" i="36" l="1"/>
  <c r="A118" i="37"/>
  <c r="I117" i="37"/>
  <c r="K117" i="37"/>
  <c r="J117" i="37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L117" i="37" l="1"/>
  <c r="K118" i="37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L118" i="35" l="1"/>
  <c r="L119" i="37"/>
  <c r="A121" i="37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A172" i="28"/>
  <c r="H171" i="28"/>
  <c r="A131" i="24"/>
  <c r="H130" i="24"/>
  <c r="A152" i="25"/>
  <c r="H151" i="25"/>
  <c r="A127" i="27"/>
  <c r="H126" i="27"/>
  <c r="L120" i="35" l="1"/>
  <c r="K122" i="37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A124" i="35"/>
  <c r="I123" i="35"/>
  <c r="J123" i="35"/>
  <c r="K123" i="35"/>
  <c r="A155" i="25"/>
  <c r="H154" i="25"/>
  <c r="A134" i="24"/>
  <c r="H133" i="24"/>
  <c r="M126" i="36" l="1"/>
  <c r="K125" i="37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A139" i="24"/>
  <c r="H139" i="24" s="1"/>
  <c r="H138" i="24"/>
  <c r="A160" i="25"/>
  <c r="H159" i="25"/>
  <c r="L128" i="35" l="1"/>
  <c r="L129" i="37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<sst xmlns="http://schemas.openxmlformats.org/spreadsheetml/2006/main" count="610" uniqueCount="291">
  <si>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</si>
  <si>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</si>
  <si>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</si>
  <si>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</si>
  <si>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</si>
  <si>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</si>
  <si>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</si>
  <si>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</si>
  <si>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</si>
  <si>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</si>
  <si>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</si>
  <si>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</si>
  <si>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</si>
  <si>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</si>
  <si>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</si>
  <si>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</si>
  <si>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</si>
  <si>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</si>
  <si>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</si>
  <si>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</si>
  <si>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</si>
  <si>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</si>
  <si>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</si>
  <si>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</si>
  <si>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</si>
  <si>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</si>
  <si>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</si>
  <si>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</si>
  <si>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</si>
  <si>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</si>
  <si>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</si>
  <si>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</si>
  <si>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</si>
  <si>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</si>
  <si>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</si>
  <si>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</si>
  <si>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</si>
  <si>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</si>
  <si>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</si>
  <si>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</si>
  <si>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</si>
  <si>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</si>
  <si>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</si>
  <si>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</si>
  <si>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</si>
  <si>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</si>
  <si>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</si>
  <si>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</si>
  <si>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</si>
  <si>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</si>
  <si>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</si>
  <si>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</si>
  <si>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</si>
  <si>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</si>
  <si>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</si>
  <si>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</si>
  <si>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</si>
  <si>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</si>
  <si>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</si>
  <si>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</si>
  <si>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</si>
  <si>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</si>
  <si>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</si>
  <si>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</si>
  <si>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</si>
  <si>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</si>
  <si>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</si>
  <si>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</si>
  <si>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</si>
  <si>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</si>
  <si>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</si>
  <si>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</si>
  <si>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</si>
  <si>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</si>
  <si>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</si>
  <si>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</si>
  <si>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</si>
  <si>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</si>
  <si>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</si>
  <si>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</si>
  <si>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</si>
  <si>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</si>
  <si>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</si>
  <si>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</si>
  <si>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</si>
  <si>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</si>
  <si>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</si>
  <si>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</si>
  <si>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</si>
  <si>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</si>
  <si>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</si>
  <si>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</si>
  <si>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</si>
  <si>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</si>
  <si>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</si>
  <si>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</si>
  <si>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</si>
  <si>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</si>
  <si>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</si>
  <si>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</si>
  <si>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</si>
  <si>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</si>
  <si>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</si>
  <si>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</si>
  <si>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</si>
  <si>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</si>
  <si>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</si>
  <si>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</si>
  <si>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</si>
  <si>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</si>
  <si>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</si>
  <si>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</si>
  <si>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</si>
  <si>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</si>
  <si>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</si>
  <si>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</si>
  <si>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</si>
  <si>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</si>
  <si>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</si>
  <si>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</si>
  <si>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</si>
  <si>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</si>
  <si>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</si>
  <si>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</si>
  <si>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</si>
  <si>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</si>
  <si>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</si>
  <si>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</si>
  <si>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</si>
  <si>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</si>
  <si>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</si>
  <si>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</si>
  <si>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</si>
  <si>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</si>
  <si>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</si>
  <si>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</si>
  <si>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</si>
  <si>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</si>
  <si>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</si>
  <si>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</si>
  <si>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</si>
  <si>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</si>
  <si>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</si>
  <si>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</si>
  <si>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</si>
  <si>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</si>
  <si>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</si>
  <si>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</si>
  <si>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</si>
  <si>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</si>
  <si>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</si>
  <si>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</si>
  <si>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</si>
  <si>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</si>
  <si>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</si>
  <si>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</si>
  <si>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</si>
  <si>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</si>
  <si>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</si>
  <si>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</si>
  <si>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</si>
  <si>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</si>
  <si>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</si>
  <si>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</si>
  <si>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</si>
  <si>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</si>
  <si>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</si>
  <si>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</si>
  <si>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</si>
  <si>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</si>
  <si>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</si>
  <si>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</si>
  <si>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</si>
  <si>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</si>
  <si>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</si>
  <si>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</si>
  <si>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</si>
  <si>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</si>
  <si>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</si>
  <si>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</si>
  <si>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</si>
  <si>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</si>
  <si>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</si>
  <si>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</si>
  <si>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</si>
  <si>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</si>
  <si>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</si>
  <si>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</si>
  <si>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</si>
  <si>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</si>
  <si>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</si>
  <si>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</si>
  <si>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</si>
  <si>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</si>
  <si>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</si>
  <si>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</si>
  <si>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</si>
  <si>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</si>
  <si>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</si>
  <si>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</si>
  <si>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</si>
  <si>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</si>
  <si>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</si>
  <si>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</si>
  <si>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</si>
  <si>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</si>
  <si>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</si>
  <si>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</si>
  <si>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</si>
  <si>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</si>
  <si>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</si>
  <si>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</si>
  <si>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</si>
  <si>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</si>
  <si>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</si>
  <si>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</si>
  <si>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</si>
  <si>
    <t>Колвер-р</t>
  </si>
  <si>
    <t>Колвер-c</t>
  </si>
  <si>
    <t>Колвер-еп</t>
  </si>
  <si>
    <t>Бриньоли-р</t>
  </si>
  <si>
    <t>Бриньоли-c</t>
  </si>
  <si>
    <t>Бриньоли-еп</t>
  </si>
  <si>
    <t>WPP-р</t>
  </si>
  <si>
    <t>WPP-c</t>
  </si>
  <si>
    <t>WPP-еп</t>
  </si>
  <si>
    <t>SALA1974-оп</t>
  </si>
  <si>
    <t>SALA1974-чн</t>
  </si>
  <si>
    <t>с-корр</t>
  </si>
  <si>
    <t>Всплеск смертности и спал рождаемости в Сальвадоре 1910-х гг. вероятно связаны с сочетанием</t>
  </si>
  <si>
    <t>испанского гриппа 1918 года и вулканической катастрофы 1917 года.</t>
  </si>
  <si>
    <t xml:space="preserve">уже в августе в Сан-Мигеле сообщалось о тысячах заболевших, к сентябрю болезнь затронула Сан-Сальвадор, </t>
  </si>
  <si>
    <t xml:space="preserve">а к 19 сентября была отмечена как распространившаяся по всей стране. </t>
  </si>
  <si>
    <t>Общее число умерших тогда, по-видимому, не было аккуратно подведено.</t>
  </si>
  <si>
    <t xml:space="preserve">Но одна эта катастрофа, вероятно, слишком локальна и кратковременна, чтобы объяснить весь пятилетний скачок смертности 1915–1919; </t>
  </si>
  <si>
    <t>грипп и сопутствующие эпидемические/санитарные последствия выглядят более сильным общенациональным фактором.</t>
  </si>
  <si>
    <t xml:space="preserve">Главный вклад в смертность дал грипп 1918 года, дополнительный — землетрясение и извержение 1917 года, </t>
  </si>
  <si>
    <t>а падение рождаемости отражает обычную для кризисов реакцию через откладывание браков и рождений.</t>
  </si>
  <si>
    <t xml:space="preserve">Извержение вулкана Сан-Сальвадор (Эль-Бокерон) в 1917 году стало событием, принесшим огромные разрушения Сальвадору. </t>
  </si>
  <si>
    <t xml:space="preserve">Спровоцированное серией мощных землетрясений, это извержение и вызванная им сейсмическая активность превратили столицу </t>
  </si>
  <si>
    <t>и окрестные города в руины, привели к испарению озера в вершинном кратере и открыли новые жерла, извергающие лаву.</t>
  </si>
  <si>
    <t xml:space="preserve">принесли прямые смерти и, что не менее важно, ухудшили санитарные условия и уязвимость населения. </t>
  </si>
  <si>
    <t xml:space="preserve">Испанский грипп распространился по стране примерно с августа по ноябрь 1918 года; </t>
  </si>
  <si>
    <t>Землетрясения, извержение, разрушения, пожары, повреждение водоснабжения, лава и пепел</t>
  </si>
  <si>
    <t>Главные события:</t>
  </si>
  <si>
    <t>1. Разрушительные землетрясения 1917–1918 гг.</t>
  </si>
  <si>
    <t xml:space="preserve">В декабре 1917 и январе 1918 была фактически разрушена Гватемала-сити. </t>
  </si>
  <si>
    <t xml:space="preserve">Современный отчёт Marshall H. Saville в Geographical Review прямо пишет, что город был “practically destroyed”; </t>
  </si>
  <si>
    <t xml:space="preserve">серия толчков началась ещё 17 ноября 1917, затем были сильные удары в рождественские дни, 3 января и 24 января 1918. </t>
  </si>
  <si>
    <t>К февралю, по оценке автора, около 40 тыс. человек покинули город, а почти все дома в городе и окрестностях были повреждены.</t>
  </si>
  <si>
    <t>https://archive.org/download/guatemalaearthqu00savirich/guatemalaearthqu00savirich.pdf</t>
  </si>
  <si>
    <t>2. Испанский грипп 1918–1919 гг.</t>
  </si>
  <si>
    <t xml:space="preserve">Это, вероятно, главный источник сверхсмертности. Richard N. Adams разбирает гватемальскую эпидемию по газетам и местным записям: </t>
  </si>
  <si>
    <t xml:space="preserve">официальный отчёт Министерства дал 325,220 случаев и 43,731 смертей, </t>
  </si>
  <si>
    <t xml:space="preserve">но Adams считает, что реальное число смертей могло быть существенно выше — примерно 75,000–150,000. </t>
  </si>
  <si>
    <t xml:space="preserve">Он также показывает, что местные данные могли резко занижаться: например, по San Marcos в подробных регистрах было не менее 4,000 смертей от инфлюэнцы, </t>
  </si>
  <si>
    <t>тогда как министерский отчёт давал только 1,152.</t>
  </si>
  <si>
    <t>https://dialnet.unirioja.es/descarga/articulo/2412876.pdf</t>
  </si>
  <si>
    <t>3. Жёлтая лихорадка в 1918 г. — но это второстепенно.</t>
  </si>
  <si>
    <t xml:space="preserve">Rockefeller Foundation сообщает об эпидемии жёлтой лихорадки в Гватемале с июня 1918 г.; </t>
  </si>
  <si>
    <t xml:space="preserve">она охватила 17 населённых пунктов западного побережья, было зарегистрировано 550 случаев и 200 смертей. </t>
  </si>
  <si>
    <t xml:space="preserve">Это реальное событие, но по масштабу оно слишком мало, чтобы объяснить национальный скачок смертности; </t>
  </si>
  <si>
    <t>скорее оно добавило небольшой вклад к общему санитарному кризису.</t>
  </si>
  <si>
    <t xml:space="preserve">Всплеск смертности в 1915–1919 почти наверняка вызван прежде всего испанским гриппом, усиленным разрушениями и дезорганизацией после землетрясений 1917–1918 гг. </t>
  </si>
  <si>
    <t xml:space="preserve">Падение рождаемости — кризисная реакция: болезни, смерти, перемещения, разрушение жилья, нарушение брачности и хозяйственной жизни. </t>
  </si>
  <si>
    <t>Быстрый отскок рождаемости в 1920–1924 хорошо подтверждает, что это был временный кризис, а не устойчивый переход рождаемости вниз.</t>
  </si>
  <si>
    <t>Сочетание нескольких событий вызвали кризисный всплеск смертности в 1915-1919 годах,</t>
  </si>
  <si>
    <t>который годичная интерполяция без настройки превращает в пик около 1917–1918 гг.</t>
  </si>
  <si>
    <t>Спад рождаемости в 1930-х вызван экономическим циклом.</t>
  </si>
  <si>
    <t xml:space="preserve">Колвер сам прямо пишет, что в 1930 г. ударила экономическая депрессия, и что её воздействие зависело от зависимости страны от внешних рынков и притока иностранного капитала. </t>
  </si>
  <si>
    <t xml:space="preserve">Он специально называет Чили, Гватемалу и Венесуэлу как страны, где CBR снизился примерно на 3‰ между 1925–1929 и 1930–1934, и добавляет, </t>
  </si>
  <si>
    <t>что часть провала объясняется откладыванием браков, а также безработицей и нарушением нормальной семейной жизни.</t>
  </si>
  <si>
    <t>https://www.milbank.org/wp-content/uploads/mq/volume-46/issue-03/46-3-part-2-Current-Trends-and-Differentials-in-Fertility-as-Revealed-by-Offical-Data.pdf</t>
  </si>
  <si>
    <t xml:space="preserve">Для Гватемалы это особенно правдоподобно: её экспортный сектор был почти полностью завязан на кофе и бананы, причём кофе давал около 77% экспортной выручки, бананы — около 13%; </t>
  </si>
  <si>
    <t xml:space="preserve">такая структура делала страну очень уязвимой к мировому кризису. </t>
  </si>
  <si>
    <t>https://www.cambridge.org/core/books/cambridge-history-of-latin-america/guatemala-since-1930/C6BEAE3D81431A0DCB557ED39D87A6D3</t>
  </si>
  <si>
    <t xml:space="preserve">Госдеповский исторический очерк формулирует ещё сильнее: к началу Великой депрессии экономика Гватемалы “nearly collapsed”; </t>
  </si>
  <si>
    <t>банкротства и безработица росли, а в 1931 г. элиты привели к власти Убико для восстановления порядка и экономической стабильности.</t>
  </si>
  <si>
    <t>https://history.state.gov/historicaldocuments/frus1952-54Guat/intro</t>
  </si>
  <si>
    <t xml:space="preserve">Важно: это не демографический переход вниз. Колвер прямо делает общий вывод, что в большинстве латиноамериканских стран после 1930 г. </t>
  </si>
  <si>
    <t xml:space="preserve">преобладающая тенденция рождаемости была скорее восходящей, а колебания рождаемости отвечали на изменения экономических и социальных условий; </t>
  </si>
  <si>
    <t>при улучшении условий рождаемость обычно росла.</t>
  </si>
  <si>
    <t>Поэтому схема выглядит так:</t>
  </si>
  <si>
    <t>1930-е: депрессия → падение доходов, безработица, социальная неуверенность → откладывание браков и рождений → падение CBR.</t>
  </si>
  <si>
    <t>1940-е: стабилизация экономики, восстановление экспортной конъюнктуры, затем послевоенный подъём → брачность и рождаемость возвращаются вверх.</t>
  </si>
  <si>
    <t>1910-е — провал от чрезвычайного кризиса: землетрясения + испанский грипп + дезорганизация.</t>
  </si>
  <si>
    <t>1920-е — восстановление и частичный компенсаторный отскок.</t>
  </si>
  <si>
    <t>1930-е — новый провал, но уже от Великой депрессии.</t>
  </si>
  <si>
    <t>Широко сглаженная базовая кривая, в которой 1915–1924 и 1930-е имеют малый вес.</t>
  </si>
  <si>
    <t>Намечена, но пока не построена.</t>
  </si>
  <si>
    <t>1940-е и 1950-е — восстановление/подъём на фоне экономической стабилизации и улучшения условий, а не собственно “послевоенный baby boom” в европейско-американском смысле.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</si>
</sst>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166" fontId="0" fillId="0" borderId="0" xfId="0" applyNumberFormat="1"/>
    <xf numFmtId="0" fontId="1" fillId="0" borderId="0" xfId="0" applyFon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Пока не сделано: Гватемала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(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Колвер</a:t>
            </a: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+ WPP)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 тренд без кризиса 1910-х</a:t>
            </a:r>
            <a:endParaRPr lang="de-DE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'Гватемала-без-кризиса'!$B$1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99-4376-BDB9-239E79B86513}"/>
            </c:ext>
          </c:extLst>
        </c:ser>
        <c:ser>
          <c:idx val="1"/>
          <c:order val="1"/>
          <c:tx>
            <c:strRef>
              <c:f>'Гватемала-без-кризиса'!$C$1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99-4376-BDB9-239E79B86513}"/>
            </c:ext>
          </c:extLst>
        </c:ser>
        <c:ser>
          <c:idx val="2"/>
          <c:order val="2"/>
          <c:tx>
            <c:strRef>
              <c:f>'Гватемала-без-кризиса'!$D$1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'Гватемала-без-кризиса'!$A$2:$A$125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'Гватемала-без-кризиса'!$D$2:$D$125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99-4376-BDB9-239E79B86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032287"/>
        <c:axId val="1627030367"/>
      </c:scatterChart>
      <c:valAx>
        <c:axId val="1627032287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0367"/>
        <c:crosses val="autoZero"/>
        <c:crossBetween val="midCat"/>
        <c:majorUnit val="10"/>
      </c:valAx>
      <c:valAx>
        <c:axId val="1627030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032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- все</a:t>
            </a:r>
            <a:r>
              <a:rPr lang="ru-RU" baseline="0"/>
              <a:t> линии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'Куба-все'!$B$1</c:f>
              <c:strCache>
                <c:ptCount val="1"/>
                <c:pt idx="0">
                  <c:v>Колвер-р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ED-4DE5-B02F-9F917AE86C33}"/>
            </c:ext>
          </c:extLst>
        </c:ser>
        <c:ser>
          <c:idx val="1"/>
          <c:order val="1"/>
          <c:tx>
            <c:strRef>
              <c:f>'Куба-все'!$C$1</c:f>
              <c:strCache>
                <c:ptCount val="1"/>
                <c:pt idx="0">
                  <c:v>Колвер-c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5ED-4DE5-B02F-9F917AE86C33}"/>
            </c:ext>
          </c:extLst>
        </c:ser>
        <c:ser>
          <c:idx val="2"/>
          <c:order val="2"/>
          <c:tx>
            <c:strRef>
              <c:f>'Куба-все'!$D$1</c:f>
              <c:strCache>
                <c:ptCount val="1"/>
                <c:pt idx="0">
                  <c:v>Колвер-еп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5ED-4DE5-B02F-9F917AE86C33}"/>
            </c:ext>
          </c:extLst>
        </c:ser>
        <c:ser>
          <c:idx val="3"/>
          <c:order val="3"/>
          <c:tx>
            <c:strRef>
              <c:f>'Куба-все'!$E$1</c:f>
              <c:strCache>
                <c:ptCount val="1"/>
                <c:pt idx="0">
                  <c:v>Бриньоли-р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'Куба-все'!$E$2:$E$125</c:f>
              <c:numCache>
                <c:formatCode>General</c:formatCode>
                <c:ptCount val="124"/>
                <c:pt idx="2" formatCode="0.00">
                  <c:v>44.7</c:v>
                </c:pt>
                <c:pt idx="3" formatCode="0.00">
                  <c:v>45.528799999999997</c:v>
                </c:pt>
                <c:pt idx="4" formatCode="0.00">
                  <c:v>46.290399999999998</c:v>
                </c:pt>
                <c:pt idx="5" formatCode="0.00">
                  <c:v>46.9176</c:v>
                </c:pt>
                <c:pt idx="6" formatCode="0.00">
                  <c:v>47.343200000000003</c:v>
                </c:pt>
                <c:pt idx="7" formatCode="0.00">
                  <c:v>47.5</c:v>
                </c:pt>
                <c:pt idx="8" formatCode="0.00">
                  <c:v>47.331400000000002</c:v>
                </c:pt>
                <c:pt idx="9" formatCode="0.00">
                  <c:v>46.890300000000003</c:v>
                </c:pt>
                <c:pt idx="10" formatCode="0.00">
                  <c:v>46.273400000000002</c:v>
                </c:pt>
                <c:pt idx="11" formatCode="0.00">
                  <c:v>45.5777</c:v>
                </c:pt>
                <c:pt idx="12" formatCode="0.00">
                  <c:v>44.9</c:v>
                </c:pt>
                <c:pt idx="13" formatCode="0.00">
                  <c:v>44.195900000000002</c:v>
                </c:pt>
                <c:pt idx="14" formatCode="0.00">
                  <c:v>43.387300000000003</c:v>
                </c:pt>
                <c:pt idx="15" formatCode="0.00">
                  <c:v>42.520800000000001</c:v>
                </c:pt>
                <c:pt idx="16" formatCode="0.00">
                  <c:v>41.642899999999997</c:v>
                </c:pt>
                <c:pt idx="17" formatCode="0.00">
                  <c:v>40.799999999999997</c:v>
                </c:pt>
                <c:pt idx="18" formatCode="0.00">
                  <c:v>39.992100000000001</c:v>
                </c:pt>
                <c:pt idx="19" formatCode="0.00">
                  <c:v>39.188000000000002</c:v>
                </c:pt>
                <c:pt idx="20" formatCode="0.00">
                  <c:v>38.387999999999998</c:v>
                </c:pt>
                <c:pt idx="21" formatCode="0.00">
                  <c:v>37.591900000000003</c:v>
                </c:pt>
                <c:pt idx="22" formatCode="0.00">
                  <c:v>36.799999999999997</c:v>
                </c:pt>
                <c:pt idx="23" formatCode="0.00">
                  <c:v>35.961500000000001</c:v>
                </c:pt>
                <c:pt idx="24" formatCode="0.00">
                  <c:v>35.076300000000003</c:v>
                </c:pt>
                <c:pt idx="25" formatCode="0.00">
                  <c:v>34.220399999999998</c:v>
                </c:pt>
                <c:pt idx="26" formatCode="0.00">
                  <c:v>33.469700000000003</c:v>
                </c:pt>
                <c:pt idx="27" formatCode="0.00">
                  <c:v>32.9</c:v>
                </c:pt>
                <c:pt idx="28" formatCode="0.00">
                  <c:v>32.459299999999999</c:v>
                </c:pt>
                <c:pt idx="29" formatCode="0.00">
                  <c:v>32.058599999999998</c:v>
                </c:pt>
                <c:pt idx="30" formatCode="0.00">
                  <c:v>31.7181</c:v>
                </c:pt>
                <c:pt idx="31" formatCode="0.00">
                  <c:v>31.458500000000001</c:v>
                </c:pt>
                <c:pt idx="32" formatCode="0.00">
                  <c:v>31.3</c:v>
                </c:pt>
                <c:pt idx="33" formatCode="0.00">
                  <c:v>31.2041</c:v>
                </c:pt>
                <c:pt idx="34" formatCode="0.00">
                  <c:v>31.121600000000001</c:v>
                </c:pt>
                <c:pt idx="35" formatCode="0.00">
                  <c:v>31.057099999999998</c:v>
                </c:pt>
                <c:pt idx="36" formatCode="0.00">
                  <c:v>31.015000000000001</c:v>
                </c:pt>
                <c:pt idx="37" formatCode="0.00">
                  <c:v>31</c:v>
                </c:pt>
                <c:pt idx="38" formatCode="0.00">
                  <c:v>31.103999999999999</c:v>
                </c:pt>
                <c:pt idx="39" formatCode="0.00">
                  <c:v>31.352</c:v>
                </c:pt>
                <c:pt idx="40" formatCode="0.00">
                  <c:v>31.648</c:v>
                </c:pt>
                <c:pt idx="41" formatCode="0.00">
                  <c:v>31.896000000000001</c:v>
                </c:pt>
                <c:pt idx="42" formatCode="0.00">
                  <c:v>32</c:v>
                </c:pt>
                <c:pt idx="43" formatCode="0.00">
                  <c:v>31.798400000000001</c:v>
                </c:pt>
                <c:pt idx="44" formatCode="0.00">
                  <c:v>31.311199999999999</c:v>
                </c:pt>
                <c:pt idx="45" formatCode="0.00">
                  <c:v>30.7148</c:v>
                </c:pt>
                <c:pt idx="46" formatCode="0.00">
                  <c:v>30.185600000000001</c:v>
                </c:pt>
                <c:pt idx="47" formatCode="0.00">
                  <c:v>29.9</c:v>
                </c:pt>
                <c:pt idx="48" formatCode="0.00">
                  <c:v>29.8186</c:v>
                </c:pt>
                <c:pt idx="49" formatCode="0.00">
                  <c:v>29.7698</c:v>
                </c:pt>
                <c:pt idx="50" formatCode="0.00">
                  <c:v>29.7316</c:v>
                </c:pt>
                <c:pt idx="51" formatCode="0.00">
                  <c:v>29.682300000000001</c:v>
                </c:pt>
                <c:pt idx="52" formatCode="0.00">
                  <c:v>29.6</c:v>
                </c:pt>
                <c:pt idx="53" formatCode="0.00">
                  <c:v>29.292899999999999</c:v>
                </c:pt>
                <c:pt idx="54" formatCode="0.00">
                  <c:v>28.713999999999999</c:v>
                </c:pt>
                <c:pt idx="55" formatCode="0.00">
                  <c:v>28.058599999999998</c:v>
                </c:pt>
                <c:pt idx="56" formatCode="0.00">
                  <c:v>27.522200000000002</c:v>
                </c:pt>
                <c:pt idx="57" formatCode="0.00">
                  <c:v>27.3</c:v>
                </c:pt>
                <c:pt idx="58" formatCode="0.00">
                  <c:v>28.007200000000001</c:v>
                </c:pt>
                <c:pt idx="59" formatCode="0.00">
                  <c:v>29.6936</c:v>
                </c:pt>
                <c:pt idx="60" formatCode="0.00">
                  <c:v>31.706399999999999</c:v>
                </c:pt>
                <c:pt idx="61" formatCode="0.00">
                  <c:v>33.392800000000001</c:v>
                </c:pt>
                <c:pt idx="62" formatCode="0.00">
                  <c:v>34.1</c:v>
                </c:pt>
                <c:pt idx="63" formatCode="0.00">
                  <c:v>34.010399999999997</c:v>
                </c:pt>
                <c:pt idx="64" formatCode="0.00">
                  <c:v>33.767200000000003</c:v>
                </c:pt>
                <c:pt idx="65" formatCode="0.00">
                  <c:v>33.408799999999999</c:v>
                </c:pt>
                <c:pt idx="66" formatCode="0.00">
                  <c:v>32.973599999999998</c:v>
                </c:pt>
                <c:pt idx="67" formatCode="0.00">
                  <c:v>32.5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5ED-4DE5-B02F-9F917AE86C33}"/>
            </c:ext>
          </c:extLst>
        </c:ser>
        <c:ser>
          <c:idx val="4"/>
          <c:order val="4"/>
          <c:tx>
            <c:strRef>
              <c:f>'Куба-все'!$F$1</c:f>
              <c:strCache>
                <c:ptCount val="1"/>
                <c:pt idx="0">
                  <c:v>Бриньоли-c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'Куба-все'!$F$2:$F$125</c:f>
              <c:numCache>
                <c:formatCode>General</c:formatCode>
                <c:ptCount val="124"/>
                <c:pt idx="2" formatCode="0.00">
                  <c:v>23.7</c:v>
                </c:pt>
                <c:pt idx="3" formatCode="0.00">
                  <c:v>23.661300000000001</c:v>
                </c:pt>
                <c:pt idx="4" formatCode="0.00">
                  <c:v>23.6173</c:v>
                </c:pt>
                <c:pt idx="5" formatCode="0.00">
                  <c:v>23.5626</c:v>
                </c:pt>
                <c:pt idx="6" formatCode="0.00">
                  <c:v>23.491900000000001</c:v>
                </c:pt>
                <c:pt idx="7" formatCode="0.00">
                  <c:v>23.4</c:v>
                </c:pt>
                <c:pt idx="8" formatCode="0.00">
                  <c:v>23.1252</c:v>
                </c:pt>
                <c:pt idx="9" formatCode="0.00">
                  <c:v>22.620899999999999</c:v>
                </c:pt>
                <c:pt idx="10" formatCode="0.00">
                  <c:v>22.053899999999999</c:v>
                </c:pt>
                <c:pt idx="11" formatCode="0.00">
                  <c:v>21.5913</c:v>
                </c:pt>
                <c:pt idx="12" formatCode="0.00">
                  <c:v>21.4</c:v>
                </c:pt>
                <c:pt idx="13" formatCode="0.00">
                  <c:v>21.493600000000001</c:v>
                </c:pt>
                <c:pt idx="14" formatCode="0.00">
                  <c:v>21.716799999999999</c:v>
                </c:pt>
                <c:pt idx="15" formatCode="0.00">
                  <c:v>21.9832</c:v>
                </c:pt>
                <c:pt idx="16" formatCode="0.00">
                  <c:v>22.206399999999999</c:v>
                </c:pt>
                <c:pt idx="17" formatCode="0.00">
                  <c:v>22.3</c:v>
                </c:pt>
                <c:pt idx="18" formatCode="0.00">
                  <c:v>22.0989</c:v>
                </c:pt>
                <c:pt idx="19" formatCode="0.00">
                  <c:v>21.576599999999999</c:v>
                </c:pt>
                <c:pt idx="20" formatCode="0.00">
                  <c:v>20.854900000000001</c:v>
                </c:pt>
                <c:pt idx="21" formatCode="0.00">
                  <c:v>20.055499999999999</c:v>
                </c:pt>
                <c:pt idx="22" formatCode="0.00">
                  <c:v>19.3</c:v>
                </c:pt>
                <c:pt idx="23" formatCode="0.00">
                  <c:v>18.513200000000001</c:v>
                </c:pt>
                <c:pt idx="24" formatCode="0.00">
                  <c:v>17.607199999999999</c:v>
                </c:pt>
                <c:pt idx="25" formatCode="0.00">
                  <c:v>16.6845</c:v>
                </c:pt>
                <c:pt idx="26" formatCode="0.00">
                  <c:v>15.847899999999999</c:v>
                </c:pt>
                <c:pt idx="27" formatCode="0.00">
                  <c:v>15.2</c:v>
                </c:pt>
                <c:pt idx="28" formatCode="0.00">
                  <c:v>14.695399999999999</c:v>
                </c:pt>
                <c:pt idx="29" formatCode="0.00">
                  <c:v>14.2333</c:v>
                </c:pt>
                <c:pt idx="30" formatCode="0.00">
                  <c:v>13.833500000000001</c:v>
                </c:pt>
                <c:pt idx="31" formatCode="0.00">
                  <c:v>13.5158</c:v>
                </c:pt>
                <c:pt idx="32" formatCode="0.00">
                  <c:v>13.3</c:v>
                </c:pt>
                <c:pt idx="33" formatCode="0.00">
                  <c:v>13.172000000000001</c:v>
                </c:pt>
                <c:pt idx="34" formatCode="0.00">
                  <c:v>13.086</c:v>
                </c:pt>
                <c:pt idx="35" formatCode="0.00">
                  <c:v>13.013999999999999</c:v>
                </c:pt>
                <c:pt idx="36" formatCode="0.00">
                  <c:v>12.928000000000001</c:v>
                </c:pt>
                <c:pt idx="37" formatCode="0.00">
                  <c:v>12.8</c:v>
                </c:pt>
                <c:pt idx="38" formatCode="0.00">
                  <c:v>12.5663</c:v>
                </c:pt>
                <c:pt idx="39" formatCode="0.00">
                  <c:v>12.212899999999999</c:v>
                </c:pt>
                <c:pt idx="40" formatCode="0.00">
                  <c:v>11.7864</c:v>
                </c:pt>
                <c:pt idx="41" formatCode="0.00">
                  <c:v>11.333299999999999</c:v>
                </c:pt>
                <c:pt idx="42" formatCode="0.00">
                  <c:v>10.9</c:v>
                </c:pt>
                <c:pt idx="43" formatCode="0.00">
                  <c:v>10.4625</c:v>
                </c:pt>
                <c:pt idx="44" formatCode="0.00">
                  <c:v>9.9888999999999992</c:v>
                </c:pt>
                <c:pt idx="45" formatCode="0.00">
                  <c:v>9.5139999999999993</c:v>
                </c:pt>
                <c:pt idx="46" formatCode="0.00">
                  <c:v>9.0726999999999993</c:v>
                </c:pt>
                <c:pt idx="47" formatCode="0.00">
                  <c:v>8.6999999999999993</c:v>
                </c:pt>
                <c:pt idx="48" formatCode="0.00">
                  <c:v>8.3666999999999998</c:v>
                </c:pt>
                <c:pt idx="49" formatCode="0.00">
                  <c:v>8.0403000000000002</c:v>
                </c:pt>
                <c:pt idx="50" formatCode="0.00">
                  <c:v>7.7506000000000004</c:v>
                </c:pt>
                <c:pt idx="51" formatCode="0.00">
                  <c:v>7.5273000000000003</c:v>
                </c:pt>
                <c:pt idx="52" formatCode="0.00">
                  <c:v>7.4</c:v>
                </c:pt>
                <c:pt idx="53" formatCode="0.00">
                  <c:v>7.3348000000000004</c:v>
                </c:pt>
                <c:pt idx="54" formatCode="0.00">
                  <c:v>7.2797000000000001</c:v>
                </c:pt>
                <c:pt idx="55" formatCode="0.00">
                  <c:v>7.2370999999999999</c:v>
                </c:pt>
                <c:pt idx="56" formatCode="0.00">
                  <c:v>7.2096999999999998</c:v>
                </c:pt>
                <c:pt idx="57" formatCode="0.00">
                  <c:v>7.2</c:v>
                </c:pt>
                <c:pt idx="58" formatCode="0.00">
                  <c:v>7.2103999999999999</c:v>
                </c:pt>
                <c:pt idx="59" formatCode="0.00">
                  <c:v>7.2351999999999999</c:v>
                </c:pt>
                <c:pt idx="60" formatCode="0.00">
                  <c:v>7.2648000000000001</c:v>
                </c:pt>
                <c:pt idx="61" formatCode="0.00">
                  <c:v>7.2896000000000001</c:v>
                </c:pt>
                <c:pt idx="62" formatCode="0.00">
                  <c:v>7.3</c:v>
                </c:pt>
                <c:pt idx="63" formatCode="0.00">
                  <c:v>7.2888000000000002</c:v>
                </c:pt>
                <c:pt idx="64" formatCode="0.00">
                  <c:v>7.2584</c:v>
                </c:pt>
                <c:pt idx="65" formatCode="0.00">
                  <c:v>7.2135999999999996</c:v>
                </c:pt>
                <c:pt idx="66" formatCode="0.00">
                  <c:v>7.1592000000000002</c:v>
                </c:pt>
                <c:pt idx="67" formatCode="0.00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5ED-4DE5-B02F-9F917AE86C33}"/>
            </c:ext>
          </c:extLst>
        </c:ser>
        <c:ser>
          <c:idx val="5"/>
          <c:order val="5"/>
          <c:tx>
            <c:strRef>
              <c:f>'Куба-все'!$G$1</c:f>
              <c:strCache>
                <c:ptCount val="1"/>
                <c:pt idx="0">
                  <c:v>Бриньоли-еп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'Куба-все'!$G$2:$G$125</c:f>
              <c:numCache>
                <c:formatCode>General</c:formatCode>
                <c:ptCount val="124"/>
                <c:pt idx="2" formatCode="0.00">
                  <c:v>21.000000000000004</c:v>
                </c:pt>
                <c:pt idx="3" formatCode="0.00">
                  <c:v>21.867499999999996</c:v>
                </c:pt>
                <c:pt idx="4" formatCode="0.00">
                  <c:v>22.673099999999998</c:v>
                </c:pt>
                <c:pt idx="5" formatCode="0.00">
                  <c:v>23.355</c:v>
                </c:pt>
                <c:pt idx="6" formatCode="0.00">
                  <c:v>23.851300000000002</c:v>
                </c:pt>
                <c:pt idx="7" formatCode="0.00">
                  <c:v>24.1</c:v>
                </c:pt>
                <c:pt idx="8" formatCode="0.00">
                  <c:v>24.206200000000003</c:v>
                </c:pt>
                <c:pt idx="9" formatCode="0.00">
                  <c:v>24.269400000000005</c:v>
                </c:pt>
                <c:pt idx="10" formatCode="0.00">
                  <c:v>24.219500000000004</c:v>
                </c:pt>
                <c:pt idx="11" formatCode="0.00">
                  <c:v>23.9864</c:v>
                </c:pt>
                <c:pt idx="12" formatCode="0.00">
                  <c:v>23.5</c:v>
                </c:pt>
                <c:pt idx="13" formatCode="0.00">
                  <c:v>22.702300000000001</c:v>
                </c:pt>
                <c:pt idx="14" formatCode="0.00">
                  <c:v>21.670500000000004</c:v>
                </c:pt>
                <c:pt idx="15" formatCode="0.00">
                  <c:v>20.537600000000001</c:v>
                </c:pt>
                <c:pt idx="16" formatCode="0.00">
                  <c:v>19.436499999999999</c:v>
                </c:pt>
                <c:pt idx="17" formatCode="0.00">
                  <c:v>18.499999999999996</c:v>
                </c:pt>
                <c:pt idx="18" formatCode="0.00">
                  <c:v>17.8932</c:v>
                </c:pt>
                <c:pt idx="19" formatCode="0.00">
                  <c:v>17.611400000000003</c:v>
                </c:pt>
                <c:pt idx="20" formatCode="0.00">
                  <c:v>17.533099999999997</c:v>
                </c:pt>
                <c:pt idx="21" formatCode="0.00">
                  <c:v>17.536400000000004</c:v>
                </c:pt>
                <c:pt idx="22" formatCode="0.00">
                  <c:v>17.499999999999996</c:v>
                </c:pt>
                <c:pt idx="23" formatCode="0.00">
                  <c:v>17.4483</c:v>
                </c:pt>
                <c:pt idx="24" formatCode="0.00">
                  <c:v>17.469100000000005</c:v>
                </c:pt>
                <c:pt idx="25" formatCode="0.00">
                  <c:v>17.535899999999998</c:v>
                </c:pt>
                <c:pt idx="26" formatCode="0.00">
                  <c:v>17.621800000000004</c:v>
                </c:pt>
                <c:pt idx="27" formatCode="0.00">
                  <c:v>17.7</c:v>
                </c:pt>
                <c:pt idx="28" formatCode="0.00">
                  <c:v>17.7639</c:v>
                </c:pt>
                <c:pt idx="29" formatCode="0.00">
                  <c:v>17.825299999999999</c:v>
                </c:pt>
                <c:pt idx="30" formatCode="0.00">
                  <c:v>17.884599999999999</c:v>
                </c:pt>
                <c:pt idx="31" formatCode="0.00">
                  <c:v>17.942700000000002</c:v>
                </c:pt>
                <c:pt idx="32" formatCode="0.00">
                  <c:v>18</c:v>
                </c:pt>
                <c:pt idx="33" formatCode="0.00">
                  <c:v>18.0321</c:v>
                </c:pt>
                <c:pt idx="34" formatCode="0.00">
                  <c:v>18.035600000000002</c:v>
                </c:pt>
                <c:pt idx="35" formatCode="0.00">
                  <c:v>18.043099999999999</c:v>
                </c:pt>
                <c:pt idx="36" formatCode="0.00">
                  <c:v>18.087</c:v>
                </c:pt>
                <c:pt idx="37" formatCode="0.00">
                  <c:v>18.2</c:v>
                </c:pt>
                <c:pt idx="38" formatCode="0.00">
                  <c:v>18.537700000000001</c:v>
                </c:pt>
                <c:pt idx="39" formatCode="0.00">
                  <c:v>19.139099999999999</c:v>
                </c:pt>
                <c:pt idx="40" formatCode="0.00">
                  <c:v>19.861599999999999</c:v>
                </c:pt>
                <c:pt idx="41" formatCode="0.00">
                  <c:v>20.5627</c:v>
                </c:pt>
                <c:pt idx="42" formatCode="0.00">
                  <c:v>21.1</c:v>
                </c:pt>
                <c:pt idx="43" formatCode="0.00">
                  <c:v>21.335900000000002</c:v>
                </c:pt>
                <c:pt idx="44" formatCode="0.00">
                  <c:v>21.322299999999998</c:v>
                </c:pt>
                <c:pt idx="45" formatCode="0.00">
                  <c:v>21.200800000000001</c:v>
                </c:pt>
                <c:pt idx="46" formatCode="0.00">
                  <c:v>21.112900000000003</c:v>
                </c:pt>
                <c:pt idx="47" formatCode="0.00">
                  <c:v>21.2</c:v>
                </c:pt>
                <c:pt idx="48" formatCode="0.00">
                  <c:v>21.451900000000002</c:v>
                </c:pt>
                <c:pt idx="49" formatCode="0.00">
                  <c:v>21.729500000000002</c:v>
                </c:pt>
                <c:pt idx="50" formatCode="0.00">
                  <c:v>21.981000000000002</c:v>
                </c:pt>
                <c:pt idx="51" formatCode="0.00">
                  <c:v>22.155000000000001</c:v>
                </c:pt>
                <c:pt idx="52" formatCode="0.00">
                  <c:v>22.200000000000003</c:v>
                </c:pt>
                <c:pt idx="53" formatCode="0.00">
                  <c:v>21.958099999999998</c:v>
                </c:pt>
                <c:pt idx="54" formatCode="0.00">
                  <c:v>21.4343</c:v>
                </c:pt>
                <c:pt idx="55" formatCode="0.00">
                  <c:v>20.8215</c:v>
                </c:pt>
                <c:pt idx="56" formatCode="0.00">
                  <c:v>20.3125</c:v>
                </c:pt>
                <c:pt idx="57" formatCode="0.00">
                  <c:v>20.100000000000001</c:v>
                </c:pt>
                <c:pt idx="58" formatCode="0.00">
                  <c:v>20.796800000000001</c:v>
                </c:pt>
                <c:pt idx="59" formatCode="0.00">
                  <c:v>22.458400000000001</c:v>
                </c:pt>
                <c:pt idx="60" formatCode="0.00">
                  <c:v>24.441599999999998</c:v>
                </c:pt>
                <c:pt idx="61" formatCode="0.00">
                  <c:v>26.103200000000001</c:v>
                </c:pt>
                <c:pt idx="62" formatCode="0.00">
                  <c:v>26.8</c:v>
                </c:pt>
                <c:pt idx="63" formatCode="0.00">
                  <c:v>26.721599999999995</c:v>
                </c:pt>
                <c:pt idx="64" formatCode="0.00">
                  <c:v>26.508800000000001</c:v>
                </c:pt>
                <c:pt idx="65" formatCode="0.00">
                  <c:v>26.1952</c:v>
                </c:pt>
                <c:pt idx="66" formatCode="0.00">
                  <c:v>25.814399999999999</c:v>
                </c:pt>
                <c:pt idx="67" formatCode="0.00">
                  <c:v>25.4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5ED-4DE5-B02F-9F917AE86C33}"/>
            </c:ext>
          </c:extLst>
        </c:ser>
        <c:ser>
          <c:idx val="6"/>
          <c:order val="6"/>
          <c:tx>
            <c:strRef>
              <c:f>'Куба-все'!$H$1</c:f>
              <c:strCache>
                <c:ptCount val="1"/>
                <c:pt idx="0">
                  <c:v>WPP-р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'Куба-все'!$H$2:$H$125</c:f>
              <c:numCache>
                <c:formatCode>General</c:formatCode>
                <c:ptCount val="124"/>
                <c:pt idx="50" formatCode="0.0">
                  <c:v>32.1</c:v>
                </c:pt>
                <c:pt idx="51" formatCode="0.0">
                  <c:v>31.4</c:v>
                </c:pt>
                <c:pt idx="52" formatCode="0.0">
                  <c:v>31.3</c:v>
                </c:pt>
                <c:pt idx="53" formatCode="0.0">
                  <c:v>31.2</c:v>
                </c:pt>
                <c:pt idx="54" formatCode="0.0">
                  <c:v>31.2</c:v>
                </c:pt>
                <c:pt idx="55" formatCode="0.0">
                  <c:v>31.1</c:v>
                </c:pt>
                <c:pt idx="56" formatCode="0.0">
                  <c:v>31.1</c:v>
                </c:pt>
                <c:pt idx="57" formatCode="0.0">
                  <c:v>31.1</c:v>
                </c:pt>
                <c:pt idx="58" formatCode="0.0">
                  <c:v>31.2</c:v>
                </c:pt>
                <c:pt idx="59" formatCode="0.0">
                  <c:v>31.9</c:v>
                </c:pt>
                <c:pt idx="60" formatCode="0.0">
                  <c:v>32.799999999999997</c:v>
                </c:pt>
                <c:pt idx="61" formatCode="0.0">
                  <c:v>33.700000000000003</c:v>
                </c:pt>
                <c:pt idx="62" formatCode="0.0">
                  <c:v>34.6</c:v>
                </c:pt>
                <c:pt idx="63" formatCode="0.0">
                  <c:v>35.4</c:v>
                </c:pt>
                <c:pt idx="64" formatCode="0.0">
                  <c:v>34.9</c:v>
                </c:pt>
                <c:pt idx="65" formatCode="0.0">
                  <c:v>34.4</c:v>
                </c:pt>
                <c:pt idx="66" formatCode="0.0">
                  <c:v>33.4</c:v>
                </c:pt>
                <c:pt idx="67" formatCode="0.0">
                  <c:v>32.5</c:v>
                </c:pt>
                <c:pt idx="68" formatCode="0.0">
                  <c:v>31.6</c:v>
                </c:pt>
                <c:pt idx="69" formatCode="0.0">
                  <c:v>31</c:v>
                </c:pt>
                <c:pt idx="70" formatCode="0.0">
                  <c:v>29.9</c:v>
                </c:pt>
                <c:pt idx="71" formatCode="0.0">
                  <c:v>28.5</c:v>
                </c:pt>
                <c:pt idx="72" formatCode="0.0">
                  <c:v>27.2</c:v>
                </c:pt>
                <c:pt idx="73" formatCode="0.0">
                  <c:v>25.8</c:v>
                </c:pt>
                <c:pt idx="74" formatCode="0.0">
                  <c:v>24.1</c:v>
                </c:pt>
                <c:pt idx="75" formatCode="0.0">
                  <c:v>21.6</c:v>
                </c:pt>
                <c:pt idx="76" formatCode="0.0">
                  <c:v>19.399999999999999</c:v>
                </c:pt>
                <c:pt idx="77" formatCode="0.0">
                  <c:v>17.3</c:v>
                </c:pt>
                <c:pt idx="78" formatCode="0.0">
                  <c:v>15.1</c:v>
                </c:pt>
                <c:pt idx="79" formatCode="0.0">
                  <c:v>14.6</c:v>
                </c:pt>
                <c:pt idx="80" formatCode="0.0">
                  <c:v>13.9</c:v>
                </c:pt>
                <c:pt idx="81" formatCode="0.0">
                  <c:v>13.9</c:v>
                </c:pt>
                <c:pt idx="82" formatCode="0.0">
                  <c:v>15.9</c:v>
                </c:pt>
                <c:pt idx="83" formatCode="0.0">
                  <c:v>16.5</c:v>
                </c:pt>
                <c:pt idx="84" formatCode="0.0">
                  <c:v>16.5</c:v>
                </c:pt>
                <c:pt idx="85" formatCode="0.0">
                  <c:v>16.7</c:v>
                </c:pt>
                <c:pt idx="86" formatCode="0.0">
                  <c:v>17</c:v>
                </c:pt>
                <c:pt idx="87" formatCode="0.0">
                  <c:v>17.3</c:v>
                </c:pt>
                <c:pt idx="88" formatCode="0.0">
                  <c:v>18</c:v>
                </c:pt>
                <c:pt idx="89" formatCode="0.0">
                  <c:v>17.8</c:v>
                </c:pt>
                <c:pt idx="90" formatCode="0.0">
                  <c:v>17.600000000000001</c:v>
                </c:pt>
                <c:pt idx="91" formatCode="0.0">
                  <c:v>16.100000000000001</c:v>
                </c:pt>
                <c:pt idx="92" formatCode="0.0">
                  <c:v>15</c:v>
                </c:pt>
                <c:pt idx="93" formatCode="0.0">
                  <c:v>14.1</c:v>
                </c:pt>
                <c:pt idx="94" formatCode="0.0">
                  <c:v>13.7</c:v>
                </c:pt>
                <c:pt idx="95" formatCode="0.0">
                  <c:v>13.5</c:v>
                </c:pt>
                <c:pt idx="96" formatCode="0.0">
                  <c:v>13</c:v>
                </c:pt>
                <c:pt idx="97" formatCode="0.0">
                  <c:v>13.8</c:v>
                </c:pt>
                <c:pt idx="98" formatCode="0.0">
                  <c:v>13.7</c:v>
                </c:pt>
                <c:pt idx="99" formatCode="0.0">
                  <c:v>13.5</c:v>
                </c:pt>
                <c:pt idx="100" formatCode="0.0">
                  <c:v>12.9</c:v>
                </c:pt>
                <c:pt idx="101" formatCode="0.0">
                  <c:v>12.4</c:v>
                </c:pt>
                <c:pt idx="102" formatCode="0.0">
                  <c:v>12.5</c:v>
                </c:pt>
                <c:pt idx="103" formatCode="0.0">
                  <c:v>12.1</c:v>
                </c:pt>
                <c:pt idx="104" formatCode="0.0">
                  <c:v>11.3</c:v>
                </c:pt>
                <c:pt idx="105" formatCode="0.0">
                  <c:v>10.6</c:v>
                </c:pt>
                <c:pt idx="106" formatCode="0.0">
                  <c:v>9.9</c:v>
                </c:pt>
                <c:pt idx="107" formatCode="0.0">
                  <c:v>10</c:v>
                </c:pt>
                <c:pt idx="108" formatCode="0.0">
                  <c:v>10.9</c:v>
                </c:pt>
                <c:pt idx="109" formatCode="0.0">
                  <c:v>11.5</c:v>
                </c:pt>
                <c:pt idx="110" formatCode="0.0">
                  <c:v>11.4</c:v>
                </c:pt>
                <c:pt idx="111" formatCode="0.0">
                  <c:v>11.8</c:v>
                </c:pt>
                <c:pt idx="112" formatCode="0.0">
                  <c:v>11.2</c:v>
                </c:pt>
                <c:pt idx="113" formatCode="0.0">
                  <c:v>11.2</c:v>
                </c:pt>
                <c:pt idx="114" formatCode="0.0">
                  <c:v>10.9</c:v>
                </c:pt>
                <c:pt idx="115" formatCode="0.0">
                  <c:v>10.9</c:v>
                </c:pt>
                <c:pt idx="116" formatCode="0.0">
                  <c:v>10.3</c:v>
                </c:pt>
                <c:pt idx="117" formatCode="0.0">
                  <c:v>10.1</c:v>
                </c:pt>
                <c:pt idx="118" formatCode="0.0">
                  <c:v>10.199999999999999</c:v>
                </c:pt>
                <c:pt idx="119" formatCode="0.0">
                  <c:v>9.6999999999999993</c:v>
                </c:pt>
                <c:pt idx="120" formatCode="0.0">
                  <c:v>9.3000000000000007</c:v>
                </c:pt>
                <c:pt idx="121" formatCode="0.0">
                  <c:v>8.8000000000000007</c:v>
                </c:pt>
                <c:pt idx="122" formatCode="0.0">
                  <c:v>8.6999999999999993</c:v>
                </c:pt>
                <c:pt idx="123" formatCode="0.0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5ED-4DE5-B02F-9F917AE86C33}"/>
            </c:ext>
          </c:extLst>
        </c:ser>
        <c:ser>
          <c:idx val="7"/>
          <c:order val="7"/>
          <c:tx>
            <c:strRef>
              <c:f>'Куба-все'!$I$1</c:f>
              <c:strCache>
                <c:ptCount val="1"/>
                <c:pt idx="0">
                  <c:v>WPP-c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'Куба-все'!$I$2:$I$125</c:f>
              <c:numCache>
                <c:formatCode>General</c:formatCode>
                <c:ptCount val="124"/>
                <c:pt idx="50" formatCode="0.0">
                  <c:v>11.2</c:v>
                </c:pt>
                <c:pt idx="51" formatCode="0.0">
                  <c:v>10.9</c:v>
                </c:pt>
                <c:pt idx="52" formatCode="0.0">
                  <c:v>10.5</c:v>
                </c:pt>
                <c:pt idx="53" formatCode="0.0">
                  <c:v>10.3</c:v>
                </c:pt>
                <c:pt idx="54" formatCode="0.0">
                  <c:v>10</c:v>
                </c:pt>
                <c:pt idx="55" formatCode="0.0">
                  <c:v>9.8000000000000007</c:v>
                </c:pt>
                <c:pt idx="56" formatCode="0.0">
                  <c:v>9.6</c:v>
                </c:pt>
                <c:pt idx="57" formatCode="0.0">
                  <c:v>9.4</c:v>
                </c:pt>
                <c:pt idx="58" formatCode="0.0">
                  <c:v>9.1999999999999993</c:v>
                </c:pt>
                <c:pt idx="59" formatCode="0.0">
                  <c:v>9.1</c:v>
                </c:pt>
                <c:pt idx="60" formatCode="0.0">
                  <c:v>8.9</c:v>
                </c:pt>
                <c:pt idx="61" formatCode="0.0">
                  <c:v>8.8000000000000007</c:v>
                </c:pt>
                <c:pt idx="62" formatCode="0.0">
                  <c:v>8.6</c:v>
                </c:pt>
                <c:pt idx="63" formatCode="0.0">
                  <c:v>8.6</c:v>
                </c:pt>
                <c:pt idx="64" formatCode="0.0">
                  <c:v>8.3000000000000007</c:v>
                </c:pt>
                <c:pt idx="65" formatCode="0.0">
                  <c:v>8.1</c:v>
                </c:pt>
                <c:pt idx="66" formatCode="0.0">
                  <c:v>7.9</c:v>
                </c:pt>
                <c:pt idx="67" formatCode="0.0">
                  <c:v>7.7</c:v>
                </c:pt>
                <c:pt idx="68" formatCode="0.0">
                  <c:v>7.5</c:v>
                </c:pt>
                <c:pt idx="69" formatCode="0.0">
                  <c:v>7.3</c:v>
                </c:pt>
                <c:pt idx="70" formatCode="0.0">
                  <c:v>7</c:v>
                </c:pt>
                <c:pt idx="71" formatCode="0.0">
                  <c:v>6.8</c:v>
                </c:pt>
                <c:pt idx="72" formatCode="0.0">
                  <c:v>6.7</c:v>
                </c:pt>
                <c:pt idx="73" formatCode="0.0">
                  <c:v>6.6</c:v>
                </c:pt>
                <c:pt idx="74" formatCode="0.0">
                  <c:v>6.5</c:v>
                </c:pt>
                <c:pt idx="75" formatCode="0.0">
                  <c:v>6.4</c:v>
                </c:pt>
                <c:pt idx="76" formatCode="0.0">
                  <c:v>6.3</c:v>
                </c:pt>
                <c:pt idx="77" formatCode="0.0">
                  <c:v>6.2</c:v>
                </c:pt>
                <c:pt idx="78" formatCode="0.0">
                  <c:v>6.2</c:v>
                </c:pt>
                <c:pt idx="79" formatCode="0.0">
                  <c:v>6.3</c:v>
                </c:pt>
                <c:pt idx="80" formatCode="0.0">
                  <c:v>6.3</c:v>
                </c:pt>
                <c:pt idx="81" formatCode="0.0">
                  <c:v>6.4</c:v>
                </c:pt>
                <c:pt idx="82" formatCode="0.0">
                  <c:v>6.3</c:v>
                </c:pt>
                <c:pt idx="83" formatCode="0.0">
                  <c:v>6.3</c:v>
                </c:pt>
                <c:pt idx="84" formatCode="0.0">
                  <c:v>6.4</c:v>
                </c:pt>
                <c:pt idx="85" formatCode="0.0">
                  <c:v>6.6</c:v>
                </c:pt>
                <c:pt idx="86" formatCode="0.0">
                  <c:v>6.6</c:v>
                </c:pt>
                <c:pt idx="87" formatCode="0.0">
                  <c:v>6.7</c:v>
                </c:pt>
                <c:pt idx="88" formatCode="0.0">
                  <c:v>6.8</c:v>
                </c:pt>
                <c:pt idx="89" formatCode="0.0">
                  <c:v>6.9</c:v>
                </c:pt>
                <c:pt idx="90" formatCode="0.0">
                  <c:v>7</c:v>
                </c:pt>
                <c:pt idx="91" formatCode="0.0">
                  <c:v>7.2</c:v>
                </c:pt>
                <c:pt idx="92" formatCode="0.0">
                  <c:v>7.3</c:v>
                </c:pt>
                <c:pt idx="93" formatCode="0.0">
                  <c:v>7.4</c:v>
                </c:pt>
                <c:pt idx="94" formatCode="0.0">
                  <c:v>7.4</c:v>
                </c:pt>
                <c:pt idx="95" formatCode="0.0">
                  <c:v>7.4</c:v>
                </c:pt>
                <c:pt idx="96" formatCode="0.0">
                  <c:v>7.3</c:v>
                </c:pt>
                <c:pt idx="97" formatCode="0.0">
                  <c:v>7.3</c:v>
                </c:pt>
                <c:pt idx="98" formatCode="0.0">
                  <c:v>7.2</c:v>
                </c:pt>
                <c:pt idx="99" formatCode="0.0">
                  <c:v>7.2</c:v>
                </c:pt>
                <c:pt idx="100" formatCode="0.0">
                  <c:v>7.4</c:v>
                </c:pt>
                <c:pt idx="101" formatCode="0.0">
                  <c:v>7.3</c:v>
                </c:pt>
                <c:pt idx="102" formatCode="0.0">
                  <c:v>7.3</c:v>
                </c:pt>
                <c:pt idx="103" formatCode="0.0">
                  <c:v>7.1</c:v>
                </c:pt>
                <c:pt idx="104" formatCode="0.0">
                  <c:v>7.3</c:v>
                </c:pt>
                <c:pt idx="105" formatCode="0.0">
                  <c:v>7.4</c:v>
                </c:pt>
                <c:pt idx="106" formatCode="0.0">
                  <c:v>7.7</c:v>
                </c:pt>
                <c:pt idx="107" formatCode="0.0">
                  <c:v>7.8</c:v>
                </c:pt>
                <c:pt idx="108" formatCode="0.0">
                  <c:v>8</c:v>
                </c:pt>
                <c:pt idx="109" formatCode="0.0">
                  <c:v>8.1999999999999993</c:v>
                </c:pt>
                <c:pt idx="110" formatCode="0.0">
                  <c:v>8.1999999999999993</c:v>
                </c:pt>
                <c:pt idx="111" formatCode="0.0">
                  <c:v>8.1999999999999993</c:v>
                </c:pt>
                <c:pt idx="112" formatCode="0.0">
                  <c:v>8.1999999999999993</c:v>
                </c:pt>
                <c:pt idx="113" formatCode="0.0">
                  <c:v>8.5</c:v>
                </c:pt>
                <c:pt idx="114" formatCode="0.0">
                  <c:v>8.9</c:v>
                </c:pt>
                <c:pt idx="115" formatCode="0.0">
                  <c:v>9.1</c:v>
                </c:pt>
                <c:pt idx="116" formatCode="0.0">
                  <c:v>9.4</c:v>
                </c:pt>
                <c:pt idx="117" formatCode="0.0">
                  <c:v>9.9</c:v>
                </c:pt>
                <c:pt idx="118" formatCode="0.0">
                  <c:v>9.9</c:v>
                </c:pt>
                <c:pt idx="119" formatCode="0.0">
                  <c:v>10</c:v>
                </c:pt>
                <c:pt idx="120" formatCode="0.0">
                  <c:v>10.4</c:v>
                </c:pt>
                <c:pt idx="121" formatCode="0.0">
                  <c:v>15.3</c:v>
                </c:pt>
                <c:pt idx="122" formatCode="0.0">
                  <c:v>10.3</c:v>
                </c:pt>
                <c:pt idx="123" formatCode="0.0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5ED-4DE5-B02F-9F917AE86C33}"/>
            </c:ext>
          </c:extLst>
        </c:ser>
        <c:ser>
          <c:idx val="8"/>
          <c:order val="8"/>
          <c:tx>
            <c:strRef>
              <c:f>'Куба-все'!$J$1</c:f>
              <c:strCache>
                <c:ptCount val="1"/>
                <c:pt idx="0">
                  <c:v>WPP-еп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'Куба-все'!$J$2:$J$125</c:f>
              <c:numCache>
                <c:formatCode>General</c:formatCode>
                <c:ptCount val="124"/>
                <c:pt idx="50" formatCode="0.0">
                  <c:v>20.900000000000002</c:v>
                </c:pt>
                <c:pt idx="51" formatCode="0.0">
                  <c:v>20.5</c:v>
                </c:pt>
                <c:pt idx="52" formatCode="0.0">
                  <c:v>20.8</c:v>
                </c:pt>
                <c:pt idx="53" formatCode="0.0">
                  <c:v>20.9</c:v>
                </c:pt>
                <c:pt idx="54" formatCode="0.0">
                  <c:v>21.2</c:v>
                </c:pt>
                <c:pt idx="55" formatCode="0.0">
                  <c:v>21.3</c:v>
                </c:pt>
                <c:pt idx="56" formatCode="0.0">
                  <c:v>21.5</c:v>
                </c:pt>
                <c:pt idx="57" formatCode="0.0">
                  <c:v>21.700000000000003</c:v>
                </c:pt>
                <c:pt idx="58" formatCode="0.0">
                  <c:v>22</c:v>
                </c:pt>
                <c:pt idx="59" formatCode="0.0">
                  <c:v>22.799999999999997</c:v>
                </c:pt>
                <c:pt idx="60" formatCode="0.0">
                  <c:v>23.9</c:v>
                </c:pt>
                <c:pt idx="61" formatCode="0.0">
                  <c:v>24.900000000000002</c:v>
                </c:pt>
                <c:pt idx="62" formatCode="0.0">
                  <c:v>26</c:v>
                </c:pt>
                <c:pt idx="63" formatCode="0.0">
                  <c:v>26.799999999999997</c:v>
                </c:pt>
                <c:pt idx="64" formatCode="0.0">
                  <c:v>26.599999999999998</c:v>
                </c:pt>
                <c:pt idx="65" formatCode="0.0">
                  <c:v>26.299999999999997</c:v>
                </c:pt>
                <c:pt idx="66" formatCode="0.0">
                  <c:v>25.5</c:v>
                </c:pt>
                <c:pt idx="67" formatCode="0.0">
                  <c:v>24.8</c:v>
                </c:pt>
                <c:pt idx="68" formatCode="0.0">
                  <c:v>24.1</c:v>
                </c:pt>
                <c:pt idx="69" formatCode="0.0">
                  <c:v>23.7</c:v>
                </c:pt>
                <c:pt idx="70" formatCode="0.0">
                  <c:v>22.9</c:v>
                </c:pt>
                <c:pt idx="71" formatCode="0.0">
                  <c:v>21.7</c:v>
                </c:pt>
                <c:pt idx="72" formatCode="0.0">
                  <c:v>20.5</c:v>
                </c:pt>
                <c:pt idx="73" formatCode="0.0">
                  <c:v>19.200000000000003</c:v>
                </c:pt>
                <c:pt idx="74" formatCode="0.0">
                  <c:v>17.600000000000001</c:v>
                </c:pt>
                <c:pt idx="75" formatCode="0.0">
                  <c:v>15.200000000000001</c:v>
                </c:pt>
                <c:pt idx="76" formatCode="0.0">
                  <c:v>13.099999999999998</c:v>
                </c:pt>
                <c:pt idx="77" formatCode="0.0">
                  <c:v>11.100000000000001</c:v>
                </c:pt>
                <c:pt idx="78" formatCode="0.0">
                  <c:v>8.8999999999999986</c:v>
                </c:pt>
                <c:pt idx="79" formatCode="0.0">
                  <c:v>8.3000000000000007</c:v>
                </c:pt>
                <c:pt idx="80" formatCode="0.0">
                  <c:v>7.6000000000000005</c:v>
                </c:pt>
                <c:pt idx="81" formatCode="0.0">
                  <c:v>7.5</c:v>
                </c:pt>
                <c:pt idx="82" formatCode="0.0">
                  <c:v>9.6000000000000014</c:v>
                </c:pt>
                <c:pt idx="83" formatCode="0.0">
                  <c:v>10.199999999999999</c:v>
                </c:pt>
                <c:pt idx="84" formatCode="0.0">
                  <c:v>10.1</c:v>
                </c:pt>
                <c:pt idx="85" formatCode="0.0">
                  <c:v>10.1</c:v>
                </c:pt>
                <c:pt idx="86" formatCode="0.0">
                  <c:v>10.4</c:v>
                </c:pt>
                <c:pt idx="87" formatCode="0.0">
                  <c:v>10.600000000000001</c:v>
                </c:pt>
                <c:pt idx="88" formatCode="0.0">
                  <c:v>11.2</c:v>
                </c:pt>
                <c:pt idx="89" formatCode="0.0">
                  <c:v>10.9</c:v>
                </c:pt>
                <c:pt idx="90" formatCode="0.0">
                  <c:v>10.600000000000001</c:v>
                </c:pt>
                <c:pt idx="91" formatCode="0.0">
                  <c:v>8.9000000000000021</c:v>
                </c:pt>
                <c:pt idx="92" formatCode="0.0">
                  <c:v>7.7</c:v>
                </c:pt>
                <c:pt idx="93" formatCode="0.0">
                  <c:v>6.6999999999999993</c:v>
                </c:pt>
                <c:pt idx="94" formatCode="0.0">
                  <c:v>6.2999999999999989</c:v>
                </c:pt>
                <c:pt idx="95" formatCode="0.0">
                  <c:v>6.1</c:v>
                </c:pt>
                <c:pt idx="96" formatCode="0.0">
                  <c:v>5.7</c:v>
                </c:pt>
                <c:pt idx="97" formatCode="0.0">
                  <c:v>6.5000000000000009</c:v>
                </c:pt>
                <c:pt idx="98" formatCode="0.0">
                  <c:v>6.4999999999999991</c:v>
                </c:pt>
                <c:pt idx="99" formatCode="0.0">
                  <c:v>6.3</c:v>
                </c:pt>
                <c:pt idx="100" formatCode="0.0">
                  <c:v>5.5</c:v>
                </c:pt>
                <c:pt idx="101" formatCode="0.0">
                  <c:v>5.1000000000000005</c:v>
                </c:pt>
                <c:pt idx="102" formatCode="0.0">
                  <c:v>5.2</c:v>
                </c:pt>
                <c:pt idx="103" formatCode="0.0">
                  <c:v>5</c:v>
                </c:pt>
                <c:pt idx="104" formatCode="0.0">
                  <c:v>4.0000000000000009</c:v>
                </c:pt>
                <c:pt idx="105" formatCode="0.0">
                  <c:v>3.1999999999999993</c:v>
                </c:pt>
                <c:pt idx="106" formatCode="0.0">
                  <c:v>2.2000000000000002</c:v>
                </c:pt>
                <c:pt idx="107" formatCode="0.0">
                  <c:v>2.2000000000000002</c:v>
                </c:pt>
                <c:pt idx="108" formatCode="0.0">
                  <c:v>2.9000000000000004</c:v>
                </c:pt>
                <c:pt idx="109" formatCode="0.0">
                  <c:v>3.3000000000000007</c:v>
                </c:pt>
                <c:pt idx="110" formatCode="0.0">
                  <c:v>3.2000000000000011</c:v>
                </c:pt>
                <c:pt idx="111" formatCode="0.0">
                  <c:v>3.6000000000000014</c:v>
                </c:pt>
                <c:pt idx="112" formatCode="0.0">
                  <c:v>3</c:v>
                </c:pt>
                <c:pt idx="113" formatCode="0.0">
                  <c:v>2.6999999999999993</c:v>
                </c:pt>
                <c:pt idx="114" formatCode="0.0">
                  <c:v>2</c:v>
                </c:pt>
                <c:pt idx="115" formatCode="0.0">
                  <c:v>1.8000000000000007</c:v>
                </c:pt>
                <c:pt idx="116" formatCode="0.0">
                  <c:v>0.90000000000000036</c:v>
                </c:pt>
                <c:pt idx="117" formatCode="0.0">
                  <c:v>0.19999999999999929</c:v>
                </c:pt>
                <c:pt idx="118" formatCode="0.0">
                  <c:v>0.29999999999999893</c:v>
                </c:pt>
                <c:pt idx="119" formatCode="0.0">
                  <c:v>-0.30000000000000071</c:v>
                </c:pt>
                <c:pt idx="120" formatCode="0.0">
                  <c:v>-1.0999999999999996</c:v>
                </c:pt>
                <c:pt idx="121" formatCode="0.0">
                  <c:v>-6.5</c:v>
                </c:pt>
                <c:pt idx="122" formatCode="0.0">
                  <c:v>-1.6000000000000014</c:v>
                </c:pt>
                <c:pt idx="123" formatCode="0.0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5ED-4DE5-B02F-9F917AE86C33}"/>
            </c:ext>
          </c:extLst>
        </c:ser>
        <c:ser>
          <c:idx val="9"/>
          <c:order val="9"/>
          <c:tx>
            <c:strRef>
              <c:f>'Куба-все'!$K$1</c:f>
              <c:strCache>
                <c:ptCount val="1"/>
                <c:pt idx="0">
                  <c:v>SALA1974-оп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'Куба-все'!$A$2:$A$125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'Куба-все'!$K$2:$K$125</c:f>
              <c:numCache>
                <c:formatCode>#,##0.0</c:formatCode>
                <c:ptCount val="124"/>
                <c:pt idx="0">
                  <c:v>49.375</c:v>
                </c:pt>
                <c:pt idx="1">
                  <c:v>47.051816557474687</c:v>
                </c:pt>
                <c:pt idx="2">
                  <c:v>44.937428896473264</c:v>
                </c:pt>
                <c:pt idx="3">
                  <c:v>22.863364180729452</c:v>
                </c:pt>
                <c:pt idx="4">
                  <c:v>25.545502927088876</c:v>
                </c:pt>
                <c:pt idx="5">
                  <c:v>26.984950700570835</c:v>
                </c:pt>
                <c:pt idx="6">
                  <c:v>27.791814047498736</c:v>
                </c:pt>
                <c:pt idx="7">
                  <c:v>28.515240904621436</c:v>
                </c:pt>
                <c:pt idx="8">
                  <c:v>29.636711281070745</c:v>
                </c:pt>
                <c:pt idx="9">
                  <c:v>30.176415970287838</c:v>
                </c:pt>
                <c:pt idx="10">
                  <c:v>30.64443442992339</c:v>
                </c:pt>
                <c:pt idx="11">
                  <c:v>31.04503716659379</c:v>
                </c:pt>
                <c:pt idx="12">
                  <c:v>23.324851569126377</c:v>
                </c:pt>
                <c:pt idx="13">
                  <c:v>38.95565685868214</c:v>
                </c:pt>
                <c:pt idx="14">
                  <c:v>31.112883925009971</c:v>
                </c:pt>
                <c:pt idx="15">
                  <c:v>30.56092843326886</c:v>
                </c:pt>
                <c:pt idx="16">
                  <c:v>30.780780780780781</c:v>
                </c:pt>
                <c:pt idx="17">
                  <c:v>29.861616897305172</c:v>
                </c:pt>
                <c:pt idx="18">
                  <c:v>29.702970297029704</c:v>
                </c:pt>
                <c:pt idx="19">
                  <c:v>29.189560439560438</c:v>
                </c:pt>
                <c:pt idx="20">
                  <c:v>28.695362028695364</c:v>
                </c:pt>
                <c:pt idx="21">
                  <c:v>28.219266947778138</c:v>
                </c:pt>
                <c:pt idx="22">
                  <c:v>27.444794952681388</c:v>
                </c:pt>
                <c:pt idx="23">
                  <c:v>27.018728891618053</c:v>
                </c:pt>
                <c:pt idx="24">
                  <c:v>26.00896860986547</c:v>
                </c:pt>
                <c:pt idx="25">
                  <c:v>25.34965034965035</c:v>
                </c:pt>
                <c:pt idx="26">
                  <c:v>24.722932651321397</c:v>
                </c:pt>
                <c:pt idx="27">
                  <c:v>-27.45424292845258</c:v>
                </c:pt>
                <c:pt idx="28">
                  <c:v>19.960079840319363</c:v>
                </c:pt>
                <c:pt idx="29">
                  <c:v>19.569471624266146</c:v>
                </c:pt>
                <c:pt idx="30">
                  <c:v>86.372360844529751</c:v>
                </c:pt>
                <c:pt idx="31">
                  <c:v>0</c:v>
                </c:pt>
                <c:pt idx="32">
                  <c:v>0</c:v>
                </c:pt>
                <c:pt idx="33">
                  <c:v>19.434628975265017</c:v>
                </c:pt>
                <c:pt idx="34">
                  <c:v>7.9227531567219609</c:v>
                </c:pt>
                <c:pt idx="35">
                  <c:v>9.3343158929010066</c:v>
                </c:pt>
                <c:pt idx="36">
                  <c:v>13.628620102214651</c:v>
                </c:pt>
                <c:pt idx="37">
                  <c:v>15.126050420168067</c:v>
                </c:pt>
                <c:pt idx="38">
                  <c:v>5.9129612109744558</c:v>
                </c:pt>
                <c:pt idx="39">
                  <c:v>8.9348695038796144</c:v>
                </c:pt>
                <c:pt idx="40">
                  <c:v>8.1566068515497552</c:v>
                </c:pt>
                <c:pt idx="41">
                  <c:v>10.6333795654184</c:v>
                </c:pt>
                <c:pt idx="42">
                  <c:v>93.092406221408964</c:v>
                </c:pt>
                <c:pt idx="43">
                  <c:v>14.64741577735928</c:v>
                </c:pt>
                <c:pt idx="44">
                  <c:v>17.116931326046608</c:v>
                </c:pt>
                <c:pt idx="45">
                  <c:v>21.695052716950528</c:v>
                </c:pt>
                <c:pt idx="46">
                  <c:v>22.425084342131374</c:v>
                </c:pt>
                <c:pt idx="47">
                  <c:v>22.51552795031056</c:v>
                </c:pt>
                <c:pt idx="48">
                  <c:v>22.399392558845861</c:v>
                </c:pt>
                <c:pt idx="49">
                  <c:v>22.651318232454511</c:v>
                </c:pt>
                <c:pt idx="50">
                  <c:v>20.515613652868556</c:v>
                </c:pt>
                <c:pt idx="51">
                  <c:v>18.502045899306172</c:v>
                </c:pt>
                <c:pt idx="52">
                  <c:v>26.375545851528383</c:v>
                </c:pt>
                <c:pt idx="53">
                  <c:v>21.102791014295438</c:v>
                </c:pt>
                <c:pt idx="54">
                  <c:v>21.166666666666668</c:v>
                </c:pt>
                <c:pt idx="55">
                  <c:v>21.054349600130571</c:v>
                </c:pt>
                <c:pt idx="56">
                  <c:v>21.099744245524295</c:v>
                </c:pt>
                <c:pt idx="57">
                  <c:v>21.133375078271758</c:v>
                </c:pt>
                <c:pt idx="58">
                  <c:v>21.155909857427563</c:v>
                </c:pt>
                <c:pt idx="59">
                  <c:v>20.417354751538809</c:v>
                </c:pt>
                <c:pt idx="60">
                  <c:v>20.008827423863469</c:v>
                </c:pt>
                <c:pt idx="61">
                  <c:v>20.914467041684695</c:v>
                </c:pt>
                <c:pt idx="62">
                  <c:v>20.627295846284262</c:v>
                </c:pt>
                <c:pt idx="63">
                  <c:v>20.487264673311184</c:v>
                </c:pt>
                <c:pt idx="64">
                  <c:v>20.482908301682041</c:v>
                </c:pt>
                <c:pt idx="65">
                  <c:v>20.204705569586601</c:v>
                </c:pt>
                <c:pt idx="66">
                  <c:v>20.195439739413679</c:v>
                </c:pt>
                <c:pt idx="67">
                  <c:v>20.051085568326947</c:v>
                </c:pt>
                <c:pt idx="68">
                  <c:v>19.782145987229246</c:v>
                </c:pt>
                <c:pt idx="69">
                  <c:v>19.88950276243094</c:v>
                </c:pt>
                <c:pt idx="70">
                  <c:v>19.622005537498495</c:v>
                </c:pt>
                <c:pt idx="71">
                  <c:v>19.598583234946872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5ED-4DE5-B02F-9F917AE86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4476104"/>
        <c:axId val="984476432"/>
      </c:scatterChart>
      <c:valAx>
        <c:axId val="98447610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432"/>
        <c:crosses val="autoZero"/>
        <c:crossBetween val="midCat"/>
        <c:majorUnit val="10"/>
      </c:valAx>
      <c:valAx>
        <c:axId val="98447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84476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29.7316</c:v>
                </c:pt>
                <c:pt idx="49">
                  <c:v>29.682300000000001</c:v>
                </c:pt>
                <c:pt idx="50">
                  <c:v>29.6</c:v>
                </c:pt>
                <c:pt idx="51">
                  <c:v>29.292899999999999</c:v>
                </c:pt>
                <c:pt idx="52">
                  <c:v>28.713999999999999</c:v>
                </c:pt>
                <c:pt idx="53">
                  <c:v>28.058599999999998</c:v>
                </c:pt>
                <c:pt idx="54">
                  <c:v>27.522200000000002</c:v>
                </c:pt>
                <c:pt idx="55">
                  <c:v>27.3</c:v>
                </c:pt>
                <c:pt idx="56">
                  <c:v>28.007200000000001</c:v>
                </c:pt>
                <c:pt idx="57">
                  <c:v>29.6936</c:v>
                </c:pt>
                <c:pt idx="58">
                  <c:v>31.706399999999999</c:v>
                </c:pt>
                <c:pt idx="59">
                  <c:v>33.392800000000001</c:v>
                </c:pt>
                <c:pt idx="60">
                  <c:v>34.1</c:v>
                </c:pt>
                <c:pt idx="61">
                  <c:v>34.010399999999997</c:v>
                </c:pt>
                <c:pt idx="62">
                  <c:v>33.767200000000003</c:v>
                </c:pt>
                <c:pt idx="63">
                  <c:v>33.408799999999999</c:v>
                </c:pt>
                <c:pt idx="64">
                  <c:v>32.973599999999998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7.7506000000000004</c:v>
                </c:pt>
                <c:pt idx="49">
                  <c:v>7.5273000000000003</c:v>
                </c:pt>
                <c:pt idx="50">
                  <c:v>7.4</c:v>
                </c:pt>
                <c:pt idx="51">
                  <c:v>7.3348000000000004</c:v>
                </c:pt>
                <c:pt idx="52">
                  <c:v>7.2797000000000001</c:v>
                </c:pt>
                <c:pt idx="53">
                  <c:v>7.2370999999999999</c:v>
                </c:pt>
                <c:pt idx="54">
                  <c:v>7.2096999999999998</c:v>
                </c:pt>
                <c:pt idx="55">
                  <c:v>7.2</c:v>
                </c:pt>
                <c:pt idx="56">
                  <c:v>7.2103999999999999</c:v>
                </c:pt>
                <c:pt idx="57">
                  <c:v>7.2351999999999999</c:v>
                </c:pt>
                <c:pt idx="58">
                  <c:v>7.2648000000000001</c:v>
                </c:pt>
                <c:pt idx="59">
                  <c:v>7.2896000000000001</c:v>
                </c:pt>
                <c:pt idx="60">
                  <c:v>7.3</c:v>
                </c:pt>
                <c:pt idx="61">
                  <c:v>7.2888000000000002</c:v>
                </c:pt>
                <c:pt idx="62">
                  <c:v>7.2584</c:v>
                </c:pt>
                <c:pt idx="63">
                  <c:v>7.2135999999999996</c:v>
                </c:pt>
                <c:pt idx="64">
                  <c:v>7.1592000000000002</c:v>
                </c:pt>
                <c:pt idx="65">
                  <c:v>7.1</c:v>
                </c:pt>
                <c:pt idx="66">
                  <c:v>7.0659999999999998</c:v>
                </c:pt>
                <c:pt idx="67">
                  <c:v>7.0330000000000004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21.981000000000002</c:v>
                </c:pt>
                <c:pt idx="49">
                  <c:v>22.155000000000001</c:v>
                </c:pt>
                <c:pt idx="50">
                  <c:v>22.200000000000003</c:v>
                </c:pt>
                <c:pt idx="51">
                  <c:v>21.958099999999998</c:v>
                </c:pt>
                <c:pt idx="52">
                  <c:v>21.4343</c:v>
                </c:pt>
                <c:pt idx="53">
                  <c:v>20.8215</c:v>
                </c:pt>
                <c:pt idx="54">
                  <c:v>20.3125</c:v>
                </c:pt>
                <c:pt idx="55">
                  <c:v>20.100000000000001</c:v>
                </c:pt>
                <c:pt idx="56">
                  <c:v>20.796800000000001</c:v>
                </c:pt>
                <c:pt idx="57">
                  <c:v>22.458400000000001</c:v>
                </c:pt>
                <c:pt idx="58">
                  <c:v>24.441599999999998</c:v>
                </c:pt>
                <c:pt idx="59">
                  <c:v>26.103200000000001</c:v>
                </c:pt>
                <c:pt idx="60">
                  <c:v>26.8</c:v>
                </c:pt>
                <c:pt idx="61">
                  <c:v>26.721599999999995</c:v>
                </c:pt>
                <c:pt idx="62">
                  <c:v>26.508800000000001</c:v>
                </c:pt>
                <c:pt idx="63">
                  <c:v>26.1952</c:v>
                </c:pt>
                <c:pt idx="64">
                  <c:v>25.814399999999999</c:v>
                </c:pt>
                <c:pt idx="65">
                  <c:v>25.4</c:v>
                </c:pt>
                <c:pt idx="66">
                  <c:v>24.534000000000002</c:v>
                </c:pt>
                <c:pt idx="67">
                  <c:v>23.966999999999999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'Мексика-Колвер-CONAPO'!$K$2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'Мексика-Колвер-CONAPO'!$L$2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'Мексика-Колвер-CONAPO-реформа'!$J$2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'Мексика-Колвер-CONAPO-реформа'!$K$2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'Мексика-Колвер-CONAPO-реформа'!$L$2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'Мексика-Колвер-CONAPO-реформа'!$I$3:$I$131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'Мексика-Колвер-CONAPO-реформа'!$L$3:$L$131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626745</xdr:colOff>
      <xdr:row>0</xdr:row>
      <xdr:rowOff>172402</xdr:rowOff>
    </xdr:from>
    <xdr:to>
      <xdr:col>27</xdr:col>
      <xdr:colOff>619125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B6AEF8-7506-CFA2-70B8-A51DAF3B2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176211</xdr:rowOff>
    </xdr:from>
    <xdr:to>
      <xdr:col>37</xdr:col>
      <xdr:colOff>600075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D1AFC3-F341-4262-B294-080B1E87F2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601026</xdr:colOff>
      <xdr:row>2</xdr:row>
      <xdr:rowOff>179075</xdr:rowOff>
    </xdr:from>
    <xdr:to>
      <xdr:col>37</xdr:col>
      <xdr:colOff>9525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AH1:AI1"/>
    <mergeCell ref="AJ1:AK1"/>
    <mergeCell ref="AL1:AM1"/>
    <mergeCell ref="T1:U1"/>
    <mergeCell ref="V1:W1"/>
    <mergeCell ref="X1:Y1"/>
    <mergeCell ref="Z1:AA1"/>
    <mergeCell ref="AB1:AC1"/>
    <mergeCell ref="AD1:AE1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30" t="s">
        <v>20</v>
      </c>
      <c r="C1" s="30"/>
      <c r="D1" s="30" t="s">
        <v>21</v>
      </c>
      <c r="E1" s="30"/>
      <c r="F1" s="30" t="s">
        <v>22</v>
      </c>
      <c r="G1" s="30"/>
      <c r="H1" s="30" t="s">
        <v>23</v>
      </c>
      <c r="I1" s="30"/>
      <c r="J1" s="30" t="s">
        <v>24</v>
      </c>
      <c r="K1" s="30"/>
      <c r="L1" s="30" t="s">
        <v>25</v>
      </c>
      <c r="M1" s="30"/>
      <c r="N1" s="30" t="s">
        <v>26</v>
      </c>
      <c r="O1" s="30"/>
      <c r="P1" s="30" t="s">
        <v>27</v>
      </c>
      <c r="Q1" s="30"/>
      <c r="R1" s="30" t="s">
        <v>28</v>
      </c>
      <c r="S1" s="30"/>
      <c r="T1" s="30" t="s">
        <v>57</v>
      </c>
      <c r="U1" s="30"/>
      <c r="V1" s="30" t="s">
        <v>29</v>
      </c>
      <c r="W1" s="30"/>
      <c r="X1" s="30" t="s">
        <v>30</v>
      </c>
      <c r="Y1" s="30"/>
      <c r="Z1" s="30" t="s">
        <v>31</v>
      </c>
      <c r="AA1" s="30"/>
      <c r="AB1" s="30" t="s">
        <v>32</v>
      </c>
      <c r="AC1" s="30"/>
      <c r="AD1" s="30" t="s">
        <v>33</v>
      </c>
      <c r="AE1" s="30"/>
      <c r="AF1" s="19" t="s">
        <v>34</v>
      </c>
      <c r="AG1" s="19"/>
      <c r="AH1" s="30" t="s">
        <v>35</v>
      </c>
      <c r="AI1" s="30"/>
      <c r="AJ1" s="30" t="s">
        <v>36</v>
      </c>
      <c r="AK1" s="30"/>
      <c r="AL1" s="30" t="s">
        <v>93</v>
      </c>
      <c r="AM1" s="30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AL2:AM2"/>
    <mergeCell ref="Z2:AA2"/>
    <mergeCell ref="AB2:AC2"/>
    <mergeCell ref="AD2:AE2"/>
    <mergeCell ref="AF2:AG2"/>
    <mergeCell ref="AH2:AI2"/>
    <mergeCell ref="AJ2:AK2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L1:M1"/>
    <mergeCell ref="B1:C1"/>
    <mergeCell ref="D1:E1"/>
    <mergeCell ref="F1:G1"/>
    <mergeCell ref="H1:I1"/>
    <mergeCell ref="J1:K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8" t="s">
        <v>115</v>
      </c>
      <c r="C1" s="28"/>
      <c r="D1" s="28" t="s">
        <v>75</v>
      </c>
      <c r="E1" s="28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28" t="s">
        <v>75</v>
      </c>
      <c r="C1" s="28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8" t="s">
        <v>74</v>
      </c>
      <c r="C1" s="28"/>
      <c r="D1" s="28" t="s">
        <v>75</v>
      </c>
      <c r="E1" s="28"/>
      <c r="G1" s="28" t="s">
        <v>86</v>
      </c>
      <c r="H1" s="28"/>
      <c r="J1" s="28" t="s">
        <v>87</v>
      </c>
      <c r="K1" s="28"/>
      <c r="L1" s="28"/>
      <c r="M1" s="28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AD125"/>
  <sheetViews>
    <sheetView workbookViewId="0">
      <selection activeCell="AF26" sqref="AF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266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  <c r="AD3" t="s">
        <v>267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  <c r="AD5" t="s">
        <v>244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  <c r="AD7" t="s">
        <v>245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  <c r="AD8" t="s">
        <v>246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  <c r="AD9" t="s">
        <v>247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  <c r="AD10" t="s">
        <v>248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  <c r="AD11" t="s">
        <v>249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  <c r="AD12" t="s">
        <v>250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  <c r="AD14" t="s">
        <v>251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  <c r="AD15" t="s">
        <v>252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  <c r="AD16" t="s">
        <v>253</v>
      </c>
    </row>
    <row r="17" spans="1:30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  <c r="AD17" t="s">
        <v>254</v>
      </c>
    </row>
    <row r="18" spans="1:30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  <c r="AD18" t="s">
        <v>255</v>
      </c>
    </row>
    <row r="19" spans="1:30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  <c r="AD19" t="s">
        <v>256</v>
      </c>
    </row>
    <row r="20" spans="1:30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  <c r="AD20" t="s">
        <v>257</v>
      </c>
    </row>
    <row r="21" spans="1:30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30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  <c r="AD22" t="s">
        <v>258</v>
      </c>
    </row>
    <row r="23" spans="1:30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  <c r="AD23" t="s">
        <v>259</v>
      </c>
    </row>
    <row r="24" spans="1:30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  <c r="AD24" t="s">
        <v>260</v>
      </c>
    </row>
    <row r="25" spans="1:30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  <c r="AD25" t="s">
        <v>261</v>
      </c>
    </row>
    <row r="26" spans="1:30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  <c r="AD26" t="s">
        <v>262</v>
      </c>
    </row>
    <row r="27" spans="1:30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30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  <c r="AD28" t="s">
        <v>263</v>
      </c>
    </row>
    <row r="29" spans="1:30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  <c r="AD29" t="s">
        <v>264</v>
      </c>
    </row>
    <row r="30" spans="1:30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  <c r="AD30" t="s">
        <v>265</v>
      </c>
    </row>
    <row r="31" spans="1:30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30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  <c r="AD32" t="s">
        <v>268</v>
      </c>
    </row>
    <row r="33" spans="1:30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30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  <c r="AD34" t="s">
        <v>269</v>
      </c>
    </row>
    <row r="35" spans="1:30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  <c r="AD35" t="s">
        <v>270</v>
      </c>
    </row>
    <row r="36" spans="1:30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  <c r="AD36" t="s">
        <v>271</v>
      </c>
    </row>
    <row r="37" spans="1:30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  <c r="AD37" t="s">
        <v>272</v>
      </c>
    </row>
    <row r="38" spans="1:30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30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  <c r="AD39" t="s">
        <v>273</v>
      </c>
    </row>
    <row r="40" spans="1:30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  <c r="AD40" t="s">
        <v>274</v>
      </c>
    </row>
    <row r="41" spans="1:30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  <c r="AD41" t="s">
        <v>275</v>
      </c>
    </row>
    <row r="42" spans="1:30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  <c r="AD42" t="s">
        <v>276</v>
      </c>
    </row>
    <row r="43" spans="1:30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  <c r="AD43" t="s">
        <v>277</v>
      </c>
    </row>
    <row r="44" spans="1:30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  <c r="AD44" t="s">
        <v>278</v>
      </c>
    </row>
    <row r="45" spans="1:30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30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  <c r="AD46" t="s">
        <v>279</v>
      </c>
    </row>
    <row r="47" spans="1:30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  <c r="AD47" t="s">
        <v>280</v>
      </c>
    </row>
    <row r="48" spans="1:30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  <c r="AD48" t="s">
        <v>281</v>
      </c>
    </row>
    <row r="49" spans="1:30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  <c r="AD49" t="s">
        <v>272</v>
      </c>
    </row>
    <row r="50" spans="1:30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30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  <c r="AD51" t="s">
        <v>282</v>
      </c>
    </row>
    <row r="52" spans="1:30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30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  <c r="AD53" t="s">
        <v>283</v>
      </c>
    </row>
    <row r="54" spans="1:30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  <c r="AD54" t="s">
        <v>284</v>
      </c>
    </row>
    <row r="55" spans="1:30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30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  <c r="AD56" t="s">
        <v>179</v>
      </c>
    </row>
    <row r="57" spans="1:30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  <c r="AD57" t="s">
        <v>285</v>
      </c>
    </row>
    <row r="58" spans="1:30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  <c r="AD58" t="s">
        <v>286</v>
      </c>
    </row>
    <row r="59" spans="1:30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  <c r="AD59" t="s">
        <v>287</v>
      </c>
    </row>
    <row r="60" spans="1:30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  <c r="AD60" t="s">
        <v>290</v>
      </c>
    </row>
    <row r="61" spans="1:30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30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30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30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EE2B-A018-43F5-A8F7-5C70AE3C3CAD}">
  <dimension ref="A1:AD125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  <c r="AD2" t="s">
        <v>288</v>
      </c>
    </row>
    <row r="3" spans="1:30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30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  <c r="AD4" t="s">
        <v>289</v>
      </c>
    </row>
    <row r="5" spans="1:30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30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30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30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30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30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30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30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30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30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30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30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28" t="s">
        <v>100</v>
      </c>
      <c r="C1" s="28"/>
      <c r="D1" s="28" t="s">
        <v>75</v>
      </c>
      <c r="E1" s="28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21" x14ac:dyDescent="0.55000000000000004">
      <c r="B1" s="31" t="s">
        <v>90</v>
      </c>
      <c r="C1" s="31"/>
      <c r="D1" s="31"/>
      <c r="E1" s="31"/>
      <c r="I1" s="31" t="s">
        <v>89</v>
      </c>
      <c r="J1" s="31"/>
      <c r="K1" s="31"/>
      <c r="U1" s="3"/>
    </row>
    <row r="2" spans="1:21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DCE3D-9F16-41D2-B019-C7113AF6E34D}">
  <dimension ref="A1:L125"/>
  <sheetViews>
    <sheetView workbookViewId="0">
      <selection activeCell="AA63" sqref="AA63"/>
    </sheetView>
  </sheetViews>
  <sheetFormatPr defaultRowHeight="14.4" x14ac:dyDescent="0.55000000000000004"/>
  <cols>
    <col min="1" max="1" width="5" bestFit="1" customWidth="1"/>
    <col min="2" max="2" width="9.578125" bestFit="1" customWidth="1"/>
    <col min="3" max="3" width="9.26171875" bestFit="1" customWidth="1"/>
    <col min="4" max="4" width="10.68359375" bestFit="1" customWidth="1"/>
    <col min="5" max="5" width="11.83984375" bestFit="1" customWidth="1"/>
    <col min="6" max="6" width="11.578125" bestFit="1" customWidth="1"/>
    <col min="7" max="7" width="13.15625" bestFit="1" customWidth="1"/>
    <col min="8" max="8" width="7.15625" bestFit="1" customWidth="1"/>
    <col min="9" max="9" width="6.83984375" bestFit="1" customWidth="1"/>
    <col min="10" max="10" width="8.26171875" bestFit="1" customWidth="1"/>
    <col min="11" max="11" width="12.41796875" bestFit="1" customWidth="1"/>
    <col min="12" max="12" width="12.26171875" bestFit="1" customWidth="1"/>
  </cols>
  <sheetData>
    <row r="1" spans="1:12" x14ac:dyDescent="0.55000000000000004">
      <c r="A1" s="4" t="s">
        <v>73</v>
      </c>
      <c r="B1" s="4" t="s">
        <v>217</v>
      </c>
      <c r="C1" s="4" t="s">
        <v>218</v>
      </c>
      <c r="D1" s="4" t="s">
        <v>219</v>
      </c>
      <c r="E1" s="4" t="s">
        <v>220</v>
      </c>
      <c r="F1" s="4" t="s">
        <v>221</v>
      </c>
      <c r="G1" s="4" t="s">
        <v>222</v>
      </c>
      <c r="H1" s="4" t="s">
        <v>223</v>
      </c>
      <c r="I1" s="4" t="s">
        <v>224</v>
      </c>
      <c r="J1" s="4" t="s">
        <v>225</v>
      </c>
      <c r="K1" s="4" t="s">
        <v>226</v>
      </c>
      <c r="L1" s="4" t="s">
        <v>227</v>
      </c>
    </row>
    <row r="2" spans="1:12" x14ac:dyDescent="0.55000000000000004">
      <c r="A2">
        <v>1900</v>
      </c>
      <c r="B2" s="3">
        <v>43.8</v>
      </c>
      <c r="C2" s="3">
        <v>23.7</v>
      </c>
      <c r="D2" s="3">
        <f>B2-C2</f>
        <v>20.099999999999998</v>
      </c>
      <c r="K2" s="27">
        <f>1000*(L3-L2)/L2</f>
        <v>49.375</v>
      </c>
      <c r="L2" s="25">
        <v>1600</v>
      </c>
    </row>
    <row r="3" spans="1:12" x14ac:dyDescent="0.55000000000000004">
      <c r="A3">
        <f>A2+1</f>
        <v>1901</v>
      </c>
      <c r="B3" s="3">
        <v>44</v>
      </c>
      <c r="C3" s="3">
        <v>23.7</v>
      </c>
      <c r="D3" s="3">
        <f t="shared" ref="D3:D51" si="0">B3-C3</f>
        <v>20.3</v>
      </c>
      <c r="K3" s="27">
        <f t="shared" ref="K3:K66" si="1">1000*(L4-L3)/L3</f>
        <v>47.051816557474687</v>
      </c>
      <c r="L3" s="25">
        <v>1679</v>
      </c>
    </row>
    <row r="4" spans="1:12" x14ac:dyDescent="0.55000000000000004">
      <c r="A4">
        <f t="shared" ref="A4:A67" si="2">A3+1</f>
        <v>1902</v>
      </c>
      <c r="B4" s="3">
        <v>44.4</v>
      </c>
      <c r="C4" s="3">
        <v>23.7</v>
      </c>
      <c r="D4" s="3">
        <f t="shared" si="0"/>
        <v>20.7</v>
      </c>
      <c r="E4" s="21">
        <v>44.7</v>
      </c>
      <c r="F4" s="21">
        <v>23.7</v>
      </c>
      <c r="G4" s="21">
        <f>E4-F4</f>
        <v>21.000000000000004</v>
      </c>
      <c r="K4" s="27">
        <f t="shared" si="1"/>
        <v>44.937428896473264</v>
      </c>
      <c r="L4" s="25">
        <v>1758</v>
      </c>
    </row>
    <row r="5" spans="1:12" x14ac:dyDescent="0.55000000000000004">
      <c r="A5">
        <f t="shared" si="2"/>
        <v>1903</v>
      </c>
      <c r="B5" s="3">
        <v>45</v>
      </c>
      <c r="C5" s="3">
        <v>23.7</v>
      </c>
      <c r="D5" s="3">
        <f t="shared" si="0"/>
        <v>21.3</v>
      </c>
      <c r="E5" s="21">
        <v>45.528799999999997</v>
      </c>
      <c r="F5" s="21">
        <v>23.661300000000001</v>
      </c>
      <c r="G5" s="21">
        <f t="shared" ref="G5:G68" si="3">E5-F5</f>
        <v>21.867499999999996</v>
      </c>
      <c r="K5" s="27">
        <f t="shared" si="1"/>
        <v>22.863364180729452</v>
      </c>
      <c r="L5" s="25">
        <v>1837</v>
      </c>
    </row>
    <row r="6" spans="1:12" x14ac:dyDescent="0.55000000000000004">
      <c r="A6">
        <f t="shared" si="2"/>
        <v>1904</v>
      </c>
      <c r="B6" s="3">
        <v>45.8</v>
      </c>
      <c r="C6" s="3">
        <v>23.8</v>
      </c>
      <c r="D6" s="3">
        <f t="shared" si="0"/>
        <v>21.999999999999996</v>
      </c>
      <c r="E6" s="21">
        <v>46.290399999999998</v>
      </c>
      <c r="F6" s="21">
        <v>23.6173</v>
      </c>
      <c r="G6" s="21">
        <f t="shared" si="3"/>
        <v>22.673099999999998</v>
      </c>
      <c r="K6" s="27">
        <f t="shared" si="1"/>
        <v>25.545502927088876</v>
      </c>
      <c r="L6" s="25">
        <v>1879</v>
      </c>
    </row>
    <row r="7" spans="1:12" x14ac:dyDescent="0.55000000000000004">
      <c r="A7">
        <f t="shared" si="2"/>
        <v>1905</v>
      </c>
      <c r="B7" s="3">
        <v>46.8</v>
      </c>
      <c r="C7" s="3">
        <v>23.8</v>
      </c>
      <c r="D7" s="3">
        <f t="shared" si="0"/>
        <v>22.999999999999996</v>
      </c>
      <c r="E7" s="21">
        <v>46.9176</v>
      </c>
      <c r="F7" s="21">
        <v>23.5626</v>
      </c>
      <c r="G7" s="21">
        <f t="shared" si="3"/>
        <v>23.355</v>
      </c>
      <c r="K7" s="27">
        <f t="shared" si="1"/>
        <v>26.984950700570835</v>
      </c>
      <c r="L7" s="25">
        <v>1927</v>
      </c>
    </row>
    <row r="8" spans="1:12" x14ac:dyDescent="0.55000000000000004">
      <c r="A8">
        <f t="shared" si="2"/>
        <v>1906</v>
      </c>
      <c r="B8" s="3">
        <v>47.5</v>
      </c>
      <c r="C8" s="3">
        <v>23.7</v>
      </c>
      <c r="D8" s="3">
        <f t="shared" si="0"/>
        <v>23.8</v>
      </c>
      <c r="E8" s="21">
        <v>47.343200000000003</v>
      </c>
      <c r="F8" s="21">
        <v>23.491900000000001</v>
      </c>
      <c r="G8" s="21">
        <f t="shared" si="3"/>
        <v>23.851300000000002</v>
      </c>
      <c r="K8" s="27">
        <f t="shared" si="1"/>
        <v>27.791814047498736</v>
      </c>
      <c r="L8" s="25">
        <v>1979</v>
      </c>
    </row>
    <row r="9" spans="1:12" x14ac:dyDescent="0.55000000000000004">
      <c r="A9">
        <f t="shared" si="2"/>
        <v>1907</v>
      </c>
      <c r="B9" s="3">
        <v>47.8</v>
      </c>
      <c r="C9" s="3">
        <v>23.5</v>
      </c>
      <c r="D9" s="3">
        <f t="shared" si="0"/>
        <v>24.299999999999997</v>
      </c>
      <c r="E9" s="21">
        <v>47.5</v>
      </c>
      <c r="F9" s="21">
        <v>23.4</v>
      </c>
      <c r="G9" s="21">
        <f t="shared" si="3"/>
        <v>24.1</v>
      </c>
      <c r="K9" s="27">
        <f t="shared" si="1"/>
        <v>28.515240904621436</v>
      </c>
      <c r="L9" s="25">
        <v>2034</v>
      </c>
    </row>
    <row r="10" spans="1:12" x14ac:dyDescent="0.55000000000000004">
      <c r="A10">
        <f t="shared" si="2"/>
        <v>1908</v>
      </c>
      <c r="B10" s="3">
        <v>47.7</v>
      </c>
      <c r="C10" s="3">
        <v>23.1</v>
      </c>
      <c r="D10" s="3">
        <f t="shared" si="0"/>
        <v>24.6</v>
      </c>
      <c r="E10" s="21">
        <v>47.331400000000002</v>
      </c>
      <c r="F10" s="21">
        <v>23.1252</v>
      </c>
      <c r="G10" s="21">
        <f t="shared" si="3"/>
        <v>24.206200000000003</v>
      </c>
      <c r="K10" s="27">
        <f t="shared" si="1"/>
        <v>29.636711281070745</v>
      </c>
      <c r="L10" s="25">
        <v>2092</v>
      </c>
    </row>
    <row r="11" spans="1:12" x14ac:dyDescent="0.55000000000000004">
      <c r="A11">
        <f t="shared" si="2"/>
        <v>1909</v>
      </c>
      <c r="B11" s="3">
        <v>47.2</v>
      </c>
      <c r="C11" s="3">
        <v>22.5</v>
      </c>
      <c r="D11" s="3">
        <f t="shared" si="0"/>
        <v>24.700000000000003</v>
      </c>
      <c r="E11" s="21">
        <v>46.890300000000003</v>
      </c>
      <c r="F11" s="21">
        <v>22.620899999999999</v>
      </c>
      <c r="G11" s="21">
        <f t="shared" si="3"/>
        <v>24.269400000000005</v>
      </c>
      <c r="K11" s="27">
        <f t="shared" si="1"/>
        <v>30.176415970287838</v>
      </c>
      <c r="L11" s="25">
        <v>2154</v>
      </c>
    </row>
    <row r="12" spans="1:12" x14ac:dyDescent="0.55000000000000004">
      <c r="A12">
        <f t="shared" si="2"/>
        <v>1910</v>
      </c>
      <c r="B12" s="3">
        <v>46.4</v>
      </c>
      <c r="C12" s="3">
        <v>21.8</v>
      </c>
      <c r="D12" s="3">
        <f t="shared" si="0"/>
        <v>24.599999999999998</v>
      </c>
      <c r="E12" s="21">
        <v>46.273400000000002</v>
      </c>
      <c r="F12" s="21">
        <v>22.053899999999999</v>
      </c>
      <c r="G12" s="21">
        <f t="shared" si="3"/>
        <v>24.219500000000004</v>
      </c>
      <c r="K12" s="27">
        <f t="shared" si="1"/>
        <v>30.64443442992339</v>
      </c>
      <c r="L12" s="25">
        <v>2219</v>
      </c>
    </row>
    <row r="13" spans="1:12" x14ac:dyDescent="0.55000000000000004">
      <c r="A13">
        <f t="shared" si="2"/>
        <v>1911</v>
      </c>
      <c r="B13" s="3">
        <v>45.6</v>
      </c>
      <c r="C13" s="3">
        <v>21.3</v>
      </c>
      <c r="D13" s="3">
        <f t="shared" si="0"/>
        <v>24.3</v>
      </c>
      <c r="E13" s="21">
        <v>45.5777</v>
      </c>
      <c r="F13" s="21">
        <v>21.5913</v>
      </c>
      <c r="G13" s="21">
        <f t="shared" si="3"/>
        <v>23.9864</v>
      </c>
      <c r="K13" s="27">
        <f t="shared" si="1"/>
        <v>31.04503716659379</v>
      </c>
      <c r="L13" s="25">
        <v>2287</v>
      </c>
    </row>
    <row r="14" spans="1:12" x14ac:dyDescent="0.55000000000000004">
      <c r="A14">
        <f t="shared" si="2"/>
        <v>1912</v>
      </c>
      <c r="B14" s="3">
        <v>44.7</v>
      </c>
      <c r="C14" s="3">
        <v>21.1</v>
      </c>
      <c r="D14" s="3">
        <f t="shared" si="0"/>
        <v>23.6</v>
      </c>
      <c r="E14" s="21">
        <v>44.9</v>
      </c>
      <c r="F14" s="21">
        <v>21.4</v>
      </c>
      <c r="G14" s="21">
        <f t="shared" si="3"/>
        <v>23.5</v>
      </c>
      <c r="K14" s="27">
        <f t="shared" si="1"/>
        <v>23.324851569126377</v>
      </c>
      <c r="L14" s="25">
        <v>2358</v>
      </c>
    </row>
    <row r="15" spans="1:12" x14ac:dyDescent="0.55000000000000004">
      <c r="A15">
        <f t="shared" si="2"/>
        <v>1913</v>
      </c>
      <c r="B15" s="3">
        <v>43.9</v>
      </c>
      <c r="C15" s="3">
        <v>21.2</v>
      </c>
      <c r="D15" s="3">
        <f t="shared" si="0"/>
        <v>22.7</v>
      </c>
      <c r="E15" s="21">
        <v>44.195900000000002</v>
      </c>
      <c r="F15" s="21">
        <v>21.493600000000001</v>
      </c>
      <c r="G15" s="21">
        <f t="shared" si="3"/>
        <v>22.702300000000001</v>
      </c>
      <c r="K15" s="27">
        <f t="shared" si="1"/>
        <v>38.95565685868214</v>
      </c>
      <c r="L15" s="25">
        <v>2413</v>
      </c>
    </row>
    <row r="16" spans="1:12" x14ac:dyDescent="0.55000000000000004">
      <c r="A16">
        <f t="shared" si="2"/>
        <v>1914</v>
      </c>
      <c r="B16" s="3">
        <v>43.1</v>
      </c>
      <c r="C16" s="3">
        <v>21.5</v>
      </c>
      <c r="D16" s="3">
        <f t="shared" si="0"/>
        <v>21.6</v>
      </c>
      <c r="E16" s="21">
        <v>43.387300000000003</v>
      </c>
      <c r="F16" s="21">
        <v>21.716799999999999</v>
      </c>
      <c r="G16" s="21">
        <f t="shared" si="3"/>
        <v>21.670500000000004</v>
      </c>
      <c r="K16" s="27">
        <f t="shared" si="1"/>
        <v>31.112883925009971</v>
      </c>
      <c r="L16" s="25">
        <v>2507</v>
      </c>
    </row>
    <row r="17" spans="1:12" x14ac:dyDescent="0.55000000000000004">
      <c r="A17">
        <f t="shared" si="2"/>
        <v>1915</v>
      </c>
      <c r="B17" s="3">
        <v>42.3</v>
      </c>
      <c r="C17" s="3">
        <v>22.1</v>
      </c>
      <c r="D17" s="3">
        <f t="shared" si="0"/>
        <v>20.199999999999996</v>
      </c>
      <c r="E17" s="21">
        <v>42.520800000000001</v>
      </c>
      <c r="F17" s="21">
        <v>21.9832</v>
      </c>
      <c r="G17" s="21">
        <f t="shared" si="3"/>
        <v>20.537600000000001</v>
      </c>
      <c r="K17" s="27">
        <f t="shared" si="1"/>
        <v>30.56092843326886</v>
      </c>
      <c r="L17" s="25">
        <v>2585</v>
      </c>
    </row>
    <row r="18" spans="1:12" x14ac:dyDescent="0.55000000000000004">
      <c r="A18">
        <f t="shared" si="2"/>
        <v>1916</v>
      </c>
      <c r="B18" s="3">
        <v>41.5</v>
      </c>
      <c r="C18" s="3">
        <v>22.4</v>
      </c>
      <c r="D18" s="3">
        <f t="shared" si="0"/>
        <v>19.100000000000001</v>
      </c>
      <c r="E18" s="21">
        <v>41.642899999999997</v>
      </c>
      <c r="F18" s="21">
        <v>22.206399999999999</v>
      </c>
      <c r="G18" s="21">
        <f t="shared" si="3"/>
        <v>19.436499999999999</v>
      </c>
      <c r="K18" s="27">
        <f t="shared" si="1"/>
        <v>30.780780780780781</v>
      </c>
      <c r="L18" s="25">
        <v>2664</v>
      </c>
    </row>
    <row r="19" spans="1:12" x14ac:dyDescent="0.55000000000000004">
      <c r="A19">
        <f t="shared" si="2"/>
        <v>1917</v>
      </c>
      <c r="B19" s="3">
        <v>40.700000000000003</v>
      </c>
      <c r="C19" s="3">
        <v>22.5</v>
      </c>
      <c r="D19" s="3">
        <f t="shared" si="0"/>
        <v>18.200000000000003</v>
      </c>
      <c r="E19" s="21">
        <v>40.799999999999997</v>
      </c>
      <c r="F19" s="21">
        <v>22.3</v>
      </c>
      <c r="G19" s="21">
        <f t="shared" si="3"/>
        <v>18.499999999999996</v>
      </c>
      <c r="K19" s="27">
        <f t="shared" si="1"/>
        <v>29.861616897305172</v>
      </c>
      <c r="L19" s="25">
        <v>2746</v>
      </c>
    </row>
    <row r="20" spans="1:12" x14ac:dyDescent="0.55000000000000004">
      <c r="A20">
        <f t="shared" si="2"/>
        <v>1918</v>
      </c>
      <c r="B20" s="3">
        <v>39.9</v>
      </c>
      <c r="C20" s="3">
        <v>22.2</v>
      </c>
      <c r="D20" s="3">
        <f t="shared" si="0"/>
        <v>17.7</v>
      </c>
      <c r="E20" s="21">
        <v>39.992100000000001</v>
      </c>
      <c r="F20" s="21">
        <v>22.0989</v>
      </c>
      <c r="G20" s="21">
        <f t="shared" si="3"/>
        <v>17.8932</v>
      </c>
      <c r="K20" s="27">
        <f t="shared" si="1"/>
        <v>29.702970297029704</v>
      </c>
      <c r="L20" s="25">
        <v>2828</v>
      </c>
    </row>
    <row r="21" spans="1:12" x14ac:dyDescent="0.55000000000000004">
      <c r="A21">
        <f t="shared" si="2"/>
        <v>1919</v>
      </c>
      <c r="B21" s="3">
        <v>39.200000000000003</v>
      </c>
      <c r="C21" s="3">
        <v>21.8</v>
      </c>
      <c r="D21" s="3">
        <f t="shared" si="0"/>
        <v>17.400000000000002</v>
      </c>
      <c r="E21" s="21">
        <v>39.188000000000002</v>
      </c>
      <c r="F21" s="21">
        <v>21.576599999999999</v>
      </c>
      <c r="G21" s="21">
        <f t="shared" si="3"/>
        <v>17.611400000000003</v>
      </c>
      <c r="K21" s="27">
        <f t="shared" si="1"/>
        <v>29.189560439560438</v>
      </c>
      <c r="L21" s="25">
        <v>2912</v>
      </c>
    </row>
    <row r="22" spans="1:12" x14ac:dyDescent="0.55000000000000004">
      <c r="A22">
        <f t="shared" si="2"/>
        <v>1920</v>
      </c>
      <c r="B22" s="3">
        <v>38.4</v>
      </c>
      <c r="C22" s="3">
        <v>21</v>
      </c>
      <c r="D22" s="3">
        <f t="shared" si="0"/>
        <v>17.399999999999999</v>
      </c>
      <c r="E22" s="21">
        <v>38.387999999999998</v>
      </c>
      <c r="F22" s="21">
        <v>20.854900000000001</v>
      </c>
      <c r="G22" s="21">
        <f t="shared" si="3"/>
        <v>17.533099999999997</v>
      </c>
      <c r="K22" s="27">
        <f t="shared" si="1"/>
        <v>28.695362028695364</v>
      </c>
      <c r="L22" s="25">
        <v>2997</v>
      </c>
    </row>
    <row r="23" spans="1:12" x14ac:dyDescent="0.55000000000000004">
      <c r="A23">
        <f t="shared" si="2"/>
        <v>1921</v>
      </c>
      <c r="B23" s="3">
        <v>37.6</v>
      </c>
      <c r="C23" s="3">
        <v>20.2</v>
      </c>
      <c r="D23" s="3">
        <f t="shared" si="0"/>
        <v>17.400000000000002</v>
      </c>
      <c r="E23" s="21">
        <v>37.591900000000003</v>
      </c>
      <c r="F23" s="21">
        <v>20.055499999999999</v>
      </c>
      <c r="G23" s="21">
        <f t="shared" si="3"/>
        <v>17.536400000000004</v>
      </c>
      <c r="K23" s="27">
        <f t="shared" si="1"/>
        <v>28.219266947778138</v>
      </c>
      <c r="L23" s="25">
        <v>3083</v>
      </c>
    </row>
    <row r="24" spans="1:12" x14ac:dyDescent="0.55000000000000004">
      <c r="A24">
        <f t="shared" si="2"/>
        <v>1922</v>
      </c>
      <c r="B24" s="3">
        <v>36.799999999999997</v>
      </c>
      <c r="C24" s="3">
        <v>19.399999999999999</v>
      </c>
      <c r="D24" s="3">
        <f t="shared" si="0"/>
        <v>17.399999999999999</v>
      </c>
      <c r="E24" s="21">
        <v>36.799999999999997</v>
      </c>
      <c r="F24" s="21">
        <v>19.3</v>
      </c>
      <c r="G24" s="21">
        <f t="shared" si="3"/>
        <v>17.499999999999996</v>
      </c>
      <c r="K24" s="27">
        <f t="shared" si="1"/>
        <v>27.444794952681388</v>
      </c>
      <c r="L24" s="25">
        <v>3170</v>
      </c>
    </row>
    <row r="25" spans="1:12" x14ac:dyDescent="0.55000000000000004">
      <c r="A25">
        <f t="shared" si="2"/>
        <v>1923</v>
      </c>
      <c r="B25" s="3">
        <v>35.9</v>
      </c>
      <c r="C25" s="3">
        <v>18.5</v>
      </c>
      <c r="D25" s="3">
        <f t="shared" si="0"/>
        <v>17.399999999999999</v>
      </c>
      <c r="E25" s="21">
        <v>35.961500000000001</v>
      </c>
      <c r="F25" s="21">
        <v>18.513200000000001</v>
      </c>
      <c r="G25" s="21">
        <f t="shared" si="3"/>
        <v>17.4483</v>
      </c>
      <c r="K25" s="27">
        <f t="shared" si="1"/>
        <v>27.018728891618053</v>
      </c>
      <c r="L25" s="25">
        <v>3257</v>
      </c>
    </row>
    <row r="26" spans="1:12" x14ac:dyDescent="0.55000000000000004">
      <c r="A26">
        <f t="shared" si="2"/>
        <v>1924</v>
      </c>
      <c r="B26" s="3">
        <v>35</v>
      </c>
      <c r="C26" s="3">
        <v>17.600000000000001</v>
      </c>
      <c r="D26" s="3">
        <f t="shared" si="0"/>
        <v>17.399999999999999</v>
      </c>
      <c r="E26" s="21">
        <v>35.076300000000003</v>
      </c>
      <c r="F26" s="21">
        <v>17.607199999999999</v>
      </c>
      <c r="G26" s="21">
        <f t="shared" si="3"/>
        <v>17.469100000000005</v>
      </c>
      <c r="K26" s="27">
        <f t="shared" si="1"/>
        <v>26.00896860986547</v>
      </c>
      <c r="L26" s="25">
        <v>3345</v>
      </c>
    </row>
    <row r="27" spans="1:12" x14ac:dyDescent="0.55000000000000004">
      <c r="A27">
        <f t="shared" si="2"/>
        <v>1925</v>
      </c>
      <c r="B27" s="3">
        <v>34.200000000000003</v>
      </c>
      <c r="C27" s="3">
        <v>16.600000000000001</v>
      </c>
      <c r="D27" s="3">
        <f t="shared" si="0"/>
        <v>17.600000000000001</v>
      </c>
      <c r="E27" s="21">
        <v>34.220399999999998</v>
      </c>
      <c r="F27" s="21">
        <v>16.6845</v>
      </c>
      <c r="G27" s="21">
        <f t="shared" si="3"/>
        <v>17.535899999999998</v>
      </c>
      <c r="K27" s="27">
        <f t="shared" si="1"/>
        <v>25.34965034965035</v>
      </c>
      <c r="L27" s="25">
        <v>3432</v>
      </c>
    </row>
    <row r="28" spans="1:12" x14ac:dyDescent="0.55000000000000004">
      <c r="A28">
        <f t="shared" si="2"/>
        <v>1926</v>
      </c>
      <c r="B28" s="3">
        <v>33.4</v>
      </c>
      <c r="C28" s="3">
        <v>15.8</v>
      </c>
      <c r="D28" s="3">
        <f t="shared" si="0"/>
        <v>17.599999999999998</v>
      </c>
      <c r="E28" s="21">
        <v>33.469700000000003</v>
      </c>
      <c r="F28" s="21">
        <v>15.847899999999999</v>
      </c>
      <c r="G28" s="21">
        <f t="shared" si="3"/>
        <v>17.621800000000004</v>
      </c>
      <c r="K28" s="27">
        <f t="shared" si="1"/>
        <v>24.722932651321397</v>
      </c>
      <c r="L28" s="25">
        <v>3519</v>
      </c>
    </row>
    <row r="29" spans="1:12" x14ac:dyDescent="0.55000000000000004">
      <c r="A29">
        <f t="shared" si="2"/>
        <v>1927</v>
      </c>
      <c r="B29" s="3">
        <v>32.799999999999997</v>
      </c>
      <c r="C29" s="3">
        <v>15.1</v>
      </c>
      <c r="D29" s="3">
        <f t="shared" si="0"/>
        <v>17.699999999999996</v>
      </c>
      <c r="E29" s="21">
        <v>32.9</v>
      </c>
      <c r="F29" s="21">
        <v>15.2</v>
      </c>
      <c r="G29" s="21">
        <f t="shared" si="3"/>
        <v>17.7</v>
      </c>
      <c r="K29" s="27">
        <f t="shared" si="1"/>
        <v>-27.45424292845258</v>
      </c>
      <c r="L29" s="25">
        <v>3606</v>
      </c>
    </row>
    <row r="30" spans="1:12" x14ac:dyDescent="0.55000000000000004">
      <c r="A30">
        <f t="shared" si="2"/>
        <v>1928</v>
      </c>
      <c r="B30" s="3">
        <v>32.299999999999997</v>
      </c>
      <c r="C30" s="3">
        <v>14.5</v>
      </c>
      <c r="D30" s="3">
        <f t="shared" si="0"/>
        <v>17.799999999999997</v>
      </c>
      <c r="E30" s="21">
        <v>32.459299999999999</v>
      </c>
      <c r="F30" s="21">
        <v>14.695399999999999</v>
      </c>
      <c r="G30" s="21">
        <f t="shared" si="3"/>
        <v>17.7639</v>
      </c>
      <c r="K30" s="27">
        <f t="shared" si="1"/>
        <v>19.960079840319363</v>
      </c>
      <c r="L30" s="25">
        <v>3507</v>
      </c>
    </row>
    <row r="31" spans="1:12" x14ac:dyDescent="0.55000000000000004">
      <c r="A31">
        <f t="shared" si="2"/>
        <v>1929</v>
      </c>
      <c r="B31" s="3">
        <v>32</v>
      </c>
      <c r="C31" s="3">
        <v>14.1</v>
      </c>
      <c r="D31" s="3">
        <f t="shared" si="0"/>
        <v>17.899999999999999</v>
      </c>
      <c r="E31" s="21">
        <v>32.058599999999998</v>
      </c>
      <c r="F31" s="21">
        <v>14.2333</v>
      </c>
      <c r="G31" s="21">
        <f t="shared" si="3"/>
        <v>17.825299999999999</v>
      </c>
      <c r="K31" s="27">
        <f t="shared" si="1"/>
        <v>19.569471624266146</v>
      </c>
      <c r="L31" s="25">
        <v>3577</v>
      </c>
    </row>
    <row r="32" spans="1:12" x14ac:dyDescent="0.55000000000000004">
      <c r="A32">
        <f t="shared" si="2"/>
        <v>1930</v>
      </c>
      <c r="B32" s="3">
        <v>31.7</v>
      </c>
      <c r="C32" s="3">
        <v>13.7</v>
      </c>
      <c r="D32" s="3">
        <f t="shared" si="0"/>
        <v>18</v>
      </c>
      <c r="E32" s="21">
        <v>31.7181</v>
      </c>
      <c r="F32" s="21">
        <v>13.833500000000001</v>
      </c>
      <c r="G32" s="21">
        <f t="shared" si="3"/>
        <v>17.884599999999999</v>
      </c>
      <c r="K32" s="27">
        <f t="shared" si="1"/>
        <v>86.372360844529751</v>
      </c>
      <c r="L32" s="25">
        <v>3647</v>
      </c>
    </row>
    <row r="33" spans="1:12" x14ac:dyDescent="0.55000000000000004">
      <c r="A33">
        <f t="shared" si="2"/>
        <v>1931</v>
      </c>
      <c r="B33" s="3">
        <v>31.5</v>
      </c>
      <c r="C33" s="3">
        <v>13.4</v>
      </c>
      <c r="D33" s="3">
        <f t="shared" si="0"/>
        <v>18.100000000000001</v>
      </c>
      <c r="E33" s="21">
        <v>31.458500000000001</v>
      </c>
      <c r="F33" s="21">
        <v>13.5158</v>
      </c>
      <c r="G33" s="21">
        <f t="shared" si="3"/>
        <v>17.942700000000002</v>
      </c>
      <c r="K33" s="27">
        <f t="shared" si="1"/>
        <v>0</v>
      </c>
      <c r="L33" s="25">
        <v>3962</v>
      </c>
    </row>
    <row r="34" spans="1:12" x14ac:dyDescent="0.55000000000000004">
      <c r="A34">
        <f t="shared" si="2"/>
        <v>1932</v>
      </c>
      <c r="B34" s="3">
        <v>31.3</v>
      </c>
      <c r="C34" s="3">
        <v>13.2</v>
      </c>
      <c r="D34" s="3">
        <f t="shared" si="0"/>
        <v>18.100000000000001</v>
      </c>
      <c r="E34" s="21">
        <v>31.3</v>
      </c>
      <c r="F34" s="21">
        <v>13.3</v>
      </c>
      <c r="G34" s="21">
        <f t="shared" si="3"/>
        <v>18</v>
      </c>
      <c r="K34" s="27">
        <f t="shared" si="1"/>
        <v>0</v>
      </c>
      <c r="L34" s="25">
        <v>3962</v>
      </c>
    </row>
    <row r="35" spans="1:12" x14ac:dyDescent="0.55000000000000004">
      <c r="A35">
        <f t="shared" si="2"/>
        <v>1933</v>
      </c>
      <c r="B35" s="3">
        <v>31.1</v>
      </c>
      <c r="C35" s="3">
        <v>13.1</v>
      </c>
      <c r="D35" s="3">
        <f t="shared" si="0"/>
        <v>18</v>
      </c>
      <c r="E35" s="21">
        <v>31.2041</v>
      </c>
      <c r="F35" s="21">
        <v>13.172000000000001</v>
      </c>
      <c r="G35" s="21">
        <f t="shared" si="3"/>
        <v>18.0321</v>
      </c>
      <c r="K35" s="27">
        <f t="shared" si="1"/>
        <v>19.434628975265017</v>
      </c>
      <c r="L35" s="25">
        <v>3962</v>
      </c>
    </row>
    <row r="36" spans="1:12" x14ac:dyDescent="0.55000000000000004">
      <c r="A36">
        <f t="shared" si="2"/>
        <v>1934</v>
      </c>
      <c r="B36" s="3">
        <v>30.9</v>
      </c>
      <c r="C36" s="3">
        <v>13</v>
      </c>
      <c r="D36" s="3">
        <f t="shared" si="0"/>
        <v>17.899999999999999</v>
      </c>
      <c r="E36" s="21">
        <v>31.121600000000001</v>
      </c>
      <c r="F36" s="21">
        <v>13.086</v>
      </c>
      <c r="G36" s="21">
        <f t="shared" si="3"/>
        <v>18.035600000000002</v>
      </c>
      <c r="K36" s="27">
        <f t="shared" si="1"/>
        <v>7.9227531567219609</v>
      </c>
      <c r="L36" s="25">
        <v>4039</v>
      </c>
    </row>
    <row r="37" spans="1:12" x14ac:dyDescent="0.55000000000000004">
      <c r="A37">
        <f t="shared" si="2"/>
        <v>1935</v>
      </c>
      <c r="B37" s="3">
        <v>30.7</v>
      </c>
      <c r="C37" s="3">
        <v>13</v>
      </c>
      <c r="D37" s="3">
        <f t="shared" si="0"/>
        <v>17.7</v>
      </c>
      <c r="E37" s="21">
        <v>31.057099999999998</v>
      </c>
      <c r="F37" s="21">
        <v>13.013999999999999</v>
      </c>
      <c r="G37" s="21">
        <f t="shared" si="3"/>
        <v>18.043099999999999</v>
      </c>
      <c r="K37" s="27">
        <f t="shared" si="1"/>
        <v>9.3343158929010066</v>
      </c>
      <c r="L37" s="25">
        <v>4071</v>
      </c>
    </row>
    <row r="38" spans="1:12" x14ac:dyDescent="0.55000000000000004">
      <c r="A38">
        <f t="shared" si="2"/>
        <v>1936</v>
      </c>
      <c r="B38" s="3">
        <v>30.7</v>
      </c>
      <c r="C38" s="3">
        <v>12.9</v>
      </c>
      <c r="D38" s="3">
        <f t="shared" si="0"/>
        <v>17.799999999999997</v>
      </c>
      <c r="E38" s="21">
        <v>31.015000000000001</v>
      </c>
      <c r="F38" s="21">
        <v>12.928000000000001</v>
      </c>
      <c r="G38" s="21">
        <f t="shared" si="3"/>
        <v>18.087</v>
      </c>
      <c r="K38" s="27">
        <f t="shared" si="1"/>
        <v>13.628620102214651</v>
      </c>
      <c r="L38" s="25">
        <v>4109</v>
      </c>
    </row>
    <row r="39" spans="1:12" x14ac:dyDescent="0.55000000000000004">
      <c r="A39">
        <f t="shared" si="2"/>
        <v>1937</v>
      </c>
      <c r="B39" s="3">
        <v>30.8</v>
      </c>
      <c r="C39" s="3">
        <v>12.8</v>
      </c>
      <c r="D39" s="3">
        <f t="shared" si="0"/>
        <v>18</v>
      </c>
      <c r="E39" s="21">
        <v>31</v>
      </c>
      <c r="F39" s="21">
        <v>12.8</v>
      </c>
      <c r="G39" s="21">
        <f t="shared" si="3"/>
        <v>18.2</v>
      </c>
      <c r="K39" s="27">
        <f t="shared" si="1"/>
        <v>15.126050420168067</v>
      </c>
      <c r="L39" s="25">
        <v>4165</v>
      </c>
    </row>
    <row r="40" spans="1:12" x14ac:dyDescent="0.55000000000000004">
      <c r="A40">
        <f t="shared" si="2"/>
        <v>1938</v>
      </c>
      <c r="B40" s="3">
        <v>31</v>
      </c>
      <c r="C40" s="3">
        <v>12.5</v>
      </c>
      <c r="D40" s="3">
        <f t="shared" si="0"/>
        <v>18.5</v>
      </c>
      <c r="E40" s="21">
        <v>31.103999999999999</v>
      </c>
      <c r="F40" s="21">
        <v>12.5663</v>
      </c>
      <c r="G40" s="21">
        <f t="shared" si="3"/>
        <v>18.537700000000001</v>
      </c>
      <c r="K40" s="27">
        <f t="shared" si="1"/>
        <v>5.9129612109744558</v>
      </c>
      <c r="L40" s="25">
        <v>4228</v>
      </c>
    </row>
    <row r="41" spans="1:12" x14ac:dyDescent="0.55000000000000004">
      <c r="A41">
        <f t="shared" si="2"/>
        <v>1939</v>
      </c>
      <c r="B41" s="3">
        <v>31.3</v>
      </c>
      <c r="C41" s="3">
        <v>12.2</v>
      </c>
      <c r="D41" s="3">
        <f t="shared" si="0"/>
        <v>19.100000000000001</v>
      </c>
      <c r="E41" s="21">
        <v>31.352</v>
      </c>
      <c r="F41" s="21">
        <v>12.212899999999999</v>
      </c>
      <c r="G41" s="21">
        <f t="shared" si="3"/>
        <v>19.139099999999999</v>
      </c>
      <c r="K41" s="27">
        <f t="shared" si="1"/>
        <v>8.9348695038796144</v>
      </c>
      <c r="L41" s="25">
        <v>4253</v>
      </c>
    </row>
    <row r="42" spans="1:12" x14ac:dyDescent="0.55000000000000004">
      <c r="A42">
        <f t="shared" si="2"/>
        <v>1940</v>
      </c>
      <c r="B42" s="3">
        <v>31.8</v>
      </c>
      <c r="C42" s="3">
        <v>11.8</v>
      </c>
      <c r="D42" s="3">
        <f t="shared" si="0"/>
        <v>20</v>
      </c>
      <c r="E42" s="21">
        <v>31.648</v>
      </c>
      <c r="F42" s="21">
        <v>11.7864</v>
      </c>
      <c r="G42" s="21">
        <f t="shared" si="3"/>
        <v>19.861599999999999</v>
      </c>
      <c r="K42" s="27">
        <f t="shared" si="1"/>
        <v>8.1566068515497552</v>
      </c>
      <c r="L42" s="25">
        <v>4291</v>
      </c>
    </row>
    <row r="43" spans="1:12" x14ac:dyDescent="0.55000000000000004">
      <c r="A43">
        <f t="shared" si="2"/>
        <v>1941</v>
      </c>
      <c r="B43" s="3">
        <v>32.1</v>
      </c>
      <c r="C43" s="3">
        <v>11.4</v>
      </c>
      <c r="D43" s="3">
        <f t="shared" si="0"/>
        <v>20.700000000000003</v>
      </c>
      <c r="E43" s="21">
        <v>31.896000000000001</v>
      </c>
      <c r="F43" s="21">
        <v>11.333299999999999</v>
      </c>
      <c r="G43" s="21">
        <f t="shared" si="3"/>
        <v>20.5627</v>
      </c>
      <c r="K43" s="27">
        <f t="shared" si="1"/>
        <v>10.6333795654184</v>
      </c>
      <c r="L43" s="25">
        <v>4326</v>
      </c>
    </row>
    <row r="44" spans="1:12" x14ac:dyDescent="0.55000000000000004">
      <c r="A44">
        <f t="shared" si="2"/>
        <v>1942</v>
      </c>
      <c r="B44" s="3">
        <v>32.1</v>
      </c>
      <c r="C44" s="3">
        <v>11</v>
      </c>
      <c r="D44" s="3">
        <f t="shared" si="0"/>
        <v>21.1</v>
      </c>
      <c r="E44" s="21">
        <v>32</v>
      </c>
      <c r="F44" s="21">
        <v>10.9</v>
      </c>
      <c r="G44" s="21">
        <f t="shared" si="3"/>
        <v>21.1</v>
      </c>
      <c r="K44" s="27">
        <f t="shared" si="1"/>
        <v>93.092406221408964</v>
      </c>
      <c r="L44" s="25">
        <v>4372</v>
      </c>
    </row>
    <row r="45" spans="1:12" x14ac:dyDescent="0.55000000000000004">
      <c r="A45">
        <f t="shared" si="2"/>
        <v>1943</v>
      </c>
      <c r="B45" s="3">
        <v>31.9</v>
      </c>
      <c r="C45" s="3">
        <v>10.5</v>
      </c>
      <c r="D45" s="3">
        <f t="shared" si="0"/>
        <v>21.4</v>
      </c>
      <c r="E45" s="21">
        <v>31.798400000000001</v>
      </c>
      <c r="F45" s="21">
        <v>10.4625</v>
      </c>
      <c r="G45" s="21">
        <f t="shared" si="3"/>
        <v>21.335900000000002</v>
      </c>
      <c r="K45" s="27">
        <f t="shared" si="1"/>
        <v>14.64741577735928</v>
      </c>
      <c r="L45" s="25">
        <v>4779</v>
      </c>
    </row>
    <row r="46" spans="1:12" x14ac:dyDescent="0.55000000000000004">
      <c r="A46">
        <f t="shared" si="2"/>
        <v>1944</v>
      </c>
      <c r="B46" s="3">
        <v>31.5</v>
      </c>
      <c r="C46" s="3">
        <v>9.9</v>
      </c>
      <c r="D46" s="3">
        <f t="shared" si="0"/>
        <v>21.6</v>
      </c>
      <c r="E46" s="21">
        <v>31.311199999999999</v>
      </c>
      <c r="F46" s="21">
        <v>9.9888999999999992</v>
      </c>
      <c r="G46" s="21">
        <f t="shared" si="3"/>
        <v>21.322299999999998</v>
      </c>
      <c r="K46" s="27">
        <f t="shared" si="1"/>
        <v>17.116931326046608</v>
      </c>
      <c r="L46" s="25">
        <v>4849</v>
      </c>
    </row>
    <row r="47" spans="1:12" x14ac:dyDescent="0.55000000000000004">
      <c r="A47">
        <f t="shared" si="2"/>
        <v>1945</v>
      </c>
      <c r="B47" s="3">
        <v>30.8</v>
      </c>
      <c r="C47" s="3">
        <v>9.4</v>
      </c>
      <c r="D47" s="3">
        <f t="shared" si="0"/>
        <v>21.4</v>
      </c>
      <c r="E47" s="21">
        <v>30.7148</v>
      </c>
      <c r="F47" s="21">
        <v>9.5139999999999993</v>
      </c>
      <c r="G47" s="21">
        <f t="shared" si="3"/>
        <v>21.200800000000001</v>
      </c>
      <c r="K47" s="27">
        <f t="shared" si="1"/>
        <v>21.695052716950528</v>
      </c>
      <c r="L47" s="25">
        <v>4932</v>
      </c>
    </row>
    <row r="48" spans="1:12" x14ac:dyDescent="0.55000000000000004">
      <c r="A48">
        <f t="shared" si="2"/>
        <v>1946</v>
      </c>
      <c r="B48" s="3">
        <v>30.3</v>
      </c>
      <c r="C48" s="3">
        <v>8.9</v>
      </c>
      <c r="D48" s="3">
        <f t="shared" si="0"/>
        <v>21.4</v>
      </c>
      <c r="E48" s="21">
        <v>30.185600000000001</v>
      </c>
      <c r="F48" s="21">
        <v>9.0726999999999993</v>
      </c>
      <c r="G48" s="21">
        <f t="shared" si="3"/>
        <v>21.112900000000003</v>
      </c>
      <c r="K48" s="27">
        <f t="shared" si="1"/>
        <v>22.425084342131374</v>
      </c>
      <c r="L48" s="25">
        <v>5039</v>
      </c>
    </row>
    <row r="49" spans="1:12" x14ac:dyDescent="0.55000000000000004">
      <c r="A49">
        <f t="shared" si="2"/>
        <v>1947</v>
      </c>
      <c r="B49" s="3">
        <v>29.9</v>
      </c>
      <c r="C49" s="3">
        <v>8.6</v>
      </c>
      <c r="D49" s="3">
        <f t="shared" si="0"/>
        <v>21.299999999999997</v>
      </c>
      <c r="E49" s="21">
        <v>29.9</v>
      </c>
      <c r="F49" s="21">
        <v>8.6999999999999993</v>
      </c>
      <c r="G49" s="21">
        <f t="shared" si="3"/>
        <v>21.2</v>
      </c>
      <c r="K49" s="27">
        <f t="shared" si="1"/>
        <v>22.51552795031056</v>
      </c>
      <c r="L49" s="25">
        <v>5152</v>
      </c>
    </row>
    <row r="50" spans="1:12" x14ac:dyDescent="0.55000000000000004">
      <c r="A50">
        <f t="shared" si="2"/>
        <v>1948</v>
      </c>
      <c r="B50" s="3">
        <v>29.6</v>
      </c>
      <c r="C50" s="3">
        <v>8.4</v>
      </c>
      <c r="D50" s="3">
        <f t="shared" si="0"/>
        <v>21.200000000000003</v>
      </c>
      <c r="E50" s="21">
        <v>29.8186</v>
      </c>
      <c r="F50" s="21">
        <v>8.3666999999999998</v>
      </c>
      <c r="G50" s="21">
        <f t="shared" si="3"/>
        <v>21.451900000000002</v>
      </c>
      <c r="K50" s="27">
        <f t="shared" si="1"/>
        <v>22.399392558845861</v>
      </c>
      <c r="L50" s="25">
        <v>5268</v>
      </c>
    </row>
    <row r="51" spans="1:12" x14ac:dyDescent="0.55000000000000004">
      <c r="A51">
        <f t="shared" si="2"/>
        <v>1949</v>
      </c>
      <c r="B51" s="3">
        <v>29.5</v>
      </c>
      <c r="C51" s="3">
        <v>8.3000000000000007</v>
      </c>
      <c r="D51" s="3">
        <f t="shared" si="0"/>
        <v>21.2</v>
      </c>
      <c r="E51" s="21">
        <v>29.7698</v>
      </c>
      <c r="F51" s="21">
        <v>8.0403000000000002</v>
      </c>
      <c r="G51" s="21">
        <f t="shared" si="3"/>
        <v>21.729500000000002</v>
      </c>
      <c r="K51" s="27">
        <f t="shared" si="1"/>
        <v>22.651318232454511</v>
      </c>
      <c r="L51" s="25">
        <v>5386</v>
      </c>
    </row>
    <row r="52" spans="1:12" x14ac:dyDescent="0.55000000000000004">
      <c r="A52">
        <f t="shared" si="2"/>
        <v>1950</v>
      </c>
      <c r="E52" s="21">
        <v>29.7316</v>
      </c>
      <c r="F52" s="21">
        <v>7.7506000000000004</v>
      </c>
      <c r="G52" s="21">
        <f t="shared" si="3"/>
        <v>21.981000000000002</v>
      </c>
      <c r="H52" s="3">
        <v>32.1</v>
      </c>
      <c r="I52" s="3">
        <v>11.2</v>
      </c>
      <c r="J52" s="3">
        <f>H52-I52</f>
        <v>20.900000000000002</v>
      </c>
      <c r="K52" s="27">
        <f t="shared" si="1"/>
        <v>20.515613652868556</v>
      </c>
      <c r="L52" s="25">
        <v>5508</v>
      </c>
    </row>
    <row r="53" spans="1:12" x14ac:dyDescent="0.55000000000000004">
      <c r="A53">
        <f t="shared" si="2"/>
        <v>1951</v>
      </c>
      <c r="E53" s="21">
        <v>29.682300000000001</v>
      </c>
      <c r="F53" s="21">
        <v>7.5273000000000003</v>
      </c>
      <c r="G53" s="21">
        <f t="shared" si="3"/>
        <v>22.155000000000001</v>
      </c>
      <c r="H53" s="3">
        <v>31.4</v>
      </c>
      <c r="I53" s="3">
        <v>10.9</v>
      </c>
      <c r="J53" s="3">
        <f t="shared" ref="J53:J116" si="4">H53-I53</f>
        <v>20.5</v>
      </c>
      <c r="K53" s="27">
        <f t="shared" si="1"/>
        <v>18.502045899306172</v>
      </c>
      <c r="L53" s="25">
        <v>5621</v>
      </c>
    </row>
    <row r="54" spans="1:12" x14ac:dyDescent="0.55000000000000004">
      <c r="A54">
        <f t="shared" si="2"/>
        <v>1952</v>
      </c>
      <c r="E54" s="21">
        <v>29.6</v>
      </c>
      <c r="F54" s="21">
        <v>7.4</v>
      </c>
      <c r="G54" s="21">
        <f t="shared" si="3"/>
        <v>22.200000000000003</v>
      </c>
      <c r="H54" s="3">
        <v>31.3</v>
      </c>
      <c r="I54" s="3">
        <v>10.5</v>
      </c>
      <c r="J54" s="3">
        <f t="shared" si="4"/>
        <v>20.8</v>
      </c>
      <c r="K54" s="27">
        <f t="shared" si="1"/>
        <v>26.375545851528383</v>
      </c>
      <c r="L54" s="25">
        <v>5725</v>
      </c>
    </row>
    <row r="55" spans="1:12" x14ac:dyDescent="0.55000000000000004">
      <c r="A55">
        <f t="shared" si="2"/>
        <v>1953</v>
      </c>
      <c r="E55" s="21">
        <v>29.292899999999999</v>
      </c>
      <c r="F55" s="21">
        <v>7.3348000000000004</v>
      </c>
      <c r="G55" s="21">
        <f t="shared" si="3"/>
        <v>21.958099999999998</v>
      </c>
      <c r="H55" s="3">
        <v>31.2</v>
      </c>
      <c r="I55" s="3">
        <v>10.3</v>
      </c>
      <c r="J55" s="3">
        <f t="shared" si="4"/>
        <v>20.9</v>
      </c>
      <c r="K55" s="27">
        <f t="shared" si="1"/>
        <v>21.102791014295438</v>
      </c>
      <c r="L55" s="25">
        <v>5876</v>
      </c>
    </row>
    <row r="56" spans="1:12" x14ac:dyDescent="0.55000000000000004">
      <c r="A56">
        <f t="shared" si="2"/>
        <v>1954</v>
      </c>
      <c r="E56" s="21">
        <v>28.713999999999999</v>
      </c>
      <c r="F56" s="21">
        <v>7.2797000000000001</v>
      </c>
      <c r="G56" s="21">
        <f t="shared" si="3"/>
        <v>21.4343</v>
      </c>
      <c r="H56" s="3">
        <v>31.2</v>
      </c>
      <c r="I56" s="3">
        <v>10</v>
      </c>
      <c r="J56" s="3">
        <f t="shared" si="4"/>
        <v>21.2</v>
      </c>
      <c r="K56" s="27">
        <f t="shared" si="1"/>
        <v>21.166666666666668</v>
      </c>
      <c r="L56" s="25">
        <v>6000</v>
      </c>
    </row>
    <row r="57" spans="1:12" x14ac:dyDescent="0.55000000000000004">
      <c r="A57">
        <f t="shared" si="2"/>
        <v>1955</v>
      </c>
      <c r="E57" s="21">
        <v>28.058599999999998</v>
      </c>
      <c r="F57" s="21">
        <v>7.2370999999999999</v>
      </c>
      <c r="G57" s="21">
        <f t="shared" si="3"/>
        <v>20.8215</v>
      </c>
      <c r="H57" s="3">
        <v>31.1</v>
      </c>
      <c r="I57" s="3">
        <v>9.8000000000000007</v>
      </c>
      <c r="J57" s="3">
        <f t="shared" si="4"/>
        <v>21.3</v>
      </c>
      <c r="K57" s="27">
        <f t="shared" si="1"/>
        <v>21.054349600130571</v>
      </c>
      <c r="L57" s="25">
        <v>6127</v>
      </c>
    </row>
    <row r="58" spans="1:12" x14ac:dyDescent="0.55000000000000004">
      <c r="A58">
        <f t="shared" si="2"/>
        <v>1956</v>
      </c>
      <c r="E58" s="21">
        <v>27.522200000000002</v>
      </c>
      <c r="F58" s="21">
        <v>7.2096999999999998</v>
      </c>
      <c r="G58" s="21">
        <f t="shared" si="3"/>
        <v>20.3125</v>
      </c>
      <c r="H58" s="3">
        <v>31.1</v>
      </c>
      <c r="I58" s="3">
        <v>9.6</v>
      </c>
      <c r="J58" s="3">
        <f t="shared" si="4"/>
        <v>21.5</v>
      </c>
      <c r="K58" s="27">
        <f t="shared" si="1"/>
        <v>21.099744245524295</v>
      </c>
      <c r="L58" s="25">
        <v>6256</v>
      </c>
    </row>
    <row r="59" spans="1:12" x14ac:dyDescent="0.55000000000000004">
      <c r="A59">
        <f t="shared" si="2"/>
        <v>1957</v>
      </c>
      <c r="E59" s="21">
        <v>27.3</v>
      </c>
      <c r="F59" s="21">
        <v>7.2</v>
      </c>
      <c r="G59" s="21">
        <f t="shared" si="3"/>
        <v>20.100000000000001</v>
      </c>
      <c r="H59" s="3">
        <v>31.1</v>
      </c>
      <c r="I59" s="3">
        <v>9.4</v>
      </c>
      <c r="J59" s="3">
        <f t="shared" si="4"/>
        <v>21.700000000000003</v>
      </c>
      <c r="K59" s="27">
        <f t="shared" si="1"/>
        <v>21.133375078271758</v>
      </c>
      <c r="L59" s="25">
        <v>6388</v>
      </c>
    </row>
    <row r="60" spans="1:12" x14ac:dyDescent="0.55000000000000004">
      <c r="A60">
        <f t="shared" si="2"/>
        <v>1958</v>
      </c>
      <c r="E60" s="21">
        <v>28.007200000000001</v>
      </c>
      <c r="F60" s="21">
        <v>7.2103999999999999</v>
      </c>
      <c r="G60" s="21">
        <f t="shared" si="3"/>
        <v>20.796800000000001</v>
      </c>
      <c r="H60" s="3">
        <v>31.2</v>
      </c>
      <c r="I60" s="3">
        <v>9.1999999999999993</v>
      </c>
      <c r="J60" s="3">
        <f t="shared" si="4"/>
        <v>22</v>
      </c>
      <c r="K60" s="27">
        <f t="shared" si="1"/>
        <v>21.155909857427563</v>
      </c>
      <c r="L60" s="25">
        <v>6523</v>
      </c>
    </row>
    <row r="61" spans="1:12" x14ac:dyDescent="0.55000000000000004">
      <c r="A61">
        <f t="shared" si="2"/>
        <v>1959</v>
      </c>
      <c r="E61" s="21">
        <v>29.6936</v>
      </c>
      <c r="F61" s="21">
        <v>7.2351999999999999</v>
      </c>
      <c r="G61" s="21">
        <f t="shared" si="3"/>
        <v>22.458400000000001</v>
      </c>
      <c r="H61" s="3">
        <v>31.9</v>
      </c>
      <c r="I61" s="3">
        <v>9.1</v>
      </c>
      <c r="J61" s="3">
        <f t="shared" si="4"/>
        <v>22.799999999999997</v>
      </c>
      <c r="K61" s="27">
        <f t="shared" si="1"/>
        <v>20.417354751538809</v>
      </c>
      <c r="L61" s="25">
        <v>6661</v>
      </c>
    </row>
    <row r="62" spans="1:12" x14ac:dyDescent="0.55000000000000004">
      <c r="A62">
        <f t="shared" si="2"/>
        <v>1960</v>
      </c>
      <c r="E62" s="21">
        <v>31.706399999999999</v>
      </c>
      <c r="F62" s="21">
        <v>7.2648000000000001</v>
      </c>
      <c r="G62" s="21">
        <f t="shared" si="3"/>
        <v>24.441599999999998</v>
      </c>
      <c r="H62" s="3">
        <v>32.799999999999997</v>
      </c>
      <c r="I62" s="3">
        <v>8.9</v>
      </c>
      <c r="J62" s="3">
        <f t="shared" si="4"/>
        <v>23.9</v>
      </c>
      <c r="K62" s="27">
        <f t="shared" si="1"/>
        <v>20.008827423863469</v>
      </c>
      <c r="L62" s="25">
        <v>6797</v>
      </c>
    </row>
    <row r="63" spans="1:12" x14ac:dyDescent="0.55000000000000004">
      <c r="A63">
        <f t="shared" si="2"/>
        <v>1961</v>
      </c>
      <c r="E63" s="21">
        <v>33.392800000000001</v>
      </c>
      <c r="F63" s="21">
        <v>7.2896000000000001</v>
      </c>
      <c r="G63" s="21">
        <f t="shared" si="3"/>
        <v>26.103200000000001</v>
      </c>
      <c r="H63" s="3">
        <v>33.700000000000003</v>
      </c>
      <c r="I63" s="3">
        <v>8.8000000000000007</v>
      </c>
      <c r="J63" s="3">
        <f t="shared" si="4"/>
        <v>24.900000000000002</v>
      </c>
      <c r="K63" s="27">
        <f t="shared" si="1"/>
        <v>20.914467041684695</v>
      </c>
      <c r="L63" s="25">
        <v>6933</v>
      </c>
    </row>
    <row r="64" spans="1:12" x14ac:dyDescent="0.55000000000000004">
      <c r="A64">
        <f t="shared" si="2"/>
        <v>1962</v>
      </c>
      <c r="E64" s="21">
        <v>34.1</v>
      </c>
      <c r="F64" s="21">
        <v>7.3</v>
      </c>
      <c r="G64" s="21">
        <f t="shared" si="3"/>
        <v>26.8</v>
      </c>
      <c r="H64" s="3">
        <v>34.6</v>
      </c>
      <c r="I64" s="3">
        <v>8.6</v>
      </c>
      <c r="J64" s="3">
        <f t="shared" si="4"/>
        <v>26</v>
      </c>
      <c r="K64" s="27">
        <f t="shared" si="1"/>
        <v>20.627295846284262</v>
      </c>
      <c r="L64" s="25">
        <v>7078</v>
      </c>
    </row>
    <row r="65" spans="1:12" x14ac:dyDescent="0.55000000000000004">
      <c r="A65">
        <f t="shared" si="2"/>
        <v>1963</v>
      </c>
      <c r="E65" s="21">
        <v>34.010399999999997</v>
      </c>
      <c r="F65" s="21">
        <v>7.2888000000000002</v>
      </c>
      <c r="G65" s="21">
        <f t="shared" si="3"/>
        <v>26.721599999999995</v>
      </c>
      <c r="H65" s="3">
        <v>35.4</v>
      </c>
      <c r="I65" s="3">
        <v>8.6</v>
      </c>
      <c r="J65" s="3">
        <f t="shared" si="4"/>
        <v>26.799999999999997</v>
      </c>
      <c r="K65" s="27">
        <f t="shared" si="1"/>
        <v>20.487264673311184</v>
      </c>
      <c r="L65" s="25">
        <v>7224</v>
      </c>
    </row>
    <row r="66" spans="1:12" x14ac:dyDescent="0.55000000000000004">
      <c r="A66">
        <f t="shared" si="2"/>
        <v>1964</v>
      </c>
      <c r="E66" s="21">
        <v>33.767200000000003</v>
      </c>
      <c r="F66" s="21">
        <v>7.2584</v>
      </c>
      <c r="G66" s="21">
        <f t="shared" si="3"/>
        <v>26.508800000000001</v>
      </c>
      <c r="H66" s="3">
        <v>34.9</v>
      </c>
      <c r="I66" s="3">
        <v>8.3000000000000007</v>
      </c>
      <c r="J66" s="3">
        <f t="shared" si="4"/>
        <v>26.599999999999998</v>
      </c>
      <c r="K66" s="27">
        <f t="shared" si="1"/>
        <v>20.482908301682041</v>
      </c>
      <c r="L66" s="25">
        <v>7372</v>
      </c>
    </row>
    <row r="67" spans="1:12" x14ac:dyDescent="0.55000000000000004">
      <c r="A67">
        <f t="shared" si="2"/>
        <v>1965</v>
      </c>
      <c r="E67" s="21">
        <v>33.408799999999999</v>
      </c>
      <c r="F67" s="21">
        <v>7.2135999999999996</v>
      </c>
      <c r="G67" s="21">
        <f t="shared" si="3"/>
        <v>26.1952</v>
      </c>
      <c r="H67" s="3">
        <v>34.4</v>
      </c>
      <c r="I67" s="3">
        <v>8.1</v>
      </c>
      <c r="J67" s="3">
        <f t="shared" si="4"/>
        <v>26.299999999999997</v>
      </c>
      <c r="K67" s="27">
        <f t="shared" ref="K67:K73" si="5">1000*(L68-L67)/L67</f>
        <v>20.204705569586601</v>
      </c>
      <c r="L67" s="25">
        <v>7523</v>
      </c>
    </row>
    <row r="68" spans="1:12" x14ac:dyDescent="0.55000000000000004">
      <c r="A68">
        <f t="shared" ref="A68:A125" si="6">A67+1</f>
        <v>1966</v>
      </c>
      <c r="E68" s="21">
        <v>32.973599999999998</v>
      </c>
      <c r="F68" s="21">
        <v>7.1592000000000002</v>
      </c>
      <c r="G68" s="21">
        <f t="shared" si="3"/>
        <v>25.814399999999999</v>
      </c>
      <c r="H68" s="3">
        <v>33.4</v>
      </c>
      <c r="I68" s="3">
        <v>7.9</v>
      </c>
      <c r="J68" s="3">
        <f t="shared" si="4"/>
        <v>25.5</v>
      </c>
      <c r="K68" s="27">
        <f t="shared" si="5"/>
        <v>20.195439739413679</v>
      </c>
      <c r="L68" s="25">
        <v>7675</v>
      </c>
    </row>
    <row r="69" spans="1:12" x14ac:dyDescent="0.55000000000000004">
      <c r="A69">
        <f t="shared" si="6"/>
        <v>1967</v>
      </c>
      <c r="E69" s="21">
        <v>32.5</v>
      </c>
      <c r="F69" s="21">
        <v>7.1</v>
      </c>
      <c r="G69" s="21">
        <f t="shared" ref="G69" si="7">E69-F69</f>
        <v>25.4</v>
      </c>
      <c r="H69" s="3">
        <v>32.5</v>
      </c>
      <c r="I69" s="3">
        <v>7.7</v>
      </c>
      <c r="J69" s="3">
        <f t="shared" si="4"/>
        <v>24.8</v>
      </c>
      <c r="K69" s="27">
        <f t="shared" si="5"/>
        <v>20.051085568326947</v>
      </c>
      <c r="L69" s="25">
        <v>7830</v>
      </c>
    </row>
    <row r="70" spans="1:12" x14ac:dyDescent="0.55000000000000004">
      <c r="A70">
        <f t="shared" si="6"/>
        <v>1968</v>
      </c>
      <c r="H70" s="3">
        <v>31.6</v>
      </c>
      <c r="I70" s="3">
        <v>7.5</v>
      </c>
      <c r="J70" s="3">
        <f t="shared" si="4"/>
        <v>24.1</v>
      </c>
      <c r="K70" s="27">
        <f t="shared" si="5"/>
        <v>19.782145987229246</v>
      </c>
      <c r="L70" s="25">
        <v>7987</v>
      </c>
    </row>
    <row r="71" spans="1:12" x14ac:dyDescent="0.55000000000000004">
      <c r="A71">
        <f t="shared" si="6"/>
        <v>1969</v>
      </c>
      <c r="H71" s="3">
        <v>31</v>
      </c>
      <c r="I71" s="3">
        <v>7.3</v>
      </c>
      <c r="J71" s="3">
        <f t="shared" si="4"/>
        <v>23.7</v>
      </c>
      <c r="K71" s="27">
        <f t="shared" si="5"/>
        <v>19.88950276243094</v>
      </c>
      <c r="L71" s="25">
        <v>8145</v>
      </c>
    </row>
    <row r="72" spans="1:12" x14ac:dyDescent="0.55000000000000004">
      <c r="A72">
        <f t="shared" si="6"/>
        <v>1970</v>
      </c>
      <c r="H72" s="3">
        <v>29.9</v>
      </c>
      <c r="I72" s="3">
        <v>7</v>
      </c>
      <c r="J72" s="3">
        <f t="shared" si="4"/>
        <v>22.9</v>
      </c>
      <c r="K72" s="27">
        <f t="shared" si="5"/>
        <v>19.622005537498495</v>
      </c>
      <c r="L72" s="25">
        <v>8307</v>
      </c>
    </row>
    <row r="73" spans="1:12" x14ac:dyDescent="0.55000000000000004">
      <c r="A73">
        <f t="shared" si="6"/>
        <v>1971</v>
      </c>
      <c r="H73" s="3">
        <v>28.5</v>
      </c>
      <c r="I73" s="3">
        <v>6.8</v>
      </c>
      <c r="J73" s="3">
        <f t="shared" si="4"/>
        <v>21.7</v>
      </c>
      <c r="K73" s="27">
        <f t="shared" si="5"/>
        <v>19.598583234946872</v>
      </c>
      <c r="L73" s="25">
        <v>8470</v>
      </c>
    </row>
    <row r="74" spans="1:12" x14ac:dyDescent="0.55000000000000004">
      <c r="A74">
        <f t="shared" si="6"/>
        <v>1972</v>
      </c>
      <c r="H74" s="3">
        <v>27.2</v>
      </c>
      <c r="I74" s="3">
        <v>6.7</v>
      </c>
      <c r="J74" s="3">
        <f t="shared" si="4"/>
        <v>20.5</v>
      </c>
      <c r="K74" s="27"/>
      <c r="L74" s="25">
        <v>8636</v>
      </c>
    </row>
    <row r="75" spans="1:12" x14ac:dyDescent="0.55000000000000004">
      <c r="A75">
        <f t="shared" si="6"/>
        <v>1973</v>
      </c>
      <c r="H75" s="3">
        <v>25.8</v>
      </c>
      <c r="I75" s="3">
        <v>6.6</v>
      </c>
      <c r="J75" s="3">
        <f t="shared" si="4"/>
        <v>19.200000000000003</v>
      </c>
    </row>
    <row r="76" spans="1:12" x14ac:dyDescent="0.55000000000000004">
      <c r="A76">
        <f t="shared" si="6"/>
        <v>1974</v>
      </c>
      <c r="H76" s="3">
        <v>24.1</v>
      </c>
      <c r="I76" s="3">
        <v>6.5</v>
      </c>
      <c r="J76" s="3">
        <f t="shared" si="4"/>
        <v>17.600000000000001</v>
      </c>
    </row>
    <row r="77" spans="1:12" x14ac:dyDescent="0.55000000000000004">
      <c r="A77">
        <f t="shared" si="6"/>
        <v>1975</v>
      </c>
      <c r="H77" s="3">
        <v>21.6</v>
      </c>
      <c r="I77" s="3">
        <v>6.4</v>
      </c>
      <c r="J77" s="3">
        <f t="shared" si="4"/>
        <v>15.200000000000001</v>
      </c>
    </row>
    <row r="78" spans="1:12" x14ac:dyDescent="0.55000000000000004">
      <c r="A78">
        <f t="shared" si="6"/>
        <v>1976</v>
      </c>
      <c r="H78" s="3">
        <v>19.399999999999999</v>
      </c>
      <c r="I78" s="3">
        <v>6.3</v>
      </c>
      <c r="J78" s="3">
        <f t="shared" si="4"/>
        <v>13.099999999999998</v>
      </c>
    </row>
    <row r="79" spans="1:12" x14ac:dyDescent="0.55000000000000004">
      <c r="A79">
        <f t="shared" si="6"/>
        <v>1977</v>
      </c>
      <c r="H79" s="3">
        <v>17.3</v>
      </c>
      <c r="I79" s="3">
        <v>6.2</v>
      </c>
      <c r="J79" s="3">
        <f t="shared" si="4"/>
        <v>11.100000000000001</v>
      </c>
    </row>
    <row r="80" spans="1:12" x14ac:dyDescent="0.55000000000000004">
      <c r="A80">
        <f t="shared" si="6"/>
        <v>1978</v>
      </c>
      <c r="H80" s="3">
        <v>15.1</v>
      </c>
      <c r="I80" s="3">
        <v>6.2</v>
      </c>
      <c r="J80" s="3">
        <f t="shared" si="4"/>
        <v>8.8999999999999986</v>
      </c>
    </row>
    <row r="81" spans="1:10" x14ac:dyDescent="0.55000000000000004">
      <c r="A81">
        <f t="shared" si="6"/>
        <v>1979</v>
      </c>
      <c r="H81" s="3">
        <v>14.6</v>
      </c>
      <c r="I81" s="3">
        <v>6.3</v>
      </c>
      <c r="J81" s="3">
        <f t="shared" si="4"/>
        <v>8.3000000000000007</v>
      </c>
    </row>
    <row r="82" spans="1:10" x14ac:dyDescent="0.55000000000000004">
      <c r="A82">
        <f t="shared" si="6"/>
        <v>1980</v>
      </c>
      <c r="H82" s="3">
        <v>13.9</v>
      </c>
      <c r="I82" s="3">
        <v>6.3</v>
      </c>
      <c r="J82" s="3">
        <f t="shared" si="4"/>
        <v>7.6000000000000005</v>
      </c>
    </row>
    <row r="83" spans="1:10" x14ac:dyDescent="0.55000000000000004">
      <c r="A83">
        <f t="shared" si="6"/>
        <v>1981</v>
      </c>
      <c r="H83" s="3">
        <v>13.9</v>
      </c>
      <c r="I83" s="3">
        <v>6.4</v>
      </c>
      <c r="J83" s="3">
        <f t="shared" si="4"/>
        <v>7.5</v>
      </c>
    </row>
    <row r="84" spans="1:10" x14ac:dyDescent="0.55000000000000004">
      <c r="A84">
        <f t="shared" si="6"/>
        <v>1982</v>
      </c>
      <c r="H84" s="3">
        <v>15.9</v>
      </c>
      <c r="I84" s="3">
        <v>6.3</v>
      </c>
      <c r="J84" s="3">
        <f t="shared" si="4"/>
        <v>9.6000000000000014</v>
      </c>
    </row>
    <row r="85" spans="1:10" x14ac:dyDescent="0.55000000000000004">
      <c r="A85">
        <f t="shared" si="6"/>
        <v>1983</v>
      </c>
      <c r="H85" s="3">
        <v>16.5</v>
      </c>
      <c r="I85" s="3">
        <v>6.3</v>
      </c>
      <c r="J85" s="3">
        <f t="shared" si="4"/>
        <v>10.199999999999999</v>
      </c>
    </row>
    <row r="86" spans="1:10" x14ac:dyDescent="0.55000000000000004">
      <c r="A86">
        <f t="shared" si="6"/>
        <v>1984</v>
      </c>
      <c r="H86" s="3">
        <v>16.5</v>
      </c>
      <c r="I86" s="3">
        <v>6.4</v>
      </c>
      <c r="J86" s="3">
        <f t="shared" si="4"/>
        <v>10.1</v>
      </c>
    </row>
    <row r="87" spans="1:10" x14ac:dyDescent="0.55000000000000004">
      <c r="A87">
        <f t="shared" si="6"/>
        <v>1985</v>
      </c>
      <c r="H87" s="3">
        <v>16.7</v>
      </c>
      <c r="I87" s="3">
        <v>6.6</v>
      </c>
      <c r="J87" s="3">
        <f t="shared" si="4"/>
        <v>10.1</v>
      </c>
    </row>
    <row r="88" spans="1:10" x14ac:dyDescent="0.55000000000000004">
      <c r="A88">
        <f t="shared" si="6"/>
        <v>1986</v>
      </c>
      <c r="H88" s="3">
        <v>17</v>
      </c>
      <c r="I88" s="3">
        <v>6.6</v>
      </c>
      <c r="J88" s="3">
        <f t="shared" si="4"/>
        <v>10.4</v>
      </c>
    </row>
    <row r="89" spans="1:10" x14ac:dyDescent="0.55000000000000004">
      <c r="A89">
        <f t="shared" si="6"/>
        <v>1987</v>
      </c>
      <c r="H89" s="3">
        <v>17.3</v>
      </c>
      <c r="I89" s="3">
        <v>6.7</v>
      </c>
      <c r="J89" s="3">
        <f t="shared" si="4"/>
        <v>10.600000000000001</v>
      </c>
    </row>
    <row r="90" spans="1:10" x14ac:dyDescent="0.55000000000000004">
      <c r="A90">
        <f t="shared" si="6"/>
        <v>1988</v>
      </c>
      <c r="H90" s="3">
        <v>18</v>
      </c>
      <c r="I90" s="3">
        <v>6.8</v>
      </c>
      <c r="J90" s="3">
        <f t="shared" si="4"/>
        <v>11.2</v>
      </c>
    </row>
    <row r="91" spans="1:10" x14ac:dyDescent="0.55000000000000004">
      <c r="A91">
        <f t="shared" si="6"/>
        <v>1989</v>
      </c>
      <c r="H91" s="3">
        <v>17.8</v>
      </c>
      <c r="I91" s="3">
        <v>6.9</v>
      </c>
      <c r="J91" s="3">
        <f t="shared" si="4"/>
        <v>10.9</v>
      </c>
    </row>
    <row r="92" spans="1:10" x14ac:dyDescent="0.55000000000000004">
      <c r="A92">
        <f t="shared" si="6"/>
        <v>1990</v>
      </c>
      <c r="H92" s="3">
        <v>17.600000000000001</v>
      </c>
      <c r="I92" s="3">
        <v>7</v>
      </c>
      <c r="J92" s="3">
        <f t="shared" si="4"/>
        <v>10.600000000000001</v>
      </c>
    </row>
    <row r="93" spans="1:10" x14ac:dyDescent="0.55000000000000004">
      <c r="A93">
        <f t="shared" si="6"/>
        <v>1991</v>
      </c>
      <c r="H93" s="3">
        <v>16.100000000000001</v>
      </c>
      <c r="I93" s="3">
        <v>7.2</v>
      </c>
      <c r="J93" s="3">
        <f t="shared" si="4"/>
        <v>8.9000000000000021</v>
      </c>
    </row>
    <row r="94" spans="1:10" x14ac:dyDescent="0.55000000000000004">
      <c r="A94">
        <f t="shared" si="6"/>
        <v>1992</v>
      </c>
      <c r="H94" s="3">
        <v>15</v>
      </c>
      <c r="I94" s="3">
        <v>7.3</v>
      </c>
      <c r="J94" s="3">
        <f t="shared" si="4"/>
        <v>7.7</v>
      </c>
    </row>
    <row r="95" spans="1:10" x14ac:dyDescent="0.55000000000000004">
      <c r="A95">
        <f t="shared" si="6"/>
        <v>1993</v>
      </c>
      <c r="H95" s="3">
        <v>14.1</v>
      </c>
      <c r="I95" s="3">
        <v>7.4</v>
      </c>
      <c r="J95" s="3">
        <f t="shared" si="4"/>
        <v>6.6999999999999993</v>
      </c>
    </row>
    <row r="96" spans="1:10" x14ac:dyDescent="0.55000000000000004">
      <c r="A96">
        <f t="shared" si="6"/>
        <v>1994</v>
      </c>
      <c r="H96" s="3">
        <v>13.7</v>
      </c>
      <c r="I96" s="3">
        <v>7.4</v>
      </c>
      <c r="J96" s="3">
        <f t="shared" si="4"/>
        <v>6.2999999999999989</v>
      </c>
    </row>
    <row r="97" spans="1:10" x14ac:dyDescent="0.55000000000000004">
      <c r="A97">
        <f t="shared" si="6"/>
        <v>1995</v>
      </c>
      <c r="H97" s="3">
        <v>13.5</v>
      </c>
      <c r="I97" s="3">
        <v>7.4</v>
      </c>
      <c r="J97" s="3">
        <f t="shared" si="4"/>
        <v>6.1</v>
      </c>
    </row>
    <row r="98" spans="1:10" x14ac:dyDescent="0.55000000000000004">
      <c r="A98">
        <f t="shared" si="6"/>
        <v>1996</v>
      </c>
      <c r="H98" s="3">
        <v>13</v>
      </c>
      <c r="I98" s="3">
        <v>7.3</v>
      </c>
      <c r="J98" s="3">
        <f t="shared" si="4"/>
        <v>5.7</v>
      </c>
    </row>
    <row r="99" spans="1:10" x14ac:dyDescent="0.55000000000000004">
      <c r="A99">
        <f t="shared" si="6"/>
        <v>1997</v>
      </c>
      <c r="H99" s="3">
        <v>13.8</v>
      </c>
      <c r="I99" s="3">
        <v>7.3</v>
      </c>
      <c r="J99" s="3">
        <f t="shared" si="4"/>
        <v>6.5000000000000009</v>
      </c>
    </row>
    <row r="100" spans="1:10" x14ac:dyDescent="0.55000000000000004">
      <c r="A100">
        <f t="shared" si="6"/>
        <v>1998</v>
      </c>
      <c r="H100" s="3">
        <v>13.7</v>
      </c>
      <c r="I100" s="3">
        <v>7.2</v>
      </c>
      <c r="J100" s="3">
        <f t="shared" si="4"/>
        <v>6.4999999999999991</v>
      </c>
    </row>
    <row r="101" spans="1:10" x14ac:dyDescent="0.55000000000000004">
      <c r="A101">
        <f t="shared" si="6"/>
        <v>1999</v>
      </c>
      <c r="H101" s="3">
        <v>13.5</v>
      </c>
      <c r="I101" s="3">
        <v>7.2</v>
      </c>
      <c r="J101" s="3">
        <f t="shared" si="4"/>
        <v>6.3</v>
      </c>
    </row>
    <row r="102" spans="1:10" x14ac:dyDescent="0.55000000000000004">
      <c r="A102">
        <f t="shared" si="6"/>
        <v>2000</v>
      </c>
      <c r="H102" s="3">
        <v>12.9</v>
      </c>
      <c r="I102" s="3">
        <v>7.4</v>
      </c>
      <c r="J102" s="3">
        <f t="shared" si="4"/>
        <v>5.5</v>
      </c>
    </row>
    <row r="103" spans="1:10" x14ac:dyDescent="0.55000000000000004">
      <c r="A103">
        <f t="shared" si="6"/>
        <v>2001</v>
      </c>
      <c r="H103" s="3">
        <v>12.4</v>
      </c>
      <c r="I103" s="3">
        <v>7.3</v>
      </c>
      <c r="J103" s="3">
        <f t="shared" si="4"/>
        <v>5.1000000000000005</v>
      </c>
    </row>
    <row r="104" spans="1:10" x14ac:dyDescent="0.55000000000000004">
      <c r="A104">
        <f t="shared" si="6"/>
        <v>2002</v>
      </c>
      <c r="H104" s="3">
        <v>12.5</v>
      </c>
      <c r="I104" s="3">
        <v>7.3</v>
      </c>
      <c r="J104" s="3">
        <f t="shared" si="4"/>
        <v>5.2</v>
      </c>
    </row>
    <row r="105" spans="1:10" x14ac:dyDescent="0.55000000000000004">
      <c r="A105">
        <f t="shared" si="6"/>
        <v>2003</v>
      </c>
      <c r="H105" s="3">
        <v>12.1</v>
      </c>
      <c r="I105" s="3">
        <v>7.1</v>
      </c>
      <c r="J105" s="3">
        <f t="shared" si="4"/>
        <v>5</v>
      </c>
    </row>
    <row r="106" spans="1:10" x14ac:dyDescent="0.55000000000000004">
      <c r="A106">
        <f t="shared" si="6"/>
        <v>2004</v>
      </c>
      <c r="H106" s="3">
        <v>11.3</v>
      </c>
      <c r="I106" s="3">
        <v>7.3</v>
      </c>
      <c r="J106" s="3">
        <f t="shared" si="4"/>
        <v>4.0000000000000009</v>
      </c>
    </row>
    <row r="107" spans="1:10" x14ac:dyDescent="0.55000000000000004">
      <c r="A107">
        <f t="shared" si="6"/>
        <v>2005</v>
      </c>
      <c r="H107" s="3">
        <v>10.6</v>
      </c>
      <c r="I107" s="3">
        <v>7.4</v>
      </c>
      <c r="J107" s="3">
        <f t="shared" si="4"/>
        <v>3.1999999999999993</v>
      </c>
    </row>
    <row r="108" spans="1:10" x14ac:dyDescent="0.55000000000000004">
      <c r="A108">
        <f t="shared" si="6"/>
        <v>2006</v>
      </c>
      <c r="H108" s="3">
        <v>9.9</v>
      </c>
      <c r="I108" s="3">
        <v>7.7</v>
      </c>
      <c r="J108" s="3">
        <f t="shared" si="4"/>
        <v>2.2000000000000002</v>
      </c>
    </row>
    <row r="109" spans="1:10" x14ac:dyDescent="0.55000000000000004">
      <c r="A109">
        <f t="shared" si="6"/>
        <v>2007</v>
      </c>
      <c r="H109" s="3">
        <v>10</v>
      </c>
      <c r="I109" s="3">
        <v>7.8</v>
      </c>
      <c r="J109" s="3">
        <f t="shared" si="4"/>
        <v>2.2000000000000002</v>
      </c>
    </row>
    <row r="110" spans="1:10" x14ac:dyDescent="0.55000000000000004">
      <c r="A110">
        <f t="shared" si="6"/>
        <v>2008</v>
      </c>
      <c r="H110" s="3">
        <v>10.9</v>
      </c>
      <c r="I110" s="3">
        <v>8</v>
      </c>
      <c r="J110" s="3">
        <f t="shared" si="4"/>
        <v>2.9000000000000004</v>
      </c>
    </row>
    <row r="111" spans="1:10" x14ac:dyDescent="0.55000000000000004">
      <c r="A111">
        <f t="shared" si="6"/>
        <v>2009</v>
      </c>
      <c r="H111" s="3">
        <v>11.5</v>
      </c>
      <c r="I111" s="3">
        <v>8.1999999999999993</v>
      </c>
      <c r="J111" s="3">
        <f t="shared" si="4"/>
        <v>3.3000000000000007</v>
      </c>
    </row>
    <row r="112" spans="1:10" x14ac:dyDescent="0.55000000000000004">
      <c r="A112">
        <f t="shared" si="6"/>
        <v>2010</v>
      </c>
      <c r="H112" s="3">
        <v>11.4</v>
      </c>
      <c r="I112" s="3">
        <v>8.1999999999999993</v>
      </c>
      <c r="J112" s="3">
        <f t="shared" si="4"/>
        <v>3.2000000000000011</v>
      </c>
    </row>
    <row r="113" spans="1:10" x14ac:dyDescent="0.55000000000000004">
      <c r="A113">
        <f t="shared" si="6"/>
        <v>2011</v>
      </c>
      <c r="H113" s="3">
        <v>11.8</v>
      </c>
      <c r="I113" s="3">
        <v>8.1999999999999993</v>
      </c>
      <c r="J113" s="3">
        <f t="shared" si="4"/>
        <v>3.6000000000000014</v>
      </c>
    </row>
    <row r="114" spans="1:10" x14ac:dyDescent="0.55000000000000004">
      <c r="A114">
        <f t="shared" si="6"/>
        <v>2012</v>
      </c>
      <c r="H114" s="3">
        <v>11.2</v>
      </c>
      <c r="I114" s="3">
        <v>8.1999999999999993</v>
      </c>
      <c r="J114" s="3">
        <f t="shared" si="4"/>
        <v>3</v>
      </c>
    </row>
    <row r="115" spans="1:10" x14ac:dyDescent="0.55000000000000004">
      <c r="A115">
        <f t="shared" si="6"/>
        <v>2013</v>
      </c>
      <c r="H115" s="3">
        <v>11.2</v>
      </c>
      <c r="I115" s="3">
        <v>8.5</v>
      </c>
      <c r="J115" s="3">
        <f t="shared" si="4"/>
        <v>2.6999999999999993</v>
      </c>
    </row>
    <row r="116" spans="1:10" x14ac:dyDescent="0.55000000000000004">
      <c r="A116">
        <f t="shared" si="6"/>
        <v>2014</v>
      </c>
      <c r="H116" s="3">
        <v>10.9</v>
      </c>
      <c r="I116" s="3">
        <v>8.9</v>
      </c>
      <c r="J116" s="3">
        <f t="shared" si="4"/>
        <v>2</v>
      </c>
    </row>
    <row r="117" spans="1:10" x14ac:dyDescent="0.55000000000000004">
      <c r="A117">
        <f t="shared" si="6"/>
        <v>2015</v>
      </c>
      <c r="H117" s="3">
        <v>10.9</v>
      </c>
      <c r="I117" s="3">
        <v>9.1</v>
      </c>
      <c r="J117" s="3">
        <f t="shared" ref="J117:J125" si="8">H117-I117</f>
        <v>1.8000000000000007</v>
      </c>
    </row>
    <row r="118" spans="1:10" x14ac:dyDescent="0.55000000000000004">
      <c r="A118">
        <f t="shared" si="6"/>
        <v>2016</v>
      </c>
      <c r="H118" s="3">
        <v>10.3</v>
      </c>
      <c r="I118" s="3">
        <v>9.4</v>
      </c>
      <c r="J118" s="3">
        <f t="shared" si="8"/>
        <v>0.90000000000000036</v>
      </c>
    </row>
    <row r="119" spans="1:10" x14ac:dyDescent="0.55000000000000004">
      <c r="A119">
        <f t="shared" si="6"/>
        <v>2017</v>
      </c>
      <c r="H119" s="3">
        <v>10.1</v>
      </c>
      <c r="I119" s="3">
        <v>9.9</v>
      </c>
      <c r="J119" s="3">
        <f t="shared" si="8"/>
        <v>0.19999999999999929</v>
      </c>
    </row>
    <row r="120" spans="1:10" x14ac:dyDescent="0.55000000000000004">
      <c r="A120">
        <f t="shared" si="6"/>
        <v>2018</v>
      </c>
      <c r="H120" s="3">
        <v>10.199999999999999</v>
      </c>
      <c r="I120" s="3">
        <v>9.9</v>
      </c>
      <c r="J120" s="3">
        <f t="shared" si="8"/>
        <v>0.29999999999999893</v>
      </c>
    </row>
    <row r="121" spans="1:10" x14ac:dyDescent="0.55000000000000004">
      <c r="A121">
        <f t="shared" si="6"/>
        <v>2019</v>
      </c>
      <c r="H121" s="3">
        <v>9.6999999999999993</v>
      </c>
      <c r="I121" s="3">
        <v>10</v>
      </c>
      <c r="J121" s="3">
        <f t="shared" si="8"/>
        <v>-0.30000000000000071</v>
      </c>
    </row>
    <row r="122" spans="1:10" x14ac:dyDescent="0.55000000000000004">
      <c r="A122">
        <f t="shared" si="6"/>
        <v>2020</v>
      </c>
      <c r="H122" s="3">
        <v>9.3000000000000007</v>
      </c>
      <c r="I122" s="3">
        <v>10.4</v>
      </c>
      <c r="J122" s="3">
        <f t="shared" si="8"/>
        <v>-1.0999999999999996</v>
      </c>
    </row>
    <row r="123" spans="1:10" x14ac:dyDescent="0.55000000000000004">
      <c r="A123">
        <f t="shared" si="6"/>
        <v>2021</v>
      </c>
      <c r="H123" s="3">
        <v>8.8000000000000007</v>
      </c>
      <c r="I123" s="3">
        <v>15.3</v>
      </c>
      <c r="J123" s="3">
        <f t="shared" si="8"/>
        <v>-6.5</v>
      </c>
    </row>
    <row r="124" spans="1:10" x14ac:dyDescent="0.55000000000000004">
      <c r="A124">
        <f t="shared" si="6"/>
        <v>2022</v>
      </c>
      <c r="H124" s="3">
        <v>8.6999999999999993</v>
      </c>
      <c r="I124" s="3">
        <v>10.3</v>
      </c>
      <c r="J124" s="3">
        <f t="shared" si="8"/>
        <v>-1.6000000000000014</v>
      </c>
    </row>
    <row r="125" spans="1:10" x14ac:dyDescent="0.55000000000000004">
      <c r="A125">
        <f t="shared" si="6"/>
        <v>2023</v>
      </c>
      <c r="H125" s="3">
        <v>8.6999999999999993</v>
      </c>
      <c r="I125" s="3">
        <v>10.1</v>
      </c>
      <c r="J125" s="3">
        <f t="shared" si="8"/>
        <v>-1.4000000000000004</v>
      </c>
    </row>
  </sheetData>
  <pageMargins left="0.7" right="0.7" top="0.75" bottom="0.75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M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M34" sqref="M3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  <col min="12" max="12" width="4.578125" customWidth="1"/>
  </cols>
  <sheetData>
    <row r="1" spans="1:13" x14ac:dyDescent="0.55000000000000004">
      <c r="B1" s="28" t="s">
        <v>115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  <c r="L2" s="13"/>
      <c r="M2" s="13" t="s">
        <v>228</v>
      </c>
    </row>
    <row r="3" spans="1:13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  <c r="L3" s="3"/>
    </row>
    <row r="4" spans="1:13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  <c r="L4" s="3"/>
    </row>
    <row r="5" spans="1:13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  <c r="L5" s="3"/>
    </row>
    <row r="6" spans="1:13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  <c r="L6" s="3"/>
    </row>
    <row r="7" spans="1:13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  <c r="L7" s="3"/>
    </row>
    <row r="8" spans="1:13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  <c r="L8" s="3"/>
    </row>
    <row r="9" spans="1:13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  <c r="L9" s="3"/>
    </row>
    <row r="10" spans="1:13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  <c r="L10" s="3"/>
    </row>
    <row r="11" spans="1:13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  <c r="L11" s="3"/>
    </row>
    <row r="12" spans="1:13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  <c r="L12" s="3"/>
    </row>
    <row r="13" spans="1:13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  <c r="L13" s="3"/>
    </row>
    <row r="14" spans="1:13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  <c r="L14" s="3"/>
    </row>
    <row r="15" spans="1:13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  <c r="L15" s="3"/>
    </row>
    <row r="16" spans="1:13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  <c r="L16" s="3"/>
    </row>
    <row r="17" spans="1:12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  <c r="L17" s="3"/>
    </row>
    <row r="18" spans="1:12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  <c r="L18" s="3"/>
    </row>
    <row r="19" spans="1:12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  <c r="L19" s="3"/>
    </row>
    <row r="20" spans="1:12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  <c r="L20" s="3"/>
    </row>
    <row r="21" spans="1:12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  <c r="L21" s="3"/>
    </row>
    <row r="22" spans="1:12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  <c r="L22" s="3"/>
    </row>
    <row r="23" spans="1:12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  <c r="L23" s="3"/>
    </row>
    <row r="24" spans="1:12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  <c r="L24" s="3"/>
    </row>
    <row r="25" spans="1:12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  <c r="L25" s="3"/>
    </row>
    <row r="26" spans="1:12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  <c r="L26" s="3"/>
    </row>
    <row r="27" spans="1:12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  <c r="L27" s="3"/>
    </row>
    <row r="28" spans="1:12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  <c r="L28" s="3"/>
    </row>
    <row r="29" spans="1:12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  <c r="L29" s="3"/>
    </row>
    <row r="30" spans="1:12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  <c r="L30" s="3"/>
    </row>
    <row r="31" spans="1:12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  <c r="L31" s="3"/>
    </row>
    <row r="32" spans="1:12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  <c r="L32" s="3"/>
    </row>
    <row r="33" spans="1:12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  <c r="L33" s="3"/>
    </row>
    <row r="34" spans="1:12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  <c r="L34" s="3"/>
    </row>
    <row r="35" spans="1:12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  <c r="L35" s="3"/>
    </row>
    <row r="36" spans="1:12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  <c r="L36" s="3"/>
    </row>
    <row r="37" spans="1:12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  <c r="L37" s="3"/>
    </row>
    <row r="38" spans="1:12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  <c r="L38" s="3"/>
    </row>
    <row r="39" spans="1:12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  <c r="L39" s="3"/>
    </row>
    <row r="40" spans="1:12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  <c r="L40" s="3"/>
    </row>
    <row r="41" spans="1:12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  <c r="L41" s="3"/>
    </row>
    <row r="42" spans="1:12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  <c r="L42" s="3"/>
    </row>
    <row r="43" spans="1:12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  <c r="L43" s="3"/>
    </row>
    <row r="44" spans="1:12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  <c r="L44" s="3"/>
    </row>
    <row r="45" spans="1:12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  <c r="L45" s="3"/>
    </row>
    <row r="46" spans="1:12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  <c r="L46" s="3"/>
    </row>
    <row r="47" spans="1:12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  <c r="L47" s="3"/>
    </row>
    <row r="48" spans="1:12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  <c r="L48" s="3"/>
    </row>
    <row r="49" spans="1:12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  <c r="L49" s="3"/>
    </row>
    <row r="50" spans="1:12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  <c r="L50" s="3"/>
    </row>
    <row r="51" spans="1:12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0</v>
      </c>
      <c r="H51" s="1">
        <f t="shared" si="0"/>
        <v>1950</v>
      </c>
      <c r="I51" s="3">
        <f t="shared" si="1"/>
        <v>29.7316</v>
      </c>
      <c r="J51" s="3">
        <f t="shared" si="2"/>
        <v>7.7506000000000004</v>
      </c>
      <c r="K51" s="3">
        <f t="shared" si="3"/>
        <v>21.981000000000002</v>
      </c>
      <c r="L51" s="3"/>
    </row>
    <row r="52" spans="1:12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0</v>
      </c>
      <c r="H52" s="1">
        <f t="shared" si="0"/>
        <v>1951</v>
      </c>
      <c r="I52" s="3">
        <f t="shared" si="1"/>
        <v>29.682300000000001</v>
      </c>
      <c r="J52" s="3">
        <f t="shared" si="2"/>
        <v>7.5273000000000003</v>
      </c>
      <c r="K52" s="3">
        <f t="shared" si="3"/>
        <v>22.155000000000001</v>
      </c>
      <c r="L52" s="3"/>
    </row>
    <row r="53" spans="1:12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0</v>
      </c>
      <c r="H53" s="1">
        <f t="shared" si="0"/>
        <v>1952</v>
      </c>
      <c r="I53" s="3">
        <f t="shared" si="1"/>
        <v>29.6</v>
      </c>
      <c r="J53" s="3">
        <f t="shared" si="2"/>
        <v>7.4</v>
      </c>
      <c r="K53" s="3">
        <f t="shared" si="3"/>
        <v>22.200000000000003</v>
      </c>
      <c r="L53" s="3"/>
    </row>
    <row r="54" spans="1:12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0</v>
      </c>
      <c r="H54" s="1">
        <f t="shared" si="0"/>
        <v>1953</v>
      </c>
      <c r="I54" s="3">
        <f t="shared" si="1"/>
        <v>29.292899999999999</v>
      </c>
      <c r="J54" s="3">
        <f t="shared" si="2"/>
        <v>7.3348000000000004</v>
      </c>
      <c r="K54" s="3">
        <f t="shared" si="3"/>
        <v>21.958099999999998</v>
      </c>
      <c r="L54" s="3"/>
    </row>
    <row r="55" spans="1:12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0</v>
      </c>
      <c r="H55" s="1">
        <f t="shared" si="0"/>
        <v>1954</v>
      </c>
      <c r="I55" s="3">
        <f t="shared" si="1"/>
        <v>28.713999999999999</v>
      </c>
      <c r="J55" s="3">
        <f t="shared" si="2"/>
        <v>7.2797000000000001</v>
      </c>
      <c r="K55" s="3">
        <f t="shared" si="3"/>
        <v>21.4343</v>
      </c>
      <c r="L55" s="3"/>
    </row>
    <row r="56" spans="1:12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0</v>
      </c>
      <c r="H56" s="1">
        <f t="shared" si="0"/>
        <v>1955</v>
      </c>
      <c r="I56" s="3">
        <f t="shared" si="1"/>
        <v>28.058599999999998</v>
      </c>
      <c r="J56" s="3">
        <f t="shared" si="2"/>
        <v>7.2370999999999999</v>
      </c>
      <c r="K56" s="3">
        <f t="shared" si="3"/>
        <v>20.8215</v>
      </c>
      <c r="L56" s="3"/>
    </row>
    <row r="57" spans="1:12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0</v>
      </c>
      <c r="H57" s="1">
        <f t="shared" si="0"/>
        <v>1956</v>
      </c>
      <c r="I57" s="3">
        <f t="shared" si="1"/>
        <v>27.522200000000002</v>
      </c>
      <c r="J57" s="3">
        <f t="shared" si="2"/>
        <v>7.2096999999999998</v>
      </c>
      <c r="K57" s="3">
        <f t="shared" si="3"/>
        <v>20.3125</v>
      </c>
      <c r="L57" s="3"/>
    </row>
    <row r="58" spans="1:12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0</v>
      </c>
      <c r="H58" s="1">
        <f t="shared" si="0"/>
        <v>1957</v>
      </c>
      <c r="I58" s="3">
        <f t="shared" si="1"/>
        <v>27.3</v>
      </c>
      <c r="J58" s="3">
        <f t="shared" si="2"/>
        <v>7.2</v>
      </c>
      <c r="K58" s="3">
        <f t="shared" si="3"/>
        <v>20.100000000000001</v>
      </c>
      <c r="L58" s="3"/>
    </row>
    <row r="59" spans="1:12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0</v>
      </c>
      <c r="H59" s="1">
        <f t="shared" si="0"/>
        <v>1958</v>
      </c>
      <c r="I59" s="3">
        <f t="shared" si="1"/>
        <v>28.007200000000001</v>
      </c>
      <c r="J59" s="3">
        <f t="shared" si="2"/>
        <v>7.2103999999999999</v>
      </c>
      <c r="K59" s="3">
        <f t="shared" si="3"/>
        <v>20.796800000000001</v>
      </c>
      <c r="L59" s="3"/>
    </row>
    <row r="60" spans="1:12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0</v>
      </c>
      <c r="H60" s="1">
        <f t="shared" si="0"/>
        <v>1959</v>
      </c>
      <c r="I60" s="3">
        <f t="shared" si="1"/>
        <v>29.6936</v>
      </c>
      <c r="J60" s="3">
        <f t="shared" si="2"/>
        <v>7.2351999999999999</v>
      </c>
      <c r="K60" s="3">
        <f t="shared" si="3"/>
        <v>22.458400000000001</v>
      </c>
      <c r="L60" s="3"/>
    </row>
    <row r="61" spans="1:12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0</v>
      </c>
      <c r="H61" s="1">
        <f t="shared" si="0"/>
        <v>1960</v>
      </c>
      <c r="I61" s="3">
        <f t="shared" si="1"/>
        <v>31.706399999999999</v>
      </c>
      <c r="J61" s="3">
        <f t="shared" si="2"/>
        <v>7.2648000000000001</v>
      </c>
      <c r="K61" s="3">
        <f t="shared" si="3"/>
        <v>24.441599999999998</v>
      </c>
      <c r="L61" s="3"/>
    </row>
    <row r="62" spans="1:12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0</v>
      </c>
      <c r="H62" s="1">
        <f t="shared" si="0"/>
        <v>1961</v>
      </c>
      <c r="I62" s="3">
        <f t="shared" si="1"/>
        <v>33.392800000000001</v>
      </c>
      <c r="J62" s="3">
        <f t="shared" si="2"/>
        <v>7.2896000000000001</v>
      </c>
      <c r="K62" s="3">
        <f t="shared" si="3"/>
        <v>26.103200000000001</v>
      </c>
      <c r="L62" s="3"/>
    </row>
    <row r="63" spans="1:12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0</v>
      </c>
      <c r="H63" s="1">
        <f t="shared" si="0"/>
        <v>1962</v>
      </c>
      <c r="I63" s="3">
        <f t="shared" si="1"/>
        <v>34.1</v>
      </c>
      <c r="J63" s="3">
        <f t="shared" si="2"/>
        <v>7.3</v>
      </c>
      <c r="K63" s="3">
        <f t="shared" si="3"/>
        <v>26.8</v>
      </c>
      <c r="L63" s="3"/>
    </row>
    <row r="64" spans="1:12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0</v>
      </c>
      <c r="H64" s="1">
        <f t="shared" si="0"/>
        <v>1963</v>
      </c>
      <c r="I64" s="3">
        <f t="shared" si="1"/>
        <v>34.010399999999997</v>
      </c>
      <c r="J64" s="3">
        <f t="shared" si="2"/>
        <v>7.2888000000000002</v>
      </c>
      <c r="K64" s="3">
        <f t="shared" si="3"/>
        <v>26.721599999999995</v>
      </c>
      <c r="L64" s="3"/>
    </row>
    <row r="65" spans="1:13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0</v>
      </c>
      <c r="H65" s="1">
        <f t="shared" si="0"/>
        <v>1964</v>
      </c>
      <c r="I65" s="3">
        <f t="shared" si="1"/>
        <v>33.767200000000003</v>
      </c>
      <c r="J65" s="3">
        <f t="shared" si="2"/>
        <v>7.2584</v>
      </c>
      <c r="K65" s="3">
        <f t="shared" si="3"/>
        <v>26.508800000000001</v>
      </c>
      <c r="L65" s="3"/>
    </row>
    <row r="66" spans="1:13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0</v>
      </c>
      <c r="H66" s="1">
        <f t="shared" si="0"/>
        <v>1965</v>
      </c>
      <c r="I66" s="3">
        <f t="shared" si="1"/>
        <v>33.408799999999999</v>
      </c>
      <c r="J66" s="3">
        <f t="shared" si="2"/>
        <v>7.2135999999999996</v>
      </c>
      <c r="K66" s="3">
        <f t="shared" si="3"/>
        <v>26.1952</v>
      </c>
      <c r="L66" s="3"/>
    </row>
    <row r="67" spans="1:13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0</v>
      </c>
      <c r="H67" s="1">
        <f t="shared" si="0"/>
        <v>1966</v>
      </c>
      <c r="I67" s="3">
        <f t="shared" si="1"/>
        <v>32.973599999999998</v>
      </c>
      <c r="J67" s="3">
        <f t="shared" si="2"/>
        <v>7.1592000000000002</v>
      </c>
      <c r="K67" s="3">
        <f t="shared" si="3"/>
        <v>25.814399999999999</v>
      </c>
      <c r="L67" s="3"/>
    </row>
    <row r="68" spans="1:13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0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7.1</v>
      </c>
      <c r="K68" s="3">
        <f t="shared" ref="K68:K124" si="7">I68-J68</f>
        <v>25.4</v>
      </c>
      <c r="L68" s="3"/>
    </row>
    <row r="69" spans="1:13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>M69</f>
        <v>7.0659999999999998</v>
      </c>
      <c r="K69" s="3">
        <f t="shared" si="7"/>
        <v>24.534000000000002</v>
      </c>
      <c r="L69" s="3"/>
      <c r="M69">
        <v>7.0659999999999998</v>
      </c>
    </row>
    <row r="70" spans="1:13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>M70</f>
        <v>7.0330000000000004</v>
      </c>
      <c r="K70" s="3">
        <f t="shared" si="7"/>
        <v>23.966999999999999</v>
      </c>
      <c r="L70" s="3"/>
      <c r="M70">
        <v>7.0330000000000004</v>
      </c>
    </row>
    <row r="71" spans="1:13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  <c r="L71" s="3"/>
    </row>
    <row r="72" spans="1:13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  <c r="L72" s="3"/>
    </row>
    <row r="73" spans="1:13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  <c r="L73" s="3"/>
    </row>
    <row r="74" spans="1:13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  <c r="L74" s="3"/>
    </row>
    <row r="75" spans="1:13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  <c r="L75" s="3"/>
    </row>
    <row r="76" spans="1:13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  <c r="L76" s="3"/>
    </row>
    <row r="77" spans="1:13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  <c r="L77" s="3"/>
    </row>
    <row r="78" spans="1:13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  <c r="L78" s="3"/>
    </row>
    <row r="79" spans="1:13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  <c r="L79" s="3"/>
    </row>
    <row r="80" spans="1:13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  <c r="L80" s="3"/>
    </row>
    <row r="81" spans="1:12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  <c r="L81" s="3"/>
    </row>
    <row r="82" spans="1:12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  <c r="L82" s="3"/>
    </row>
    <row r="83" spans="1:12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  <c r="L83" s="3"/>
    </row>
    <row r="84" spans="1:12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  <c r="L84" s="3"/>
    </row>
    <row r="85" spans="1:12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  <c r="L85" s="3"/>
    </row>
    <row r="86" spans="1:12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  <c r="L86" s="3"/>
    </row>
    <row r="87" spans="1:12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  <c r="L87" s="3"/>
    </row>
    <row r="88" spans="1:12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  <c r="L88" s="3"/>
    </row>
    <row r="89" spans="1:12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  <c r="L89" s="3"/>
    </row>
    <row r="90" spans="1:12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  <c r="L90" s="3"/>
    </row>
    <row r="91" spans="1:12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  <c r="L91" s="3"/>
    </row>
    <row r="92" spans="1:12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  <c r="L92" s="3"/>
    </row>
    <row r="93" spans="1:12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  <c r="L93" s="3"/>
    </row>
    <row r="94" spans="1:12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  <c r="L94" s="3"/>
    </row>
    <row r="95" spans="1:12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  <c r="L95" s="3"/>
    </row>
    <row r="96" spans="1:12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  <c r="L96" s="3"/>
    </row>
    <row r="97" spans="1:12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  <c r="L97" s="3"/>
    </row>
    <row r="98" spans="1:12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  <c r="L98" s="3"/>
    </row>
    <row r="99" spans="1:12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  <c r="L99" s="3"/>
    </row>
    <row r="100" spans="1:12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  <c r="L100" s="3"/>
    </row>
    <row r="101" spans="1:12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  <c r="L101" s="3"/>
    </row>
    <row r="102" spans="1:12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  <c r="L102" s="3"/>
    </row>
    <row r="103" spans="1:12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  <c r="L103" s="3"/>
    </row>
    <row r="104" spans="1:12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  <c r="L104" s="3"/>
    </row>
    <row r="105" spans="1:12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  <c r="L105" s="3"/>
    </row>
    <row r="106" spans="1:12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  <c r="L106" s="3"/>
    </row>
    <row r="107" spans="1:12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  <c r="L107" s="3"/>
    </row>
    <row r="108" spans="1:12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  <c r="L108" s="3"/>
    </row>
    <row r="109" spans="1:12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  <c r="L109" s="3"/>
    </row>
    <row r="110" spans="1:12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  <c r="L110" s="3"/>
    </row>
    <row r="111" spans="1:12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  <c r="L111" s="3"/>
    </row>
    <row r="112" spans="1:12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  <c r="L112" s="3"/>
    </row>
    <row r="113" spans="1:12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  <c r="L113" s="3"/>
    </row>
    <row r="114" spans="1:12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  <c r="L114" s="3"/>
    </row>
    <row r="115" spans="1:12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  <c r="L115" s="3"/>
    </row>
    <row r="116" spans="1:12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  <c r="L116" s="3"/>
    </row>
    <row r="117" spans="1:12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  <c r="L117" s="3"/>
    </row>
    <row r="118" spans="1:12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  <c r="L118" s="3"/>
    </row>
    <row r="119" spans="1:12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  <c r="L119" s="3"/>
    </row>
    <row r="120" spans="1:12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  <c r="L120" s="3"/>
    </row>
    <row r="121" spans="1:12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  <c r="L121" s="3"/>
    </row>
    <row r="122" spans="1:12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  <c r="L122" s="3"/>
    </row>
    <row r="123" spans="1:12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  <c r="L123" s="3"/>
    </row>
    <row r="124" spans="1:12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  <c r="L124" s="3"/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M24" sqref="AM24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160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8" t="s">
        <v>100</v>
      </c>
      <c r="C1" s="28"/>
      <c r="D1" s="28" t="s">
        <v>75</v>
      </c>
      <c r="E1" s="28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1">B4</f>
        <v>47.427</v>
      </c>
      <c r="G4" s="3">
        <f t="shared" ref="G4:G54" si="2">C4</f>
        <v>34.536000000000001</v>
      </c>
      <c r="I4" s="17">
        <f t="shared" si="0"/>
        <v>1896</v>
      </c>
      <c r="J4" s="3">
        <f t="shared" ref="J4:K67" si="3">F4</f>
        <v>47.427</v>
      </c>
      <c r="K4" s="3">
        <f t="shared" si="3"/>
        <v>34.536000000000001</v>
      </c>
      <c r="L4" s="3">
        <f t="shared" ref="L4:L67" si="4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2"/>
        <v>34.451000000000001</v>
      </c>
      <c r="I5" s="17">
        <f t="shared" si="0"/>
        <v>1897</v>
      </c>
      <c r="J5" s="3">
        <f t="shared" si="3"/>
        <v>47.347999999999999</v>
      </c>
      <c r="K5" s="3">
        <f t="shared" si="3"/>
        <v>34.451000000000001</v>
      </c>
      <c r="L5" s="3">
        <f t="shared" si="4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2"/>
        <v>34.316000000000003</v>
      </c>
      <c r="I6" s="17">
        <f t="shared" si="0"/>
        <v>1898</v>
      </c>
      <c r="J6" s="3">
        <f t="shared" si="3"/>
        <v>47.220999999999997</v>
      </c>
      <c r="K6" s="3">
        <f t="shared" si="3"/>
        <v>34.316000000000003</v>
      </c>
      <c r="L6" s="3">
        <f t="shared" si="4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2"/>
        <v>34.130000000000003</v>
      </c>
      <c r="I7" s="17">
        <f t="shared" si="0"/>
        <v>1899</v>
      </c>
      <c r="J7" s="3">
        <f t="shared" si="3"/>
        <v>47.048999999999999</v>
      </c>
      <c r="K7" s="3">
        <f t="shared" si="3"/>
        <v>34.130000000000003</v>
      </c>
      <c r="L7" s="3">
        <f t="shared" si="4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2"/>
        <v>33.863</v>
      </c>
      <c r="I8" s="17">
        <f t="shared" si="0"/>
        <v>1900</v>
      </c>
      <c r="J8" s="3">
        <f t="shared" si="3"/>
        <v>46.783999999999999</v>
      </c>
      <c r="K8" s="3">
        <f t="shared" si="3"/>
        <v>33.863</v>
      </c>
      <c r="L8" s="3">
        <f t="shared" si="4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2"/>
        <v>33.630000000000003</v>
      </c>
      <c r="I9" s="17">
        <f t="shared" si="0"/>
        <v>1901</v>
      </c>
      <c r="J9" s="3">
        <f t="shared" si="3"/>
        <v>46.606000000000002</v>
      </c>
      <c r="K9" s="3">
        <f t="shared" si="3"/>
        <v>33.630000000000003</v>
      </c>
      <c r="L9" s="3">
        <f t="shared" si="4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2"/>
        <v>33.398000000000003</v>
      </c>
      <c r="I10" s="17">
        <f t="shared" si="0"/>
        <v>1902</v>
      </c>
      <c r="J10" s="3">
        <f t="shared" si="3"/>
        <v>46.463999999999999</v>
      </c>
      <c r="K10" s="3">
        <f t="shared" si="3"/>
        <v>33.398000000000003</v>
      </c>
      <c r="L10" s="3">
        <f t="shared" si="4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2"/>
        <v>33.171999999999997</v>
      </c>
      <c r="I11" s="17">
        <f t="shared" si="0"/>
        <v>1903</v>
      </c>
      <c r="J11" s="3">
        <f t="shared" si="3"/>
        <v>46.363999999999997</v>
      </c>
      <c r="K11" s="3">
        <f t="shared" si="3"/>
        <v>33.171999999999997</v>
      </c>
      <c r="L11" s="3">
        <f t="shared" si="4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2"/>
        <v>32.966000000000001</v>
      </c>
      <c r="I12" s="17">
        <f t="shared" si="0"/>
        <v>1904</v>
      </c>
      <c r="J12" s="3">
        <f t="shared" si="3"/>
        <v>46.298999999999999</v>
      </c>
      <c r="K12" s="3">
        <f t="shared" si="3"/>
        <v>32.966000000000001</v>
      </c>
      <c r="L12" s="3">
        <f t="shared" si="4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2"/>
        <v>32.942599999999999</v>
      </c>
      <c r="I13" s="17">
        <f t="shared" si="0"/>
        <v>1905</v>
      </c>
      <c r="J13" s="3">
        <f t="shared" si="3"/>
        <v>46.332000000000001</v>
      </c>
      <c r="K13" s="3">
        <f t="shared" si="3"/>
        <v>32.942599999999999</v>
      </c>
      <c r="L13" s="3">
        <f t="shared" si="4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2"/>
        <v>32.919199999999996</v>
      </c>
      <c r="I14" s="17">
        <f t="shared" si="0"/>
        <v>1906</v>
      </c>
      <c r="J14" s="3">
        <f t="shared" si="3"/>
        <v>46.231000000000002</v>
      </c>
      <c r="K14" s="3">
        <f t="shared" si="3"/>
        <v>32.919199999999996</v>
      </c>
      <c r="L14" s="3">
        <f t="shared" si="4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2"/>
        <v>32.895800000000001</v>
      </c>
      <c r="I15" s="17">
        <f t="shared" si="0"/>
        <v>1907</v>
      </c>
      <c r="J15" s="3">
        <f t="shared" si="3"/>
        <v>46.058</v>
      </c>
      <c r="K15" s="3">
        <f t="shared" si="3"/>
        <v>32.895800000000001</v>
      </c>
      <c r="L15" s="3">
        <f t="shared" si="4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2"/>
        <v>32.872399999999999</v>
      </c>
      <c r="I16" s="17">
        <f t="shared" si="0"/>
        <v>1908</v>
      </c>
      <c r="J16" s="3">
        <f t="shared" si="3"/>
        <v>45.79</v>
      </c>
      <c r="K16" s="3">
        <f t="shared" si="3"/>
        <v>32.872399999999999</v>
      </c>
      <c r="L16" s="3">
        <f t="shared" si="4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2"/>
        <v>32.848999999999997</v>
      </c>
      <c r="I17" s="17">
        <f t="shared" si="0"/>
        <v>1909</v>
      </c>
      <c r="J17" s="3">
        <f t="shared" si="3"/>
        <v>45.6</v>
      </c>
      <c r="K17" s="3">
        <f t="shared" si="3"/>
        <v>32.848999999999997</v>
      </c>
      <c r="L17" s="3">
        <f t="shared" si="4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1"/>
        <v>44.753999999999998</v>
      </c>
      <c r="G18" s="3">
        <f t="shared" si="2"/>
        <v>39.755000000000003</v>
      </c>
      <c r="I18" s="17">
        <f t="shared" si="0"/>
        <v>1910</v>
      </c>
      <c r="J18" s="3">
        <f t="shared" si="3"/>
        <v>44.753999999999998</v>
      </c>
      <c r="K18" s="3">
        <f t="shared" si="3"/>
        <v>39.755000000000003</v>
      </c>
      <c r="L18" s="3">
        <f t="shared" si="4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1"/>
        <v>44.027999999999999</v>
      </c>
      <c r="G19" s="3">
        <f t="shared" si="2"/>
        <v>43.747999999999998</v>
      </c>
      <c r="I19" s="17">
        <f t="shared" si="0"/>
        <v>1911</v>
      </c>
      <c r="J19" s="3">
        <f t="shared" si="3"/>
        <v>44.027999999999999</v>
      </c>
      <c r="K19" s="3">
        <f t="shared" si="3"/>
        <v>43.747999999999998</v>
      </c>
      <c r="L19" s="3">
        <f t="shared" si="4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1"/>
        <v>43.237000000000002</v>
      </c>
      <c r="G20" s="3">
        <f t="shared" si="2"/>
        <v>47.228000000000002</v>
      </c>
      <c r="I20" s="17">
        <f t="shared" si="0"/>
        <v>1912</v>
      </c>
      <c r="J20" s="3">
        <f t="shared" si="3"/>
        <v>43.237000000000002</v>
      </c>
      <c r="K20" s="3">
        <f t="shared" si="3"/>
        <v>47.228000000000002</v>
      </c>
      <c r="L20" s="3">
        <f t="shared" si="4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1"/>
        <v>42.4</v>
      </c>
      <c r="G21" s="3">
        <f t="shared" si="2"/>
        <v>49.844999999999999</v>
      </c>
      <c r="I21" s="17">
        <f t="shared" si="0"/>
        <v>1913</v>
      </c>
      <c r="J21" s="3">
        <f t="shared" si="3"/>
        <v>42.4</v>
      </c>
      <c r="K21" s="3">
        <f t="shared" si="3"/>
        <v>49.844999999999999</v>
      </c>
      <c r="L21" s="3">
        <f t="shared" si="4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1"/>
        <v>41.552</v>
      </c>
      <c r="G22" s="3">
        <f t="shared" si="2"/>
        <v>51.515999999999998</v>
      </c>
      <c r="I22" s="17">
        <f t="shared" si="0"/>
        <v>1914</v>
      </c>
      <c r="J22" s="3">
        <f t="shared" si="3"/>
        <v>41.552</v>
      </c>
      <c r="K22" s="3">
        <f t="shared" si="3"/>
        <v>51.515999999999998</v>
      </c>
      <c r="L22" s="3">
        <f t="shared" si="4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1"/>
        <v>40.398000000000003</v>
      </c>
      <c r="G23" s="3">
        <f t="shared" si="2"/>
        <v>52.478000000000002</v>
      </c>
      <c r="I23" s="17">
        <f t="shared" si="0"/>
        <v>1915</v>
      </c>
      <c r="J23" s="3">
        <f t="shared" si="3"/>
        <v>40.398000000000003</v>
      </c>
      <c r="K23" s="3">
        <f t="shared" si="3"/>
        <v>52.478000000000002</v>
      </c>
      <c r="L23" s="3">
        <f t="shared" si="4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1"/>
        <v>40.020000000000003</v>
      </c>
      <c r="G24" s="3">
        <f t="shared" si="2"/>
        <v>51.744999999999997</v>
      </c>
      <c r="I24" s="17">
        <f t="shared" si="0"/>
        <v>1916</v>
      </c>
      <c r="J24" s="3">
        <f t="shared" si="3"/>
        <v>40.020000000000003</v>
      </c>
      <c r="K24" s="3">
        <f t="shared" si="3"/>
        <v>51.744999999999997</v>
      </c>
      <c r="L24" s="3">
        <f t="shared" si="4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1"/>
        <v>40.115000000000002</v>
      </c>
      <c r="G25" s="3">
        <f t="shared" si="2"/>
        <v>49.595999999999997</v>
      </c>
      <c r="I25" s="17">
        <f t="shared" si="0"/>
        <v>1917</v>
      </c>
      <c r="J25" s="3">
        <f t="shared" si="3"/>
        <v>40.115000000000002</v>
      </c>
      <c r="K25" s="3">
        <f t="shared" si="3"/>
        <v>49.595999999999997</v>
      </c>
      <c r="L25" s="3">
        <f t="shared" si="4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1"/>
        <v>40.716000000000001</v>
      </c>
      <c r="G26" s="3">
        <f t="shared" si="2"/>
        <v>46.064999999999998</v>
      </c>
      <c r="I26" s="17">
        <f t="shared" si="0"/>
        <v>1918</v>
      </c>
      <c r="J26" s="3">
        <f t="shared" si="3"/>
        <v>40.716000000000001</v>
      </c>
      <c r="K26" s="3">
        <f t="shared" si="3"/>
        <v>46.064999999999998</v>
      </c>
      <c r="L26" s="3">
        <f t="shared" si="4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1"/>
        <v>41.774999999999999</v>
      </c>
      <c r="G27" s="3">
        <f t="shared" si="2"/>
        <v>41.4</v>
      </c>
      <c r="I27" s="17">
        <f t="shared" si="0"/>
        <v>1919</v>
      </c>
      <c r="J27" s="3">
        <f t="shared" si="3"/>
        <v>41.774999999999999</v>
      </c>
      <c r="K27" s="3">
        <f t="shared" si="3"/>
        <v>41.4</v>
      </c>
      <c r="L27" s="3">
        <f t="shared" si="4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1"/>
        <v>43.826000000000001</v>
      </c>
      <c r="G28" s="3">
        <f t="shared" si="2"/>
        <v>34.360999999999997</v>
      </c>
      <c r="I28" s="17">
        <f t="shared" si="0"/>
        <v>1920</v>
      </c>
      <c r="J28" s="3">
        <f t="shared" si="3"/>
        <v>43.826000000000001</v>
      </c>
      <c r="K28" s="3">
        <f t="shared" si="3"/>
        <v>34.360999999999997</v>
      </c>
      <c r="L28" s="3">
        <f t="shared" si="4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1"/>
        <v>44.978999999999999</v>
      </c>
      <c r="G29" s="3">
        <f t="shared" si="2"/>
        <v>30.233000000000001</v>
      </c>
      <c r="I29" s="17">
        <f t="shared" si="0"/>
        <v>1921</v>
      </c>
      <c r="J29" s="3">
        <f t="shared" si="3"/>
        <v>44.978999999999999</v>
      </c>
      <c r="K29" s="3">
        <f t="shared" si="3"/>
        <v>30.233000000000001</v>
      </c>
      <c r="L29" s="3">
        <f t="shared" si="4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1"/>
        <v>45.73</v>
      </c>
      <c r="G30" s="3">
        <f t="shared" si="2"/>
        <v>27.291</v>
      </c>
      <c r="I30" s="17">
        <f t="shared" si="0"/>
        <v>1922</v>
      </c>
      <c r="J30" s="3">
        <f t="shared" si="3"/>
        <v>45.73</v>
      </c>
      <c r="K30" s="3">
        <f t="shared" si="3"/>
        <v>27.291</v>
      </c>
      <c r="L30" s="3">
        <f t="shared" si="4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1"/>
        <v>46.014000000000003</v>
      </c>
      <c r="G31" s="3">
        <f t="shared" si="2"/>
        <v>25.574999999999999</v>
      </c>
      <c r="I31" s="17">
        <f t="shared" si="0"/>
        <v>1923</v>
      </c>
      <c r="J31" s="3">
        <f t="shared" si="3"/>
        <v>46.014000000000003</v>
      </c>
      <c r="K31" s="3">
        <f t="shared" si="3"/>
        <v>25.574999999999999</v>
      </c>
      <c r="L31" s="3">
        <f t="shared" si="4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1"/>
        <v>45.866999999999997</v>
      </c>
      <c r="G32" s="3">
        <f t="shared" si="2"/>
        <v>24.937000000000001</v>
      </c>
      <c r="I32" s="17">
        <f t="shared" si="0"/>
        <v>1924</v>
      </c>
      <c r="J32" s="3">
        <f t="shared" si="3"/>
        <v>45.866999999999997</v>
      </c>
      <c r="K32" s="3">
        <f t="shared" si="3"/>
        <v>24.937000000000001</v>
      </c>
      <c r="L32" s="3">
        <f t="shared" si="4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1"/>
        <v>44.962000000000003</v>
      </c>
      <c r="G33" s="3">
        <f t="shared" si="2"/>
        <v>26.001000000000001</v>
      </c>
      <c r="I33" s="17">
        <f t="shared" si="0"/>
        <v>1925</v>
      </c>
      <c r="J33" s="3">
        <f t="shared" si="3"/>
        <v>44.962000000000003</v>
      </c>
      <c r="K33" s="3">
        <f t="shared" si="3"/>
        <v>26.001000000000001</v>
      </c>
      <c r="L33" s="3">
        <f t="shared" si="4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1"/>
        <v>44.505000000000003</v>
      </c>
      <c r="G34" s="3">
        <f t="shared" si="2"/>
        <v>26.396999999999998</v>
      </c>
      <c r="I34" s="17">
        <f t="shared" si="0"/>
        <v>1926</v>
      </c>
      <c r="J34" s="3">
        <f t="shared" si="3"/>
        <v>44.505000000000003</v>
      </c>
      <c r="K34" s="3">
        <f t="shared" si="3"/>
        <v>26.396999999999998</v>
      </c>
      <c r="L34" s="3">
        <f t="shared" si="4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1"/>
        <v>44.165999999999997</v>
      </c>
      <c r="G35" s="3">
        <f t="shared" si="2"/>
        <v>26.771000000000001</v>
      </c>
      <c r="I35" s="17">
        <f t="shared" ref="I35:I66" si="5">A35</f>
        <v>1927</v>
      </c>
      <c r="J35" s="3">
        <f t="shared" si="3"/>
        <v>44.165999999999997</v>
      </c>
      <c r="K35" s="3">
        <f t="shared" si="3"/>
        <v>26.771000000000001</v>
      </c>
      <c r="L35" s="3">
        <f t="shared" si="4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1"/>
        <v>43.98</v>
      </c>
      <c r="G36" s="3">
        <f t="shared" si="2"/>
        <v>27.05</v>
      </c>
      <c r="I36" s="17">
        <f t="shared" si="5"/>
        <v>1928</v>
      </c>
      <c r="J36" s="3">
        <f t="shared" si="3"/>
        <v>43.98</v>
      </c>
      <c r="K36" s="3">
        <f t="shared" si="3"/>
        <v>27.05</v>
      </c>
      <c r="L36" s="3">
        <f t="shared" si="4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1"/>
        <v>43.933</v>
      </c>
      <c r="G37" s="3">
        <f t="shared" si="2"/>
        <v>27.225999999999999</v>
      </c>
      <c r="I37" s="17">
        <f t="shared" si="5"/>
        <v>1929</v>
      </c>
      <c r="J37" s="3">
        <f t="shared" si="3"/>
        <v>43.933</v>
      </c>
      <c r="K37" s="3">
        <f t="shared" si="3"/>
        <v>27.225999999999999</v>
      </c>
      <c r="L37" s="3">
        <f t="shared" si="4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2"/>
        <v>27.355</v>
      </c>
      <c r="I38" s="17">
        <f t="shared" si="5"/>
        <v>1930</v>
      </c>
      <c r="J38" s="3">
        <f t="shared" si="3"/>
        <v>44.14</v>
      </c>
      <c r="K38" s="3">
        <f t="shared" si="3"/>
        <v>27.355</v>
      </c>
      <c r="L38" s="3">
        <f t="shared" si="4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2"/>
        <v>27.231000000000002</v>
      </c>
      <c r="I39" s="17">
        <f t="shared" si="5"/>
        <v>1931</v>
      </c>
      <c r="J39" s="3">
        <f t="shared" si="3"/>
        <v>44.179000000000002</v>
      </c>
      <c r="K39" s="3">
        <f t="shared" si="3"/>
        <v>27.231000000000002</v>
      </c>
      <c r="L39" s="3">
        <f t="shared" si="4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2"/>
        <v>26.908999999999999</v>
      </c>
      <c r="I40" s="17">
        <f t="shared" si="5"/>
        <v>1932</v>
      </c>
      <c r="J40" s="3">
        <f t="shared" si="3"/>
        <v>44.164000000000001</v>
      </c>
      <c r="K40" s="3">
        <f t="shared" si="3"/>
        <v>26.908999999999999</v>
      </c>
      <c r="L40" s="3">
        <f t="shared" si="4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2"/>
        <v>26.387</v>
      </c>
      <c r="I41" s="17">
        <f t="shared" si="5"/>
        <v>1933</v>
      </c>
      <c r="J41" s="3">
        <f t="shared" si="3"/>
        <v>44.082999999999998</v>
      </c>
      <c r="K41" s="3">
        <f t="shared" si="3"/>
        <v>26.387</v>
      </c>
      <c r="L41" s="3">
        <f t="shared" si="4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2"/>
        <v>25.69</v>
      </c>
      <c r="I42" s="17">
        <f t="shared" si="5"/>
        <v>1934</v>
      </c>
      <c r="J42" s="3">
        <f t="shared" si="3"/>
        <v>43.942999999999998</v>
      </c>
      <c r="K42" s="3">
        <f t="shared" si="3"/>
        <v>25.69</v>
      </c>
      <c r="L42" s="3">
        <f t="shared" si="4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2"/>
        <v>24.632000000000001</v>
      </c>
      <c r="I43" s="17">
        <f t="shared" si="5"/>
        <v>1935</v>
      </c>
      <c r="J43" s="3">
        <f t="shared" si="3"/>
        <v>43.677999999999997</v>
      </c>
      <c r="K43" s="3">
        <f t="shared" si="3"/>
        <v>24.632000000000001</v>
      </c>
      <c r="L43" s="3">
        <f t="shared" si="4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2"/>
        <v>23.922999999999998</v>
      </c>
      <c r="I44" s="17">
        <f t="shared" si="5"/>
        <v>1936</v>
      </c>
      <c r="J44" s="3">
        <f t="shared" si="3"/>
        <v>43.533999999999999</v>
      </c>
      <c r="K44" s="3">
        <f t="shared" si="3"/>
        <v>23.922999999999998</v>
      </c>
      <c r="L44" s="3">
        <f t="shared" si="4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2"/>
        <v>23.361999999999998</v>
      </c>
      <c r="I45" s="17">
        <f t="shared" si="5"/>
        <v>1937</v>
      </c>
      <c r="J45" s="3">
        <f t="shared" si="3"/>
        <v>43.442999999999998</v>
      </c>
      <c r="K45" s="3">
        <f t="shared" si="3"/>
        <v>23.361999999999998</v>
      </c>
      <c r="L45" s="3">
        <f t="shared" si="4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2"/>
        <v>22.966000000000001</v>
      </c>
      <c r="I46" s="17">
        <f t="shared" si="5"/>
        <v>1938</v>
      </c>
      <c r="J46" s="3">
        <f t="shared" si="3"/>
        <v>43.414000000000001</v>
      </c>
      <c r="K46" s="3">
        <f t="shared" si="3"/>
        <v>22.966000000000001</v>
      </c>
      <c r="L46" s="3">
        <f t="shared" si="4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2"/>
        <v>22.713000000000001</v>
      </c>
      <c r="I47" s="17">
        <f t="shared" si="5"/>
        <v>1939</v>
      </c>
      <c r="J47" s="3">
        <f t="shared" si="3"/>
        <v>43.442</v>
      </c>
      <c r="K47" s="3">
        <f t="shared" si="3"/>
        <v>22.713000000000001</v>
      </c>
      <c r="L47" s="3">
        <f t="shared" si="4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2"/>
        <v>22.792000000000002</v>
      </c>
      <c r="I48" s="17">
        <f t="shared" si="5"/>
        <v>1940</v>
      </c>
      <c r="J48" s="3">
        <f t="shared" si="3"/>
        <v>43.554000000000002</v>
      </c>
      <c r="K48" s="3">
        <f t="shared" si="3"/>
        <v>22.792000000000002</v>
      </c>
      <c r="L48" s="3">
        <f t="shared" si="4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2"/>
        <v>22.494</v>
      </c>
      <c r="I49" s="17">
        <f t="shared" si="5"/>
        <v>1941</v>
      </c>
      <c r="J49" s="3">
        <f t="shared" si="3"/>
        <v>43.658000000000001</v>
      </c>
      <c r="K49" s="3">
        <f t="shared" si="3"/>
        <v>22.494</v>
      </c>
      <c r="L49" s="3">
        <f t="shared" si="4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2"/>
        <v>22.015000000000001</v>
      </c>
      <c r="I50" s="17">
        <f t="shared" si="5"/>
        <v>1942</v>
      </c>
      <c r="J50" s="3">
        <f t="shared" si="3"/>
        <v>43.779000000000003</v>
      </c>
      <c r="K50" s="3">
        <f t="shared" si="3"/>
        <v>22.015000000000001</v>
      </c>
      <c r="L50" s="3">
        <f t="shared" si="4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2"/>
        <v>21.338000000000001</v>
      </c>
      <c r="I51" s="17">
        <f t="shared" si="5"/>
        <v>1943</v>
      </c>
      <c r="J51" s="3">
        <f t="shared" si="3"/>
        <v>43.915999999999997</v>
      </c>
      <c r="K51" s="3">
        <f t="shared" si="3"/>
        <v>21.338000000000001</v>
      </c>
      <c r="L51" s="3">
        <f t="shared" si="4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2"/>
        <v>20.488</v>
      </c>
      <c r="I52" s="17">
        <f t="shared" si="5"/>
        <v>1944</v>
      </c>
      <c r="J52" s="3">
        <f t="shared" si="3"/>
        <v>44.064999999999998</v>
      </c>
      <c r="K52" s="3">
        <f t="shared" si="3"/>
        <v>20.488</v>
      </c>
      <c r="L52" s="3">
        <f t="shared" si="4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2"/>
        <v>19.295000000000002</v>
      </c>
      <c r="I53" s="17">
        <f t="shared" si="5"/>
        <v>1945</v>
      </c>
      <c r="J53" s="3">
        <f t="shared" si="3"/>
        <v>44.246000000000002</v>
      </c>
      <c r="K53" s="3">
        <f t="shared" si="3"/>
        <v>19.295000000000002</v>
      </c>
      <c r="L53" s="3">
        <f t="shared" si="4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2"/>
        <v>18.428000000000001</v>
      </c>
      <c r="I54" s="17">
        <f t="shared" si="5"/>
        <v>1946</v>
      </c>
      <c r="J54" s="3">
        <f t="shared" si="3"/>
        <v>44.389000000000003</v>
      </c>
      <c r="K54" s="3">
        <f t="shared" si="3"/>
        <v>18.428000000000001</v>
      </c>
      <c r="L54" s="3">
        <f t="shared" si="4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5"/>
        <v>1947</v>
      </c>
      <c r="J55" s="3">
        <f t="shared" si="3"/>
        <v>44.514000000000003</v>
      </c>
      <c r="K55" s="3">
        <f t="shared" si="3"/>
        <v>18.049500000000002</v>
      </c>
      <c r="L55" s="3">
        <f t="shared" si="4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5"/>
        <v>1948</v>
      </c>
      <c r="J56" s="3">
        <f t="shared" si="3"/>
        <v>44.616999999999997</v>
      </c>
      <c r="K56" s="3">
        <f t="shared" si="3"/>
        <v>17.670999999999999</v>
      </c>
      <c r="L56" s="3">
        <f t="shared" si="4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5"/>
        <v>1949</v>
      </c>
      <c r="J57" s="3">
        <f t="shared" si="3"/>
        <v>44.703000000000003</v>
      </c>
      <c r="K57" s="3">
        <f t="shared" si="3"/>
        <v>17.2925</v>
      </c>
      <c r="L57" s="3">
        <f t="shared" si="4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5"/>
        <v>1950</v>
      </c>
      <c r="J58" s="3">
        <f t="shared" si="3"/>
        <v>44.743000000000002</v>
      </c>
      <c r="K58" s="3">
        <f t="shared" si="3"/>
        <v>16.914000000000001</v>
      </c>
      <c r="L58" s="3">
        <f t="shared" si="4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5"/>
        <v>1951</v>
      </c>
      <c r="J59" s="3">
        <f t="shared" si="3"/>
        <v>44.838000000000001</v>
      </c>
      <c r="K59" s="3">
        <f t="shared" si="3"/>
        <v>16.535499999999999</v>
      </c>
      <c r="L59" s="3">
        <f t="shared" si="4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5"/>
        <v>1952</v>
      </c>
      <c r="J60" s="3">
        <f t="shared" si="3"/>
        <v>45</v>
      </c>
      <c r="K60" s="3">
        <f t="shared" si="3"/>
        <v>16.157</v>
      </c>
      <c r="L60" s="3">
        <f t="shared" si="4"/>
        <v>28.843</v>
      </c>
    </row>
    <row r="61" spans="1:12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7">D61</f>
        <v>45.3</v>
      </c>
      <c r="G61" s="16">
        <v>15.778500000000001</v>
      </c>
      <c r="I61" s="17">
        <f t="shared" si="5"/>
        <v>1953</v>
      </c>
      <c r="J61" s="3">
        <f t="shared" si="3"/>
        <v>45.3</v>
      </c>
      <c r="K61" s="3">
        <f t="shared" si="3"/>
        <v>15.778500000000001</v>
      </c>
      <c r="L61" s="3">
        <f t="shared" si="4"/>
        <v>29.521499999999996</v>
      </c>
    </row>
    <row r="62" spans="1:12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7"/>
        <v>45.7</v>
      </c>
      <c r="G62" s="3">
        <f>E62</f>
        <v>15.4</v>
      </c>
      <c r="I62" s="17">
        <f t="shared" si="5"/>
        <v>1954</v>
      </c>
      <c r="J62" s="3">
        <f t="shared" si="3"/>
        <v>45.7</v>
      </c>
      <c r="K62" s="3">
        <f t="shared" si="3"/>
        <v>15.4</v>
      </c>
      <c r="L62" s="3">
        <f t="shared" si="4"/>
        <v>30.300000000000004</v>
      </c>
    </row>
    <row r="63" spans="1:12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7"/>
        <v>45.9</v>
      </c>
      <c r="G63" s="3">
        <f t="shared" ref="G63:G126" si="8">E63</f>
        <v>15</v>
      </c>
      <c r="I63" s="17">
        <f t="shared" si="5"/>
        <v>1955</v>
      </c>
      <c r="J63" s="3">
        <f t="shared" si="3"/>
        <v>45.9</v>
      </c>
      <c r="K63" s="3">
        <f t="shared" si="3"/>
        <v>15</v>
      </c>
      <c r="L63" s="3">
        <f t="shared" si="4"/>
        <v>30.9</v>
      </c>
    </row>
    <row r="64" spans="1:12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7"/>
        <v>45.8</v>
      </c>
      <c r="G64" s="3">
        <f t="shared" si="8"/>
        <v>14.4</v>
      </c>
      <c r="I64" s="17">
        <f t="shared" si="5"/>
        <v>1956</v>
      </c>
      <c r="J64" s="3">
        <f t="shared" si="3"/>
        <v>45.8</v>
      </c>
      <c r="K64" s="3">
        <f t="shared" si="3"/>
        <v>14.4</v>
      </c>
      <c r="L64" s="3">
        <f t="shared" si="4"/>
        <v>31.4</v>
      </c>
    </row>
    <row r="65" spans="1:12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7"/>
        <v>45.8</v>
      </c>
      <c r="G65" s="3">
        <f t="shared" si="8"/>
        <v>14</v>
      </c>
      <c r="I65" s="17">
        <f t="shared" si="5"/>
        <v>1957</v>
      </c>
      <c r="J65" s="3">
        <f t="shared" si="3"/>
        <v>45.8</v>
      </c>
      <c r="K65" s="3">
        <f t="shared" si="3"/>
        <v>14</v>
      </c>
      <c r="L65" s="3">
        <f t="shared" si="4"/>
        <v>31.799999999999997</v>
      </c>
    </row>
    <row r="66" spans="1:12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7"/>
        <v>46</v>
      </c>
      <c r="G66" s="3">
        <f t="shared" si="8"/>
        <v>13.5</v>
      </c>
      <c r="I66" s="17">
        <f t="shared" si="5"/>
        <v>1958</v>
      </c>
      <c r="J66" s="3">
        <f t="shared" si="3"/>
        <v>46</v>
      </c>
      <c r="K66" s="3">
        <f t="shared" si="3"/>
        <v>13.5</v>
      </c>
      <c r="L66" s="3">
        <f t="shared" si="4"/>
        <v>32.5</v>
      </c>
    </row>
    <row r="67" spans="1:12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7"/>
        <v>46.2</v>
      </c>
      <c r="G67" s="3">
        <f t="shared" si="8"/>
        <v>13.1</v>
      </c>
      <c r="I67" s="17">
        <f t="shared" ref="I67:I98" si="9">A67</f>
        <v>1959</v>
      </c>
      <c r="J67" s="3">
        <f t="shared" si="3"/>
        <v>46.2</v>
      </c>
      <c r="K67" s="3">
        <f t="shared" si="3"/>
        <v>13.1</v>
      </c>
      <c r="L67" s="3">
        <f t="shared" si="4"/>
        <v>33.1</v>
      </c>
    </row>
    <row r="68" spans="1:12" x14ac:dyDescent="0.55000000000000004">
      <c r="A68" s="14">
        <f t="shared" si="6"/>
        <v>1960</v>
      </c>
      <c r="D68" s="3">
        <v>46.3</v>
      </c>
      <c r="E68" s="3">
        <v>12.8</v>
      </c>
      <c r="F68" s="3">
        <f t="shared" si="7"/>
        <v>46.3</v>
      </c>
      <c r="G68" s="3">
        <f t="shared" si="8"/>
        <v>12.8</v>
      </c>
      <c r="I68" s="17">
        <f t="shared" si="9"/>
        <v>1960</v>
      </c>
      <c r="J68" s="3">
        <f t="shared" ref="J68:K131" si="10">F68</f>
        <v>46.3</v>
      </c>
      <c r="K68" s="3">
        <f t="shared" si="10"/>
        <v>12.8</v>
      </c>
      <c r="L68" s="3">
        <f t="shared" ref="L68:L131" si="11">J68-K68</f>
        <v>33.5</v>
      </c>
    </row>
    <row r="69" spans="1:12" x14ac:dyDescent="0.55000000000000004">
      <c r="A69" s="14">
        <f t="shared" si="6"/>
        <v>1961</v>
      </c>
      <c r="D69" s="3">
        <v>46.3</v>
      </c>
      <c r="E69" s="3">
        <v>12.3</v>
      </c>
      <c r="F69" s="3">
        <f t="shared" si="7"/>
        <v>46.3</v>
      </c>
      <c r="G69" s="3">
        <f t="shared" si="8"/>
        <v>12.3</v>
      </c>
      <c r="I69" s="17">
        <f t="shared" si="9"/>
        <v>1961</v>
      </c>
      <c r="J69" s="3">
        <f t="shared" si="10"/>
        <v>46.3</v>
      </c>
      <c r="K69" s="3">
        <f t="shared" si="10"/>
        <v>12.3</v>
      </c>
      <c r="L69" s="3">
        <f t="shared" si="11"/>
        <v>34</v>
      </c>
    </row>
    <row r="70" spans="1:12" x14ac:dyDescent="0.55000000000000004">
      <c r="A70" s="14">
        <f t="shared" si="6"/>
        <v>1962</v>
      </c>
      <c r="D70" s="3">
        <v>46.1</v>
      </c>
      <c r="E70" s="3">
        <v>12.1</v>
      </c>
      <c r="F70" s="3">
        <f t="shared" si="7"/>
        <v>46.1</v>
      </c>
      <c r="G70" s="3">
        <f t="shared" si="8"/>
        <v>12.1</v>
      </c>
      <c r="I70" s="17">
        <f t="shared" si="9"/>
        <v>1962</v>
      </c>
      <c r="J70" s="3">
        <f t="shared" si="10"/>
        <v>46.1</v>
      </c>
      <c r="K70" s="3">
        <f t="shared" si="10"/>
        <v>12.1</v>
      </c>
      <c r="L70" s="3">
        <f t="shared" si="11"/>
        <v>34</v>
      </c>
    </row>
    <row r="71" spans="1:12" x14ac:dyDescent="0.55000000000000004">
      <c r="A71" s="14">
        <f t="shared" si="6"/>
        <v>1963</v>
      </c>
      <c r="D71" s="3">
        <v>46</v>
      </c>
      <c r="E71" s="3">
        <v>11.9</v>
      </c>
      <c r="F71" s="3">
        <f t="shared" si="7"/>
        <v>46</v>
      </c>
      <c r="G71" s="3">
        <f t="shared" si="8"/>
        <v>11.9</v>
      </c>
      <c r="I71" s="17">
        <f t="shared" si="9"/>
        <v>1963</v>
      </c>
      <c r="J71" s="3">
        <f t="shared" si="10"/>
        <v>46</v>
      </c>
      <c r="K71" s="3">
        <f t="shared" si="10"/>
        <v>11.9</v>
      </c>
      <c r="L71" s="3">
        <f t="shared" si="11"/>
        <v>34.1</v>
      </c>
    </row>
    <row r="72" spans="1:12" x14ac:dyDescent="0.55000000000000004">
      <c r="A72" s="14">
        <f t="shared" si="6"/>
        <v>1964</v>
      </c>
      <c r="D72" s="3">
        <v>45.8</v>
      </c>
      <c r="E72" s="3">
        <v>11.4</v>
      </c>
      <c r="F72" s="3">
        <f t="shared" si="7"/>
        <v>45.8</v>
      </c>
      <c r="G72" s="3">
        <f t="shared" si="8"/>
        <v>11.4</v>
      </c>
      <c r="I72" s="17">
        <f t="shared" si="9"/>
        <v>1964</v>
      </c>
      <c r="J72" s="3">
        <f t="shared" si="10"/>
        <v>45.8</v>
      </c>
      <c r="K72" s="3">
        <f t="shared" si="10"/>
        <v>11.4</v>
      </c>
      <c r="L72" s="3">
        <f t="shared" si="11"/>
        <v>34.4</v>
      </c>
    </row>
    <row r="73" spans="1:12" x14ac:dyDescent="0.55000000000000004">
      <c r="A73" s="14">
        <f t="shared" si="6"/>
        <v>1965</v>
      </c>
      <c r="D73" s="3">
        <v>45.3</v>
      </c>
      <c r="E73" s="3">
        <v>11.2</v>
      </c>
      <c r="F73" s="3">
        <f t="shared" si="7"/>
        <v>45.3</v>
      </c>
      <c r="G73" s="3">
        <f t="shared" si="8"/>
        <v>11.2</v>
      </c>
      <c r="I73" s="17">
        <f t="shared" si="9"/>
        <v>1965</v>
      </c>
      <c r="J73" s="3">
        <f t="shared" si="10"/>
        <v>45.3</v>
      </c>
      <c r="K73" s="3">
        <f t="shared" si="10"/>
        <v>11.2</v>
      </c>
      <c r="L73" s="3">
        <f t="shared" si="11"/>
        <v>34.099999999999994</v>
      </c>
    </row>
    <row r="74" spans="1:12" x14ac:dyDescent="0.55000000000000004">
      <c r="A74" s="14">
        <f t="shared" si="6"/>
        <v>1966</v>
      </c>
      <c r="D74" s="3">
        <v>44.9</v>
      </c>
      <c r="E74" s="3">
        <v>10.9</v>
      </c>
      <c r="F74" s="3">
        <f t="shared" si="7"/>
        <v>44.9</v>
      </c>
      <c r="G74" s="3">
        <f t="shared" si="8"/>
        <v>10.9</v>
      </c>
      <c r="I74" s="17">
        <f t="shared" si="9"/>
        <v>1966</v>
      </c>
      <c r="J74" s="3">
        <f t="shared" si="10"/>
        <v>44.9</v>
      </c>
      <c r="K74" s="3">
        <f t="shared" si="10"/>
        <v>10.9</v>
      </c>
      <c r="L74" s="3">
        <f t="shared" si="11"/>
        <v>34</v>
      </c>
    </row>
    <row r="75" spans="1:12" x14ac:dyDescent="0.55000000000000004">
      <c r="A75" s="14">
        <f t="shared" si="6"/>
        <v>1967</v>
      </c>
      <c r="D75" s="3">
        <v>44.6</v>
      </c>
      <c r="E75" s="3">
        <v>10.5</v>
      </c>
      <c r="F75" s="3">
        <f t="shared" si="7"/>
        <v>44.6</v>
      </c>
      <c r="G75" s="3">
        <f t="shared" si="8"/>
        <v>10.5</v>
      </c>
      <c r="I75" s="17">
        <f t="shared" si="9"/>
        <v>1967</v>
      </c>
      <c r="J75" s="3">
        <f t="shared" si="10"/>
        <v>44.6</v>
      </c>
      <c r="K75" s="3">
        <f t="shared" si="10"/>
        <v>10.5</v>
      </c>
      <c r="L75" s="3">
        <f t="shared" si="11"/>
        <v>34.1</v>
      </c>
    </row>
    <row r="76" spans="1:12" x14ac:dyDescent="0.55000000000000004">
      <c r="A76" s="14">
        <f t="shared" si="6"/>
        <v>1968</v>
      </c>
      <c r="D76" s="3">
        <v>44.3</v>
      </c>
      <c r="E76" s="3">
        <v>10.5</v>
      </c>
      <c r="F76" s="3">
        <f t="shared" si="7"/>
        <v>44.3</v>
      </c>
      <c r="G76" s="3">
        <f t="shared" si="8"/>
        <v>10.5</v>
      </c>
      <c r="I76" s="17">
        <f t="shared" si="9"/>
        <v>1968</v>
      </c>
      <c r="J76" s="3">
        <f t="shared" si="10"/>
        <v>44.3</v>
      </c>
      <c r="K76" s="3">
        <f t="shared" si="10"/>
        <v>10.5</v>
      </c>
      <c r="L76" s="3">
        <f t="shared" si="11"/>
        <v>33.799999999999997</v>
      </c>
    </row>
    <row r="77" spans="1:12" x14ac:dyDescent="0.55000000000000004">
      <c r="A77" s="14">
        <f t="shared" si="6"/>
        <v>1969</v>
      </c>
      <c r="D77" s="3">
        <v>43.9</v>
      </c>
      <c r="E77" s="3">
        <v>10.1</v>
      </c>
      <c r="F77" s="3">
        <f t="shared" si="7"/>
        <v>43.9</v>
      </c>
      <c r="G77" s="3">
        <f t="shared" si="8"/>
        <v>10.1</v>
      </c>
      <c r="I77" s="17">
        <f t="shared" si="9"/>
        <v>1969</v>
      </c>
      <c r="J77" s="3">
        <f t="shared" si="10"/>
        <v>43.9</v>
      </c>
      <c r="K77" s="3">
        <f t="shared" si="10"/>
        <v>10.1</v>
      </c>
      <c r="L77" s="3">
        <f t="shared" si="11"/>
        <v>33.799999999999997</v>
      </c>
    </row>
    <row r="78" spans="1:12" x14ac:dyDescent="0.55000000000000004">
      <c r="A78" s="14">
        <f t="shared" si="6"/>
        <v>1970</v>
      </c>
      <c r="D78" s="3">
        <v>43.5</v>
      </c>
      <c r="E78" s="3">
        <v>10.3</v>
      </c>
      <c r="F78" s="3">
        <f t="shared" si="7"/>
        <v>43.5</v>
      </c>
      <c r="G78" s="3">
        <f t="shared" si="8"/>
        <v>10.3</v>
      </c>
      <c r="I78" s="17">
        <f t="shared" si="9"/>
        <v>1970</v>
      </c>
      <c r="J78" s="3">
        <f t="shared" si="10"/>
        <v>43.5</v>
      </c>
      <c r="K78" s="3">
        <f t="shared" si="10"/>
        <v>10.3</v>
      </c>
      <c r="L78" s="3">
        <f t="shared" si="11"/>
        <v>33.200000000000003</v>
      </c>
    </row>
    <row r="79" spans="1:12" x14ac:dyDescent="0.55000000000000004">
      <c r="A79" s="14">
        <f t="shared" si="6"/>
        <v>1971</v>
      </c>
      <c r="D79" s="3">
        <v>43</v>
      </c>
      <c r="E79" s="3">
        <v>9.3000000000000007</v>
      </c>
      <c r="F79" s="3">
        <f t="shared" si="7"/>
        <v>43</v>
      </c>
      <c r="G79" s="3">
        <f t="shared" si="8"/>
        <v>9.3000000000000007</v>
      </c>
      <c r="I79" s="17">
        <f t="shared" si="9"/>
        <v>1971</v>
      </c>
      <c r="J79" s="3">
        <f t="shared" si="10"/>
        <v>43</v>
      </c>
      <c r="K79" s="3">
        <f t="shared" si="10"/>
        <v>9.3000000000000007</v>
      </c>
      <c r="L79" s="3">
        <f t="shared" si="11"/>
        <v>33.700000000000003</v>
      </c>
    </row>
    <row r="80" spans="1:12" x14ac:dyDescent="0.55000000000000004">
      <c r="A80" s="14">
        <f t="shared" si="6"/>
        <v>1972</v>
      </c>
      <c r="D80" s="3">
        <v>42.5</v>
      </c>
      <c r="E80" s="3">
        <v>9</v>
      </c>
      <c r="F80" s="3">
        <f t="shared" si="7"/>
        <v>42.5</v>
      </c>
      <c r="G80" s="3">
        <f t="shared" si="8"/>
        <v>9</v>
      </c>
      <c r="I80" s="17">
        <f t="shared" si="9"/>
        <v>1972</v>
      </c>
      <c r="J80" s="3">
        <f t="shared" si="10"/>
        <v>42.5</v>
      </c>
      <c r="K80" s="3">
        <f t="shared" si="10"/>
        <v>9</v>
      </c>
      <c r="L80" s="3">
        <f t="shared" si="11"/>
        <v>33.5</v>
      </c>
    </row>
    <row r="81" spans="1:12" x14ac:dyDescent="0.55000000000000004">
      <c r="A81" s="14">
        <f t="shared" si="6"/>
        <v>1973</v>
      </c>
      <c r="D81" s="3">
        <v>41.9</v>
      </c>
      <c r="E81" s="3">
        <v>8.8000000000000007</v>
      </c>
      <c r="F81" s="3">
        <f t="shared" si="7"/>
        <v>41.9</v>
      </c>
      <c r="G81" s="3">
        <f t="shared" si="8"/>
        <v>8.8000000000000007</v>
      </c>
      <c r="I81" s="17">
        <f t="shared" si="9"/>
        <v>1973</v>
      </c>
      <c r="J81" s="3">
        <f t="shared" si="10"/>
        <v>41.9</v>
      </c>
      <c r="K81" s="3">
        <f t="shared" si="10"/>
        <v>8.8000000000000007</v>
      </c>
      <c r="L81" s="3">
        <f t="shared" si="11"/>
        <v>33.099999999999994</v>
      </c>
    </row>
    <row r="82" spans="1:12" x14ac:dyDescent="0.55000000000000004">
      <c r="A82" s="14">
        <f t="shared" si="6"/>
        <v>1974</v>
      </c>
      <c r="D82" s="3">
        <v>41.1</v>
      </c>
      <c r="E82" s="3">
        <v>8.3000000000000007</v>
      </c>
      <c r="F82" s="3">
        <f t="shared" si="7"/>
        <v>41.1</v>
      </c>
      <c r="G82" s="3">
        <f t="shared" si="8"/>
        <v>8.3000000000000007</v>
      </c>
      <c r="I82" s="17">
        <f t="shared" si="9"/>
        <v>1974</v>
      </c>
      <c r="J82" s="3">
        <f t="shared" si="10"/>
        <v>41.1</v>
      </c>
      <c r="K82" s="3">
        <f t="shared" si="10"/>
        <v>8.3000000000000007</v>
      </c>
      <c r="L82" s="3">
        <f t="shared" si="11"/>
        <v>32.799999999999997</v>
      </c>
    </row>
    <row r="83" spans="1:12" x14ac:dyDescent="0.55000000000000004">
      <c r="A83" s="14">
        <f t="shared" si="6"/>
        <v>1975</v>
      </c>
      <c r="D83" s="3">
        <v>40</v>
      </c>
      <c r="E83" s="3">
        <v>8.1</v>
      </c>
      <c r="F83" s="3">
        <f t="shared" si="7"/>
        <v>40</v>
      </c>
      <c r="G83" s="3">
        <f t="shared" si="8"/>
        <v>8.1</v>
      </c>
      <c r="I83" s="17">
        <f t="shared" si="9"/>
        <v>1975</v>
      </c>
      <c r="J83" s="3">
        <f t="shared" si="10"/>
        <v>40</v>
      </c>
      <c r="K83" s="3">
        <f t="shared" si="10"/>
        <v>8.1</v>
      </c>
      <c r="L83" s="3">
        <f t="shared" si="11"/>
        <v>31.9</v>
      </c>
    </row>
    <row r="84" spans="1:12" x14ac:dyDescent="0.55000000000000004">
      <c r="A84" s="14">
        <f t="shared" si="6"/>
        <v>1976</v>
      </c>
      <c r="D84" s="3">
        <v>38.700000000000003</v>
      </c>
      <c r="E84" s="3">
        <v>7.8</v>
      </c>
      <c r="F84" s="3">
        <f t="shared" si="7"/>
        <v>38.700000000000003</v>
      </c>
      <c r="G84" s="3">
        <f t="shared" si="8"/>
        <v>7.8</v>
      </c>
      <c r="I84" s="17">
        <f t="shared" si="9"/>
        <v>1976</v>
      </c>
      <c r="J84" s="3">
        <f t="shared" si="10"/>
        <v>38.700000000000003</v>
      </c>
      <c r="K84" s="3">
        <f t="shared" si="10"/>
        <v>7.8</v>
      </c>
      <c r="L84" s="3">
        <f t="shared" si="11"/>
        <v>30.900000000000002</v>
      </c>
    </row>
    <row r="85" spans="1:12" x14ac:dyDescent="0.55000000000000004">
      <c r="A85" s="14">
        <f t="shared" si="6"/>
        <v>1977</v>
      </c>
      <c r="D85" s="3">
        <v>37.5</v>
      </c>
      <c r="E85" s="3">
        <v>7.5</v>
      </c>
      <c r="F85" s="3">
        <f t="shared" si="7"/>
        <v>37.5</v>
      </c>
      <c r="G85" s="3">
        <f t="shared" si="8"/>
        <v>7.5</v>
      </c>
      <c r="I85" s="17">
        <f t="shared" si="9"/>
        <v>1977</v>
      </c>
      <c r="J85" s="3">
        <f t="shared" si="10"/>
        <v>37.5</v>
      </c>
      <c r="K85" s="3">
        <f t="shared" si="10"/>
        <v>7.5</v>
      </c>
      <c r="L85" s="3">
        <f t="shared" si="11"/>
        <v>30</v>
      </c>
    </row>
    <row r="86" spans="1:12" x14ac:dyDescent="0.55000000000000004">
      <c r="A86" s="14">
        <f t="shared" si="6"/>
        <v>1978</v>
      </c>
      <c r="D86" s="3">
        <v>36.4</v>
      </c>
      <c r="E86" s="3">
        <v>7.3</v>
      </c>
      <c r="F86" s="3">
        <f t="shared" si="7"/>
        <v>36.4</v>
      </c>
      <c r="G86" s="3">
        <f t="shared" si="8"/>
        <v>7.3</v>
      </c>
      <c r="I86" s="17">
        <f t="shared" si="9"/>
        <v>1978</v>
      </c>
      <c r="J86" s="3">
        <f t="shared" si="10"/>
        <v>36.4</v>
      </c>
      <c r="K86" s="3">
        <f t="shared" si="10"/>
        <v>7.3</v>
      </c>
      <c r="L86" s="3">
        <f t="shared" si="11"/>
        <v>29.099999999999998</v>
      </c>
    </row>
    <row r="87" spans="1:12" x14ac:dyDescent="0.55000000000000004">
      <c r="A87" s="14">
        <f t="shared" si="6"/>
        <v>1979</v>
      </c>
      <c r="D87" s="3">
        <v>35.5</v>
      </c>
      <c r="E87" s="3">
        <v>7.1</v>
      </c>
      <c r="F87" s="3">
        <f t="shared" si="7"/>
        <v>35.5</v>
      </c>
      <c r="G87" s="3">
        <f t="shared" si="8"/>
        <v>7.1</v>
      </c>
      <c r="I87" s="17">
        <f t="shared" si="9"/>
        <v>1979</v>
      </c>
      <c r="J87" s="3">
        <f t="shared" si="10"/>
        <v>35.5</v>
      </c>
      <c r="K87" s="3">
        <f t="shared" si="10"/>
        <v>7.1</v>
      </c>
      <c r="L87" s="3">
        <f t="shared" si="11"/>
        <v>28.4</v>
      </c>
    </row>
    <row r="88" spans="1:12" x14ac:dyDescent="0.55000000000000004">
      <c r="A88" s="14">
        <f t="shared" si="6"/>
        <v>1980</v>
      </c>
      <c r="D88" s="3">
        <v>34.700000000000003</v>
      </c>
      <c r="E88" s="3">
        <v>6.9</v>
      </c>
      <c r="F88" s="3">
        <f t="shared" si="7"/>
        <v>34.700000000000003</v>
      </c>
      <c r="G88" s="3">
        <f t="shared" si="8"/>
        <v>6.9</v>
      </c>
      <c r="I88" s="17">
        <f t="shared" si="9"/>
        <v>1980</v>
      </c>
      <c r="J88" s="3">
        <f t="shared" si="10"/>
        <v>34.700000000000003</v>
      </c>
      <c r="K88" s="3">
        <f t="shared" si="10"/>
        <v>6.9</v>
      </c>
      <c r="L88" s="3">
        <f t="shared" si="11"/>
        <v>27.800000000000004</v>
      </c>
    </row>
    <row r="89" spans="1:12" x14ac:dyDescent="0.55000000000000004">
      <c r="A89" s="14">
        <f t="shared" si="6"/>
        <v>1981</v>
      </c>
      <c r="D89" s="3">
        <v>34.1</v>
      </c>
      <c r="E89" s="3">
        <v>6.7</v>
      </c>
      <c r="F89" s="3">
        <f t="shared" si="7"/>
        <v>34.1</v>
      </c>
      <c r="G89" s="3">
        <f t="shared" si="8"/>
        <v>6.7</v>
      </c>
      <c r="I89" s="17">
        <f t="shared" si="9"/>
        <v>1981</v>
      </c>
      <c r="J89" s="3">
        <f t="shared" si="10"/>
        <v>34.1</v>
      </c>
      <c r="K89" s="3">
        <f t="shared" si="10"/>
        <v>6.7</v>
      </c>
      <c r="L89" s="3">
        <f t="shared" si="11"/>
        <v>27.400000000000002</v>
      </c>
    </row>
    <row r="90" spans="1:12" x14ac:dyDescent="0.55000000000000004">
      <c r="A90" s="14">
        <f t="shared" si="6"/>
        <v>1982</v>
      </c>
      <c r="D90" s="3">
        <v>33.6</v>
      </c>
      <c r="E90" s="3">
        <v>6.4</v>
      </c>
      <c r="F90" s="3">
        <f t="shared" si="7"/>
        <v>33.6</v>
      </c>
      <c r="G90" s="3">
        <f t="shared" si="8"/>
        <v>6.4</v>
      </c>
      <c r="I90" s="17">
        <f t="shared" si="9"/>
        <v>1982</v>
      </c>
      <c r="J90" s="3">
        <f t="shared" si="10"/>
        <v>33.6</v>
      </c>
      <c r="K90" s="3">
        <f t="shared" si="10"/>
        <v>6.4</v>
      </c>
      <c r="L90" s="3">
        <f t="shared" si="11"/>
        <v>27.200000000000003</v>
      </c>
    </row>
    <row r="91" spans="1:12" x14ac:dyDescent="0.55000000000000004">
      <c r="A91" s="14">
        <f t="shared" si="6"/>
        <v>1983</v>
      </c>
      <c r="D91" s="3">
        <v>33.1</v>
      </c>
      <c r="E91" s="3">
        <v>6.3</v>
      </c>
      <c r="F91" s="3">
        <f t="shared" si="7"/>
        <v>33.1</v>
      </c>
      <c r="G91" s="3">
        <f t="shared" si="8"/>
        <v>6.3</v>
      </c>
      <c r="I91" s="17">
        <f t="shared" si="9"/>
        <v>1983</v>
      </c>
      <c r="J91" s="3">
        <f t="shared" si="10"/>
        <v>33.1</v>
      </c>
      <c r="K91" s="3">
        <f t="shared" si="10"/>
        <v>6.3</v>
      </c>
      <c r="L91" s="3">
        <f t="shared" si="11"/>
        <v>26.8</v>
      </c>
    </row>
    <row r="92" spans="1:12" x14ac:dyDescent="0.55000000000000004">
      <c r="A92" s="14">
        <f t="shared" si="6"/>
        <v>1984</v>
      </c>
      <c r="D92" s="3">
        <v>32.6</v>
      </c>
      <c r="E92" s="3">
        <v>6.1</v>
      </c>
      <c r="F92" s="3">
        <f t="shared" si="7"/>
        <v>32.6</v>
      </c>
      <c r="G92" s="3">
        <f t="shared" si="8"/>
        <v>6.1</v>
      </c>
      <c r="I92" s="17">
        <f t="shared" si="9"/>
        <v>1984</v>
      </c>
      <c r="J92" s="3">
        <f t="shared" si="10"/>
        <v>32.6</v>
      </c>
      <c r="K92" s="3">
        <f t="shared" si="10"/>
        <v>6.1</v>
      </c>
      <c r="L92" s="3">
        <f t="shared" si="11"/>
        <v>26.5</v>
      </c>
    </row>
    <row r="93" spans="1:12" x14ac:dyDescent="0.55000000000000004">
      <c r="A93" s="14">
        <f t="shared" si="6"/>
        <v>1985</v>
      </c>
      <c r="D93" s="3">
        <v>32.1</v>
      </c>
      <c r="E93" s="3">
        <v>6</v>
      </c>
      <c r="F93" s="3">
        <f t="shared" si="7"/>
        <v>32.1</v>
      </c>
      <c r="G93" s="3">
        <f t="shared" si="8"/>
        <v>6</v>
      </c>
      <c r="I93" s="17">
        <f t="shared" si="9"/>
        <v>1985</v>
      </c>
      <c r="J93" s="3">
        <f t="shared" si="10"/>
        <v>32.1</v>
      </c>
      <c r="K93" s="3">
        <f t="shared" si="10"/>
        <v>6</v>
      </c>
      <c r="L93" s="3">
        <f t="shared" si="11"/>
        <v>26.1</v>
      </c>
    </row>
    <row r="94" spans="1:12" x14ac:dyDescent="0.55000000000000004">
      <c r="A94" s="14">
        <f t="shared" si="6"/>
        <v>1986</v>
      </c>
      <c r="D94" s="3">
        <v>31.5</v>
      </c>
      <c r="E94" s="3">
        <v>5.8</v>
      </c>
      <c r="F94" s="3">
        <f t="shared" si="7"/>
        <v>31.5</v>
      </c>
      <c r="G94" s="3">
        <f t="shared" si="8"/>
        <v>5.8</v>
      </c>
      <c r="I94" s="17">
        <f t="shared" si="9"/>
        <v>1986</v>
      </c>
      <c r="J94" s="3">
        <f t="shared" si="10"/>
        <v>31.5</v>
      </c>
      <c r="K94" s="3">
        <f t="shared" si="10"/>
        <v>5.8</v>
      </c>
      <c r="L94" s="3">
        <f t="shared" si="11"/>
        <v>25.7</v>
      </c>
    </row>
    <row r="95" spans="1:12" x14ac:dyDescent="0.55000000000000004">
      <c r="A95" s="14">
        <f t="shared" si="6"/>
        <v>1987</v>
      </c>
      <c r="D95" s="3">
        <v>31</v>
      </c>
      <c r="E95" s="3">
        <v>5.6</v>
      </c>
      <c r="F95" s="3">
        <f t="shared" si="7"/>
        <v>31</v>
      </c>
      <c r="G95" s="3">
        <f t="shared" si="8"/>
        <v>5.6</v>
      </c>
      <c r="I95" s="17">
        <f t="shared" si="9"/>
        <v>1987</v>
      </c>
      <c r="J95" s="3">
        <f t="shared" si="10"/>
        <v>31</v>
      </c>
      <c r="K95" s="3">
        <f t="shared" si="10"/>
        <v>5.6</v>
      </c>
      <c r="L95" s="3">
        <f t="shared" si="11"/>
        <v>25.4</v>
      </c>
    </row>
    <row r="96" spans="1:12" x14ac:dyDescent="0.55000000000000004">
      <c r="A96" s="14">
        <f t="shared" si="6"/>
        <v>1988</v>
      </c>
      <c r="D96" s="3">
        <v>30.6</v>
      </c>
      <c r="E96" s="3">
        <v>5.6</v>
      </c>
      <c r="F96" s="3">
        <f t="shared" si="7"/>
        <v>30.6</v>
      </c>
      <c r="G96" s="3">
        <f t="shared" si="8"/>
        <v>5.6</v>
      </c>
      <c r="I96" s="17">
        <f t="shared" si="9"/>
        <v>1988</v>
      </c>
      <c r="J96" s="3">
        <f t="shared" si="10"/>
        <v>30.6</v>
      </c>
      <c r="K96" s="3">
        <f t="shared" si="10"/>
        <v>5.6</v>
      </c>
      <c r="L96" s="3">
        <f t="shared" si="11"/>
        <v>25</v>
      </c>
    </row>
    <row r="97" spans="1:12" x14ac:dyDescent="0.55000000000000004">
      <c r="A97" s="14">
        <f t="shared" si="6"/>
        <v>1989</v>
      </c>
      <c r="D97" s="3">
        <v>30.3</v>
      </c>
      <c r="E97" s="3">
        <v>5.6</v>
      </c>
      <c r="F97" s="3">
        <f t="shared" si="7"/>
        <v>30.3</v>
      </c>
      <c r="G97" s="3">
        <f t="shared" si="8"/>
        <v>5.6</v>
      </c>
      <c r="I97" s="17">
        <f t="shared" si="9"/>
        <v>1989</v>
      </c>
      <c r="J97" s="3">
        <f t="shared" si="10"/>
        <v>30.3</v>
      </c>
      <c r="K97" s="3">
        <f t="shared" si="10"/>
        <v>5.6</v>
      </c>
      <c r="L97" s="3">
        <f t="shared" si="11"/>
        <v>24.700000000000003</v>
      </c>
    </row>
    <row r="98" spans="1:12" x14ac:dyDescent="0.55000000000000004">
      <c r="A98" s="14">
        <f t="shared" si="6"/>
        <v>1990</v>
      </c>
      <c r="D98" s="3">
        <v>30</v>
      </c>
      <c r="E98" s="3">
        <v>5.4</v>
      </c>
      <c r="F98" s="3">
        <f t="shared" si="7"/>
        <v>30</v>
      </c>
      <c r="G98" s="3">
        <f t="shared" si="8"/>
        <v>5.4</v>
      </c>
      <c r="I98" s="17">
        <f t="shared" si="9"/>
        <v>1990</v>
      </c>
      <c r="J98" s="3">
        <f t="shared" si="10"/>
        <v>30</v>
      </c>
      <c r="K98" s="3">
        <f t="shared" si="10"/>
        <v>5.4</v>
      </c>
      <c r="L98" s="3">
        <f t="shared" si="11"/>
        <v>24.6</v>
      </c>
    </row>
    <row r="99" spans="1:12" x14ac:dyDescent="0.55000000000000004">
      <c r="A99" s="14">
        <f t="shared" si="6"/>
        <v>1991</v>
      </c>
      <c r="D99" s="3">
        <v>29.6</v>
      </c>
      <c r="E99" s="3">
        <v>5.2</v>
      </c>
      <c r="F99" s="3">
        <f t="shared" si="7"/>
        <v>29.6</v>
      </c>
      <c r="G99" s="3">
        <f t="shared" si="8"/>
        <v>5.2</v>
      </c>
      <c r="I99" s="17">
        <f t="shared" ref="I99:I131" si="12">A99</f>
        <v>1991</v>
      </c>
      <c r="J99" s="3">
        <f t="shared" si="10"/>
        <v>29.6</v>
      </c>
      <c r="K99" s="3">
        <f t="shared" si="10"/>
        <v>5.2</v>
      </c>
      <c r="L99" s="3">
        <f t="shared" si="11"/>
        <v>24.400000000000002</v>
      </c>
    </row>
    <row r="100" spans="1:12" x14ac:dyDescent="0.55000000000000004">
      <c r="A100" s="14">
        <f t="shared" si="6"/>
        <v>1992</v>
      </c>
      <c r="D100" s="3">
        <v>29.1</v>
      </c>
      <c r="E100" s="3">
        <v>5.2</v>
      </c>
      <c r="F100" s="3">
        <f t="shared" si="7"/>
        <v>29.1</v>
      </c>
      <c r="G100" s="3">
        <f t="shared" si="8"/>
        <v>5.2</v>
      </c>
      <c r="I100" s="17">
        <f t="shared" si="12"/>
        <v>1992</v>
      </c>
      <c r="J100" s="3">
        <f t="shared" si="10"/>
        <v>29.1</v>
      </c>
      <c r="K100" s="3">
        <f t="shared" si="10"/>
        <v>5.2</v>
      </c>
      <c r="L100" s="3">
        <f t="shared" si="11"/>
        <v>23.900000000000002</v>
      </c>
    </row>
    <row r="101" spans="1:12" x14ac:dyDescent="0.55000000000000004">
      <c r="A101" s="14">
        <f t="shared" si="6"/>
        <v>1993</v>
      </c>
      <c r="D101" s="3">
        <v>28.4</v>
      </c>
      <c r="E101" s="3">
        <v>5.0999999999999996</v>
      </c>
      <c r="F101" s="3">
        <f t="shared" si="7"/>
        <v>28.4</v>
      </c>
      <c r="G101" s="3">
        <f t="shared" si="8"/>
        <v>5.0999999999999996</v>
      </c>
      <c r="I101" s="17">
        <f t="shared" si="12"/>
        <v>1993</v>
      </c>
      <c r="J101" s="3">
        <f t="shared" si="10"/>
        <v>28.4</v>
      </c>
      <c r="K101" s="3">
        <f t="shared" si="10"/>
        <v>5.0999999999999996</v>
      </c>
      <c r="L101" s="3">
        <f t="shared" si="11"/>
        <v>23.299999999999997</v>
      </c>
    </row>
    <row r="102" spans="1:12" x14ac:dyDescent="0.55000000000000004">
      <c r="A102" s="14">
        <f t="shared" si="6"/>
        <v>1994</v>
      </c>
      <c r="D102" s="3">
        <v>27.7</v>
      </c>
      <c r="E102" s="3">
        <v>5.0999999999999996</v>
      </c>
      <c r="F102" s="3">
        <f t="shared" si="7"/>
        <v>27.7</v>
      </c>
      <c r="G102" s="3">
        <f t="shared" si="8"/>
        <v>5.0999999999999996</v>
      </c>
      <c r="I102" s="17">
        <f t="shared" si="12"/>
        <v>1994</v>
      </c>
      <c r="J102" s="3">
        <f t="shared" si="10"/>
        <v>27.7</v>
      </c>
      <c r="K102" s="3">
        <f t="shared" si="10"/>
        <v>5.0999999999999996</v>
      </c>
      <c r="L102" s="3">
        <f t="shared" si="11"/>
        <v>22.6</v>
      </c>
    </row>
    <row r="103" spans="1:12" x14ac:dyDescent="0.55000000000000004">
      <c r="A103" s="14">
        <f t="shared" si="6"/>
        <v>1995</v>
      </c>
      <c r="D103" s="3">
        <v>27</v>
      </c>
      <c r="E103" s="3">
        <v>5.0999999999999996</v>
      </c>
      <c r="F103" s="3">
        <f t="shared" si="7"/>
        <v>27</v>
      </c>
      <c r="G103" s="3">
        <f t="shared" si="8"/>
        <v>5.0999999999999996</v>
      </c>
      <c r="I103" s="17">
        <f t="shared" si="12"/>
        <v>1995</v>
      </c>
      <c r="J103" s="3">
        <f t="shared" si="10"/>
        <v>27</v>
      </c>
      <c r="K103" s="3">
        <f t="shared" si="10"/>
        <v>5.0999999999999996</v>
      </c>
      <c r="L103" s="3">
        <f t="shared" si="11"/>
        <v>21.9</v>
      </c>
    </row>
    <row r="104" spans="1:12" x14ac:dyDescent="0.55000000000000004">
      <c r="A104" s="14">
        <f t="shared" si="6"/>
        <v>1996</v>
      </c>
      <c r="D104" s="3">
        <v>26.3</v>
      </c>
      <c r="E104" s="3">
        <v>5.0999999999999996</v>
      </c>
      <c r="F104" s="3">
        <f t="shared" si="7"/>
        <v>26.3</v>
      </c>
      <c r="G104" s="3">
        <f t="shared" si="8"/>
        <v>5.0999999999999996</v>
      </c>
      <c r="I104" s="17">
        <f t="shared" si="12"/>
        <v>1996</v>
      </c>
      <c r="J104" s="3">
        <f t="shared" si="10"/>
        <v>26.3</v>
      </c>
      <c r="K104" s="3">
        <f t="shared" si="10"/>
        <v>5.0999999999999996</v>
      </c>
      <c r="L104" s="3">
        <f t="shared" si="11"/>
        <v>21.200000000000003</v>
      </c>
    </row>
    <row r="105" spans="1:12" x14ac:dyDescent="0.55000000000000004">
      <c r="A105" s="14">
        <f t="shared" si="6"/>
        <v>1997</v>
      </c>
      <c r="D105" s="3">
        <v>25.7</v>
      </c>
      <c r="E105" s="3">
        <v>5</v>
      </c>
      <c r="F105" s="3">
        <f t="shared" si="7"/>
        <v>25.7</v>
      </c>
      <c r="G105" s="3">
        <f t="shared" si="8"/>
        <v>5</v>
      </c>
      <c r="I105" s="17">
        <f t="shared" si="12"/>
        <v>1997</v>
      </c>
      <c r="J105" s="3">
        <f t="shared" si="10"/>
        <v>25.7</v>
      </c>
      <c r="K105" s="3">
        <f t="shared" si="10"/>
        <v>5</v>
      </c>
      <c r="L105" s="3">
        <f t="shared" si="11"/>
        <v>20.7</v>
      </c>
    </row>
    <row r="106" spans="1:12" x14ac:dyDescent="0.55000000000000004">
      <c r="A106" s="14">
        <f t="shared" si="6"/>
        <v>1998</v>
      </c>
      <c r="D106" s="3">
        <v>25.4</v>
      </c>
      <c r="E106" s="3">
        <v>5</v>
      </c>
      <c r="F106" s="3">
        <f t="shared" si="7"/>
        <v>25.4</v>
      </c>
      <c r="G106" s="3">
        <f t="shared" si="8"/>
        <v>5</v>
      </c>
      <c r="I106" s="17">
        <f t="shared" si="12"/>
        <v>1998</v>
      </c>
      <c r="J106" s="3">
        <f t="shared" si="10"/>
        <v>25.4</v>
      </c>
      <c r="K106" s="3">
        <f t="shared" si="10"/>
        <v>5</v>
      </c>
      <c r="L106" s="3">
        <f t="shared" si="11"/>
        <v>20.399999999999999</v>
      </c>
    </row>
    <row r="107" spans="1:12" x14ac:dyDescent="0.55000000000000004">
      <c r="A107" s="14">
        <f t="shared" si="6"/>
        <v>1999</v>
      </c>
      <c r="D107" s="3">
        <v>25.1</v>
      </c>
      <c r="E107" s="3">
        <v>4.9000000000000004</v>
      </c>
      <c r="F107" s="3">
        <f t="shared" si="7"/>
        <v>25.1</v>
      </c>
      <c r="G107" s="3">
        <f t="shared" si="8"/>
        <v>4.9000000000000004</v>
      </c>
      <c r="I107" s="17">
        <f t="shared" si="12"/>
        <v>1999</v>
      </c>
      <c r="J107" s="3">
        <f t="shared" si="10"/>
        <v>25.1</v>
      </c>
      <c r="K107" s="3">
        <f t="shared" si="10"/>
        <v>4.9000000000000004</v>
      </c>
      <c r="L107" s="3">
        <f t="shared" si="11"/>
        <v>20.200000000000003</v>
      </c>
    </row>
    <row r="108" spans="1:12" x14ac:dyDescent="0.55000000000000004">
      <c r="A108" s="14">
        <f t="shared" si="6"/>
        <v>2000</v>
      </c>
      <c r="D108" s="3">
        <v>24.7</v>
      </c>
      <c r="E108" s="3">
        <v>4.8</v>
      </c>
      <c r="F108" s="3">
        <f t="shared" si="7"/>
        <v>24.7</v>
      </c>
      <c r="G108" s="3">
        <f t="shared" si="8"/>
        <v>4.8</v>
      </c>
      <c r="I108" s="17">
        <f t="shared" si="12"/>
        <v>2000</v>
      </c>
      <c r="J108" s="3">
        <f t="shared" si="10"/>
        <v>24.7</v>
      </c>
      <c r="K108" s="3">
        <f t="shared" si="10"/>
        <v>4.8</v>
      </c>
      <c r="L108" s="3">
        <f t="shared" si="11"/>
        <v>19.899999999999999</v>
      </c>
    </row>
    <row r="109" spans="1:12" x14ac:dyDescent="0.55000000000000004">
      <c r="A109" s="14">
        <f t="shared" si="6"/>
        <v>2001</v>
      </c>
      <c r="D109" s="3">
        <v>24.1</v>
      </c>
      <c r="E109" s="3">
        <v>4.7</v>
      </c>
      <c r="F109" s="3">
        <f t="shared" si="7"/>
        <v>24.1</v>
      </c>
      <c r="G109" s="3">
        <f t="shared" si="8"/>
        <v>4.7</v>
      </c>
      <c r="I109" s="17">
        <f t="shared" si="12"/>
        <v>2001</v>
      </c>
      <c r="J109" s="3">
        <f t="shared" si="10"/>
        <v>24.1</v>
      </c>
      <c r="K109" s="3">
        <f t="shared" si="10"/>
        <v>4.7</v>
      </c>
      <c r="L109" s="3">
        <f t="shared" si="11"/>
        <v>19.400000000000002</v>
      </c>
    </row>
    <row r="110" spans="1:12" x14ac:dyDescent="0.55000000000000004">
      <c r="A110" s="14">
        <f t="shared" si="6"/>
        <v>2002</v>
      </c>
      <c r="D110" s="3">
        <v>23.5</v>
      </c>
      <c r="E110" s="3">
        <v>4.8</v>
      </c>
      <c r="F110" s="3">
        <f t="shared" si="7"/>
        <v>23.5</v>
      </c>
      <c r="G110" s="3">
        <f t="shared" si="8"/>
        <v>4.8</v>
      </c>
      <c r="I110" s="17">
        <f t="shared" si="12"/>
        <v>2002</v>
      </c>
      <c r="J110" s="3">
        <f t="shared" si="10"/>
        <v>23.5</v>
      </c>
      <c r="K110" s="3">
        <f t="shared" si="10"/>
        <v>4.8</v>
      </c>
      <c r="L110" s="3">
        <f t="shared" si="11"/>
        <v>18.7</v>
      </c>
    </row>
    <row r="111" spans="1:12" x14ac:dyDescent="0.55000000000000004">
      <c r="A111" s="14">
        <f t="shared" si="6"/>
        <v>2003</v>
      </c>
      <c r="D111" s="3">
        <v>22.9</v>
      </c>
      <c r="E111" s="3">
        <v>4.8</v>
      </c>
      <c r="F111" s="3">
        <f t="shared" si="7"/>
        <v>22.9</v>
      </c>
      <c r="G111" s="3">
        <f t="shared" si="8"/>
        <v>4.8</v>
      </c>
      <c r="I111" s="17">
        <f t="shared" si="12"/>
        <v>2003</v>
      </c>
      <c r="J111" s="3">
        <f t="shared" si="10"/>
        <v>22.9</v>
      </c>
      <c r="K111" s="3">
        <f t="shared" si="10"/>
        <v>4.8</v>
      </c>
      <c r="L111" s="3">
        <f t="shared" si="11"/>
        <v>18.099999999999998</v>
      </c>
    </row>
    <row r="112" spans="1:12" x14ac:dyDescent="0.55000000000000004">
      <c r="A112" s="14">
        <f t="shared" si="6"/>
        <v>2004</v>
      </c>
      <c r="D112" s="3">
        <v>22.4</v>
      </c>
      <c r="E112" s="3">
        <v>4.8</v>
      </c>
      <c r="F112" s="3">
        <f t="shared" si="7"/>
        <v>22.4</v>
      </c>
      <c r="G112" s="3">
        <f t="shared" si="8"/>
        <v>4.8</v>
      </c>
      <c r="I112" s="17">
        <f t="shared" si="12"/>
        <v>2004</v>
      </c>
      <c r="J112" s="3">
        <f t="shared" si="10"/>
        <v>22.4</v>
      </c>
      <c r="K112" s="3">
        <f t="shared" si="10"/>
        <v>4.8</v>
      </c>
      <c r="L112" s="3">
        <f t="shared" si="11"/>
        <v>17.599999999999998</v>
      </c>
    </row>
    <row r="113" spans="1:12" x14ac:dyDescent="0.55000000000000004">
      <c r="A113" s="14">
        <f t="shared" si="6"/>
        <v>2005</v>
      </c>
      <c r="D113" s="3">
        <v>22.1</v>
      </c>
      <c r="E113" s="3">
        <v>4.9000000000000004</v>
      </c>
      <c r="F113" s="3">
        <f t="shared" si="7"/>
        <v>22.1</v>
      </c>
      <c r="G113" s="3">
        <f t="shared" si="8"/>
        <v>4.9000000000000004</v>
      </c>
      <c r="I113" s="17">
        <f t="shared" si="12"/>
        <v>2005</v>
      </c>
      <c r="J113" s="3">
        <f t="shared" si="10"/>
        <v>22.1</v>
      </c>
      <c r="K113" s="3">
        <f t="shared" si="10"/>
        <v>4.9000000000000004</v>
      </c>
      <c r="L113" s="3">
        <f t="shared" si="11"/>
        <v>17.200000000000003</v>
      </c>
    </row>
    <row r="114" spans="1:12" x14ac:dyDescent="0.55000000000000004">
      <c r="A114" s="14">
        <f t="shared" si="6"/>
        <v>2006</v>
      </c>
      <c r="D114" s="3">
        <v>21.8</v>
      </c>
      <c r="E114" s="3">
        <v>4.8</v>
      </c>
      <c r="F114" s="3">
        <f t="shared" si="7"/>
        <v>21.8</v>
      </c>
      <c r="G114" s="3">
        <f t="shared" si="8"/>
        <v>4.8</v>
      </c>
      <c r="I114" s="17">
        <f t="shared" si="12"/>
        <v>2006</v>
      </c>
      <c r="J114" s="3">
        <f t="shared" si="10"/>
        <v>21.8</v>
      </c>
      <c r="K114" s="3">
        <f t="shared" si="10"/>
        <v>4.8</v>
      </c>
      <c r="L114" s="3">
        <f t="shared" si="11"/>
        <v>17</v>
      </c>
    </row>
    <row r="115" spans="1:12" x14ac:dyDescent="0.55000000000000004">
      <c r="A115" s="14">
        <f t="shared" si="6"/>
        <v>2007</v>
      </c>
      <c r="D115" s="3">
        <v>21.6</v>
      </c>
      <c r="E115" s="3">
        <v>4.9000000000000004</v>
      </c>
      <c r="F115" s="3">
        <f t="shared" si="7"/>
        <v>21.6</v>
      </c>
      <c r="G115" s="3">
        <f t="shared" si="8"/>
        <v>4.9000000000000004</v>
      </c>
      <c r="I115" s="17">
        <f t="shared" si="12"/>
        <v>2007</v>
      </c>
      <c r="J115" s="3">
        <f t="shared" si="10"/>
        <v>21.6</v>
      </c>
      <c r="K115" s="3">
        <f t="shared" si="10"/>
        <v>4.9000000000000004</v>
      </c>
      <c r="L115" s="3">
        <f t="shared" si="11"/>
        <v>16.700000000000003</v>
      </c>
    </row>
    <row r="116" spans="1:12" x14ac:dyDescent="0.55000000000000004">
      <c r="A116" s="14">
        <f t="shared" si="6"/>
        <v>2008</v>
      </c>
      <c r="D116" s="3">
        <v>21.3</v>
      </c>
      <c r="E116" s="3">
        <v>5.0999999999999996</v>
      </c>
      <c r="F116" s="3">
        <f t="shared" si="7"/>
        <v>21.3</v>
      </c>
      <c r="G116" s="3">
        <f t="shared" si="8"/>
        <v>5.0999999999999996</v>
      </c>
      <c r="I116" s="17">
        <f t="shared" si="12"/>
        <v>2008</v>
      </c>
      <c r="J116" s="3">
        <f t="shared" si="10"/>
        <v>21.3</v>
      </c>
      <c r="K116" s="3">
        <f t="shared" si="10"/>
        <v>5.0999999999999996</v>
      </c>
      <c r="L116" s="3">
        <f t="shared" si="11"/>
        <v>16.200000000000003</v>
      </c>
    </row>
    <row r="117" spans="1:12" x14ac:dyDescent="0.55000000000000004">
      <c r="A117" s="14">
        <f t="shared" si="6"/>
        <v>2009</v>
      </c>
      <c r="D117" s="3">
        <v>21</v>
      </c>
      <c r="E117" s="3">
        <v>5.2</v>
      </c>
      <c r="F117" s="3">
        <f t="shared" si="7"/>
        <v>21</v>
      </c>
      <c r="G117" s="3">
        <f t="shared" si="8"/>
        <v>5.2</v>
      </c>
      <c r="I117" s="17">
        <f t="shared" si="12"/>
        <v>2009</v>
      </c>
      <c r="J117" s="3">
        <f t="shared" si="10"/>
        <v>21</v>
      </c>
      <c r="K117" s="3">
        <f t="shared" si="10"/>
        <v>5.2</v>
      </c>
      <c r="L117" s="3">
        <f t="shared" si="11"/>
        <v>15.8</v>
      </c>
    </row>
    <row r="118" spans="1:12" x14ac:dyDescent="0.55000000000000004">
      <c r="A118" s="14">
        <f t="shared" si="6"/>
        <v>2010</v>
      </c>
      <c r="D118" s="3">
        <v>20.5</v>
      </c>
      <c r="E118" s="3">
        <v>5.4</v>
      </c>
      <c r="F118" s="3">
        <f t="shared" si="7"/>
        <v>20.5</v>
      </c>
      <c r="G118" s="3">
        <f t="shared" si="8"/>
        <v>5.4</v>
      </c>
      <c r="I118" s="17">
        <f t="shared" si="12"/>
        <v>2010</v>
      </c>
      <c r="J118" s="3">
        <f t="shared" si="10"/>
        <v>20.5</v>
      </c>
      <c r="K118" s="3">
        <f t="shared" si="10"/>
        <v>5.4</v>
      </c>
      <c r="L118" s="3">
        <f t="shared" si="11"/>
        <v>15.1</v>
      </c>
    </row>
    <row r="119" spans="1:12" x14ac:dyDescent="0.55000000000000004">
      <c r="A119" s="14">
        <f t="shared" si="6"/>
        <v>2011</v>
      </c>
      <c r="D119" s="3">
        <v>20</v>
      </c>
      <c r="E119" s="3">
        <v>5.3</v>
      </c>
      <c r="F119" s="3">
        <f t="shared" si="7"/>
        <v>20</v>
      </c>
      <c r="G119" s="3">
        <f t="shared" si="8"/>
        <v>5.3</v>
      </c>
      <c r="I119" s="17">
        <f t="shared" si="12"/>
        <v>2011</v>
      </c>
      <c r="J119" s="3">
        <f t="shared" si="10"/>
        <v>20</v>
      </c>
      <c r="K119" s="3">
        <f t="shared" si="10"/>
        <v>5.3</v>
      </c>
      <c r="L119" s="3">
        <f t="shared" si="11"/>
        <v>14.7</v>
      </c>
    </row>
    <row r="120" spans="1:12" x14ac:dyDescent="0.55000000000000004">
      <c r="A120" s="14">
        <f t="shared" si="6"/>
        <v>2012</v>
      </c>
      <c r="D120" s="3">
        <v>19.5</v>
      </c>
      <c r="E120" s="3">
        <v>5.3</v>
      </c>
      <c r="F120" s="3">
        <f t="shared" si="7"/>
        <v>19.5</v>
      </c>
      <c r="G120" s="3">
        <f t="shared" si="8"/>
        <v>5.3</v>
      </c>
      <c r="I120" s="17">
        <f t="shared" si="12"/>
        <v>2012</v>
      </c>
      <c r="J120" s="3">
        <f t="shared" si="10"/>
        <v>19.5</v>
      </c>
      <c r="K120" s="3">
        <f t="shared" si="10"/>
        <v>5.3</v>
      </c>
      <c r="L120" s="3">
        <f t="shared" si="11"/>
        <v>14.2</v>
      </c>
    </row>
    <row r="121" spans="1:12" x14ac:dyDescent="0.55000000000000004">
      <c r="A121" s="14">
        <f t="shared" si="6"/>
        <v>2013</v>
      </c>
      <c r="D121" s="3">
        <v>19.100000000000001</v>
      </c>
      <c r="E121" s="3">
        <v>5.3</v>
      </c>
      <c r="F121" s="3">
        <f t="shared" si="7"/>
        <v>19.100000000000001</v>
      </c>
      <c r="G121" s="3">
        <f t="shared" si="8"/>
        <v>5.3</v>
      </c>
      <c r="I121" s="17">
        <f t="shared" si="12"/>
        <v>2013</v>
      </c>
      <c r="J121" s="3">
        <f t="shared" si="10"/>
        <v>19.100000000000001</v>
      </c>
      <c r="K121" s="3">
        <f t="shared" si="10"/>
        <v>5.3</v>
      </c>
      <c r="L121" s="3">
        <f t="shared" si="11"/>
        <v>13.8</v>
      </c>
    </row>
    <row r="122" spans="1:12" x14ac:dyDescent="0.55000000000000004">
      <c r="A122" s="14">
        <f t="shared" si="6"/>
        <v>2014</v>
      </c>
      <c r="D122" s="3">
        <v>18.7</v>
      </c>
      <c r="E122" s="3">
        <v>5.4</v>
      </c>
      <c r="F122" s="3">
        <f t="shared" si="7"/>
        <v>18.7</v>
      </c>
      <c r="G122" s="3">
        <f t="shared" si="8"/>
        <v>5.4</v>
      </c>
      <c r="I122" s="17">
        <f t="shared" si="12"/>
        <v>2014</v>
      </c>
      <c r="J122" s="3">
        <f t="shared" si="10"/>
        <v>18.7</v>
      </c>
      <c r="K122" s="3">
        <f t="shared" si="10"/>
        <v>5.4</v>
      </c>
      <c r="L122" s="3">
        <f t="shared" si="11"/>
        <v>13.299999999999999</v>
      </c>
    </row>
    <row r="123" spans="1:12" x14ac:dyDescent="0.55000000000000004">
      <c r="A123" s="14">
        <f t="shared" si="6"/>
        <v>2015</v>
      </c>
      <c r="D123" s="3">
        <v>18.3</v>
      </c>
      <c r="E123" s="3">
        <v>5.5</v>
      </c>
      <c r="F123" s="3">
        <f t="shared" si="7"/>
        <v>18.3</v>
      </c>
      <c r="G123" s="3">
        <f t="shared" si="8"/>
        <v>5.5</v>
      </c>
      <c r="I123" s="17">
        <f t="shared" si="12"/>
        <v>2015</v>
      </c>
      <c r="J123" s="3">
        <f t="shared" si="10"/>
        <v>18.3</v>
      </c>
      <c r="K123" s="3">
        <f t="shared" si="10"/>
        <v>5.5</v>
      </c>
      <c r="L123" s="3">
        <f t="shared" si="11"/>
        <v>12.8</v>
      </c>
    </row>
    <row r="124" spans="1:12" x14ac:dyDescent="0.55000000000000004">
      <c r="A124" s="14">
        <f t="shared" si="6"/>
        <v>2016</v>
      </c>
      <c r="D124" s="3">
        <v>17.7</v>
      </c>
      <c r="E124" s="3">
        <v>5.7</v>
      </c>
      <c r="F124" s="3">
        <f t="shared" si="7"/>
        <v>17.7</v>
      </c>
      <c r="G124" s="3">
        <f t="shared" si="8"/>
        <v>5.7</v>
      </c>
      <c r="I124" s="17">
        <f t="shared" si="12"/>
        <v>2016</v>
      </c>
      <c r="J124" s="3">
        <f t="shared" si="10"/>
        <v>17.7</v>
      </c>
      <c r="K124" s="3">
        <f t="shared" si="10"/>
        <v>5.7</v>
      </c>
      <c r="L124" s="3">
        <f t="shared" si="11"/>
        <v>12</v>
      </c>
    </row>
    <row r="125" spans="1:12" x14ac:dyDescent="0.55000000000000004">
      <c r="A125" s="14">
        <f t="shared" ref="A125:A131" si="13">A124+1</f>
        <v>2017</v>
      </c>
      <c r="D125" s="3">
        <v>17.3</v>
      </c>
      <c r="E125" s="3">
        <v>5.8</v>
      </c>
      <c r="F125" s="3">
        <f t="shared" ref="F125:F131" si="14">D125</f>
        <v>17.3</v>
      </c>
      <c r="G125" s="3">
        <f t="shared" si="8"/>
        <v>5.8</v>
      </c>
      <c r="I125" s="17">
        <f t="shared" si="12"/>
        <v>2017</v>
      </c>
      <c r="J125" s="3">
        <f t="shared" si="10"/>
        <v>17.3</v>
      </c>
      <c r="K125" s="3">
        <f t="shared" si="10"/>
        <v>5.8</v>
      </c>
      <c r="L125" s="3">
        <f t="shared" si="11"/>
        <v>11.5</v>
      </c>
    </row>
    <row r="126" spans="1:12" x14ac:dyDescent="0.55000000000000004">
      <c r="A126" s="14">
        <f t="shared" si="13"/>
        <v>2018</v>
      </c>
      <c r="D126" s="3">
        <v>17.100000000000001</v>
      </c>
      <c r="E126" s="3">
        <v>5.9</v>
      </c>
      <c r="F126" s="3">
        <f t="shared" si="14"/>
        <v>17.100000000000001</v>
      </c>
      <c r="G126" s="3">
        <f t="shared" si="8"/>
        <v>5.9</v>
      </c>
      <c r="I126" s="17">
        <f t="shared" si="12"/>
        <v>2018</v>
      </c>
      <c r="J126" s="3">
        <f t="shared" si="10"/>
        <v>17.100000000000001</v>
      </c>
      <c r="K126" s="3">
        <f t="shared" si="10"/>
        <v>5.9</v>
      </c>
      <c r="L126" s="3">
        <f t="shared" si="11"/>
        <v>11.200000000000001</v>
      </c>
    </row>
    <row r="127" spans="1:12" x14ac:dyDescent="0.55000000000000004">
      <c r="A127" s="14">
        <f t="shared" si="13"/>
        <v>2019</v>
      </c>
      <c r="D127" s="3">
        <v>16.899999999999999</v>
      </c>
      <c r="E127" s="3">
        <v>6</v>
      </c>
      <c r="F127" s="3">
        <f t="shared" si="14"/>
        <v>16.899999999999999</v>
      </c>
      <c r="G127" s="3">
        <f t="shared" ref="G127:G131" si="15">E127</f>
        <v>6</v>
      </c>
      <c r="I127" s="17">
        <f t="shared" si="12"/>
        <v>2019</v>
      </c>
      <c r="J127" s="3">
        <f t="shared" si="10"/>
        <v>16.899999999999999</v>
      </c>
      <c r="K127" s="3">
        <f t="shared" si="10"/>
        <v>6</v>
      </c>
      <c r="L127" s="3">
        <f t="shared" si="11"/>
        <v>10.899999999999999</v>
      </c>
    </row>
    <row r="128" spans="1:12" x14ac:dyDescent="0.55000000000000004">
      <c r="A128" s="14">
        <f t="shared" si="13"/>
        <v>2020</v>
      </c>
      <c r="D128" s="3">
        <v>16.600000000000001</v>
      </c>
      <c r="E128" s="3">
        <v>9.3000000000000007</v>
      </c>
      <c r="F128" s="3">
        <f t="shared" si="14"/>
        <v>16.600000000000001</v>
      </c>
      <c r="G128" s="3">
        <f t="shared" si="15"/>
        <v>9.3000000000000007</v>
      </c>
      <c r="I128" s="17">
        <f t="shared" si="12"/>
        <v>2020</v>
      </c>
      <c r="J128" s="3">
        <f t="shared" si="10"/>
        <v>16.600000000000001</v>
      </c>
      <c r="K128" s="3">
        <f t="shared" si="10"/>
        <v>9.3000000000000007</v>
      </c>
      <c r="L128" s="3">
        <f t="shared" si="11"/>
        <v>7.3000000000000007</v>
      </c>
    </row>
    <row r="129" spans="1:12" x14ac:dyDescent="0.55000000000000004">
      <c r="A129" s="14">
        <f t="shared" si="13"/>
        <v>2021</v>
      </c>
      <c r="D129" s="3">
        <v>16.3</v>
      </c>
      <c r="E129" s="3">
        <v>9.5</v>
      </c>
      <c r="F129" s="3">
        <f t="shared" si="14"/>
        <v>16.3</v>
      </c>
      <c r="G129" s="3">
        <f t="shared" si="15"/>
        <v>9.5</v>
      </c>
      <c r="I129" s="17">
        <f t="shared" si="12"/>
        <v>2021</v>
      </c>
      <c r="J129" s="3">
        <f t="shared" si="10"/>
        <v>16.3</v>
      </c>
      <c r="K129" s="3">
        <f t="shared" si="10"/>
        <v>9.5</v>
      </c>
      <c r="L129" s="3">
        <f t="shared" si="11"/>
        <v>6.8000000000000007</v>
      </c>
    </row>
    <row r="130" spans="1:12" x14ac:dyDescent="0.55000000000000004">
      <c r="A130" s="14">
        <f t="shared" si="13"/>
        <v>2022</v>
      </c>
      <c r="D130" s="3">
        <v>16.100000000000001</v>
      </c>
      <c r="E130" s="3">
        <v>6.1</v>
      </c>
      <c r="F130" s="3">
        <f t="shared" si="14"/>
        <v>16.100000000000001</v>
      </c>
      <c r="G130" s="3">
        <f t="shared" si="15"/>
        <v>6.1</v>
      </c>
      <c r="I130" s="17">
        <f t="shared" si="12"/>
        <v>2022</v>
      </c>
      <c r="J130" s="3">
        <f t="shared" si="10"/>
        <v>16.100000000000001</v>
      </c>
      <c r="K130" s="3">
        <f t="shared" si="10"/>
        <v>6.1</v>
      </c>
      <c r="L130" s="3">
        <f t="shared" si="11"/>
        <v>10.000000000000002</v>
      </c>
    </row>
    <row r="131" spans="1:12" x14ac:dyDescent="0.55000000000000004">
      <c r="A131" s="14">
        <f t="shared" si="13"/>
        <v>2023</v>
      </c>
      <c r="D131" s="3">
        <v>15.8</v>
      </c>
      <c r="E131" s="3">
        <v>6.1</v>
      </c>
      <c r="F131" s="3">
        <f t="shared" si="14"/>
        <v>15.8</v>
      </c>
      <c r="G131" s="3">
        <f t="shared" si="15"/>
        <v>6.1</v>
      </c>
      <c r="I131" s="17">
        <f t="shared" si="12"/>
        <v>2023</v>
      </c>
      <c r="J131" s="3">
        <f t="shared" si="10"/>
        <v>15.8</v>
      </c>
      <c r="K131" s="3">
        <f t="shared" si="10"/>
        <v>6.1</v>
      </c>
      <c r="L131" s="3">
        <f t="shared" si="11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8" t="s">
        <v>100</v>
      </c>
      <c r="C1" s="28"/>
      <c r="D1" s="28" t="s">
        <v>160</v>
      </c>
      <c r="E1" s="28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 t="shared" ref="I3:I34" si="0"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1">B4</f>
        <v>47.427</v>
      </c>
      <c r="G4" s="3">
        <f t="shared" si="1"/>
        <v>34.536000000000001</v>
      </c>
      <c r="I4" s="17">
        <f t="shared" si="0"/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1"/>
        <v>47.347999999999999</v>
      </c>
      <c r="G5" s="3">
        <f t="shared" si="1"/>
        <v>34.451000000000001</v>
      </c>
      <c r="I5" s="17">
        <f t="shared" si="0"/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1"/>
        <v>47.220999999999997</v>
      </c>
      <c r="G6" s="3">
        <f t="shared" si="1"/>
        <v>34.316000000000003</v>
      </c>
      <c r="I6" s="17">
        <f t="shared" si="0"/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1"/>
        <v>47.048999999999999</v>
      </c>
      <c r="G7" s="3">
        <f t="shared" si="1"/>
        <v>34.130000000000003</v>
      </c>
      <c r="I7" s="17">
        <f t="shared" si="0"/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1"/>
        <v>46.783999999999999</v>
      </c>
      <c r="G8" s="3">
        <f t="shared" si="1"/>
        <v>33.863</v>
      </c>
      <c r="I8" s="17">
        <f t="shared" si="0"/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1"/>
        <v>46.606000000000002</v>
      </c>
      <c r="G9" s="3">
        <f t="shared" si="1"/>
        <v>33.630000000000003</v>
      </c>
      <c r="I9" s="17">
        <f t="shared" si="0"/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1"/>
        <v>46.463999999999999</v>
      </c>
      <c r="G10" s="3">
        <f t="shared" si="1"/>
        <v>33.398000000000003</v>
      </c>
      <c r="I10" s="17">
        <f t="shared" si="0"/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1"/>
        <v>46.363999999999997</v>
      </c>
      <c r="G11" s="3">
        <f t="shared" si="1"/>
        <v>33.171999999999997</v>
      </c>
      <c r="I11" s="17">
        <f t="shared" si="0"/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1"/>
        <v>46.298999999999999</v>
      </c>
      <c r="G12" s="3">
        <f t="shared" si="1"/>
        <v>32.966000000000001</v>
      </c>
      <c r="I12" s="17">
        <f t="shared" si="0"/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1"/>
        <v>46.332000000000001</v>
      </c>
      <c r="G13" s="3">
        <f t="shared" si="1"/>
        <v>32.942599999999999</v>
      </c>
      <c r="I13" s="17">
        <f t="shared" si="0"/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1"/>
        <v>46.231000000000002</v>
      </c>
      <c r="G14" s="3">
        <f t="shared" si="1"/>
        <v>32.919199999999996</v>
      </c>
      <c r="I14" s="17">
        <f t="shared" si="0"/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1"/>
        <v>46.058</v>
      </c>
      <c r="G15" s="3">
        <f t="shared" si="1"/>
        <v>32.895800000000001</v>
      </c>
      <c r="I15" s="17">
        <f t="shared" si="0"/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1"/>
        <v>45.79</v>
      </c>
      <c r="G16" s="3">
        <f t="shared" si="1"/>
        <v>32.872399999999999</v>
      </c>
      <c r="I16" s="17">
        <f t="shared" si="0"/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1"/>
        <v>45.6</v>
      </c>
      <c r="G17" s="3">
        <f t="shared" si="1"/>
        <v>32.848999999999997</v>
      </c>
      <c r="I17" s="17">
        <f t="shared" si="0"/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1"/>
        <v>45.41</v>
      </c>
      <c r="G18" s="3">
        <f t="shared" si="1"/>
        <v>32.826000000000001</v>
      </c>
      <c r="I18" s="17">
        <f t="shared" si="0"/>
        <v>1910</v>
      </c>
      <c r="J18" s="3">
        <f t="shared" si="2"/>
        <v>45.41</v>
      </c>
      <c r="K18" s="3">
        <f t="shared" si="2"/>
        <v>32.826000000000001</v>
      </c>
      <c r="L18" s="3">
        <f t="shared" si="3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1"/>
        <v>45.226999999999997</v>
      </c>
      <c r="G19" s="3">
        <f t="shared" si="1"/>
        <v>32.768000000000001</v>
      </c>
      <c r="I19" s="17">
        <f t="shared" si="0"/>
        <v>1911</v>
      </c>
      <c r="J19" s="3">
        <f t="shared" si="2"/>
        <v>45.226999999999997</v>
      </c>
      <c r="K19" s="3">
        <f t="shared" si="2"/>
        <v>32.768000000000001</v>
      </c>
      <c r="L19" s="3">
        <f t="shared" si="3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1"/>
        <v>45.058</v>
      </c>
      <c r="G20" s="3">
        <f t="shared" si="1"/>
        <v>32.646000000000001</v>
      </c>
      <c r="I20" s="17">
        <f t="shared" si="0"/>
        <v>1912</v>
      </c>
      <c r="J20" s="3">
        <f t="shared" si="2"/>
        <v>45.058</v>
      </c>
      <c r="K20" s="3">
        <f t="shared" si="2"/>
        <v>32.646000000000001</v>
      </c>
      <c r="L20" s="3">
        <f t="shared" si="3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1"/>
        <v>44.902999999999999</v>
      </c>
      <c r="G21" s="3">
        <f t="shared" si="1"/>
        <v>32.466999999999999</v>
      </c>
      <c r="I21" s="17">
        <f t="shared" si="0"/>
        <v>1913</v>
      </c>
      <c r="J21" s="3">
        <f t="shared" si="2"/>
        <v>44.902999999999999</v>
      </c>
      <c r="K21" s="3">
        <f t="shared" si="2"/>
        <v>32.466999999999999</v>
      </c>
      <c r="L21" s="3">
        <f t="shared" si="3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1"/>
        <v>44.761000000000003</v>
      </c>
      <c r="G22" s="3">
        <f t="shared" si="1"/>
        <v>32.238999999999997</v>
      </c>
      <c r="I22" s="17">
        <f t="shared" si="0"/>
        <v>1914</v>
      </c>
      <c r="J22" s="3">
        <f t="shared" si="2"/>
        <v>44.761000000000003</v>
      </c>
      <c r="K22" s="3">
        <f t="shared" si="2"/>
        <v>32.238999999999997</v>
      </c>
      <c r="L22" s="3">
        <f t="shared" si="3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1"/>
        <v>44.631999999999998</v>
      </c>
      <c r="G23" s="3">
        <f t="shared" si="1"/>
        <v>31.966000000000001</v>
      </c>
      <c r="I23" s="17">
        <f t="shared" si="0"/>
        <v>1915</v>
      </c>
      <c r="J23" s="3">
        <f t="shared" si="2"/>
        <v>44.631999999999998</v>
      </c>
      <c r="K23" s="3">
        <f t="shared" si="2"/>
        <v>31.966000000000001</v>
      </c>
      <c r="L23" s="3">
        <f t="shared" si="3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1"/>
        <v>44.517000000000003</v>
      </c>
      <c r="G24" s="3">
        <f t="shared" si="1"/>
        <v>31.658000000000001</v>
      </c>
      <c r="I24" s="17">
        <f t="shared" si="0"/>
        <v>1916</v>
      </c>
      <c r="J24" s="3">
        <f t="shared" si="2"/>
        <v>44.517000000000003</v>
      </c>
      <c r="K24" s="3">
        <f t="shared" si="2"/>
        <v>31.658000000000001</v>
      </c>
      <c r="L24" s="3">
        <f t="shared" si="3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1"/>
        <v>44.414000000000001</v>
      </c>
      <c r="G25" s="3">
        <f t="shared" si="1"/>
        <v>31.32</v>
      </c>
      <c r="I25" s="17">
        <f t="shared" si="0"/>
        <v>1917</v>
      </c>
      <c r="J25" s="3">
        <f t="shared" si="2"/>
        <v>44.414000000000001</v>
      </c>
      <c r="K25" s="3">
        <f t="shared" si="2"/>
        <v>31.32</v>
      </c>
      <c r="L25" s="3">
        <f t="shared" si="3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1"/>
        <v>44.323999999999998</v>
      </c>
      <c r="G26" s="3">
        <f t="shared" si="1"/>
        <v>30.959</v>
      </c>
      <c r="I26" s="17">
        <f t="shared" si="0"/>
        <v>1918</v>
      </c>
      <c r="J26" s="3">
        <f t="shared" si="2"/>
        <v>44.323999999999998</v>
      </c>
      <c r="K26" s="3">
        <f t="shared" si="2"/>
        <v>30.959</v>
      </c>
      <c r="L26" s="3">
        <f t="shared" si="3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1"/>
        <v>44.246000000000002</v>
      </c>
      <c r="G27" s="3">
        <f t="shared" si="1"/>
        <v>30.582999999999998</v>
      </c>
      <c r="I27" s="17">
        <f t="shared" si="0"/>
        <v>1919</v>
      </c>
      <c r="J27" s="3">
        <f t="shared" si="2"/>
        <v>44.246000000000002</v>
      </c>
      <c r="K27" s="3">
        <f t="shared" si="2"/>
        <v>30.582999999999998</v>
      </c>
      <c r="L27" s="3">
        <f t="shared" si="3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1"/>
        <v>44.18</v>
      </c>
      <c r="G28" s="3">
        <f t="shared" si="1"/>
        <v>30.198</v>
      </c>
      <c r="I28" s="17">
        <f t="shared" si="0"/>
        <v>1920</v>
      </c>
      <c r="J28" s="3">
        <f t="shared" si="2"/>
        <v>44.18</v>
      </c>
      <c r="K28" s="3">
        <f t="shared" si="2"/>
        <v>30.198</v>
      </c>
      <c r="L28" s="3">
        <f t="shared" si="3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1"/>
        <v>44.127000000000002</v>
      </c>
      <c r="G29" s="3">
        <f t="shared" si="1"/>
        <v>29.811</v>
      </c>
      <c r="I29" s="17">
        <f t="shared" si="0"/>
        <v>1921</v>
      </c>
      <c r="J29" s="3">
        <f t="shared" si="2"/>
        <v>44.127000000000002</v>
      </c>
      <c r="K29" s="3">
        <f t="shared" si="2"/>
        <v>29.811</v>
      </c>
      <c r="L29" s="3">
        <f t="shared" si="3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1"/>
        <v>44.085000000000001</v>
      </c>
      <c r="G30" s="3">
        <f t="shared" si="1"/>
        <v>29.43</v>
      </c>
      <c r="I30" s="17">
        <f t="shared" si="0"/>
        <v>1922</v>
      </c>
      <c r="J30" s="3">
        <f t="shared" si="2"/>
        <v>44.085000000000001</v>
      </c>
      <c r="K30" s="3">
        <f t="shared" si="2"/>
        <v>29.43</v>
      </c>
      <c r="L30" s="3">
        <f t="shared" si="3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1"/>
        <v>44.054000000000002</v>
      </c>
      <c r="G31" s="3">
        <f t="shared" si="1"/>
        <v>29.06</v>
      </c>
      <c r="I31" s="17">
        <f t="shared" si="0"/>
        <v>1923</v>
      </c>
      <c r="J31" s="3">
        <f t="shared" si="2"/>
        <v>44.054000000000002</v>
      </c>
      <c r="K31" s="3">
        <f t="shared" si="2"/>
        <v>29.06</v>
      </c>
      <c r="L31" s="3">
        <f t="shared" si="3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1"/>
        <v>44.034999999999997</v>
      </c>
      <c r="G32" s="3">
        <f t="shared" si="1"/>
        <v>28.709</v>
      </c>
      <c r="I32" s="17">
        <f t="shared" si="0"/>
        <v>1924</v>
      </c>
      <c r="J32" s="3">
        <f t="shared" si="2"/>
        <v>44.034999999999997</v>
      </c>
      <c r="K32" s="3">
        <f t="shared" si="2"/>
        <v>28.709</v>
      </c>
      <c r="L32" s="3">
        <f t="shared" si="3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1"/>
        <v>44.027000000000001</v>
      </c>
      <c r="G33" s="3">
        <f t="shared" si="1"/>
        <v>28.384</v>
      </c>
      <c r="I33" s="17">
        <f t="shared" si="0"/>
        <v>1925</v>
      </c>
      <c r="J33" s="3">
        <f t="shared" si="2"/>
        <v>44.027000000000001</v>
      </c>
      <c r="K33" s="3">
        <f t="shared" si="2"/>
        <v>28.384</v>
      </c>
      <c r="L33" s="3">
        <f t="shared" si="3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1"/>
        <v>44.03</v>
      </c>
      <c r="G34" s="3">
        <f t="shared" si="1"/>
        <v>28.091000000000001</v>
      </c>
      <c r="I34" s="17">
        <f t="shared" si="0"/>
        <v>1926</v>
      </c>
      <c r="J34" s="3">
        <f t="shared" si="2"/>
        <v>44.03</v>
      </c>
      <c r="K34" s="3">
        <f t="shared" si="2"/>
        <v>28.091000000000001</v>
      </c>
      <c r="L34" s="3">
        <f t="shared" si="3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1"/>
        <v>44.042999999999999</v>
      </c>
      <c r="G35" s="3">
        <f t="shared" si="1"/>
        <v>27.838000000000001</v>
      </c>
      <c r="I35" s="17">
        <f t="shared" ref="I35:I66" si="4">A35</f>
        <v>1927</v>
      </c>
      <c r="J35" s="3">
        <f t="shared" si="2"/>
        <v>44.042999999999999</v>
      </c>
      <c r="K35" s="3">
        <f t="shared" si="2"/>
        <v>27.838000000000001</v>
      </c>
      <c r="L35" s="3">
        <f t="shared" si="3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1"/>
        <v>44.067</v>
      </c>
      <c r="G36" s="3">
        <f t="shared" si="1"/>
        <v>27.632000000000001</v>
      </c>
      <c r="I36" s="17">
        <f t="shared" si="4"/>
        <v>1928</v>
      </c>
      <c r="J36" s="3">
        <f t="shared" si="2"/>
        <v>44.067</v>
      </c>
      <c r="K36" s="3">
        <f t="shared" si="2"/>
        <v>27.632000000000001</v>
      </c>
      <c r="L36" s="3">
        <f t="shared" si="3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1"/>
        <v>44.100999999999999</v>
      </c>
      <c r="G37" s="3">
        <f t="shared" si="1"/>
        <v>27.478999999999999</v>
      </c>
      <c r="I37" s="17">
        <f t="shared" si="4"/>
        <v>1929</v>
      </c>
      <c r="J37" s="3">
        <f t="shared" si="2"/>
        <v>44.100999999999999</v>
      </c>
      <c r="K37" s="3">
        <f t="shared" si="2"/>
        <v>27.478999999999999</v>
      </c>
      <c r="L37" s="3">
        <f t="shared" si="3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1"/>
        <v>44.14</v>
      </c>
      <c r="G38" s="3">
        <f t="shared" si="1"/>
        <v>27.355</v>
      </c>
      <c r="I38" s="17">
        <f t="shared" si="4"/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1"/>
        <v>44.179000000000002</v>
      </c>
      <c r="G39" s="3">
        <f t="shared" si="1"/>
        <v>27.231000000000002</v>
      </c>
      <c r="I39" s="17">
        <f t="shared" si="4"/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1"/>
        <v>44.164000000000001</v>
      </c>
      <c r="G40" s="3">
        <f t="shared" si="1"/>
        <v>26.908999999999999</v>
      </c>
      <c r="I40" s="17">
        <f t="shared" si="4"/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1"/>
        <v>44.082999999999998</v>
      </c>
      <c r="G41" s="3">
        <f t="shared" si="1"/>
        <v>26.387</v>
      </c>
      <c r="I41" s="17">
        <f t="shared" si="4"/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1"/>
        <v>43.942999999999998</v>
      </c>
      <c r="G42" s="3">
        <f t="shared" si="1"/>
        <v>25.69</v>
      </c>
      <c r="I42" s="17">
        <f t="shared" si="4"/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1"/>
        <v>43.677999999999997</v>
      </c>
      <c r="G43" s="3">
        <f t="shared" si="1"/>
        <v>24.632000000000001</v>
      </c>
      <c r="I43" s="17">
        <f t="shared" si="4"/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1"/>
        <v>43.533999999999999</v>
      </c>
      <c r="G44" s="3">
        <f t="shared" si="1"/>
        <v>23.922999999999998</v>
      </c>
      <c r="I44" s="17">
        <f t="shared" si="4"/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1"/>
        <v>43.442999999999998</v>
      </c>
      <c r="G45" s="3">
        <f t="shared" si="1"/>
        <v>23.361999999999998</v>
      </c>
      <c r="I45" s="17">
        <f t="shared" si="4"/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1"/>
        <v>43.414000000000001</v>
      </c>
      <c r="G46" s="3">
        <f t="shared" si="1"/>
        <v>22.966000000000001</v>
      </c>
      <c r="I46" s="17">
        <f t="shared" si="4"/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1"/>
        <v>43.442</v>
      </c>
      <c r="G47" s="3">
        <f t="shared" si="1"/>
        <v>22.713000000000001</v>
      </c>
      <c r="I47" s="17">
        <f t="shared" si="4"/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1"/>
        <v>43.554000000000002</v>
      </c>
      <c r="G48" s="3">
        <f t="shared" si="1"/>
        <v>22.792000000000002</v>
      </c>
      <c r="I48" s="17">
        <f t="shared" si="4"/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1"/>
        <v>43.658000000000001</v>
      </c>
      <c r="G49" s="3">
        <f t="shared" si="1"/>
        <v>22.494</v>
      </c>
      <c r="I49" s="17">
        <f t="shared" si="4"/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1"/>
        <v>43.779000000000003</v>
      </c>
      <c r="G50" s="3">
        <f t="shared" si="1"/>
        <v>22.015000000000001</v>
      </c>
      <c r="I50" s="17">
        <f t="shared" si="4"/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1"/>
        <v>43.915999999999997</v>
      </c>
      <c r="G51" s="3">
        <f t="shared" si="1"/>
        <v>21.338000000000001</v>
      </c>
      <c r="I51" s="17">
        <f t="shared" si="4"/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1"/>
        <v>44.064999999999998</v>
      </c>
      <c r="G52" s="3">
        <f t="shared" si="1"/>
        <v>20.488</v>
      </c>
      <c r="I52" s="17">
        <f t="shared" si="4"/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1"/>
        <v>44.246000000000002</v>
      </c>
      <c r="G53" s="3">
        <f t="shared" si="1"/>
        <v>19.295000000000002</v>
      </c>
      <c r="I53" s="17">
        <f t="shared" si="4"/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1"/>
        <v>44.389000000000003</v>
      </c>
      <c r="G54" s="3">
        <f t="shared" si="1"/>
        <v>18.428000000000001</v>
      </c>
      <c r="I54" s="17">
        <f t="shared" si="4"/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1"/>
        <v>44.514000000000003</v>
      </c>
      <c r="G55" s="16">
        <v>18.049500000000002</v>
      </c>
      <c r="I55" s="17">
        <f t="shared" si="4"/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1"/>
        <v>44.616999999999997</v>
      </c>
      <c r="G56" s="16">
        <v>17.670999999999999</v>
      </c>
      <c r="I56" s="17">
        <f t="shared" si="4"/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1"/>
        <v>44.703000000000003</v>
      </c>
      <c r="G57" s="16">
        <v>17.2925</v>
      </c>
      <c r="I57" s="17">
        <f t="shared" si="4"/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1"/>
        <v>44.743000000000002</v>
      </c>
      <c r="G58" s="16">
        <v>16.914000000000001</v>
      </c>
      <c r="I58" s="17">
        <f t="shared" si="4"/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1"/>
        <v>44.838000000000001</v>
      </c>
      <c r="G59" s="16">
        <v>16.535499999999999</v>
      </c>
      <c r="I59" s="17">
        <f t="shared" si="4"/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 t="shared" si="4"/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5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6">D61</f>
        <v>45.3</v>
      </c>
      <c r="G61" s="16">
        <v>15.778500000000001</v>
      </c>
      <c r="I61" s="17">
        <f t="shared" si="4"/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5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6"/>
        <v>45.7</v>
      </c>
      <c r="G62" s="3">
        <f>E62</f>
        <v>15.4</v>
      </c>
      <c r="I62" s="17">
        <f t="shared" si="4"/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5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6"/>
        <v>45.9</v>
      </c>
      <c r="G63" s="3">
        <f t="shared" si="6"/>
        <v>15</v>
      </c>
      <c r="I63" s="17">
        <f t="shared" si="4"/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5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6"/>
        <v>45.8</v>
      </c>
      <c r="G64" s="3">
        <f t="shared" si="6"/>
        <v>14.4</v>
      </c>
      <c r="I64" s="17">
        <f t="shared" si="4"/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5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6"/>
        <v>45.8</v>
      </c>
      <c r="G65" s="3">
        <f t="shared" si="6"/>
        <v>14</v>
      </c>
      <c r="I65" s="17">
        <f t="shared" si="4"/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5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6"/>
        <v>46</v>
      </c>
      <c r="G66" s="3">
        <f t="shared" si="6"/>
        <v>13.5</v>
      </c>
      <c r="I66" s="17">
        <f t="shared" si="4"/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5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6"/>
        <v>46.2</v>
      </c>
      <c r="G67" s="3">
        <f t="shared" si="6"/>
        <v>13.1</v>
      </c>
      <c r="I67" s="17">
        <f t="shared" ref="I67:I98" si="7"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5"/>
        <v>1960</v>
      </c>
      <c r="D68" s="3">
        <v>46.3</v>
      </c>
      <c r="E68" s="3">
        <v>12.8</v>
      </c>
      <c r="F68" s="3">
        <f t="shared" si="6"/>
        <v>46.3</v>
      </c>
      <c r="G68" s="3">
        <f t="shared" si="6"/>
        <v>12.8</v>
      </c>
      <c r="I68" s="17">
        <f t="shared" si="7"/>
        <v>1960</v>
      </c>
      <c r="J68" s="3">
        <f t="shared" ref="J68:K131" si="8">F68</f>
        <v>46.3</v>
      </c>
      <c r="K68" s="3">
        <f t="shared" si="8"/>
        <v>12.8</v>
      </c>
      <c r="L68" s="3">
        <f t="shared" ref="L68:L131" si="9">J68-K68</f>
        <v>33.5</v>
      </c>
    </row>
    <row r="69" spans="1:12" x14ac:dyDescent="0.55000000000000004">
      <c r="A69" s="14">
        <f t="shared" si="5"/>
        <v>1961</v>
      </c>
      <c r="D69" s="3">
        <v>46.3</v>
      </c>
      <c r="E69" s="3">
        <v>12.3</v>
      </c>
      <c r="F69" s="3">
        <f t="shared" si="6"/>
        <v>46.3</v>
      </c>
      <c r="G69" s="3">
        <f t="shared" si="6"/>
        <v>12.3</v>
      </c>
      <c r="I69" s="17">
        <f t="shared" si="7"/>
        <v>1961</v>
      </c>
      <c r="J69" s="3">
        <f t="shared" si="8"/>
        <v>46.3</v>
      </c>
      <c r="K69" s="3">
        <f t="shared" si="8"/>
        <v>12.3</v>
      </c>
      <c r="L69" s="3">
        <f t="shared" si="9"/>
        <v>34</v>
      </c>
    </row>
    <row r="70" spans="1:12" x14ac:dyDescent="0.55000000000000004">
      <c r="A70" s="14">
        <f t="shared" si="5"/>
        <v>1962</v>
      </c>
      <c r="D70" s="3">
        <v>46.1</v>
      </c>
      <c r="E70" s="3">
        <v>12.1</v>
      </c>
      <c r="F70" s="3">
        <f t="shared" si="6"/>
        <v>46.1</v>
      </c>
      <c r="G70" s="3">
        <f t="shared" si="6"/>
        <v>12.1</v>
      </c>
      <c r="I70" s="17">
        <f t="shared" si="7"/>
        <v>1962</v>
      </c>
      <c r="J70" s="3">
        <f t="shared" si="8"/>
        <v>46.1</v>
      </c>
      <c r="K70" s="3">
        <f t="shared" si="8"/>
        <v>12.1</v>
      </c>
      <c r="L70" s="3">
        <f t="shared" si="9"/>
        <v>34</v>
      </c>
    </row>
    <row r="71" spans="1:12" x14ac:dyDescent="0.55000000000000004">
      <c r="A71" s="14">
        <f t="shared" si="5"/>
        <v>1963</v>
      </c>
      <c r="D71" s="3">
        <v>46</v>
      </c>
      <c r="E71" s="3">
        <v>11.9</v>
      </c>
      <c r="F71" s="3">
        <f t="shared" si="6"/>
        <v>46</v>
      </c>
      <c r="G71" s="3">
        <f t="shared" si="6"/>
        <v>11.9</v>
      </c>
      <c r="I71" s="17">
        <f t="shared" si="7"/>
        <v>1963</v>
      </c>
      <c r="J71" s="3">
        <f t="shared" si="8"/>
        <v>46</v>
      </c>
      <c r="K71" s="3">
        <f t="shared" si="8"/>
        <v>11.9</v>
      </c>
      <c r="L71" s="3">
        <f t="shared" si="9"/>
        <v>34.1</v>
      </c>
    </row>
    <row r="72" spans="1:12" x14ac:dyDescent="0.55000000000000004">
      <c r="A72" s="14">
        <f t="shared" si="5"/>
        <v>1964</v>
      </c>
      <c r="D72" s="3">
        <v>45.8</v>
      </c>
      <c r="E72" s="3">
        <v>11.4</v>
      </c>
      <c r="F72" s="3">
        <f t="shared" si="6"/>
        <v>45.8</v>
      </c>
      <c r="G72" s="3">
        <f t="shared" si="6"/>
        <v>11.4</v>
      </c>
      <c r="I72" s="17">
        <f t="shared" si="7"/>
        <v>1964</v>
      </c>
      <c r="J72" s="3">
        <f t="shared" si="8"/>
        <v>45.8</v>
      </c>
      <c r="K72" s="3">
        <f t="shared" si="8"/>
        <v>11.4</v>
      </c>
      <c r="L72" s="3">
        <f t="shared" si="9"/>
        <v>34.4</v>
      </c>
    </row>
    <row r="73" spans="1:12" x14ac:dyDescent="0.55000000000000004">
      <c r="A73" s="14">
        <f t="shared" si="5"/>
        <v>1965</v>
      </c>
      <c r="D73" s="3">
        <v>45.3</v>
      </c>
      <c r="E73" s="3">
        <v>11.2</v>
      </c>
      <c r="F73" s="3">
        <f t="shared" si="6"/>
        <v>45.3</v>
      </c>
      <c r="G73" s="3">
        <f t="shared" si="6"/>
        <v>11.2</v>
      </c>
      <c r="I73" s="17">
        <f t="shared" si="7"/>
        <v>1965</v>
      </c>
      <c r="J73" s="3">
        <f t="shared" si="8"/>
        <v>45.3</v>
      </c>
      <c r="K73" s="3">
        <f t="shared" si="8"/>
        <v>11.2</v>
      </c>
      <c r="L73" s="3">
        <f t="shared" si="9"/>
        <v>34.099999999999994</v>
      </c>
    </row>
    <row r="74" spans="1:12" x14ac:dyDescent="0.55000000000000004">
      <c r="A74" s="14">
        <f t="shared" si="5"/>
        <v>1966</v>
      </c>
      <c r="D74" s="3">
        <v>44.9</v>
      </c>
      <c r="E74" s="3">
        <v>10.9</v>
      </c>
      <c r="F74" s="3">
        <f t="shared" si="6"/>
        <v>44.9</v>
      </c>
      <c r="G74" s="3">
        <f t="shared" si="6"/>
        <v>10.9</v>
      </c>
      <c r="I74" s="17">
        <f t="shared" si="7"/>
        <v>1966</v>
      </c>
      <c r="J74" s="3">
        <f t="shared" si="8"/>
        <v>44.9</v>
      </c>
      <c r="K74" s="3">
        <f t="shared" si="8"/>
        <v>10.9</v>
      </c>
      <c r="L74" s="3">
        <f t="shared" si="9"/>
        <v>34</v>
      </c>
    </row>
    <row r="75" spans="1:12" x14ac:dyDescent="0.55000000000000004">
      <c r="A75" s="14">
        <f t="shared" si="5"/>
        <v>1967</v>
      </c>
      <c r="D75" s="3">
        <v>44.6</v>
      </c>
      <c r="E75" s="3">
        <v>10.5</v>
      </c>
      <c r="F75" s="3">
        <f t="shared" si="6"/>
        <v>44.6</v>
      </c>
      <c r="G75" s="3">
        <f t="shared" si="6"/>
        <v>10.5</v>
      </c>
      <c r="I75" s="17">
        <f t="shared" si="7"/>
        <v>1967</v>
      </c>
      <c r="J75" s="3">
        <f t="shared" si="8"/>
        <v>44.6</v>
      </c>
      <c r="K75" s="3">
        <f t="shared" si="8"/>
        <v>10.5</v>
      </c>
      <c r="L75" s="3">
        <f t="shared" si="9"/>
        <v>34.1</v>
      </c>
    </row>
    <row r="76" spans="1:12" x14ac:dyDescent="0.55000000000000004">
      <c r="A76" s="14">
        <f t="shared" si="5"/>
        <v>1968</v>
      </c>
      <c r="D76" s="3">
        <v>44.3</v>
      </c>
      <c r="E76" s="3">
        <v>10.5</v>
      </c>
      <c r="F76" s="3">
        <f t="shared" si="6"/>
        <v>44.3</v>
      </c>
      <c r="G76" s="3">
        <f t="shared" si="6"/>
        <v>10.5</v>
      </c>
      <c r="I76" s="17">
        <f t="shared" si="7"/>
        <v>1968</v>
      </c>
      <c r="J76" s="3">
        <f t="shared" si="8"/>
        <v>44.3</v>
      </c>
      <c r="K76" s="3">
        <f t="shared" si="8"/>
        <v>10.5</v>
      </c>
      <c r="L76" s="3">
        <f t="shared" si="9"/>
        <v>33.799999999999997</v>
      </c>
    </row>
    <row r="77" spans="1:12" x14ac:dyDescent="0.55000000000000004">
      <c r="A77" s="14">
        <f t="shared" si="5"/>
        <v>1969</v>
      </c>
      <c r="D77" s="3">
        <v>43.9</v>
      </c>
      <c r="E77" s="3">
        <v>10.1</v>
      </c>
      <c r="F77" s="3">
        <f t="shared" si="6"/>
        <v>43.9</v>
      </c>
      <c r="G77" s="3">
        <f t="shared" si="6"/>
        <v>10.1</v>
      </c>
      <c r="I77" s="17">
        <f t="shared" si="7"/>
        <v>1969</v>
      </c>
      <c r="J77" s="3">
        <f t="shared" si="8"/>
        <v>43.9</v>
      </c>
      <c r="K77" s="3">
        <f t="shared" si="8"/>
        <v>10.1</v>
      </c>
      <c r="L77" s="3">
        <f t="shared" si="9"/>
        <v>33.799999999999997</v>
      </c>
    </row>
    <row r="78" spans="1:12" x14ac:dyDescent="0.55000000000000004">
      <c r="A78" s="14">
        <f t="shared" si="5"/>
        <v>1970</v>
      </c>
      <c r="D78" s="3">
        <v>43.5</v>
      </c>
      <c r="E78" s="3">
        <v>10.3</v>
      </c>
      <c r="F78" s="3">
        <f t="shared" si="6"/>
        <v>43.5</v>
      </c>
      <c r="G78" s="3">
        <f t="shared" si="6"/>
        <v>10.3</v>
      </c>
      <c r="I78" s="17">
        <f t="shared" si="7"/>
        <v>1970</v>
      </c>
      <c r="J78" s="3">
        <f t="shared" si="8"/>
        <v>43.5</v>
      </c>
      <c r="K78" s="3">
        <f t="shared" si="8"/>
        <v>10.3</v>
      </c>
      <c r="L78" s="3">
        <f t="shared" si="9"/>
        <v>33.200000000000003</v>
      </c>
    </row>
    <row r="79" spans="1:12" x14ac:dyDescent="0.55000000000000004">
      <c r="A79" s="14">
        <f t="shared" si="5"/>
        <v>1971</v>
      </c>
      <c r="D79" s="3">
        <v>43</v>
      </c>
      <c r="E79" s="3">
        <v>9.3000000000000007</v>
      </c>
      <c r="F79" s="3">
        <f t="shared" si="6"/>
        <v>43</v>
      </c>
      <c r="G79" s="3">
        <f t="shared" si="6"/>
        <v>9.3000000000000007</v>
      </c>
      <c r="I79" s="17">
        <f t="shared" si="7"/>
        <v>1971</v>
      </c>
      <c r="J79" s="3">
        <f t="shared" si="8"/>
        <v>43</v>
      </c>
      <c r="K79" s="3">
        <f t="shared" si="8"/>
        <v>9.3000000000000007</v>
      </c>
      <c r="L79" s="3">
        <f t="shared" si="9"/>
        <v>33.700000000000003</v>
      </c>
    </row>
    <row r="80" spans="1:12" x14ac:dyDescent="0.55000000000000004">
      <c r="A80" s="14">
        <f t="shared" si="5"/>
        <v>1972</v>
      </c>
      <c r="D80" s="3">
        <v>42.5</v>
      </c>
      <c r="E80" s="3">
        <v>9</v>
      </c>
      <c r="F80" s="3">
        <f t="shared" si="6"/>
        <v>42.5</v>
      </c>
      <c r="G80" s="3">
        <f t="shared" si="6"/>
        <v>9</v>
      </c>
      <c r="I80" s="17">
        <f t="shared" si="7"/>
        <v>1972</v>
      </c>
      <c r="J80" s="3">
        <f t="shared" si="8"/>
        <v>42.5</v>
      </c>
      <c r="K80" s="3">
        <f t="shared" si="8"/>
        <v>9</v>
      </c>
      <c r="L80" s="3">
        <f t="shared" si="9"/>
        <v>33.5</v>
      </c>
    </row>
    <row r="81" spans="1:12" x14ac:dyDescent="0.55000000000000004">
      <c r="A81" s="14">
        <f t="shared" si="5"/>
        <v>1973</v>
      </c>
      <c r="D81" s="3">
        <v>41.9</v>
      </c>
      <c r="E81" s="3">
        <v>8.8000000000000007</v>
      </c>
      <c r="F81" s="3">
        <f t="shared" si="6"/>
        <v>41.9</v>
      </c>
      <c r="G81" s="3">
        <f t="shared" si="6"/>
        <v>8.8000000000000007</v>
      </c>
      <c r="I81" s="17">
        <f t="shared" si="7"/>
        <v>1973</v>
      </c>
      <c r="J81" s="3">
        <f t="shared" si="8"/>
        <v>41.9</v>
      </c>
      <c r="K81" s="3">
        <f t="shared" si="8"/>
        <v>8.8000000000000007</v>
      </c>
      <c r="L81" s="3">
        <f t="shared" si="9"/>
        <v>33.099999999999994</v>
      </c>
    </row>
    <row r="82" spans="1:12" x14ac:dyDescent="0.55000000000000004">
      <c r="A82" s="14">
        <f t="shared" si="5"/>
        <v>1974</v>
      </c>
      <c r="D82" s="3">
        <v>41.1</v>
      </c>
      <c r="E82" s="3">
        <v>8.3000000000000007</v>
      </c>
      <c r="F82" s="3">
        <f t="shared" si="6"/>
        <v>41.1</v>
      </c>
      <c r="G82" s="3">
        <f t="shared" si="6"/>
        <v>8.3000000000000007</v>
      </c>
      <c r="I82" s="17">
        <f t="shared" si="7"/>
        <v>1974</v>
      </c>
      <c r="J82" s="3">
        <f t="shared" si="8"/>
        <v>41.1</v>
      </c>
      <c r="K82" s="3">
        <f t="shared" si="8"/>
        <v>8.3000000000000007</v>
      </c>
      <c r="L82" s="3">
        <f t="shared" si="9"/>
        <v>32.799999999999997</v>
      </c>
    </row>
    <row r="83" spans="1:12" x14ac:dyDescent="0.55000000000000004">
      <c r="A83" s="14">
        <f t="shared" si="5"/>
        <v>1975</v>
      </c>
      <c r="D83" s="3">
        <v>40</v>
      </c>
      <c r="E83" s="3">
        <v>8.1</v>
      </c>
      <c r="F83" s="3">
        <f t="shared" si="6"/>
        <v>40</v>
      </c>
      <c r="G83" s="3">
        <f t="shared" si="6"/>
        <v>8.1</v>
      </c>
      <c r="I83" s="17">
        <f t="shared" si="7"/>
        <v>1975</v>
      </c>
      <c r="J83" s="3">
        <f t="shared" si="8"/>
        <v>40</v>
      </c>
      <c r="K83" s="3">
        <f t="shared" si="8"/>
        <v>8.1</v>
      </c>
      <c r="L83" s="3">
        <f t="shared" si="9"/>
        <v>31.9</v>
      </c>
    </row>
    <row r="84" spans="1:12" x14ac:dyDescent="0.55000000000000004">
      <c r="A84" s="14">
        <f t="shared" si="5"/>
        <v>1976</v>
      </c>
      <c r="D84" s="3">
        <v>38.700000000000003</v>
      </c>
      <c r="E84" s="3">
        <v>7.8</v>
      </c>
      <c r="F84" s="3">
        <f t="shared" si="6"/>
        <v>38.700000000000003</v>
      </c>
      <c r="G84" s="3">
        <f t="shared" si="6"/>
        <v>7.8</v>
      </c>
      <c r="I84" s="17">
        <f t="shared" si="7"/>
        <v>1976</v>
      </c>
      <c r="J84" s="3">
        <f t="shared" si="8"/>
        <v>38.700000000000003</v>
      </c>
      <c r="K84" s="3">
        <f t="shared" si="8"/>
        <v>7.8</v>
      </c>
      <c r="L84" s="3">
        <f t="shared" si="9"/>
        <v>30.900000000000002</v>
      </c>
    </row>
    <row r="85" spans="1:12" x14ac:dyDescent="0.55000000000000004">
      <c r="A85" s="14">
        <f t="shared" si="5"/>
        <v>1977</v>
      </c>
      <c r="D85" s="3">
        <v>37.5</v>
      </c>
      <c r="E85" s="3">
        <v>7.5</v>
      </c>
      <c r="F85" s="3">
        <f t="shared" si="6"/>
        <v>37.5</v>
      </c>
      <c r="G85" s="3">
        <f t="shared" si="6"/>
        <v>7.5</v>
      </c>
      <c r="I85" s="17">
        <f t="shared" si="7"/>
        <v>1977</v>
      </c>
      <c r="J85" s="3">
        <f t="shared" si="8"/>
        <v>37.5</v>
      </c>
      <c r="K85" s="3">
        <f t="shared" si="8"/>
        <v>7.5</v>
      </c>
      <c r="L85" s="3">
        <f t="shared" si="9"/>
        <v>30</v>
      </c>
    </row>
    <row r="86" spans="1:12" x14ac:dyDescent="0.55000000000000004">
      <c r="A86" s="14">
        <f t="shared" si="5"/>
        <v>1978</v>
      </c>
      <c r="D86" s="3">
        <v>36.4</v>
      </c>
      <c r="E86" s="3">
        <v>7.3</v>
      </c>
      <c r="F86" s="3">
        <f t="shared" si="6"/>
        <v>36.4</v>
      </c>
      <c r="G86" s="3">
        <f t="shared" si="6"/>
        <v>7.3</v>
      </c>
      <c r="I86" s="17">
        <f t="shared" si="7"/>
        <v>1978</v>
      </c>
      <c r="J86" s="3">
        <f t="shared" si="8"/>
        <v>36.4</v>
      </c>
      <c r="K86" s="3">
        <f t="shared" si="8"/>
        <v>7.3</v>
      </c>
      <c r="L86" s="3">
        <f t="shared" si="9"/>
        <v>29.099999999999998</v>
      </c>
    </row>
    <row r="87" spans="1:12" x14ac:dyDescent="0.55000000000000004">
      <c r="A87" s="14">
        <f t="shared" si="5"/>
        <v>1979</v>
      </c>
      <c r="D87" s="3">
        <v>35.5</v>
      </c>
      <c r="E87" s="3">
        <v>7.1</v>
      </c>
      <c r="F87" s="3">
        <f t="shared" si="6"/>
        <v>35.5</v>
      </c>
      <c r="G87" s="3">
        <f t="shared" si="6"/>
        <v>7.1</v>
      </c>
      <c r="I87" s="17">
        <f t="shared" si="7"/>
        <v>1979</v>
      </c>
      <c r="J87" s="3">
        <f t="shared" si="8"/>
        <v>35.5</v>
      </c>
      <c r="K87" s="3">
        <f t="shared" si="8"/>
        <v>7.1</v>
      </c>
      <c r="L87" s="3">
        <f t="shared" si="9"/>
        <v>28.4</v>
      </c>
    </row>
    <row r="88" spans="1:12" x14ac:dyDescent="0.55000000000000004">
      <c r="A88" s="14">
        <f t="shared" si="5"/>
        <v>1980</v>
      </c>
      <c r="D88" s="3">
        <v>34.700000000000003</v>
      </c>
      <c r="E88" s="3">
        <v>6.9</v>
      </c>
      <c r="F88" s="3">
        <f t="shared" si="6"/>
        <v>34.700000000000003</v>
      </c>
      <c r="G88" s="3">
        <f t="shared" si="6"/>
        <v>6.9</v>
      </c>
      <c r="I88" s="17">
        <f t="shared" si="7"/>
        <v>1980</v>
      </c>
      <c r="J88" s="3">
        <f t="shared" si="8"/>
        <v>34.700000000000003</v>
      </c>
      <c r="K88" s="3">
        <f t="shared" si="8"/>
        <v>6.9</v>
      </c>
      <c r="L88" s="3">
        <f t="shared" si="9"/>
        <v>27.800000000000004</v>
      </c>
    </row>
    <row r="89" spans="1:12" x14ac:dyDescent="0.55000000000000004">
      <c r="A89" s="14">
        <f t="shared" si="5"/>
        <v>1981</v>
      </c>
      <c r="D89" s="3">
        <v>34.1</v>
      </c>
      <c r="E89" s="3">
        <v>6.7</v>
      </c>
      <c r="F89" s="3">
        <f t="shared" si="6"/>
        <v>34.1</v>
      </c>
      <c r="G89" s="3">
        <f t="shared" si="6"/>
        <v>6.7</v>
      </c>
      <c r="I89" s="17">
        <f t="shared" si="7"/>
        <v>1981</v>
      </c>
      <c r="J89" s="3">
        <f t="shared" si="8"/>
        <v>34.1</v>
      </c>
      <c r="K89" s="3">
        <f t="shared" si="8"/>
        <v>6.7</v>
      </c>
      <c r="L89" s="3">
        <f t="shared" si="9"/>
        <v>27.400000000000002</v>
      </c>
    </row>
    <row r="90" spans="1:12" x14ac:dyDescent="0.55000000000000004">
      <c r="A90" s="14">
        <f t="shared" si="5"/>
        <v>1982</v>
      </c>
      <c r="D90" s="3">
        <v>33.6</v>
      </c>
      <c r="E90" s="3">
        <v>6.4</v>
      </c>
      <c r="F90" s="3">
        <f t="shared" si="6"/>
        <v>33.6</v>
      </c>
      <c r="G90" s="3">
        <f t="shared" si="6"/>
        <v>6.4</v>
      </c>
      <c r="I90" s="17">
        <f t="shared" si="7"/>
        <v>1982</v>
      </c>
      <c r="J90" s="3">
        <f t="shared" si="8"/>
        <v>33.6</v>
      </c>
      <c r="K90" s="3">
        <f t="shared" si="8"/>
        <v>6.4</v>
      </c>
      <c r="L90" s="3">
        <f t="shared" si="9"/>
        <v>27.200000000000003</v>
      </c>
    </row>
    <row r="91" spans="1:12" x14ac:dyDescent="0.55000000000000004">
      <c r="A91" s="14">
        <f t="shared" si="5"/>
        <v>1983</v>
      </c>
      <c r="D91" s="3">
        <v>33.1</v>
      </c>
      <c r="E91" s="3">
        <v>6.3</v>
      </c>
      <c r="F91" s="3">
        <f t="shared" si="6"/>
        <v>33.1</v>
      </c>
      <c r="G91" s="3">
        <f t="shared" si="6"/>
        <v>6.3</v>
      </c>
      <c r="I91" s="17">
        <f t="shared" si="7"/>
        <v>1983</v>
      </c>
      <c r="J91" s="3">
        <f t="shared" si="8"/>
        <v>33.1</v>
      </c>
      <c r="K91" s="3">
        <f t="shared" si="8"/>
        <v>6.3</v>
      </c>
      <c r="L91" s="3">
        <f t="shared" si="9"/>
        <v>26.8</v>
      </c>
    </row>
    <row r="92" spans="1:12" x14ac:dyDescent="0.55000000000000004">
      <c r="A92" s="14">
        <f t="shared" si="5"/>
        <v>1984</v>
      </c>
      <c r="D92" s="3">
        <v>32.6</v>
      </c>
      <c r="E92" s="3">
        <v>6.1</v>
      </c>
      <c r="F92" s="3">
        <f t="shared" si="6"/>
        <v>32.6</v>
      </c>
      <c r="G92" s="3">
        <f t="shared" si="6"/>
        <v>6.1</v>
      </c>
      <c r="I92" s="17">
        <f t="shared" si="7"/>
        <v>1984</v>
      </c>
      <c r="J92" s="3">
        <f t="shared" si="8"/>
        <v>32.6</v>
      </c>
      <c r="K92" s="3">
        <f t="shared" si="8"/>
        <v>6.1</v>
      </c>
      <c r="L92" s="3">
        <f t="shared" si="9"/>
        <v>26.5</v>
      </c>
    </row>
    <row r="93" spans="1:12" x14ac:dyDescent="0.55000000000000004">
      <c r="A93" s="14">
        <f t="shared" si="5"/>
        <v>1985</v>
      </c>
      <c r="D93" s="3">
        <v>32.1</v>
      </c>
      <c r="E93" s="3">
        <v>6</v>
      </c>
      <c r="F93" s="3">
        <f t="shared" si="6"/>
        <v>32.1</v>
      </c>
      <c r="G93" s="3">
        <f t="shared" si="6"/>
        <v>6</v>
      </c>
      <c r="I93" s="17">
        <f t="shared" si="7"/>
        <v>1985</v>
      </c>
      <c r="J93" s="3">
        <f t="shared" si="8"/>
        <v>32.1</v>
      </c>
      <c r="K93" s="3">
        <f t="shared" si="8"/>
        <v>6</v>
      </c>
      <c r="L93" s="3">
        <f t="shared" si="9"/>
        <v>26.1</v>
      </c>
    </row>
    <row r="94" spans="1:12" x14ac:dyDescent="0.55000000000000004">
      <c r="A94" s="14">
        <f t="shared" si="5"/>
        <v>1986</v>
      </c>
      <c r="D94" s="3">
        <v>31.5</v>
      </c>
      <c r="E94" s="3">
        <v>5.8</v>
      </c>
      <c r="F94" s="3">
        <f t="shared" si="6"/>
        <v>31.5</v>
      </c>
      <c r="G94" s="3">
        <f t="shared" si="6"/>
        <v>5.8</v>
      </c>
      <c r="I94" s="17">
        <f t="shared" si="7"/>
        <v>1986</v>
      </c>
      <c r="J94" s="3">
        <f t="shared" si="8"/>
        <v>31.5</v>
      </c>
      <c r="K94" s="3">
        <f t="shared" si="8"/>
        <v>5.8</v>
      </c>
      <c r="L94" s="3">
        <f t="shared" si="9"/>
        <v>25.7</v>
      </c>
    </row>
    <row r="95" spans="1:12" x14ac:dyDescent="0.55000000000000004">
      <c r="A95" s="14">
        <f t="shared" si="5"/>
        <v>1987</v>
      </c>
      <c r="D95" s="3">
        <v>31</v>
      </c>
      <c r="E95" s="3">
        <v>5.6</v>
      </c>
      <c r="F95" s="3">
        <f t="shared" si="6"/>
        <v>31</v>
      </c>
      <c r="G95" s="3">
        <f t="shared" si="6"/>
        <v>5.6</v>
      </c>
      <c r="I95" s="17">
        <f t="shared" si="7"/>
        <v>1987</v>
      </c>
      <c r="J95" s="3">
        <f t="shared" si="8"/>
        <v>31</v>
      </c>
      <c r="K95" s="3">
        <f t="shared" si="8"/>
        <v>5.6</v>
      </c>
      <c r="L95" s="3">
        <f t="shared" si="9"/>
        <v>25.4</v>
      </c>
    </row>
    <row r="96" spans="1:12" x14ac:dyDescent="0.55000000000000004">
      <c r="A96" s="14">
        <f t="shared" si="5"/>
        <v>1988</v>
      </c>
      <c r="D96" s="3">
        <v>30.6</v>
      </c>
      <c r="E96" s="3">
        <v>5.6</v>
      </c>
      <c r="F96" s="3">
        <f t="shared" si="6"/>
        <v>30.6</v>
      </c>
      <c r="G96" s="3">
        <f t="shared" si="6"/>
        <v>5.6</v>
      </c>
      <c r="I96" s="17">
        <f t="shared" si="7"/>
        <v>1988</v>
      </c>
      <c r="J96" s="3">
        <f t="shared" si="8"/>
        <v>30.6</v>
      </c>
      <c r="K96" s="3">
        <f t="shared" si="8"/>
        <v>5.6</v>
      </c>
      <c r="L96" s="3">
        <f t="shared" si="9"/>
        <v>25</v>
      </c>
    </row>
    <row r="97" spans="1:12" x14ac:dyDescent="0.55000000000000004">
      <c r="A97" s="14">
        <f t="shared" si="5"/>
        <v>1989</v>
      </c>
      <c r="D97" s="3">
        <v>30.3</v>
      </c>
      <c r="E97" s="3">
        <v>5.6</v>
      </c>
      <c r="F97" s="3">
        <f t="shared" si="6"/>
        <v>30.3</v>
      </c>
      <c r="G97" s="3">
        <f t="shared" si="6"/>
        <v>5.6</v>
      </c>
      <c r="I97" s="17">
        <f t="shared" si="7"/>
        <v>1989</v>
      </c>
      <c r="J97" s="3">
        <f t="shared" si="8"/>
        <v>30.3</v>
      </c>
      <c r="K97" s="3">
        <f t="shared" si="8"/>
        <v>5.6</v>
      </c>
      <c r="L97" s="3">
        <f t="shared" si="9"/>
        <v>24.700000000000003</v>
      </c>
    </row>
    <row r="98" spans="1:12" x14ac:dyDescent="0.55000000000000004">
      <c r="A98" s="14">
        <f t="shared" si="5"/>
        <v>1990</v>
      </c>
      <c r="D98" s="3">
        <v>30</v>
      </c>
      <c r="E98" s="3">
        <v>5.4</v>
      </c>
      <c r="F98" s="3">
        <f t="shared" si="6"/>
        <v>30</v>
      </c>
      <c r="G98" s="3">
        <f t="shared" si="6"/>
        <v>5.4</v>
      </c>
      <c r="I98" s="17">
        <f t="shared" si="7"/>
        <v>1990</v>
      </c>
      <c r="J98" s="3">
        <f t="shared" si="8"/>
        <v>30</v>
      </c>
      <c r="K98" s="3">
        <f t="shared" si="8"/>
        <v>5.4</v>
      </c>
      <c r="L98" s="3">
        <f t="shared" si="9"/>
        <v>24.6</v>
      </c>
    </row>
    <row r="99" spans="1:12" x14ac:dyDescent="0.55000000000000004">
      <c r="A99" s="14">
        <f t="shared" si="5"/>
        <v>1991</v>
      </c>
      <c r="D99" s="3">
        <v>29.6</v>
      </c>
      <c r="E99" s="3">
        <v>5.2</v>
      </c>
      <c r="F99" s="3">
        <f t="shared" si="6"/>
        <v>29.6</v>
      </c>
      <c r="G99" s="3">
        <f t="shared" si="6"/>
        <v>5.2</v>
      </c>
      <c r="I99" s="17">
        <f t="shared" ref="I99:I131" si="10">A99</f>
        <v>1991</v>
      </c>
      <c r="J99" s="3">
        <f t="shared" si="8"/>
        <v>29.6</v>
      </c>
      <c r="K99" s="3">
        <f t="shared" si="8"/>
        <v>5.2</v>
      </c>
      <c r="L99" s="3">
        <f t="shared" si="9"/>
        <v>24.400000000000002</v>
      </c>
    </row>
    <row r="100" spans="1:12" x14ac:dyDescent="0.55000000000000004">
      <c r="A100" s="14">
        <f t="shared" si="5"/>
        <v>1992</v>
      </c>
      <c r="D100" s="3">
        <v>29.1</v>
      </c>
      <c r="E100" s="3">
        <v>5.2</v>
      </c>
      <c r="F100" s="3">
        <f t="shared" si="6"/>
        <v>29.1</v>
      </c>
      <c r="G100" s="3">
        <f t="shared" si="6"/>
        <v>5.2</v>
      </c>
      <c r="I100" s="17">
        <f t="shared" si="10"/>
        <v>1992</v>
      </c>
      <c r="J100" s="3">
        <f t="shared" si="8"/>
        <v>29.1</v>
      </c>
      <c r="K100" s="3">
        <f t="shared" si="8"/>
        <v>5.2</v>
      </c>
      <c r="L100" s="3">
        <f t="shared" si="9"/>
        <v>23.900000000000002</v>
      </c>
    </row>
    <row r="101" spans="1:12" x14ac:dyDescent="0.55000000000000004">
      <c r="A101" s="14">
        <f t="shared" si="5"/>
        <v>1993</v>
      </c>
      <c r="D101" s="3">
        <v>28.4</v>
      </c>
      <c r="E101" s="3">
        <v>5.0999999999999996</v>
      </c>
      <c r="F101" s="3">
        <f t="shared" si="6"/>
        <v>28.4</v>
      </c>
      <c r="G101" s="3">
        <f t="shared" si="6"/>
        <v>5.0999999999999996</v>
      </c>
      <c r="I101" s="17">
        <f t="shared" si="10"/>
        <v>1993</v>
      </c>
      <c r="J101" s="3">
        <f t="shared" si="8"/>
        <v>28.4</v>
      </c>
      <c r="K101" s="3">
        <f t="shared" si="8"/>
        <v>5.0999999999999996</v>
      </c>
      <c r="L101" s="3">
        <f t="shared" si="9"/>
        <v>23.299999999999997</v>
      </c>
    </row>
    <row r="102" spans="1:12" x14ac:dyDescent="0.55000000000000004">
      <c r="A102" s="14">
        <f t="shared" si="5"/>
        <v>1994</v>
      </c>
      <c r="D102" s="3">
        <v>27.7</v>
      </c>
      <c r="E102" s="3">
        <v>5.0999999999999996</v>
      </c>
      <c r="F102" s="3">
        <f t="shared" si="6"/>
        <v>27.7</v>
      </c>
      <c r="G102" s="3">
        <f t="shared" si="6"/>
        <v>5.0999999999999996</v>
      </c>
      <c r="I102" s="17">
        <f t="shared" si="10"/>
        <v>1994</v>
      </c>
      <c r="J102" s="3">
        <f t="shared" si="8"/>
        <v>27.7</v>
      </c>
      <c r="K102" s="3">
        <f t="shared" si="8"/>
        <v>5.0999999999999996</v>
      </c>
      <c r="L102" s="3">
        <f t="shared" si="9"/>
        <v>22.6</v>
      </c>
    </row>
    <row r="103" spans="1:12" x14ac:dyDescent="0.55000000000000004">
      <c r="A103" s="14">
        <f t="shared" si="5"/>
        <v>1995</v>
      </c>
      <c r="D103" s="3">
        <v>27</v>
      </c>
      <c r="E103" s="3">
        <v>5.0999999999999996</v>
      </c>
      <c r="F103" s="3">
        <f t="shared" si="6"/>
        <v>27</v>
      </c>
      <c r="G103" s="3">
        <f t="shared" si="6"/>
        <v>5.0999999999999996</v>
      </c>
      <c r="I103" s="17">
        <f t="shared" si="10"/>
        <v>1995</v>
      </c>
      <c r="J103" s="3">
        <f t="shared" si="8"/>
        <v>27</v>
      </c>
      <c r="K103" s="3">
        <f t="shared" si="8"/>
        <v>5.0999999999999996</v>
      </c>
      <c r="L103" s="3">
        <f t="shared" si="9"/>
        <v>21.9</v>
      </c>
    </row>
    <row r="104" spans="1:12" x14ac:dyDescent="0.55000000000000004">
      <c r="A104" s="14">
        <f t="shared" si="5"/>
        <v>1996</v>
      </c>
      <c r="D104" s="3">
        <v>26.3</v>
      </c>
      <c r="E104" s="3">
        <v>5.0999999999999996</v>
      </c>
      <c r="F104" s="3">
        <f t="shared" si="6"/>
        <v>26.3</v>
      </c>
      <c r="G104" s="3">
        <f t="shared" si="6"/>
        <v>5.0999999999999996</v>
      </c>
      <c r="I104" s="17">
        <f t="shared" si="10"/>
        <v>1996</v>
      </c>
      <c r="J104" s="3">
        <f t="shared" si="8"/>
        <v>26.3</v>
      </c>
      <c r="K104" s="3">
        <f t="shared" si="8"/>
        <v>5.0999999999999996</v>
      </c>
      <c r="L104" s="3">
        <f t="shared" si="9"/>
        <v>21.200000000000003</v>
      </c>
    </row>
    <row r="105" spans="1:12" x14ac:dyDescent="0.55000000000000004">
      <c r="A105" s="14">
        <f t="shared" si="5"/>
        <v>1997</v>
      </c>
      <c r="D105" s="3">
        <v>25.7</v>
      </c>
      <c r="E105" s="3">
        <v>5</v>
      </c>
      <c r="F105" s="3">
        <f t="shared" si="6"/>
        <v>25.7</v>
      </c>
      <c r="G105" s="3">
        <f t="shared" si="6"/>
        <v>5</v>
      </c>
      <c r="I105" s="17">
        <f t="shared" si="10"/>
        <v>1997</v>
      </c>
      <c r="J105" s="3">
        <f t="shared" si="8"/>
        <v>25.7</v>
      </c>
      <c r="K105" s="3">
        <f t="shared" si="8"/>
        <v>5</v>
      </c>
      <c r="L105" s="3">
        <f t="shared" si="9"/>
        <v>20.7</v>
      </c>
    </row>
    <row r="106" spans="1:12" x14ac:dyDescent="0.55000000000000004">
      <c r="A106" s="14">
        <f t="shared" si="5"/>
        <v>1998</v>
      </c>
      <c r="D106" s="3">
        <v>25.4</v>
      </c>
      <c r="E106" s="3">
        <v>5</v>
      </c>
      <c r="F106" s="3">
        <f t="shared" si="6"/>
        <v>25.4</v>
      </c>
      <c r="G106" s="3">
        <f t="shared" si="6"/>
        <v>5</v>
      </c>
      <c r="I106" s="17">
        <f t="shared" si="10"/>
        <v>1998</v>
      </c>
      <c r="J106" s="3">
        <f t="shared" si="8"/>
        <v>25.4</v>
      </c>
      <c r="K106" s="3">
        <f t="shared" si="8"/>
        <v>5</v>
      </c>
      <c r="L106" s="3">
        <f t="shared" si="9"/>
        <v>20.399999999999999</v>
      </c>
    </row>
    <row r="107" spans="1:12" x14ac:dyDescent="0.55000000000000004">
      <c r="A107" s="14">
        <f t="shared" si="5"/>
        <v>1999</v>
      </c>
      <c r="D107" s="3">
        <v>25.1</v>
      </c>
      <c r="E107" s="3">
        <v>4.9000000000000004</v>
      </c>
      <c r="F107" s="3">
        <f t="shared" si="6"/>
        <v>25.1</v>
      </c>
      <c r="G107" s="3">
        <f t="shared" si="6"/>
        <v>4.9000000000000004</v>
      </c>
      <c r="I107" s="17">
        <f t="shared" si="10"/>
        <v>1999</v>
      </c>
      <c r="J107" s="3">
        <f t="shared" si="8"/>
        <v>25.1</v>
      </c>
      <c r="K107" s="3">
        <f t="shared" si="8"/>
        <v>4.9000000000000004</v>
      </c>
      <c r="L107" s="3">
        <f t="shared" si="9"/>
        <v>20.200000000000003</v>
      </c>
    </row>
    <row r="108" spans="1:12" x14ac:dyDescent="0.55000000000000004">
      <c r="A108" s="14">
        <f t="shared" si="5"/>
        <v>2000</v>
      </c>
      <c r="D108" s="3">
        <v>24.7</v>
      </c>
      <c r="E108" s="3">
        <v>4.8</v>
      </c>
      <c r="F108" s="3">
        <f t="shared" si="6"/>
        <v>24.7</v>
      </c>
      <c r="G108" s="3">
        <f t="shared" si="6"/>
        <v>4.8</v>
      </c>
      <c r="I108" s="17">
        <f t="shared" si="10"/>
        <v>2000</v>
      </c>
      <c r="J108" s="3">
        <f t="shared" si="8"/>
        <v>24.7</v>
      </c>
      <c r="K108" s="3">
        <f t="shared" si="8"/>
        <v>4.8</v>
      </c>
      <c r="L108" s="3">
        <f t="shared" si="9"/>
        <v>19.899999999999999</v>
      </c>
    </row>
    <row r="109" spans="1:12" x14ac:dyDescent="0.55000000000000004">
      <c r="A109" s="14">
        <f t="shared" si="5"/>
        <v>2001</v>
      </c>
      <c r="D109" s="3">
        <v>24.1</v>
      </c>
      <c r="E109" s="3">
        <v>4.7</v>
      </c>
      <c r="F109" s="3">
        <f t="shared" si="6"/>
        <v>24.1</v>
      </c>
      <c r="G109" s="3">
        <f t="shared" si="6"/>
        <v>4.7</v>
      </c>
      <c r="I109" s="17">
        <f t="shared" si="10"/>
        <v>2001</v>
      </c>
      <c r="J109" s="3">
        <f t="shared" si="8"/>
        <v>24.1</v>
      </c>
      <c r="K109" s="3">
        <f t="shared" si="8"/>
        <v>4.7</v>
      </c>
      <c r="L109" s="3">
        <f t="shared" si="9"/>
        <v>19.400000000000002</v>
      </c>
    </row>
    <row r="110" spans="1:12" x14ac:dyDescent="0.55000000000000004">
      <c r="A110" s="14">
        <f t="shared" si="5"/>
        <v>2002</v>
      </c>
      <c r="D110" s="3">
        <v>23.5</v>
      </c>
      <c r="E110" s="3">
        <v>4.8</v>
      </c>
      <c r="F110" s="3">
        <f t="shared" si="6"/>
        <v>23.5</v>
      </c>
      <c r="G110" s="3">
        <f t="shared" si="6"/>
        <v>4.8</v>
      </c>
      <c r="I110" s="17">
        <f t="shared" si="10"/>
        <v>2002</v>
      </c>
      <c r="J110" s="3">
        <f t="shared" si="8"/>
        <v>23.5</v>
      </c>
      <c r="K110" s="3">
        <f t="shared" si="8"/>
        <v>4.8</v>
      </c>
      <c r="L110" s="3">
        <f t="shared" si="9"/>
        <v>18.7</v>
      </c>
    </row>
    <row r="111" spans="1:12" x14ac:dyDescent="0.55000000000000004">
      <c r="A111" s="14">
        <f t="shared" si="5"/>
        <v>2003</v>
      </c>
      <c r="D111" s="3">
        <v>22.9</v>
      </c>
      <c r="E111" s="3">
        <v>4.8</v>
      </c>
      <c r="F111" s="3">
        <f t="shared" si="6"/>
        <v>22.9</v>
      </c>
      <c r="G111" s="3">
        <f t="shared" si="6"/>
        <v>4.8</v>
      </c>
      <c r="I111" s="17">
        <f t="shared" si="10"/>
        <v>2003</v>
      </c>
      <c r="J111" s="3">
        <f t="shared" si="8"/>
        <v>22.9</v>
      </c>
      <c r="K111" s="3">
        <f t="shared" si="8"/>
        <v>4.8</v>
      </c>
      <c r="L111" s="3">
        <f t="shared" si="9"/>
        <v>18.099999999999998</v>
      </c>
    </row>
    <row r="112" spans="1:12" x14ac:dyDescent="0.55000000000000004">
      <c r="A112" s="14">
        <f t="shared" si="5"/>
        <v>2004</v>
      </c>
      <c r="D112" s="3">
        <v>22.4</v>
      </c>
      <c r="E112" s="3">
        <v>4.8</v>
      </c>
      <c r="F112" s="3">
        <f t="shared" si="6"/>
        <v>22.4</v>
      </c>
      <c r="G112" s="3">
        <f t="shared" si="6"/>
        <v>4.8</v>
      </c>
      <c r="I112" s="17">
        <f t="shared" si="10"/>
        <v>2004</v>
      </c>
      <c r="J112" s="3">
        <f t="shared" si="8"/>
        <v>22.4</v>
      </c>
      <c r="K112" s="3">
        <f t="shared" si="8"/>
        <v>4.8</v>
      </c>
      <c r="L112" s="3">
        <f t="shared" si="9"/>
        <v>17.599999999999998</v>
      </c>
    </row>
    <row r="113" spans="1:12" x14ac:dyDescent="0.55000000000000004">
      <c r="A113" s="14">
        <f t="shared" si="5"/>
        <v>2005</v>
      </c>
      <c r="D113" s="3">
        <v>22.1</v>
      </c>
      <c r="E113" s="3">
        <v>4.9000000000000004</v>
      </c>
      <c r="F113" s="3">
        <f t="shared" si="6"/>
        <v>22.1</v>
      </c>
      <c r="G113" s="3">
        <f t="shared" si="6"/>
        <v>4.9000000000000004</v>
      </c>
      <c r="I113" s="17">
        <f t="shared" si="10"/>
        <v>2005</v>
      </c>
      <c r="J113" s="3">
        <f t="shared" si="8"/>
        <v>22.1</v>
      </c>
      <c r="K113" s="3">
        <f t="shared" si="8"/>
        <v>4.9000000000000004</v>
      </c>
      <c r="L113" s="3">
        <f t="shared" si="9"/>
        <v>17.200000000000003</v>
      </c>
    </row>
    <row r="114" spans="1:12" x14ac:dyDescent="0.55000000000000004">
      <c r="A114" s="14">
        <f t="shared" si="5"/>
        <v>2006</v>
      </c>
      <c r="D114" s="3">
        <v>21.8</v>
      </c>
      <c r="E114" s="3">
        <v>4.8</v>
      </c>
      <c r="F114" s="3">
        <f t="shared" si="6"/>
        <v>21.8</v>
      </c>
      <c r="G114" s="3">
        <f t="shared" si="6"/>
        <v>4.8</v>
      </c>
      <c r="I114" s="17">
        <f t="shared" si="10"/>
        <v>2006</v>
      </c>
      <c r="J114" s="3">
        <f t="shared" si="8"/>
        <v>21.8</v>
      </c>
      <c r="K114" s="3">
        <f t="shared" si="8"/>
        <v>4.8</v>
      </c>
      <c r="L114" s="3">
        <f t="shared" si="9"/>
        <v>17</v>
      </c>
    </row>
    <row r="115" spans="1:12" x14ac:dyDescent="0.55000000000000004">
      <c r="A115" s="14">
        <f t="shared" si="5"/>
        <v>2007</v>
      </c>
      <c r="D115" s="3">
        <v>21.6</v>
      </c>
      <c r="E115" s="3">
        <v>4.9000000000000004</v>
      </c>
      <c r="F115" s="3">
        <f t="shared" si="6"/>
        <v>21.6</v>
      </c>
      <c r="G115" s="3">
        <f t="shared" si="6"/>
        <v>4.9000000000000004</v>
      </c>
      <c r="I115" s="17">
        <f t="shared" si="10"/>
        <v>2007</v>
      </c>
      <c r="J115" s="3">
        <f t="shared" si="8"/>
        <v>21.6</v>
      </c>
      <c r="K115" s="3">
        <f t="shared" si="8"/>
        <v>4.9000000000000004</v>
      </c>
      <c r="L115" s="3">
        <f t="shared" si="9"/>
        <v>16.700000000000003</v>
      </c>
    </row>
    <row r="116" spans="1:12" x14ac:dyDescent="0.55000000000000004">
      <c r="A116" s="14">
        <f t="shared" si="5"/>
        <v>2008</v>
      </c>
      <c r="D116" s="3">
        <v>21.3</v>
      </c>
      <c r="E116" s="3">
        <v>5.0999999999999996</v>
      </c>
      <c r="F116" s="3">
        <f t="shared" si="6"/>
        <v>21.3</v>
      </c>
      <c r="G116" s="3">
        <f t="shared" si="6"/>
        <v>5.0999999999999996</v>
      </c>
      <c r="I116" s="17">
        <f t="shared" si="10"/>
        <v>2008</v>
      </c>
      <c r="J116" s="3">
        <f t="shared" si="8"/>
        <v>21.3</v>
      </c>
      <c r="K116" s="3">
        <f t="shared" si="8"/>
        <v>5.0999999999999996</v>
      </c>
      <c r="L116" s="3">
        <f t="shared" si="9"/>
        <v>16.200000000000003</v>
      </c>
    </row>
    <row r="117" spans="1:12" x14ac:dyDescent="0.55000000000000004">
      <c r="A117" s="14">
        <f t="shared" si="5"/>
        <v>2009</v>
      </c>
      <c r="D117" s="3">
        <v>21</v>
      </c>
      <c r="E117" s="3">
        <v>5.2</v>
      </c>
      <c r="F117" s="3">
        <f t="shared" si="6"/>
        <v>21</v>
      </c>
      <c r="G117" s="3">
        <f t="shared" si="6"/>
        <v>5.2</v>
      </c>
      <c r="I117" s="17">
        <f t="shared" si="10"/>
        <v>2009</v>
      </c>
      <c r="J117" s="3">
        <f t="shared" si="8"/>
        <v>21</v>
      </c>
      <c r="K117" s="3">
        <f t="shared" si="8"/>
        <v>5.2</v>
      </c>
      <c r="L117" s="3">
        <f t="shared" si="9"/>
        <v>15.8</v>
      </c>
    </row>
    <row r="118" spans="1:12" x14ac:dyDescent="0.55000000000000004">
      <c r="A118" s="14">
        <f t="shared" si="5"/>
        <v>2010</v>
      </c>
      <c r="D118" s="3">
        <v>20.5</v>
      </c>
      <c r="E118" s="3">
        <v>5.4</v>
      </c>
      <c r="F118" s="3">
        <f t="shared" si="6"/>
        <v>20.5</v>
      </c>
      <c r="G118" s="3">
        <f t="shared" si="6"/>
        <v>5.4</v>
      </c>
      <c r="I118" s="17">
        <f t="shared" si="10"/>
        <v>2010</v>
      </c>
      <c r="J118" s="3">
        <f t="shared" si="8"/>
        <v>20.5</v>
      </c>
      <c r="K118" s="3">
        <f t="shared" si="8"/>
        <v>5.4</v>
      </c>
      <c r="L118" s="3">
        <f t="shared" si="9"/>
        <v>15.1</v>
      </c>
    </row>
    <row r="119" spans="1:12" x14ac:dyDescent="0.55000000000000004">
      <c r="A119" s="14">
        <f t="shared" si="5"/>
        <v>2011</v>
      </c>
      <c r="D119" s="3">
        <v>20</v>
      </c>
      <c r="E119" s="3">
        <v>5.3</v>
      </c>
      <c r="F119" s="3">
        <f t="shared" si="6"/>
        <v>20</v>
      </c>
      <c r="G119" s="3">
        <f t="shared" si="6"/>
        <v>5.3</v>
      </c>
      <c r="I119" s="17">
        <f t="shared" si="10"/>
        <v>2011</v>
      </c>
      <c r="J119" s="3">
        <f t="shared" si="8"/>
        <v>20</v>
      </c>
      <c r="K119" s="3">
        <f t="shared" si="8"/>
        <v>5.3</v>
      </c>
      <c r="L119" s="3">
        <f t="shared" si="9"/>
        <v>14.7</v>
      </c>
    </row>
    <row r="120" spans="1:12" x14ac:dyDescent="0.55000000000000004">
      <c r="A120" s="14">
        <f t="shared" si="5"/>
        <v>2012</v>
      </c>
      <c r="D120" s="3">
        <v>19.5</v>
      </c>
      <c r="E120" s="3">
        <v>5.3</v>
      </c>
      <c r="F120" s="3">
        <f t="shared" si="6"/>
        <v>19.5</v>
      </c>
      <c r="G120" s="3">
        <f t="shared" si="6"/>
        <v>5.3</v>
      </c>
      <c r="I120" s="17">
        <f t="shared" si="10"/>
        <v>2012</v>
      </c>
      <c r="J120" s="3">
        <f t="shared" si="8"/>
        <v>19.5</v>
      </c>
      <c r="K120" s="3">
        <f t="shared" si="8"/>
        <v>5.3</v>
      </c>
      <c r="L120" s="3">
        <f t="shared" si="9"/>
        <v>14.2</v>
      </c>
    </row>
    <row r="121" spans="1:12" x14ac:dyDescent="0.55000000000000004">
      <c r="A121" s="14">
        <f t="shared" si="5"/>
        <v>2013</v>
      </c>
      <c r="D121" s="3">
        <v>19.100000000000001</v>
      </c>
      <c r="E121" s="3">
        <v>5.3</v>
      </c>
      <c r="F121" s="3">
        <f t="shared" si="6"/>
        <v>19.100000000000001</v>
      </c>
      <c r="G121" s="3">
        <f t="shared" si="6"/>
        <v>5.3</v>
      </c>
      <c r="I121" s="17">
        <f t="shared" si="10"/>
        <v>2013</v>
      </c>
      <c r="J121" s="3">
        <f t="shared" si="8"/>
        <v>19.100000000000001</v>
      </c>
      <c r="K121" s="3">
        <f t="shared" si="8"/>
        <v>5.3</v>
      </c>
      <c r="L121" s="3">
        <f t="shared" si="9"/>
        <v>13.8</v>
      </c>
    </row>
    <row r="122" spans="1:12" x14ac:dyDescent="0.55000000000000004">
      <c r="A122" s="14">
        <f t="shared" si="5"/>
        <v>2014</v>
      </c>
      <c r="D122" s="3">
        <v>18.7</v>
      </c>
      <c r="E122" s="3">
        <v>5.4</v>
      </c>
      <c r="F122" s="3">
        <f t="shared" si="6"/>
        <v>18.7</v>
      </c>
      <c r="G122" s="3">
        <f t="shared" si="6"/>
        <v>5.4</v>
      </c>
      <c r="I122" s="17">
        <f t="shared" si="10"/>
        <v>2014</v>
      </c>
      <c r="J122" s="3">
        <f t="shared" si="8"/>
        <v>18.7</v>
      </c>
      <c r="K122" s="3">
        <f t="shared" si="8"/>
        <v>5.4</v>
      </c>
      <c r="L122" s="3">
        <f t="shared" si="9"/>
        <v>13.299999999999999</v>
      </c>
    </row>
    <row r="123" spans="1:12" x14ac:dyDescent="0.55000000000000004">
      <c r="A123" s="14">
        <f t="shared" si="5"/>
        <v>2015</v>
      </c>
      <c r="D123" s="3">
        <v>18.3</v>
      </c>
      <c r="E123" s="3">
        <v>5.5</v>
      </c>
      <c r="F123" s="3">
        <f t="shared" si="6"/>
        <v>18.3</v>
      </c>
      <c r="G123" s="3">
        <f t="shared" si="6"/>
        <v>5.5</v>
      </c>
      <c r="I123" s="17">
        <f t="shared" si="10"/>
        <v>2015</v>
      </c>
      <c r="J123" s="3">
        <f t="shared" si="8"/>
        <v>18.3</v>
      </c>
      <c r="K123" s="3">
        <f t="shared" si="8"/>
        <v>5.5</v>
      </c>
      <c r="L123" s="3">
        <f t="shared" si="9"/>
        <v>12.8</v>
      </c>
    </row>
    <row r="124" spans="1:12" x14ac:dyDescent="0.55000000000000004">
      <c r="A124" s="14">
        <f t="shared" si="5"/>
        <v>2016</v>
      </c>
      <c r="D124" s="3">
        <v>17.7</v>
      </c>
      <c r="E124" s="3">
        <v>5.7</v>
      </c>
      <c r="F124" s="3">
        <f t="shared" si="6"/>
        <v>17.7</v>
      </c>
      <c r="G124" s="3">
        <f t="shared" si="6"/>
        <v>5.7</v>
      </c>
      <c r="I124" s="17">
        <f t="shared" si="10"/>
        <v>2016</v>
      </c>
      <c r="J124" s="3">
        <f t="shared" si="8"/>
        <v>17.7</v>
      </c>
      <c r="K124" s="3">
        <f t="shared" si="8"/>
        <v>5.7</v>
      </c>
      <c r="L124" s="3">
        <f t="shared" si="9"/>
        <v>12</v>
      </c>
    </row>
    <row r="125" spans="1:12" x14ac:dyDescent="0.55000000000000004">
      <c r="A125" s="14">
        <f t="shared" ref="A125:A131" si="11">A124+1</f>
        <v>2017</v>
      </c>
      <c r="D125" s="3">
        <v>17.3</v>
      </c>
      <c r="E125" s="3">
        <v>5.8</v>
      </c>
      <c r="F125" s="3">
        <f t="shared" ref="F125:G131" si="12">D125</f>
        <v>17.3</v>
      </c>
      <c r="G125" s="3">
        <f t="shared" si="12"/>
        <v>5.8</v>
      </c>
      <c r="I125" s="17">
        <f t="shared" si="10"/>
        <v>2017</v>
      </c>
      <c r="J125" s="3">
        <f t="shared" si="8"/>
        <v>17.3</v>
      </c>
      <c r="K125" s="3">
        <f t="shared" si="8"/>
        <v>5.8</v>
      </c>
      <c r="L125" s="3">
        <f t="shared" si="9"/>
        <v>11.5</v>
      </c>
    </row>
    <row r="126" spans="1:12" x14ac:dyDescent="0.55000000000000004">
      <c r="A126" s="14">
        <f t="shared" si="11"/>
        <v>2018</v>
      </c>
      <c r="D126" s="3">
        <v>17.100000000000001</v>
      </c>
      <c r="E126" s="3">
        <v>5.9</v>
      </c>
      <c r="F126" s="3">
        <f t="shared" si="12"/>
        <v>17.100000000000001</v>
      </c>
      <c r="G126" s="3">
        <f t="shared" si="12"/>
        <v>5.9</v>
      </c>
      <c r="I126" s="17">
        <f t="shared" si="10"/>
        <v>2018</v>
      </c>
      <c r="J126" s="3">
        <f t="shared" si="8"/>
        <v>17.100000000000001</v>
      </c>
      <c r="K126" s="3">
        <f t="shared" si="8"/>
        <v>5.9</v>
      </c>
      <c r="L126" s="3">
        <f t="shared" si="9"/>
        <v>11.200000000000001</v>
      </c>
    </row>
    <row r="127" spans="1:12" x14ac:dyDescent="0.55000000000000004">
      <c r="A127" s="14">
        <f t="shared" si="11"/>
        <v>2019</v>
      </c>
      <c r="D127" s="3">
        <v>16.899999999999999</v>
      </c>
      <c r="E127" s="3">
        <v>6</v>
      </c>
      <c r="F127" s="3">
        <f t="shared" si="12"/>
        <v>16.899999999999999</v>
      </c>
      <c r="G127" s="3">
        <f t="shared" si="12"/>
        <v>6</v>
      </c>
      <c r="I127" s="17">
        <f t="shared" si="10"/>
        <v>2019</v>
      </c>
      <c r="J127" s="3">
        <f t="shared" si="8"/>
        <v>16.899999999999999</v>
      </c>
      <c r="K127" s="3">
        <f t="shared" si="8"/>
        <v>6</v>
      </c>
      <c r="L127" s="3">
        <f t="shared" si="9"/>
        <v>10.899999999999999</v>
      </c>
    </row>
    <row r="128" spans="1:12" x14ac:dyDescent="0.55000000000000004">
      <c r="A128" s="14">
        <f t="shared" si="11"/>
        <v>2020</v>
      </c>
      <c r="D128" s="3">
        <v>16.600000000000001</v>
      </c>
      <c r="E128" s="3">
        <v>9.3000000000000007</v>
      </c>
      <c r="F128" s="3">
        <f t="shared" si="12"/>
        <v>16.600000000000001</v>
      </c>
      <c r="G128" s="3">
        <f t="shared" si="12"/>
        <v>9.3000000000000007</v>
      </c>
      <c r="I128" s="17">
        <f t="shared" si="10"/>
        <v>2020</v>
      </c>
      <c r="J128" s="3">
        <f t="shared" si="8"/>
        <v>16.600000000000001</v>
      </c>
      <c r="K128" s="3">
        <f t="shared" si="8"/>
        <v>9.3000000000000007</v>
      </c>
      <c r="L128" s="3">
        <f t="shared" si="9"/>
        <v>7.3000000000000007</v>
      </c>
    </row>
    <row r="129" spans="1:12" x14ac:dyDescent="0.55000000000000004">
      <c r="A129" s="14">
        <f t="shared" si="11"/>
        <v>2021</v>
      </c>
      <c r="D129" s="3">
        <v>16.3</v>
      </c>
      <c r="E129" s="3">
        <v>9.5</v>
      </c>
      <c r="F129" s="3">
        <f t="shared" si="12"/>
        <v>16.3</v>
      </c>
      <c r="G129" s="3">
        <f t="shared" si="12"/>
        <v>9.5</v>
      </c>
      <c r="I129" s="17">
        <f t="shared" si="10"/>
        <v>2021</v>
      </c>
      <c r="J129" s="3">
        <f t="shared" si="8"/>
        <v>16.3</v>
      </c>
      <c r="K129" s="3">
        <f t="shared" si="8"/>
        <v>9.5</v>
      </c>
      <c r="L129" s="3">
        <f t="shared" si="9"/>
        <v>6.8000000000000007</v>
      </c>
    </row>
    <row r="130" spans="1:12" x14ac:dyDescent="0.55000000000000004">
      <c r="A130" s="14">
        <f t="shared" si="11"/>
        <v>2022</v>
      </c>
      <c r="D130" s="3">
        <v>16.100000000000001</v>
      </c>
      <c r="E130" s="3">
        <v>6.1</v>
      </c>
      <c r="F130" s="3">
        <f t="shared" si="12"/>
        <v>16.100000000000001</v>
      </c>
      <c r="G130" s="3">
        <f t="shared" si="12"/>
        <v>6.1</v>
      </c>
      <c r="I130" s="17">
        <f t="shared" si="10"/>
        <v>2022</v>
      </c>
      <c r="J130" s="3">
        <f t="shared" si="8"/>
        <v>16.100000000000001</v>
      </c>
      <c r="K130" s="3">
        <f t="shared" si="8"/>
        <v>6.1</v>
      </c>
      <c r="L130" s="3">
        <f t="shared" si="9"/>
        <v>10.000000000000002</v>
      </c>
    </row>
    <row r="131" spans="1:12" x14ac:dyDescent="0.55000000000000004">
      <c r="A131" s="14">
        <f t="shared" si="11"/>
        <v>2023</v>
      </c>
      <c r="D131" s="3">
        <v>15.8</v>
      </c>
      <c r="E131" s="3">
        <v>6.1</v>
      </c>
      <c r="F131" s="3">
        <f t="shared" si="12"/>
        <v>15.8</v>
      </c>
      <c r="G131" s="3">
        <f t="shared" si="12"/>
        <v>6.1</v>
      </c>
      <c r="I131" s="17">
        <f t="shared" si="10"/>
        <v>2023</v>
      </c>
      <c r="J131" s="3">
        <f t="shared" si="8"/>
        <v>15.8</v>
      </c>
      <c r="K131" s="3">
        <f t="shared" si="8"/>
        <v>6.1</v>
      </c>
      <c r="L131" s="3">
        <f t="shared" si="9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tabSelected="1" workbookViewId="0">
      <selection activeCell="AJ17" sqref="AJ1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</row>
    <row r="3" spans="1:6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6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</row>
    <row r="5" spans="1:6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</row>
    <row r="6" spans="1:6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</row>
    <row r="7" spans="1:6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</row>
    <row r="8" spans="1:6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</row>
    <row r="9" spans="1:6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6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</row>
    <row r="11" spans="1:6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6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</row>
    <row r="13" spans="1:6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</row>
    <row r="14" spans="1:6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6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</row>
    <row r="16" spans="1:6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</row>
    <row r="17" spans="1:6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</row>
    <row r="18" spans="1:6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</row>
    <row r="19" spans="1:6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6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</row>
    <row r="21" spans="1:6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</row>
    <row r="22" spans="1:6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</row>
    <row r="23" spans="1:6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6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</row>
    <row r="25" spans="1:6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</row>
    <row r="26" spans="1:6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6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6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6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6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6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6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AD125"/>
  <sheetViews>
    <sheetView workbookViewId="0">
      <selection activeCell="AH26" sqref="AH2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0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0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30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  <c r="AD3" t="s">
        <v>229</v>
      </c>
    </row>
    <row r="4" spans="1:30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  <c r="AD4" t="s">
        <v>230</v>
      </c>
    </row>
    <row r="5" spans="1:30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30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  <c r="AD6" t="s">
        <v>242</v>
      </c>
    </row>
    <row r="7" spans="1:30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  <c r="AD7" t="s">
        <v>231</v>
      </c>
    </row>
    <row r="8" spans="1:30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  <c r="AD8" t="s">
        <v>232</v>
      </c>
    </row>
    <row r="9" spans="1:30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  <c r="AD9" t="s">
        <v>233</v>
      </c>
    </row>
    <row r="10" spans="1:30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30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  <c r="AD11" t="s">
        <v>238</v>
      </c>
    </row>
    <row r="12" spans="1:30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  <c r="AD12" t="s">
        <v>239</v>
      </c>
    </row>
    <row r="13" spans="1:30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  <c r="AD13" t="s">
        <v>240</v>
      </c>
    </row>
    <row r="14" spans="1:30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30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  <c r="AD15" t="s">
        <v>243</v>
      </c>
    </row>
    <row r="16" spans="1:30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  <c r="AD16" t="s">
        <v>241</v>
      </c>
    </row>
    <row r="17" spans="1:30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30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  <c r="AD18" t="s">
        <v>234</v>
      </c>
    </row>
    <row r="19" spans="1:30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  <c r="AD19" t="s">
        <v>235</v>
      </c>
    </row>
    <row r="20" spans="1:30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30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  <c r="AD21" t="s">
        <v>236</v>
      </c>
    </row>
    <row r="22" spans="1:30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  <c r="AD22" t="s">
        <v>237</v>
      </c>
    </row>
    <row r="23" spans="1:30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30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30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30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30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30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30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30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30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30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8" t="s">
        <v>115</v>
      </c>
      <c r="C1" s="28"/>
      <c r="D1" s="28" t="s">
        <v>75</v>
      </c>
      <c r="E1" s="28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</vt:i4>
      </vt:variant>
    </vt:vector>
  </HeadingPairs>
  <TitlesOfParts>
    <vt:vector size="41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Гватемала-без-кризиса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Куба-все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Мексика-Колвер-CONAPO</vt:lpstr>
      <vt:lpstr>Мексика-Колвер-CONAPO-реформа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2026-06-09T22:34:43Z</dcterms:modified>
</cp:coreProperties>
</file>