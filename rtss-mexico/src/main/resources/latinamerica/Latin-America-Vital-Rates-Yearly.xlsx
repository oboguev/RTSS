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AD50A34B-7BF0-4133-B3CC-9D13329FA425}" xr6:coauthVersionLast="47" xr6:coauthVersionMax="47" xr10:uidLastSave="{00000000-0000-0000-0000-000000000000}"/>
  <bookViews>
    <workbookView xWindow="57480" yWindow="-120" windowWidth="51840" windowHeight="21120" tabRatio="746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Гондурас-правка" sheetId="32" r:id="rId14"/>
    <sheet name="Колумбия" sheetId="8" r:id="rId15"/>
    <sheet name="Коста-Рика-Бриньоли" sheetId="25" r:id="rId16"/>
    <sheet name="Коста-Рика-Колвер" sheetId="6" r:id="rId17"/>
    <sheet name="Куба-Бриньоли" sheetId="26" r:id="rId18"/>
    <sheet name="Куба-Колвер" sheetId="18" r:id="rId19"/>
    <sheet name="Мексика-Бриньоли" sheetId="29" r:id="rId20"/>
    <sheet name="Мексика-Колвер" sheetId="19" r:id="rId21"/>
    <sheet name="Панама" sheetId="17" r:id="rId22"/>
    <sheet name="Парагвай" sheetId="10" r:id="rId23"/>
    <sheet name="Перу" sheetId="11" r:id="rId24"/>
    <sheet name="Сальвадор" sheetId="12" r:id="rId25"/>
    <sheet name="Уругвай-Бриньоли" sheetId="27" r:id="rId26"/>
    <sheet name="Уругвай-Ротман" sheetId="16" r:id="rId27"/>
    <sheet name="Уругвай-Митчел" sheetId="20" r:id="rId28"/>
    <sheet name="Чили-Бриньоли" sheetId="28" r:id="rId29"/>
    <sheet name="Чили-Колвер" sheetId="13" r:id="rId30"/>
    <sheet name="Эквадор" sheetId="9" r:id="rId31"/>
  </sheets>
  <externalReferences>
    <externalReference r:id="rId32"/>
  </externalReferences>
  <definedNames>
    <definedName name="LIFT" localSheetId="13">'Гондурас-правка'!$B$118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2" i="32" l="1"/>
  <c r="A103" i="32" s="1"/>
  <c r="Q101" i="32"/>
  <c r="P101" i="32"/>
  <c r="R101" i="32" s="1"/>
  <c r="O101" i="32"/>
  <c r="Q100" i="32"/>
  <c r="R100" i="32" s="1"/>
  <c r="P100" i="32"/>
  <c r="O100" i="32"/>
  <c r="Q99" i="32"/>
  <c r="P99" i="32"/>
  <c r="R99" i="32" s="1"/>
  <c r="O99" i="32"/>
  <c r="Q98" i="32"/>
  <c r="P98" i="32"/>
  <c r="R98" i="32" s="1"/>
  <c r="O98" i="32"/>
  <c r="Q97" i="32"/>
  <c r="P97" i="32"/>
  <c r="R97" i="32" s="1"/>
  <c r="O97" i="32"/>
  <c r="Q96" i="32"/>
  <c r="R96" i="32" s="1"/>
  <c r="P96" i="32"/>
  <c r="O96" i="32"/>
  <c r="Q95" i="32"/>
  <c r="P95" i="32"/>
  <c r="R95" i="32" s="1"/>
  <c r="O95" i="32"/>
  <c r="Q94" i="32"/>
  <c r="P94" i="32"/>
  <c r="R94" i="32" s="1"/>
  <c r="O94" i="32"/>
  <c r="Q93" i="32"/>
  <c r="P93" i="32"/>
  <c r="R93" i="32" s="1"/>
  <c r="O93" i="32"/>
  <c r="Q92" i="32"/>
  <c r="R92" i="32" s="1"/>
  <c r="P92" i="32"/>
  <c r="O92" i="32"/>
  <c r="Q91" i="32"/>
  <c r="P91" i="32"/>
  <c r="R91" i="32" s="1"/>
  <c r="O91" i="32"/>
  <c r="Q90" i="32"/>
  <c r="P90" i="32"/>
  <c r="R90" i="32" s="1"/>
  <c r="O90" i="32"/>
  <c r="Q89" i="32"/>
  <c r="P89" i="32"/>
  <c r="R89" i="32" s="1"/>
  <c r="O89" i="32"/>
  <c r="Q88" i="32"/>
  <c r="R88" i="32" s="1"/>
  <c r="P88" i="32"/>
  <c r="O88" i="32"/>
  <c r="Q87" i="32"/>
  <c r="P87" i="32"/>
  <c r="R87" i="32" s="1"/>
  <c r="O87" i="32"/>
  <c r="Q86" i="32"/>
  <c r="P86" i="32"/>
  <c r="R86" i="32" s="1"/>
  <c r="O86" i="32"/>
  <c r="Q85" i="32"/>
  <c r="P85" i="32"/>
  <c r="R85" i="32" s="1"/>
  <c r="O85" i="32"/>
  <c r="Q84" i="32"/>
  <c r="R84" i="32" s="1"/>
  <c r="P84" i="32"/>
  <c r="O84" i="32"/>
  <c r="Q83" i="32"/>
  <c r="P83" i="32"/>
  <c r="R83" i="32" s="1"/>
  <c r="O83" i="32"/>
  <c r="Q82" i="32"/>
  <c r="P82" i="32"/>
  <c r="R82" i="32" s="1"/>
  <c r="O82" i="32"/>
  <c r="Q81" i="32"/>
  <c r="P81" i="32"/>
  <c r="R81" i="32" s="1"/>
  <c r="O81" i="32"/>
  <c r="Q80" i="32"/>
  <c r="R80" i="32" s="1"/>
  <c r="P80" i="32"/>
  <c r="O80" i="32"/>
  <c r="Q79" i="32"/>
  <c r="P79" i="32"/>
  <c r="R79" i="32" s="1"/>
  <c r="O79" i="32"/>
  <c r="Q78" i="32"/>
  <c r="P78" i="32"/>
  <c r="R78" i="32" s="1"/>
  <c r="O78" i="32"/>
  <c r="Q77" i="32"/>
  <c r="P77" i="32"/>
  <c r="R77" i="32" s="1"/>
  <c r="O77" i="32"/>
  <c r="Q76" i="32"/>
  <c r="R76" i="32" s="1"/>
  <c r="P76" i="32"/>
  <c r="O76" i="32"/>
  <c r="Q75" i="32"/>
  <c r="P75" i="32"/>
  <c r="R75" i="32" s="1"/>
  <c r="O75" i="32"/>
  <c r="Q74" i="32"/>
  <c r="P74" i="32"/>
  <c r="R74" i="32" s="1"/>
  <c r="O74" i="32"/>
  <c r="Q73" i="32"/>
  <c r="P73" i="32"/>
  <c r="R73" i="32" s="1"/>
  <c r="O73" i="32"/>
  <c r="Q72" i="32"/>
  <c r="R72" i="32" s="1"/>
  <c r="P72" i="32"/>
  <c r="O72" i="32"/>
  <c r="Q71" i="32"/>
  <c r="P71" i="32"/>
  <c r="R71" i="32" s="1"/>
  <c r="O71" i="32"/>
  <c r="Q70" i="32"/>
  <c r="P70" i="32"/>
  <c r="R70" i="32" s="1"/>
  <c r="O70" i="32"/>
  <c r="Q69" i="32"/>
  <c r="P69" i="32"/>
  <c r="R69" i="32" s="1"/>
  <c r="O69" i="32"/>
  <c r="Q68" i="32"/>
  <c r="R68" i="32" s="1"/>
  <c r="P68" i="32"/>
  <c r="O68" i="32"/>
  <c r="Q67" i="32"/>
  <c r="P67" i="32"/>
  <c r="R67" i="32" s="1"/>
  <c r="O67" i="32"/>
  <c r="Q66" i="32"/>
  <c r="P66" i="32"/>
  <c r="R66" i="32" s="1"/>
  <c r="O66" i="32"/>
  <c r="Q65" i="32"/>
  <c r="P65" i="32"/>
  <c r="R65" i="32" s="1"/>
  <c r="O65" i="32"/>
  <c r="Q64" i="32"/>
  <c r="R64" i="32" s="1"/>
  <c r="P64" i="32"/>
  <c r="O64" i="32"/>
  <c r="Q63" i="32"/>
  <c r="P63" i="32"/>
  <c r="R63" i="32" s="1"/>
  <c r="O63" i="32"/>
  <c r="Q62" i="32"/>
  <c r="P62" i="32"/>
  <c r="R62" i="32" s="1"/>
  <c r="O62" i="32"/>
  <c r="Q61" i="32"/>
  <c r="P61" i="32"/>
  <c r="R61" i="32" s="1"/>
  <c r="O61" i="32"/>
  <c r="Q60" i="32"/>
  <c r="R60" i="32" s="1"/>
  <c r="P60" i="32"/>
  <c r="O60" i="32"/>
  <c r="Q59" i="32"/>
  <c r="P59" i="32"/>
  <c r="R59" i="32" s="1"/>
  <c r="O59" i="32"/>
  <c r="Q58" i="32"/>
  <c r="P58" i="32"/>
  <c r="R58" i="32" s="1"/>
  <c r="O58" i="32"/>
  <c r="Q57" i="32"/>
  <c r="P57" i="32"/>
  <c r="R57" i="32" s="1"/>
  <c r="O57" i="32"/>
  <c r="Q56" i="32"/>
  <c r="R56" i="32" s="1"/>
  <c r="P56" i="32"/>
  <c r="O56" i="32"/>
  <c r="Q55" i="32"/>
  <c r="P55" i="32"/>
  <c r="R55" i="32" s="1"/>
  <c r="O55" i="32"/>
  <c r="Q54" i="32"/>
  <c r="P54" i="32"/>
  <c r="R54" i="32" s="1"/>
  <c r="O54" i="32"/>
  <c r="Q53" i="32"/>
  <c r="P53" i="32"/>
  <c r="R53" i="32" s="1"/>
  <c r="O53" i="32"/>
  <c r="Q52" i="32"/>
  <c r="O52" i="32"/>
  <c r="K52" i="32"/>
  <c r="E52" i="32" a="1"/>
  <c r="E52" i="32" s="1"/>
  <c r="O51" i="32"/>
  <c r="K51" i="32"/>
  <c r="E51" i="32" a="1"/>
  <c r="E51" i="32" s="1"/>
  <c r="Q50" i="32"/>
  <c r="R50" i="32" s="1"/>
  <c r="P50" i="32"/>
  <c r="O50" i="32"/>
  <c r="K50" i="32"/>
  <c r="E50" i="32" a="1"/>
  <c r="E50" i="32" s="1"/>
  <c r="O49" i="32"/>
  <c r="K49" i="32"/>
  <c r="E49" i="32" a="1"/>
  <c r="E49" i="32" s="1"/>
  <c r="Q48" i="32"/>
  <c r="P48" i="32"/>
  <c r="R48" i="32" s="1"/>
  <c r="O48" i="32"/>
  <c r="K48" i="32"/>
  <c r="E48" i="32" a="1"/>
  <c r="E48" i="32" s="1"/>
  <c r="O47" i="32"/>
  <c r="K47" i="32"/>
  <c r="E47" i="32" a="1"/>
  <c r="E47" i="32" s="1"/>
  <c r="Q46" i="32"/>
  <c r="R46" i="32" s="1"/>
  <c r="P46" i="32"/>
  <c r="O46" i="32"/>
  <c r="K46" i="32"/>
  <c r="E46" i="32"/>
  <c r="E46" i="32" a="1"/>
  <c r="Q45" i="32"/>
  <c r="O45" i="32"/>
  <c r="K45" i="32"/>
  <c r="E45" i="32"/>
  <c r="E45" i="32" a="1"/>
  <c r="P44" i="32"/>
  <c r="O44" i="32"/>
  <c r="K44" i="32"/>
  <c r="E44" i="32" a="1"/>
  <c r="E44" i="32" s="1"/>
  <c r="R43" i="32"/>
  <c r="Q43" i="32"/>
  <c r="P43" i="32"/>
  <c r="O43" i="32"/>
  <c r="K43" i="32"/>
  <c r="P52" i="32" s="1"/>
  <c r="R52" i="32" s="1"/>
  <c r="E43" i="32"/>
  <c r="Q47" i="32" s="1"/>
  <c r="E43" i="32" a="1"/>
  <c r="K42" i="32"/>
  <c r="E42" i="32"/>
  <c r="E42" i="32" a="1"/>
  <c r="A42" i="32"/>
  <c r="A41" i="32" s="1"/>
  <c r="K41" i="32"/>
  <c r="E41" i="32" a="1"/>
  <c r="E41" i="32" s="1"/>
  <c r="K40" i="32"/>
  <c r="E40" i="32"/>
  <c r="E40" i="32" a="1"/>
  <c r="K39" i="32"/>
  <c r="E39" i="32" a="1"/>
  <c r="E39" i="32" s="1"/>
  <c r="K38" i="32"/>
  <c r="E38" i="32"/>
  <c r="E38" i="32" a="1"/>
  <c r="K37" i="32"/>
  <c r="E37" i="32" a="1"/>
  <c r="E37" i="32" s="1"/>
  <c r="K36" i="32"/>
  <c r="E36" i="32"/>
  <c r="E36" i="32" a="1"/>
  <c r="K35" i="32"/>
  <c r="E35" i="32" a="1"/>
  <c r="E35" i="32" s="1"/>
  <c r="K34" i="32"/>
  <c r="E34" i="32"/>
  <c r="E34" i="32" a="1"/>
  <c r="K33" i="32"/>
  <c r="E33" i="32" a="1"/>
  <c r="E33" i="32" s="1"/>
  <c r="K32" i="32"/>
  <c r="E32" i="32"/>
  <c r="E32" i="32" a="1"/>
  <c r="K31" i="32"/>
  <c r="E31" i="32" a="1"/>
  <c r="E31" i="32" s="1"/>
  <c r="K30" i="32"/>
  <c r="E30" i="32"/>
  <c r="E30" i="32" a="1"/>
  <c r="K29" i="32"/>
  <c r="E29" i="32" a="1"/>
  <c r="E29" i="32" s="1"/>
  <c r="K28" i="32"/>
  <c r="E28" i="32"/>
  <c r="E28" i="32" a="1"/>
  <c r="K27" i="32"/>
  <c r="E27" i="32" a="1"/>
  <c r="E27" i="32" s="1"/>
  <c r="K26" i="32"/>
  <c r="E26" i="32"/>
  <c r="E26" i="32" a="1"/>
  <c r="K25" i="32"/>
  <c r="E25" i="32" a="1"/>
  <c r="E25" i="32" s="1"/>
  <c r="K24" i="32"/>
  <c r="E24" i="32"/>
  <c r="E24" i="32" a="1"/>
  <c r="K23" i="32"/>
  <c r="E23" i="32" a="1"/>
  <c r="E23" i="32" s="1"/>
  <c r="K22" i="32"/>
  <c r="E22" i="32"/>
  <c r="E22" i="32" a="1"/>
  <c r="K21" i="32"/>
  <c r="E21" i="32" a="1"/>
  <c r="E21" i="32" s="1"/>
  <c r="K20" i="32"/>
  <c r="E20" i="32"/>
  <c r="E20" i="32" a="1"/>
  <c r="K19" i="32"/>
  <c r="E19" i="32" a="1"/>
  <c r="E19" i="32" s="1"/>
  <c r="K18" i="32"/>
  <c r="E18" i="32"/>
  <c r="E18" i="32" a="1"/>
  <c r="K17" i="32"/>
  <c r="E17" i="32" a="1"/>
  <c r="E17" i="32" s="1"/>
  <c r="K16" i="32"/>
  <c r="E16" i="32"/>
  <c r="E16" i="32" a="1"/>
  <c r="K15" i="32"/>
  <c r="E15" i="32" a="1"/>
  <c r="E15" i="32" s="1"/>
  <c r="K14" i="32"/>
  <c r="E14" i="32"/>
  <c r="E14" i="32" a="1"/>
  <c r="K13" i="32"/>
  <c r="E13" i="32" a="1"/>
  <c r="E13" i="32" s="1"/>
  <c r="K12" i="32"/>
  <c r="E12" i="32"/>
  <c r="E12" i="32" a="1"/>
  <c r="K11" i="32"/>
  <c r="E11" i="32" a="1"/>
  <c r="E11" i="32" s="1"/>
  <c r="K10" i="32"/>
  <c r="E10" i="32"/>
  <c r="E10" i="32" a="1"/>
  <c r="K9" i="32"/>
  <c r="E9" i="32" a="1"/>
  <c r="E9" i="32" s="1"/>
  <c r="K8" i="32"/>
  <c r="E8" i="32"/>
  <c r="E8" i="32" a="1"/>
  <c r="K7" i="32"/>
  <c r="E7" i="32" a="1"/>
  <c r="E7" i="32" s="1"/>
  <c r="K6" i="32"/>
  <c r="E6" i="32"/>
  <c r="E6" i="32" a="1"/>
  <c r="K5" i="32"/>
  <c r="E5" i="32" a="1"/>
  <c r="E5" i="32" s="1"/>
  <c r="K4" i="32"/>
  <c r="E4" i="32"/>
  <c r="E4" i="32" a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G52" i="22"/>
  <c r="G51" i="22"/>
  <c r="G50" i="22"/>
  <c r="G49" i="22"/>
  <c r="G48" i="22"/>
  <c r="G47" i="22"/>
  <c r="G46" i="22"/>
  <c r="G45" i="22"/>
  <c r="G44" i="22"/>
  <c r="G4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F12" i="22"/>
  <c r="F11" i="22"/>
  <c r="F10" i="22"/>
  <c r="F9" i="22"/>
  <c r="F8" i="22"/>
  <c r="F7" i="22"/>
  <c r="F6" i="22"/>
  <c r="F5" i="22"/>
  <c r="F4" i="22"/>
  <c r="F3" i="22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F17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Q41" i="32" l="1"/>
  <c r="A40" i="32"/>
  <c r="P41" i="32"/>
  <c r="R41" i="32" s="1"/>
  <c r="O41" i="32"/>
  <c r="Q103" i="32"/>
  <c r="P103" i="32"/>
  <c r="R103" i="32" s="1"/>
  <c r="O103" i="32"/>
  <c r="A104" i="32"/>
  <c r="O42" i="32"/>
  <c r="Q44" i="32"/>
  <c r="R44" i="32" s="1"/>
  <c r="P51" i="32"/>
  <c r="P102" i="32"/>
  <c r="R102" i="32" s="1"/>
  <c r="P42" i="32"/>
  <c r="R42" i="32" s="1"/>
  <c r="Q51" i="32"/>
  <c r="Q102" i="32"/>
  <c r="Q42" i="32"/>
  <c r="P49" i="32"/>
  <c r="O102" i="32"/>
  <c r="Q49" i="32"/>
  <c r="P47" i="32"/>
  <c r="R47" i="32" s="1"/>
  <c r="P45" i="32"/>
  <c r="R45" i="32" s="1"/>
  <c r="J129" i="29"/>
  <c r="I129" i="29"/>
  <c r="J128" i="29"/>
  <c r="K128" i="29" s="1"/>
  <c r="I128" i="29"/>
  <c r="J127" i="29"/>
  <c r="I127" i="29"/>
  <c r="J126" i="29"/>
  <c r="I126" i="29"/>
  <c r="J125" i="29"/>
  <c r="I125" i="29"/>
  <c r="J124" i="29"/>
  <c r="I124" i="29"/>
  <c r="K124" i="29" s="1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K118" i="29" s="1"/>
  <c r="J117" i="29"/>
  <c r="I117" i="29"/>
  <c r="K117" i="29" s="1"/>
  <c r="J116" i="29"/>
  <c r="K116" i="29" s="1"/>
  <c r="I116" i="29"/>
  <c r="J115" i="29"/>
  <c r="I115" i="29"/>
  <c r="K115" i="29" s="1"/>
  <c r="J114" i="29"/>
  <c r="I114" i="29"/>
  <c r="J113" i="29"/>
  <c r="K113" i="29" s="1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K104" i="29" s="1"/>
  <c r="I104" i="29"/>
  <c r="J103" i="29"/>
  <c r="I103" i="29"/>
  <c r="K103" i="29" s="1"/>
  <c r="J102" i="29"/>
  <c r="I102" i="29"/>
  <c r="K102" i="29" s="1"/>
  <c r="J101" i="29"/>
  <c r="I101" i="29"/>
  <c r="J100" i="29"/>
  <c r="I100" i="29"/>
  <c r="J99" i="29"/>
  <c r="I99" i="29"/>
  <c r="K99" i="29" s="1"/>
  <c r="J98" i="29"/>
  <c r="K98" i="29" s="1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K87" i="29" s="1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K80" i="29" s="1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K73" i="29" s="1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K69" i="29" s="1"/>
  <c r="H69" i="29"/>
  <c r="J68" i="29"/>
  <c r="K68" i="29" s="1"/>
  <c r="I68" i="29"/>
  <c r="H68" i="29"/>
  <c r="J67" i="29"/>
  <c r="I67" i="29"/>
  <c r="K67" i="29" s="1"/>
  <c r="H67" i="29"/>
  <c r="J66" i="29"/>
  <c r="I66" i="29"/>
  <c r="H66" i="29"/>
  <c r="J65" i="29"/>
  <c r="K65" i="29" s="1"/>
  <c r="I65" i="29"/>
  <c r="H65" i="29"/>
  <c r="J64" i="29"/>
  <c r="I64" i="29"/>
  <c r="H64" i="29"/>
  <c r="J63" i="29"/>
  <c r="I63" i="29"/>
  <c r="H63" i="29"/>
  <c r="J62" i="29"/>
  <c r="K62" i="29" s="1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K51" i="29" s="1"/>
  <c r="H51" i="29"/>
  <c r="J50" i="29"/>
  <c r="K50" i="29" s="1"/>
  <c r="I50" i="29"/>
  <c r="H50" i="29"/>
  <c r="J49" i="29"/>
  <c r="I49" i="29"/>
  <c r="H49" i="29"/>
  <c r="J48" i="29"/>
  <c r="I48" i="29"/>
  <c r="H48" i="29"/>
  <c r="J47" i="29"/>
  <c r="K47" i="29" s="1"/>
  <c r="I47" i="29"/>
  <c r="H47" i="29"/>
  <c r="J46" i="29"/>
  <c r="I46" i="29"/>
  <c r="H46" i="29"/>
  <c r="J45" i="29"/>
  <c r="I45" i="29"/>
  <c r="K45" i="29" s="1"/>
  <c r="H45" i="29"/>
  <c r="J44" i="29"/>
  <c r="K44" i="29" s="1"/>
  <c r="I44" i="29"/>
  <c r="H44" i="29"/>
  <c r="J43" i="29"/>
  <c r="I43" i="29"/>
  <c r="H43" i="29"/>
  <c r="J42" i="29"/>
  <c r="I42" i="29"/>
  <c r="K42" i="29" s="1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K37" i="29" s="1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K32" i="29" s="1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K21" i="29" s="1"/>
  <c r="H21" i="29"/>
  <c r="J20" i="29"/>
  <c r="K20" i="29" s="1"/>
  <c r="I20" i="29"/>
  <c r="H20" i="29"/>
  <c r="J19" i="29"/>
  <c r="I19" i="29"/>
  <c r="K19" i="29" s="1"/>
  <c r="H19" i="29"/>
  <c r="J18" i="29"/>
  <c r="I18" i="29"/>
  <c r="H18" i="29"/>
  <c r="J17" i="29"/>
  <c r="K17" i="29" s="1"/>
  <c r="I17" i="29"/>
  <c r="H17" i="29"/>
  <c r="J16" i="29"/>
  <c r="I16" i="29"/>
  <c r="H16" i="29"/>
  <c r="J15" i="29"/>
  <c r="I15" i="29"/>
  <c r="H15" i="29"/>
  <c r="J14" i="29"/>
  <c r="K14" i="29" s="1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K3" i="29" s="1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K119" i="26" s="1"/>
  <c r="J118" i="26"/>
  <c r="I118" i="26"/>
  <c r="K118" i="26" s="1"/>
  <c r="J117" i="26"/>
  <c r="I117" i="26"/>
  <c r="J116" i="26"/>
  <c r="I116" i="26"/>
  <c r="K116" i="26" s="1"/>
  <c r="J115" i="26"/>
  <c r="I115" i="26"/>
  <c r="K115" i="26" s="1"/>
  <c r="J114" i="26"/>
  <c r="I114" i="26"/>
  <c r="J113" i="26"/>
  <c r="I113" i="26"/>
  <c r="K113" i="26" s="1"/>
  <c r="J112" i="26"/>
  <c r="I112" i="26"/>
  <c r="K112" i="26" s="1"/>
  <c r="J111" i="26"/>
  <c r="I111" i="26"/>
  <c r="K111" i="26" s="1"/>
  <c r="J110" i="26"/>
  <c r="I110" i="26"/>
  <c r="J109" i="26"/>
  <c r="I109" i="26"/>
  <c r="K109" i="26" s="1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K103" i="26" s="1"/>
  <c r="J102" i="26"/>
  <c r="I102" i="26"/>
  <c r="J101" i="26"/>
  <c r="I101" i="26"/>
  <c r="J100" i="26"/>
  <c r="I100" i="26"/>
  <c r="K100" i="26" s="1"/>
  <c r="J99" i="26"/>
  <c r="I99" i="26"/>
  <c r="K99" i="26" s="1"/>
  <c r="J98" i="26"/>
  <c r="I98" i="26"/>
  <c r="J97" i="26"/>
  <c r="I97" i="26"/>
  <c r="K97" i="26" s="1"/>
  <c r="J96" i="26"/>
  <c r="I96" i="26"/>
  <c r="K96" i="26" s="1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K86" i="26" s="1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K81" i="26" s="1"/>
  <c r="J80" i="26"/>
  <c r="I80" i="26"/>
  <c r="K80" i="26" s="1"/>
  <c r="J79" i="26"/>
  <c r="I79" i="26"/>
  <c r="K79" i="26" s="1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J70" i="26"/>
  <c r="I70" i="26"/>
  <c r="J69" i="26"/>
  <c r="I69" i="26"/>
  <c r="J68" i="26"/>
  <c r="I68" i="26"/>
  <c r="K68" i="26" s="1"/>
  <c r="H68" i="26"/>
  <c r="J67" i="26"/>
  <c r="I67" i="26"/>
  <c r="K67" i="26" s="1"/>
  <c r="H67" i="26"/>
  <c r="J66" i="26"/>
  <c r="I66" i="26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H62" i="26"/>
  <c r="J61" i="26"/>
  <c r="I61" i="26"/>
  <c r="K61" i="26" s="1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K55" i="26" s="1"/>
  <c r="H55" i="26"/>
  <c r="J54" i="26"/>
  <c r="I54" i="26"/>
  <c r="K54" i="26" s="1"/>
  <c r="H54" i="26"/>
  <c r="J53" i="26"/>
  <c r="I53" i="26"/>
  <c r="H53" i="26"/>
  <c r="J52" i="26"/>
  <c r="I52" i="26"/>
  <c r="K52" i="26" s="1"/>
  <c r="H52" i="26"/>
  <c r="J51" i="26"/>
  <c r="I51" i="26"/>
  <c r="K51" i="26" s="1"/>
  <c r="H51" i="26"/>
  <c r="J50" i="26"/>
  <c r="I50" i="26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K45" i="26" s="1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K39" i="26" s="1"/>
  <c r="H39" i="26"/>
  <c r="J38" i="26"/>
  <c r="I38" i="26"/>
  <c r="K38" i="26" s="1"/>
  <c r="H38" i="26"/>
  <c r="J37" i="26"/>
  <c r="I37" i="26"/>
  <c r="H37" i="26"/>
  <c r="J36" i="26"/>
  <c r="I36" i="26"/>
  <c r="K36" i="26" s="1"/>
  <c r="H36" i="26"/>
  <c r="J35" i="26"/>
  <c r="I35" i="26"/>
  <c r="K35" i="26" s="1"/>
  <c r="H35" i="26"/>
  <c r="J34" i="26"/>
  <c r="I34" i="26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K29" i="26" s="1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K23" i="26" s="1"/>
  <c r="H23" i="26"/>
  <c r="J22" i="26"/>
  <c r="I22" i="26"/>
  <c r="K22" i="26" s="1"/>
  <c r="H22" i="26"/>
  <c r="J21" i="26"/>
  <c r="I21" i="26"/>
  <c r="H21" i="26"/>
  <c r="J20" i="26"/>
  <c r="I20" i="26"/>
  <c r="K20" i="26" s="1"/>
  <c r="H20" i="26"/>
  <c r="J19" i="26"/>
  <c r="I19" i="26"/>
  <c r="K19" i="26" s="1"/>
  <c r="H19" i="26"/>
  <c r="J18" i="26"/>
  <c r="I18" i="26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K13" i="26" s="1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K7" i="26" s="1"/>
  <c r="H7" i="26"/>
  <c r="J6" i="26"/>
  <c r="I6" i="26"/>
  <c r="K6" i="26" s="1"/>
  <c r="H6" i="26"/>
  <c r="J5" i="26"/>
  <c r="I5" i="26"/>
  <c r="H5" i="26"/>
  <c r="J4" i="26"/>
  <c r="I4" i="26"/>
  <c r="K4" i="26" s="1"/>
  <c r="H4" i="26"/>
  <c r="J3" i="26"/>
  <c r="I3" i="26"/>
  <c r="K3" i="26" s="1"/>
  <c r="H3" i="26"/>
  <c r="J122" i="28"/>
  <c r="I122" i="28"/>
  <c r="J121" i="28"/>
  <c r="I121" i="28"/>
  <c r="J120" i="28"/>
  <c r="I120" i="28"/>
  <c r="K120" i="28" s="1"/>
  <c r="J119" i="28"/>
  <c r="I119" i="28"/>
  <c r="K119" i="28" s="1"/>
  <c r="J118" i="28"/>
  <c r="I118" i="28"/>
  <c r="J117" i="28"/>
  <c r="I117" i="28"/>
  <c r="K117" i="28" s="1"/>
  <c r="J116" i="28"/>
  <c r="I116" i="28"/>
  <c r="J115" i="28"/>
  <c r="I115" i="28"/>
  <c r="J114" i="28"/>
  <c r="I114" i="28"/>
  <c r="J113" i="28"/>
  <c r="I113" i="28"/>
  <c r="J112" i="28"/>
  <c r="I112" i="28"/>
  <c r="K112" i="28" s="1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K104" i="28" s="1"/>
  <c r="J103" i="28"/>
  <c r="I103" i="28"/>
  <c r="K103" i="28" s="1"/>
  <c r="J102" i="28"/>
  <c r="I102" i="28"/>
  <c r="J101" i="28"/>
  <c r="I101" i="28"/>
  <c r="K101" i="28" s="1"/>
  <c r="J100" i="28"/>
  <c r="I100" i="28"/>
  <c r="J99" i="28"/>
  <c r="I99" i="28"/>
  <c r="J98" i="28"/>
  <c r="I98" i="28"/>
  <c r="J97" i="28"/>
  <c r="I97" i="28"/>
  <c r="J96" i="28"/>
  <c r="I96" i="28"/>
  <c r="K96" i="28" s="1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K173" i="28" s="1"/>
  <c r="J172" i="28"/>
  <c r="I172" i="28"/>
  <c r="K172" i="28" s="1"/>
  <c r="J171" i="28"/>
  <c r="I171" i="28"/>
  <c r="J170" i="28"/>
  <c r="I170" i="28"/>
  <c r="K170" i="28" s="1"/>
  <c r="J169" i="28"/>
  <c r="I169" i="28"/>
  <c r="K169" i="28" s="1"/>
  <c r="J168" i="28"/>
  <c r="I168" i="28"/>
  <c r="J167" i="28"/>
  <c r="I167" i="28"/>
  <c r="K167" i="28" s="1"/>
  <c r="J166" i="28"/>
  <c r="I166" i="28"/>
  <c r="K166" i="28" s="1"/>
  <c r="J165" i="28"/>
  <c r="I165" i="28"/>
  <c r="K165" i="28" s="1"/>
  <c r="J164" i="28"/>
  <c r="I164" i="28"/>
  <c r="J163" i="28"/>
  <c r="I163" i="28"/>
  <c r="K163" i="28" s="1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K157" i="28" s="1"/>
  <c r="J156" i="28"/>
  <c r="I156" i="28"/>
  <c r="K156" i="28" s="1"/>
  <c r="J155" i="28"/>
  <c r="I155" i="28"/>
  <c r="J154" i="28"/>
  <c r="I154" i="28"/>
  <c r="K154" i="28" s="1"/>
  <c r="J153" i="28"/>
  <c r="I153" i="28"/>
  <c r="K153" i="28" s="1"/>
  <c r="J152" i="28"/>
  <c r="I152" i="28"/>
  <c r="J151" i="28"/>
  <c r="I151" i="28"/>
  <c r="K151" i="28" s="1"/>
  <c r="J150" i="28"/>
  <c r="I150" i="28"/>
  <c r="K150" i="28" s="1"/>
  <c r="J149" i="28"/>
  <c r="I149" i="28"/>
  <c r="K149" i="28" s="1"/>
  <c r="J148" i="28"/>
  <c r="I148" i="28"/>
  <c r="J147" i="28"/>
  <c r="I147" i="28"/>
  <c r="K147" i="28" s="1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K141" i="28" s="1"/>
  <c r="J140" i="28"/>
  <c r="I140" i="28"/>
  <c r="J139" i="28"/>
  <c r="I139" i="28"/>
  <c r="J138" i="28"/>
  <c r="I138" i="28"/>
  <c r="K138" i="28" s="1"/>
  <c r="J137" i="28"/>
  <c r="I137" i="28"/>
  <c r="K137" i="28" s="1"/>
  <c r="J136" i="28"/>
  <c r="I136" i="28"/>
  <c r="J135" i="28"/>
  <c r="I135" i="28"/>
  <c r="K135" i="28" s="1"/>
  <c r="J134" i="28"/>
  <c r="I134" i="28"/>
  <c r="K134" i="28" s="1"/>
  <c r="J133" i="28"/>
  <c r="I133" i="28"/>
  <c r="K133" i="28" s="1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K125" i="28" s="1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K67" i="28" s="1"/>
  <c r="H67" i="28"/>
  <c r="J66" i="28"/>
  <c r="I66" i="28"/>
  <c r="H66" i="28"/>
  <c r="J65" i="28"/>
  <c r="I65" i="28"/>
  <c r="H65" i="28"/>
  <c r="J64" i="28"/>
  <c r="I64" i="28"/>
  <c r="K64" i="28" s="1"/>
  <c r="H64" i="28"/>
  <c r="J63" i="28"/>
  <c r="I63" i="28"/>
  <c r="K63" i="28" s="1"/>
  <c r="H63" i="28"/>
  <c r="J62" i="28"/>
  <c r="I62" i="28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K51" i="28" s="1"/>
  <c r="H51" i="28"/>
  <c r="J50" i="28"/>
  <c r="I50" i="28"/>
  <c r="H50" i="28"/>
  <c r="J49" i="28"/>
  <c r="I49" i="28"/>
  <c r="H49" i="28"/>
  <c r="J48" i="28"/>
  <c r="I48" i="28"/>
  <c r="K48" i="28" s="1"/>
  <c r="H48" i="28"/>
  <c r="J47" i="28"/>
  <c r="I47" i="28"/>
  <c r="K47" i="28" s="1"/>
  <c r="H47" i="28"/>
  <c r="J46" i="28"/>
  <c r="I46" i="28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K35" i="28" s="1"/>
  <c r="H35" i="28"/>
  <c r="J34" i="28"/>
  <c r="I34" i="28"/>
  <c r="H34" i="28"/>
  <c r="J33" i="28"/>
  <c r="I33" i="28"/>
  <c r="H33" i="28"/>
  <c r="J32" i="28"/>
  <c r="I32" i="28"/>
  <c r="K32" i="28" s="1"/>
  <c r="H32" i="28"/>
  <c r="J31" i="28"/>
  <c r="I31" i="28"/>
  <c r="K31" i="28" s="1"/>
  <c r="H31" i="28"/>
  <c r="J30" i="28"/>
  <c r="I30" i="28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K19" i="28" s="1"/>
  <c r="H19" i="28"/>
  <c r="J18" i="28"/>
  <c r="I18" i="28"/>
  <c r="H18" i="28"/>
  <c r="J17" i="28"/>
  <c r="I17" i="28"/>
  <c r="H17" i="28"/>
  <c r="J16" i="28"/>
  <c r="I16" i="28"/>
  <c r="K16" i="28" s="1"/>
  <c r="H16" i="28"/>
  <c r="J15" i="28"/>
  <c r="I15" i="28"/>
  <c r="K15" i="28" s="1"/>
  <c r="H15" i="28"/>
  <c r="J14" i="28"/>
  <c r="I14" i="28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K3" i="28" s="1"/>
  <c r="H3" i="28"/>
  <c r="J129" i="27"/>
  <c r="I129" i="27"/>
  <c r="J128" i="27"/>
  <c r="I128" i="27"/>
  <c r="J127" i="27"/>
  <c r="I127" i="27"/>
  <c r="K127" i="27" s="1"/>
  <c r="J126" i="27"/>
  <c r="I126" i="27"/>
  <c r="K126" i="27" s="1"/>
  <c r="J125" i="27"/>
  <c r="I125" i="27"/>
  <c r="J124" i="27"/>
  <c r="I124" i="27"/>
  <c r="K124" i="27" s="1"/>
  <c r="J123" i="27"/>
  <c r="I123" i="27"/>
  <c r="K123" i="27" s="1"/>
  <c r="J122" i="27"/>
  <c r="I122" i="27"/>
  <c r="K122" i="27" s="1"/>
  <c r="J121" i="27"/>
  <c r="I121" i="27"/>
  <c r="J120" i="27"/>
  <c r="I120" i="27"/>
  <c r="K120" i="27" s="1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K114" i="27" s="1"/>
  <c r="J113" i="27"/>
  <c r="I113" i="27"/>
  <c r="J112" i="27"/>
  <c r="I112" i="27"/>
  <c r="J111" i="27"/>
  <c r="I111" i="27"/>
  <c r="K111" i="27" s="1"/>
  <c r="J110" i="27"/>
  <c r="I110" i="27"/>
  <c r="K110" i="27" s="1"/>
  <c r="J109" i="27"/>
  <c r="I109" i="27"/>
  <c r="J108" i="27"/>
  <c r="I108" i="27"/>
  <c r="K108" i="27" s="1"/>
  <c r="J107" i="27"/>
  <c r="I107" i="27"/>
  <c r="K107" i="27" s="1"/>
  <c r="J106" i="27"/>
  <c r="I106" i="27"/>
  <c r="K106" i="27" s="1"/>
  <c r="J105" i="27"/>
  <c r="I105" i="27"/>
  <c r="J104" i="27"/>
  <c r="I104" i="27"/>
  <c r="K104" i="27" s="1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K97" i="27" s="1"/>
  <c r="J96" i="27"/>
  <c r="I96" i="27"/>
  <c r="J95" i="27"/>
  <c r="I95" i="27"/>
  <c r="K95" i="27" s="1"/>
  <c r="J94" i="27"/>
  <c r="I94" i="27"/>
  <c r="K94" i="27" s="1"/>
  <c r="J93" i="27"/>
  <c r="I93" i="27"/>
  <c r="J92" i="27"/>
  <c r="I92" i="27"/>
  <c r="K92" i="27" s="1"/>
  <c r="J91" i="27"/>
  <c r="I91" i="27"/>
  <c r="K91" i="27" s="1"/>
  <c r="J90" i="27"/>
  <c r="I90" i="27"/>
  <c r="K90" i="27" s="1"/>
  <c r="J89" i="27"/>
  <c r="I89" i="27"/>
  <c r="J88" i="27"/>
  <c r="I88" i="27"/>
  <c r="K88" i="27" s="1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K79" i="27" s="1"/>
  <c r="J78" i="27"/>
  <c r="I78" i="27"/>
  <c r="K78" i="27" s="1"/>
  <c r="J77" i="27"/>
  <c r="I77" i="27"/>
  <c r="J76" i="27"/>
  <c r="I76" i="27"/>
  <c r="K76" i="27" s="1"/>
  <c r="J75" i="27"/>
  <c r="I75" i="27"/>
  <c r="K75" i="27" s="1"/>
  <c r="J74" i="27"/>
  <c r="I74" i="27"/>
  <c r="K74" i="27" s="1"/>
  <c r="J73" i="27"/>
  <c r="I73" i="27"/>
  <c r="J72" i="27"/>
  <c r="I72" i="27"/>
  <c r="K72" i="27" s="1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K66" i="27" s="1"/>
  <c r="H66" i="27"/>
  <c r="J65" i="27"/>
  <c r="I65" i="27"/>
  <c r="K65" i="27" s="1"/>
  <c r="H65" i="27"/>
  <c r="J64" i="27"/>
  <c r="I64" i="27"/>
  <c r="H64" i="27"/>
  <c r="J63" i="27"/>
  <c r="I63" i="27"/>
  <c r="K63" i="27" s="1"/>
  <c r="H63" i="27"/>
  <c r="J62" i="27"/>
  <c r="I62" i="27"/>
  <c r="K62" i="27" s="1"/>
  <c r="H62" i="27"/>
  <c r="J61" i="27"/>
  <c r="I61" i="27"/>
  <c r="H61" i="27"/>
  <c r="J60" i="27"/>
  <c r="I60" i="27"/>
  <c r="K60" i="27" s="1"/>
  <c r="H60" i="27"/>
  <c r="J59" i="27"/>
  <c r="I59" i="27"/>
  <c r="K59" i="27" s="1"/>
  <c r="H59" i="27"/>
  <c r="J58" i="27"/>
  <c r="I58" i="27"/>
  <c r="K58" i="27" s="1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K50" i="27" s="1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K46" i="27" s="1"/>
  <c r="H46" i="27"/>
  <c r="J45" i="27"/>
  <c r="I45" i="27"/>
  <c r="H45" i="27"/>
  <c r="J44" i="27"/>
  <c r="I44" i="27"/>
  <c r="K44" i="27" s="1"/>
  <c r="H44" i="27"/>
  <c r="J43" i="27"/>
  <c r="I43" i="27"/>
  <c r="K43" i="27" s="1"/>
  <c r="H43" i="27"/>
  <c r="J42" i="27"/>
  <c r="I42" i="27"/>
  <c r="K42" i="27" s="1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K34" i="27" s="1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K30" i="27" s="1"/>
  <c r="H30" i="27"/>
  <c r="J29" i="27"/>
  <c r="I29" i="27"/>
  <c r="H29" i="27"/>
  <c r="J28" i="27"/>
  <c r="I28" i="27"/>
  <c r="K28" i="27" s="1"/>
  <c r="H28" i="27"/>
  <c r="J27" i="27"/>
  <c r="I27" i="27"/>
  <c r="K27" i="27" s="1"/>
  <c r="H27" i="27"/>
  <c r="J26" i="27"/>
  <c r="I26" i="27"/>
  <c r="K26" i="27" s="1"/>
  <c r="H26" i="27"/>
  <c r="J25" i="27"/>
  <c r="I25" i="27"/>
  <c r="H25" i="27"/>
  <c r="J24" i="27"/>
  <c r="I24" i="27"/>
  <c r="K24" i="27" s="1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K18" i="27" s="1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K14" i="27" s="1"/>
  <c r="H14" i="27"/>
  <c r="J13" i="27"/>
  <c r="I13" i="27"/>
  <c r="H13" i="27"/>
  <c r="J12" i="27"/>
  <c r="I12" i="27"/>
  <c r="K12" i="27" s="1"/>
  <c r="H12" i="27"/>
  <c r="J11" i="27"/>
  <c r="I11" i="27"/>
  <c r="K11" i="27" s="1"/>
  <c r="H11" i="27"/>
  <c r="J10" i="27"/>
  <c r="I10" i="27"/>
  <c r="K10" i="27" s="1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K164" i="25" s="1"/>
  <c r="J163" i="25"/>
  <c r="I163" i="25"/>
  <c r="J162" i="25"/>
  <c r="I162" i="25"/>
  <c r="J161" i="25"/>
  <c r="I161" i="25"/>
  <c r="J160" i="25"/>
  <c r="I160" i="25"/>
  <c r="K160" i="25" s="1"/>
  <c r="J159" i="25"/>
  <c r="I159" i="25"/>
  <c r="J158" i="25"/>
  <c r="I158" i="25"/>
  <c r="K158" i="25" s="1"/>
  <c r="J157" i="25"/>
  <c r="I157" i="25"/>
  <c r="K157" i="25" s="1"/>
  <c r="J156" i="25"/>
  <c r="I156" i="25"/>
  <c r="K156" i="25" s="1"/>
  <c r="J155" i="25"/>
  <c r="I155" i="25"/>
  <c r="J154" i="25"/>
  <c r="I154" i="25"/>
  <c r="K154" i="25" s="1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K148" i="25" s="1"/>
  <c r="J147" i="25"/>
  <c r="I147" i="25"/>
  <c r="J146" i="25"/>
  <c r="I146" i="25"/>
  <c r="J145" i="25"/>
  <c r="I145" i="25"/>
  <c r="J144" i="25"/>
  <c r="I144" i="25"/>
  <c r="K144" i="25" s="1"/>
  <c r="J143" i="25"/>
  <c r="I143" i="25"/>
  <c r="J142" i="25"/>
  <c r="I142" i="25"/>
  <c r="K142" i="25" s="1"/>
  <c r="J141" i="25"/>
  <c r="I141" i="25"/>
  <c r="K141" i="25" s="1"/>
  <c r="J140" i="25"/>
  <c r="I140" i="25"/>
  <c r="K140" i="25" s="1"/>
  <c r="J139" i="25"/>
  <c r="I139" i="25"/>
  <c r="J138" i="25"/>
  <c r="I138" i="25"/>
  <c r="K138" i="25" s="1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K132" i="25" s="1"/>
  <c r="J131" i="25"/>
  <c r="I131" i="25"/>
  <c r="K131" i="25" s="1"/>
  <c r="J130" i="25"/>
  <c r="I130" i="25"/>
  <c r="J129" i="25"/>
  <c r="I129" i="25"/>
  <c r="K129" i="25" s="1"/>
  <c r="J128" i="25"/>
  <c r="I128" i="25"/>
  <c r="K128" i="25" s="1"/>
  <c r="J127" i="25"/>
  <c r="I127" i="25"/>
  <c r="J126" i="25"/>
  <c r="I126" i="25"/>
  <c r="K126" i="25" s="1"/>
  <c r="J125" i="25"/>
  <c r="I125" i="25"/>
  <c r="K125" i="25" s="1"/>
  <c r="J124" i="25"/>
  <c r="I124" i="25"/>
  <c r="K124" i="25" s="1"/>
  <c r="J123" i="25"/>
  <c r="I123" i="25"/>
  <c r="J122" i="25"/>
  <c r="I122" i="25"/>
  <c r="K122" i="25" s="1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K116" i="25" s="1"/>
  <c r="J115" i="25"/>
  <c r="I115" i="25"/>
  <c r="K115" i="25" s="1"/>
  <c r="J114" i="25"/>
  <c r="I114" i="25"/>
  <c r="J113" i="25"/>
  <c r="I113" i="25"/>
  <c r="J112" i="25"/>
  <c r="I112" i="25"/>
  <c r="K112" i="25" s="1"/>
  <c r="J111" i="25"/>
  <c r="I111" i="25"/>
  <c r="J110" i="25"/>
  <c r="I110" i="25"/>
  <c r="K110" i="25" s="1"/>
  <c r="J109" i="25"/>
  <c r="I109" i="25"/>
  <c r="K109" i="25" s="1"/>
  <c r="J108" i="25"/>
  <c r="I108" i="25"/>
  <c r="K108" i="25" s="1"/>
  <c r="J107" i="25"/>
  <c r="I107" i="25"/>
  <c r="J106" i="25"/>
  <c r="I106" i="25"/>
  <c r="K106" i="25" s="1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K100" i="25" s="1"/>
  <c r="J99" i="25"/>
  <c r="I99" i="25"/>
  <c r="K99" i="25" s="1"/>
  <c r="J98" i="25"/>
  <c r="I98" i="25"/>
  <c r="J97" i="25"/>
  <c r="I97" i="25"/>
  <c r="J96" i="25"/>
  <c r="I96" i="25"/>
  <c r="K96" i="25" s="1"/>
  <c r="J95" i="25"/>
  <c r="I95" i="25"/>
  <c r="J94" i="25"/>
  <c r="I94" i="25"/>
  <c r="K94" i="25" s="1"/>
  <c r="J93" i="25"/>
  <c r="I93" i="25"/>
  <c r="K93" i="25" s="1"/>
  <c r="H93" i="25"/>
  <c r="J92" i="25"/>
  <c r="I92" i="25"/>
  <c r="K92" i="25" s="1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K84" i="25" s="1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K76" i="25" s="1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K68" i="25" s="1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K60" i="25" s="1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K52" i="25" s="1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K48" i="25" s="1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K44" i="25" s="1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K36" i="25" s="1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K28" i="25" s="1"/>
  <c r="H28" i="25"/>
  <c r="J27" i="25"/>
  <c r="I27" i="25"/>
  <c r="H27" i="25"/>
  <c r="J26" i="25"/>
  <c r="I26" i="25"/>
  <c r="K26" i="25" s="1"/>
  <c r="H26" i="25"/>
  <c r="J25" i="25"/>
  <c r="I25" i="25"/>
  <c r="H25" i="25"/>
  <c r="J24" i="25"/>
  <c r="I24" i="25"/>
  <c r="H24" i="25"/>
  <c r="J23" i="25"/>
  <c r="I23" i="25"/>
  <c r="H23" i="25"/>
  <c r="J22" i="25"/>
  <c r="I22" i="25"/>
  <c r="K22" i="25" s="1"/>
  <c r="H22" i="25"/>
  <c r="J21" i="25"/>
  <c r="I21" i="25"/>
  <c r="H21" i="25"/>
  <c r="J20" i="25"/>
  <c r="I20" i="25"/>
  <c r="K20" i="25" s="1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K12" i="25" s="1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K6" i="25" s="1"/>
  <c r="H6" i="25"/>
  <c r="J5" i="25"/>
  <c r="I5" i="25"/>
  <c r="H5" i="25"/>
  <c r="J4" i="25"/>
  <c r="I4" i="25"/>
  <c r="K4" i="25" s="1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K136" i="24" s="1"/>
  <c r="J135" i="24"/>
  <c r="I135" i="24"/>
  <c r="J134" i="24"/>
  <c r="I134" i="24"/>
  <c r="K134" i="24" s="1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K128" i="24" s="1"/>
  <c r="J127" i="24"/>
  <c r="I127" i="24"/>
  <c r="J126" i="24"/>
  <c r="I126" i="24"/>
  <c r="K126" i="24" s="1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K120" i="24" s="1"/>
  <c r="J119" i="24"/>
  <c r="I119" i="24"/>
  <c r="J118" i="24"/>
  <c r="I118" i="24"/>
  <c r="K118" i="24" s="1"/>
  <c r="J117" i="24"/>
  <c r="I117" i="24"/>
  <c r="J116" i="24"/>
  <c r="I116" i="24"/>
  <c r="K116" i="24" s="1"/>
  <c r="J115" i="24"/>
  <c r="I115" i="24"/>
  <c r="J114" i="24"/>
  <c r="I114" i="24"/>
  <c r="J113" i="24"/>
  <c r="I113" i="24"/>
  <c r="J112" i="24"/>
  <c r="I112" i="24"/>
  <c r="K112" i="24" s="1"/>
  <c r="J111" i="24"/>
  <c r="I111" i="24"/>
  <c r="J110" i="24"/>
  <c r="I110" i="24"/>
  <c r="K110" i="24" s="1"/>
  <c r="J109" i="24"/>
  <c r="I109" i="24"/>
  <c r="J108" i="24"/>
  <c r="I108" i="24"/>
  <c r="K108" i="24" s="1"/>
  <c r="J107" i="24"/>
  <c r="I107" i="24"/>
  <c r="J106" i="24"/>
  <c r="I106" i="24"/>
  <c r="J105" i="24"/>
  <c r="I105" i="24"/>
  <c r="J104" i="24"/>
  <c r="I104" i="24"/>
  <c r="K104" i="24" s="1"/>
  <c r="J103" i="24"/>
  <c r="I103" i="24"/>
  <c r="J102" i="24"/>
  <c r="I102" i="24"/>
  <c r="K102" i="24" s="1"/>
  <c r="J101" i="24"/>
  <c r="I101" i="24"/>
  <c r="J100" i="24"/>
  <c r="I100" i="24"/>
  <c r="K100" i="24" s="1"/>
  <c r="J99" i="24"/>
  <c r="I99" i="24"/>
  <c r="J98" i="24"/>
  <c r="I98" i="24"/>
  <c r="J97" i="24"/>
  <c r="I97" i="24"/>
  <c r="J96" i="24"/>
  <c r="I96" i="24"/>
  <c r="K96" i="24" s="1"/>
  <c r="J95" i="24"/>
  <c r="I95" i="24"/>
  <c r="J94" i="24"/>
  <c r="I94" i="24"/>
  <c r="K94" i="24" s="1"/>
  <c r="J93" i="24"/>
  <c r="I93" i="24"/>
  <c r="J92" i="24"/>
  <c r="I92" i="24"/>
  <c r="K92" i="24" s="1"/>
  <c r="J91" i="24"/>
  <c r="I91" i="24"/>
  <c r="J90" i="24"/>
  <c r="I90" i="24"/>
  <c r="J89" i="24"/>
  <c r="I89" i="24"/>
  <c r="J88" i="24"/>
  <c r="I88" i="24"/>
  <c r="K88" i="24" s="1"/>
  <c r="J87" i="24"/>
  <c r="I87" i="24"/>
  <c r="J86" i="24"/>
  <c r="I86" i="24"/>
  <c r="K86" i="24" s="1"/>
  <c r="J85" i="24"/>
  <c r="I85" i="24"/>
  <c r="J84" i="24"/>
  <c r="I84" i="24"/>
  <c r="K84" i="24" s="1"/>
  <c r="J83" i="24"/>
  <c r="I83" i="24"/>
  <c r="J82" i="24"/>
  <c r="I82" i="24"/>
  <c r="J81" i="24"/>
  <c r="I81" i="24"/>
  <c r="J80" i="24"/>
  <c r="I80" i="24"/>
  <c r="K80" i="24" s="1"/>
  <c r="J79" i="24"/>
  <c r="I79" i="24"/>
  <c r="J78" i="24"/>
  <c r="I78" i="24"/>
  <c r="K78" i="24" s="1"/>
  <c r="J77" i="24"/>
  <c r="I77" i="24"/>
  <c r="J76" i="24"/>
  <c r="I76" i="24"/>
  <c r="K76" i="24" s="1"/>
  <c r="J75" i="24"/>
  <c r="I75" i="24"/>
  <c r="J74" i="24"/>
  <c r="I74" i="24"/>
  <c r="J73" i="24"/>
  <c r="I73" i="24"/>
  <c r="J72" i="24"/>
  <c r="I72" i="24"/>
  <c r="K72" i="24" s="1"/>
  <c r="J71" i="24"/>
  <c r="I71" i="24"/>
  <c r="J70" i="24"/>
  <c r="I70" i="24"/>
  <c r="K70" i="24" s="1"/>
  <c r="J69" i="24"/>
  <c r="I69" i="24"/>
  <c r="J68" i="24"/>
  <c r="I68" i="24"/>
  <c r="K68" i="24" s="1"/>
  <c r="J67" i="24"/>
  <c r="I67" i="24"/>
  <c r="J66" i="24"/>
  <c r="I66" i="24"/>
  <c r="J65" i="24"/>
  <c r="I65" i="24"/>
  <c r="J64" i="24"/>
  <c r="I64" i="24"/>
  <c r="K64" i="24" s="1"/>
  <c r="J63" i="24"/>
  <c r="I63" i="24"/>
  <c r="J62" i="24"/>
  <c r="I62" i="24"/>
  <c r="K62" i="24" s="1"/>
  <c r="J61" i="24"/>
  <c r="I61" i="24"/>
  <c r="J60" i="24"/>
  <c r="I60" i="24"/>
  <c r="K60" i="24" s="1"/>
  <c r="J59" i="24"/>
  <c r="I59" i="24"/>
  <c r="J58" i="24"/>
  <c r="I58" i="24"/>
  <c r="J57" i="24"/>
  <c r="I57" i="24"/>
  <c r="J56" i="24"/>
  <c r="I56" i="24"/>
  <c r="K56" i="24" s="1"/>
  <c r="J55" i="24"/>
  <c r="I55" i="24"/>
  <c r="J54" i="24"/>
  <c r="I54" i="24"/>
  <c r="K54" i="24" s="1"/>
  <c r="J53" i="24"/>
  <c r="I53" i="24"/>
  <c r="J52" i="24"/>
  <c r="I52" i="24"/>
  <c r="K52" i="24" s="1"/>
  <c r="J51" i="24"/>
  <c r="I51" i="24"/>
  <c r="J50" i="24"/>
  <c r="I50" i="24"/>
  <c r="J49" i="24"/>
  <c r="I49" i="24"/>
  <c r="J48" i="24"/>
  <c r="I48" i="24"/>
  <c r="K48" i="24" s="1"/>
  <c r="J47" i="24"/>
  <c r="I47" i="24"/>
  <c r="J46" i="24"/>
  <c r="I46" i="24"/>
  <c r="K46" i="24" s="1"/>
  <c r="J45" i="24"/>
  <c r="I45" i="24"/>
  <c r="J44" i="24"/>
  <c r="I44" i="24"/>
  <c r="K44" i="24" s="1"/>
  <c r="J43" i="24"/>
  <c r="I43" i="24"/>
  <c r="J42" i="24"/>
  <c r="I42" i="24"/>
  <c r="J41" i="24"/>
  <c r="I41" i="24"/>
  <c r="J40" i="24"/>
  <c r="I40" i="24"/>
  <c r="K40" i="24" s="1"/>
  <c r="J39" i="24"/>
  <c r="I39" i="24"/>
  <c r="J38" i="24"/>
  <c r="I38" i="24"/>
  <c r="K38" i="24" s="1"/>
  <c r="J37" i="24"/>
  <c r="I37" i="24"/>
  <c r="J36" i="24"/>
  <c r="I36" i="24"/>
  <c r="K36" i="24" s="1"/>
  <c r="J35" i="24"/>
  <c r="I35" i="24"/>
  <c r="J34" i="24"/>
  <c r="I34" i="24"/>
  <c r="J33" i="24"/>
  <c r="I33" i="24"/>
  <c r="J32" i="24"/>
  <c r="I32" i="24"/>
  <c r="K32" i="24" s="1"/>
  <c r="J31" i="24"/>
  <c r="I31" i="24"/>
  <c r="J30" i="24"/>
  <c r="I30" i="24"/>
  <c r="K30" i="24" s="1"/>
  <c r="J29" i="24"/>
  <c r="I29" i="24"/>
  <c r="J28" i="24"/>
  <c r="I28" i="24"/>
  <c r="K28" i="24" s="1"/>
  <c r="J27" i="24"/>
  <c r="I27" i="24"/>
  <c r="J26" i="24"/>
  <c r="I26" i="24"/>
  <c r="J25" i="24"/>
  <c r="I25" i="24"/>
  <c r="J24" i="24"/>
  <c r="I24" i="24"/>
  <c r="K24" i="24" s="1"/>
  <c r="J23" i="24"/>
  <c r="I23" i="24"/>
  <c r="J22" i="24"/>
  <c r="I22" i="24"/>
  <c r="K22" i="24" s="1"/>
  <c r="J21" i="24"/>
  <c r="I21" i="24"/>
  <c r="J20" i="24"/>
  <c r="I20" i="24"/>
  <c r="K20" i="24" s="1"/>
  <c r="J19" i="24"/>
  <c r="I19" i="24"/>
  <c r="J18" i="24"/>
  <c r="I18" i="24"/>
  <c r="J17" i="24"/>
  <c r="I17" i="24"/>
  <c r="J16" i="24"/>
  <c r="I16" i="24"/>
  <c r="K16" i="24" s="1"/>
  <c r="J15" i="24"/>
  <c r="I15" i="24"/>
  <c r="K15" i="24" s="1"/>
  <c r="J14" i="24"/>
  <c r="I14" i="24"/>
  <c r="K14" i="24" s="1"/>
  <c r="J13" i="24"/>
  <c r="I13" i="24"/>
  <c r="J12" i="24"/>
  <c r="I12" i="24"/>
  <c r="K12" i="24" s="1"/>
  <c r="J11" i="24"/>
  <c r="I11" i="24"/>
  <c r="J10" i="24"/>
  <c r="I10" i="24"/>
  <c r="J9" i="24"/>
  <c r="I9" i="24"/>
  <c r="J8" i="24"/>
  <c r="I8" i="24"/>
  <c r="K8" i="24" s="1"/>
  <c r="J7" i="24"/>
  <c r="I7" i="24"/>
  <c r="K7" i="24" s="1"/>
  <c r="J6" i="24"/>
  <c r="I6" i="24"/>
  <c r="K6" i="24" s="1"/>
  <c r="J5" i="24"/>
  <c r="I5" i="24"/>
  <c r="J4" i="24"/>
  <c r="I4" i="24"/>
  <c r="K4" i="24" s="1"/>
  <c r="K3" i="24"/>
  <c r="J3" i="24"/>
  <c r="I3" i="24"/>
  <c r="R51" i="32" l="1"/>
  <c r="P104" i="32"/>
  <c r="Q104" i="32"/>
  <c r="A105" i="32"/>
  <c r="O104" i="32"/>
  <c r="A39" i="32"/>
  <c r="Q40" i="32"/>
  <c r="P40" i="32"/>
  <c r="R40" i="32" s="1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54" i="23"/>
  <c r="J153" i="23"/>
  <c r="J148" i="23"/>
  <c r="J143" i="23"/>
  <c r="J141" i="23"/>
  <c r="J140" i="23"/>
  <c r="J139" i="23"/>
  <c r="J138" i="23"/>
  <c r="J132" i="23"/>
  <c r="J127" i="23"/>
  <c r="J125" i="23"/>
  <c r="J124" i="23"/>
  <c r="J123" i="23"/>
  <c r="J122" i="23"/>
  <c r="J121" i="23"/>
  <c r="J116" i="23"/>
  <c r="J111" i="23"/>
  <c r="J109" i="23"/>
  <c r="J108" i="23"/>
  <c r="J107" i="23"/>
  <c r="J106" i="23"/>
  <c r="J105" i="23"/>
  <c r="J100" i="23"/>
  <c r="J95" i="23"/>
  <c r="J93" i="23"/>
  <c r="J92" i="23"/>
  <c r="J91" i="23"/>
  <c r="J90" i="23"/>
  <c r="J89" i="23"/>
  <c r="J84" i="23"/>
  <c r="J77" i="23"/>
  <c r="J76" i="23"/>
  <c r="J75" i="23"/>
  <c r="J74" i="23"/>
  <c r="J73" i="23"/>
  <c r="J68" i="23"/>
  <c r="J61" i="23"/>
  <c r="J60" i="23"/>
  <c r="J59" i="23"/>
  <c r="J58" i="23"/>
  <c r="J57" i="23"/>
  <c r="J52" i="23"/>
  <c r="J45" i="23"/>
  <c r="J44" i="23"/>
  <c r="J43" i="23"/>
  <c r="J42" i="23"/>
  <c r="J41" i="23"/>
  <c r="J36" i="23"/>
  <c r="J29" i="23"/>
  <c r="J28" i="23"/>
  <c r="J27" i="23"/>
  <c r="J26" i="23"/>
  <c r="J25" i="23"/>
  <c r="J20" i="23"/>
  <c r="J13" i="23"/>
  <c r="J12" i="23"/>
  <c r="J11" i="23"/>
  <c r="J10" i="23"/>
  <c r="J9" i="23"/>
  <c r="J4" i="23"/>
  <c r="I154" i="23"/>
  <c r="H154" i="23"/>
  <c r="I153" i="23"/>
  <c r="H153" i="23"/>
  <c r="I152" i="23"/>
  <c r="H152" i="23"/>
  <c r="J152" i="23" s="1"/>
  <c r="I151" i="23"/>
  <c r="H151" i="23"/>
  <c r="J151" i="23" s="1"/>
  <c r="I150" i="23"/>
  <c r="J150" i="23" s="1"/>
  <c r="H150" i="23"/>
  <c r="I149" i="23"/>
  <c r="H149" i="23"/>
  <c r="J149" i="23" s="1"/>
  <c r="I148" i="23"/>
  <c r="H148" i="23"/>
  <c r="I147" i="23"/>
  <c r="H147" i="23"/>
  <c r="J147" i="23" s="1"/>
  <c r="I146" i="23"/>
  <c r="H146" i="23"/>
  <c r="J146" i="23" s="1"/>
  <c r="I145" i="23"/>
  <c r="H145" i="23"/>
  <c r="J145" i="23" s="1"/>
  <c r="I144" i="23"/>
  <c r="H144" i="23"/>
  <c r="J144" i="23" s="1"/>
  <c r="I143" i="23"/>
  <c r="H143" i="23"/>
  <c r="I142" i="23"/>
  <c r="H142" i="23"/>
  <c r="J142" i="23" s="1"/>
  <c r="I141" i="23"/>
  <c r="H141" i="23"/>
  <c r="I140" i="23"/>
  <c r="H140" i="23"/>
  <c r="I139" i="23"/>
  <c r="H139" i="23"/>
  <c r="I138" i="23"/>
  <c r="H138" i="23"/>
  <c r="I137" i="23"/>
  <c r="H137" i="23"/>
  <c r="J137" i="23" s="1"/>
  <c r="I136" i="23"/>
  <c r="H136" i="23"/>
  <c r="J136" i="23" s="1"/>
  <c r="I135" i="23"/>
  <c r="H135" i="23"/>
  <c r="J135" i="23" s="1"/>
  <c r="I134" i="23"/>
  <c r="J134" i="23" s="1"/>
  <c r="H134" i="23"/>
  <c r="I133" i="23"/>
  <c r="H133" i="23"/>
  <c r="J133" i="23" s="1"/>
  <c r="I132" i="23"/>
  <c r="H132" i="23"/>
  <c r="I131" i="23"/>
  <c r="H131" i="23"/>
  <c r="J131" i="23" s="1"/>
  <c r="I130" i="23"/>
  <c r="H130" i="23"/>
  <c r="J130" i="23" s="1"/>
  <c r="I129" i="23"/>
  <c r="H129" i="23"/>
  <c r="J129" i="23" s="1"/>
  <c r="I128" i="23"/>
  <c r="H128" i="23"/>
  <c r="J128" i="23" s="1"/>
  <c r="I127" i="23"/>
  <c r="H127" i="23"/>
  <c r="I126" i="23"/>
  <c r="H126" i="23"/>
  <c r="J126" i="23" s="1"/>
  <c r="I125" i="23"/>
  <c r="H125" i="23"/>
  <c r="I124" i="23"/>
  <c r="H124" i="23"/>
  <c r="I123" i="23"/>
  <c r="H123" i="23"/>
  <c r="I122" i="23"/>
  <c r="H122" i="23"/>
  <c r="I121" i="23"/>
  <c r="H121" i="23"/>
  <c r="I120" i="23"/>
  <c r="H120" i="23"/>
  <c r="J120" i="23" s="1"/>
  <c r="I119" i="23"/>
  <c r="H119" i="23"/>
  <c r="J119" i="23" s="1"/>
  <c r="I118" i="23"/>
  <c r="J118" i="23" s="1"/>
  <c r="H118" i="23"/>
  <c r="I117" i="23"/>
  <c r="H117" i="23"/>
  <c r="J117" i="23" s="1"/>
  <c r="I116" i="23"/>
  <c r="H116" i="23"/>
  <c r="I115" i="23"/>
  <c r="H115" i="23"/>
  <c r="J115" i="23" s="1"/>
  <c r="I114" i="23"/>
  <c r="H114" i="23"/>
  <c r="J114" i="23" s="1"/>
  <c r="I113" i="23"/>
  <c r="H113" i="23"/>
  <c r="J113" i="23" s="1"/>
  <c r="I112" i="23"/>
  <c r="H112" i="23"/>
  <c r="J112" i="23" s="1"/>
  <c r="I111" i="23"/>
  <c r="H111" i="23"/>
  <c r="I110" i="23"/>
  <c r="H110" i="23"/>
  <c r="J110" i="23" s="1"/>
  <c r="I109" i="23"/>
  <c r="H109" i="23"/>
  <c r="I108" i="23"/>
  <c r="H108" i="23"/>
  <c r="I107" i="23"/>
  <c r="H107" i="23"/>
  <c r="I106" i="23"/>
  <c r="H106" i="23"/>
  <c r="I105" i="23"/>
  <c r="H105" i="23"/>
  <c r="I104" i="23"/>
  <c r="H104" i="23"/>
  <c r="J104" i="23" s="1"/>
  <c r="I103" i="23"/>
  <c r="H103" i="23"/>
  <c r="J103" i="23" s="1"/>
  <c r="I102" i="23"/>
  <c r="J102" i="23" s="1"/>
  <c r="H102" i="23"/>
  <c r="I101" i="23"/>
  <c r="H101" i="23"/>
  <c r="J101" i="23" s="1"/>
  <c r="I100" i="23"/>
  <c r="H100" i="23"/>
  <c r="I99" i="23"/>
  <c r="H99" i="23"/>
  <c r="J99" i="23" s="1"/>
  <c r="I98" i="23"/>
  <c r="H98" i="23"/>
  <c r="J98" i="23" s="1"/>
  <c r="I97" i="23"/>
  <c r="H97" i="23"/>
  <c r="J97" i="23" s="1"/>
  <c r="I96" i="23"/>
  <c r="H96" i="23"/>
  <c r="J96" i="23" s="1"/>
  <c r="I95" i="23"/>
  <c r="H95" i="23"/>
  <c r="I94" i="23"/>
  <c r="H94" i="23"/>
  <c r="J94" i="23" s="1"/>
  <c r="I93" i="23"/>
  <c r="H93" i="23"/>
  <c r="I92" i="23"/>
  <c r="H92" i="23"/>
  <c r="I91" i="23"/>
  <c r="H91" i="23"/>
  <c r="I90" i="23"/>
  <c r="H90" i="23"/>
  <c r="I89" i="23"/>
  <c r="H89" i="23"/>
  <c r="I88" i="23"/>
  <c r="H88" i="23"/>
  <c r="J88" i="23" s="1"/>
  <c r="I87" i="23"/>
  <c r="H87" i="23"/>
  <c r="J87" i="23" s="1"/>
  <c r="I86" i="23"/>
  <c r="J86" i="23" s="1"/>
  <c r="H86" i="23"/>
  <c r="I85" i="23"/>
  <c r="H85" i="23"/>
  <c r="J85" i="23" s="1"/>
  <c r="I84" i="23"/>
  <c r="H84" i="23"/>
  <c r="I83" i="23"/>
  <c r="H83" i="23"/>
  <c r="J83" i="23" s="1"/>
  <c r="I82" i="23"/>
  <c r="H82" i="23"/>
  <c r="J82" i="23" s="1"/>
  <c r="I81" i="23"/>
  <c r="H81" i="23"/>
  <c r="J81" i="23" s="1"/>
  <c r="I78" i="23"/>
  <c r="I80" i="23" s="1"/>
  <c r="H78" i="23"/>
  <c r="H80" i="23" s="1"/>
  <c r="I77" i="23"/>
  <c r="H77" i="23"/>
  <c r="I76" i="23"/>
  <c r="H76" i="23"/>
  <c r="I75" i="23"/>
  <c r="H75" i="23"/>
  <c r="I74" i="23"/>
  <c r="H74" i="23"/>
  <c r="I73" i="23"/>
  <c r="H73" i="23"/>
  <c r="I72" i="23"/>
  <c r="H72" i="23"/>
  <c r="J72" i="23" s="1"/>
  <c r="I71" i="23"/>
  <c r="H71" i="23"/>
  <c r="J71" i="23" s="1"/>
  <c r="I70" i="23"/>
  <c r="H70" i="23"/>
  <c r="J70" i="23" s="1"/>
  <c r="I69" i="23"/>
  <c r="H69" i="23"/>
  <c r="J69" i="23" s="1"/>
  <c r="I68" i="23"/>
  <c r="H68" i="23"/>
  <c r="I67" i="23"/>
  <c r="H67" i="23"/>
  <c r="J67" i="23" s="1"/>
  <c r="I66" i="23"/>
  <c r="J66" i="23" s="1"/>
  <c r="H66" i="23"/>
  <c r="I65" i="23"/>
  <c r="H65" i="23"/>
  <c r="J65" i="23" s="1"/>
  <c r="I64" i="23"/>
  <c r="H64" i="23"/>
  <c r="J64" i="23" s="1"/>
  <c r="I63" i="23"/>
  <c r="H63" i="23"/>
  <c r="J63" i="23" s="1"/>
  <c r="I62" i="23"/>
  <c r="H62" i="23"/>
  <c r="J62" i="23" s="1"/>
  <c r="I61" i="23"/>
  <c r="H61" i="23"/>
  <c r="I60" i="23"/>
  <c r="H60" i="23"/>
  <c r="I59" i="23"/>
  <c r="H59" i="23"/>
  <c r="I58" i="23"/>
  <c r="H58" i="23"/>
  <c r="I57" i="23"/>
  <c r="H57" i="23"/>
  <c r="I56" i="23"/>
  <c r="H56" i="23"/>
  <c r="J56" i="23" s="1"/>
  <c r="I55" i="23"/>
  <c r="H55" i="23"/>
  <c r="J55" i="23" s="1"/>
  <c r="I54" i="23"/>
  <c r="H54" i="23"/>
  <c r="J54" i="23" s="1"/>
  <c r="I53" i="23"/>
  <c r="H53" i="23"/>
  <c r="J53" i="23" s="1"/>
  <c r="I52" i="23"/>
  <c r="H52" i="23"/>
  <c r="I51" i="23"/>
  <c r="H51" i="23"/>
  <c r="J51" i="23" s="1"/>
  <c r="I50" i="23"/>
  <c r="J50" i="23" s="1"/>
  <c r="H50" i="23"/>
  <c r="I49" i="23"/>
  <c r="H49" i="23"/>
  <c r="J49" i="23" s="1"/>
  <c r="I48" i="23"/>
  <c r="H48" i="23"/>
  <c r="J48" i="23" s="1"/>
  <c r="I47" i="23"/>
  <c r="H47" i="23"/>
  <c r="J47" i="23" s="1"/>
  <c r="I46" i="23"/>
  <c r="H46" i="23"/>
  <c r="J46" i="23" s="1"/>
  <c r="I45" i="23"/>
  <c r="H45" i="23"/>
  <c r="I44" i="23"/>
  <c r="H44" i="23"/>
  <c r="I43" i="23"/>
  <c r="H43" i="23"/>
  <c r="I42" i="23"/>
  <c r="H42" i="23"/>
  <c r="I41" i="23"/>
  <c r="H41" i="23"/>
  <c r="I40" i="23"/>
  <c r="H40" i="23"/>
  <c r="J40" i="23" s="1"/>
  <c r="I39" i="23"/>
  <c r="H39" i="23"/>
  <c r="J39" i="23" s="1"/>
  <c r="I38" i="23"/>
  <c r="H38" i="23"/>
  <c r="J38" i="23" s="1"/>
  <c r="I37" i="23"/>
  <c r="H37" i="23"/>
  <c r="J37" i="23" s="1"/>
  <c r="I36" i="23"/>
  <c r="H36" i="23"/>
  <c r="I35" i="23"/>
  <c r="H35" i="23"/>
  <c r="J35" i="23" s="1"/>
  <c r="I34" i="23"/>
  <c r="J34" i="23" s="1"/>
  <c r="H34" i="23"/>
  <c r="I33" i="23"/>
  <c r="H33" i="23"/>
  <c r="J33" i="23" s="1"/>
  <c r="I32" i="23"/>
  <c r="H32" i="23"/>
  <c r="J32" i="23" s="1"/>
  <c r="I31" i="23"/>
  <c r="H31" i="23"/>
  <c r="J31" i="23" s="1"/>
  <c r="I30" i="23"/>
  <c r="H30" i="23"/>
  <c r="J30" i="23" s="1"/>
  <c r="I29" i="23"/>
  <c r="H29" i="23"/>
  <c r="I28" i="23"/>
  <c r="H28" i="23"/>
  <c r="I27" i="23"/>
  <c r="H27" i="23"/>
  <c r="I26" i="23"/>
  <c r="H26" i="23"/>
  <c r="I25" i="23"/>
  <c r="H25" i="23"/>
  <c r="I24" i="23"/>
  <c r="H24" i="23"/>
  <c r="J24" i="23" s="1"/>
  <c r="I23" i="23"/>
  <c r="H23" i="23"/>
  <c r="J23" i="23" s="1"/>
  <c r="I22" i="23"/>
  <c r="H22" i="23"/>
  <c r="J22" i="23" s="1"/>
  <c r="I21" i="23"/>
  <c r="H21" i="23"/>
  <c r="J21" i="23" s="1"/>
  <c r="I20" i="23"/>
  <c r="H20" i="23"/>
  <c r="I19" i="23"/>
  <c r="H19" i="23"/>
  <c r="J19" i="23" s="1"/>
  <c r="I18" i="23"/>
  <c r="J18" i="23" s="1"/>
  <c r="H18" i="23"/>
  <c r="I17" i="23"/>
  <c r="H17" i="23"/>
  <c r="J17" i="23" s="1"/>
  <c r="I16" i="23"/>
  <c r="H16" i="23"/>
  <c r="J16" i="23" s="1"/>
  <c r="I15" i="23"/>
  <c r="H15" i="23"/>
  <c r="J15" i="23" s="1"/>
  <c r="I14" i="23"/>
  <c r="H14" i="23"/>
  <c r="J14" i="23" s="1"/>
  <c r="I13" i="23"/>
  <c r="H13" i="23"/>
  <c r="I12" i="23"/>
  <c r="H12" i="23"/>
  <c r="I11" i="23"/>
  <c r="H11" i="23"/>
  <c r="I10" i="23"/>
  <c r="H10" i="23"/>
  <c r="I9" i="23"/>
  <c r="H9" i="23"/>
  <c r="I8" i="23"/>
  <c r="H8" i="23"/>
  <c r="J8" i="23" s="1"/>
  <c r="I7" i="23"/>
  <c r="H7" i="23"/>
  <c r="J7" i="23" s="1"/>
  <c r="I6" i="23"/>
  <c r="H6" i="23"/>
  <c r="J6" i="23" s="1"/>
  <c r="I5" i="23"/>
  <c r="H5" i="23"/>
  <c r="J5" i="23" s="1"/>
  <c r="I4" i="23"/>
  <c r="H4" i="23"/>
  <c r="I3" i="23"/>
  <c r="H3" i="23"/>
  <c r="J3" i="23" s="1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5" i="28"/>
  <c r="A114" i="28"/>
  <c r="H114" i="28" s="1"/>
  <c r="A70" i="27"/>
  <c r="A69" i="27"/>
  <c r="H69" i="27" s="1"/>
  <c r="A84" i="29"/>
  <c r="H84" i="29" s="1"/>
  <c r="A69" i="26"/>
  <c r="H69" i="26" s="1"/>
  <c r="A95" i="25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O39" i="32" l="1"/>
  <c r="Q39" i="32"/>
  <c r="A38" i="32"/>
  <c r="P39" i="32"/>
  <c r="R39" i="32" s="1"/>
  <c r="P105" i="32"/>
  <c r="O105" i="32"/>
  <c r="A106" i="32"/>
  <c r="Q105" i="32"/>
  <c r="R104" i="32"/>
  <c r="J80" i="23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J79" i="23" s="1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A116" i="28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A71" i="27"/>
  <c r="H70" i="27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L53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L21" i="19"/>
  <c r="J21" i="19"/>
  <c r="J20" i="19"/>
  <c r="J19" i="19"/>
  <c r="J18" i="19"/>
  <c r="J17" i="19"/>
  <c r="J16" i="19"/>
  <c r="J15" i="19"/>
  <c r="J14" i="19"/>
  <c r="L13" i="19"/>
  <c r="J13" i="19"/>
  <c r="J12" i="19"/>
  <c r="J11" i="19"/>
  <c r="J10" i="19"/>
  <c r="J9" i="19"/>
  <c r="K8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M57" i="19" s="1"/>
  <c r="H56" i="19"/>
  <c r="L56" i="19" s="1"/>
  <c r="G56" i="19"/>
  <c r="K56" i="19" s="1"/>
  <c r="H55" i="19"/>
  <c r="L55" i="19" s="1"/>
  <c r="G55" i="19"/>
  <c r="K55" i="19" s="1"/>
  <c r="M55" i="19" s="1"/>
  <c r="H54" i="19"/>
  <c r="L54" i="19" s="1"/>
  <c r="G54" i="19"/>
  <c r="K54" i="19" s="1"/>
  <c r="M54" i="19" s="1"/>
  <c r="H53" i="19"/>
  <c r="G53" i="19"/>
  <c r="K53" i="19" s="1"/>
  <c r="H52" i="19"/>
  <c r="L52" i="19" s="1"/>
  <c r="G52" i="19"/>
  <c r="K52" i="19" s="1"/>
  <c r="M52" i="19" s="1"/>
  <c r="H51" i="19"/>
  <c r="L51" i="19" s="1"/>
  <c r="G51" i="19"/>
  <c r="K51" i="19" s="1"/>
  <c r="M51" i="19" s="1"/>
  <c r="H50" i="19"/>
  <c r="L50" i="19" s="1"/>
  <c r="G50" i="19"/>
  <c r="K50" i="19" s="1"/>
  <c r="H49" i="19"/>
  <c r="L49" i="19" s="1"/>
  <c r="G49" i="19"/>
  <c r="K49" i="19" s="1"/>
  <c r="M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M46" i="19" s="1"/>
  <c r="H45" i="19"/>
  <c r="L45" i="19" s="1"/>
  <c r="G45" i="19"/>
  <c r="K45" i="19" s="1"/>
  <c r="H44" i="19"/>
  <c r="L44" i="19" s="1"/>
  <c r="G44" i="19"/>
  <c r="K44" i="19" s="1"/>
  <c r="M44" i="19" s="1"/>
  <c r="H43" i="19"/>
  <c r="L43" i="19" s="1"/>
  <c r="G43" i="19"/>
  <c r="K43" i="19" s="1"/>
  <c r="M43" i="19" s="1"/>
  <c r="H42" i="19"/>
  <c r="L42" i="19" s="1"/>
  <c r="G42" i="19"/>
  <c r="K42" i="19" s="1"/>
  <c r="H41" i="19"/>
  <c r="L41" i="19" s="1"/>
  <c r="G41" i="19"/>
  <c r="K41" i="19" s="1"/>
  <c r="M41" i="19" s="1"/>
  <c r="H40" i="19"/>
  <c r="L40" i="19" s="1"/>
  <c r="G40" i="19"/>
  <c r="K40" i="19" s="1"/>
  <c r="H39" i="19"/>
  <c r="L39" i="19" s="1"/>
  <c r="G39" i="19"/>
  <c r="K39" i="19" s="1"/>
  <c r="M39" i="19" s="1"/>
  <c r="H38" i="19"/>
  <c r="L38" i="19" s="1"/>
  <c r="G38" i="19"/>
  <c r="K38" i="19" s="1"/>
  <c r="M38" i="19" s="1"/>
  <c r="H37" i="19"/>
  <c r="G37" i="19"/>
  <c r="K37" i="19" s="1"/>
  <c r="H36" i="19"/>
  <c r="L36" i="19" s="1"/>
  <c r="G36" i="19"/>
  <c r="K36" i="19" s="1"/>
  <c r="M36" i="19" s="1"/>
  <c r="H35" i="19"/>
  <c r="L35" i="19" s="1"/>
  <c r="G35" i="19"/>
  <c r="K35" i="19" s="1"/>
  <c r="M35" i="19" s="1"/>
  <c r="H34" i="19"/>
  <c r="L34" i="19" s="1"/>
  <c r="G34" i="19"/>
  <c r="K34" i="19" s="1"/>
  <c r="H33" i="19"/>
  <c r="L33" i="19" s="1"/>
  <c r="G33" i="19"/>
  <c r="K33" i="19" s="1"/>
  <c r="M33" i="19" s="1"/>
  <c r="H32" i="19"/>
  <c r="L32" i="19" s="1"/>
  <c r="G32" i="19"/>
  <c r="K32" i="19" s="1"/>
  <c r="H31" i="19"/>
  <c r="L31" i="19" s="1"/>
  <c r="G31" i="19"/>
  <c r="K31" i="19" s="1"/>
  <c r="M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M28" i="19" s="1"/>
  <c r="H27" i="19"/>
  <c r="L27" i="19" s="1"/>
  <c r="G27" i="19"/>
  <c r="K27" i="19" s="1"/>
  <c r="M27" i="19" s="1"/>
  <c r="H26" i="19"/>
  <c r="L26" i="19" s="1"/>
  <c r="G26" i="19"/>
  <c r="K26" i="19" s="1"/>
  <c r="H25" i="19"/>
  <c r="L25" i="19" s="1"/>
  <c r="G25" i="19"/>
  <c r="K25" i="19" s="1"/>
  <c r="M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M22" i="19" s="1"/>
  <c r="H21" i="19"/>
  <c r="G21" i="19"/>
  <c r="K21" i="19" s="1"/>
  <c r="H20" i="19"/>
  <c r="L20" i="19" s="1"/>
  <c r="G20" i="19"/>
  <c r="K20" i="19" s="1"/>
  <c r="M20" i="19" s="1"/>
  <c r="H19" i="19"/>
  <c r="L19" i="19" s="1"/>
  <c r="G19" i="19"/>
  <c r="K19" i="19" s="1"/>
  <c r="M19" i="19" s="1"/>
  <c r="H18" i="19"/>
  <c r="L18" i="19" s="1"/>
  <c r="G18" i="19"/>
  <c r="K18" i="19" s="1"/>
  <c r="H17" i="19"/>
  <c r="L17" i="19" s="1"/>
  <c r="G17" i="19"/>
  <c r="K17" i="19" s="1"/>
  <c r="M17" i="19" s="1"/>
  <c r="H16" i="19"/>
  <c r="L16" i="19" s="1"/>
  <c r="G16" i="19"/>
  <c r="K16" i="19" s="1"/>
  <c r="H15" i="19"/>
  <c r="L15" i="19" s="1"/>
  <c r="G15" i="19"/>
  <c r="K15" i="19" s="1"/>
  <c r="M15" i="19" s="1"/>
  <c r="H14" i="19"/>
  <c r="L14" i="19" s="1"/>
  <c r="G14" i="19"/>
  <c r="K14" i="19" s="1"/>
  <c r="M14" i="19" s="1"/>
  <c r="H13" i="19"/>
  <c r="G13" i="19"/>
  <c r="K13" i="19" s="1"/>
  <c r="H12" i="19"/>
  <c r="L12" i="19" s="1"/>
  <c r="G12" i="19"/>
  <c r="K12" i="19" s="1"/>
  <c r="M12" i="19" s="1"/>
  <c r="H11" i="19"/>
  <c r="L11" i="19" s="1"/>
  <c r="G11" i="19"/>
  <c r="K11" i="19" s="1"/>
  <c r="M11" i="19" s="1"/>
  <c r="H10" i="19"/>
  <c r="L10" i="19" s="1"/>
  <c r="G10" i="19"/>
  <c r="K10" i="19" s="1"/>
  <c r="H9" i="19"/>
  <c r="L9" i="19" s="1"/>
  <c r="G9" i="19"/>
  <c r="K9" i="19" s="1"/>
  <c r="M9" i="19" s="1"/>
  <c r="H8" i="19"/>
  <c r="L8" i="19" s="1"/>
  <c r="G8" i="19"/>
  <c r="H7" i="19"/>
  <c r="L7" i="19" s="1"/>
  <c r="G7" i="19"/>
  <c r="K7" i="19" s="1"/>
  <c r="M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86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A107" i="32" l="1"/>
  <c r="Q106" i="32"/>
  <c r="P106" i="32"/>
  <c r="R106" i="32" s="1"/>
  <c r="O106" i="32"/>
  <c r="R105" i="32"/>
  <c r="A37" i="32"/>
  <c r="Q38" i="32"/>
  <c r="P38" i="32"/>
  <c r="R38" i="32" s="1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M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M74" i="19" s="1"/>
  <c r="G82" i="19"/>
  <c r="K82" i="19" s="1"/>
  <c r="M82" i="19" s="1"/>
  <c r="G90" i="19"/>
  <c r="K90" i="19" s="1"/>
  <c r="M90" i="19" s="1"/>
  <c r="G98" i="19"/>
  <c r="K98" i="19" s="1"/>
  <c r="G106" i="19"/>
  <c r="K106" i="19" s="1"/>
  <c r="M106" i="19" s="1"/>
  <c r="G114" i="19"/>
  <c r="K114" i="19" s="1"/>
  <c r="G122" i="19"/>
  <c r="K122" i="19" s="1"/>
  <c r="G130" i="19"/>
  <c r="K130" i="19" s="1"/>
  <c r="M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M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M60" i="19" s="1"/>
  <c r="G68" i="19"/>
  <c r="K68" i="19" s="1"/>
  <c r="G76" i="19"/>
  <c r="K76" i="19" s="1"/>
  <c r="M76" i="19" s="1"/>
  <c r="G84" i="19"/>
  <c r="K84" i="19" s="1"/>
  <c r="M84" i="19" s="1"/>
  <c r="G92" i="19"/>
  <c r="K92" i="19" s="1"/>
  <c r="G100" i="19"/>
  <c r="K100" i="19" s="1"/>
  <c r="M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M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36" i="32" l="1"/>
  <c r="Q37" i="32"/>
  <c r="P37" i="32"/>
  <c r="R37" i="32" s="1"/>
  <c r="O37" i="32"/>
  <c r="Q107" i="32"/>
  <c r="A108" i="32"/>
  <c r="P107" i="32"/>
  <c r="R107" i="32" s="1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73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L120" i="3"/>
  <c r="J120" i="3"/>
  <c r="J119" i="3"/>
  <c r="K118" i="3"/>
  <c r="M118" i="3" s="1"/>
  <c r="J118" i="3"/>
  <c r="J117" i="3"/>
  <c r="J116" i="3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L64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K51" i="3"/>
  <c r="J51" i="3"/>
  <c r="J50" i="3"/>
  <c r="J49" i="3"/>
  <c r="L48" i="3"/>
  <c r="J48" i="3"/>
  <c r="J47" i="3"/>
  <c r="J46" i="3"/>
  <c r="J45" i="3"/>
  <c r="J44" i="3"/>
  <c r="K43" i="3"/>
  <c r="J43" i="3"/>
  <c r="J42" i="3"/>
  <c r="J41" i="3"/>
  <c r="L40" i="3"/>
  <c r="J40" i="3"/>
  <c r="J39" i="3"/>
  <c r="K38" i="3"/>
  <c r="J38" i="3"/>
  <c r="J37" i="3"/>
  <c r="J36" i="3"/>
  <c r="J35" i="3"/>
  <c r="J34" i="3"/>
  <c r="J33" i="3"/>
  <c r="J32" i="3"/>
  <c r="J31" i="3"/>
  <c r="J30" i="3"/>
  <c r="J29" i="3"/>
  <c r="J28" i="3"/>
  <c r="K27" i="3"/>
  <c r="J27" i="3"/>
  <c r="J26" i="3"/>
  <c r="J25" i="3"/>
  <c r="J24" i="3"/>
  <c r="J23" i="3"/>
  <c r="J22" i="3"/>
  <c r="J21" i="3"/>
  <c r="J20" i="3"/>
  <c r="K19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K3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M127" i="3" s="1"/>
  <c r="H126" i="3"/>
  <c r="L126" i="3" s="1"/>
  <c r="G126" i="3"/>
  <c r="K126" i="3" s="1"/>
  <c r="M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M122" i="3" s="1"/>
  <c r="H121" i="3"/>
  <c r="L121" i="3" s="1"/>
  <c r="G121" i="3"/>
  <c r="K121" i="3" s="1"/>
  <c r="H120" i="3"/>
  <c r="G120" i="3"/>
  <c r="K120" i="3" s="1"/>
  <c r="H119" i="3"/>
  <c r="L119" i="3" s="1"/>
  <c r="G119" i="3"/>
  <c r="K119" i="3" s="1"/>
  <c r="M119" i="3" s="1"/>
  <c r="H118" i="3"/>
  <c r="L118" i="3" s="1"/>
  <c r="G118" i="3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M114" i="3" s="1"/>
  <c r="H113" i="3"/>
  <c r="L113" i="3" s="1"/>
  <c r="G113" i="3"/>
  <c r="K113" i="3" s="1"/>
  <c r="H112" i="3"/>
  <c r="G112" i="3"/>
  <c r="K112" i="3" s="1"/>
  <c r="H111" i="3"/>
  <c r="L111" i="3" s="1"/>
  <c r="G111" i="3"/>
  <c r="K111" i="3" s="1"/>
  <c r="M111" i="3" s="1"/>
  <c r="H110" i="3"/>
  <c r="L110" i="3" s="1"/>
  <c r="G110" i="3"/>
  <c r="K110" i="3" s="1"/>
  <c r="M110" i="3" s="1"/>
  <c r="H109" i="3"/>
  <c r="L109" i="3" s="1"/>
  <c r="G109" i="3"/>
  <c r="K109" i="3" s="1"/>
  <c r="H108" i="3"/>
  <c r="L108" i="3" s="1"/>
  <c r="G108" i="3"/>
  <c r="K108" i="3" s="1"/>
  <c r="H98" i="3"/>
  <c r="L98" i="3" s="1"/>
  <c r="G95" i="3"/>
  <c r="K95" i="3" s="1"/>
  <c r="H94" i="3"/>
  <c r="L94" i="3" s="1"/>
  <c r="H71" i="3"/>
  <c r="L71" i="3" s="1"/>
  <c r="G71" i="3"/>
  <c r="K71" i="3" s="1"/>
  <c r="H70" i="3"/>
  <c r="L70" i="3" s="1"/>
  <c r="G70" i="3"/>
  <c r="K70" i="3" s="1"/>
  <c r="M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M65" i="3" s="1"/>
  <c r="H64" i="3"/>
  <c r="G64" i="3"/>
  <c r="K64" i="3" s="1"/>
  <c r="M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M59" i="3" s="1"/>
  <c r="H58" i="3"/>
  <c r="L58" i="3" s="1"/>
  <c r="G58" i="3"/>
  <c r="K58" i="3" s="1"/>
  <c r="H57" i="3"/>
  <c r="L57" i="3" s="1"/>
  <c r="G57" i="3"/>
  <c r="K57" i="3" s="1"/>
  <c r="M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M49" i="3" s="1"/>
  <c r="H48" i="3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H42" i="3"/>
  <c r="L42" i="3" s="1"/>
  <c r="G42" i="3"/>
  <c r="K42" i="3" s="1"/>
  <c r="H41" i="3"/>
  <c r="L41" i="3" s="1"/>
  <c r="G41" i="3"/>
  <c r="K41" i="3" s="1"/>
  <c r="M41" i="3" s="1"/>
  <c r="H40" i="3"/>
  <c r="G40" i="3"/>
  <c r="K40" i="3" s="1"/>
  <c r="H39" i="3"/>
  <c r="L39" i="3" s="1"/>
  <c r="G39" i="3"/>
  <c r="K39" i="3" s="1"/>
  <c r="H38" i="3"/>
  <c r="L38" i="3" s="1"/>
  <c r="G38" i="3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M35" i="3" s="1"/>
  <c r="H34" i="3"/>
  <c r="L34" i="3" s="1"/>
  <c r="G34" i="3"/>
  <c r="K34" i="3" s="1"/>
  <c r="H33" i="3"/>
  <c r="L33" i="3" s="1"/>
  <c r="G33" i="3"/>
  <c r="K33" i="3" s="1"/>
  <c r="M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H26" i="3"/>
  <c r="L26" i="3" s="1"/>
  <c r="G26" i="3"/>
  <c r="K26" i="3" s="1"/>
  <c r="H25" i="3"/>
  <c r="L25" i="3" s="1"/>
  <c r="G25" i="3"/>
  <c r="K25" i="3" s="1"/>
  <c r="M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H18" i="3"/>
  <c r="L18" i="3" s="1"/>
  <c r="G18" i="3"/>
  <c r="K18" i="3" s="1"/>
  <c r="H17" i="3"/>
  <c r="L17" i="3" s="1"/>
  <c r="G17" i="3"/>
  <c r="K17" i="3" s="1"/>
  <c r="M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M11" i="3" s="1"/>
  <c r="H10" i="3"/>
  <c r="L10" i="3" s="1"/>
  <c r="G10" i="3"/>
  <c r="K10" i="3" s="1"/>
  <c r="H9" i="3"/>
  <c r="L9" i="3" s="1"/>
  <c r="G9" i="3"/>
  <c r="K9" i="3" s="1"/>
  <c r="M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M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P108" i="32" l="1"/>
  <c r="A109" i="32"/>
  <c r="Q108" i="32"/>
  <c r="O108" i="32"/>
  <c r="A35" i="32"/>
  <c r="Q36" i="32"/>
  <c r="P36" i="32"/>
  <c r="R36" i="32" s="1"/>
  <c r="O36" i="32"/>
  <c r="H102" i="3"/>
  <c r="L102" i="3" s="1"/>
  <c r="M102" i="3" s="1"/>
  <c r="M27" i="3"/>
  <c r="G103" i="3"/>
  <c r="K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6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112" i="3"/>
  <c r="M120" i="3"/>
  <c r="M128" i="3"/>
  <c r="G87" i="3"/>
  <c r="K87" i="3" s="1"/>
  <c r="M87" i="3" s="1"/>
  <c r="A119" i="28"/>
  <c r="H118" i="28"/>
  <c r="A99" i="25"/>
  <c r="H98" i="25"/>
  <c r="M98" i="3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95" i="3"/>
  <c r="M3" i="3"/>
  <c r="M38" i="3"/>
  <c r="M103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A110" i="32" l="1"/>
  <c r="Q109" i="32"/>
  <c r="P109" i="32"/>
  <c r="R109" i="32" s="1"/>
  <c r="O109" i="32"/>
  <c r="O35" i="32"/>
  <c r="Q35" i="32"/>
  <c r="A34" i="32"/>
  <c r="P35" i="32"/>
  <c r="R35" i="32" s="1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A33" i="32" l="1"/>
  <c r="Q34" i="32"/>
  <c r="P34" i="32"/>
  <c r="R34" i="32" s="1"/>
  <c r="O34" i="32"/>
  <c r="O110" i="32"/>
  <c r="A111" i="32"/>
  <c r="Q110" i="32"/>
  <c r="P110" i="32"/>
  <c r="R110" i="32" s="1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M132" i="3" s="1"/>
  <c r="F132" i="3"/>
  <c r="J132" i="3"/>
  <c r="A112" i="32" l="1"/>
  <c r="Q111" i="32"/>
  <c r="P111" i="32"/>
  <c r="R111" i="32" s="1"/>
  <c r="O111" i="32"/>
  <c r="A32" i="32"/>
  <c r="Q33" i="32"/>
  <c r="P33" i="32"/>
  <c r="R33" i="32" s="1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A31" i="32" l="1"/>
  <c r="Q32" i="32"/>
  <c r="P32" i="32"/>
  <c r="R32" i="32" s="1"/>
  <c r="O32" i="32"/>
  <c r="A113" i="32"/>
  <c r="Q112" i="32"/>
  <c r="P112" i="32"/>
  <c r="R112" i="32" s="1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P113" i="32" l="1"/>
  <c r="O113" i="32"/>
  <c r="A114" i="32"/>
  <c r="Q113" i="32"/>
  <c r="O31" i="32"/>
  <c r="Q31" i="32"/>
  <c r="A30" i="32"/>
  <c r="P31" i="32"/>
  <c r="R31" i="32" s="1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M135" i="3" s="1"/>
  <c r="F135" i="3"/>
  <c r="M134" i="3"/>
  <c r="A29" i="32" l="1"/>
  <c r="Q30" i="32"/>
  <c r="P30" i="32"/>
  <c r="R30" i="32" s="1"/>
  <c r="O30" i="32"/>
  <c r="O114" i="32"/>
  <c r="A115" i="32"/>
  <c r="Q114" i="32"/>
  <c r="P114" i="32"/>
  <c r="R114" i="32" s="1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A116" i="32" l="1"/>
  <c r="Q115" i="32"/>
  <c r="P115" i="32"/>
  <c r="R115" i="32" s="1"/>
  <c r="O115" i="32"/>
  <c r="A28" i="32"/>
  <c r="Q29" i="32"/>
  <c r="P29" i="32"/>
  <c r="R29" i="32" s="1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A27" i="32" l="1"/>
  <c r="Q28" i="32"/>
  <c r="P28" i="32"/>
  <c r="R28" i="32" s="1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Q27" i="32" l="1"/>
  <c r="A26" i="32"/>
  <c r="P27" i="32"/>
  <c r="R27" i="32" s="1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A25" i="32" l="1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O25" i="32" l="1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R25" i="32" l="1"/>
  <c r="A23" i="32"/>
  <c r="Q24" i="32"/>
  <c r="P24" i="32"/>
  <c r="R24" i="32" s="1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Q23" i="32" l="1"/>
  <c r="A22" i="32"/>
  <c r="P23" i="32"/>
  <c r="R23" i="32" s="1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A21" i="32" l="1"/>
  <c r="Q22" i="32"/>
  <c r="P22" i="32"/>
  <c r="R22" i="32" s="1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O21" i="32" l="1"/>
  <c r="Q21" i="32"/>
  <c r="A20" i="32"/>
  <c r="P21" i="32"/>
  <c r="R21" i="32" s="1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A19" i="32" l="1"/>
  <c r="Q20" i="32"/>
  <c r="P20" i="32"/>
  <c r="R20" i="32" s="1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Q19" i="32" l="1"/>
  <c r="A18" i="32"/>
  <c r="P19" i="32"/>
  <c r="R19" i="32" s="1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7" i="32" l="1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O17" i="32" l="1"/>
  <c r="Q17" i="32"/>
  <c r="A16" i="32"/>
  <c r="P17" i="32"/>
  <c r="R17" i="32" s="1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A15" i="32" l="1"/>
  <c r="Q16" i="32"/>
  <c r="P16" i="32"/>
  <c r="R16" i="32" s="1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Q15" i="32" l="1"/>
  <c r="A14" i="32"/>
  <c r="P15" i="32"/>
  <c r="R15" i="32" s="1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A13" i="32" l="1"/>
  <c r="Q14" i="32"/>
  <c r="P14" i="32"/>
  <c r="R14" i="32" s="1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O13" i="32" l="1"/>
  <c r="Q13" i="32"/>
  <c r="A12" i="32"/>
  <c r="P13" i="32"/>
  <c r="R13" i="32" s="1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A11" i="32" l="1"/>
  <c r="Q12" i="32"/>
  <c r="P12" i="32"/>
  <c r="R12" i="32" s="1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Q11" i="32" l="1"/>
  <c r="A10" i="32"/>
  <c r="P11" i="32"/>
  <c r="R11" i="32" s="1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A9" i="32" l="1"/>
  <c r="Q10" i="32"/>
  <c r="P10" i="32"/>
  <c r="R10" i="32" s="1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A8" i="32" l="1"/>
  <c r="Q9" i="32"/>
  <c r="P9" i="32"/>
  <c r="R9" i="32" s="1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A7" i="32" l="1"/>
  <c r="Q8" i="32"/>
  <c r="P8" i="32"/>
  <c r="R8" i="32" s="1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O7" i="32" l="1"/>
  <c r="A6" i="32"/>
  <c r="Q7" i="32"/>
  <c r="P7" i="32"/>
  <c r="R7" i="32" s="1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A5" i="32" l="1"/>
  <c r="Q6" i="32"/>
  <c r="P6" i="32"/>
  <c r="R6" i="32" s="1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A4" i="32" l="1"/>
  <c r="Q5" i="32"/>
  <c r="P5" i="32"/>
  <c r="R5" i="32" s="1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A3" i="32" l="1"/>
  <c r="Q4" i="32"/>
  <c r="P4" i="32"/>
  <c r="R4" i="32" s="1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O3" i="32" l="1"/>
  <c r="Q3" i="32"/>
  <c r="P3" i="32"/>
  <c r="R3" i="32" s="1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A108" i="27" l="1"/>
  <c r="H107" i="27"/>
  <c r="A107" i="26"/>
  <c r="H106" i="26"/>
  <c r="A133" i="25"/>
  <c r="H132" i="25"/>
  <c r="A153" i="28"/>
  <c r="H152" i="28"/>
  <c r="A122" i="29"/>
  <c r="H121" i="29"/>
  <c r="A112" i="24"/>
  <c r="H111" i="24"/>
  <c r="A113" i="24" l="1"/>
  <c r="H112" i="24"/>
  <c r="A123" i="29"/>
  <c r="H122" i="29"/>
  <c r="A154" i="28"/>
  <c r="H153" i="28"/>
  <c r="A134" i="25"/>
  <c r="H133" i="25"/>
  <c r="A108" i="26"/>
  <c r="H107" i="26"/>
  <c r="A109" i="27"/>
  <c r="H108" i="27"/>
  <c r="A110" i="27" l="1"/>
  <c r="H109" i="27"/>
  <c r="A109" i="26"/>
  <c r="H108" i="26"/>
  <c r="A135" i="25"/>
  <c r="H134" i="25"/>
  <c r="A155" i="28"/>
  <c r="H154" i="28"/>
  <c r="A124" i="29"/>
  <c r="H123" i="29"/>
  <c r="A114" i="24"/>
  <c r="H113" i="24"/>
  <c r="A115" i="24" l="1"/>
  <c r="H114" i="24"/>
  <c r="A125" i="29"/>
  <c r="H124" i="29"/>
  <c r="A136" i="25"/>
  <c r="H135" i="25"/>
  <c r="A156" i="28"/>
  <c r="H155" i="28"/>
  <c r="A110" i="26"/>
  <c r="H109" i="26"/>
  <c r="A111" i="27"/>
  <c r="H110" i="27"/>
  <c r="A112" i="27" l="1"/>
  <c r="H111" i="27"/>
  <c r="A111" i="26"/>
  <c r="H110" i="26"/>
  <c r="A157" i="28"/>
  <c r="H156" i="28"/>
  <c r="A137" i="25"/>
  <c r="H136" i="25"/>
  <c r="A126" i="29"/>
  <c r="H125" i="29"/>
  <c r="A116" i="24"/>
  <c r="H115" i="24"/>
  <c r="A117" i="24" l="1"/>
  <c r="H116" i="24"/>
  <c r="A127" i="29"/>
  <c r="H126" i="29"/>
  <c r="A138" i="25"/>
  <c r="H137" i="25"/>
  <c r="A158" i="28"/>
  <c r="H157" i="28"/>
  <c r="A112" i="26"/>
  <c r="H111" i="26"/>
  <c r="A113" i="27"/>
  <c r="H112" i="27"/>
  <c r="A114" i="27" l="1"/>
  <c r="H113" i="27"/>
  <c r="A113" i="26"/>
  <c r="H112" i="26"/>
  <c r="A159" i="28"/>
  <c r="H158" i="28"/>
  <c r="A139" i="25"/>
  <c r="H138" i="25"/>
  <c r="A128" i="29"/>
  <c r="H127" i="29"/>
  <c r="A118" i="24"/>
  <c r="H117" i="24"/>
  <c r="A119" i="24" l="1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A161" i="28" l="1"/>
  <c r="H160" i="28"/>
  <c r="A141" i="25"/>
  <c r="H140" i="25"/>
  <c r="A116" i="27"/>
  <c r="H115" i="27"/>
  <c r="A115" i="26"/>
  <c r="H114" i="26"/>
  <c r="A120" i="24"/>
  <c r="H119" i="24"/>
  <c r="A121" i="24" l="1"/>
  <c r="H120" i="24"/>
  <c r="A116" i="26"/>
  <c r="H115" i="26"/>
  <c r="A117" i="27"/>
  <c r="H116" i="27"/>
  <c r="A142" i="25"/>
  <c r="H141" i="25"/>
  <c r="A162" i="28"/>
  <c r="H161" i="28"/>
  <c r="A163" i="28" l="1"/>
  <c r="H162" i="28"/>
  <c r="A143" i="25"/>
  <c r="H142" i="25"/>
  <c r="A118" i="27"/>
  <c r="H117" i="27"/>
  <c r="A117" i="26"/>
  <c r="H116" i="26"/>
  <c r="A122" i="24"/>
  <c r="H121" i="24"/>
  <c r="A118" i="26" l="1"/>
  <c r="H117" i="26"/>
  <c r="A123" i="24"/>
  <c r="H122" i="24"/>
  <c r="A119" i="27"/>
  <c r="H118" i="27"/>
  <c r="A144" i="25"/>
  <c r="H143" i="25"/>
  <c r="A164" i="28"/>
  <c r="H163" i="28"/>
  <c r="A165" i="28" l="1"/>
  <c r="H164" i="28"/>
  <c r="A145" i="25"/>
  <c r="H144" i="25"/>
  <c r="A120" i="27"/>
  <c r="H119" i="27"/>
  <c r="A124" i="24"/>
  <c r="H123" i="24"/>
  <c r="A119" i="26"/>
  <c r="H118" i="26"/>
  <c r="A120" i="26" l="1"/>
  <c r="H119" i="26"/>
  <c r="A125" i="24"/>
  <c r="H124" i="24"/>
  <c r="A121" i="27"/>
  <c r="H120" i="27"/>
  <c r="A146" i="25"/>
  <c r="H145" i="25"/>
  <c r="A166" i="28"/>
  <c r="H165" i="28"/>
  <c r="A167" i="28" l="1"/>
  <c r="H166" i="28"/>
  <c r="A147" i="25"/>
  <c r="H146" i="25"/>
  <c r="A122" i="27"/>
  <c r="H121" i="27"/>
  <c r="A126" i="24"/>
  <c r="H125" i="24"/>
  <c r="A121" i="26"/>
  <c r="H120" i="26"/>
  <c r="A122" i="26" l="1"/>
  <c r="H121" i="26"/>
  <c r="A127" i="24"/>
  <c r="H126" i="24"/>
  <c r="A123" i="27"/>
  <c r="H122" i="27"/>
  <c r="A148" i="25"/>
  <c r="H147" i="25"/>
  <c r="A168" i="28"/>
  <c r="H167" i="28"/>
  <c r="A169" i="28" l="1"/>
  <c r="H168" i="28"/>
  <c r="A149" i="25"/>
  <c r="H148" i="25"/>
  <c r="A124" i="27"/>
  <c r="H123" i="27"/>
  <c r="A128" i="24"/>
  <c r="H127" i="24"/>
  <c r="A123" i="26"/>
  <c r="H122" i="26"/>
  <c r="A124" i="26" l="1"/>
  <c r="H124" i="26" s="1"/>
  <c r="H123" i="26"/>
  <c r="A129" i="24"/>
  <c r="H128" i="24"/>
  <c r="A125" i="27"/>
  <c r="H124" i="27"/>
  <c r="A150" i="25"/>
  <c r="H149" i="25"/>
  <c r="A170" i="28"/>
  <c r="H169" i="28"/>
  <c r="H125" i="27" l="1"/>
  <c r="A126" i="27"/>
  <c r="A171" i="28"/>
  <c r="H170" i="28"/>
  <c r="A151" i="25"/>
  <c r="H150" i="25"/>
  <c r="H129" i="24"/>
  <c r="A130" i="24"/>
  <c r="A172" i="28" l="1"/>
  <c r="H171" i="28"/>
  <c r="A131" i="24"/>
  <c r="H130" i="24"/>
  <c r="A152" i="25"/>
  <c r="H151" i="25"/>
  <c r="A127" i="27"/>
  <c r="H126" i="27"/>
  <c r="A153" i="25" l="1"/>
  <c r="H152" i="25"/>
  <c r="A132" i="24"/>
  <c r="H131" i="24"/>
  <c r="A128" i="27"/>
  <c r="H127" i="27"/>
  <c r="A173" i="28"/>
  <c r="H172" i="28"/>
  <c r="A174" i="28" l="1"/>
  <c r="H174" i="28" s="1"/>
  <c r="H173" i="28"/>
  <c r="H128" i="27"/>
  <c r="A129" i="27"/>
  <c r="H129" i="27" s="1"/>
  <c r="A133" i="24"/>
  <c r="H132" i="24"/>
  <c r="A154" i="25"/>
  <c r="H153" i="25"/>
  <c r="A155" i="25" l="1"/>
  <c r="H154" i="25"/>
  <c r="A134" i="24"/>
  <c r="H133" i="24"/>
  <c r="A135" i="24" l="1"/>
  <c r="H134" i="24"/>
  <c r="A156" i="25"/>
  <c r="H155" i="25"/>
  <c r="A157" i="25" l="1"/>
  <c r="H156" i="25"/>
  <c r="A136" i="24"/>
  <c r="H135" i="24"/>
  <c r="A137" i="24" l="1"/>
  <c r="H136" i="24"/>
  <c r="A158" i="25"/>
  <c r="H157" i="25"/>
  <c r="A159" i="25" l="1"/>
  <c r="H158" i="25"/>
  <c r="A138" i="24"/>
  <c r="H137" i="24"/>
  <c r="A139" i="24" l="1"/>
  <c r="H139" i="24" s="1"/>
  <c r="H138" i="24"/>
  <c r="A160" i="25"/>
  <c r="H159" i="25"/>
  <c r="A161" i="25" l="1"/>
  <c r="H160" i="25"/>
  <c r="A162" i="25" l="1"/>
  <c r="H161" i="25"/>
  <c r="A163" i="25" l="1"/>
  <c r="H162" i="25"/>
  <c r="A164" i="25" l="1"/>
  <c r="H164" i="25" s="1"/>
  <c r="H163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<sst xmlns="http://schemas.openxmlformats.org/spreadsheetml/2006/main" count="378" uniqueCount="154">
  <si>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</si>
  <si>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</si>
  <si>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</si>
  <si>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</si>
  <si>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</si>
  <si>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</si>
  <si>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</si>
  <si>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</si>
  <si>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</si>
  <si>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</si>
  <si>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</si>
  <si>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</si>
  <si>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</si>
  <si>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</si>
  <si>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</si>
  <si>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</si>
  <si>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</si>
  <si>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</si>
  <si>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</si>
  <si>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</si>
  <si>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</si>
  <si>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</si>
  <si>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</si>
  <si>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</si>
  <si>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</si>
  <si>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</si>
  <si>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</si>
  <si>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</si>
  <si>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</si>
  <si>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</si>
  <si>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</si>
  <si>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</si>
  <si>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</si>
  <si>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</si>
  <si>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</si>
  <si>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</si>
  <si>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</si>
  <si>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</si>
  <si>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</si>
  <si>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</si>
  <si>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</si>
  <si>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</si>
  <si>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</si>
  <si>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</si>
  <si>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</si>
  <si>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</si>
  <si>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</si>
  <si>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</si>
  <si>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</si>
  <si>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</si>
  <si>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</si>
  <si>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</si>
  <si>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</si>
  <si>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</si>
  <si>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</si>
  <si>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</si>
  <si>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</si>
  <si>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</si>
  <si>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</si>
  <si>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</si>
  <si>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</si>
  <si>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</si>
  <si>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</si>
  <si>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</si>
  <si>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</si>
  <si>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</si>
  <si>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</si>
  <si>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</si>
  <si>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</si>
  <si>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</si>
  <si>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</si>
  <si>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</si>
  <si>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</si>
  <si>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</si>
  <si>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</si>
  <si>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</si>
  <si>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</si>
  <si>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</si>
  <si>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</si>
  <si>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</si>
  <si>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</si>
  <si>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</si>
  <si>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</si>
  <si>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</si>
  <si>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</si>
  <si>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</si>
  <si>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</si>
  <si>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</si>
  <si>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</si>
  <si>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</si>
  <si>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</si>
  <si>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</si>
  <si>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</si>
  <si>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</si>
  <si>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</si>
  <si>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</si>
  <si>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</si>
  <si>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</si>
  <si>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</si>
  <si>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</si>
  <si>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</si>
  <si>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</si>
  <si>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</si>
  <si>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</si>
  <si>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</si>
  <si>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</si>
  <si>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</si>
  <si>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</si>
  <si>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</si>
  <si>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</si>
  <si>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</si>
  <si>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</si>
  <si>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</si>
  <si>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</si>
  <si>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</si>
  <si>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</si>
  <si>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</si>
  <si>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</si>
  <si>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</si>
  <si>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</si>
  <si>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</si>
  <si>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</si>
  <si>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</si>
  <si>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</si>
  <si>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</si>
  <si>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</si>
  <si>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</si>
  <si>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</si>
  <si>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</si>
  <si>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</si>
  <si>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ер2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</si>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</sst>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</a:t>
            </a:r>
            <a:r>
              <a:rPr lang="en-US"/>
              <a:t>(</a:t>
            </a:r>
            <a:r>
              <a:rPr lang="ru-RU"/>
              <a:t>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'Боливия-Колвер'!$B$3:$B$86</c:f>
              <c:numCache>
                <c:formatCode>0.00</c:formatCode>
                <c:ptCount val="84"/>
                <c:pt idx="0">
                  <c:v>44.447000000000003</c:v>
                </c:pt>
                <c:pt idx="1">
                  <c:v>44.607999999999997</c:v>
                </c:pt>
                <c:pt idx="2">
                  <c:v>44.91</c:v>
                </c:pt>
                <c:pt idx="3">
                  <c:v>45.396999999999998</c:v>
                </c:pt>
                <c:pt idx="4">
                  <c:v>46.04</c:v>
                </c:pt>
                <c:pt idx="5">
                  <c:v>47.201999999999998</c:v>
                </c:pt>
                <c:pt idx="6">
                  <c:v>47.566000000000003</c:v>
                </c:pt>
                <c:pt idx="7">
                  <c:v>47.484999999999999</c:v>
                </c:pt>
                <c:pt idx="8">
                  <c:v>46.917999999999999</c:v>
                </c:pt>
                <c:pt idx="9">
                  <c:v>45.920999999999999</c:v>
                </c:pt>
                <c:pt idx="10">
                  <c:v>44.078000000000003</c:v>
                </c:pt>
                <c:pt idx="11">
                  <c:v>42.966000000000001</c:v>
                </c:pt>
                <c:pt idx="12">
                  <c:v>42.142000000000003</c:v>
                </c:pt>
                <c:pt idx="13">
                  <c:v>41.631</c:v>
                </c:pt>
                <c:pt idx="14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DE-4E5C-8443-3E59EC55C029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'Боливия-Колвер'!$C$3:$C$86</c:f>
              <c:numCache>
                <c:formatCode>0.00</c:formatCode>
                <c:ptCount val="84"/>
                <c:pt idx="0">
                  <c:v>20.672999999999998</c:v>
                </c:pt>
                <c:pt idx="1">
                  <c:v>20.631</c:v>
                </c:pt>
                <c:pt idx="2">
                  <c:v>20.552</c:v>
                </c:pt>
                <c:pt idx="3">
                  <c:v>20.425999999999998</c:v>
                </c:pt>
                <c:pt idx="4">
                  <c:v>20.245000000000001</c:v>
                </c:pt>
                <c:pt idx="5">
                  <c:v>20.048999999999999</c:v>
                </c:pt>
                <c:pt idx="6">
                  <c:v>19.7</c:v>
                </c:pt>
                <c:pt idx="7">
                  <c:v>19.239000000000001</c:v>
                </c:pt>
                <c:pt idx="8">
                  <c:v>18.663</c:v>
                </c:pt>
                <c:pt idx="9">
                  <c:v>17.992999999999999</c:v>
                </c:pt>
                <c:pt idx="10">
                  <c:v>17.081</c:v>
                </c:pt>
                <c:pt idx="11">
                  <c:v>16.492999999999999</c:v>
                </c:pt>
                <c:pt idx="12">
                  <c:v>16.064</c:v>
                </c:pt>
                <c:pt idx="13">
                  <c:v>15.798</c:v>
                </c:pt>
                <c:pt idx="14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DE-4E5C-8443-3E59EC55C029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'Боливия-Колвер'!$D$3:$D$86</c:f>
              <c:numCache>
                <c:formatCode>General</c:formatCode>
                <c:ptCount val="84"/>
                <c:pt idx="10" formatCode="0.0">
                  <c:v>43</c:v>
                </c:pt>
                <c:pt idx="11" formatCode="0.0">
                  <c:v>43</c:v>
                </c:pt>
                <c:pt idx="12" formatCode="0.0">
                  <c:v>43</c:v>
                </c:pt>
                <c:pt idx="13" formatCode="0.0">
                  <c:v>43.2</c:v>
                </c:pt>
                <c:pt idx="14" formatCode="0.0">
                  <c:v>43.3</c:v>
                </c:pt>
                <c:pt idx="15" formatCode="0.0">
                  <c:v>43.5</c:v>
                </c:pt>
                <c:pt idx="16" formatCode="0.0">
                  <c:v>43.5</c:v>
                </c:pt>
                <c:pt idx="17" formatCode="0.0">
                  <c:v>43.7</c:v>
                </c:pt>
                <c:pt idx="18" formatCode="0.0">
                  <c:v>43.8</c:v>
                </c:pt>
                <c:pt idx="19" formatCode="0.0">
                  <c:v>43.9</c:v>
                </c:pt>
                <c:pt idx="20" formatCode="0.0">
                  <c:v>43.9</c:v>
                </c:pt>
                <c:pt idx="21" formatCode="0.0">
                  <c:v>43.9</c:v>
                </c:pt>
                <c:pt idx="22" formatCode="0.0">
                  <c:v>43.9</c:v>
                </c:pt>
                <c:pt idx="23" formatCode="0.0">
                  <c:v>43.8</c:v>
                </c:pt>
                <c:pt idx="24" formatCode="0.0">
                  <c:v>43.7</c:v>
                </c:pt>
                <c:pt idx="25" formatCode="0.0">
                  <c:v>43.6</c:v>
                </c:pt>
                <c:pt idx="26" formatCode="0.0">
                  <c:v>43.5</c:v>
                </c:pt>
                <c:pt idx="27" formatCode="0.0">
                  <c:v>43.4</c:v>
                </c:pt>
                <c:pt idx="28" formatCode="0.0">
                  <c:v>43.3</c:v>
                </c:pt>
                <c:pt idx="29" formatCode="0.0">
                  <c:v>43</c:v>
                </c:pt>
                <c:pt idx="30" formatCode="0.0">
                  <c:v>42.7</c:v>
                </c:pt>
                <c:pt idx="31" formatCode="0.0">
                  <c:v>42.4</c:v>
                </c:pt>
                <c:pt idx="32" formatCode="0.0">
                  <c:v>41.9</c:v>
                </c:pt>
                <c:pt idx="33" formatCode="0.0">
                  <c:v>41.7</c:v>
                </c:pt>
                <c:pt idx="34" formatCode="0.0">
                  <c:v>41.5</c:v>
                </c:pt>
                <c:pt idx="35" formatCode="0.0">
                  <c:v>41.1</c:v>
                </c:pt>
                <c:pt idx="36" formatCode="0.0">
                  <c:v>41.2</c:v>
                </c:pt>
                <c:pt idx="37" formatCode="0.0">
                  <c:v>40.9</c:v>
                </c:pt>
                <c:pt idx="38" formatCode="0.0">
                  <c:v>40.5</c:v>
                </c:pt>
                <c:pt idx="39" formatCode="0.0">
                  <c:v>40.1</c:v>
                </c:pt>
                <c:pt idx="40" formatCode="0.0">
                  <c:v>39.700000000000003</c:v>
                </c:pt>
                <c:pt idx="41" formatCode="0.0">
                  <c:v>39.299999999999997</c:v>
                </c:pt>
                <c:pt idx="42" formatCode="0.0">
                  <c:v>38.799999999999997</c:v>
                </c:pt>
                <c:pt idx="43" formatCode="0.0">
                  <c:v>38.4</c:v>
                </c:pt>
                <c:pt idx="44" formatCode="0.0">
                  <c:v>38.1</c:v>
                </c:pt>
                <c:pt idx="45" formatCode="0.0">
                  <c:v>37.6</c:v>
                </c:pt>
                <c:pt idx="46" formatCode="0.0">
                  <c:v>37.4</c:v>
                </c:pt>
                <c:pt idx="47" formatCode="0.0">
                  <c:v>37.1</c:v>
                </c:pt>
                <c:pt idx="48" formatCode="0.0">
                  <c:v>36.9</c:v>
                </c:pt>
                <c:pt idx="49" formatCode="0.0">
                  <c:v>36.5</c:v>
                </c:pt>
                <c:pt idx="50" formatCode="0.0">
                  <c:v>36.1</c:v>
                </c:pt>
                <c:pt idx="51" formatCode="0.0">
                  <c:v>35.700000000000003</c:v>
                </c:pt>
                <c:pt idx="52" formatCode="0.0">
                  <c:v>34.799999999999997</c:v>
                </c:pt>
                <c:pt idx="53" formatCode="0.0">
                  <c:v>34.1</c:v>
                </c:pt>
                <c:pt idx="54" formatCode="0.0">
                  <c:v>33.4</c:v>
                </c:pt>
                <c:pt idx="55" formatCode="0.0">
                  <c:v>32.799999999999997</c:v>
                </c:pt>
                <c:pt idx="56" formatCode="0.0">
                  <c:v>32.299999999999997</c:v>
                </c:pt>
                <c:pt idx="57" formatCode="0.0">
                  <c:v>31.4</c:v>
                </c:pt>
                <c:pt idx="58" formatCode="0.0">
                  <c:v>31</c:v>
                </c:pt>
                <c:pt idx="59" formatCode="0.0">
                  <c:v>30.6</c:v>
                </c:pt>
                <c:pt idx="60" formatCode="0.0">
                  <c:v>29.8</c:v>
                </c:pt>
                <c:pt idx="61" formatCode="0.0">
                  <c:v>29.1</c:v>
                </c:pt>
                <c:pt idx="62" formatCode="0.0">
                  <c:v>28.5</c:v>
                </c:pt>
                <c:pt idx="63" formatCode="0.0">
                  <c:v>28.1</c:v>
                </c:pt>
                <c:pt idx="64" formatCode="0.0">
                  <c:v>27.7</c:v>
                </c:pt>
                <c:pt idx="65" formatCode="0.0">
                  <c:v>27.3</c:v>
                </c:pt>
                <c:pt idx="66" formatCode="0.0">
                  <c:v>27.3</c:v>
                </c:pt>
                <c:pt idx="67" formatCode="0.0">
                  <c:v>26.9</c:v>
                </c:pt>
                <c:pt idx="68" formatCode="0.0">
                  <c:v>26.4</c:v>
                </c:pt>
                <c:pt idx="69" formatCode="0.0">
                  <c:v>26</c:v>
                </c:pt>
                <c:pt idx="70" formatCode="0.0">
                  <c:v>25.6</c:v>
                </c:pt>
                <c:pt idx="71" formatCode="0.0">
                  <c:v>25.2</c:v>
                </c:pt>
                <c:pt idx="72" formatCode="0.0">
                  <c:v>24.8</c:v>
                </c:pt>
                <c:pt idx="73" formatCode="0.0">
                  <c:v>24.4</c:v>
                </c:pt>
                <c:pt idx="74" formatCode="0.0">
                  <c:v>24</c:v>
                </c:pt>
                <c:pt idx="75" formatCode="0.0">
                  <c:v>23.7</c:v>
                </c:pt>
                <c:pt idx="76" formatCode="0.0">
                  <c:v>23.3</c:v>
                </c:pt>
                <c:pt idx="77" formatCode="0.0">
                  <c:v>22.9</c:v>
                </c:pt>
                <c:pt idx="78" formatCode="0.0">
                  <c:v>22.6</c:v>
                </c:pt>
                <c:pt idx="79" formatCode="0.0">
                  <c:v>22.3</c:v>
                </c:pt>
                <c:pt idx="80" formatCode="0.0">
                  <c:v>22</c:v>
                </c:pt>
                <c:pt idx="81" formatCode="0.0">
                  <c:v>21.8</c:v>
                </c:pt>
                <c:pt idx="82" formatCode="0.0">
                  <c:v>21.6</c:v>
                </c:pt>
                <c:pt idx="8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DE-4E5C-8443-3E59EC55C029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'Боливия-Колвер'!$E$3:$E$86</c:f>
              <c:numCache>
                <c:formatCode>General</c:formatCode>
                <c:ptCount val="84"/>
                <c:pt idx="10" formatCode="0.0">
                  <c:v>25.8</c:v>
                </c:pt>
                <c:pt idx="11" formatCode="0.0">
                  <c:v>25.5</c:v>
                </c:pt>
                <c:pt idx="12" formatCode="0.0">
                  <c:v>25.2</c:v>
                </c:pt>
                <c:pt idx="13" formatCode="0.0">
                  <c:v>24.8</c:v>
                </c:pt>
                <c:pt idx="14" formatCode="0.0">
                  <c:v>24.4</c:v>
                </c:pt>
                <c:pt idx="15" formatCode="0.0">
                  <c:v>24.2</c:v>
                </c:pt>
                <c:pt idx="16" formatCode="0.0">
                  <c:v>23.9</c:v>
                </c:pt>
                <c:pt idx="17" formatCode="0.0">
                  <c:v>23.6</c:v>
                </c:pt>
                <c:pt idx="18" formatCode="0.0">
                  <c:v>23.3</c:v>
                </c:pt>
                <c:pt idx="19" formatCode="0.0">
                  <c:v>23</c:v>
                </c:pt>
                <c:pt idx="20" formatCode="0.0">
                  <c:v>22.7</c:v>
                </c:pt>
                <c:pt idx="21" formatCode="0.0">
                  <c:v>22.4</c:v>
                </c:pt>
                <c:pt idx="22" formatCode="0.0">
                  <c:v>22.1</c:v>
                </c:pt>
                <c:pt idx="23" formatCode="0.0">
                  <c:v>21.7</c:v>
                </c:pt>
                <c:pt idx="24" formatCode="0.0">
                  <c:v>21.4</c:v>
                </c:pt>
                <c:pt idx="25" formatCode="0.0">
                  <c:v>21</c:v>
                </c:pt>
                <c:pt idx="26" formatCode="0.0">
                  <c:v>20.6</c:v>
                </c:pt>
                <c:pt idx="27" formatCode="0.0">
                  <c:v>20.3</c:v>
                </c:pt>
                <c:pt idx="28" formatCode="0.0">
                  <c:v>19.899999999999999</c:v>
                </c:pt>
                <c:pt idx="29" formatCode="0.0">
                  <c:v>19.5</c:v>
                </c:pt>
                <c:pt idx="30" formatCode="0.0">
                  <c:v>19.2</c:v>
                </c:pt>
                <c:pt idx="31" formatCode="0.0">
                  <c:v>18.8</c:v>
                </c:pt>
                <c:pt idx="32" formatCode="0.0">
                  <c:v>18.5</c:v>
                </c:pt>
                <c:pt idx="33" formatCode="0.0">
                  <c:v>18.100000000000001</c:v>
                </c:pt>
                <c:pt idx="34" formatCode="0.0">
                  <c:v>17.7</c:v>
                </c:pt>
                <c:pt idx="35" formatCode="0.0">
                  <c:v>17.2</c:v>
                </c:pt>
                <c:pt idx="36" formatCode="0.0">
                  <c:v>16.7</c:v>
                </c:pt>
                <c:pt idx="37" formatCode="0.0">
                  <c:v>16.399999999999999</c:v>
                </c:pt>
                <c:pt idx="38" formatCode="0.0">
                  <c:v>16.100000000000001</c:v>
                </c:pt>
                <c:pt idx="39" formatCode="0.0">
                  <c:v>15.7</c:v>
                </c:pt>
                <c:pt idx="40" formatCode="0.0">
                  <c:v>15.3</c:v>
                </c:pt>
                <c:pt idx="41" formatCode="0.0">
                  <c:v>15</c:v>
                </c:pt>
                <c:pt idx="42" formatCode="0.0">
                  <c:v>14.8</c:v>
                </c:pt>
                <c:pt idx="43" formatCode="0.0">
                  <c:v>14.5</c:v>
                </c:pt>
                <c:pt idx="44" formatCode="0.0">
                  <c:v>14.1</c:v>
                </c:pt>
                <c:pt idx="45" formatCode="0.0">
                  <c:v>13.8</c:v>
                </c:pt>
                <c:pt idx="46" formatCode="0.0">
                  <c:v>13.5</c:v>
                </c:pt>
                <c:pt idx="47" formatCode="0.0">
                  <c:v>13.1</c:v>
                </c:pt>
                <c:pt idx="48" formatCode="0.0">
                  <c:v>12.8</c:v>
                </c:pt>
                <c:pt idx="49" formatCode="0.0">
                  <c:v>12.4</c:v>
                </c:pt>
                <c:pt idx="50" formatCode="0.0">
                  <c:v>12</c:v>
                </c:pt>
                <c:pt idx="51" formatCode="0.0">
                  <c:v>11.7</c:v>
                </c:pt>
                <c:pt idx="52" formatCode="0.0">
                  <c:v>11.4</c:v>
                </c:pt>
                <c:pt idx="53" formatCode="0.0">
                  <c:v>10.9</c:v>
                </c:pt>
                <c:pt idx="54" formatCode="0.0">
                  <c:v>10.7</c:v>
                </c:pt>
                <c:pt idx="55" formatCode="0.0">
                  <c:v>10.5</c:v>
                </c:pt>
                <c:pt idx="56" formatCode="0.0">
                  <c:v>10.3</c:v>
                </c:pt>
                <c:pt idx="57" formatCode="0.0">
                  <c:v>10.199999999999999</c:v>
                </c:pt>
                <c:pt idx="58" formatCode="0.0">
                  <c:v>10</c:v>
                </c:pt>
                <c:pt idx="59" formatCode="0.0">
                  <c:v>9.9</c:v>
                </c:pt>
                <c:pt idx="60" formatCode="0.0">
                  <c:v>9.6999999999999993</c:v>
                </c:pt>
                <c:pt idx="61" formatCode="0.0">
                  <c:v>9.6</c:v>
                </c:pt>
                <c:pt idx="62" formatCode="0.0">
                  <c:v>9.4</c:v>
                </c:pt>
                <c:pt idx="63" formatCode="0.0">
                  <c:v>9.1</c:v>
                </c:pt>
                <c:pt idx="64" formatCode="0.0">
                  <c:v>9</c:v>
                </c:pt>
                <c:pt idx="65" formatCode="0.0">
                  <c:v>8.8000000000000007</c:v>
                </c:pt>
                <c:pt idx="66" formatCode="0.0">
                  <c:v>8.6</c:v>
                </c:pt>
                <c:pt idx="67" formatCode="0.0">
                  <c:v>8.5</c:v>
                </c:pt>
                <c:pt idx="68" formatCode="0.0">
                  <c:v>8.3000000000000007</c:v>
                </c:pt>
                <c:pt idx="69" formatCode="0.0">
                  <c:v>8.1999999999999993</c:v>
                </c:pt>
                <c:pt idx="70" formatCode="0.0">
                  <c:v>8</c:v>
                </c:pt>
                <c:pt idx="71" formatCode="0.0">
                  <c:v>7.9</c:v>
                </c:pt>
                <c:pt idx="72" formatCode="0.0">
                  <c:v>7.8</c:v>
                </c:pt>
                <c:pt idx="73" formatCode="0.0">
                  <c:v>7.8</c:v>
                </c:pt>
                <c:pt idx="74" formatCode="0.0">
                  <c:v>7.7</c:v>
                </c:pt>
                <c:pt idx="75" formatCode="0.0">
                  <c:v>7.7</c:v>
                </c:pt>
                <c:pt idx="76" formatCode="0.0">
                  <c:v>7.6</c:v>
                </c:pt>
                <c:pt idx="77" formatCode="0.0">
                  <c:v>7.6</c:v>
                </c:pt>
                <c:pt idx="78" formatCode="0.0">
                  <c:v>7.6</c:v>
                </c:pt>
                <c:pt idx="79" formatCode="0.0">
                  <c:v>7.6</c:v>
                </c:pt>
                <c:pt idx="80" formatCode="0.0">
                  <c:v>10.8</c:v>
                </c:pt>
                <c:pt idx="81" formatCode="0.0">
                  <c:v>11.8</c:v>
                </c:pt>
                <c:pt idx="82" formatCode="0.0">
                  <c:v>7.7</c:v>
                </c:pt>
                <c:pt idx="8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DDE-4E5C-8443-3E59EC55C029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'Боливия-Колвер'!$F$3:$F$86</c:f>
              <c:numCache>
                <c:formatCode>0.00</c:formatCode>
                <c:ptCount val="84"/>
                <c:pt idx="0">
                  <c:v>23.774000000000004</c:v>
                </c:pt>
                <c:pt idx="1">
                  <c:v>23.976999999999997</c:v>
                </c:pt>
                <c:pt idx="2">
                  <c:v>24.357999999999997</c:v>
                </c:pt>
                <c:pt idx="3">
                  <c:v>24.971</c:v>
                </c:pt>
                <c:pt idx="4">
                  <c:v>25.794999999999998</c:v>
                </c:pt>
                <c:pt idx="5">
                  <c:v>27.152999999999999</c:v>
                </c:pt>
                <c:pt idx="6">
                  <c:v>27.866000000000003</c:v>
                </c:pt>
                <c:pt idx="7">
                  <c:v>28.245999999999999</c:v>
                </c:pt>
                <c:pt idx="8">
                  <c:v>28.254999999999999</c:v>
                </c:pt>
                <c:pt idx="9">
                  <c:v>27.928000000000001</c:v>
                </c:pt>
                <c:pt idx="10">
                  <c:v>26.997000000000003</c:v>
                </c:pt>
                <c:pt idx="11">
                  <c:v>26.473000000000003</c:v>
                </c:pt>
                <c:pt idx="12">
                  <c:v>26.078000000000003</c:v>
                </c:pt>
                <c:pt idx="13">
                  <c:v>25.832999999999998</c:v>
                </c:pt>
                <c:pt idx="14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DDE-4E5C-8443-3E59EC55C029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'Боливия-Колвер'!$A$3:$A$86</c:f>
              <c:numCache>
                <c:formatCode>General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 formatCode="0">
                  <c:v>1955</c:v>
                </c:pt>
                <c:pt idx="16" formatCode="0">
                  <c:v>1956</c:v>
                </c:pt>
                <c:pt idx="17" formatCode="0">
                  <c:v>1957</c:v>
                </c:pt>
                <c:pt idx="18" formatCode="0">
                  <c:v>1958</c:v>
                </c:pt>
                <c:pt idx="19" formatCode="0">
                  <c:v>1959</c:v>
                </c:pt>
                <c:pt idx="20" formatCode="0">
                  <c:v>1960</c:v>
                </c:pt>
                <c:pt idx="21" formatCode="0">
                  <c:v>1961</c:v>
                </c:pt>
                <c:pt idx="22" formatCode="0">
                  <c:v>1962</c:v>
                </c:pt>
                <c:pt idx="23" formatCode="0">
                  <c:v>1963</c:v>
                </c:pt>
                <c:pt idx="24" formatCode="0">
                  <c:v>1964</c:v>
                </c:pt>
                <c:pt idx="25" formatCode="0">
                  <c:v>1965</c:v>
                </c:pt>
                <c:pt idx="26" formatCode="0">
                  <c:v>1966</c:v>
                </c:pt>
                <c:pt idx="27" formatCode="0">
                  <c:v>1967</c:v>
                </c:pt>
                <c:pt idx="28" formatCode="0">
                  <c:v>1968</c:v>
                </c:pt>
                <c:pt idx="29" formatCode="0">
                  <c:v>1969</c:v>
                </c:pt>
                <c:pt idx="30" formatCode="0">
                  <c:v>1970</c:v>
                </c:pt>
                <c:pt idx="31" formatCode="0">
                  <c:v>1971</c:v>
                </c:pt>
                <c:pt idx="32" formatCode="0">
                  <c:v>1972</c:v>
                </c:pt>
                <c:pt idx="33" formatCode="0">
                  <c:v>1973</c:v>
                </c:pt>
                <c:pt idx="34" formatCode="0">
                  <c:v>1974</c:v>
                </c:pt>
                <c:pt idx="35" formatCode="0">
                  <c:v>1975</c:v>
                </c:pt>
                <c:pt idx="36" formatCode="0">
                  <c:v>1976</c:v>
                </c:pt>
                <c:pt idx="37" formatCode="0">
                  <c:v>1977</c:v>
                </c:pt>
                <c:pt idx="38" formatCode="0">
                  <c:v>1978</c:v>
                </c:pt>
                <c:pt idx="39" formatCode="0">
                  <c:v>1979</c:v>
                </c:pt>
                <c:pt idx="40" formatCode="0">
                  <c:v>1980</c:v>
                </c:pt>
                <c:pt idx="41" formatCode="0">
                  <c:v>1981</c:v>
                </c:pt>
                <c:pt idx="42" formatCode="0">
                  <c:v>1982</c:v>
                </c:pt>
                <c:pt idx="43" formatCode="0">
                  <c:v>1983</c:v>
                </c:pt>
                <c:pt idx="44" formatCode="0">
                  <c:v>1984</c:v>
                </c:pt>
                <c:pt idx="45" formatCode="0">
                  <c:v>1985</c:v>
                </c:pt>
                <c:pt idx="46" formatCode="0">
                  <c:v>1986</c:v>
                </c:pt>
                <c:pt idx="47" formatCode="0">
                  <c:v>1987</c:v>
                </c:pt>
                <c:pt idx="48" formatCode="0">
                  <c:v>1988</c:v>
                </c:pt>
                <c:pt idx="49" formatCode="0">
                  <c:v>1989</c:v>
                </c:pt>
                <c:pt idx="50" formatCode="0">
                  <c:v>1990</c:v>
                </c:pt>
                <c:pt idx="51" formatCode="0">
                  <c:v>1991</c:v>
                </c:pt>
                <c:pt idx="52" formatCode="0">
                  <c:v>1992</c:v>
                </c:pt>
                <c:pt idx="53" formatCode="0">
                  <c:v>1993</c:v>
                </c:pt>
                <c:pt idx="54" formatCode="0">
                  <c:v>1994</c:v>
                </c:pt>
                <c:pt idx="55" formatCode="0">
                  <c:v>1995</c:v>
                </c:pt>
                <c:pt idx="56" formatCode="0">
                  <c:v>1996</c:v>
                </c:pt>
                <c:pt idx="57" formatCode="0">
                  <c:v>1997</c:v>
                </c:pt>
                <c:pt idx="58" formatCode="0">
                  <c:v>1998</c:v>
                </c:pt>
                <c:pt idx="59" formatCode="0">
                  <c:v>1999</c:v>
                </c:pt>
                <c:pt idx="60" formatCode="0">
                  <c:v>2000</c:v>
                </c:pt>
                <c:pt idx="61" formatCode="0">
                  <c:v>2001</c:v>
                </c:pt>
                <c:pt idx="62" formatCode="0">
                  <c:v>2002</c:v>
                </c:pt>
                <c:pt idx="63" formatCode="0">
                  <c:v>2003</c:v>
                </c:pt>
                <c:pt idx="64" formatCode="0">
                  <c:v>2004</c:v>
                </c:pt>
                <c:pt idx="65" formatCode="0">
                  <c:v>2005</c:v>
                </c:pt>
                <c:pt idx="66" formatCode="0">
                  <c:v>2006</c:v>
                </c:pt>
                <c:pt idx="67" formatCode="0">
                  <c:v>2007</c:v>
                </c:pt>
                <c:pt idx="68" formatCode="0">
                  <c:v>2008</c:v>
                </c:pt>
                <c:pt idx="69" formatCode="0">
                  <c:v>2009</c:v>
                </c:pt>
                <c:pt idx="70" formatCode="0">
                  <c:v>2010</c:v>
                </c:pt>
                <c:pt idx="71" formatCode="0">
                  <c:v>2011</c:v>
                </c:pt>
                <c:pt idx="72" formatCode="0">
                  <c:v>2012</c:v>
                </c:pt>
                <c:pt idx="73" formatCode="0">
                  <c:v>2013</c:v>
                </c:pt>
                <c:pt idx="74" formatCode="0">
                  <c:v>2014</c:v>
                </c:pt>
                <c:pt idx="75" formatCode="0">
                  <c:v>2015</c:v>
                </c:pt>
                <c:pt idx="76" formatCode="0">
                  <c:v>2016</c:v>
                </c:pt>
                <c:pt idx="77" formatCode="0">
                  <c:v>2017</c:v>
                </c:pt>
                <c:pt idx="78" formatCode="0">
                  <c:v>2018</c:v>
                </c:pt>
                <c:pt idx="79" formatCode="0">
                  <c:v>2019</c:v>
                </c:pt>
                <c:pt idx="80" formatCode="0">
                  <c:v>2020</c:v>
                </c:pt>
                <c:pt idx="81" formatCode="0">
                  <c:v>2021</c:v>
                </c:pt>
                <c:pt idx="82" formatCode="0">
                  <c:v>2022</c:v>
                </c:pt>
                <c:pt idx="83" formatCode="0">
                  <c:v>2023</c:v>
                </c:pt>
              </c:numCache>
            </c:numRef>
          </c:xVal>
          <c:yVal>
            <c:numRef>
              <c:f>'Боливия-Колвер'!$G$3:$G$86</c:f>
              <c:numCache>
                <c:formatCode>General</c:formatCode>
                <c:ptCount val="84"/>
                <c:pt idx="10" formatCode="0.0">
                  <c:v>17.2</c:v>
                </c:pt>
                <c:pt idx="11" formatCode="0.0">
                  <c:v>17.5</c:v>
                </c:pt>
                <c:pt idx="12" formatCode="0.0">
                  <c:v>17.8</c:v>
                </c:pt>
                <c:pt idx="13" formatCode="0.0">
                  <c:v>18.400000000000002</c:v>
                </c:pt>
                <c:pt idx="14" formatCode="0.0">
                  <c:v>18.899999999999999</c:v>
                </c:pt>
                <c:pt idx="15" formatCode="0.0">
                  <c:v>19.3</c:v>
                </c:pt>
                <c:pt idx="16" formatCode="0.0">
                  <c:v>19.600000000000001</c:v>
                </c:pt>
                <c:pt idx="17" formatCode="0.0">
                  <c:v>20.100000000000001</c:v>
                </c:pt>
                <c:pt idx="18" formatCode="0.0">
                  <c:v>20.499999999999996</c:v>
                </c:pt>
                <c:pt idx="19" formatCode="0.0">
                  <c:v>20.9</c:v>
                </c:pt>
                <c:pt idx="20" formatCode="0.0">
                  <c:v>21.2</c:v>
                </c:pt>
                <c:pt idx="21" formatCode="0.0">
                  <c:v>21.5</c:v>
                </c:pt>
                <c:pt idx="22" formatCode="0.0">
                  <c:v>21.799999999999997</c:v>
                </c:pt>
                <c:pt idx="23" formatCode="0.0">
                  <c:v>22.099999999999998</c:v>
                </c:pt>
                <c:pt idx="24" formatCode="0.0">
                  <c:v>22.300000000000004</c:v>
                </c:pt>
                <c:pt idx="25" formatCode="0.0">
                  <c:v>22.6</c:v>
                </c:pt>
                <c:pt idx="26" formatCode="0.0">
                  <c:v>22.9</c:v>
                </c:pt>
                <c:pt idx="27" formatCode="0.0">
                  <c:v>23.099999999999998</c:v>
                </c:pt>
                <c:pt idx="28" formatCode="0.0">
                  <c:v>23.4</c:v>
                </c:pt>
                <c:pt idx="29" formatCode="0.0">
                  <c:v>23.5</c:v>
                </c:pt>
                <c:pt idx="30" formatCode="0.0">
                  <c:v>23.500000000000004</c:v>
                </c:pt>
                <c:pt idx="31" formatCode="0.0">
                  <c:v>23.599999999999998</c:v>
                </c:pt>
                <c:pt idx="32" formatCode="0.0">
                  <c:v>23.4</c:v>
                </c:pt>
                <c:pt idx="33" formatCode="0.0">
                  <c:v>23.6</c:v>
                </c:pt>
                <c:pt idx="34" formatCode="0.0">
                  <c:v>23.8</c:v>
                </c:pt>
                <c:pt idx="35" formatCode="0.0">
                  <c:v>23.900000000000002</c:v>
                </c:pt>
                <c:pt idx="36" formatCode="0.0">
                  <c:v>24.500000000000004</c:v>
                </c:pt>
                <c:pt idx="37" formatCode="0.0">
                  <c:v>24.5</c:v>
                </c:pt>
                <c:pt idx="38" formatCode="0.0">
                  <c:v>24.4</c:v>
                </c:pt>
                <c:pt idx="39" formatCode="0.0">
                  <c:v>24.400000000000002</c:v>
                </c:pt>
                <c:pt idx="40" formatCode="0.0">
                  <c:v>24.400000000000002</c:v>
                </c:pt>
                <c:pt idx="41" formatCode="0.0">
                  <c:v>24.299999999999997</c:v>
                </c:pt>
                <c:pt idx="42" formatCode="0.0">
                  <c:v>23.999999999999996</c:v>
                </c:pt>
                <c:pt idx="43" formatCode="0.0">
                  <c:v>23.9</c:v>
                </c:pt>
                <c:pt idx="44" formatCode="0.0">
                  <c:v>24</c:v>
                </c:pt>
                <c:pt idx="45" formatCode="0.0">
                  <c:v>23.8</c:v>
                </c:pt>
                <c:pt idx="46" formatCode="0.0">
                  <c:v>23.9</c:v>
                </c:pt>
                <c:pt idx="47" formatCode="0.0">
                  <c:v>24</c:v>
                </c:pt>
                <c:pt idx="48" formatCode="0.0">
                  <c:v>24.099999999999998</c:v>
                </c:pt>
                <c:pt idx="49" formatCode="0.0">
                  <c:v>24.1</c:v>
                </c:pt>
                <c:pt idx="50" formatCode="0.0">
                  <c:v>24.1</c:v>
                </c:pt>
                <c:pt idx="51" formatCode="0.0">
                  <c:v>24.000000000000004</c:v>
                </c:pt>
                <c:pt idx="52" formatCode="0.0">
                  <c:v>23.4</c:v>
                </c:pt>
                <c:pt idx="53" formatCode="0.0">
                  <c:v>23.200000000000003</c:v>
                </c:pt>
                <c:pt idx="54" formatCode="0.0">
                  <c:v>22.7</c:v>
                </c:pt>
                <c:pt idx="55" formatCode="0.0">
                  <c:v>22.299999999999997</c:v>
                </c:pt>
                <c:pt idx="56" formatCode="0.0">
                  <c:v>21.999999999999996</c:v>
                </c:pt>
                <c:pt idx="57" formatCode="0.0">
                  <c:v>21.2</c:v>
                </c:pt>
                <c:pt idx="58" formatCode="0.0">
                  <c:v>21</c:v>
                </c:pt>
                <c:pt idx="59" formatCode="0.0">
                  <c:v>20.700000000000003</c:v>
                </c:pt>
                <c:pt idx="60" formatCode="0.0">
                  <c:v>20.100000000000001</c:v>
                </c:pt>
                <c:pt idx="61" formatCode="0.0">
                  <c:v>19.5</c:v>
                </c:pt>
                <c:pt idx="62" formatCode="0.0">
                  <c:v>19.100000000000001</c:v>
                </c:pt>
                <c:pt idx="63" formatCode="0.0">
                  <c:v>19</c:v>
                </c:pt>
                <c:pt idx="64" formatCode="0.0">
                  <c:v>18.7</c:v>
                </c:pt>
                <c:pt idx="65" formatCode="0.0">
                  <c:v>18.5</c:v>
                </c:pt>
                <c:pt idx="66" formatCode="0.0">
                  <c:v>18.700000000000003</c:v>
                </c:pt>
                <c:pt idx="67" formatCode="0.0">
                  <c:v>18.399999999999999</c:v>
                </c:pt>
                <c:pt idx="68" formatCode="0.0">
                  <c:v>18.099999999999998</c:v>
                </c:pt>
                <c:pt idx="69" formatCode="0.0">
                  <c:v>17.8</c:v>
                </c:pt>
                <c:pt idx="70" formatCode="0.0">
                  <c:v>17.600000000000001</c:v>
                </c:pt>
                <c:pt idx="71" formatCode="0.0">
                  <c:v>17.299999999999997</c:v>
                </c:pt>
                <c:pt idx="72" formatCode="0.0">
                  <c:v>17</c:v>
                </c:pt>
                <c:pt idx="73" formatCode="0.0">
                  <c:v>16.599999999999998</c:v>
                </c:pt>
                <c:pt idx="74" formatCode="0.0">
                  <c:v>16.3</c:v>
                </c:pt>
                <c:pt idx="75" formatCode="0.0">
                  <c:v>16</c:v>
                </c:pt>
                <c:pt idx="76" formatCode="0.0">
                  <c:v>15.700000000000001</c:v>
                </c:pt>
                <c:pt idx="77" formatCode="0.0">
                  <c:v>15.299999999999999</c:v>
                </c:pt>
                <c:pt idx="78" formatCode="0.0">
                  <c:v>15.000000000000002</c:v>
                </c:pt>
                <c:pt idx="79" formatCode="0.0">
                  <c:v>14.700000000000001</c:v>
                </c:pt>
                <c:pt idx="80" formatCode="0.0">
                  <c:v>11.2</c:v>
                </c:pt>
                <c:pt idx="81" formatCode="0.0">
                  <c:v>10</c:v>
                </c:pt>
                <c:pt idx="82" formatCode="0.0">
                  <c:v>13.900000000000002</c:v>
                </c:pt>
                <c:pt idx="8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DDE-4E5C-8443-3E59EC55C0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2565616"/>
        <c:axId val="802565944"/>
      </c:scatterChart>
      <c:valAx>
        <c:axId val="80256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944"/>
        <c:crosses val="autoZero"/>
        <c:crossBetween val="midCat"/>
      </c:valAx>
      <c:valAx>
        <c:axId val="802565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2565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'Гондурас-Колвер'!$B$3:$B$116</c:f>
              <c:numCache>
                <c:formatCode>0.00</c:formatCode>
                <c:ptCount val="114"/>
                <c:pt idx="0">
                  <c:v>44.281999999999996</c:v>
                </c:pt>
                <c:pt idx="1">
                  <c:v>44.137</c:v>
                </c:pt>
                <c:pt idx="2">
                  <c:v>43.865000000000002</c:v>
                </c:pt>
                <c:pt idx="3">
                  <c:v>43.43</c:v>
                </c:pt>
                <c:pt idx="4">
                  <c:v>42.854999999999997</c:v>
                </c:pt>
                <c:pt idx="5">
                  <c:v>41.874000000000002</c:v>
                </c:pt>
                <c:pt idx="6">
                  <c:v>41.472999999999999</c:v>
                </c:pt>
                <c:pt idx="7">
                  <c:v>41.375999999999998</c:v>
                </c:pt>
                <c:pt idx="8">
                  <c:v>41.613</c:v>
                </c:pt>
                <c:pt idx="9">
                  <c:v>42.154000000000003</c:v>
                </c:pt>
                <c:pt idx="10">
                  <c:v>43.293999999999997</c:v>
                </c:pt>
                <c:pt idx="11">
                  <c:v>43.975999999999999</c:v>
                </c:pt>
                <c:pt idx="12">
                  <c:v>44.484000000000002</c:v>
                </c:pt>
                <c:pt idx="13">
                  <c:v>44.783000000000001</c:v>
                </c:pt>
                <c:pt idx="14">
                  <c:v>44.878999999999998</c:v>
                </c:pt>
                <c:pt idx="15">
                  <c:v>44.707999999999998</c:v>
                </c:pt>
                <c:pt idx="16">
                  <c:v>44.503</c:v>
                </c:pt>
                <c:pt idx="17">
                  <c:v>44.201999999999998</c:v>
                </c:pt>
                <c:pt idx="18">
                  <c:v>43.811999999999998</c:v>
                </c:pt>
                <c:pt idx="19">
                  <c:v>43.345999999999997</c:v>
                </c:pt>
                <c:pt idx="20">
                  <c:v>42.7</c:v>
                </c:pt>
                <c:pt idx="21">
                  <c:v>42.256</c:v>
                </c:pt>
                <c:pt idx="22">
                  <c:v>41.908000000000001</c:v>
                </c:pt>
                <c:pt idx="23">
                  <c:v>41.664999999999999</c:v>
                </c:pt>
                <c:pt idx="24">
                  <c:v>41.53</c:v>
                </c:pt>
                <c:pt idx="25">
                  <c:v>41.496000000000002</c:v>
                </c:pt>
                <c:pt idx="26">
                  <c:v>41.58</c:v>
                </c:pt>
                <c:pt idx="27">
                  <c:v>41.777999999999999</c:v>
                </c:pt>
                <c:pt idx="28">
                  <c:v>42.091000000000001</c:v>
                </c:pt>
                <c:pt idx="29">
                  <c:v>42.506</c:v>
                </c:pt>
                <c:pt idx="30">
                  <c:v>43.143999999999998</c:v>
                </c:pt>
                <c:pt idx="31">
                  <c:v>43.567999999999998</c:v>
                </c:pt>
                <c:pt idx="32">
                  <c:v>43.895000000000003</c:v>
                </c:pt>
                <c:pt idx="33">
                  <c:v>44.110999999999997</c:v>
                </c:pt>
                <c:pt idx="34">
                  <c:v>44.226999999999997</c:v>
                </c:pt>
                <c:pt idx="35">
                  <c:v>44.137</c:v>
                </c:pt>
                <c:pt idx="36">
                  <c:v>44.231000000000002</c:v>
                </c:pt>
                <c:pt idx="37">
                  <c:v>44.402999999999999</c:v>
                </c:pt>
                <c:pt idx="38">
                  <c:v>44.665999999999997</c:v>
                </c:pt>
                <c:pt idx="39">
                  <c:v>45.006999999999998</c:v>
                </c:pt>
                <c:pt idx="40">
                  <c:v>45.533000000000001</c:v>
                </c:pt>
                <c:pt idx="41">
                  <c:v>45.86</c:v>
                </c:pt>
                <c:pt idx="42">
                  <c:v>46.093000000000004</c:v>
                </c:pt>
                <c:pt idx="43">
                  <c:v>46.216999999999999</c:v>
                </c:pt>
                <c:pt idx="44">
                  <c:v>46.241999999999997</c:v>
                </c:pt>
                <c:pt idx="45">
                  <c:v>46.098999999999997</c:v>
                </c:pt>
                <c:pt idx="46">
                  <c:v>46.036000000000001</c:v>
                </c:pt>
                <c:pt idx="47">
                  <c:v>45.985999999999997</c:v>
                </c:pt>
                <c:pt idx="48">
                  <c:v>45.954000000000001</c:v>
                </c:pt>
                <c:pt idx="49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4-4B94-BDC6-FDE2F22C8715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'Гондурас-Колвер'!$C$3:$C$116</c:f>
              <c:numCache>
                <c:formatCode>0.00</c:formatCode>
                <c:ptCount val="114"/>
                <c:pt idx="0">
                  <c:v>23.646999999999998</c:v>
                </c:pt>
                <c:pt idx="1">
                  <c:v>23.856999999999999</c:v>
                </c:pt>
                <c:pt idx="2">
                  <c:v>24.253</c:v>
                </c:pt>
                <c:pt idx="3">
                  <c:v>24.893000000000001</c:v>
                </c:pt>
                <c:pt idx="4">
                  <c:v>25.748000000000001</c:v>
                </c:pt>
                <c:pt idx="5">
                  <c:v>27.263999999999999</c:v>
                </c:pt>
                <c:pt idx="6">
                  <c:v>27.859000000000002</c:v>
                </c:pt>
                <c:pt idx="7">
                  <c:v>27.943000000000001</c:v>
                </c:pt>
                <c:pt idx="8">
                  <c:v>27.466999999999999</c:v>
                </c:pt>
                <c:pt idx="9">
                  <c:v>26.495000000000001</c:v>
                </c:pt>
                <c:pt idx="10">
                  <c:v>24.561</c:v>
                </c:pt>
                <c:pt idx="11">
                  <c:v>23.49</c:v>
                </c:pt>
                <c:pt idx="12">
                  <c:v>22.757000000000001</c:v>
                </c:pt>
                <c:pt idx="13">
                  <c:v>22.405999999999999</c:v>
                </c:pt>
                <c:pt idx="14">
                  <c:v>22.399000000000001</c:v>
                </c:pt>
                <c:pt idx="15">
                  <c:v>23.030999999999999</c:v>
                </c:pt>
                <c:pt idx="16">
                  <c:v>23.225000000000001</c:v>
                </c:pt>
                <c:pt idx="17">
                  <c:v>23.271999999999998</c:v>
                </c:pt>
                <c:pt idx="18">
                  <c:v>23.138999999999999</c:v>
                </c:pt>
                <c:pt idx="19">
                  <c:v>22.843</c:v>
                </c:pt>
                <c:pt idx="20">
                  <c:v>22.239000000000001</c:v>
                </c:pt>
                <c:pt idx="21">
                  <c:v>21.876999999999999</c:v>
                </c:pt>
                <c:pt idx="22">
                  <c:v>21.606000000000002</c:v>
                </c:pt>
                <c:pt idx="23">
                  <c:v>21.44</c:v>
                </c:pt>
                <c:pt idx="24">
                  <c:v>21.381</c:v>
                </c:pt>
                <c:pt idx="25">
                  <c:v>21.407</c:v>
                </c:pt>
                <c:pt idx="26">
                  <c:v>21.6</c:v>
                </c:pt>
                <c:pt idx="27">
                  <c:v>21.94</c:v>
                </c:pt>
                <c:pt idx="28">
                  <c:v>22.431000000000001</c:v>
                </c:pt>
                <c:pt idx="29">
                  <c:v>23.041</c:v>
                </c:pt>
                <c:pt idx="30">
                  <c:v>24.094000000000001</c:v>
                </c:pt>
                <c:pt idx="31">
                  <c:v>24.427</c:v>
                </c:pt>
                <c:pt idx="32">
                  <c:v>24.344999999999999</c:v>
                </c:pt>
                <c:pt idx="33">
                  <c:v>23.815999999999999</c:v>
                </c:pt>
                <c:pt idx="34">
                  <c:v>22.879000000000001</c:v>
                </c:pt>
                <c:pt idx="35">
                  <c:v>21.271000000000001</c:v>
                </c:pt>
                <c:pt idx="36">
                  <c:v>20.059000000000001</c:v>
                </c:pt>
                <c:pt idx="37">
                  <c:v>18.940999999999999</c:v>
                </c:pt>
                <c:pt idx="38">
                  <c:v>17.942</c:v>
                </c:pt>
                <c:pt idx="39">
                  <c:v>17.053999999999998</c:v>
                </c:pt>
                <c:pt idx="40">
                  <c:v>16.297000000000001</c:v>
                </c:pt>
                <c:pt idx="41">
                  <c:v>15.568</c:v>
                </c:pt>
                <c:pt idx="42">
                  <c:v>14.891</c:v>
                </c:pt>
                <c:pt idx="43">
                  <c:v>14.262</c:v>
                </c:pt>
                <c:pt idx="44">
                  <c:v>13.683999999999999</c:v>
                </c:pt>
                <c:pt idx="45">
                  <c:v>13.111000000000001</c:v>
                </c:pt>
                <c:pt idx="46">
                  <c:v>12.702</c:v>
                </c:pt>
                <c:pt idx="47">
                  <c:v>12.409000000000001</c:v>
                </c:pt>
                <c:pt idx="48">
                  <c:v>12.227</c:v>
                </c:pt>
                <c:pt idx="49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34-4B94-BDC6-FDE2F22C8715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'Гондурас-Колвер'!$D$3:$D$116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34-4B94-BDC6-FDE2F22C8715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'Гондурас-Колвер'!$E$3:$E$116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C34-4B94-BDC6-FDE2F22C8715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'Гондурас-Колвер'!$F$3:$F$116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17.106999999999996</c:v>
                </c:pt>
                <c:pt idx="5">
                  <c:v>14.610000000000003</c:v>
                </c:pt>
                <c:pt idx="6">
                  <c:v>13.613999999999997</c:v>
                </c:pt>
                <c:pt idx="7">
                  <c:v>13.432999999999996</c:v>
                </c:pt>
                <c:pt idx="8">
                  <c:v>14.146000000000001</c:v>
                </c:pt>
                <c:pt idx="9">
                  <c:v>15.659000000000002</c:v>
                </c:pt>
                <c:pt idx="10">
                  <c:v>18.732999999999997</c:v>
                </c:pt>
                <c:pt idx="11">
                  <c:v>20.486000000000001</c:v>
                </c:pt>
                <c:pt idx="12">
                  <c:v>21.727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20.672999999999998</c:v>
                </c:pt>
                <c:pt idx="19">
                  <c:v>20.502999999999997</c:v>
                </c:pt>
                <c:pt idx="20">
                  <c:v>20.461000000000002</c:v>
                </c:pt>
                <c:pt idx="21">
                  <c:v>20.379000000000001</c:v>
                </c:pt>
                <c:pt idx="22">
                  <c:v>20.302</c:v>
                </c:pt>
                <c:pt idx="23">
                  <c:v>20.224999999999998</c:v>
                </c:pt>
                <c:pt idx="24">
                  <c:v>20.149000000000001</c:v>
                </c:pt>
                <c:pt idx="25">
                  <c:v>20.089000000000002</c:v>
                </c:pt>
                <c:pt idx="26">
                  <c:v>19.979999999999997</c:v>
                </c:pt>
                <c:pt idx="27">
                  <c:v>19.837999999999997</c:v>
                </c:pt>
                <c:pt idx="28">
                  <c:v>19.66</c:v>
                </c:pt>
                <c:pt idx="29">
                  <c:v>19.465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20.294999999999998</c:v>
                </c:pt>
                <c:pt idx="34">
                  <c:v>21.347999999999995</c:v>
                </c:pt>
                <c:pt idx="35">
                  <c:v>22.866</c:v>
                </c:pt>
                <c:pt idx="36">
                  <c:v>24.172000000000001</c:v>
                </c:pt>
                <c:pt idx="37">
                  <c:v>25.462</c:v>
                </c:pt>
                <c:pt idx="38">
                  <c:v>26.723999999999997</c:v>
                </c:pt>
                <c:pt idx="39">
                  <c:v>27.952999999999999</c:v>
                </c:pt>
                <c:pt idx="40">
                  <c:v>29.236000000000001</c:v>
                </c:pt>
                <c:pt idx="41">
                  <c:v>30.292000000000002</c:v>
                </c:pt>
                <c:pt idx="42">
                  <c:v>31.202000000000005</c:v>
                </c:pt>
                <c:pt idx="43">
                  <c:v>31.954999999999998</c:v>
                </c:pt>
                <c:pt idx="44">
                  <c:v>32.558</c:v>
                </c:pt>
                <c:pt idx="45">
                  <c:v>32.988</c:v>
                </c:pt>
                <c:pt idx="46">
                  <c:v>33.334000000000003</c:v>
                </c:pt>
                <c:pt idx="47">
                  <c:v>33.576999999999998</c:v>
                </c:pt>
                <c:pt idx="48">
                  <c:v>33.727000000000004</c:v>
                </c:pt>
                <c:pt idx="49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C34-4B94-BDC6-FDE2F22C8715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ер2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'Гондурас-Колвер'!$G$3:$G$116</c:f>
              <c:numCache>
                <c:formatCode>General</c:formatCode>
                <c:ptCount val="114"/>
                <c:pt idx="40" formatCode="0.0">
                  <c:v>26.8</c:v>
                </c:pt>
                <c:pt idx="41" formatCode="0.0">
                  <c:v>27.299999999999997</c:v>
                </c:pt>
                <c:pt idx="42" formatCode="0.0">
                  <c:v>27.699999999999996</c:v>
                </c:pt>
                <c:pt idx="43" formatCode="0.0">
                  <c:v>28.1</c:v>
                </c:pt>
                <c:pt idx="44" formatCode="0.0">
                  <c:v>28.5</c:v>
                </c:pt>
                <c:pt idx="45" formatCode="0.0">
                  <c:v>28.900000000000002</c:v>
                </c:pt>
                <c:pt idx="46" formatCode="0.0">
                  <c:v>29.200000000000003</c:v>
                </c:pt>
                <c:pt idx="47" formatCode="0.0">
                  <c:v>29.499999999999996</c:v>
                </c:pt>
                <c:pt idx="48" formatCode="0.0">
                  <c:v>29.799999999999997</c:v>
                </c:pt>
                <c:pt idx="49" formatCode="0.0">
                  <c:v>30.099999999999998</c:v>
                </c:pt>
                <c:pt idx="50" formatCode="0.0">
                  <c:v>30.299999999999997</c:v>
                </c:pt>
                <c:pt idx="51" formatCode="0.0">
                  <c:v>30.5</c:v>
                </c:pt>
                <c:pt idx="52" formatCode="0.0">
                  <c:v>30.900000000000002</c:v>
                </c:pt>
                <c:pt idx="53" formatCode="0.0">
                  <c:v>31.1</c:v>
                </c:pt>
                <c:pt idx="54" formatCode="0.0">
                  <c:v>31.5</c:v>
                </c:pt>
                <c:pt idx="55" formatCode="0.0">
                  <c:v>31.800000000000004</c:v>
                </c:pt>
                <c:pt idx="56" formatCode="0.0">
                  <c:v>31.999999999999996</c:v>
                </c:pt>
                <c:pt idx="57" formatCode="0.0">
                  <c:v>32.200000000000003</c:v>
                </c:pt>
                <c:pt idx="58" formatCode="0.0">
                  <c:v>32.400000000000006</c:v>
                </c:pt>
                <c:pt idx="59" formatCode="0.0">
                  <c:v>32.700000000000003</c:v>
                </c:pt>
                <c:pt idx="60" formatCode="0.0">
                  <c:v>33.099999999999994</c:v>
                </c:pt>
                <c:pt idx="61" formatCode="0.0">
                  <c:v>33.400000000000006</c:v>
                </c:pt>
                <c:pt idx="62" formatCode="0.0">
                  <c:v>33.700000000000003</c:v>
                </c:pt>
                <c:pt idx="63" formatCode="0.0">
                  <c:v>33</c:v>
                </c:pt>
                <c:pt idx="64" formatCode="0.0">
                  <c:v>31.599999999999998</c:v>
                </c:pt>
                <c:pt idx="65" formatCode="0.0">
                  <c:v>34.9</c:v>
                </c:pt>
                <c:pt idx="66" formatCode="0.0">
                  <c:v>35.1</c:v>
                </c:pt>
                <c:pt idx="67" formatCode="0.0">
                  <c:v>35.1</c:v>
                </c:pt>
                <c:pt idx="68" formatCode="0.0">
                  <c:v>35</c:v>
                </c:pt>
                <c:pt idx="69" formatCode="0.0">
                  <c:v>34.9</c:v>
                </c:pt>
                <c:pt idx="70" formatCode="0.0">
                  <c:v>34.599999999999994</c:v>
                </c:pt>
                <c:pt idx="71" formatCode="0.0">
                  <c:v>34.300000000000004</c:v>
                </c:pt>
                <c:pt idx="72" formatCode="0.0">
                  <c:v>34</c:v>
                </c:pt>
                <c:pt idx="73" formatCode="0.0">
                  <c:v>33.700000000000003</c:v>
                </c:pt>
                <c:pt idx="74" formatCode="0.0">
                  <c:v>33.299999999999997</c:v>
                </c:pt>
                <c:pt idx="75" formatCode="0.0">
                  <c:v>32.900000000000006</c:v>
                </c:pt>
                <c:pt idx="76" formatCode="0.0">
                  <c:v>32.5</c:v>
                </c:pt>
                <c:pt idx="77" formatCode="0.0">
                  <c:v>32.1</c:v>
                </c:pt>
                <c:pt idx="78" formatCode="0.0">
                  <c:v>31.699999999999996</c:v>
                </c:pt>
                <c:pt idx="79" formatCode="0.0">
                  <c:v>31.499999999999996</c:v>
                </c:pt>
                <c:pt idx="80" formatCode="0.0">
                  <c:v>31.5</c:v>
                </c:pt>
                <c:pt idx="81" formatCode="0.0">
                  <c:v>31.400000000000002</c:v>
                </c:pt>
                <c:pt idx="82" formatCode="0.0">
                  <c:v>31.299999999999997</c:v>
                </c:pt>
                <c:pt idx="83" formatCode="0.0">
                  <c:v>31.300000000000004</c:v>
                </c:pt>
                <c:pt idx="84" formatCode="0.0">
                  <c:v>31.099999999999998</c:v>
                </c:pt>
                <c:pt idx="85" formatCode="0.0">
                  <c:v>30.9</c:v>
                </c:pt>
                <c:pt idx="86" formatCode="0.0">
                  <c:v>30.499999999999996</c:v>
                </c:pt>
                <c:pt idx="87" formatCode="0.0">
                  <c:v>30.1</c:v>
                </c:pt>
                <c:pt idx="88" formatCode="0.0">
                  <c:v>27.200000000000003</c:v>
                </c:pt>
                <c:pt idx="89" formatCode="0.0">
                  <c:v>29.200000000000003</c:v>
                </c:pt>
                <c:pt idx="90" formatCode="0.0">
                  <c:v>29.000000000000004</c:v>
                </c:pt>
                <c:pt idx="91" formatCode="0.0">
                  <c:v>28.299999999999997</c:v>
                </c:pt>
                <c:pt idx="92" formatCode="0.0">
                  <c:v>27.4</c:v>
                </c:pt>
                <c:pt idx="93" formatCode="0.0">
                  <c:v>26.4</c:v>
                </c:pt>
                <c:pt idx="94" formatCode="0.0">
                  <c:v>25.6</c:v>
                </c:pt>
                <c:pt idx="95" formatCode="0.0">
                  <c:v>24.8</c:v>
                </c:pt>
                <c:pt idx="96" formatCode="0.0">
                  <c:v>23.9</c:v>
                </c:pt>
                <c:pt idx="97" formatCode="0.0">
                  <c:v>23.3</c:v>
                </c:pt>
                <c:pt idx="98" formatCode="0.0">
                  <c:v>22.8</c:v>
                </c:pt>
                <c:pt idx="99" formatCode="0.0">
                  <c:v>22.3</c:v>
                </c:pt>
                <c:pt idx="100" formatCode="0.0">
                  <c:v>21.5</c:v>
                </c:pt>
                <c:pt idx="101" formatCode="0.0">
                  <c:v>21.1</c:v>
                </c:pt>
                <c:pt idx="102" formatCode="0.0">
                  <c:v>20.700000000000003</c:v>
                </c:pt>
                <c:pt idx="103" formatCode="0.0">
                  <c:v>20.200000000000003</c:v>
                </c:pt>
                <c:pt idx="104" formatCode="0.0">
                  <c:v>19.899999999999999</c:v>
                </c:pt>
                <c:pt idx="105" formatCode="0.0">
                  <c:v>19.600000000000001</c:v>
                </c:pt>
                <c:pt idx="106" formatCode="0.0">
                  <c:v>19.399999999999999</c:v>
                </c:pt>
                <c:pt idx="107" formatCode="0.0">
                  <c:v>19.100000000000001</c:v>
                </c:pt>
                <c:pt idx="108" formatCode="0.0">
                  <c:v>18.899999999999999</c:v>
                </c:pt>
                <c:pt idx="109" formatCode="0.0">
                  <c:v>18.600000000000001</c:v>
                </c:pt>
                <c:pt idx="110" formatCode="0.0">
                  <c:v>17.700000000000003</c:v>
                </c:pt>
                <c:pt idx="111" formatCode="0.0">
                  <c:v>16.8</c:v>
                </c:pt>
                <c:pt idx="112" formatCode="0.0">
                  <c:v>17.799999999999997</c:v>
                </c:pt>
                <c:pt idx="11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C34-4B94-BDC6-FDE2F22C8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679656"/>
        <c:axId val="805678344"/>
      </c:scatterChart>
      <c:valAx>
        <c:axId val="80567965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8344"/>
        <c:crosses val="autoZero"/>
        <c:crossBetween val="midCat"/>
        <c:majorUnit val="10"/>
      </c:valAx>
      <c:valAx>
        <c:axId val="805678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056796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992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'Мексика-Колвер'!$K$3:$K$131</c:f>
              <c:numCache>
                <c:formatCode>0.0</c:formatCode>
                <c:ptCount val="129"/>
                <c:pt idx="0">
                  <c:v>47.476999999999997</c:v>
                </c:pt>
                <c:pt idx="1">
                  <c:v>47.433</c:v>
                </c:pt>
                <c:pt idx="2">
                  <c:v>47.35</c:v>
                </c:pt>
                <c:pt idx="3">
                  <c:v>47.216999999999999</c:v>
                </c:pt>
                <c:pt idx="4">
                  <c:v>47.037999999999997</c:v>
                </c:pt>
                <c:pt idx="5">
                  <c:v>46.755000000000003</c:v>
                </c:pt>
                <c:pt idx="6">
                  <c:v>46.579000000000001</c:v>
                </c:pt>
                <c:pt idx="7">
                  <c:v>46.451000000000001</c:v>
                </c:pt>
                <c:pt idx="8">
                  <c:v>46.378</c:v>
                </c:pt>
                <c:pt idx="9">
                  <c:v>46.348999999999997</c:v>
                </c:pt>
                <c:pt idx="10">
                  <c:v>46.462000000000003</c:v>
                </c:pt>
                <c:pt idx="11">
                  <c:v>46.356999999999999</c:v>
                </c:pt>
                <c:pt idx="12">
                  <c:v>46.134</c:v>
                </c:pt>
                <c:pt idx="13">
                  <c:v>45.781999999999996</c:v>
                </c:pt>
                <c:pt idx="14">
                  <c:v>45.304000000000002</c:v>
                </c:pt>
                <c:pt idx="15">
                  <c:v>44.673999999999999</c:v>
                </c:pt>
                <c:pt idx="16">
                  <c:v>44.000999999999998</c:v>
                </c:pt>
                <c:pt idx="17">
                  <c:v>43.256</c:v>
                </c:pt>
                <c:pt idx="18">
                  <c:v>42.442999999999998</c:v>
                </c:pt>
                <c:pt idx="19">
                  <c:v>41.597999999999999</c:v>
                </c:pt>
                <c:pt idx="20">
                  <c:v>40.414999999999999</c:v>
                </c:pt>
                <c:pt idx="21">
                  <c:v>40.024999999999999</c:v>
                </c:pt>
                <c:pt idx="22">
                  <c:v>40.110999999999997</c:v>
                </c:pt>
                <c:pt idx="23">
                  <c:v>40.707000000000001</c:v>
                </c:pt>
                <c:pt idx="24">
                  <c:v>41.765000000000001</c:v>
                </c:pt>
                <c:pt idx="25">
                  <c:v>43.822000000000003</c:v>
                </c:pt>
                <c:pt idx="26">
                  <c:v>44.978000000000002</c:v>
                </c:pt>
                <c:pt idx="27">
                  <c:v>45.73</c:v>
                </c:pt>
                <c:pt idx="28">
                  <c:v>46.015999999999998</c:v>
                </c:pt>
                <c:pt idx="29">
                  <c:v>45.869</c:v>
                </c:pt>
                <c:pt idx="30">
                  <c:v>44.963000000000001</c:v>
                </c:pt>
                <c:pt idx="31">
                  <c:v>44.506</c:v>
                </c:pt>
                <c:pt idx="32">
                  <c:v>44.165999999999997</c:v>
                </c:pt>
                <c:pt idx="33">
                  <c:v>43.978999999999999</c:v>
                </c:pt>
                <c:pt idx="34">
                  <c:v>43.932000000000002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'Мексика-Колвер'!$L$3:$L$131</c:f>
              <c:numCache>
                <c:formatCode>0.0</c:formatCode>
                <c:ptCount val="129"/>
                <c:pt idx="0">
                  <c:v>34.473999999999997</c:v>
                </c:pt>
                <c:pt idx="1">
                  <c:v>34.456000000000003</c:v>
                </c:pt>
                <c:pt idx="2">
                  <c:v>34.421999999999997</c:v>
                </c:pt>
                <c:pt idx="3">
                  <c:v>34.369</c:v>
                </c:pt>
                <c:pt idx="4">
                  <c:v>34.284999999999997</c:v>
                </c:pt>
                <c:pt idx="5">
                  <c:v>34.247</c:v>
                </c:pt>
                <c:pt idx="6">
                  <c:v>33.978999999999999</c:v>
                </c:pt>
                <c:pt idx="7">
                  <c:v>33.558</c:v>
                </c:pt>
                <c:pt idx="8">
                  <c:v>32.978000000000002</c:v>
                </c:pt>
                <c:pt idx="9">
                  <c:v>32.302999999999997</c:v>
                </c:pt>
                <c:pt idx="10">
                  <c:v>30.978999999999999</c:v>
                </c:pt>
                <c:pt idx="11">
                  <c:v>31.055</c:v>
                </c:pt>
                <c:pt idx="12">
                  <c:v>31.966000000000001</c:v>
                </c:pt>
                <c:pt idx="13">
                  <c:v>33.802</c:v>
                </c:pt>
                <c:pt idx="14">
                  <c:v>36.517000000000003</c:v>
                </c:pt>
                <c:pt idx="15">
                  <c:v>41.073</c:v>
                </c:pt>
                <c:pt idx="16">
                  <c:v>44.375999999999998</c:v>
                </c:pt>
                <c:pt idx="17">
                  <c:v>47.207000000000001</c:v>
                </c:pt>
                <c:pt idx="18">
                  <c:v>49.438000000000002</c:v>
                </c:pt>
                <c:pt idx="19">
                  <c:v>50.99</c:v>
                </c:pt>
                <c:pt idx="20">
                  <c:v>52.290999999999997</c:v>
                </c:pt>
                <c:pt idx="21">
                  <c:v>51.691000000000003</c:v>
                </c:pt>
                <c:pt idx="22">
                  <c:v>49.643999999999998</c:v>
                </c:pt>
                <c:pt idx="23">
                  <c:v>46.161999999999999</c:v>
                </c:pt>
                <c:pt idx="24">
                  <c:v>41.500999999999998</c:v>
                </c:pt>
                <c:pt idx="25">
                  <c:v>34.396000000000001</c:v>
                </c:pt>
                <c:pt idx="26">
                  <c:v>30.242000000000001</c:v>
                </c:pt>
                <c:pt idx="27">
                  <c:v>27.283000000000001</c:v>
                </c:pt>
                <c:pt idx="28">
                  <c:v>25.558</c:v>
                </c:pt>
                <c:pt idx="29">
                  <c:v>24.919</c:v>
                </c:pt>
                <c:pt idx="30">
                  <c:v>25.994</c:v>
                </c:pt>
                <c:pt idx="31">
                  <c:v>26.395</c:v>
                </c:pt>
                <c:pt idx="32">
                  <c:v>26.773</c:v>
                </c:pt>
                <c:pt idx="33">
                  <c:v>27.053999999999998</c:v>
                </c:pt>
                <c:pt idx="34">
                  <c:v>27.23</c:v>
                </c:pt>
                <c:pt idx="35">
                  <c:v>27.356999999999999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22.966999999999999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'Мексика-Колвер'!$M$3:$M$131</c:f>
              <c:numCache>
                <c:formatCode>0.0</c:formatCode>
                <c:ptCount val="129"/>
                <c:pt idx="0">
                  <c:v>13.003</c:v>
                </c:pt>
                <c:pt idx="1">
                  <c:v>12.976999999999997</c:v>
                </c:pt>
                <c:pt idx="2">
                  <c:v>12.928000000000004</c:v>
                </c:pt>
                <c:pt idx="3">
                  <c:v>12.847999999999999</c:v>
                </c:pt>
                <c:pt idx="4">
                  <c:v>12.753</c:v>
                </c:pt>
                <c:pt idx="5">
                  <c:v>12.508000000000003</c:v>
                </c:pt>
                <c:pt idx="6">
                  <c:v>12.600000000000001</c:v>
                </c:pt>
                <c:pt idx="7">
                  <c:v>12.893000000000001</c:v>
                </c:pt>
                <c:pt idx="8">
                  <c:v>13.399999999999999</c:v>
                </c:pt>
                <c:pt idx="9">
                  <c:v>14.045999999999999</c:v>
                </c:pt>
                <c:pt idx="10">
                  <c:v>15.483000000000004</c:v>
                </c:pt>
                <c:pt idx="11">
                  <c:v>15.302</c:v>
                </c:pt>
                <c:pt idx="12">
                  <c:v>14.167999999999999</c:v>
                </c:pt>
                <c:pt idx="13">
                  <c:v>11.979999999999997</c:v>
                </c:pt>
                <c:pt idx="14">
                  <c:v>8.786999999999999</c:v>
                </c:pt>
                <c:pt idx="15">
                  <c:v>3.6009999999999991</c:v>
                </c:pt>
                <c:pt idx="16">
                  <c:v>-0.375</c:v>
                </c:pt>
                <c:pt idx="17">
                  <c:v>-3.9510000000000005</c:v>
                </c:pt>
                <c:pt idx="18">
                  <c:v>-6.9950000000000045</c:v>
                </c:pt>
                <c:pt idx="19">
                  <c:v>-9.392000000000003</c:v>
                </c:pt>
                <c:pt idx="20">
                  <c:v>-11.875999999999998</c:v>
                </c:pt>
                <c:pt idx="21">
                  <c:v>-11.666000000000004</c:v>
                </c:pt>
                <c:pt idx="22">
                  <c:v>-9.5330000000000013</c:v>
                </c:pt>
                <c:pt idx="23">
                  <c:v>-5.4549999999999983</c:v>
                </c:pt>
                <c:pt idx="24">
                  <c:v>0.2640000000000029</c:v>
                </c:pt>
                <c:pt idx="25">
                  <c:v>9.4260000000000019</c:v>
                </c:pt>
                <c:pt idx="26">
                  <c:v>14.736000000000001</c:v>
                </c:pt>
                <c:pt idx="27">
                  <c:v>18.446999999999996</c:v>
                </c:pt>
                <c:pt idx="28">
                  <c:v>20.457999999999998</c:v>
                </c:pt>
                <c:pt idx="29">
                  <c:v>20.95</c:v>
                </c:pt>
                <c:pt idx="30">
                  <c:v>18.969000000000001</c:v>
                </c:pt>
                <c:pt idx="31">
                  <c:v>18.111000000000001</c:v>
                </c:pt>
                <c:pt idx="32">
                  <c:v>17.392999999999997</c:v>
                </c:pt>
                <c:pt idx="33">
                  <c:v>16.925000000000001</c:v>
                </c:pt>
                <c:pt idx="34">
                  <c:v>16.702000000000002</c:v>
                </c:pt>
                <c:pt idx="35">
                  <c:v>16.783000000000001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20.447000000000003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(1950-2023</a:t>
            </a:r>
            <a:r>
              <a:rPr lang="en-US"/>
              <a:t>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Парагвай!$B$2:$B$75</c:f>
              <c:numCache>
                <c:formatCode>0.0</c:formatCode>
                <c:ptCount val="74"/>
                <c:pt idx="0">
                  <c:v>44.5</c:v>
                </c:pt>
                <c:pt idx="1">
                  <c:v>44.3</c:v>
                </c:pt>
                <c:pt idx="2">
                  <c:v>44.1</c:v>
                </c:pt>
                <c:pt idx="3">
                  <c:v>43.9</c:v>
                </c:pt>
                <c:pt idx="4">
                  <c:v>43.6</c:v>
                </c:pt>
                <c:pt idx="5">
                  <c:v>43.4</c:v>
                </c:pt>
                <c:pt idx="6">
                  <c:v>43.1</c:v>
                </c:pt>
                <c:pt idx="7">
                  <c:v>42.9</c:v>
                </c:pt>
                <c:pt idx="8">
                  <c:v>42.7</c:v>
                </c:pt>
                <c:pt idx="9">
                  <c:v>42.5</c:v>
                </c:pt>
                <c:pt idx="10">
                  <c:v>42.4</c:v>
                </c:pt>
                <c:pt idx="11">
                  <c:v>42.3</c:v>
                </c:pt>
                <c:pt idx="12">
                  <c:v>42.2</c:v>
                </c:pt>
                <c:pt idx="13">
                  <c:v>42.1</c:v>
                </c:pt>
                <c:pt idx="14">
                  <c:v>41.7</c:v>
                </c:pt>
                <c:pt idx="15">
                  <c:v>41</c:v>
                </c:pt>
                <c:pt idx="16">
                  <c:v>40.200000000000003</c:v>
                </c:pt>
                <c:pt idx="17">
                  <c:v>39.200000000000003</c:v>
                </c:pt>
                <c:pt idx="18">
                  <c:v>38.4</c:v>
                </c:pt>
                <c:pt idx="19">
                  <c:v>37.6</c:v>
                </c:pt>
                <c:pt idx="20">
                  <c:v>37</c:v>
                </c:pt>
                <c:pt idx="21">
                  <c:v>36.299999999999997</c:v>
                </c:pt>
                <c:pt idx="22">
                  <c:v>35.799999999999997</c:v>
                </c:pt>
                <c:pt idx="23">
                  <c:v>35.4</c:v>
                </c:pt>
                <c:pt idx="24">
                  <c:v>35.200000000000003</c:v>
                </c:pt>
                <c:pt idx="25">
                  <c:v>34.9</c:v>
                </c:pt>
                <c:pt idx="26">
                  <c:v>34.799999999999997</c:v>
                </c:pt>
                <c:pt idx="27">
                  <c:v>35</c:v>
                </c:pt>
                <c:pt idx="28">
                  <c:v>35.1</c:v>
                </c:pt>
                <c:pt idx="29">
                  <c:v>35.6</c:v>
                </c:pt>
                <c:pt idx="30">
                  <c:v>36.200000000000003</c:v>
                </c:pt>
                <c:pt idx="31">
                  <c:v>36.9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36.799999999999997</c:v>
                </c:pt>
                <c:pt idx="36">
                  <c:v>36.5</c:v>
                </c:pt>
                <c:pt idx="37">
                  <c:v>36.1</c:v>
                </c:pt>
                <c:pt idx="38">
                  <c:v>35.799999999999997</c:v>
                </c:pt>
                <c:pt idx="39">
                  <c:v>35.200000000000003</c:v>
                </c:pt>
                <c:pt idx="40">
                  <c:v>34.4</c:v>
                </c:pt>
                <c:pt idx="41">
                  <c:v>33.9</c:v>
                </c:pt>
                <c:pt idx="42">
                  <c:v>33.299999999999997</c:v>
                </c:pt>
                <c:pt idx="43">
                  <c:v>32.4</c:v>
                </c:pt>
                <c:pt idx="44">
                  <c:v>31.7</c:v>
                </c:pt>
                <c:pt idx="45">
                  <c:v>31</c:v>
                </c:pt>
                <c:pt idx="46">
                  <c:v>30.3</c:v>
                </c:pt>
                <c:pt idx="47">
                  <c:v>29.6</c:v>
                </c:pt>
                <c:pt idx="48">
                  <c:v>28.8</c:v>
                </c:pt>
                <c:pt idx="49">
                  <c:v>27.9</c:v>
                </c:pt>
                <c:pt idx="50">
                  <c:v>26.9</c:v>
                </c:pt>
                <c:pt idx="51">
                  <c:v>25.9</c:v>
                </c:pt>
                <c:pt idx="52">
                  <c:v>25.1</c:v>
                </c:pt>
                <c:pt idx="53">
                  <c:v>24.4</c:v>
                </c:pt>
                <c:pt idx="54">
                  <c:v>24.1</c:v>
                </c:pt>
                <c:pt idx="55">
                  <c:v>23.7</c:v>
                </c:pt>
                <c:pt idx="56">
                  <c:v>23.3</c:v>
                </c:pt>
                <c:pt idx="57">
                  <c:v>23</c:v>
                </c:pt>
                <c:pt idx="58">
                  <c:v>23</c:v>
                </c:pt>
                <c:pt idx="59">
                  <c:v>22.9</c:v>
                </c:pt>
                <c:pt idx="60">
                  <c:v>22.5</c:v>
                </c:pt>
                <c:pt idx="61">
                  <c:v>22.5</c:v>
                </c:pt>
                <c:pt idx="62">
                  <c:v>22.6</c:v>
                </c:pt>
                <c:pt idx="63">
                  <c:v>22.5</c:v>
                </c:pt>
                <c:pt idx="64">
                  <c:v>22.6</c:v>
                </c:pt>
                <c:pt idx="65">
                  <c:v>22.7</c:v>
                </c:pt>
                <c:pt idx="66">
                  <c:v>22.5</c:v>
                </c:pt>
                <c:pt idx="67">
                  <c:v>22.2</c:v>
                </c:pt>
                <c:pt idx="68">
                  <c:v>21.8</c:v>
                </c:pt>
                <c:pt idx="69">
                  <c:v>21.4</c:v>
                </c:pt>
                <c:pt idx="70">
                  <c:v>21</c:v>
                </c:pt>
                <c:pt idx="71">
                  <c:v>20.7</c:v>
                </c:pt>
                <c:pt idx="72">
                  <c:v>20.399999999999999</c:v>
                </c:pt>
                <c:pt idx="73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DC-4E39-88BD-F464642915E9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Парагвай!$C$2:$C$75</c:f>
              <c:numCache>
                <c:formatCode>0.0</c:formatCode>
                <c:ptCount val="74"/>
                <c:pt idx="0">
                  <c:v>11.7</c:v>
                </c:pt>
                <c:pt idx="1">
                  <c:v>11.6</c:v>
                </c:pt>
                <c:pt idx="2">
                  <c:v>11.6</c:v>
                </c:pt>
                <c:pt idx="3">
                  <c:v>11.5</c:v>
                </c:pt>
                <c:pt idx="4">
                  <c:v>11.5</c:v>
                </c:pt>
                <c:pt idx="5">
                  <c:v>11.4</c:v>
                </c:pt>
                <c:pt idx="6">
                  <c:v>11.2</c:v>
                </c:pt>
                <c:pt idx="7">
                  <c:v>11.1</c:v>
                </c:pt>
                <c:pt idx="8">
                  <c:v>10.9</c:v>
                </c:pt>
                <c:pt idx="9">
                  <c:v>10.7</c:v>
                </c:pt>
                <c:pt idx="10">
                  <c:v>10.6</c:v>
                </c:pt>
                <c:pt idx="11">
                  <c:v>10.4</c:v>
                </c:pt>
                <c:pt idx="12">
                  <c:v>10.199999999999999</c:v>
                </c:pt>
                <c:pt idx="13">
                  <c:v>10</c:v>
                </c:pt>
                <c:pt idx="14">
                  <c:v>10</c:v>
                </c:pt>
                <c:pt idx="15">
                  <c:v>9.9</c:v>
                </c:pt>
                <c:pt idx="16">
                  <c:v>9.8000000000000007</c:v>
                </c:pt>
                <c:pt idx="17">
                  <c:v>9.6999999999999993</c:v>
                </c:pt>
                <c:pt idx="18">
                  <c:v>9.6</c:v>
                </c:pt>
                <c:pt idx="19">
                  <c:v>9.5</c:v>
                </c:pt>
                <c:pt idx="20">
                  <c:v>9.4</c:v>
                </c:pt>
                <c:pt idx="21">
                  <c:v>9.3000000000000007</c:v>
                </c:pt>
                <c:pt idx="22">
                  <c:v>9.1</c:v>
                </c:pt>
                <c:pt idx="23">
                  <c:v>8.9</c:v>
                </c:pt>
                <c:pt idx="24">
                  <c:v>8.9</c:v>
                </c:pt>
                <c:pt idx="25">
                  <c:v>8.8000000000000007</c:v>
                </c:pt>
                <c:pt idx="26">
                  <c:v>8.6999999999999993</c:v>
                </c:pt>
                <c:pt idx="27">
                  <c:v>8.6999999999999993</c:v>
                </c:pt>
                <c:pt idx="28">
                  <c:v>8.6</c:v>
                </c:pt>
                <c:pt idx="29">
                  <c:v>8.6</c:v>
                </c:pt>
                <c:pt idx="30">
                  <c:v>8.5</c:v>
                </c:pt>
                <c:pt idx="31">
                  <c:v>8.4</c:v>
                </c:pt>
                <c:pt idx="32">
                  <c:v>8.1999999999999993</c:v>
                </c:pt>
                <c:pt idx="33">
                  <c:v>8</c:v>
                </c:pt>
                <c:pt idx="34">
                  <c:v>7.7</c:v>
                </c:pt>
                <c:pt idx="35">
                  <c:v>7.5</c:v>
                </c:pt>
                <c:pt idx="36">
                  <c:v>7.3</c:v>
                </c:pt>
                <c:pt idx="37">
                  <c:v>7.1</c:v>
                </c:pt>
                <c:pt idx="38">
                  <c:v>6.9</c:v>
                </c:pt>
                <c:pt idx="39">
                  <c:v>6.7</c:v>
                </c:pt>
                <c:pt idx="40">
                  <c:v>6.5</c:v>
                </c:pt>
                <c:pt idx="41">
                  <c:v>6.3</c:v>
                </c:pt>
                <c:pt idx="42">
                  <c:v>6.1</c:v>
                </c:pt>
                <c:pt idx="43">
                  <c:v>6</c:v>
                </c:pt>
                <c:pt idx="44">
                  <c:v>5.9</c:v>
                </c:pt>
                <c:pt idx="45">
                  <c:v>5.7</c:v>
                </c:pt>
                <c:pt idx="46">
                  <c:v>5.6</c:v>
                </c:pt>
                <c:pt idx="47">
                  <c:v>5.6</c:v>
                </c:pt>
                <c:pt idx="48">
                  <c:v>5.5</c:v>
                </c:pt>
                <c:pt idx="49">
                  <c:v>5.4</c:v>
                </c:pt>
                <c:pt idx="50">
                  <c:v>5.3</c:v>
                </c:pt>
                <c:pt idx="51">
                  <c:v>5.3</c:v>
                </c:pt>
                <c:pt idx="52">
                  <c:v>5.2</c:v>
                </c:pt>
                <c:pt idx="53">
                  <c:v>5.2</c:v>
                </c:pt>
                <c:pt idx="54">
                  <c:v>5.2</c:v>
                </c:pt>
                <c:pt idx="55">
                  <c:v>5.2</c:v>
                </c:pt>
                <c:pt idx="56">
                  <c:v>5.2</c:v>
                </c:pt>
                <c:pt idx="57">
                  <c:v>5.2</c:v>
                </c:pt>
                <c:pt idx="58">
                  <c:v>5.2</c:v>
                </c:pt>
                <c:pt idx="59">
                  <c:v>5.2</c:v>
                </c:pt>
                <c:pt idx="60">
                  <c:v>5.2</c:v>
                </c:pt>
                <c:pt idx="61">
                  <c:v>5.2</c:v>
                </c:pt>
                <c:pt idx="62">
                  <c:v>5.2</c:v>
                </c:pt>
                <c:pt idx="63">
                  <c:v>5.2</c:v>
                </c:pt>
                <c:pt idx="64">
                  <c:v>5.2</c:v>
                </c:pt>
                <c:pt idx="65">
                  <c:v>5.3</c:v>
                </c:pt>
                <c:pt idx="66">
                  <c:v>5.4</c:v>
                </c:pt>
                <c:pt idx="67">
                  <c:v>5.5</c:v>
                </c:pt>
                <c:pt idx="68">
                  <c:v>5.5</c:v>
                </c:pt>
                <c:pt idx="69">
                  <c:v>5.6</c:v>
                </c:pt>
                <c:pt idx="70">
                  <c:v>6.1</c:v>
                </c:pt>
                <c:pt idx="71">
                  <c:v>8.9</c:v>
                </c:pt>
                <c:pt idx="72">
                  <c:v>6.4</c:v>
                </c:pt>
                <c:pt idx="73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DC-4E39-88BD-F464642915E9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Парагвай!$A$2:$A$75</c:f>
              <c:numCache>
                <c:formatCode>0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1980</c:v>
                </c:pt>
                <c:pt idx="31">
                  <c:v>1981</c:v>
                </c:pt>
                <c:pt idx="32">
                  <c:v>1982</c:v>
                </c:pt>
                <c:pt idx="33">
                  <c:v>1983</c:v>
                </c:pt>
                <c:pt idx="34">
                  <c:v>1984</c:v>
                </c:pt>
                <c:pt idx="35">
                  <c:v>1985</c:v>
                </c:pt>
                <c:pt idx="36">
                  <c:v>1986</c:v>
                </c:pt>
                <c:pt idx="37">
                  <c:v>1987</c:v>
                </c:pt>
                <c:pt idx="38">
                  <c:v>1988</c:v>
                </c:pt>
                <c:pt idx="39">
                  <c:v>1989</c:v>
                </c:pt>
                <c:pt idx="40">
                  <c:v>1990</c:v>
                </c:pt>
                <c:pt idx="41">
                  <c:v>1991</c:v>
                </c:pt>
                <c:pt idx="42">
                  <c:v>1992</c:v>
                </c:pt>
                <c:pt idx="43">
                  <c:v>1993</c:v>
                </c:pt>
                <c:pt idx="44">
                  <c:v>1994</c:v>
                </c:pt>
                <c:pt idx="45">
                  <c:v>1995</c:v>
                </c:pt>
                <c:pt idx="46">
                  <c:v>1996</c:v>
                </c:pt>
                <c:pt idx="47">
                  <c:v>1997</c:v>
                </c:pt>
                <c:pt idx="48">
                  <c:v>1998</c:v>
                </c:pt>
                <c:pt idx="49">
                  <c:v>1999</c:v>
                </c:pt>
                <c:pt idx="50">
                  <c:v>2000</c:v>
                </c:pt>
                <c:pt idx="51">
                  <c:v>2001</c:v>
                </c:pt>
                <c:pt idx="52">
                  <c:v>2002</c:v>
                </c:pt>
                <c:pt idx="53">
                  <c:v>2003</c:v>
                </c:pt>
                <c:pt idx="54">
                  <c:v>2004</c:v>
                </c:pt>
                <c:pt idx="55">
                  <c:v>2005</c:v>
                </c:pt>
                <c:pt idx="56">
                  <c:v>2006</c:v>
                </c:pt>
                <c:pt idx="57">
                  <c:v>2007</c:v>
                </c:pt>
                <c:pt idx="58">
                  <c:v>2008</c:v>
                </c:pt>
                <c:pt idx="59">
                  <c:v>2009</c:v>
                </c:pt>
                <c:pt idx="60">
                  <c:v>2010</c:v>
                </c:pt>
                <c:pt idx="61">
                  <c:v>2011</c:v>
                </c:pt>
                <c:pt idx="62">
                  <c:v>2012</c:v>
                </c:pt>
                <c:pt idx="63">
                  <c:v>2013</c:v>
                </c:pt>
                <c:pt idx="64">
                  <c:v>2014</c:v>
                </c:pt>
                <c:pt idx="65">
                  <c:v>2015</c:v>
                </c:pt>
                <c:pt idx="66">
                  <c:v>2016</c:v>
                </c:pt>
                <c:pt idx="67">
                  <c:v>2017</c:v>
                </c:pt>
                <c:pt idx="68">
                  <c:v>2018</c:v>
                </c:pt>
                <c:pt idx="69">
                  <c:v>2019</c:v>
                </c:pt>
                <c:pt idx="70">
                  <c:v>2020</c:v>
                </c:pt>
                <c:pt idx="71">
                  <c:v>2021</c:v>
                </c:pt>
                <c:pt idx="72">
                  <c:v>2022</c:v>
                </c:pt>
                <c:pt idx="73">
                  <c:v>2023</c:v>
                </c:pt>
              </c:numCache>
            </c:numRef>
          </c:xVal>
          <c:yVal>
            <c:numRef>
              <c:f>Парагвай!$D$2:$D$75</c:f>
              <c:numCache>
                <c:formatCode>0.0</c:formatCode>
                <c:ptCount val="74"/>
                <c:pt idx="0">
                  <c:v>32.799999999999997</c:v>
                </c:pt>
                <c:pt idx="1">
                  <c:v>32.699999999999996</c:v>
                </c:pt>
                <c:pt idx="2">
                  <c:v>32.5</c:v>
                </c:pt>
                <c:pt idx="3">
                  <c:v>32.4</c:v>
                </c:pt>
                <c:pt idx="4">
                  <c:v>32.1</c:v>
                </c:pt>
                <c:pt idx="5">
                  <c:v>32</c:v>
                </c:pt>
                <c:pt idx="6">
                  <c:v>31.900000000000002</c:v>
                </c:pt>
                <c:pt idx="7">
                  <c:v>31.799999999999997</c:v>
                </c:pt>
                <c:pt idx="8">
                  <c:v>31.800000000000004</c:v>
                </c:pt>
                <c:pt idx="9">
                  <c:v>31.8</c:v>
                </c:pt>
                <c:pt idx="10">
                  <c:v>31.799999999999997</c:v>
                </c:pt>
                <c:pt idx="11">
                  <c:v>31.9</c:v>
                </c:pt>
                <c:pt idx="12">
                  <c:v>32</c:v>
                </c:pt>
                <c:pt idx="13">
                  <c:v>32.1</c:v>
                </c:pt>
                <c:pt idx="14">
                  <c:v>31.700000000000003</c:v>
                </c:pt>
                <c:pt idx="15">
                  <c:v>31.1</c:v>
                </c:pt>
                <c:pt idx="16">
                  <c:v>30.400000000000002</c:v>
                </c:pt>
                <c:pt idx="17">
                  <c:v>29.500000000000004</c:v>
                </c:pt>
                <c:pt idx="18">
                  <c:v>28.799999999999997</c:v>
                </c:pt>
                <c:pt idx="19">
                  <c:v>28.1</c:v>
                </c:pt>
                <c:pt idx="20">
                  <c:v>27.6</c:v>
                </c:pt>
                <c:pt idx="21">
                  <c:v>26.999999999999996</c:v>
                </c:pt>
                <c:pt idx="22">
                  <c:v>26.699999999999996</c:v>
                </c:pt>
                <c:pt idx="23">
                  <c:v>26.5</c:v>
                </c:pt>
                <c:pt idx="24">
                  <c:v>26.300000000000004</c:v>
                </c:pt>
                <c:pt idx="25">
                  <c:v>26.099999999999998</c:v>
                </c:pt>
                <c:pt idx="26">
                  <c:v>26.099999999999998</c:v>
                </c:pt>
                <c:pt idx="27">
                  <c:v>26.3</c:v>
                </c:pt>
                <c:pt idx="28">
                  <c:v>26.5</c:v>
                </c:pt>
                <c:pt idx="29">
                  <c:v>27</c:v>
                </c:pt>
                <c:pt idx="30">
                  <c:v>27.700000000000003</c:v>
                </c:pt>
                <c:pt idx="31">
                  <c:v>28.5</c:v>
                </c:pt>
                <c:pt idx="32">
                  <c:v>28.8</c:v>
                </c:pt>
                <c:pt idx="33">
                  <c:v>29</c:v>
                </c:pt>
                <c:pt idx="34">
                  <c:v>29.3</c:v>
                </c:pt>
                <c:pt idx="35">
                  <c:v>29.299999999999997</c:v>
                </c:pt>
                <c:pt idx="36">
                  <c:v>29.2</c:v>
                </c:pt>
                <c:pt idx="37">
                  <c:v>29</c:v>
                </c:pt>
                <c:pt idx="38">
                  <c:v>28.9</c:v>
                </c:pt>
                <c:pt idx="39">
                  <c:v>28.500000000000004</c:v>
                </c:pt>
                <c:pt idx="40">
                  <c:v>27.9</c:v>
                </c:pt>
                <c:pt idx="41">
                  <c:v>27.599999999999998</c:v>
                </c:pt>
                <c:pt idx="42">
                  <c:v>27.199999999999996</c:v>
                </c:pt>
                <c:pt idx="43">
                  <c:v>26.4</c:v>
                </c:pt>
                <c:pt idx="44">
                  <c:v>25.799999999999997</c:v>
                </c:pt>
                <c:pt idx="45">
                  <c:v>25.3</c:v>
                </c:pt>
                <c:pt idx="46">
                  <c:v>24.700000000000003</c:v>
                </c:pt>
                <c:pt idx="47">
                  <c:v>24</c:v>
                </c:pt>
                <c:pt idx="48">
                  <c:v>23.3</c:v>
                </c:pt>
                <c:pt idx="49">
                  <c:v>22.5</c:v>
                </c:pt>
                <c:pt idx="50">
                  <c:v>21.599999999999998</c:v>
                </c:pt>
                <c:pt idx="51">
                  <c:v>20.599999999999998</c:v>
                </c:pt>
                <c:pt idx="52">
                  <c:v>19.900000000000002</c:v>
                </c:pt>
                <c:pt idx="53">
                  <c:v>19.2</c:v>
                </c:pt>
                <c:pt idx="54">
                  <c:v>18.900000000000002</c:v>
                </c:pt>
                <c:pt idx="55">
                  <c:v>18.5</c:v>
                </c:pt>
                <c:pt idx="56">
                  <c:v>18.100000000000001</c:v>
                </c:pt>
                <c:pt idx="57">
                  <c:v>17.8</c:v>
                </c:pt>
                <c:pt idx="58">
                  <c:v>17.8</c:v>
                </c:pt>
                <c:pt idx="59">
                  <c:v>17.7</c:v>
                </c:pt>
                <c:pt idx="60">
                  <c:v>17.3</c:v>
                </c:pt>
                <c:pt idx="61">
                  <c:v>17.3</c:v>
                </c:pt>
                <c:pt idx="62">
                  <c:v>17.400000000000002</c:v>
                </c:pt>
                <c:pt idx="63">
                  <c:v>17.3</c:v>
                </c:pt>
                <c:pt idx="64">
                  <c:v>17.400000000000002</c:v>
                </c:pt>
                <c:pt idx="65">
                  <c:v>17.399999999999999</c:v>
                </c:pt>
                <c:pt idx="66">
                  <c:v>17.100000000000001</c:v>
                </c:pt>
                <c:pt idx="67">
                  <c:v>16.7</c:v>
                </c:pt>
                <c:pt idx="68">
                  <c:v>16.3</c:v>
                </c:pt>
                <c:pt idx="69">
                  <c:v>15.799999999999999</c:v>
                </c:pt>
                <c:pt idx="70">
                  <c:v>14.9</c:v>
                </c:pt>
                <c:pt idx="71">
                  <c:v>11.799999999999999</c:v>
                </c:pt>
                <c:pt idx="72">
                  <c:v>13.999999999999998</c:v>
                </c:pt>
                <c:pt idx="7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CDC-4E39-88BD-F46464291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7752"/>
        <c:axId val="949171032"/>
      </c:scatterChart>
      <c:valAx>
        <c:axId val="949167752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032"/>
        <c:crosses val="autoZero"/>
        <c:crossBetween val="midCat"/>
      </c:valAx>
      <c:valAx>
        <c:axId val="949171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7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</a:t>
            </a:r>
            <a:r>
              <a:rPr lang="en-US"/>
              <a:t> 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Перу!$B$2:$B$85</c:f>
              <c:numCache>
                <c:formatCode>0.0</c:formatCode>
                <c:ptCount val="84"/>
                <c:pt idx="0">
                  <c:v>44.4</c:v>
                </c:pt>
                <c:pt idx="1">
                  <c:v>44.4</c:v>
                </c:pt>
                <c:pt idx="2">
                  <c:v>44.5</c:v>
                </c:pt>
                <c:pt idx="3">
                  <c:v>44.5</c:v>
                </c:pt>
                <c:pt idx="4">
                  <c:v>44.6</c:v>
                </c:pt>
                <c:pt idx="5">
                  <c:v>44.7</c:v>
                </c:pt>
                <c:pt idx="6">
                  <c:v>44.8</c:v>
                </c:pt>
                <c:pt idx="7">
                  <c:v>44.9</c:v>
                </c:pt>
                <c:pt idx="8">
                  <c:v>45</c:v>
                </c:pt>
                <c:pt idx="9">
                  <c:v>45.1</c:v>
                </c:pt>
                <c:pt idx="10">
                  <c:v>45.2</c:v>
                </c:pt>
                <c:pt idx="11">
                  <c:v>45.4</c:v>
                </c:pt>
                <c:pt idx="12">
                  <c:v>45.6</c:v>
                </c:pt>
                <c:pt idx="13">
                  <c:v>46</c:v>
                </c:pt>
                <c:pt idx="14">
                  <c:v>46.5</c:v>
                </c:pt>
                <c:pt idx="15">
                  <c:v>46.9</c:v>
                </c:pt>
                <c:pt idx="16">
                  <c:v>47.2</c:v>
                </c:pt>
                <c:pt idx="17">
                  <c:v>47.4</c:v>
                </c:pt>
                <c:pt idx="18">
                  <c:v>47.3</c:v>
                </c:pt>
                <c:pt idx="19">
                  <c:v>47.2</c:v>
                </c:pt>
                <c:pt idx="20">
                  <c:v>46.9</c:v>
                </c:pt>
                <c:pt idx="21">
                  <c:v>46.6</c:v>
                </c:pt>
                <c:pt idx="22">
                  <c:v>46.2</c:v>
                </c:pt>
                <c:pt idx="23">
                  <c:v>45.8</c:v>
                </c:pt>
                <c:pt idx="24">
                  <c:v>45.4</c:v>
                </c:pt>
                <c:pt idx="25">
                  <c:v>44.9</c:v>
                </c:pt>
                <c:pt idx="26">
                  <c:v>44.4</c:v>
                </c:pt>
                <c:pt idx="27">
                  <c:v>44</c:v>
                </c:pt>
                <c:pt idx="28">
                  <c:v>43.4</c:v>
                </c:pt>
                <c:pt idx="29">
                  <c:v>42.9</c:v>
                </c:pt>
                <c:pt idx="30">
                  <c:v>42.4</c:v>
                </c:pt>
                <c:pt idx="31">
                  <c:v>41.8</c:v>
                </c:pt>
                <c:pt idx="32">
                  <c:v>41.2</c:v>
                </c:pt>
                <c:pt idx="33">
                  <c:v>40.700000000000003</c:v>
                </c:pt>
                <c:pt idx="34">
                  <c:v>40.1</c:v>
                </c:pt>
                <c:pt idx="35">
                  <c:v>39.5</c:v>
                </c:pt>
                <c:pt idx="36">
                  <c:v>38.9</c:v>
                </c:pt>
                <c:pt idx="37">
                  <c:v>38.299999999999997</c:v>
                </c:pt>
                <c:pt idx="38">
                  <c:v>37.700000000000003</c:v>
                </c:pt>
                <c:pt idx="39">
                  <c:v>37.1</c:v>
                </c:pt>
                <c:pt idx="40">
                  <c:v>36.5</c:v>
                </c:pt>
                <c:pt idx="41">
                  <c:v>35.9</c:v>
                </c:pt>
                <c:pt idx="42">
                  <c:v>35.4</c:v>
                </c:pt>
                <c:pt idx="43">
                  <c:v>35</c:v>
                </c:pt>
                <c:pt idx="44">
                  <c:v>34.5</c:v>
                </c:pt>
                <c:pt idx="45">
                  <c:v>34</c:v>
                </c:pt>
                <c:pt idx="46">
                  <c:v>33.5</c:v>
                </c:pt>
                <c:pt idx="47">
                  <c:v>33</c:v>
                </c:pt>
                <c:pt idx="48">
                  <c:v>32.4</c:v>
                </c:pt>
                <c:pt idx="49">
                  <c:v>31.8</c:v>
                </c:pt>
                <c:pt idx="50">
                  <c:v>31.1</c:v>
                </c:pt>
                <c:pt idx="51">
                  <c:v>30.4</c:v>
                </c:pt>
                <c:pt idx="52">
                  <c:v>29.6</c:v>
                </c:pt>
                <c:pt idx="53">
                  <c:v>28.8</c:v>
                </c:pt>
                <c:pt idx="54">
                  <c:v>28</c:v>
                </c:pt>
                <c:pt idx="55">
                  <c:v>27.2</c:v>
                </c:pt>
                <c:pt idx="56">
                  <c:v>26.4</c:v>
                </c:pt>
                <c:pt idx="57">
                  <c:v>25.6</c:v>
                </c:pt>
                <c:pt idx="58">
                  <c:v>24.9</c:v>
                </c:pt>
                <c:pt idx="59">
                  <c:v>24.3</c:v>
                </c:pt>
                <c:pt idx="60">
                  <c:v>23.8</c:v>
                </c:pt>
                <c:pt idx="61">
                  <c:v>23</c:v>
                </c:pt>
                <c:pt idx="62">
                  <c:v>22.6</c:v>
                </c:pt>
                <c:pt idx="63">
                  <c:v>22.3</c:v>
                </c:pt>
                <c:pt idx="64">
                  <c:v>22.4</c:v>
                </c:pt>
                <c:pt idx="65">
                  <c:v>22.1</c:v>
                </c:pt>
                <c:pt idx="66">
                  <c:v>21.8</c:v>
                </c:pt>
                <c:pt idx="67">
                  <c:v>21.4</c:v>
                </c:pt>
                <c:pt idx="68">
                  <c:v>20.9</c:v>
                </c:pt>
                <c:pt idx="69">
                  <c:v>20.399999999999999</c:v>
                </c:pt>
                <c:pt idx="70">
                  <c:v>19.899999999999999</c:v>
                </c:pt>
                <c:pt idx="71">
                  <c:v>19.8</c:v>
                </c:pt>
                <c:pt idx="72">
                  <c:v>19.2</c:v>
                </c:pt>
                <c:pt idx="73">
                  <c:v>18.8</c:v>
                </c:pt>
                <c:pt idx="74">
                  <c:v>18.399999999999999</c:v>
                </c:pt>
                <c:pt idx="75">
                  <c:v>17.899999999999999</c:v>
                </c:pt>
                <c:pt idx="76">
                  <c:v>17.600000000000001</c:v>
                </c:pt>
                <c:pt idx="77">
                  <c:v>17.3</c:v>
                </c:pt>
                <c:pt idx="78">
                  <c:v>16.899999999999999</c:v>
                </c:pt>
                <c:pt idx="79">
                  <c:v>16.899999999999999</c:v>
                </c:pt>
                <c:pt idx="80">
                  <c:v>16.600000000000001</c:v>
                </c:pt>
                <c:pt idx="81">
                  <c:v>16.399999999999999</c:v>
                </c:pt>
                <c:pt idx="82">
                  <c:v>16.2</c:v>
                </c:pt>
                <c:pt idx="8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8-4CDF-90CE-51A590A2FCC5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Перу!$C$2:$C$85</c:f>
              <c:numCache>
                <c:formatCode>0.0</c:formatCode>
                <c:ptCount val="84"/>
                <c:pt idx="0">
                  <c:v>29.8</c:v>
                </c:pt>
                <c:pt idx="1">
                  <c:v>29.5</c:v>
                </c:pt>
                <c:pt idx="2">
                  <c:v>29.1</c:v>
                </c:pt>
                <c:pt idx="3">
                  <c:v>28.3</c:v>
                </c:pt>
                <c:pt idx="4">
                  <c:v>27.4</c:v>
                </c:pt>
                <c:pt idx="5">
                  <c:v>26.2</c:v>
                </c:pt>
                <c:pt idx="6">
                  <c:v>25.3</c:v>
                </c:pt>
                <c:pt idx="7">
                  <c:v>24.5</c:v>
                </c:pt>
                <c:pt idx="8">
                  <c:v>24</c:v>
                </c:pt>
                <c:pt idx="9">
                  <c:v>23.6</c:v>
                </c:pt>
                <c:pt idx="10">
                  <c:v>23.5</c:v>
                </c:pt>
                <c:pt idx="11">
                  <c:v>23.1</c:v>
                </c:pt>
                <c:pt idx="12">
                  <c:v>22.5</c:v>
                </c:pt>
                <c:pt idx="13">
                  <c:v>21.5</c:v>
                </c:pt>
                <c:pt idx="14">
                  <c:v>20.5</c:v>
                </c:pt>
                <c:pt idx="15">
                  <c:v>19.5</c:v>
                </c:pt>
                <c:pt idx="16">
                  <c:v>18.899999999999999</c:v>
                </c:pt>
                <c:pt idx="17">
                  <c:v>18.399999999999999</c:v>
                </c:pt>
                <c:pt idx="18">
                  <c:v>18</c:v>
                </c:pt>
                <c:pt idx="19">
                  <c:v>17.600000000000001</c:v>
                </c:pt>
                <c:pt idx="20">
                  <c:v>17.100000000000001</c:v>
                </c:pt>
                <c:pt idx="21">
                  <c:v>16.7</c:v>
                </c:pt>
                <c:pt idx="22">
                  <c:v>16.399999999999999</c:v>
                </c:pt>
                <c:pt idx="23">
                  <c:v>15.8</c:v>
                </c:pt>
                <c:pt idx="24">
                  <c:v>15.5</c:v>
                </c:pt>
                <c:pt idx="25">
                  <c:v>15.2</c:v>
                </c:pt>
                <c:pt idx="26">
                  <c:v>14.9</c:v>
                </c:pt>
                <c:pt idx="27">
                  <c:v>14.6</c:v>
                </c:pt>
                <c:pt idx="28">
                  <c:v>14.4</c:v>
                </c:pt>
                <c:pt idx="29">
                  <c:v>14.1</c:v>
                </c:pt>
                <c:pt idx="30">
                  <c:v>18.8</c:v>
                </c:pt>
                <c:pt idx="31">
                  <c:v>13.5</c:v>
                </c:pt>
                <c:pt idx="32">
                  <c:v>13.3</c:v>
                </c:pt>
                <c:pt idx="33">
                  <c:v>13.2</c:v>
                </c:pt>
                <c:pt idx="34">
                  <c:v>12.8</c:v>
                </c:pt>
                <c:pt idx="35">
                  <c:v>12.5</c:v>
                </c:pt>
                <c:pt idx="36">
                  <c:v>12.2</c:v>
                </c:pt>
                <c:pt idx="37">
                  <c:v>11.9</c:v>
                </c:pt>
                <c:pt idx="38">
                  <c:v>11.5</c:v>
                </c:pt>
                <c:pt idx="39">
                  <c:v>11.2</c:v>
                </c:pt>
                <c:pt idx="40">
                  <c:v>10.9</c:v>
                </c:pt>
                <c:pt idx="41">
                  <c:v>10.5</c:v>
                </c:pt>
                <c:pt idx="42">
                  <c:v>10.1</c:v>
                </c:pt>
                <c:pt idx="43">
                  <c:v>9.9</c:v>
                </c:pt>
                <c:pt idx="44">
                  <c:v>9.6</c:v>
                </c:pt>
                <c:pt idx="45">
                  <c:v>9.1999999999999993</c:v>
                </c:pt>
                <c:pt idx="46">
                  <c:v>8.9</c:v>
                </c:pt>
                <c:pt idx="47">
                  <c:v>8.6</c:v>
                </c:pt>
                <c:pt idx="48">
                  <c:v>8.3000000000000007</c:v>
                </c:pt>
                <c:pt idx="49">
                  <c:v>8</c:v>
                </c:pt>
                <c:pt idx="50">
                  <c:v>7.7</c:v>
                </c:pt>
                <c:pt idx="51">
                  <c:v>7.6</c:v>
                </c:pt>
                <c:pt idx="52">
                  <c:v>7.2</c:v>
                </c:pt>
                <c:pt idx="53">
                  <c:v>6.9</c:v>
                </c:pt>
                <c:pt idx="54">
                  <c:v>6.5</c:v>
                </c:pt>
                <c:pt idx="55">
                  <c:v>6.3</c:v>
                </c:pt>
                <c:pt idx="56">
                  <c:v>6.1</c:v>
                </c:pt>
                <c:pt idx="57">
                  <c:v>6</c:v>
                </c:pt>
                <c:pt idx="58">
                  <c:v>5.9</c:v>
                </c:pt>
                <c:pt idx="59">
                  <c:v>5.7</c:v>
                </c:pt>
                <c:pt idx="60">
                  <c:v>5.6</c:v>
                </c:pt>
                <c:pt idx="61">
                  <c:v>5.6</c:v>
                </c:pt>
                <c:pt idx="62">
                  <c:v>5.6</c:v>
                </c:pt>
                <c:pt idx="63">
                  <c:v>5.7</c:v>
                </c:pt>
                <c:pt idx="64">
                  <c:v>5.9</c:v>
                </c:pt>
                <c:pt idx="65">
                  <c:v>5.9</c:v>
                </c:pt>
                <c:pt idx="66">
                  <c:v>6.1</c:v>
                </c:pt>
                <c:pt idx="67">
                  <c:v>6.2</c:v>
                </c:pt>
                <c:pt idx="68">
                  <c:v>6.5</c:v>
                </c:pt>
                <c:pt idx="69">
                  <c:v>6.7</c:v>
                </c:pt>
                <c:pt idx="70">
                  <c:v>6.7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6.1</c:v>
                </c:pt>
                <c:pt idx="75">
                  <c:v>6</c:v>
                </c:pt>
                <c:pt idx="76">
                  <c:v>6</c:v>
                </c:pt>
                <c:pt idx="77">
                  <c:v>6.1</c:v>
                </c:pt>
                <c:pt idx="78">
                  <c:v>6.2</c:v>
                </c:pt>
                <c:pt idx="79">
                  <c:v>6.2</c:v>
                </c:pt>
                <c:pt idx="80">
                  <c:v>7.4</c:v>
                </c:pt>
                <c:pt idx="81">
                  <c:v>9.3000000000000007</c:v>
                </c:pt>
                <c:pt idx="82">
                  <c:v>6.4</c:v>
                </c:pt>
                <c:pt idx="8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8-4CDF-90CE-51A590A2FCC5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Перу!$A$2:$A$85</c:f>
              <c:numCache>
                <c:formatCode>0</c:formatCode>
                <c:ptCount val="84"/>
                <c:pt idx="0">
                  <c:v>1940</c:v>
                </c:pt>
                <c:pt idx="1">
                  <c:v>1941</c:v>
                </c:pt>
                <c:pt idx="2">
                  <c:v>1942</c:v>
                </c:pt>
                <c:pt idx="3">
                  <c:v>1943</c:v>
                </c:pt>
                <c:pt idx="4">
                  <c:v>1944</c:v>
                </c:pt>
                <c:pt idx="5">
                  <c:v>1945</c:v>
                </c:pt>
                <c:pt idx="6">
                  <c:v>1946</c:v>
                </c:pt>
                <c:pt idx="7">
                  <c:v>1947</c:v>
                </c:pt>
                <c:pt idx="8">
                  <c:v>1948</c:v>
                </c:pt>
                <c:pt idx="9">
                  <c:v>1949</c:v>
                </c:pt>
                <c:pt idx="10">
                  <c:v>1950</c:v>
                </c:pt>
                <c:pt idx="11">
                  <c:v>1951</c:v>
                </c:pt>
                <c:pt idx="12">
                  <c:v>1952</c:v>
                </c:pt>
                <c:pt idx="13">
                  <c:v>1953</c:v>
                </c:pt>
                <c:pt idx="14">
                  <c:v>1954</c:v>
                </c:pt>
                <c:pt idx="15">
                  <c:v>1955</c:v>
                </c:pt>
                <c:pt idx="16">
                  <c:v>1956</c:v>
                </c:pt>
                <c:pt idx="17">
                  <c:v>1957</c:v>
                </c:pt>
                <c:pt idx="18">
                  <c:v>1958</c:v>
                </c:pt>
                <c:pt idx="19">
                  <c:v>1959</c:v>
                </c:pt>
                <c:pt idx="20">
                  <c:v>1960</c:v>
                </c:pt>
                <c:pt idx="21">
                  <c:v>1961</c:v>
                </c:pt>
                <c:pt idx="22">
                  <c:v>1962</c:v>
                </c:pt>
                <c:pt idx="23">
                  <c:v>1963</c:v>
                </c:pt>
                <c:pt idx="24">
                  <c:v>1964</c:v>
                </c:pt>
                <c:pt idx="25">
                  <c:v>1965</c:v>
                </c:pt>
                <c:pt idx="26">
                  <c:v>1966</c:v>
                </c:pt>
                <c:pt idx="27">
                  <c:v>1967</c:v>
                </c:pt>
                <c:pt idx="28">
                  <c:v>1968</c:v>
                </c:pt>
                <c:pt idx="29">
                  <c:v>1969</c:v>
                </c:pt>
                <c:pt idx="30">
                  <c:v>1970</c:v>
                </c:pt>
                <c:pt idx="31">
                  <c:v>1971</c:v>
                </c:pt>
                <c:pt idx="32">
                  <c:v>1972</c:v>
                </c:pt>
                <c:pt idx="33">
                  <c:v>1973</c:v>
                </c:pt>
                <c:pt idx="34">
                  <c:v>1974</c:v>
                </c:pt>
                <c:pt idx="35">
                  <c:v>1975</c:v>
                </c:pt>
                <c:pt idx="36">
                  <c:v>1976</c:v>
                </c:pt>
                <c:pt idx="37">
                  <c:v>1977</c:v>
                </c:pt>
                <c:pt idx="38">
                  <c:v>1978</c:v>
                </c:pt>
                <c:pt idx="39">
                  <c:v>1979</c:v>
                </c:pt>
                <c:pt idx="40">
                  <c:v>1980</c:v>
                </c:pt>
                <c:pt idx="41">
                  <c:v>1981</c:v>
                </c:pt>
                <c:pt idx="42">
                  <c:v>1982</c:v>
                </c:pt>
                <c:pt idx="43">
                  <c:v>1983</c:v>
                </c:pt>
                <c:pt idx="44">
                  <c:v>1984</c:v>
                </c:pt>
                <c:pt idx="45">
                  <c:v>1985</c:v>
                </c:pt>
                <c:pt idx="46">
                  <c:v>1986</c:v>
                </c:pt>
                <c:pt idx="47">
                  <c:v>1987</c:v>
                </c:pt>
                <c:pt idx="48">
                  <c:v>1988</c:v>
                </c:pt>
                <c:pt idx="49">
                  <c:v>1989</c:v>
                </c:pt>
                <c:pt idx="50">
                  <c:v>1990</c:v>
                </c:pt>
                <c:pt idx="51">
                  <c:v>1991</c:v>
                </c:pt>
                <c:pt idx="52">
                  <c:v>1992</c:v>
                </c:pt>
                <c:pt idx="53">
                  <c:v>1993</c:v>
                </c:pt>
                <c:pt idx="54">
                  <c:v>1994</c:v>
                </c:pt>
                <c:pt idx="55">
                  <c:v>1995</c:v>
                </c:pt>
                <c:pt idx="56">
                  <c:v>1996</c:v>
                </c:pt>
                <c:pt idx="57">
                  <c:v>1997</c:v>
                </c:pt>
                <c:pt idx="58">
                  <c:v>1998</c:v>
                </c:pt>
                <c:pt idx="59">
                  <c:v>1999</c:v>
                </c:pt>
                <c:pt idx="60">
                  <c:v>2000</c:v>
                </c:pt>
                <c:pt idx="61">
                  <c:v>2001</c:v>
                </c:pt>
                <c:pt idx="62">
                  <c:v>2002</c:v>
                </c:pt>
                <c:pt idx="63">
                  <c:v>2003</c:v>
                </c:pt>
                <c:pt idx="64">
                  <c:v>2004</c:v>
                </c:pt>
                <c:pt idx="65">
                  <c:v>2005</c:v>
                </c:pt>
                <c:pt idx="66">
                  <c:v>2006</c:v>
                </c:pt>
                <c:pt idx="67">
                  <c:v>2007</c:v>
                </c:pt>
                <c:pt idx="68">
                  <c:v>2008</c:v>
                </c:pt>
                <c:pt idx="69">
                  <c:v>2009</c:v>
                </c:pt>
                <c:pt idx="70">
                  <c:v>2010</c:v>
                </c:pt>
                <c:pt idx="71">
                  <c:v>2011</c:v>
                </c:pt>
                <c:pt idx="72">
                  <c:v>2012</c:v>
                </c:pt>
                <c:pt idx="73">
                  <c:v>2013</c:v>
                </c:pt>
                <c:pt idx="74">
                  <c:v>2014</c:v>
                </c:pt>
                <c:pt idx="75">
                  <c:v>2015</c:v>
                </c:pt>
                <c:pt idx="76">
                  <c:v>2016</c:v>
                </c:pt>
                <c:pt idx="77">
                  <c:v>2017</c:v>
                </c:pt>
                <c:pt idx="78">
                  <c:v>2018</c:v>
                </c:pt>
                <c:pt idx="79">
                  <c:v>2019</c:v>
                </c:pt>
                <c:pt idx="80">
                  <c:v>2020</c:v>
                </c:pt>
                <c:pt idx="81">
                  <c:v>2021</c:v>
                </c:pt>
                <c:pt idx="82">
                  <c:v>2022</c:v>
                </c:pt>
                <c:pt idx="83">
                  <c:v>2023</c:v>
                </c:pt>
              </c:numCache>
            </c:numRef>
          </c:xVal>
          <c:yVal>
            <c:numRef>
              <c:f>Перу!$D$2:$D$85</c:f>
              <c:numCache>
                <c:formatCode>0.0</c:formatCode>
                <c:ptCount val="84"/>
                <c:pt idx="0">
                  <c:v>14.599999999999998</c:v>
                </c:pt>
                <c:pt idx="1">
                  <c:v>14.899999999999999</c:v>
                </c:pt>
                <c:pt idx="2">
                  <c:v>15.399999999999999</c:v>
                </c:pt>
                <c:pt idx="3">
                  <c:v>16.2</c:v>
                </c:pt>
                <c:pt idx="4">
                  <c:v>17.200000000000003</c:v>
                </c:pt>
                <c:pt idx="5">
                  <c:v>18.500000000000004</c:v>
                </c:pt>
                <c:pt idx="6">
                  <c:v>19.499999999999996</c:v>
                </c:pt>
                <c:pt idx="7">
                  <c:v>20.399999999999999</c:v>
                </c:pt>
                <c:pt idx="8">
                  <c:v>21</c:v>
                </c:pt>
                <c:pt idx="9">
                  <c:v>21.5</c:v>
                </c:pt>
                <c:pt idx="10">
                  <c:v>21.700000000000003</c:v>
                </c:pt>
                <c:pt idx="11">
                  <c:v>22.299999999999997</c:v>
                </c:pt>
                <c:pt idx="12">
                  <c:v>23.1</c:v>
                </c:pt>
                <c:pt idx="13">
                  <c:v>24.5</c:v>
                </c:pt>
                <c:pt idx="14">
                  <c:v>26</c:v>
                </c:pt>
                <c:pt idx="15">
                  <c:v>27.4</c:v>
                </c:pt>
                <c:pt idx="16">
                  <c:v>28.300000000000004</c:v>
                </c:pt>
                <c:pt idx="17">
                  <c:v>29</c:v>
                </c:pt>
                <c:pt idx="18">
                  <c:v>29.299999999999997</c:v>
                </c:pt>
                <c:pt idx="19">
                  <c:v>29.6</c:v>
                </c:pt>
                <c:pt idx="20">
                  <c:v>29.799999999999997</c:v>
                </c:pt>
                <c:pt idx="21">
                  <c:v>29.900000000000002</c:v>
                </c:pt>
                <c:pt idx="22">
                  <c:v>29.800000000000004</c:v>
                </c:pt>
                <c:pt idx="23">
                  <c:v>29.999999999999996</c:v>
                </c:pt>
                <c:pt idx="24">
                  <c:v>29.9</c:v>
                </c:pt>
                <c:pt idx="25">
                  <c:v>29.7</c:v>
                </c:pt>
                <c:pt idx="26">
                  <c:v>29.5</c:v>
                </c:pt>
                <c:pt idx="27">
                  <c:v>29.4</c:v>
                </c:pt>
                <c:pt idx="28">
                  <c:v>29</c:v>
                </c:pt>
                <c:pt idx="29">
                  <c:v>28.799999999999997</c:v>
                </c:pt>
                <c:pt idx="30">
                  <c:v>23.599999999999998</c:v>
                </c:pt>
                <c:pt idx="31">
                  <c:v>28.299999999999997</c:v>
                </c:pt>
                <c:pt idx="32">
                  <c:v>27.900000000000002</c:v>
                </c:pt>
                <c:pt idx="33">
                  <c:v>27.500000000000004</c:v>
                </c:pt>
                <c:pt idx="34">
                  <c:v>27.3</c:v>
                </c:pt>
                <c:pt idx="35">
                  <c:v>27</c:v>
                </c:pt>
                <c:pt idx="36">
                  <c:v>26.7</c:v>
                </c:pt>
                <c:pt idx="37">
                  <c:v>26.4</c:v>
                </c:pt>
                <c:pt idx="38">
                  <c:v>26.200000000000003</c:v>
                </c:pt>
                <c:pt idx="39">
                  <c:v>25.900000000000002</c:v>
                </c:pt>
                <c:pt idx="40">
                  <c:v>25.6</c:v>
                </c:pt>
                <c:pt idx="41">
                  <c:v>25.4</c:v>
                </c:pt>
                <c:pt idx="42">
                  <c:v>25.299999999999997</c:v>
                </c:pt>
                <c:pt idx="43">
                  <c:v>25.1</c:v>
                </c:pt>
                <c:pt idx="44">
                  <c:v>24.9</c:v>
                </c:pt>
                <c:pt idx="45">
                  <c:v>24.8</c:v>
                </c:pt>
                <c:pt idx="46">
                  <c:v>24.6</c:v>
                </c:pt>
                <c:pt idx="47">
                  <c:v>24.4</c:v>
                </c:pt>
                <c:pt idx="48">
                  <c:v>24.099999999999998</c:v>
                </c:pt>
                <c:pt idx="49">
                  <c:v>23.8</c:v>
                </c:pt>
                <c:pt idx="50">
                  <c:v>23.400000000000002</c:v>
                </c:pt>
                <c:pt idx="51">
                  <c:v>22.799999999999997</c:v>
                </c:pt>
                <c:pt idx="52">
                  <c:v>22.400000000000002</c:v>
                </c:pt>
                <c:pt idx="53">
                  <c:v>21.9</c:v>
                </c:pt>
                <c:pt idx="54">
                  <c:v>21.5</c:v>
                </c:pt>
                <c:pt idx="55">
                  <c:v>20.9</c:v>
                </c:pt>
                <c:pt idx="56">
                  <c:v>20.299999999999997</c:v>
                </c:pt>
                <c:pt idx="57">
                  <c:v>19.600000000000001</c:v>
                </c:pt>
                <c:pt idx="58">
                  <c:v>19</c:v>
                </c:pt>
                <c:pt idx="59">
                  <c:v>18.600000000000001</c:v>
                </c:pt>
                <c:pt idx="60">
                  <c:v>18.200000000000003</c:v>
                </c:pt>
                <c:pt idx="61">
                  <c:v>17.399999999999999</c:v>
                </c:pt>
                <c:pt idx="62">
                  <c:v>17</c:v>
                </c:pt>
                <c:pt idx="63">
                  <c:v>16.600000000000001</c:v>
                </c:pt>
                <c:pt idx="64">
                  <c:v>16.5</c:v>
                </c:pt>
                <c:pt idx="65">
                  <c:v>16.200000000000003</c:v>
                </c:pt>
                <c:pt idx="66">
                  <c:v>15.700000000000001</c:v>
                </c:pt>
                <c:pt idx="67">
                  <c:v>15.2</c:v>
                </c:pt>
                <c:pt idx="68">
                  <c:v>14.399999999999999</c:v>
                </c:pt>
                <c:pt idx="69">
                  <c:v>13.7</c:v>
                </c:pt>
                <c:pt idx="70">
                  <c:v>13.2</c:v>
                </c:pt>
                <c:pt idx="71">
                  <c:v>13.100000000000001</c:v>
                </c:pt>
                <c:pt idx="72">
                  <c:v>12.7</c:v>
                </c:pt>
                <c:pt idx="73">
                  <c:v>12.5</c:v>
                </c:pt>
                <c:pt idx="74">
                  <c:v>12.299999999999999</c:v>
                </c:pt>
                <c:pt idx="75">
                  <c:v>11.899999999999999</c:v>
                </c:pt>
                <c:pt idx="76">
                  <c:v>11.600000000000001</c:v>
                </c:pt>
                <c:pt idx="77">
                  <c:v>11.200000000000001</c:v>
                </c:pt>
                <c:pt idx="78">
                  <c:v>10.7</c:v>
                </c:pt>
                <c:pt idx="79">
                  <c:v>10.7</c:v>
                </c:pt>
                <c:pt idx="80">
                  <c:v>9.2000000000000011</c:v>
                </c:pt>
                <c:pt idx="81">
                  <c:v>7.0999999999999979</c:v>
                </c:pt>
                <c:pt idx="82">
                  <c:v>9.7999999999999989</c:v>
                </c:pt>
                <c:pt idx="83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48-4CDF-90CE-51A590A2F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65456"/>
        <c:axId val="944273360"/>
      </c:scatterChart>
      <c:valAx>
        <c:axId val="949165456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273360"/>
        <c:crosses val="autoZero"/>
        <c:crossBetween val="midCat"/>
      </c:valAx>
      <c:valAx>
        <c:axId val="9442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65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23812</xdr:colOff>
      <xdr:row>1</xdr:row>
      <xdr:rowOff>14286</xdr:rowOff>
    </xdr:from>
    <xdr:to>
      <xdr:col>29</xdr:col>
      <xdr:colOff>552450</xdr:colOff>
      <xdr:row>58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F92E4B-9042-4D6C-9AB9-0439EBFD5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11</xdr:row>
      <xdr:rowOff>176212</xdr:rowOff>
    </xdr:from>
    <xdr:to>
      <xdr:col>27</xdr:col>
      <xdr:colOff>609599</xdr:colOff>
      <xdr:row>69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</xdr:colOff>
      <xdr:row>1</xdr:row>
      <xdr:rowOff>14287</xdr:rowOff>
    </xdr:from>
    <xdr:to>
      <xdr:col>29</xdr:col>
      <xdr:colOff>600075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B5CDE0-E3DA-4554-AD32-DC221C6A0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951</xdr:colOff>
      <xdr:row>2</xdr:row>
      <xdr:rowOff>179075</xdr:rowOff>
    </xdr:from>
    <xdr:to>
      <xdr:col>35</xdr:col>
      <xdr:colOff>19050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14286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41BCBD-4C95-4C32-90A0-31320C39B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1</xdr:row>
      <xdr:rowOff>14287</xdr:rowOff>
    </xdr:from>
    <xdr:to>
      <xdr:col>27</xdr:col>
      <xdr:colOff>609599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5DEF09-FE85-4B70-A81B-04E0B3D30A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@/h-fix.xlsx" TargetMode="External"/><Relationship Id="rId2" Type="http://schemas.openxmlformats.org/officeDocument/2006/relationships/externalLinkPath" Target="file:///C:\@\h-fix.xlsx" TargetMode="External"/><Relationship Id="rId1" Type="http://schemas.openxmlformats.org/officeDocument/2006/relationships/externalLinkPath" Target="/@/h-fi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Гондурас-правка"/>
    </sheetNames>
    <sheetDataSet>
      <sheetData sheetId="0">
        <row r="2">
          <cell r="B2" t="str">
            <v>c-WPP</v>
          </cell>
          <cell r="C2" t="str">
            <v>с-LAMBDA</v>
          </cell>
          <cell r="D2" t="str">
            <v>c-Колвер</v>
          </cell>
          <cell r="E2" t="str">
            <v>c-подьём Колвера</v>
          </cell>
          <cell r="I2" t="str">
            <v>р-WPP</v>
          </cell>
          <cell r="J2" t="str">
            <v>р-Колвер</v>
          </cell>
          <cell r="K2" t="str">
            <v>р-подьём Колвера</v>
          </cell>
          <cell r="P2" t="str">
            <v>рождаемость</v>
          </cell>
          <cell r="Q2" t="str">
            <v>смертность</v>
          </cell>
          <cell r="R2" t="str">
            <v>еп</v>
          </cell>
        </row>
        <row r="3">
          <cell r="A3">
            <v>1910</v>
          </cell>
          <cell r="D3">
            <v>23.646999999999998</v>
          </cell>
          <cell r="E3">
            <v>31.832000000000001</v>
          </cell>
          <cell r="J3">
            <v>44.281999999999996</v>
          </cell>
          <cell r="K3">
            <v>52.466999999999999</v>
          </cell>
          <cell r="O3">
            <v>1910</v>
          </cell>
          <cell r="P3">
            <v>52.466999999999999</v>
          </cell>
          <cell r="Q3">
            <v>31.832000000000001</v>
          </cell>
          <cell r="R3">
            <v>20.634999999999998</v>
          </cell>
        </row>
        <row r="4">
          <cell r="A4">
            <v>1911</v>
          </cell>
          <cell r="D4">
            <v>23.856999999999999</v>
          </cell>
          <cell r="E4">
            <v>32.042000000000002</v>
          </cell>
          <cell r="J4">
            <v>44.137</v>
          </cell>
          <cell r="K4">
            <v>52.322000000000003</v>
          </cell>
          <cell r="O4">
            <v>1911</v>
          </cell>
          <cell r="P4">
            <v>52.322000000000003</v>
          </cell>
          <cell r="Q4">
            <v>32.042000000000002</v>
          </cell>
          <cell r="R4">
            <v>20.28</v>
          </cell>
        </row>
        <row r="5">
          <cell r="A5">
            <v>1912</v>
          </cell>
          <cell r="D5">
            <v>24.253</v>
          </cell>
          <cell r="E5">
            <v>32.438000000000002</v>
          </cell>
          <cell r="J5">
            <v>43.865000000000002</v>
          </cell>
          <cell r="K5">
            <v>52.050000000000004</v>
          </cell>
          <cell r="O5">
            <v>1912</v>
          </cell>
          <cell r="P5">
            <v>52.050000000000004</v>
          </cell>
          <cell r="Q5">
            <v>32.438000000000002</v>
          </cell>
          <cell r="R5">
            <v>19.612000000000002</v>
          </cell>
        </row>
        <row r="6">
          <cell r="A6">
            <v>1913</v>
          </cell>
          <cell r="D6">
            <v>24.893000000000001</v>
          </cell>
          <cell r="E6">
            <v>33.078000000000003</v>
          </cell>
          <cell r="J6">
            <v>43.43</v>
          </cell>
          <cell r="K6">
            <v>51.615000000000002</v>
          </cell>
          <cell r="O6">
            <v>1913</v>
          </cell>
          <cell r="P6">
            <v>51.615000000000002</v>
          </cell>
          <cell r="Q6">
            <v>33.078000000000003</v>
          </cell>
          <cell r="R6">
            <v>18.536999999999999</v>
          </cell>
        </row>
        <row r="7">
          <cell r="A7">
            <v>1914</v>
          </cell>
          <cell r="D7">
            <v>25.748000000000001</v>
          </cell>
          <cell r="E7">
            <v>33.933</v>
          </cell>
          <cell r="J7">
            <v>42.854999999999997</v>
          </cell>
          <cell r="K7">
            <v>51.04</v>
          </cell>
          <cell r="O7">
            <v>1914</v>
          </cell>
          <cell r="P7">
            <v>51.04</v>
          </cell>
          <cell r="Q7">
            <v>33.933</v>
          </cell>
          <cell r="R7">
            <v>17.106999999999999</v>
          </cell>
        </row>
        <row r="8">
          <cell r="A8">
            <v>1915</v>
          </cell>
          <cell r="D8">
            <v>27.263999999999999</v>
          </cell>
          <cell r="E8">
            <v>35.448999999999998</v>
          </cell>
          <cell r="J8">
            <v>41.874000000000002</v>
          </cell>
          <cell r="K8">
            <v>50.059000000000005</v>
          </cell>
          <cell r="O8">
            <v>1915</v>
          </cell>
          <cell r="P8">
            <v>50.059000000000005</v>
          </cell>
          <cell r="Q8">
            <v>35.448999999999998</v>
          </cell>
          <cell r="R8">
            <v>14.610000000000007</v>
          </cell>
        </row>
        <row r="9">
          <cell r="A9">
            <v>1916</v>
          </cell>
          <cell r="D9">
            <v>27.859000000000002</v>
          </cell>
          <cell r="E9">
            <v>36.044000000000004</v>
          </cell>
          <cell r="J9">
            <v>41.472999999999999</v>
          </cell>
          <cell r="K9">
            <v>49.658000000000001</v>
          </cell>
          <cell r="O9">
            <v>1916</v>
          </cell>
          <cell r="P9">
            <v>49.658000000000001</v>
          </cell>
          <cell r="Q9">
            <v>36.044000000000004</v>
          </cell>
          <cell r="R9">
            <v>13.613999999999997</v>
          </cell>
        </row>
        <row r="10">
          <cell r="A10">
            <v>1917</v>
          </cell>
          <cell r="D10">
            <v>27.943000000000001</v>
          </cell>
          <cell r="E10">
            <v>36.128</v>
          </cell>
          <cell r="J10">
            <v>41.375999999999998</v>
          </cell>
          <cell r="K10">
            <v>49.561</v>
          </cell>
          <cell r="O10">
            <v>1917</v>
          </cell>
          <cell r="P10">
            <v>49.561</v>
          </cell>
          <cell r="Q10">
            <v>36.128</v>
          </cell>
          <cell r="R10">
            <v>13.433</v>
          </cell>
        </row>
        <row r="11">
          <cell r="A11">
            <v>1918</v>
          </cell>
          <cell r="D11">
            <v>27.466999999999999</v>
          </cell>
          <cell r="E11">
            <v>35.652000000000001</v>
          </cell>
          <cell r="J11">
            <v>41.613</v>
          </cell>
          <cell r="K11">
            <v>49.798000000000002</v>
          </cell>
          <cell r="O11">
            <v>1918</v>
          </cell>
          <cell r="P11">
            <v>49.798000000000002</v>
          </cell>
          <cell r="Q11">
            <v>35.652000000000001</v>
          </cell>
          <cell r="R11">
            <v>14.146000000000001</v>
          </cell>
        </row>
        <row r="12">
          <cell r="A12">
            <v>1919</v>
          </cell>
          <cell r="D12">
            <v>26.495000000000001</v>
          </cell>
          <cell r="E12">
            <v>34.68</v>
          </cell>
          <cell r="J12">
            <v>42.154000000000003</v>
          </cell>
          <cell r="K12">
            <v>50.339000000000006</v>
          </cell>
          <cell r="O12">
            <v>1919</v>
          </cell>
          <cell r="P12">
            <v>50.339000000000006</v>
          </cell>
          <cell r="Q12">
            <v>34.68</v>
          </cell>
          <cell r="R12">
            <v>15.659000000000006</v>
          </cell>
        </row>
        <row r="13">
          <cell r="A13">
            <v>1920</v>
          </cell>
          <cell r="D13">
            <v>24.561</v>
          </cell>
          <cell r="E13">
            <v>32.746000000000002</v>
          </cell>
          <cell r="J13">
            <v>43.293999999999997</v>
          </cell>
          <cell r="K13">
            <v>51.478999999999999</v>
          </cell>
          <cell r="O13">
            <v>1920</v>
          </cell>
          <cell r="P13">
            <v>51.478999999999999</v>
          </cell>
          <cell r="Q13">
            <v>32.746000000000002</v>
          </cell>
          <cell r="R13">
            <v>18.732999999999997</v>
          </cell>
        </row>
        <row r="14">
          <cell r="A14">
            <v>1921</v>
          </cell>
          <cell r="D14">
            <v>23.49</v>
          </cell>
          <cell r="E14">
            <v>31.674999999999997</v>
          </cell>
          <cell r="J14">
            <v>43.975999999999999</v>
          </cell>
          <cell r="K14">
            <v>52.161000000000001</v>
          </cell>
          <cell r="O14">
            <v>1921</v>
          </cell>
          <cell r="P14">
            <v>52.161000000000001</v>
          </cell>
          <cell r="Q14">
            <v>31.674999999999997</v>
          </cell>
          <cell r="R14">
            <v>20.486000000000004</v>
          </cell>
        </row>
        <row r="15">
          <cell r="A15">
            <v>1922</v>
          </cell>
          <cell r="D15">
            <v>22.757000000000001</v>
          </cell>
          <cell r="E15">
            <v>30.942</v>
          </cell>
          <cell r="J15">
            <v>44.484000000000002</v>
          </cell>
          <cell r="K15">
            <v>52.669000000000004</v>
          </cell>
          <cell r="O15">
            <v>1922</v>
          </cell>
          <cell r="P15">
            <v>52.669000000000004</v>
          </cell>
          <cell r="Q15">
            <v>30.942</v>
          </cell>
          <cell r="R15">
            <v>21.727000000000004</v>
          </cell>
        </row>
        <row r="16">
          <cell r="A16">
            <v>1923</v>
          </cell>
          <cell r="D16">
            <v>22.405999999999999</v>
          </cell>
          <cell r="E16">
            <v>30.591000000000001</v>
          </cell>
          <cell r="J16">
            <v>44.783000000000001</v>
          </cell>
          <cell r="K16">
            <v>52.968000000000004</v>
          </cell>
          <cell r="O16">
            <v>1923</v>
          </cell>
          <cell r="P16">
            <v>52.968000000000004</v>
          </cell>
          <cell r="Q16">
            <v>30.591000000000001</v>
          </cell>
          <cell r="R16">
            <v>22.377000000000002</v>
          </cell>
        </row>
        <row r="17">
          <cell r="A17">
            <v>1924</v>
          </cell>
          <cell r="D17">
            <v>22.399000000000001</v>
          </cell>
          <cell r="E17">
            <v>30.584000000000003</v>
          </cell>
          <cell r="J17">
            <v>44.878999999999998</v>
          </cell>
          <cell r="K17">
            <v>53.064</v>
          </cell>
          <cell r="O17">
            <v>1924</v>
          </cell>
          <cell r="P17">
            <v>53.064</v>
          </cell>
          <cell r="Q17">
            <v>30.584000000000003</v>
          </cell>
          <cell r="R17">
            <v>22.479999999999997</v>
          </cell>
        </row>
        <row r="18">
          <cell r="A18">
            <v>1925</v>
          </cell>
          <cell r="D18">
            <v>23.030999999999999</v>
          </cell>
          <cell r="E18">
            <v>31.216000000000001</v>
          </cell>
          <cell r="J18">
            <v>44.707999999999998</v>
          </cell>
          <cell r="K18">
            <v>52.893000000000001</v>
          </cell>
          <cell r="O18">
            <v>1925</v>
          </cell>
          <cell r="P18">
            <v>52.893000000000001</v>
          </cell>
          <cell r="Q18">
            <v>31.216000000000001</v>
          </cell>
          <cell r="R18">
            <v>21.677</v>
          </cell>
        </row>
        <row r="19">
          <cell r="A19">
            <v>1926</v>
          </cell>
          <cell r="D19">
            <v>23.225000000000001</v>
          </cell>
          <cell r="E19">
            <v>31.410000000000004</v>
          </cell>
          <cell r="J19">
            <v>44.503</v>
          </cell>
          <cell r="K19">
            <v>52.688000000000002</v>
          </cell>
          <cell r="O19">
            <v>1926</v>
          </cell>
          <cell r="P19">
            <v>52.688000000000002</v>
          </cell>
          <cell r="Q19">
            <v>31.410000000000004</v>
          </cell>
          <cell r="R19">
            <v>21.277999999999999</v>
          </cell>
        </row>
        <row r="20">
          <cell r="A20">
            <v>1927</v>
          </cell>
          <cell r="D20">
            <v>23.271999999999998</v>
          </cell>
          <cell r="E20">
            <v>31.457000000000001</v>
          </cell>
          <cell r="J20">
            <v>44.201999999999998</v>
          </cell>
          <cell r="K20">
            <v>52.387</v>
          </cell>
          <cell r="O20">
            <v>1927</v>
          </cell>
          <cell r="P20">
            <v>52.387</v>
          </cell>
          <cell r="Q20">
            <v>31.457000000000001</v>
          </cell>
          <cell r="R20">
            <v>20.93</v>
          </cell>
        </row>
        <row r="21">
          <cell r="A21">
            <v>1928</v>
          </cell>
          <cell r="D21">
            <v>23.138999999999999</v>
          </cell>
          <cell r="E21">
            <v>31.323999999999998</v>
          </cell>
          <cell r="J21">
            <v>43.811999999999998</v>
          </cell>
          <cell r="K21">
            <v>51.997</v>
          </cell>
          <cell r="O21">
            <v>1928</v>
          </cell>
          <cell r="P21">
            <v>51.997</v>
          </cell>
          <cell r="Q21">
            <v>31.323999999999998</v>
          </cell>
          <cell r="R21">
            <v>20.673000000000002</v>
          </cell>
        </row>
        <row r="22">
          <cell r="A22">
            <v>1929</v>
          </cell>
          <cell r="D22">
            <v>22.843</v>
          </cell>
          <cell r="E22">
            <v>31.027999999999999</v>
          </cell>
          <cell r="J22">
            <v>43.345999999999997</v>
          </cell>
          <cell r="K22">
            <v>51.530999999999999</v>
          </cell>
          <cell r="O22">
            <v>1929</v>
          </cell>
          <cell r="P22">
            <v>51.530999999999999</v>
          </cell>
          <cell r="Q22">
            <v>31.027999999999999</v>
          </cell>
          <cell r="R22">
            <v>20.503</v>
          </cell>
        </row>
        <row r="23">
          <cell r="A23">
            <v>1930</v>
          </cell>
          <cell r="C23">
            <v>27.8</v>
          </cell>
          <cell r="D23">
            <v>22.239000000000001</v>
          </cell>
          <cell r="E23">
            <v>30.423999999999999</v>
          </cell>
          <cell r="J23">
            <v>42.7</v>
          </cell>
          <cell r="K23">
            <v>50.885000000000005</v>
          </cell>
          <cell r="O23">
            <v>1930</v>
          </cell>
          <cell r="P23">
            <v>50.885000000000005</v>
          </cell>
          <cell r="Q23">
            <v>30.423999999999999</v>
          </cell>
          <cell r="R23">
            <v>20.461000000000006</v>
          </cell>
        </row>
        <row r="24">
          <cell r="A24">
            <v>1931</v>
          </cell>
          <cell r="C24">
            <v>27.918399999999998</v>
          </cell>
          <cell r="D24">
            <v>21.876999999999999</v>
          </cell>
          <cell r="E24">
            <v>30.061999999999998</v>
          </cell>
          <cell r="J24">
            <v>42.256</v>
          </cell>
          <cell r="K24">
            <v>50.441000000000003</v>
          </cell>
          <cell r="O24">
            <v>1931</v>
          </cell>
          <cell r="P24">
            <v>50.441000000000003</v>
          </cell>
          <cell r="Q24">
            <v>30.061999999999998</v>
          </cell>
          <cell r="R24">
            <v>20.379000000000005</v>
          </cell>
        </row>
        <row r="25">
          <cell r="A25">
            <v>1932</v>
          </cell>
          <cell r="C25">
            <v>28.027200000000001</v>
          </cell>
          <cell r="D25">
            <v>21.606000000000002</v>
          </cell>
          <cell r="E25">
            <v>29.791000000000004</v>
          </cell>
          <cell r="J25">
            <v>41.908000000000001</v>
          </cell>
          <cell r="K25">
            <v>50.093000000000004</v>
          </cell>
          <cell r="O25">
            <v>1932</v>
          </cell>
          <cell r="P25">
            <v>50.093000000000004</v>
          </cell>
          <cell r="Q25">
            <v>29.791000000000004</v>
          </cell>
          <cell r="R25">
            <v>20.302</v>
          </cell>
        </row>
        <row r="26">
          <cell r="A26">
            <v>1933</v>
          </cell>
          <cell r="C26">
            <v>28.116800000000001</v>
          </cell>
          <cell r="D26">
            <v>21.44</v>
          </cell>
          <cell r="E26">
            <v>29.625</v>
          </cell>
          <cell r="J26">
            <v>41.664999999999999</v>
          </cell>
          <cell r="K26">
            <v>49.85</v>
          </cell>
          <cell r="O26">
            <v>1933</v>
          </cell>
          <cell r="P26">
            <v>49.85</v>
          </cell>
          <cell r="Q26">
            <v>29.625</v>
          </cell>
          <cell r="R26">
            <v>20.225000000000001</v>
          </cell>
        </row>
        <row r="27">
          <cell r="A27">
            <v>1934</v>
          </cell>
          <cell r="C27">
            <v>28.177600000000002</v>
          </cell>
          <cell r="D27">
            <v>21.381</v>
          </cell>
          <cell r="E27">
            <v>29.566000000000003</v>
          </cell>
          <cell r="J27">
            <v>41.53</v>
          </cell>
          <cell r="K27">
            <v>49.715000000000003</v>
          </cell>
          <cell r="O27">
            <v>1934</v>
          </cell>
          <cell r="P27">
            <v>49.715000000000003</v>
          </cell>
          <cell r="Q27">
            <v>29.566000000000003</v>
          </cell>
          <cell r="R27">
            <v>20.149000000000001</v>
          </cell>
        </row>
        <row r="28">
          <cell r="A28">
            <v>1935</v>
          </cell>
          <cell r="C28">
            <v>28.2</v>
          </cell>
          <cell r="D28">
            <v>21.407</v>
          </cell>
          <cell r="E28">
            <v>29.591999999999999</v>
          </cell>
          <cell r="J28">
            <v>41.496000000000002</v>
          </cell>
          <cell r="K28">
            <v>49.681000000000004</v>
          </cell>
          <cell r="O28">
            <v>1935</v>
          </cell>
          <cell r="P28">
            <v>49.681000000000004</v>
          </cell>
          <cell r="Q28">
            <v>29.591999999999999</v>
          </cell>
          <cell r="R28">
            <v>20.089000000000006</v>
          </cell>
        </row>
        <row r="29">
          <cell r="A29">
            <v>1936</v>
          </cell>
          <cell r="C29">
            <v>28.1599</v>
          </cell>
          <cell r="D29">
            <v>21.6</v>
          </cell>
          <cell r="E29">
            <v>29.785000000000004</v>
          </cell>
          <cell r="J29">
            <v>41.58</v>
          </cell>
          <cell r="K29">
            <v>49.765000000000001</v>
          </cell>
          <cell r="O29">
            <v>1936</v>
          </cell>
          <cell r="P29">
            <v>49.765000000000001</v>
          </cell>
          <cell r="Q29">
            <v>29.785000000000004</v>
          </cell>
          <cell r="R29">
            <v>19.979999999999997</v>
          </cell>
        </row>
        <row r="30">
          <cell r="A30">
            <v>1937</v>
          </cell>
          <cell r="C30">
            <v>28.0518</v>
          </cell>
          <cell r="D30">
            <v>21.94</v>
          </cell>
          <cell r="E30">
            <v>30.125</v>
          </cell>
          <cell r="J30">
            <v>41.777999999999999</v>
          </cell>
          <cell r="K30">
            <v>49.963000000000001</v>
          </cell>
          <cell r="O30">
            <v>1937</v>
          </cell>
          <cell r="P30">
            <v>49.963000000000001</v>
          </cell>
          <cell r="Q30">
            <v>30.125</v>
          </cell>
          <cell r="R30">
            <v>19.838000000000001</v>
          </cell>
        </row>
        <row r="31">
          <cell r="A31">
            <v>1938</v>
          </cell>
          <cell r="C31">
            <v>27.893699999999999</v>
          </cell>
          <cell r="D31">
            <v>22.431000000000001</v>
          </cell>
          <cell r="E31">
            <v>30.616</v>
          </cell>
          <cell r="J31">
            <v>42.091000000000001</v>
          </cell>
          <cell r="K31">
            <v>50.276000000000003</v>
          </cell>
          <cell r="O31">
            <v>1938</v>
          </cell>
          <cell r="P31">
            <v>50.276000000000003</v>
          </cell>
          <cell r="Q31">
            <v>30.616</v>
          </cell>
          <cell r="R31">
            <v>19.660000000000004</v>
          </cell>
        </row>
        <row r="32">
          <cell r="A32">
            <v>1939</v>
          </cell>
          <cell r="C32">
            <v>27.703800000000001</v>
          </cell>
          <cell r="D32">
            <v>23.041</v>
          </cell>
          <cell r="E32">
            <v>31.225999999999999</v>
          </cell>
          <cell r="J32">
            <v>42.506</v>
          </cell>
          <cell r="K32">
            <v>50.691000000000003</v>
          </cell>
          <cell r="O32">
            <v>1939</v>
          </cell>
          <cell r="P32">
            <v>50.691000000000003</v>
          </cell>
          <cell r="Q32">
            <v>31.225999999999999</v>
          </cell>
          <cell r="R32">
            <v>19.465000000000003</v>
          </cell>
        </row>
        <row r="33">
          <cell r="A33">
            <v>1940</v>
          </cell>
          <cell r="C33">
            <v>27.5</v>
          </cell>
          <cell r="D33">
            <v>24.094000000000001</v>
          </cell>
          <cell r="E33">
            <v>32.279000000000003</v>
          </cell>
          <cell r="J33">
            <v>43.143999999999998</v>
          </cell>
          <cell r="K33">
            <v>51.329000000000001</v>
          </cell>
          <cell r="O33">
            <v>1940</v>
          </cell>
          <cell r="P33">
            <v>51.329000000000001</v>
          </cell>
          <cell r="Q33">
            <v>32.279000000000003</v>
          </cell>
          <cell r="R33">
            <v>19.049999999999997</v>
          </cell>
        </row>
        <row r="34">
          <cell r="A34">
            <v>1941</v>
          </cell>
          <cell r="C34">
            <v>27.200600000000001</v>
          </cell>
          <cell r="D34">
            <v>24.427</v>
          </cell>
          <cell r="E34">
            <v>32.612000000000002</v>
          </cell>
          <cell r="J34">
            <v>43.567999999999998</v>
          </cell>
          <cell r="K34">
            <v>51.753</v>
          </cell>
          <cell r="O34">
            <v>1941</v>
          </cell>
          <cell r="P34">
            <v>51.753</v>
          </cell>
          <cell r="Q34">
            <v>32.612000000000002</v>
          </cell>
          <cell r="R34">
            <v>19.140999999999998</v>
          </cell>
        </row>
        <row r="35">
          <cell r="A35">
            <v>1942</v>
          </cell>
          <cell r="C35">
            <v>26.7714</v>
          </cell>
          <cell r="D35">
            <v>24.344999999999999</v>
          </cell>
          <cell r="E35">
            <v>32.53</v>
          </cell>
          <cell r="J35">
            <v>43.895000000000003</v>
          </cell>
          <cell r="K35">
            <v>52.080000000000005</v>
          </cell>
          <cell r="O35">
            <v>1942</v>
          </cell>
          <cell r="P35">
            <v>52.080000000000005</v>
          </cell>
          <cell r="Q35">
            <v>32.53</v>
          </cell>
          <cell r="R35">
            <v>19.550000000000004</v>
          </cell>
        </row>
        <row r="36">
          <cell r="A36">
            <v>1943</v>
          </cell>
          <cell r="C36">
            <v>26.3019</v>
          </cell>
          <cell r="D36">
            <v>23.815999999999999</v>
          </cell>
          <cell r="E36">
            <v>32.000999999999998</v>
          </cell>
          <cell r="J36">
            <v>44.110999999999997</v>
          </cell>
          <cell r="K36">
            <v>52.295999999999999</v>
          </cell>
          <cell r="O36">
            <v>1943</v>
          </cell>
          <cell r="P36">
            <v>52.295999999999999</v>
          </cell>
          <cell r="Q36">
            <v>32.000999999999998</v>
          </cell>
          <cell r="R36">
            <v>20.295000000000002</v>
          </cell>
        </row>
        <row r="37">
          <cell r="A37">
            <v>1944</v>
          </cell>
          <cell r="C37">
            <v>25.881599999999999</v>
          </cell>
          <cell r="D37">
            <v>22.879000000000001</v>
          </cell>
          <cell r="E37">
            <v>31.064</v>
          </cell>
          <cell r="J37">
            <v>44.226999999999997</v>
          </cell>
          <cell r="K37">
            <v>52.411999999999999</v>
          </cell>
          <cell r="O37">
            <v>1944</v>
          </cell>
          <cell r="P37">
            <v>52.411999999999999</v>
          </cell>
          <cell r="Q37">
            <v>31.064</v>
          </cell>
          <cell r="R37">
            <v>21.347999999999999</v>
          </cell>
        </row>
        <row r="38">
          <cell r="A38">
            <v>1945</v>
          </cell>
          <cell r="C38">
            <v>25.6</v>
          </cell>
          <cell r="D38">
            <v>21.271000000000001</v>
          </cell>
          <cell r="E38">
            <v>29.456000000000003</v>
          </cell>
          <cell r="J38">
            <v>44.137</v>
          </cell>
          <cell r="K38">
            <v>52.322000000000003</v>
          </cell>
          <cell r="O38">
            <v>1945</v>
          </cell>
          <cell r="P38">
            <v>52.322000000000003</v>
          </cell>
          <cell r="Q38">
            <v>29.456000000000003</v>
          </cell>
          <cell r="R38">
            <v>22.866</v>
          </cell>
        </row>
        <row r="39">
          <cell r="A39">
            <v>1946</v>
          </cell>
          <cell r="C39">
            <v>25.450600000000001</v>
          </cell>
          <cell r="D39">
            <v>20.059000000000001</v>
          </cell>
          <cell r="E39">
            <v>28.244</v>
          </cell>
          <cell r="J39">
            <v>44.231000000000002</v>
          </cell>
          <cell r="K39">
            <v>52.416000000000004</v>
          </cell>
          <cell r="O39">
            <v>1946</v>
          </cell>
          <cell r="P39">
            <v>52.380726720000006</v>
          </cell>
          <cell r="Q39">
            <v>28.279273279999998</v>
          </cell>
          <cell r="R39">
            <v>24.101453440000007</v>
          </cell>
        </row>
        <row r="40">
          <cell r="A40">
            <v>1947</v>
          </cell>
          <cell r="C40">
            <v>25.346499999999999</v>
          </cell>
          <cell r="D40">
            <v>18.940999999999999</v>
          </cell>
          <cell r="E40">
            <v>27.125999999999998</v>
          </cell>
          <cell r="J40">
            <v>44.402999999999999</v>
          </cell>
          <cell r="K40">
            <v>52.588000000000001</v>
          </cell>
          <cell r="O40">
            <v>1947</v>
          </cell>
          <cell r="P40">
            <v>52.39467904</v>
          </cell>
          <cell r="Q40">
            <v>27.319320959999999</v>
          </cell>
          <cell r="R40">
            <v>25.075358080000001</v>
          </cell>
        </row>
        <row r="41">
          <cell r="A41">
            <v>1948</v>
          </cell>
          <cell r="C41">
            <v>25.257300000000001</v>
          </cell>
          <cell r="D41">
            <v>17.942</v>
          </cell>
          <cell r="E41">
            <v>26.127000000000002</v>
          </cell>
          <cell r="J41">
            <v>44.665999999999997</v>
          </cell>
          <cell r="K41">
            <v>52.850999999999999</v>
          </cell>
          <cell r="O41">
            <v>1948</v>
          </cell>
          <cell r="P41">
            <v>52.435320959999999</v>
          </cell>
          <cell r="Q41">
            <v>26.542679040000003</v>
          </cell>
          <cell r="R41">
            <v>25.892641919999996</v>
          </cell>
        </row>
        <row r="42">
          <cell r="A42">
            <v>1949</v>
          </cell>
          <cell r="C42">
            <v>25.152000000000001</v>
          </cell>
          <cell r="D42">
            <v>17.053999999999998</v>
          </cell>
          <cell r="E42">
            <v>25.238999999999997</v>
          </cell>
          <cell r="J42">
            <v>45.006999999999998</v>
          </cell>
          <cell r="K42">
            <v>53.192</v>
          </cell>
          <cell r="O42">
            <v>1949</v>
          </cell>
          <cell r="P42">
            <v>52.618273279999997</v>
          </cell>
          <cell r="Q42">
            <v>25.812726719999997</v>
          </cell>
          <cell r="R42">
            <v>26.80554656</v>
          </cell>
        </row>
        <row r="43">
          <cell r="A43">
            <v>1950</v>
          </cell>
          <cell r="B43">
            <v>25.7</v>
          </cell>
          <cell r="C43">
            <v>25</v>
          </cell>
          <cell r="D43">
            <v>16.297000000000001</v>
          </cell>
          <cell r="E43">
            <v>24.481999999999999</v>
          </cell>
          <cell r="I43">
            <v>52.5</v>
          </cell>
          <cell r="J43">
            <v>45.533000000000001</v>
          </cell>
          <cell r="K43">
            <v>53.718000000000004</v>
          </cell>
          <cell r="O43">
            <v>1950</v>
          </cell>
          <cell r="P43">
            <v>53.109000000000002</v>
          </cell>
          <cell r="Q43">
            <v>25.091000000000001</v>
          </cell>
          <cell r="R43">
            <v>28.018000000000001</v>
          </cell>
        </row>
        <row r="44">
          <cell r="A44">
            <v>1951</v>
          </cell>
          <cell r="B44">
            <v>25.1</v>
          </cell>
          <cell r="C44">
            <v>24.779299999999999</v>
          </cell>
          <cell r="D44">
            <v>15.568</v>
          </cell>
          <cell r="E44">
            <v>23.753</v>
          </cell>
          <cell r="I44">
            <v>52.4</v>
          </cell>
          <cell r="J44">
            <v>45.86</v>
          </cell>
          <cell r="K44">
            <v>54.045000000000002</v>
          </cell>
          <cell r="O44">
            <v>1951</v>
          </cell>
          <cell r="P44">
            <v>53.003786959999999</v>
          </cell>
          <cell r="Q44">
            <v>24.496213040000004</v>
          </cell>
          <cell r="R44">
            <v>28.507573919999995</v>
          </cell>
        </row>
        <row r="45">
          <cell r="A45">
            <v>1952</v>
          </cell>
          <cell r="B45">
            <v>24.6</v>
          </cell>
          <cell r="C45">
            <v>24.494199999999999</v>
          </cell>
          <cell r="D45">
            <v>14.891</v>
          </cell>
          <cell r="E45">
            <v>23.076000000000001</v>
          </cell>
          <cell r="I45">
            <v>52.3</v>
          </cell>
          <cell r="J45">
            <v>46.093000000000004</v>
          </cell>
          <cell r="K45">
            <v>54.278000000000006</v>
          </cell>
          <cell r="O45">
            <v>1952</v>
          </cell>
          <cell r="P45">
            <v>52.873726720000001</v>
          </cell>
          <cell r="Q45">
            <v>24.026273280000002</v>
          </cell>
          <cell r="R45">
            <v>28.847453439999999</v>
          </cell>
        </row>
        <row r="46">
          <cell r="A46">
            <v>1953</v>
          </cell>
          <cell r="B46">
            <v>24</v>
          </cell>
          <cell r="C46">
            <v>24.153600000000001</v>
          </cell>
          <cell r="D46">
            <v>14.262</v>
          </cell>
          <cell r="E46">
            <v>22.447000000000003</v>
          </cell>
          <cell r="I46">
            <v>52.1</v>
          </cell>
          <cell r="J46">
            <v>46.216999999999999</v>
          </cell>
          <cell r="K46">
            <v>54.402000000000001</v>
          </cell>
          <cell r="O46">
            <v>1953</v>
          </cell>
          <cell r="P46">
            <v>52.609684280000003</v>
          </cell>
          <cell r="Q46">
            <v>23.490315720000002</v>
          </cell>
          <cell r="R46">
            <v>29.119368560000002</v>
          </cell>
        </row>
        <row r="47">
          <cell r="A47">
            <v>1954</v>
          </cell>
          <cell r="B47">
            <v>23.4</v>
          </cell>
          <cell r="C47">
            <v>23.766400000000001</v>
          </cell>
          <cell r="D47">
            <v>13.683999999999999</v>
          </cell>
          <cell r="E47">
            <v>21.869</v>
          </cell>
          <cell r="I47">
            <v>51.9</v>
          </cell>
          <cell r="J47">
            <v>46.241999999999997</v>
          </cell>
          <cell r="K47">
            <v>54.427</v>
          </cell>
          <cell r="O47">
            <v>1954</v>
          </cell>
          <cell r="P47">
            <v>52.315679039999999</v>
          </cell>
          <cell r="Q47">
            <v>22.984320959999998</v>
          </cell>
          <cell r="R47">
            <v>29.331358080000001</v>
          </cell>
        </row>
        <row r="48">
          <cell r="A48">
            <v>1955</v>
          </cell>
          <cell r="B48">
            <v>22.7</v>
          </cell>
          <cell r="C48">
            <v>23.3416</v>
          </cell>
          <cell r="D48">
            <v>13.111000000000001</v>
          </cell>
          <cell r="E48">
            <v>21.295999999999999</v>
          </cell>
          <cell r="I48">
            <v>51.6</v>
          </cell>
          <cell r="J48">
            <v>46.098999999999997</v>
          </cell>
          <cell r="K48">
            <v>54.283999999999999</v>
          </cell>
          <cell r="O48">
            <v>1955</v>
          </cell>
          <cell r="P48">
            <v>51.904499999999999</v>
          </cell>
          <cell r="Q48">
            <v>22.395499999999998</v>
          </cell>
          <cell r="R48">
            <v>29.509</v>
          </cell>
        </row>
        <row r="49">
          <cell r="A49">
            <v>1956</v>
          </cell>
          <cell r="B49">
            <v>22</v>
          </cell>
          <cell r="C49">
            <v>22.888000000000002</v>
          </cell>
          <cell r="D49">
            <v>12.702</v>
          </cell>
          <cell r="E49">
            <v>20.887</v>
          </cell>
          <cell r="I49">
            <v>51.2</v>
          </cell>
          <cell r="J49">
            <v>46.036000000000001</v>
          </cell>
          <cell r="K49">
            <v>54.221000000000004</v>
          </cell>
          <cell r="O49">
            <v>1956</v>
          </cell>
          <cell r="P49">
            <v>51.393320960000004</v>
          </cell>
          <cell r="Q49">
            <v>21.806679040000002</v>
          </cell>
          <cell r="R49">
            <v>29.586641920000002</v>
          </cell>
        </row>
        <row r="50">
          <cell r="A50">
            <v>1957</v>
          </cell>
          <cell r="B50">
            <v>21.3</v>
          </cell>
          <cell r="C50">
            <v>22.4145</v>
          </cell>
          <cell r="D50">
            <v>12.409000000000001</v>
          </cell>
          <cell r="E50">
            <v>20.594000000000001</v>
          </cell>
          <cell r="I50">
            <v>50.8</v>
          </cell>
          <cell r="J50">
            <v>45.985999999999997</v>
          </cell>
          <cell r="K50">
            <v>54.170999999999999</v>
          </cell>
          <cell r="O50">
            <v>1957</v>
          </cell>
          <cell r="P50">
            <v>50.899315719999997</v>
          </cell>
          <cell r="Q50">
            <v>21.200684280000001</v>
          </cell>
          <cell r="R50">
            <v>29.698631439999996</v>
          </cell>
        </row>
        <row r="51">
          <cell r="A51">
            <v>1958</v>
          </cell>
          <cell r="B51">
            <v>20.6</v>
          </cell>
          <cell r="C51">
            <v>21.930099999999999</v>
          </cell>
          <cell r="D51">
            <v>12.227</v>
          </cell>
          <cell r="E51">
            <v>20.411999999999999</v>
          </cell>
          <cell r="I51">
            <v>50.4</v>
          </cell>
          <cell r="J51">
            <v>45.954000000000001</v>
          </cell>
          <cell r="K51">
            <v>54.139000000000003</v>
          </cell>
          <cell r="O51">
            <v>1958</v>
          </cell>
          <cell r="P51">
            <v>50.435273279999997</v>
          </cell>
          <cell r="Q51">
            <v>20.564726719999999</v>
          </cell>
          <cell r="R51">
            <v>29.870546559999998</v>
          </cell>
        </row>
        <row r="52">
          <cell r="A52">
            <v>1959</v>
          </cell>
          <cell r="B52">
            <v>19.8</v>
          </cell>
          <cell r="C52">
            <v>21.4436</v>
          </cell>
          <cell r="D52">
            <v>12.131</v>
          </cell>
          <cell r="E52">
            <v>20.316000000000003</v>
          </cell>
          <cell r="I52">
            <v>49.9</v>
          </cell>
          <cell r="J52">
            <v>45.938000000000002</v>
          </cell>
          <cell r="K52">
            <v>54.123000000000005</v>
          </cell>
          <cell r="O52">
            <v>1959</v>
          </cell>
          <cell r="P52">
            <v>49.90521304</v>
          </cell>
          <cell r="Q52">
            <v>19.79478696</v>
          </cell>
          <cell r="R52">
            <v>30.11042608</v>
          </cell>
        </row>
        <row r="53">
          <cell r="A53">
            <v>1960</v>
          </cell>
          <cell r="B53">
            <v>19.100000000000001</v>
          </cell>
          <cell r="C53">
            <v>20.963899999999999</v>
          </cell>
          <cell r="I53">
            <v>49.4</v>
          </cell>
          <cell r="O53">
            <v>1960</v>
          </cell>
          <cell r="P53">
            <v>49.4</v>
          </cell>
          <cell r="Q53">
            <v>19.100000000000001</v>
          </cell>
          <cell r="R53">
            <v>30.299999999999997</v>
          </cell>
        </row>
        <row r="54">
          <cell r="A54">
            <v>1961</v>
          </cell>
          <cell r="B54">
            <v>18.5</v>
          </cell>
          <cell r="C54">
            <v>20.5</v>
          </cell>
          <cell r="I54">
            <v>49</v>
          </cell>
          <cell r="O54">
            <v>1961</v>
          </cell>
          <cell r="P54">
            <v>49</v>
          </cell>
          <cell r="Q54">
            <v>18.5</v>
          </cell>
          <cell r="R54">
            <v>30.5</v>
          </cell>
        </row>
        <row r="55">
          <cell r="A55">
            <v>1962</v>
          </cell>
          <cell r="B55">
            <v>17.7</v>
          </cell>
          <cell r="C55">
            <v>20.040800000000001</v>
          </cell>
          <cell r="I55">
            <v>48.6</v>
          </cell>
          <cell r="O55">
            <v>1962</v>
          </cell>
          <cell r="P55">
            <v>48.6</v>
          </cell>
          <cell r="Q55">
            <v>17.7</v>
          </cell>
          <cell r="R55">
            <v>30.900000000000002</v>
          </cell>
        </row>
        <row r="56">
          <cell r="A56">
            <v>1963</v>
          </cell>
          <cell r="B56">
            <v>17.100000000000001</v>
          </cell>
          <cell r="C56">
            <v>19.569900000000001</v>
          </cell>
          <cell r="I56">
            <v>48.2</v>
          </cell>
          <cell r="O56">
            <v>1963</v>
          </cell>
          <cell r="P56">
            <v>48.2</v>
          </cell>
          <cell r="Q56">
            <v>17.100000000000001</v>
          </cell>
          <cell r="R56">
            <v>31.1</v>
          </cell>
        </row>
        <row r="57">
          <cell r="A57">
            <v>1964</v>
          </cell>
          <cell r="B57">
            <v>16.399999999999999</v>
          </cell>
          <cell r="C57">
            <v>19.0884</v>
          </cell>
          <cell r="I57">
            <v>47.9</v>
          </cell>
          <cell r="O57">
            <v>1964</v>
          </cell>
          <cell r="P57">
            <v>47.9</v>
          </cell>
          <cell r="Q57">
            <v>16.399999999999999</v>
          </cell>
          <cell r="R57">
            <v>31.5</v>
          </cell>
        </row>
        <row r="58">
          <cell r="A58">
            <v>1965</v>
          </cell>
          <cell r="B58">
            <v>15.9</v>
          </cell>
          <cell r="C58">
            <v>18.597200000000001</v>
          </cell>
          <cell r="I58">
            <v>47.7</v>
          </cell>
          <cell r="O58">
            <v>1965</v>
          </cell>
          <cell r="P58">
            <v>47.7</v>
          </cell>
          <cell r="Q58">
            <v>15.9</v>
          </cell>
          <cell r="R58">
            <v>31.800000000000004</v>
          </cell>
        </row>
        <row r="59">
          <cell r="A59">
            <v>1966</v>
          </cell>
          <cell r="B59">
            <v>15.3</v>
          </cell>
          <cell r="C59">
            <v>18.097200000000001</v>
          </cell>
          <cell r="I59">
            <v>47.3</v>
          </cell>
          <cell r="O59">
            <v>1966</v>
          </cell>
          <cell r="P59">
            <v>47.3</v>
          </cell>
          <cell r="Q59">
            <v>15.3</v>
          </cell>
          <cell r="R59">
            <v>31.999999999999996</v>
          </cell>
        </row>
        <row r="60">
          <cell r="A60">
            <v>1967</v>
          </cell>
          <cell r="B60">
            <v>14.7</v>
          </cell>
          <cell r="C60">
            <v>17.589500000000001</v>
          </cell>
          <cell r="I60">
            <v>46.9</v>
          </cell>
          <cell r="O60">
            <v>1967</v>
          </cell>
          <cell r="P60">
            <v>46.9</v>
          </cell>
          <cell r="Q60">
            <v>14.7</v>
          </cell>
          <cell r="R60">
            <v>32.200000000000003</v>
          </cell>
        </row>
        <row r="61">
          <cell r="A61">
            <v>1968</v>
          </cell>
          <cell r="B61">
            <v>14.2</v>
          </cell>
          <cell r="C61">
            <v>17.075099999999999</v>
          </cell>
          <cell r="I61">
            <v>46.6</v>
          </cell>
          <cell r="O61">
            <v>1968</v>
          </cell>
          <cell r="P61">
            <v>46.6</v>
          </cell>
          <cell r="Q61">
            <v>14.2</v>
          </cell>
          <cell r="R61">
            <v>32.400000000000006</v>
          </cell>
        </row>
        <row r="62">
          <cell r="A62">
            <v>1969</v>
          </cell>
          <cell r="B62">
            <v>13.7</v>
          </cell>
          <cell r="C62">
            <v>16.5548</v>
          </cell>
          <cell r="I62">
            <v>46.4</v>
          </cell>
          <cell r="O62">
            <v>1969</v>
          </cell>
          <cell r="P62">
            <v>46.4</v>
          </cell>
          <cell r="Q62">
            <v>13.7</v>
          </cell>
          <cell r="R62">
            <v>32.700000000000003</v>
          </cell>
        </row>
        <row r="63">
          <cell r="A63">
            <v>1970</v>
          </cell>
          <cell r="B63">
            <v>13.2</v>
          </cell>
          <cell r="C63">
            <v>16.029599999999999</v>
          </cell>
          <cell r="I63">
            <v>46.3</v>
          </cell>
          <cell r="O63">
            <v>1970</v>
          </cell>
          <cell r="P63">
            <v>46.3</v>
          </cell>
          <cell r="Q63">
            <v>13.2</v>
          </cell>
          <cell r="R63">
            <v>33.099999999999994</v>
          </cell>
        </row>
        <row r="64">
          <cell r="A64">
            <v>1971</v>
          </cell>
          <cell r="B64">
            <v>12.8</v>
          </cell>
          <cell r="C64">
            <v>15.5006</v>
          </cell>
          <cell r="I64">
            <v>46.2</v>
          </cell>
          <cell r="O64">
            <v>1971</v>
          </cell>
          <cell r="P64">
            <v>46.2</v>
          </cell>
          <cell r="Q64">
            <v>12.8</v>
          </cell>
          <cell r="R64">
            <v>33.400000000000006</v>
          </cell>
        </row>
        <row r="65">
          <cell r="A65">
            <v>1972</v>
          </cell>
          <cell r="B65">
            <v>12.4</v>
          </cell>
          <cell r="C65">
            <v>14.9687</v>
          </cell>
          <cell r="I65">
            <v>46.1</v>
          </cell>
          <cell r="O65">
            <v>1972</v>
          </cell>
          <cell r="P65">
            <v>46.1</v>
          </cell>
          <cell r="Q65">
            <v>12.4</v>
          </cell>
          <cell r="R65">
            <v>33.700000000000003</v>
          </cell>
        </row>
        <row r="66">
          <cell r="A66">
            <v>1973</v>
          </cell>
          <cell r="B66">
            <v>12.9</v>
          </cell>
          <cell r="C66">
            <v>14.434799999999999</v>
          </cell>
          <cell r="I66">
            <v>45.9</v>
          </cell>
          <cell r="O66">
            <v>1973</v>
          </cell>
          <cell r="P66">
            <v>45.9</v>
          </cell>
          <cell r="Q66">
            <v>12.9</v>
          </cell>
          <cell r="R66">
            <v>33</v>
          </cell>
        </row>
        <row r="67">
          <cell r="A67">
            <v>1974</v>
          </cell>
          <cell r="B67">
            <v>14.2</v>
          </cell>
          <cell r="C67">
            <v>13.9</v>
          </cell>
          <cell r="I67">
            <v>45.8</v>
          </cell>
          <cell r="O67">
            <v>1974</v>
          </cell>
          <cell r="P67">
            <v>45.8</v>
          </cell>
          <cell r="Q67">
            <v>14.2</v>
          </cell>
          <cell r="R67">
            <v>31.599999999999998</v>
          </cell>
        </row>
        <row r="68">
          <cell r="A68">
            <v>1975</v>
          </cell>
          <cell r="B68">
            <v>11.1</v>
          </cell>
          <cell r="I68">
            <v>46</v>
          </cell>
          <cell r="O68">
            <v>1975</v>
          </cell>
          <cell r="P68">
            <v>46</v>
          </cell>
          <cell r="Q68">
            <v>11.1</v>
          </cell>
          <cell r="R68">
            <v>34.9</v>
          </cell>
        </row>
        <row r="69">
          <cell r="A69">
            <v>1976</v>
          </cell>
          <cell r="B69">
            <v>10.9</v>
          </cell>
          <cell r="I69">
            <v>46</v>
          </cell>
          <cell r="O69">
            <v>1976</v>
          </cell>
          <cell r="P69">
            <v>46</v>
          </cell>
          <cell r="Q69">
            <v>10.9</v>
          </cell>
          <cell r="R69">
            <v>35.1</v>
          </cell>
        </row>
        <row r="70">
          <cell r="A70">
            <v>1977</v>
          </cell>
          <cell r="B70">
            <v>10.6</v>
          </cell>
          <cell r="I70">
            <v>45.7</v>
          </cell>
          <cell r="O70">
            <v>1977</v>
          </cell>
          <cell r="P70">
            <v>45.7</v>
          </cell>
          <cell r="Q70">
            <v>10.6</v>
          </cell>
          <cell r="R70">
            <v>35.1</v>
          </cell>
        </row>
        <row r="71">
          <cell r="A71">
            <v>1978</v>
          </cell>
          <cell r="B71">
            <v>10.3</v>
          </cell>
          <cell r="I71">
            <v>45.3</v>
          </cell>
          <cell r="O71">
            <v>1978</v>
          </cell>
          <cell r="P71">
            <v>45.3</v>
          </cell>
          <cell r="Q71">
            <v>10.3</v>
          </cell>
          <cell r="R71">
            <v>35</v>
          </cell>
        </row>
        <row r="72">
          <cell r="A72">
            <v>1979</v>
          </cell>
          <cell r="B72">
            <v>10</v>
          </cell>
          <cell r="I72">
            <v>44.9</v>
          </cell>
          <cell r="O72">
            <v>1979</v>
          </cell>
          <cell r="P72">
            <v>44.9</v>
          </cell>
          <cell r="Q72">
            <v>10</v>
          </cell>
          <cell r="R72">
            <v>34.9</v>
          </cell>
        </row>
        <row r="73">
          <cell r="A73">
            <v>1980</v>
          </cell>
          <cell r="B73">
            <v>9.6999999999999993</v>
          </cell>
          <cell r="I73">
            <v>44.3</v>
          </cell>
          <cell r="O73">
            <v>1980</v>
          </cell>
          <cell r="P73">
            <v>44.3</v>
          </cell>
          <cell r="Q73">
            <v>9.6999999999999993</v>
          </cell>
          <cell r="R73">
            <v>34.599999999999994</v>
          </cell>
        </row>
        <row r="74">
          <cell r="A74">
            <v>1981</v>
          </cell>
          <cell r="B74">
            <v>9.4</v>
          </cell>
          <cell r="I74">
            <v>43.7</v>
          </cell>
          <cell r="O74">
            <v>1981</v>
          </cell>
          <cell r="P74">
            <v>43.7</v>
          </cell>
          <cell r="Q74">
            <v>9.4</v>
          </cell>
          <cell r="R74">
            <v>34.300000000000004</v>
          </cell>
        </row>
        <row r="75">
          <cell r="A75">
            <v>1982</v>
          </cell>
          <cell r="B75">
            <v>9.1</v>
          </cell>
          <cell r="I75">
            <v>43.1</v>
          </cell>
          <cell r="O75">
            <v>1982</v>
          </cell>
          <cell r="P75">
            <v>43.1</v>
          </cell>
          <cell r="Q75">
            <v>9.1</v>
          </cell>
          <cell r="R75">
            <v>34</v>
          </cell>
        </row>
        <row r="76">
          <cell r="A76">
            <v>1983</v>
          </cell>
          <cell r="B76">
            <v>8.6999999999999993</v>
          </cell>
          <cell r="I76">
            <v>42.4</v>
          </cell>
          <cell r="O76">
            <v>1983</v>
          </cell>
          <cell r="P76">
            <v>42.4</v>
          </cell>
          <cell r="Q76">
            <v>8.6999999999999993</v>
          </cell>
          <cell r="R76">
            <v>33.700000000000003</v>
          </cell>
        </row>
        <row r="77">
          <cell r="A77">
            <v>1984</v>
          </cell>
          <cell r="B77">
            <v>8.5</v>
          </cell>
          <cell r="I77">
            <v>41.8</v>
          </cell>
          <cell r="O77">
            <v>1984</v>
          </cell>
          <cell r="P77">
            <v>41.8</v>
          </cell>
          <cell r="Q77">
            <v>8.5</v>
          </cell>
          <cell r="R77">
            <v>33.299999999999997</v>
          </cell>
        </row>
        <row r="78">
          <cell r="A78">
            <v>1985</v>
          </cell>
          <cell r="B78">
            <v>8.1999999999999993</v>
          </cell>
          <cell r="I78">
            <v>41.1</v>
          </cell>
          <cell r="O78">
            <v>1985</v>
          </cell>
          <cell r="P78">
            <v>41.1</v>
          </cell>
          <cell r="Q78">
            <v>8.1999999999999993</v>
          </cell>
          <cell r="R78">
            <v>32.900000000000006</v>
          </cell>
        </row>
        <row r="79">
          <cell r="A79">
            <v>1986</v>
          </cell>
          <cell r="B79">
            <v>8</v>
          </cell>
          <cell r="I79">
            <v>40.5</v>
          </cell>
          <cell r="O79">
            <v>1986</v>
          </cell>
          <cell r="P79">
            <v>40.5</v>
          </cell>
          <cell r="Q79">
            <v>8</v>
          </cell>
          <cell r="R79">
            <v>32.5</v>
          </cell>
        </row>
        <row r="80">
          <cell r="A80">
            <v>1987</v>
          </cell>
          <cell r="B80">
            <v>7.8</v>
          </cell>
          <cell r="I80">
            <v>39.9</v>
          </cell>
          <cell r="O80">
            <v>1987</v>
          </cell>
          <cell r="P80">
            <v>39.9</v>
          </cell>
          <cell r="Q80">
            <v>7.8</v>
          </cell>
          <cell r="R80">
            <v>32.1</v>
          </cell>
        </row>
        <row r="81">
          <cell r="A81">
            <v>1988</v>
          </cell>
          <cell r="B81">
            <v>7.6</v>
          </cell>
          <cell r="I81">
            <v>39.299999999999997</v>
          </cell>
          <cell r="O81">
            <v>1988</v>
          </cell>
          <cell r="P81">
            <v>39.299999999999997</v>
          </cell>
          <cell r="Q81">
            <v>7.6</v>
          </cell>
          <cell r="R81">
            <v>31.699999999999996</v>
          </cell>
        </row>
        <row r="82">
          <cell r="A82">
            <v>1989</v>
          </cell>
          <cell r="B82">
            <v>7.3</v>
          </cell>
          <cell r="I82">
            <v>38.799999999999997</v>
          </cell>
          <cell r="O82">
            <v>1989</v>
          </cell>
          <cell r="P82">
            <v>38.799999999999997</v>
          </cell>
          <cell r="Q82">
            <v>7.3</v>
          </cell>
          <cell r="R82">
            <v>31.499999999999996</v>
          </cell>
        </row>
        <row r="83">
          <cell r="A83">
            <v>1990</v>
          </cell>
          <cell r="B83">
            <v>7</v>
          </cell>
          <cell r="I83">
            <v>38.5</v>
          </cell>
          <cell r="O83">
            <v>1990</v>
          </cell>
          <cell r="P83">
            <v>38.5</v>
          </cell>
          <cell r="Q83">
            <v>7</v>
          </cell>
          <cell r="R83">
            <v>31.5</v>
          </cell>
        </row>
        <row r="84">
          <cell r="A84">
            <v>1991</v>
          </cell>
          <cell r="B84">
            <v>6.8</v>
          </cell>
          <cell r="I84">
            <v>38.200000000000003</v>
          </cell>
          <cell r="O84">
            <v>1991</v>
          </cell>
          <cell r="P84">
            <v>38.200000000000003</v>
          </cell>
          <cell r="Q84">
            <v>6.8</v>
          </cell>
          <cell r="R84">
            <v>31.400000000000002</v>
          </cell>
        </row>
        <row r="85">
          <cell r="A85">
            <v>1992</v>
          </cell>
          <cell r="B85">
            <v>6.6</v>
          </cell>
          <cell r="I85">
            <v>37.9</v>
          </cell>
          <cell r="O85">
            <v>1992</v>
          </cell>
          <cell r="P85">
            <v>37.9</v>
          </cell>
          <cell r="Q85">
            <v>6.6</v>
          </cell>
          <cell r="R85">
            <v>31.299999999999997</v>
          </cell>
        </row>
        <row r="86">
          <cell r="A86">
            <v>1993</v>
          </cell>
          <cell r="B86">
            <v>6.4</v>
          </cell>
          <cell r="I86">
            <v>37.700000000000003</v>
          </cell>
          <cell r="O86">
            <v>1993</v>
          </cell>
          <cell r="P86">
            <v>37.700000000000003</v>
          </cell>
          <cell r="Q86">
            <v>6.4</v>
          </cell>
          <cell r="R86">
            <v>31.300000000000004</v>
          </cell>
        </row>
        <row r="87">
          <cell r="A87">
            <v>1994</v>
          </cell>
          <cell r="B87">
            <v>6.2</v>
          </cell>
          <cell r="I87">
            <v>37.299999999999997</v>
          </cell>
          <cell r="O87">
            <v>1994</v>
          </cell>
          <cell r="P87">
            <v>37.299999999999997</v>
          </cell>
          <cell r="Q87">
            <v>6.2</v>
          </cell>
          <cell r="R87">
            <v>31.099999999999998</v>
          </cell>
        </row>
        <row r="88">
          <cell r="A88">
            <v>1995</v>
          </cell>
          <cell r="B88">
            <v>6</v>
          </cell>
          <cell r="I88">
            <v>36.9</v>
          </cell>
          <cell r="O88">
            <v>1995</v>
          </cell>
          <cell r="P88">
            <v>36.9</v>
          </cell>
          <cell r="Q88">
            <v>6</v>
          </cell>
          <cell r="R88">
            <v>30.9</v>
          </cell>
        </row>
        <row r="89">
          <cell r="A89">
            <v>1996</v>
          </cell>
          <cell r="B89">
            <v>5.8</v>
          </cell>
          <cell r="I89">
            <v>36.299999999999997</v>
          </cell>
          <cell r="O89">
            <v>1996</v>
          </cell>
          <cell r="P89">
            <v>36.299999999999997</v>
          </cell>
          <cell r="Q89">
            <v>5.8</v>
          </cell>
          <cell r="R89">
            <v>30.499999999999996</v>
          </cell>
        </row>
        <row r="90">
          <cell r="A90">
            <v>1997</v>
          </cell>
          <cell r="B90">
            <v>5.6</v>
          </cell>
          <cell r="I90">
            <v>35.700000000000003</v>
          </cell>
          <cell r="O90">
            <v>1997</v>
          </cell>
          <cell r="P90">
            <v>35.700000000000003</v>
          </cell>
          <cell r="Q90">
            <v>5.6</v>
          </cell>
          <cell r="R90">
            <v>30.1</v>
          </cell>
        </row>
        <row r="91">
          <cell r="A91">
            <v>1998</v>
          </cell>
          <cell r="B91">
            <v>7.9</v>
          </cell>
          <cell r="I91">
            <v>35.1</v>
          </cell>
          <cell r="O91">
            <v>1998</v>
          </cell>
          <cell r="P91">
            <v>35.1</v>
          </cell>
          <cell r="Q91">
            <v>7.9</v>
          </cell>
          <cell r="R91">
            <v>27.200000000000003</v>
          </cell>
        </row>
        <row r="92">
          <cell r="A92">
            <v>1999</v>
          </cell>
          <cell r="B92">
            <v>5.4</v>
          </cell>
          <cell r="I92">
            <v>34.6</v>
          </cell>
          <cell r="O92">
            <v>1999</v>
          </cell>
          <cell r="P92">
            <v>34.6</v>
          </cell>
          <cell r="Q92">
            <v>5.4</v>
          </cell>
          <cell r="R92">
            <v>29.200000000000003</v>
          </cell>
        </row>
        <row r="93">
          <cell r="A93">
            <v>2000</v>
          </cell>
          <cell r="B93">
            <v>5.2</v>
          </cell>
          <cell r="I93">
            <v>34.200000000000003</v>
          </cell>
          <cell r="O93">
            <v>2000</v>
          </cell>
          <cell r="P93">
            <v>34.200000000000003</v>
          </cell>
          <cell r="Q93">
            <v>5.2</v>
          </cell>
          <cell r="R93">
            <v>29.000000000000004</v>
          </cell>
        </row>
        <row r="94">
          <cell r="A94">
            <v>2001</v>
          </cell>
          <cell r="B94">
            <v>5.0999999999999996</v>
          </cell>
          <cell r="I94">
            <v>33.4</v>
          </cell>
          <cell r="O94">
            <v>2001</v>
          </cell>
          <cell r="P94">
            <v>33.4</v>
          </cell>
          <cell r="Q94">
            <v>5.0999999999999996</v>
          </cell>
          <cell r="R94">
            <v>28.299999999999997</v>
          </cell>
        </row>
        <row r="95">
          <cell r="A95">
            <v>2002</v>
          </cell>
          <cell r="B95">
            <v>5</v>
          </cell>
          <cell r="I95">
            <v>32.4</v>
          </cell>
          <cell r="O95">
            <v>2002</v>
          </cell>
          <cell r="P95">
            <v>32.4</v>
          </cell>
          <cell r="Q95">
            <v>5</v>
          </cell>
          <cell r="R95">
            <v>27.4</v>
          </cell>
        </row>
        <row r="96">
          <cell r="A96">
            <v>2003</v>
          </cell>
          <cell r="B96">
            <v>5</v>
          </cell>
          <cell r="I96">
            <v>31.4</v>
          </cell>
          <cell r="O96">
            <v>2003</v>
          </cell>
          <cell r="P96">
            <v>31.4</v>
          </cell>
          <cell r="Q96">
            <v>5</v>
          </cell>
          <cell r="R96">
            <v>26.4</v>
          </cell>
        </row>
        <row r="97">
          <cell r="A97">
            <v>2004</v>
          </cell>
          <cell r="B97">
            <v>4.9000000000000004</v>
          </cell>
          <cell r="I97">
            <v>30.5</v>
          </cell>
          <cell r="O97">
            <v>2004</v>
          </cell>
          <cell r="P97">
            <v>30.5</v>
          </cell>
          <cell r="Q97">
            <v>4.9000000000000004</v>
          </cell>
          <cell r="R97">
            <v>25.6</v>
          </cell>
        </row>
        <row r="98">
          <cell r="A98">
            <v>2005</v>
          </cell>
          <cell r="B98">
            <v>4.8</v>
          </cell>
          <cell r="I98">
            <v>29.6</v>
          </cell>
          <cell r="O98">
            <v>2005</v>
          </cell>
          <cell r="P98">
            <v>29.6</v>
          </cell>
          <cell r="Q98">
            <v>4.8</v>
          </cell>
          <cell r="R98">
            <v>24.8</v>
          </cell>
        </row>
        <row r="99">
          <cell r="A99">
            <v>2006</v>
          </cell>
          <cell r="B99">
            <v>4.8</v>
          </cell>
          <cell r="I99">
            <v>28.7</v>
          </cell>
          <cell r="O99">
            <v>2006</v>
          </cell>
          <cell r="P99">
            <v>28.7</v>
          </cell>
          <cell r="Q99">
            <v>4.8</v>
          </cell>
          <cell r="R99">
            <v>23.9</v>
          </cell>
        </row>
        <row r="100">
          <cell r="A100">
            <v>2007</v>
          </cell>
          <cell r="B100">
            <v>4.8</v>
          </cell>
          <cell r="I100">
            <v>28.1</v>
          </cell>
          <cell r="O100">
            <v>2007</v>
          </cell>
          <cell r="P100">
            <v>28.1</v>
          </cell>
          <cell r="Q100">
            <v>4.8</v>
          </cell>
          <cell r="R100">
            <v>23.3</v>
          </cell>
        </row>
        <row r="101">
          <cell r="A101">
            <v>2008</v>
          </cell>
          <cell r="B101">
            <v>4.7</v>
          </cell>
          <cell r="I101">
            <v>27.5</v>
          </cell>
          <cell r="O101">
            <v>2008</v>
          </cell>
          <cell r="P101">
            <v>27.5</v>
          </cell>
          <cell r="Q101">
            <v>4.7</v>
          </cell>
          <cell r="R101">
            <v>22.8</v>
          </cell>
        </row>
        <row r="102">
          <cell r="A102">
            <v>2009</v>
          </cell>
          <cell r="B102">
            <v>4.7</v>
          </cell>
          <cell r="I102">
            <v>27</v>
          </cell>
          <cell r="O102">
            <v>2009</v>
          </cell>
          <cell r="P102">
            <v>27</v>
          </cell>
          <cell r="Q102">
            <v>4.7</v>
          </cell>
          <cell r="R102">
            <v>22.3</v>
          </cell>
        </row>
        <row r="103">
          <cell r="A103">
            <v>2010</v>
          </cell>
          <cell r="B103">
            <v>4.8</v>
          </cell>
          <cell r="I103">
            <v>26.3</v>
          </cell>
          <cell r="O103">
            <v>2010</v>
          </cell>
          <cell r="P103">
            <v>26.3</v>
          </cell>
          <cell r="Q103">
            <v>4.8</v>
          </cell>
          <cell r="R103">
            <v>21.5</v>
          </cell>
        </row>
        <row r="104">
          <cell r="A104">
            <v>2011</v>
          </cell>
          <cell r="B104">
            <v>4.7</v>
          </cell>
          <cell r="I104">
            <v>25.8</v>
          </cell>
          <cell r="O104">
            <v>2011</v>
          </cell>
          <cell r="P104">
            <v>25.8</v>
          </cell>
          <cell r="Q104">
            <v>4.7</v>
          </cell>
          <cell r="R104">
            <v>21.1</v>
          </cell>
        </row>
        <row r="105">
          <cell r="A105">
            <v>2012</v>
          </cell>
          <cell r="B105">
            <v>4.5999999999999996</v>
          </cell>
          <cell r="I105">
            <v>25.3</v>
          </cell>
          <cell r="O105">
            <v>2012</v>
          </cell>
          <cell r="P105">
            <v>25.3</v>
          </cell>
          <cell r="Q105">
            <v>4.5999999999999996</v>
          </cell>
          <cell r="R105">
            <v>20.700000000000003</v>
          </cell>
        </row>
        <row r="106">
          <cell r="A106">
            <v>2013</v>
          </cell>
          <cell r="B106">
            <v>4.5999999999999996</v>
          </cell>
          <cell r="I106">
            <v>24.8</v>
          </cell>
          <cell r="O106">
            <v>2013</v>
          </cell>
          <cell r="P106">
            <v>24.8</v>
          </cell>
          <cell r="Q106">
            <v>4.5999999999999996</v>
          </cell>
          <cell r="R106">
            <v>20.200000000000003</v>
          </cell>
        </row>
        <row r="107">
          <cell r="A107">
            <v>2014</v>
          </cell>
          <cell r="B107">
            <v>4.5</v>
          </cell>
          <cell r="I107">
            <v>24.4</v>
          </cell>
          <cell r="O107">
            <v>2014</v>
          </cell>
          <cell r="P107">
            <v>24.4</v>
          </cell>
          <cell r="Q107">
            <v>4.5</v>
          </cell>
          <cell r="R107">
            <v>19.899999999999999</v>
          </cell>
        </row>
        <row r="108">
          <cell r="A108">
            <v>2015</v>
          </cell>
          <cell r="B108">
            <v>4.5</v>
          </cell>
          <cell r="I108">
            <v>24.1</v>
          </cell>
          <cell r="O108">
            <v>2015</v>
          </cell>
          <cell r="P108">
            <v>24.1</v>
          </cell>
          <cell r="Q108">
            <v>4.5</v>
          </cell>
          <cell r="R108">
            <v>19.600000000000001</v>
          </cell>
        </row>
        <row r="109">
          <cell r="A109">
            <v>2016</v>
          </cell>
          <cell r="B109">
            <v>4.4000000000000004</v>
          </cell>
          <cell r="I109">
            <v>23.8</v>
          </cell>
          <cell r="O109">
            <v>2016</v>
          </cell>
          <cell r="P109">
            <v>23.8</v>
          </cell>
          <cell r="Q109">
            <v>4.4000000000000004</v>
          </cell>
          <cell r="R109">
            <v>19.399999999999999</v>
          </cell>
        </row>
        <row r="110">
          <cell r="A110">
            <v>2017</v>
          </cell>
          <cell r="B110">
            <v>4.4000000000000004</v>
          </cell>
          <cell r="I110">
            <v>23.5</v>
          </cell>
          <cell r="O110">
            <v>2017</v>
          </cell>
          <cell r="P110">
            <v>23.5</v>
          </cell>
          <cell r="Q110">
            <v>4.4000000000000004</v>
          </cell>
          <cell r="R110">
            <v>19.100000000000001</v>
          </cell>
        </row>
        <row r="111">
          <cell r="A111">
            <v>2018</v>
          </cell>
          <cell r="B111">
            <v>4.5</v>
          </cell>
          <cell r="I111">
            <v>23.4</v>
          </cell>
          <cell r="O111">
            <v>2018</v>
          </cell>
          <cell r="P111">
            <v>23.4</v>
          </cell>
          <cell r="Q111">
            <v>4.5</v>
          </cell>
          <cell r="R111">
            <v>18.899999999999999</v>
          </cell>
        </row>
        <row r="112">
          <cell r="A112">
            <v>2019</v>
          </cell>
          <cell r="B112">
            <v>4.5</v>
          </cell>
          <cell r="I112">
            <v>23.1</v>
          </cell>
          <cell r="O112">
            <v>2019</v>
          </cell>
          <cell r="P112">
            <v>23.1</v>
          </cell>
          <cell r="Q112">
            <v>4.5</v>
          </cell>
          <cell r="R112">
            <v>18.600000000000001</v>
          </cell>
        </row>
        <row r="113">
          <cell r="A113">
            <v>2020</v>
          </cell>
          <cell r="B113">
            <v>5.0999999999999996</v>
          </cell>
          <cell r="I113">
            <v>22.8</v>
          </cell>
          <cell r="O113">
            <v>2020</v>
          </cell>
          <cell r="P113">
            <v>22.8</v>
          </cell>
          <cell r="Q113">
            <v>5.0999999999999996</v>
          </cell>
          <cell r="R113">
            <v>17.700000000000003</v>
          </cell>
        </row>
        <row r="114">
          <cell r="A114">
            <v>2021</v>
          </cell>
          <cell r="B114">
            <v>5.7</v>
          </cell>
          <cell r="I114">
            <v>22.5</v>
          </cell>
          <cell r="O114">
            <v>2021</v>
          </cell>
          <cell r="P114">
            <v>22.5</v>
          </cell>
          <cell r="Q114">
            <v>5.7</v>
          </cell>
          <cell r="R114">
            <v>16.8</v>
          </cell>
        </row>
        <row r="115">
          <cell r="A115">
            <v>2022</v>
          </cell>
          <cell r="B115">
            <v>4.4000000000000004</v>
          </cell>
          <cell r="I115">
            <v>22.2</v>
          </cell>
          <cell r="O115">
            <v>2022</v>
          </cell>
          <cell r="P115">
            <v>22.2</v>
          </cell>
          <cell r="Q115">
            <v>4.4000000000000004</v>
          </cell>
          <cell r="R115">
            <v>17.799999999999997</v>
          </cell>
        </row>
        <row r="116">
          <cell r="A116">
            <v>2023</v>
          </cell>
          <cell r="B116">
            <v>4.5</v>
          </cell>
          <cell r="I116">
            <v>22</v>
          </cell>
          <cell r="O116">
            <v>2023</v>
          </cell>
          <cell r="P116">
            <v>22</v>
          </cell>
          <cell r="Q116">
            <v>4.5</v>
          </cell>
          <cell r="R116">
            <v>17.5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93"/>
  <sheetViews>
    <sheetView tabSelected="1" topLeftCell="A45" workbookViewId="0">
      <selection activeCell="A94" sqref="A94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  <row r="74" spans="1:3" x14ac:dyDescent="0.55000000000000004">
      <c r="A74" t="s">
        <v>139</v>
      </c>
    </row>
    <row r="75" spans="1:3" x14ac:dyDescent="0.55000000000000004">
      <c r="A75" t="s">
        <v>140</v>
      </c>
    </row>
    <row r="76" spans="1:3" x14ac:dyDescent="0.55000000000000004">
      <c r="B76" t="s">
        <v>150</v>
      </c>
    </row>
    <row r="77" spans="1:3" x14ac:dyDescent="0.55000000000000004">
      <c r="B77" t="s">
        <v>140</v>
      </c>
    </row>
    <row r="78" spans="1:3" x14ac:dyDescent="0.55000000000000004">
      <c r="C78" t="s">
        <v>141</v>
      </c>
    </row>
    <row r="79" spans="1:3" x14ac:dyDescent="0.55000000000000004">
      <c r="C79" t="s">
        <v>142</v>
      </c>
    </row>
    <row r="80" spans="1:3" x14ac:dyDescent="0.55000000000000004">
      <c r="C80" t="s">
        <v>143</v>
      </c>
    </row>
    <row r="81" spans="1:3" x14ac:dyDescent="0.55000000000000004">
      <c r="C81" t="s">
        <v>144</v>
      </c>
    </row>
    <row r="82" spans="1:3" x14ac:dyDescent="0.55000000000000004">
      <c r="C82" t="s">
        <v>145</v>
      </c>
    </row>
    <row r="83" spans="1:3" x14ac:dyDescent="0.55000000000000004">
      <c r="C83" t="s">
        <v>140</v>
      </c>
    </row>
    <row r="84" spans="1:3" x14ac:dyDescent="0.55000000000000004">
      <c r="C84" t="s">
        <v>146</v>
      </c>
    </row>
    <row r="85" spans="1:3" x14ac:dyDescent="0.55000000000000004">
      <c r="C85" t="s">
        <v>147</v>
      </c>
    </row>
    <row r="86" spans="1:3" x14ac:dyDescent="0.55000000000000004">
      <c r="C86" t="s">
        <v>148</v>
      </c>
    </row>
    <row r="88" spans="1:3" x14ac:dyDescent="0.55000000000000004">
      <c r="B88" t="s">
        <v>151</v>
      </c>
    </row>
    <row r="89" spans="1:3" x14ac:dyDescent="0.55000000000000004">
      <c r="B89" t="s">
        <v>149</v>
      </c>
    </row>
    <row r="91" spans="1:3" x14ac:dyDescent="0.55000000000000004">
      <c r="A91" t="s">
        <v>152</v>
      </c>
    </row>
    <row r="93" spans="1:3" x14ac:dyDescent="0.55000000000000004">
      <c r="A93" t="s">
        <v>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9" activePane="bottomRight" state="frozen"/>
      <selection pane="topRight" activeCell="B1" sqref="B1"/>
      <selection pane="bottomLeft" activeCell="A3" sqref="A3"/>
      <selection pane="bottomRight" activeCell="R104" sqref="R104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26" t="s">
        <v>20</v>
      </c>
      <c r="C1" s="26"/>
      <c r="D1" s="26" t="s">
        <v>21</v>
      </c>
      <c r="E1" s="26"/>
      <c r="F1" s="26" t="s">
        <v>22</v>
      </c>
      <c r="G1" s="26"/>
      <c r="H1" s="26" t="s">
        <v>23</v>
      </c>
      <c r="I1" s="26"/>
      <c r="J1" s="26" t="s">
        <v>24</v>
      </c>
      <c r="K1" s="26"/>
      <c r="L1" s="26" t="s">
        <v>25</v>
      </c>
      <c r="M1" s="26"/>
      <c r="N1" s="26" t="s">
        <v>26</v>
      </c>
      <c r="O1" s="26"/>
      <c r="P1" s="26" t="s">
        <v>27</v>
      </c>
      <c r="Q1" s="26"/>
      <c r="R1" s="26" t="s">
        <v>28</v>
      </c>
      <c r="S1" s="26"/>
      <c r="T1" s="26" t="s">
        <v>57</v>
      </c>
      <c r="U1" s="26"/>
      <c r="V1" s="26" t="s">
        <v>29</v>
      </c>
      <c r="W1" s="26"/>
      <c r="X1" s="26" t="s">
        <v>30</v>
      </c>
      <c r="Y1" s="26"/>
      <c r="Z1" s="26" t="s">
        <v>31</v>
      </c>
      <c r="AA1" s="26"/>
      <c r="AB1" s="26" t="s">
        <v>32</v>
      </c>
      <c r="AC1" s="26"/>
      <c r="AD1" s="26" t="s">
        <v>33</v>
      </c>
      <c r="AE1" s="26"/>
      <c r="AF1" s="19" t="s">
        <v>34</v>
      </c>
      <c r="AG1" s="19"/>
      <c r="AH1" s="26" t="s">
        <v>35</v>
      </c>
      <c r="AI1" s="26"/>
      <c r="AJ1" s="26" t="s">
        <v>36</v>
      </c>
      <c r="AK1" s="26"/>
      <c r="AL1" s="26" t="s">
        <v>93</v>
      </c>
      <c r="AM1" s="26"/>
    </row>
    <row r="2" spans="1:39" x14ac:dyDescent="0.55000000000000004">
      <c r="A2" s="20" t="s">
        <v>92</v>
      </c>
      <c r="B2" s="25" t="s">
        <v>1</v>
      </c>
      <c r="C2" s="25"/>
      <c r="D2" s="25" t="s">
        <v>2</v>
      </c>
      <c r="E2" s="25"/>
      <c r="F2" s="25" t="s">
        <v>3</v>
      </c>
      <c r="G2" s="25"/>
      <c r="H2" s="25" t="s">
        <v>4</v>
      </c>
      <c r="I2" s="25"/>
      <c r="J2" s="25" t="s">
        <v>5</v>
      </c>
      <c r="K2" s="25"/>
      <c r="L2" s="25" t="s">
        <v>6</v>
      </c>
      <c r="M2" s="25"/>
      <c r="N2" s="25" t="s">
        <v>7</v>
      </c>
      <c r="O2" s="25"/>
      <c r="P2" s="25" t="s">
        <v>8</v>
      </c>
      <c r="Q2" s="25"/>
      <c r="R2" s="25" t="s">
        <v>9</v>
      </c>
      <c r="S2" s="25"/>
      <c r="T2" s="25" t="s">
        <v>10</v>
      </c>
      <c r="U2" s="25"/>
      <c r="V2" s="25" t="s">
        <v>11</v>
      </c>
      <c r="W2" s="25"/>
      <c r="X2" s="25" t="s">
        <v>12</v>
      </c>
      <c r="Y2" s="25"/>
      <c r="Z2" s="25" t="s">
        <v>13</v>
      </c>
      <c r="AA2" s="25"/>
      <c r="AB2" s="25" t="s">
        <v>14</v>
      </c>
      <c r="AC2" s="25"/>
      <c r="AD2" s="25" t="s">
        <v>15</v>
      </c>
      <c r="AE2" s="25"/>
      <c r="AF2" s="25" t="s">
        <v>16</v>
      </c>
      <c r="AG2" s="25"/>
      <c r="AH2" s="25" t="s">
        <v>17</v>
      </c>
      <c r="AI2" s="25"/>
      <c r="AJ2" s="25" t="s">
        <v>18</v>
      </c>
      <c r="AK2" s="25"/>
      <c r="AL2" s="25" t="s">
        <v>19</v>
      </c>
      <c r="AM2" s="25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26" t="s">
        <v>20</v>
      </c>
      <c r="C1" s="26"/>
      <c r="D1" s="26" t="s">
        <v>21</v>
      </c>
      <c r="E1" s="26"/>
      <c r="F1" s="26" t="s">
        <v>22</v>
      </c>
      <c r="G1" s="26"/>
      <c r="H1" s="26" t="s">
        <v>23</v>
      </c>
      <c r="I1" s="26"/>
      <c r="J1" s="26" t="s">
        <v>24</v>
      </c>
      <c r="K1" s="26"/>
      <c r="L1" s="26" t="s">
        <v>25</v>
      </c>
      <c r="M1" s="26"/>
      <c r="N1" s="26" t="s">
        <v>26</v>
      </c>
      <c r="O1" s="26"/>
      <c r="P1" s="26" t="s">
        <v>27</v>
      </c>
      <c r="Q1" s="26"/>
      <c r="R1" s="26" t="s">
        <v>28</v>
      </c>
      <c r="S1" s="26"/>
      <c r="T1" s="26" t="s">
        <v>57</v>
      </c>
      <c r="U1" s="26"/>
      <c r="V1" s="26" t="s">
        <v>29</v>
      </c>
      <c r="W1" s="26"/>
      <c r="X1" s="26" t="s">
        <v>30</v>
      </c>
      <c r="Y1" s="26"/>
      <c r="Z1" s="26" t="s">
        <v>31</v>
      </c>
      <c r="AA1" s="26"/>
      <c r="AB1" s="26" t="s">
        <v>32</v>
      </c>
      <c r="AC1" s="26"/>
      <c r="AD1" s="26" t="s">
        <v>33</v>
      </c>
      <c r="AE1" s="26"/>
      <c r="AF1" s="19" t="s">
        <v>34</v>
      </c>
      <c r="AG1" s="19"/>
      <c r="AH1" s="26" t="s">
        <v>35</v>
      </c>
      <c r="AI1" s="26"/>
      <c r="AJ1" s="26" t="s">
        <v>36</v>
      </c>
      <c r="AK1" s="26"/>
      <c r="AL1" s="26" t="s">
        <v>93</v>
      </c>
      <c r="AM1" s="26"/>
    </row>
    <row r="2" spans="1:39" x14ac:dyDescent="0.55000000000000004">
      <c r="A2" s="20" t="s">
        <v>92</v>
      </c>
      <c r="B2" s="25" t="s">
        <v>1</v>
      </c>
      <c r="C2" s="25"/>
      <c r="D2" s="25" t="s">
        <v>2</v>
      </c>
      <c r="E2" s="25"/>
      <c r="F2" s="25" t="s">
        <v>3</v>
      </c>
      <c r="G2" s="25"/>
      <c r="H2" s="25" t="s">
        <v>4</v>
      </c>
      <c r="I2" s="25"/>
      <c r="J2" s="25" t="s">
        <v>5</v>
      </c>
      <c r="K2" s="25"/>
      <c r="L2" s="25" t="s">
        <v>6</v>
      </c>
      <c r="M2" s="25"/>
      <c r="N2" s="25" t="s">
        <v>7</v>
      </c>
      <c r="O2" s="25"/>
      <c r="P2" s="25" t="s">
        <v>8</v>
      </c>
      <c r="Q2" s="25"/>
      <c r="R2" s="25" t="s">
        <v>9</v>
      </c>
      <c r="S2" s="25"/>
      <c r="T2" s="25" t="s">
        <v>10</v>
      </c>
      <c r="U2" s="25"/>
      <c r="V2" s="25" t="s">
        <v>11</v>
      </c>
      <c r="W2" s="25"/>
      <c r="X2" s="25" t="s">
        <v>12</v>
      </c>
      <c r="Y2" s="25"/>
      <c r="Z2" s="25" t="s">
        <v>13</v>
      </c>
      <c r="AA2" s="25"/>
      <c r="AB2" s="25" t="s">
        <v>14</v>
      </c>
      <c r="AC2" s="25"/>
      <c r="AD2" s="25" t="s">
        <v>15</v>
      </c>
      <c r="AE2" s="25"/>
      <c r="AF2" s="25" t="s">
        <v>16</v>
      </c>
      <c r="AG2" s="25"/>
      <c r="AH2" s="25" t="s">
        <v>17</v>
      </c>
      <c r="AI2" s="25"/>
      <c r="AJ2" s="25" t="s">
        <v>18</v>
      </c>
      <c r="AK2" s="25"/>
      <c r="AL2" s="25" t="s">
        <v>19</v>
      </c>
      <c r="AM2" s="25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24" t="s">
        <v>115</v>
      </c>
      <c r="C1" s="24"/>
      <c r="D1" s="24" t="s">
        <v>75</v>
      </c>
      <c r="E1" s="24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G86"/>
  <sheetViews>
    <sheetView workbookViewId="0">
      <selection sqref="A1:E86"/>
    </sheetView>
  </sheetViews>
  <sheetFormatPr defaultRowHeight="14.4" x14ac:dyDescent="0.55000000000000004"/>
  <sheetData>
    <row r="1" spans="1:7" x14ac:dyDescent="0.55000000000000004">
      <c r="B1" s="24" t="s">
        <v>100</v>
      </c>
      <c r="C1" s="24"/>
      <c r="D1" s="24" t="s">
        <v>75</v>
      </c>
      <c r="E1" s="24"/>
    </row>
    <row r="2" spans="1:7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</row>
    <row r="3" spans="1:7" x14ac:dyDescent="0.55000000000000004">
      <c r="A3" s="1">
        <v>1940</v>
      </c>
      <c r="B3" s="21">
        <v>44.447000000000003</v>
      </c>
      <c r="C3" s="21">
        <v>20.672999999999998</v>
      </c>
      <c r="F3" s="21">
        <f>B3-C3</f>
        <v>23.774000000000004</v>
      </c>
    </row>
    <row r="4" spans="1:7" x14ac:dyDescent="0.55000000000000004">
      <c r="A4" s="1">
        <v>1941</v>
      </c>
      <c r="B4" s="21">
        <v>44.607999999999997</v>
      </c>
      <c r="C4" s="21">
        <v>20.631</v>
      </c>
      <c r="F4" s="21">
        <f t="shared" ref="F4:F17" si="0">B4-C4</f>
        <v>23.976999999999997</v>
      </c>
    </row>
    <row r="5" spans="1:7" x14ac:dyDescent="0.55000000000000004">
      <c r="A5" s="1">
        <v>1942</v>
      </c>
      <c r="B5" s="21">
        <v>44.91</v>
      </c>
      <c r="C5" s="21">
        <v>20.552</v>
      </c>
      <c r="F5" s="21">
        <f t="shared" si="0"/>
        <v>24.357999999999997</v>
      </c>
    </row>
    <row r="6" spans="1:7" x14ac:dyDescent="0.55000000000000004">
      <c r="A6" s="1">
        <v>1943</v>
      </c>
      <c r="B6" s="21">
        <v>45.396999999999998</v>
      </c>
      <c r="C6" s="21">
        <v>20.425999999999998</v>
      </c>
      <c r="F6" s="21">
        <f t="shared" si="0"/>
        <v>24.971</v>
      </c>
    </row>
    <row r="7" spans="1:7" x14ac:dyDescent="0.55000000000000004">
      <c r="A7" s="1">
        <v>1944</v>
      </c>
      <c r="B7" s="21">
        <v>46.04</v>
      </c>
      <c r="C7" s="21">
        <v>20.245000000000001</v>
      </c>
      <c r="F7" s="21">
        <f t="shared" si="0"/>
        <v>25.794999999999998</v>
      </c>
    </row>
    <row r="8" spans="1:7" x14ac:dyDescent="0.55000000000000004">
      <c r="A8" s="1">
        <v>1945</v>
      </c>
      <c r="B8" s="21">
        <v>47.201999999999998</v>
      </c>
      <c r="C8" s="21">
        <v>20.048999999999999</v>
      </c>
      <c r="F8" s="21">
        <f t="shared" si="0"/>
        <v>27.152999999999999</v>
      </c>
    </row>
    <row r="9" spans="1:7" x14ac:dyDescent="0.55000000000000004">
      <c r="A9" s="1">
        <v>1946</v>
      </c>
      <c r="B9" s="21">
        <v>47.566000000000003</v>
      </c>
      <c r="C9" s="21">
        <v>19.7</v>
      </c>
      <c r="F9" s="21">
        <f t="shared" si="0"/>
        <v>27.866000000000003</v>
      </c>
    </row>
    <row r="10" spans="1:7" x14ac:dyDescent="0.55000000000000004">
      <c r="A10" s="1">
        <v>1947</v>
      </c>
      <c r="B10" s="21">
        <v>47.484999999999999</v>
      </c>
      <c r="C10" s="21">
        <v>19.239000000000001</v>
      </c>
      <c r="F10" s="21">
        <f t="shared" si="0"/>
        <v>28.245999999999999</v>
      </c>
    </row>
    <row r="11" spans="1:7" x14ac:dyDescent="0.55000000000000004">
      <c r="A11" s="1">
        <v>1948</v>
      </c>
      <c r="B11" s="21">
        <v>46.917999999999999</v>
      </c>
      <c r="C11" s="21">
        <v>18.663</v>
      </c>
      <c r="F11" s="21">
        <f t="shared" si="0"/>
        <v>28.254999999999999</v>
      </c>
    </row>
    <row r="12" spans="1:7" x14ac:dyDescent="0.55000000000000004">
      <c r="A12" s="1">
        <v>1949</v>
      </c>
      <c r="B12" s="21">
        <v>45.920999999999999</v>
      </c>
      <c r="C12" s="21">
        <v>17.992999999999999</v>
      </c>
      <c r="F12" s="21">
        <f t="shared" si="0"/>
        <v>27.928000000000001</v>
      </c>
    </row>
    <row r="13" spans="1:7" x14ac:dyDescent="0.55000000000000004">
      <c r="A13" s="1">
        <v>1950</v>
      </c>
      <c r="B13" s="21">
        <v>44.078000000000003</v>
      </c>
      <c r="C13" s="21">
        <v>17.081</v>
      </c>
      <c r="D13" s="3">
        <v>43</v>
      </c>
      <c r="E13" s="3">
        <v>25.8</v>
      </c>
      <c r="F13" s="21">
        <f t="shared" si="0"/>
        <v>26.997000000000003</v>
      </c>
      <c r="G13" s="3">
        <f>D13-E13</f>
        <v>17.2</v>
      </c>
    </row>
    <row r="14" spans="1:7" x14ac:dyDescent="0.55000000000000004">
      <c r="A14" s="1">
        <v>1951</v>
      </c>
      <c r="B14" s="21">
        <v>42.966000000000001</v>
      </c>
      <c r="C14" s="21">
        <v>16.492999999999999</v>
      </c>
      <c r="D14" s="3">
        <v>43</v>
      </c>
      <c r="E14" s="3">
        <v>25.5</v>
      </c>
      <c r="F14" s="21">
        <f t="shared" si="0"/>
        <v>26.473000000000003</v>
      </c>
      <c r="G14" s="3">
        <f t="shared" ref="G14:G77" si="1">D14-E14</f>
        <v>17.5</v>
      </c>
    </row>
    <row r="15" spans="1:7" x14ac:dyDescent="0.55000000000000004">
      <c r="A15" s="1">
        <v>1952</v>
      </c>
      <c r="B15" s="21">
        <v>42.142000000000003</v>
      </c>
      <c r="C15" s="21">
        <v>16.064</v>
      </c>
      <c r="D15" s="3">
        <v>43</v>
      </c>
      <c r="E15" s="3">
        <v>25.2</v>
      </c>
      <c r="F15" s="21">
        <f t="shared" si="0"/>
        <v>26.078000000000003</v>
      </c>
      <c r="G15" s="3">
        <f t="shared" si="1"/>
        <v>17.8</v>
      </c>
    </row>
    <row r="16" spans="1:7" x14ac:dyDescent="0.55000000000000004">
      <c r="A16" s="1">
        <v>1953</v>
      </c>
      <c r="B16" s="21">
        <v>41.631</v>
      </c>
      <c r="C16" s="21">
        <v>15.798</v>
      </c>
      <c r="D16" s="3">
        <v>43.2</v>
      </c>
      <c r="E16" s="3">
        <v>24.8</v>
      </c>
      <c r="F16" s="21">
        <f t="shared" si="0"/>
        <v>25.832999999999998</v>
      </c>
      <c r="G16" s="3">
        <f t="shared" si="1"/>
        <v>18.400000000000002</v>
      </c>
    </row>
    <row r="17" spans="1:7" x14ac:dyDescent="0.55000000000000004">
      <c r="A17" s="1">
        <v>1954</v>
      </c>
      <c r="B17" s="21">
        <v>41.36</v>
      </c>
      <c r="C17" s="21">
        <v>15.657</v>
      </c>
      <c r="D17" s="3">
        <v>43.3</v>
      </c>
      <c r="E17" s="3">
        <v>24.4</v>
      </c>
      <c r="F17" s="21">
        <f t="shared" si="0"/>
        <v>25.702999999999999</v>
      </c>
      <c r="G17" s="3">
        <f t="shared" si="1"/>
        <v>18.899999999999999</v>
      </c>
    </row>
    <row r="18" spans="1:7" x14ac:dyDescent="0.55000000000000004">
      <c r="A18" s="17">
        <v>1955</v>
      </c>
      <c r="D18" s="3">
        <v>43.5</v>
      </c>
      <c r="E18" s="3">
        <v>24.2</v>
      </c>
      <c r="G18" s="3">
        <f t="shared" si="1"/>
        <v>19.3</v>
      </c>
    </row>
    <row r="19" spans="1:7" x14ac:dyDescent="0.55000000000000004">
      <c r="A19" s="17">
        <v>1956</v>
      </c>
      <c r="D19" s="3">
        <v>43.5</v>
      </c>
      <c r="E19" s="3">
        <v>23.9</v>
      </c>
      <c r="G19" s="3">
        <f t="shared" si="1"/>
        <v>19.600000000000001</v>
      </c>
    </row>
    <row r="20" spans="1:7" x14ac:dyDescent="0.55000000000000004">
      <c r="A20" s="17">
        <v>1957</v>
      </c>
      <c r="D20" s="3">
        <v>43.7</v>
      </c>
      <c r="E20" s="3">
        <v>23.6</v>
      </c>
      <c r="G20" s="3">
        <f t="shared" si="1"/>
        <v>20.100000000000001</v>
      </c>
    </row>
    <row r="21" spans="1:7" x14ac:dyDescent="0.55000000000000004">
      <c r="A21" s="17">
        <v>1958</v>
      </c>
      <c r="D21" s="3">
        <v>43.8</v>
      </c>
      <c r="E21" s="3">
        <v>23.3</v>
      </c>
      <c r="G21" s="3">
        <f t="shared" si="1"/>
        <v>20.499999999999996</v>
      </c>
    </row>
    <row r="22" spans="1:7" x14ac:dyDescent="0.55000000000000004">
      <c r="A22" s="17">
        <v>1959</v>
      </c>
      <c r="D22" s="3">
        <v>43.9</v>
      </c>
      <c r="E22" s="3">
        <v>23</v>
      </c>
      <c r="G22" s="3">
        <f t="shared" si="1"/>
        <v>20.9</v>
      </c>
    </row>
    <row r="23" spans="1:7" x14ac:dyDescent="0.55000000000000004">
      <c r="A23" s="17">
        <v>1960</v>
      </c>
      <c r="D23" s="3">
        <v>43.9</v>
      </c>
      <c r="E23" s="3">
        <v>22.7</v>
      </c>
      <c r="G23" s="3">
        <f t="shared" si="1"/>
        <v>21.2</v>
      </c>
    </row>
    <row r="24" spans="1:7" x14ac:dyDescent="0.55000000000000004">
      <c r="A24" s="17">
        <v>1961</v>
      </c>
      <c r="D24" s="3">
        <v>43.9</v>
      </c>
      <c r="E24" s="3">
        <v>22.4</v>
      </c>
      <c r="G24" s="3">
        <f t="shared" si="1"/>
        <v>21.5</v>
      </c>
    </row>
    <row r="25" spans="1:7" x14ac:dyDescent="0.55000000000000004">
      <c r="A25" s="17">
        <v>1962</v>
      </c>
      <c r="D25" s="3">
        <v>43.9</v>
      </c>
      <c r="E25" s="3">
        <v>22.1</v>
      </c>
      <c r="G25" s="3">
        <f t="shared" si="1"/>
        <v>21.799999999999997</v>
      </c>
    </row>
    <row r="26" spans="1:7" x14ac:dyDescent="0.55000000000000004">
      <c r="A26" s="17">
        <v>1963</v>
      </c>
      <c r="D26" s="3">
        <v>43.8</v>
      </c>
      <c r="E26" s="3">
        <v>21.7</v>
      </c>
      <c r="G26" s="3">
        <f t="shared" si="1"/>
        <v>22.099999999999998</v>
      </c>
    </row>
    <row r="27" spans="1:7" x14ac:dyDescent="0.55000000000000004">
      <c r="A27" s="17">
        <v>1964</v>
      </c>
      <c r="D27" s="3">
        <v>43.7</v>
      </c>
      <c r="E27" s="3">
        <v>21.4</v>
      </c>
      <c r="G27" s="3">
        <f t="shared" si="1"/>
        <v>22.300000000000004</v>
      </c>
    </row>
    <row r="28" spans="1:7" x14ac:dyDescent="0.55000000000000004">
      <c r="A28" s="17">
        <v>1965</v>
      </c>
      <c r="D28" s="3">
        <v>43.6</v>
      </c>
      <c r="E28" s="3">
        <v>21</v>
      </c>
      <c r="G28" s="3">
        <f t="shared" si="1"/>
        <v>22.6</v>
      </c>
    </row>
    <row r="29" spans="1:7" x14ac:dyDescent="0.55000000000000004">
      <c r="A29" s="17">
        <v>1966</v>
      </c>
      <c r="D29" s="3">
        <v>43.5</v>
      </c>
      <c r="E29" s="3">
        <v>20.6</v>
      </c>
      <c r="G29" s="3">
        <f t="shared" si="1"/>
        <v>22.9</v>
      </c>
    </row>
    <row r="30" spans="1:7" x14ac:dyDescent="0.55000000000000004">
      <c r="A30" s="17">
        <v>1967</v>
      </c>
      <c r="D30" s="3">
        <v>43.4</v>
      </c>
      <c r="E30" s="3">
        <v>20.3</v>
      </c>
      <c r="G30" s="3">
        <f t="shared" si="1"/>
        <v>23.099999999999998</v>
      </c>
    </row>
    <row r="31" spans="1:7" x14ac:dyDescent="0.55000000000000004">
      <c r="A31" s="17">
        <v>1968</v>
      </c>
      <c r="D31" s="3">
        <v>43.3</v>
      </c>
      <c r="E31" s="3">
        <v>19.899999999999999</v>
      </c>
      <c r="G31" s="3">
        <f t="shared" si="1"/>
        <v>23.4</v>
      </c>
    </row>
    <row r="32" spans="1:7" x14ac:dyDescent="0.55000000000000004">
      <c r="A32" s="17">
        <v>1969</v>
      </c>
      <c r="D32" s="3">
        <v>43</v>
      </c>
      <c r="E32" s="3">
        <v>19.5</v>
      </c>
      <c r="G32" s="3">
        <f t="shared" si="1"/>
        <v>23.5</v>
      </c>
    </row>
    <row r="33" spans="1:7" x14ac:dyDescent="0.55000000000000004">
      <c r="A33" s="17">
        <v>1970</v>
      </c>
      <c r="D33" s="3">
        <v>42.7</v>
      </c>
      <c r="E33" s="3">
        <v>19.2</v>
      </c>
      <c r="G33" s="3">
        <f t="shared" si="1"/>
        <v>23.500000000000004</v>
      </c>
    </row>
    <row r="34" spans="1:7" x14ac:dyDescent="0.55000000000000004">
      <c r="A34" s="17">
        <v>1971</v>
      </c>
      <c r="D34" s="3">
        <v>42.4</v>
      </c>
      <c r="E34" s="3">
        <v>18.8</v>
      </c>
      <c r="G34" s="3">
        <f t="shared" si="1"/>
        <v>23.599999999999998</v>
      </c>
    </row>
    <row r="35" spans="1:7" x14ac:dyDescent="0.55000000000000004">
      <c r="A35" s="17">
        <v>1972</v>
      </c>
      <c r="D35" s="3">
        <v>41.9</v>
      </c>
      <c r="E35" s="3">
        <v>18.5</v>
      </c>
      <c r="G35" s="3">
        <f t="shared" si="1"/>
        <v>23.4</v>
      </c>
    </row>
    <row r="36" spans="1:7" x14ac:dyDescent="0.55000000000000004">
      <c r="A36" s="17">
        <v>1973</v>
      </c>
      <c r="D36" s="3">
        <v>41.7</v>
      </c>
      <c r="E36" s="3">
        <v>18.100000000000001</v>
      </c>
      <c r="G36" s="3">
        <f t="shared" si="1"/>
        <v>23.6</v>
      </c>
    </row>
    <row r="37" spans="1:7" x14ac:dyDescent="0.55000000000000004">
      <c r="A37" s="17">
        <v>1974</v>
      </c>
      <c r="D37" s="3">
        <v>41.5</v>
      </c>
      <c r="E37" s="3">
        <v>17.7</v>
      </c>
      <c r="G37" s="3">
        <f t="shared" si="1"/>
        <v>23.8</v>
      </c>
    </row>
    <row r="38" spans="1:7" x14ac:dyDescent="0.55000000000000004">
      <c r="A38" s="17">
        <v>1975</v>
      </c>
      <c r="D38" s="3">
        <v>41.1</v>
      </c>
      <c r="E38" s="3">
        <v>17.2</v>
      </c>
      <c r="G38" s="3">
        <f t="shared" si="1"/>
        <v>23.900000000000002</v>
      </c>
    </row>
    <row r="39" spans="1:7" x14ac:dyDescent="0.55000000000000004">
      <c r="A39" s="17">
        <v>1976</v>
      </c>
      <c r="D39" s="3">
        <v>41.2</v>
      </c>
      <c r="E39" s="3">
        <v>16.7</v>
      </c>
      <c r="G39" s="3">
        <f t="shared" si="1"/>
        <v>24.500000000000004</v>
      </c>
    </row>
    <row r="40" spans="1:7" x14ac:dyDescent="0.55000000000000004">
      <c r="A40" s="17">
        <v>1977</v>
      </c>
      <c r="D40" s="3">
        <v>40.9</v>
      </c>
      <c r="E40" s="3">
        <v>16.399999999999999</v>
      </c>
      <c r="G40" s="3">
        <f t="shared" si="1"/>
        <v>24.5</v>
      </c>
    </row>
    <row r="41" spans="1:7" x14ac:dyDescent="0.55000000000000004">
      <c r="A41" s="17">
        <v>1978</v>
      </c>
      <c r="D41" s="3">
        <v>40.5</v>
      </c>
      <c r="E41" s="3">
        <v>16.100000000000001</v>
      </c>
      <c r="G41" s="3">
        <f t="shared" si="1"/>
        <v>24.4</v>
      </c>
    </row>
    <row r="42" spans="1:7" x14ac:dyDescent="0.55000000000000004">
      <c r="A42" s="17">
        <v>1979</v>
      </c>
      <c r="D42" s="3">
        <v>40.1</v>
      </c>
      <c r="E42" s="3">
        <v>15.7</v>
      </c>
      <c r="G42" s="3">
        <f t="shared" si="1"/>
        <v>24.400000000000002</v>
      </c>
    </row>
    <row r="43" spans="1:7" x14ac:dyDescent="0.55000000000000004">
      <c r="A43" s="17">
        <v>1980</v>
      </c>
      <c r="D43" s="3">
        <v>39.700000000000003</v>
      </c>
      <c r="E43" s="3">
        <v>15.3</v>
      </c>
      <c r="G43" s="3">
        <f t="shared" si="1"/>
        <v>24.400000000000002</v>
      </c>
    </row>
    <row r="44" spans="1:7" x14ac:dyDescent="0.55000000000000004">
      <c r="A44" s="17">
        <v>1981</v>
      </c>
      <c r="D44" s="3">
        <v>39.299999999999997</v>
      </c>
      <c r="E44" s="3">
        <v>15</v>
      </c>
      <c r="G44" s="3">
        <f t="shared" si="1"/>
        <v>24.299999999999997</v>
      </c>
    </row>
    <row r="45" spans="1:7" x14ac:dyDescent="0.55000000000000004">
      <c r="A45" s="17">
        <v>1982</v>
      </c>
      <c r="D45" s="3">
        <v>38.799999999999997</v>
      </c>
      <c r="E45" s="3">
        <v>14.8</v>
      </c>
      <c r="G45" s="3">
        <f t="shared" si="1"/>
        <v>23.999999999999996</v>
      </c>
    </row>
    <row r="46" spans="1:7" x14ac:dyDescent="0.55000000000000004">
      <c r="A46" s="17">
        <v>1983</v>
      </c>
      <c r="D46" s="3">
        <v>38.4</v>
      </c>
      <c r="E46" s="3">
        <v>14.5</v>
      </c>
      <c r="G46" s="3">
        <f t="shared" si="1"/>
        <v>23.9</v>
      </c>
    </row>
    <row r="47" spans="1:7" x14ac:dyDescent="0.55000000000000004">
      <c r="A47" s="17">
        <v>1984</v>
      </c>
      <c r="D47" s="3">
        <v>38.1</v>
      </c>
      <c r="E47" s="3">
        <v>14.1</v>
      </c>
      <c r="G47" s="3">
        <f t="shared" si="1"/>
        <v>24</v>
      </c>
    </row>
    <row r="48" spans="1:7" x14ac:dyDescent="0.55000000000000004">
      <c r="A48" s="17">
        <v>1985</v>
      </c>
      <c r="D48" s="3">
        <v>37.6</v>
      </c>
      <c r="E48" s="3">
        <v>13.8</v>
      </c>
      <c r="G48" s="3">
        <f t="shared" si="1"/>
        <v>23.8</v>
      </c>
    </row>
    <row r="49" spans="1:7" x14ac:dyDescent="0.55000000000000004">
      <c r="A49" s="17">
        <v>1986</v>
      </c>
      <c r="D49" s="3">
        <v>37.4</v>
      </c>
      <c r="E49" s="3">
        <v>13.5</v>
      </c>
      <c r="G49" s="3">
        <f t="shared" si="1"/>
        <v>23.9</v>
      </c>
    </row>
    <row r="50" spans="1:7" x14ac:dyDescent="0.55000000000000004">
      <c r="A50" s="17">
        <v>1987</v>
      </c>
      <c r="D50" s="3">
        <v>37.1</v>
      </c>
      <c r="E50" s="3">
        <v>13.1</v>
      </c>
      <c r="G50" s="3">
        <f t="shared" si="1"/>
        <v>24</v>
      </c>
    </row>
    <row r="51" spans="1:7" x14ac:dyDescent="0.55000000000000004">
      <c r="A51" s="17">
        <v>1988</v>
      </c>
      <c r="D51" s="3">
        <v>36.9</v>
      </c>
      <c r="E51" s="3">
        <v>12.8</v>
      </c>
      <c r="G51" s="3">
        <f t="shared" si="1"/>
        <v>24.099999999999998</v>
      </c>
    </row>
    <row r="52" spans="1:7" x14ac:dyDescent="0.55000000000000004">
      <c r="A52" s="17">
        <v>1989</v>
      </c>
      <c r="D52" s="3">
        <v>36.5</v>
      </c>
      <c r="E52" s="3">
        <v>12.4</v>
      </c>
      <c r="G52" s="3">
        <f t="shared" si="1"/>
        <v>24.1</v>
      </c>
    </row>
    <row r="53" spans="1:7" x14ac:dyDescent="0.55000000000000004">
      <c r="A53" s="17">
        <v>1990</v>
      </c>
      <c r="D53" s="3">
        <v>36.1</v>
      </c>
      <c r="E53" s="3">
        <v>12</v>
      </c>
      <c r="G53" s="3">
        <f t="shared" si="1"/>
        <v>24.1</v>
      </c>
    </row>
    <row r="54" spans="1:7" x14ac:dyDescent="0.55000000000000004">
      <c r="A54" s="17">
        <v>1991</v>
      </c>
      <c r="D54" s="3">
        <v>35.700000000000003</v>
      </c>
      <c r="E54" s="3">
        <v>11.7</v>
      </c>
      <c r="G54" s="3">
        <f t="shared" si="1"/>
        <v>24.000000000000004</v>
      </c>
    </row>
    <row r="55" spans="1:7" x14ac:dyDescent="0.55000000000000004">
      <c r="A55" s="17">
        <v>1992</v>
      </c>
      <c r="D55" s="3">
        <v>34.799999999999997</v>
      </c>
      <c r="E55" s="3">
        <v>11.4</v>
      </c>
      <c r="G55" s="3">
        <f t="shared" si="1"/>
        <v>23.4</v>
      </c>
    </row>
    <row r="56" spans="1:7" x14ac:dyDescent="0.55000000000000004">
      <c r="A56" s="17">
        <v>1993</v>
      </c>
      <c r="D56" s="3">
        <v>34.1</v>
      </c>
      <c r="E56" s="3">
        <v>10.9</v>
      </c>
      <c r="G56" s="3">
        <f t="shared" si="1"/>
        <v>23.200000000000003</v>
      </c>
    </row>
    <row r="57" spans="1:7" x14ac:dyDescent="0.55000000000000004">
      <c r="A57" s="17">
        <v>1994</v>
      </c>
      <c r="D57" s="3">
        <v>33.4</v>
      </c>
      <c r="E57" s="3">
        <v>10.7</v>
      </c>
      <c r="G57" s="3">
        <f t="shared" si="1"/>
        <v>22.7</v>
      </c>
    </row>
    <row r="58" spans="1:7" x14ac:dyDescent="0.55000000000000004">
      <c r="A58" s="17">
        <v>1995</v>
      </c>
      <c r="D58" s="3">
        <v>32.799999999999997</v>
      </c>
      <c r="E58" s="3">
        <v>10.5</v>
      </c>
      <c r="G58" s="3">
        <f t="shared" si="1"/>
        <v>22.299999999999997</v>
      </c>
    </row>
    <row r="59" spans="1:7" x14ac:dyDescent="0.55000000000000004">
      <c r="A59" s="17">
        <v>1996</v>
      </c>
      <c r="D59" s="3">
        <v>32.299999999999997</v>
      </c>
      <c r="E59" s="3">
        <v>10.3</v>
      </c>
      <c r="G59" s="3">
        <f t="shared" si="1"/>
        <v>21.999999999999996</v>
      </c>
    </row>
    <row r="60" spans="1:7" x14ac:dyDescent="0.55000000000000004">
      <c r="A60" s="17">
        <v>1997</v>
      </c>
      <c r="D60" s="3">
        <v>31.4</v>
      </c>
      <c r="E60" s="3">
        <v>10.199999999999999</v>
      </c>
      <c r="G60" s="3">
        <f t="shared" si="1"/>
        <v>21.2</v>
      </c>
    </row>
    <row r="61" spans="1:7" x14ac:dyDescent="0.55000000000000004">
      <c r="A61" s="17">
        <v>1998</v>
      </c>
      <c r="D61" s="3">
        <v>31</v>
      </c>
      <c r="E61" s="3">
        <v>10</v>
      </c>
      <c r="G61" s="3">
        <f t="shared" si="1"/>
        <v>21</v>
      </c>
    </row>
    <row r="62" spans="1:7" x14ac:dyDescent="0.55000000000000004">
      <c r="A62" s="17">
        <v>1999</v>
      </c>
      <c r="D62" s="3">
        <v>30.6</v>
      </c>
      <c r="E62" s="3">
        <v>9.9</v>
      </c>
      <c r="G62" s="3">
        <f t="shared" si="1"/>
        <v>20.700000000000003</v>
      </c>
    </row>
    <row r="63" spans="1:7" x14ac:dyDescent="0.55000000000000004">
      <c r="A63" s="17">
        <v>2000</v>
      </c>
      <c r="D63" s="3">
        <v>29.8</v>
      </c>
      <c r="E63" s="3">
        <v>9.6999999999999993</v>
      </c>
      <c r="G63" s="3">
        <f t="shared" si="1"/>
        <v>20.100000000000001</v>
      </c>
    </row>
    <row r="64" spans="1:7" x14ac:dyDescent="0.55000000000000004">
      <c r="A64" s="17">
        <v>2001</v>
      </c>
      <c r="D64" s="3">
        <v>29.1</v>
      </c>
      <c r="E64" s="3">
        <v>9.6</v>
      </c>
      <c r="G64" s="3">
        <f t="shared" si="1"/>
        <v>19.5</v>
      </c>
    </row>
    <row r="65" spans="1:7" x14ac:dyDescent="0.55000000000000004">
      <c r="A65" s="17">
        <v>2002</v>
      </c>
      <c r="D65" s="3">
        <v>28.5</v>
      </c>
      <c r="E65" s="3">
        <v>9.4</v>
      </c>
      <c r="G65" s="3">
        <f t="shared" si="1"/>
        <v>19.100000000000001</v>
      </c>
    </row>
    <row r="66" spans="1:7" x14ac:dyDescent="0.55000000000000004">
      <c r="A66" s="17">
        <v>2003</v>
      </c>
      <c r="D66" s="3">
        <v>28.1</v>
      </c>
      <c r="E66" s="3">
        <v>9.1</v>
      </c>
      <c r="G66" s="3">
        <f t="shared" si="1"/>
        <v>19</v>
      </c>
    </row>
    <row r="67" spans="1:7" x14ac:dyDescent="0.55000000000000004">
      <c r="A67" s="17">
        <v>2004</v>
      </c>
      <c r="D67" s="3">
        <v>27.7</v>
      </c>
      <c r="E67" s="3">
        <v>9</v>
      </c>
      <c r="G67" s="3">
        <f t="shared" si="1"/>
        <v>18.7</v>
      </c>
    </row>
    <row r="68" spans="1:7" x14ac:dyDescent="0.55000000000000004">
      <c r="A68" s="17">
        <v>2005</v>
      </c>
      <c r="D68" s="3">
        <v>27.3</v>
      </c>
      <c r="E68" s="3">
        <v>8.8000000000000007</v>
      </c>
      <c r="G68" s="3">
        <f t="shared" si="1"/>
        <v>18.5</v>
      </c>
    </row>
    <row r="69" spans="1:7" x14ac:dyDescent="0.55000000000000004">
      <c r="A69" s="17">
        <v>2006</v>
      </c>
      <c r="D69" s="3">
        <v>27.3</v>
      </c>
      <c r="E69" s="3">
        <v>8.6</v>
      </c>
      <c r="G69" s="3">
        <f t="shared" si="1"/>
        <v>18.700000000000003</v>
      </c>
    </row>
    <row r="70" spans="1:7" x14ac:dyDescent="0.55000000000000004">
      <c r="A70" s="17">
        <v>2007</v>
      </c>
      <c r="D70" s="3">
        <v>26.9</v>
      </c>
      <c r="E70" s="3">
        <v>8.5</v>
      </c>
      <c r="G70" s="3">
        <f t="shared" si="1"/>
        <v>18.399999999999999</v>
      </c>
    </row>
    <row r="71" spans="1:7" x14ac:dyDescent="0.55000000000000004">
      <c r="A71" s="17">
        <v>2008</v>
      </c>
      <c r="D71" s="3">
        <v>26.4</v>
      </c>
      <c r="E71" s="3">
        <v>8.3000000000000007</v>
      </c>
      <c r="G71" s="3">
        <f t="shared" si="1"/>
        <v>18.099999999999998</v>
      </c>
    </row>
    <row r="72" spans="1:7" x14ac:dyDescent="0.55000000000000004">
      <c r="A72" s="17">
        <v>2009</v>
      </c>
      <c r="D72" s="3">
        <v>26</v>
      </c>
      <c r="E72" s="3">
        <v>8.1999999999999993</v>
      </c>
      <c r="G72" s="3">
        <f t="shared" si="1"/>
        <v>17.8</v>
      </c>
    </row>
    <row r="73" spans="1:7" x14ac:dyDescent="0.55000000000000004">
      <c r="A73" s="17">
        <v>2010</v>
      </c>
      <c r="D73" s="3">
        <v>25.6</v>
      </c>
      <c r="E73" s="3">
        <v>8</v>
      </c>
      <c r="G73" s="3">
        <f t="shared" si="1"/>
        <v>17.600000000000001</v>
      </c>
    </row>
    <row r="74" spans="1:7" x14ac:dyDescent="0.55000000000000004">
      <c r="A74" s="17">
        <v>2011</v>
      </c>
      <c r="D74" s="3">
        <v>25.2</v>
      </c>
      <c r="E74" s="3">
        <v>7.9</v>
      </c>
      <c r="G74" s="3">
        <f t="shared" si="1"/>
        <v>17.299999999999997</v>
      </c>
    </row>
    <row r="75" spans="1:7" x14ac:dyDescent="0.55000000000000004">
      <c r="A75" s="17">
        <v>2012</v>
      </c>
      <c r="D75" s="3">
        <v>24.8</v>
      </c>
      <c r="E75" s="3">
        <v>7.8</v>
      </c>
      <c r="G75" s="3">
        <f t="shared" si="1"/>
        <v>17</v>
      </c>
    </row>
    <row r="76" spans="1:7" x14ac:dyDescent="0.55000000000000004">
      <c r="A76" s="17">
        <v>2013</v>
      </c>
      <c r="D76" s="3">
        <v>24.4</v>
      </c>
      <c r="E76" s="3">
        <v>7.8</v>
      </c>
      <c r="G76" s="3">
        <f t="shared" si="1"/>
        <v>16.599999999999998</v>
      </c>
    </row>
    <row r="77" spans="1:7" x14ac:dyDescent="0.55000000000000004">
      <c r="A77" s="17">
        <v>2014</v>
      </c>
      <c r="D77" s="3">
        <v>24</v>
      </c>
      <c r="E77" s="3">
        <v>7.7</v>
      </c>
      <c r="G77" s="3">
        <f t="shared" si="1"/>
        <v>16.3</v>
      </c>
    </row>
    <row r="78" spans="1:7" x14ac:dyDescent="0.55000000000000004">
      <c r="A78" s="17">
        <v>2015</v>
      </c>
      <c r="D78" s="3">
        <v>23.7</v>
      </c>
      <c r="E78" s="3">
        <v>7.7</v>
      </c>
      <c r="G78" s="3">
        <f t="shared" ref="G78:G86" si="2">D78-E78</f>
        <v>16</v>
      </c>
    </row>
    <row r="79" spans="1:7" x14ac:dyDescent="0.55000000000000004">
      <c r="A79" s="17">
        <v>2016</v>
      </c>
      <c r="D79" s="3">
        <v>23.3</v>
      </c>
      <c r="E79" s="3">
        <v>7.6</v>
      </c>
      <c r="G79" s="3">
        <f t="shared" si="2"/>
        <v>15.700000000000001</v>
      </c>
    </row>
    <row r="80" spans="1:7" x14ac:dyDescent="0.55000000000000004">
      <c r="A80" s="17">
        <v>2017</v>
      </c>
      <c r="D80" s="3">
        <v>22.9</v>
      </c>
      <c r="E80" s="3">
        <v>7.6</v>
      </c>
      <c r="G80" s="3">
        <f t="shared" si="2"/>
        <v>15.299999999999999</v>
      </c>
    </row>
    <row r="81" spans="1:7" x14ac:dyDescent="0.55000000000000004">
      <c r="A81" s="17">
        <v>2018</v>
      </c>
      <c r="D81" s="3">
        <v>22.6</v>
      </c>
      <c r="E81" s="3">
        <v>7.6</v>
      </c>
      <c r="G81" s="3">
        <f t="shared" si="2"/>
        <v>15.000000000000002</v>
      </c>
    </row>
    <row r="82" spans="1:7" x14ac:dyDescent="0.55000000000000004">
      <c r="A82" s="17">
        <v>2019</v>
      </c>
      <c r="D82" s="3">
        <v>22.3</v>
      </c>
      <c r="E82" s="3">
        <v>7.6</v>
      </c>
      <c r="G82" s="3">
        <f t="shared" si="2"/>
        <v>14.700000000000001</v>
      </c>
    </row>
    <row r="83" spans="1:7" x14ac:dyDescent="0.55000000000000004">
      <c r="A83" s="17">
        <v>2020</v>
      </c>
      <c r="D83" s="3">
        <v>22</v>
      </c>
      <c r="E83" s="3">
        <v>10.8</v>
      </c>
      <c r="G83" s="3">
        <f t="shared" si="2"/>
        <v>11.2</v>
      </c>
    </row>
    <row r="84" spans="1:7" x14ac:dyDescent="0.55000000000000004">
      <c r="A84" s="17">
        <v>2021</v>
      </c>
      <c r="D84" s="3">
        <v>21.8</v>
      </c>
      <c r="E84" s="3">
        <v>11.8</v>
      </c>
      <c r="G84" s="3">
        <f t="shared" si="2"/>
        <v>10</v>
      </c>
    </row>
    <row r="85" spans="1:7" x14ac:dyDescent="0.55000000000000004">
      <c r="A85" s="17">
        <v>2022</v>
      </c>
      <c r="D85" s="3">
        <v>21.6</v>
      </c>
      <c r="E85" s="3">
        <v>7.7</v>
      </c>
      <c r="G85" s="3">
        <f t="shared" si="2"/>
        <v>13.900000000000002</v>
      </c>
    </row>
    <row r="86" spans="1:7" x14ac:dyDescent="0.55000000000000004">
      <c r="A86" s="17">
        <v>2023</v>
      </c>
      <c r="D86" s="3">
        <v>21.2</v>
      </c>
      <c r="E86" s="3">
        <v>7.2</v>
      </c>
      <c r="G86" s="3">
        <f t="shared" si="2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D76"/>
  <sheetViews>
    <sheetView topLeftCell="A9" workbookViewId="0">
      <selection activeCell="B3" sqref="B3:C76"/>
    </sheetView>
  </sheetViews>
  <sheetFormatPr defaultRowHeight="14.4" x14ac:dyDescent="0.55000000000000004"/>
  <sheetData>
    <row r="1" spans="1:4" x14ac:dyDescent="0.55000000000000004">
      <c r="B1" s="24" t="s">
        <v>75</v>
      </c>
      <c r="C1" s="24"/>
    </row>
    <row r="2" spans="1:4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4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</row>
    <row r="4" spans="1:4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4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</row>
    <row r="6" spans="1:4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</row>
    <row r="7" spans="1:4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</row>
    <row r="8" spans="1:4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4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4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4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4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4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4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4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4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24" t="s">
        <v>74</v>
      </c>
      <c r="C1" s="24"/>
      <c r="D1" s="24" t="s">
        <v>75</v>
      </c>
      <c r="E1" s="24"/>
      <c r="G1" s="24" t="s">
        <v>86</v>
      </c>
      <c r="H1" s="24"/>
      <c r="J1" s="24" t="s">
        <v>87</v>
      </c>
      <c r="K1" s="24"/>
      <c r="L1" s="24"/>
      <c r="M1" s="24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4" t="s">
        <v>115</v>
      </c>
      <c r="C1" s="24"/>
      <c r="D1" s="24" t="s">
        <v>75</v>
      </c>
      <c r="E1" s="2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J17" sqref="AJ1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H116"/>
  <sheetViews>
    <sheetView workbookViewId="0">
      <selection activeCell="B3" sqref="B3:B52"/>
    </sheetView>
  </sheetViews>
  <sheetFormatPr defaultRowHeight="14.4" x14ac:dyDescent="0.55000000000000004"/>
  <sheetData>
    <row r="1" spans="1:8" x14ac:dyDescent="0.55000000000000004">
      <c r="B1" s="24" t="s">
        <v>100</v>
      </c>
      <c r="C1" s="24"/>
      <c r="D1" s="24" t="s">
        <v>75</v>
      </c>
      <c r="E1" s="24"/>
    </row>
    <row r="2" spans="1:8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130</v>
      </c>
      <c r="H2" s="13"/>
    </row>
    <row r="3" spans="1:8" x14ac:dyDescent="0.55000000000000004">
      <c r="A3" s="1">
        <v>1910</v>
      </c>
      <c r="B3" s="21">
        <v>44.281999999999996</v>
      </c>
      <c r="C3" s="21">
        <v>23.646999999999998</v>
      </c>
      <c r="F3" s="21">
        <f>B3-C3</f>
        <v>20.634999999999998</v>
      </c>
    </row>
    <row r="4" spans="1:8" x14ac:dyDescent="0.55000000000000004">
      <c r="A4" s="1">
        <v>1911</v>
      </c>
      <c r="B4" s="21">
        <v>44.137</v>
      </c>
      <c r="C4" s="21">
        <v>23.856999999999999</v>
      </c>
      <c r="F4" s="21">
        <f t="shared" ref="F4:F52" si="0">B4-C4</f>
        <v>20.28</v>
      </c>
    </row>
    <row r="5" spans="1:8" x14ac:dyDescent="0.55000000000000004">
      <c r="A5" s="1">
        <v>1912</v>
      </c>
      <c r="B5" s="21">
        <v>43.865000000000002</v>
      </c>
      <c r="C5" s="21">
        <v>24.253</v>
      </c>
      <c r="F5" s="21">
        <f t="shared" si="0"/>
        <v>19.612000000000002</v>
      </c>
    </row>
    <row r="6" spans="1:8" x14ac:dyDescent="0.55000000000000004">
      <c r="A6" s="1">
        <v>1913</v>
      </c>
      <c r="B6" s="21">
        <v>43.43</v>
      </c>
      <c r="C6" s="21">
        <v>24.893000000000001</v>
      </c>
      <c r="F6" s="21">
        <f t="shared" si="0"/>
        <v>18.536999999999999</v>
      </c>
    </row>
    <row r="7" spans="1:8" x14ac:dyDescent="0.55000000000000004">
      <c r="A7" s="1">
        <v>1914</v>
      </c>
      <c r="B7" s="21">
        <v>42.854999999999997</v>
      </c>
      <c r="C7" s="21">
        <v>25.748000000000001</v>
      </c>
      <c r="F7" s="21">
        <f t="shared" si="0"/>
        <v>17.106999999999996</v>
      </c>
    </row>
    <row r="8" spans="1:8" x14ac:dyDescent="0.55000000000000004">
      <c r="A8" s="1">
        <v>1915</v>
      </c>
      <c r="B8" s="21">
        <v>41.874000000000002</v>
      </c>
      <c r="C8" s="21">
        <v>27.263999999999999</v>
      </c>
      <c r="F8" s="21">
        <f t="shared" si="0"/>
        <v>14.610000000000003</v>
      </c>
    </row>
    <row r="9" spans="1:8" x14ac:dyDescent="0.55000000000000004">
      <c r="A9" s="1">
        <v>1916</v>
      </c>
      <c r="B9" s="21">
        <v>41.472999999999999</v>
      </c>
      <c r="C9" s="21">
        <v>27.859000000000002</v>
      </c>
      <c r="F9" s="21">
        <f t="shared" si="0"/>
        <v>13.613999999999997</v>
      </c>
    </row>
    <row r="10" spans="1:8" x14ac:dyDescent="0.55000000000000004">
      <c r="A10" s="1">
        <v>1917</v>
      </c>
      <c r="B10" s="21">
        <v>41.375999999999998</v>
      </c>
      <c r="C10" s="21">
        <v>27.943000000000001</v>
      </c>
      <c r="F10" s="21">
        <f t="shared" si="0"/>
        <v>13.432999999999996</v>
      </c>
    </row>
    <row r="11" spans="1:8" x14ac:dyDescent="0.55000000000000004">
      <c r="A11" s="1">
        <v>1918</v>
      </c>
      <c r="B11" s="21">
        <v>41.613</v>
      </c>
      <c r="C11" s="21">
        <v>27.466999999999999</v>
      </c>
      <c r="F11" s="21">
        <f t="shared" si="0"/>
        <v>14.146000000000001</v>
      </c>
    </row>
    <row r="12" spans="1:8" x14ac:dyDescent="0.55000000000000004">
      <c r="A12" s="1">
        <v>1919</v>
      </c>
      <c r="B12" s="21">
        <v>42.154000000000003</v>
      </c>
      <c r="C12" s="21">
        <v>26.495000000000001</v>
      </c>
      <c r="F12" s="21">
        <f t="shared" si="0"/>
        <v>15.659000000000002</v>
      </c>
    </row>
    <row r="13" spans="1:8" x14ac:dyDescent="0.55000000000000004">
      <c r="A13" s="1">
        <v>1920</v>
      </c>
      <c r="B13" s="21">
        <v>43.293999999999997</v>
      </c>
      <c r="C13" s="21">
        <v>24.561</v>
      </c>
      <c r="F13" s="21">
        <f t="shared" si="0"/>
        <v>18.732999999999997</v>
      </c>
    </row>
    <row r="14" spans="1:8" x14ac:dyDescent="0.55000000000000004">
      <c r="A14" s="1">
        <v>1921</v>
      </c>
      <c r="B14" s="21">
        <v>43.975999999999999</v>
      </c>
      <c r="C14" s="21">
        <v>23.49</v>
      </c>
      <c r="F14" s="21">
        <f t="shared" si="0"/>
        <v>20.486000000000001</v>
      </c>
    </row>
    <row r="15" spans="1:8" x14ac:dyDescent="0.55000000000000004">
      <c r="A15" s="1">
        <v>1922</v>
      </c>
      <c r="B15" s="21">
        <v>44.484000000000002</v>
      </c>
      <c r="C15" s="21">
        <v>22.757000000000001</v>
      </c>
      <c r="F15" s="21">
        <f t="shared" si="0"/>
        <v>21.727</v>
      </c>
    </row>
    <row r="16" spans="1:8" x14ac:dyDescent="0.55000000000000004">
      <c r="A16" s="1">
        <v>1923</v>
      </c>
      <c r="B16" s="21">
        <v>44.783000000000001</v>
      </c>
      <c r="C16" s="21">
        <v>22.405999999999999</v>
      </c>
      <c r="F16" s="21">
        <f t="shared" si="0"/>
        <v>22.377000000000002</v>
      </c>
    </row>
    <row r="17" spans="1:6" x14ac:dyDescent="0.55000000000000004">
      <c r="A17" s="1">
        <v>1924</v>
      </c>
      <c r="B17" s="21">
        <v>44.878999999999998</v>
      </c>
      <c r="C17" s="21">
        <v>22.399000000000001</v>
      </c>
      <c r="F17" s="21">
        <f t="shared" si="0"/>
        <v>22.479999999999997</v>
      </c>
    </row>
    <row r="18" spans="1:6" x14ac:dyDescent="0.55000000000000004">
      <c r="A18" s="1">
        <v>1925</v>
      </c>
      <c r="B18" s="21">
        <v>44.707999999999998</v>
      </c>
      <c r="C18" s="21">
        <v>23.030999999999999</v>
      </c>
      <c r="F18" s="21">
        <f t="shared" si="0"/>
        <v>21.677</v>
      </c>
    </row>
    <row r="19" spans="1:6" x14ac:dyDescent="0.55000000000000004">
      <c r="A19" s="1">
        <v>1926</v>
      </c>
      <c r="B19" s="21">
        <v>44.503</v>
      </c>
      <c r="C19" s="21">
        <v>23.225000000000001</v>
      </c>
      <c r="F19" s="21">
        <f t="shared" si="0"/>
        <v>21.277999999999999</v>
      </c>
    </row>
    <row r="20" spans="1:6" x14ac:dyDescent="0.55000000000000004">
      <c r="A20" s="1">
        <v>1927</v>
      </c>
      <c r="B20" s="21">
        <v>44.201999999999998</v>
      </c>
      <c r="C20" s="21">
        <v>23.271999999999998</v>
      </c>
      <c r="F20" s="21">
        <f t="shared" si="0"/>
        <v>20.93</v>
      </c>
    </row>
    <row r="21" spans="1:6" x14ac:dyDescent="0.55000000000000004">
      <c r="A21" s="1">
        <v>1928</v>
      </c>
      <c r="B21" s="21">
        <v>43.811999999999998</v>
      </c>
      <c r="C21" s="21">
        <v>23.138999999999999</v>
      </c>
      <c r="F21" s="21">
        <f t="shared" si="0"/>
        <v>20.672999999999998</v>
      </c>
    </row>
    <row r="22" spans="1:6" x14ac:dyDescent="0.55000000000000004">
      <c r="A22" s="1">
        <v>1929</v>
      </c>
      <c r="B22" s="21">
        <v>43.345999999999997</v>
      </c>
      <c r="C22" s="21">
        <v>22.843</v>
      </c>
      <c r="F22" s="21">
        <f t="shared" si="0"/>
        <v>20.502999999999997</v>
      </c>
    </row>
    <row r="23" spans="1:6" x14ac:dyDescent="0.55000000000000004">
      <c r="A23" s="1">
        <v>1930</v>
      </c>
      <c r="B23" s="21">
        <v>42.7</v>
      </c>
      <c r="C23" s="21">
        <v>22.239000000000001</v>
      </c>
      <c r="F23" s="21">
        <f t="shared" si="0"/>
        <v>20.461000000000002</v>
      </c>
    </row>
    <row r="24" spans="1:6" x14ac:dyDescent="0.55000000000000004">
      <c r="A24" s="1">
        <v>1931</v>
      </c>
      <c r="B24" s="21">
        <v>42.256</v>
      </c>
      <c r="C24" s="21">
        <v>21.876999999999999</v>
      </c>
      <c r="F24" s="21">
        <f t="shared" si="0"/>
        <v>20.379000000000001</v>
      </c>
    </row>
    <row r="25" spans="1:6" x14ac:dyDescent="0.55000000000000004">
      <c r="A25" s="1">
        <v>1932</v>
      </c>
      <c r="B25" s="21">
        <v>41.908000000000001</v>
      </c>
      <c r="C25" s="21">
        <v>21.606000000000002</v>
      </c>
      <c r="F25" s="21">
        <f t="shared" si="0"/>
        <v>20.302</v>
      </c>
    </row>
    <row r="26" spans="1:6" x14ac:dyDescent="0.55000000000000004">
      <c r="A26" s="1">
        <v>1933</v>
      </c>
      <c r="B26" s="21">
        <v>41.664999999999999</v>
      </c>
      <c r="C26" s="21">
        <v>21.44</v>
      </c>
      <c r="F26" s="21">
        <f t="shared" si="0"/>
        <v>20.224999999999998</v>
      </c>
    </row>
    <row r="27" spans="1:6" x14ac:dyDescent="0.55000000000000004">
      <c r="A27" s="1">
        <v>1934</v>
      </c>
      <c r="B27" s="21">
        <v>41.53</v>
      </c>
      <c r="C27" s="21">
        <v>21.381</v>
      </c>
      <c r="F27" s="21">
        <f t="shared" si="0"/>
        <v>20.149000000000001</v>
      </c>
    </row>
    <row r="28" spans="1:6" x14ac:dyDescent="0.55000000000000004">
      <c r="A28" s="1">
        <v>1935</v>
      </c>
      <c r="B28" s="21">
        <v>41.496000000000002</v>
      </c>
      <c r="C28" s="21">
        <v>21.407</v>
      </c>
      <c r="F28" s="21">
        <f t="shared" si="0"/>
        <v>20.089000000000002</v>
      </c>
    </row>
    <row r="29" spans="1:6" x14ac:dyDescent="0.55000000000000004">
      <c r="A29" s="1">
        <v>1936</v>
      </c>
      <c r="B29" s="21">
        <v>41.58</v>
      </c>
      <c r="C29" s="21">
        <v>21.6</v>
      </c>
      <c r="F29" s="21">
        <f t="shared" si="0"/>
        <v>19.979999999999997</v>
      </c>
    </row>
    <row r="30" spans="1:6" x14ac:dyDescent="0.55000000000000004">
      <c r="A30" s="1">
        <v>1937</v>
      </c>
      <c r="B30" s="21">
        <v>41.777999999999999</v>
      </c>
      <c r="C30" s="21">
        <v>21.94</v>
      </c>
      <c r="F30" s="21">
        <f t="shared" si="0"/>
        <v>19.837999999999997</v>
      </c>
    </row>
    <row r="31" spans="1:6" x14ac:dyDescent="0.55000000000000004">
      <c r="A31" s="1">
        <v>1938</v>
      </c>
      <c r="B31" s="21">
        <v>42.091000000000001</v>
      </c>
      <c r="C31" s="21">
        <v>22.431000000000001</v>
      </c>
      <c r="F31" s="21">
        <f t="shared" si="0"/>
        <v>19.66</v>
      </c>
    </row>
    <row r="32" spans="1:6" x14ac:dyDescent="0.55000000000000004">
      <c r="A32" s="1">
        <v>1939</v>
      </c>
      <c r="B32" s="21">
        <v>42.506</v>
      </c>
      <c r="C32" s="21">
        <v>23.041</v>
      </c>
      <c r="F32" s="21">
        <f t="shared" si="0"/>
        <v>19.465</v>
      </c>
    </row>
    <row r="33" spans="1:7" x14ac:dyDescent="0.55000000000000004">
      <c r="A33" s="1">
        <v>1940</v>
      </c>
      <c r="B33" s="21">
        <v>43.143999999999998</v>
      </c>
      <c r="C33" s="21">
        <v>24.094000000000001</v>
      </c>
      <c r="F33" s="21">
        <f t="shared" si="0"/>
        <v>19.049999999999997</v>
      </c>
    </row>
    <row r="34" spans="1:7" x14ac:dyDescent="0.55000000000000004">
      <c r="A34" s="1">
        <v>1941</v>
      </c>
      <c r="B34" s="21">
        <v>43.567999999999998</v>
      </c>
      <c r="C34" s="21">
        <v>24.427</v>
      </c>
      <c r="F34" s="21">
        <f t="shared" si="0"/>
        <v>19.140999999999998</v>
      </c>
    </row>
    <row r="35" spans="1:7" x14ac:dyDescent="0.55000000000000004">
      <c r="A35" s="1">
        <v>1942</v>
      </c>
      <c r="B35" s="21">
        <v>43.895000000000003</v>
      </c>
      <c r="C35" s="21">
        <v>24.344999999999999</v>
      </c>
      <c r="F35" s="21">
        <f t="shared" si="0"/>
        <v>19.550000000000004</v>
      </c>
    </row>
    <row r="36" spans="1:7" x14ac:dyDescent="0.55000000000000004">
      <c r="A36" s="1">
        <v>1943</v>
      </c>
      <c r="B36" s="21">
        <v>44.110999999999997</v>
      </c>
      <c r="C36" s="21">
        <v>23.815999999999999</v>
      </c>
      <c r="F36" s="21">
        <f t="shared" si="0"/>
        <v>20.294999999999998</v>
      </c>
    </row>
    <row r="37" spans="1:7" x14ac:dyDescent="0.55000000000000004">
      <c r="A37" s="1">
        <v>1944</v>
      </c>
      <c r="B37" s="21">
        <v>44.226999999999997</v>
      </c>
      <c r="C37" s="21">
        <v>22.879000000000001</v>
      </c>
      <c r="F37" s="21">
        <f t="shared" si="0"/>
        <v>21.347999999999995</v>
      </c>
    </row>
    <row r="38" spans="1:7" x14ac:dyDescent="0.55000000000000004">
      <c r="A38" s="1">
        <v>1945</v>
      </c>
      <c r="B38" s="21">
        <v>44.137</v>
      </c>
      <c r="C38" s="21">
        <v>21.271000000000001</v>
      </c>
      <c r="F38" s="21">
        <f t="shared" si="0"/>
        <v>22.866</v>
      </c>
    </row>
    <row r="39" spans="1:7" x14ac:dyDescent="0.55000000000000004">
      <c r="A39" s="1">
        <v>1946</v>
      </c>
      <c r="B39" s="21">
        <v>44.231000000000002</v>
      </c>
      <c r="C39" s="21">
        <v>20.059000000000001</v>
      </c>
      <c r="F39" s="21">
        <f t="shared" si="0"/>
        <v>24.172000000000001</v>
      </c>
    </row>
    <row r="40" spans="1:7" x14ac:dyDescent="0.55000000000000004">
      <c r="A40" s="1">
        <v>1947</v>
      </c>
      <c r="B40" s="21">
        <v>44.402999999999999</v>
      </c>
      <c r="C40" s="21">
        <v>18.940999999999999</v>
      </c>
      <c r="F40" s="21">
        <f t="shared" si="0"/>
        <v>25.462</v>
      </c>
    </row>
    <row r="41" spans="1:7" x14ac:dyDescent="0.55000000000000004">
      <c r="A41" s="1">
        <v>1948</v>
      </c>
      <c r="B41" s="21">
        <v>44.665999999999997</v>
      </c>
      <c r="C41" s="21">
        <v>17.942</v>
      </c>
      <c r="F41" s="21">
        <f t="shared" si="0"/>
        <v>26.723999999999997</v>
      </c>
    </row>
    <row r="42" spans="1:7" x14ac:dyDescent="0.55000000000000004">
      <c r="A42" s="1">
        <v>1949</v>
      </c>
      <c r="B42" s="21">
        <v>45.006999999999998</v>
      </c>
      <c r="C42" s="21">
        <v>17.053999999999998</v>
      </c>
      <c r="F42" s="21">
        <f t="shared" si="0"/>
        <v>27.952999999999999</v>
      </c>
    </row>
    <row r="43" spans="1:7" x14ac:dyDescent="0.55000000000000004">
      <c r="A43" s="1">
        <v>1950</v>
      </c>
      <c r="B43" s="21">
        <v>45.533000000000001</v>
      </c>
      <c r="C43" s="21">
        <v>16.297000000000001</v>
      </c>
      <c r="D43" s="3">
        <v>52.5</v>
      </c>
      <c r="E43" s="3">
        <v>25.7</v>
      </c>
      <c r="F43" s="21">
        <f t="shared" si="0"/>
        <v>29.236000000000001</v>
      </c>
      <c r="G43" s="3">
        <f>D43-E43</f>
        <v>26.8</v>
      </c>
    </row>
    <row r="44" spans="1:7" x14ac:dyDescent="0.55000000000000004">
      <c r="A44" s="1">
        <v>1951</v>
      </c>
      <c r="B44" s="21">
        <v>45.86</v>
      </c>
      <c r="C44" s="21">
        <v>15.568</v>
      </c>
      <c r="D44" s="3">
        <v>52.4</v>
      </c>
      <c r="E44" s="3">
        <v>25.1</v>
      </c>
      <c r="F44" s="21">
        <f t="shared" si="0"/>
        <v>30.292000000000002</v>
      </c>
      <c r="G44" s="3">
        <f t="shared" ref="G44:G107" si="1">D44-E44</f>
        <v>27.299999999999997</v>
      </c>
    </row>
    <row r="45" spans="1:7" x14ac:dyDescent="0.55000000000000004">
      <c r="A45" s="1">
        <v>1952</v>
      </c>
      <c r="B45" s="21">
        <v>46.093000000000004</v>
      </c>
      <c r="C45" s="21">
        <v>14.891</v>
      </c>
      <c r="D45" s="3">
        <v>52.3</v>
      </c>
      <c r="E45" s="3">
        <v>24.6</v>
      </c>
      <c r="F45" s="21">
        <f t="shared" si="0"/>
        <v>31.202000000000005</v>
      </c>
      <c r="G45" s="3">
        <f t="shared" si="1"/>
        <v>27.699999999999996</v>
      </c>
    </row>
    <row r="46" spans="1:7" x14ac:dyDescent="0.55000000000000004">
      <c r="A46" s="1">
        <v>1953</v>
      </c>
      <c r="B46" s="21">
        <v>46.216999999999999</v>
      </c>
      <c r="C46" s="21">
        <v>14.262</v>
      </c>
      <c r="D46" s="3">
        <v>52.1</v>
      </c>
      <c r="E46" s="3">
        <v>24</v>
      </c>
      <c r="F46" s="21">
        <f t="shared" si="0"/>
        <v>31.954999999999998</v>
      </c>
      <c r="G46" s="3">
        <f t="shared" si="1"/>
        <v>28.1</v>
      </c>
    </row>
    <row r="47" spans="1:7" x14ac:dyDescent="0.55000000000000004">
      <c r="A47" s="1">
        <v>1954</v>
      </c>
      <c r="B47" s="21">
        <v>46.241999999999997</v>
      </c>
      <c r="C47" s="21">
        <v>13.683999999999999</v>
      </c>
      <c r="D47" s="3">
        <v>51.9</v>
      </c>
      <c r="E47" s="3">
        <v>23.4</v>
      </c>
      <c r="F47" s="21">
        <f t="shared" si="0"/>
        <v>32.558</v>
      </c>
      <c r="G47" s="3">
        <f t="shared" si="1"/>
        <v>28.5</v>
      </c>
    </row>
    <row r="48" spans="1:7" x14ac:dyDescent="0.55000000000000004">
      <c r="A48" s="1">
        <v>1955</v>
      </c>
      <c r="B48" s="21">
        <v>46.098999999999997</v>
      </c>
      <c r="C48" s="21">
        <v>13.111000000000001</v>
      </c>
      <c r="D48" s="3">
        <v>51.6</v>
      </c>
      <c r="E48" s="3">
        <v>22.7</v>
      </c>
      <c r="F48" s="21">
        <f t="shared" si="0"/>
        <v>32.988</v>
      </c>
      <c r="G48" s="3">
        <f t="shared" si="1"/>
        <v>28.900000000000002</v>
      </c>
    </row>
    <row r="49" spans="1:7" x14ac:dyDescent="0.55000000000000004">
      <c r="A49" s="1">
        <v>1956</v>
      </c>
      <c r="B49" s="21">
        <v>46.036000000000001</v>
      </c>
      <c r="C49" s="21">
        <v>12.702</v>
      </c>
      <c r="D49" s="3">
        <v>51.2</v>
      </c>
      <c r="E49" s="3">
        <v>22</v>
      </c>
      <c r="F49" s="21">
        <f t="shared" si="0"/>
        <v>33.334000000000003</v>
      </c>
      <c r="G49" s="3">
        <f t="shared" si="1"/>
        <v>29.200000000000003</v>
      </c>
    </row>
    <row r="50" spans="1:7" x14ac:dyDescent="0.55000000000000004">
      <c r="A50" s="1">
        <v>1957</v>
      </c>
      <c r="B50" s="21">
        <v>45.985999999999997</v>
      </c>
      <c r="C50" s="21">
        <v>12.409000000000001</v>
      </c>
      <c r="D50" s="3">
        <v>50.8</v>
      </c>
      <c r="E50" s="3">
        <v>21.3</v>
      </c>
      <c r="F50" s="21">
        <f t="shared" si="0"/>
        <v>33.576999999999998</v>
      </c>
      <c r="G50" s="3">
        <f t="shared" si="1"/>
        <v>29.499999999999996</v>
      </c>
    </row>
    <row r="51" spans="1:7" x14ac:dyDescent="0.55000000000000004">
      <c r="A51" s="1">
        <v>1958</v>
      </c>
      <c r="B51" s="21">
        <v>45.954000000000001</v>
      </c>
      <c r="C51" s="21">
        <v>12.227</v>
      </c>
      <c r="D51" s="3">
        <v>50.4</v>
      </c>
      <c r="E51" s="3">
        <v>20.6</v>
      </c>
      <c r="F51" s="21">
        <f t="shared" si="0"/>
        <v>33.727000000000004</v>
      </c>
      <c r="G51" s="3">
        <f t="shared" si="1"/>
        <v>29.799999999999997</v>
      </c>
    </row>
    <row r="52" spans="1:7" x14ac:dyDescent="0.55000000000000004">
      <c r="A52" s="1">
        <v>1959</v>
      </c>
      <c r="B52" s="21">
        <v>45.938000000000002</v>
      </c>
      <c r="C52" s="21">
        <v>12.131</v>
      </c>
      <c r="D52" s="3">
        <v>49.9</v>
      </c>
      <c r="E52" s="3">
        <v>19.8</v>
      </c>
      <c r="F52" s="21">
        <f t="shared" si="0"/>
        <v>33.807000000000002</v>
      </c>
      <c r="G52" s="3">
        <f t="shared" si="1"/>
        <v>30.099999999999998</v>
      </c>
    </row>
    <row r="53" spans="1:7" x14ac:dyDescent="0.55000000000000004">
      <c r="A53" s="17">
        <v>1960</v>
      </c>
      <c r="D53" s="3">
        <v>49.4</v>
      </c>
      <c r="E53" s="3">
        <v>19.100000000000001</v>
      </c>
      <c r="G53" s="3">
        <f t="shared" si="1"/>
        <v>30.299999999999997</v>
      </c>
    </row>
    <row r="54" spans="1:7" x14ac:dyDescent="0.55000000000000004">
      <c r="A54" s="17">
        <v>1961</v>
      </c>
      <c r="D54" s="3">
        <v>49</v>
      </c>
      <c r="E54" s="3">
        <v>18.5</v>
      </c>
      <c r="G54" s="3">
        <f t="shared" si="1"/>
        <v>30.5</v>
      </c>
    </row>
    <row r="55" spans="1:7" x14ac:dyDescent="0.55000000000000004">
      <c r="A55" s="17">
        <v>1962</v>
      </c>
      <c r="D55" s="3">
        <v>48.6</v>
      </c>
      <c r="E55" s="3">
        <v>17.7</v>
      </c>
      <c r="G55" s="3">
        <f t="shared" si="1"/>
        <v>30.900000000000002</v>
      </c>
    </row>
    <row r="56" spans="1:7" x14ac:dyDescent="0.55000000000000004">
      <c r="A56" s="17">
        <v>1963</v>
      </c>
      <c r="D56" s="3">
        <v>48.2</v>
      </c>
      <c r="E56" s="3">
        <v>17.100000000000001</v>
      </c>
      <c r="G56" s="3">
        <f t="shared" si="1"/>
        <v>31.1</v>
      </c>
    </row>
    <row r="57" spans="1:7" x14ac:dyDescent="0.55000000000000004">
      <c r="A57" s="17">
        <v>1964</v>
      </c>
      <c r="D57" s="3">
        <v>47.9</v>
      </c>
      <c r="E57" s="3">
        <v>16.399999999999999</v>
      </c>
      <c r="G57" s="3">
        <f t="shared" si="1"/>
        <v>31.5</v>
      </c>
    </row>
    <row r="58" spans="1:7" x14ac:dyDescent="0.55000000000000004">
      <c r="A58" s="17">
        <v>1965</v>
      </c>
      <c r="D58" s="3">
        <v>47.7</v>
      </c>
      <c r="E58" s="3">
        <v>15.9</v>
      </c>
      <c r="G58" s="3">
        <f t="shared" si="1"/>
        <v>31.800000000000004</v>
      </c>
    </row>
    <row r="59" spans="1:7" x14ac:dyDescent="0.55000000000000004">
      <c r="A59" s="17">
        <v>1966</v>
      </c>
      <c r="D59" s="3">
        <v>47.3</v>
      </c>
      <c r="E59" s="3">
        <v>15.3</v>
      </c>
      <c r="G59" s="3">
        <f t="shared" si="1"/>
        <v>31.999999999999996</v>
      </c>
    </row>
    <row r="60" spans="1:7" x14ac:dyDescent="0.55000000000000004">
      <c r="A60" s="17">
        <v>1967</v>
      </c>
      <c r="D60" s="3">
        <v>46.9</v>
      </c>
      <c r="E60" s="3">
        <v>14.7</v>
      </c>
      <c r="G60" s="3">
        <f t="shared" si="1"/>
        <v>32.200000000000003</v>
      </c>
    </row>
    <row r="61" spans="1:7" x14ac:dyDescent="0.55000000000000004">
      <c r="A61" s="17">
        <v>1968</v>
      </c>
      <c r="D61" s="3">
        <v>46.6</v>
      </c>
      <c r="E61" s="3">
        <v>14.2</v>
      </c>
      <c r="G61" s="3">
        <f t="shared" si="1"/>
        <v>32.400000000000006</v>
      </c>
    </row>
    <row r="62" spans="1:7" x14ac:dyDescent="0.55000000000000004">
      <c r="A62" s="17">
        <v>1969</v>
      </c>
      <c r="D62" s="3">
        <v>46.4</v>
      </c>
      <c r="E62" s="3">
        <v>13.7</v>
      </c>
      <c r="G62" s="3">
        <f t="shared" si="1"/>
        <v>32.700000000000003</v>
      </c>
    </row>
    <row r="63" spans="1:7" x14ac:dyDescent="0.55000000000000004">
      <c r="A63" s="17">
        <v>1970</v>
      </c>
      <c r="D63" s="3">
        <v>46.3</v>
      </c>
      <c r="E63" s="3">
        <v>13.2</v>
      </c>
      <c r="G63" s="3">
        <f t="shared" si="1"/>
        <v>33.099999999999994</v>
      </c>
    </row>
    <row r="64" spans="1:7" x14ac:dyDescent="0.55000000000000004">
      <c r="A64" s="17">
        <v>1971</v>
      </c>
      <c r="D64" s="3">
        <v>46.2</v>
      </c>
      <c r="E64" s="3">
        <v>12.8</v>
      </c>
      <c r="G64" s="3">
        <f t="shared" si="1"/>
        <v>33.400000000000006</v>
      </c>
    </row>
    <row r="65" spans="1:7" x14ac:dyDescent="0.55000000000000004">
      <c r="A65" s="17">
        <v>1972</v>
      </c>
      <c r="D65" s="3">
        <v>46.1</v>
      </c>
      <c r="E65" s="3">
        <v>12.4</v>
      </c>
      <c r="G65" s="3">
        <f t="shared" si="1"/>
        <v>33.700000000000003</v>
      </c>
    </row>
    <row r="66" spans="1:7" x14ac:dyDescent="0.55000000000000004">
      <c r="A66" s="17">
        <v>1973</v>
      </c>
      <c r="D66" s="3">
        <v>45.9</v>
      </c>
      <c r="E66" s="3">
        <v>12.9</v>
      </c>
      <c r="G66" s="3">
        <f t="shared" si="1"/>
        <v>33</v>
      </c>
    </row>
    <row r="67" spans="1:7" x14ac:dyDescent="0.55000000000000004">
      <c r="A67" s="17">
        <v>1974</v>
      </c>
      <c r="D67" s="3">
        <v>45.8</v>
      </c>
      <c r="E67" s="3">
        <v>14.2</v>
      </c>
      <c r="G67" s="3">
        <f t="shared" si="1"/>
        <v>31.599999999999998</v>
      </c>
    </row>
    <row r="68" spans="1:7" x14ac:dyDescent="0.55000000000000004">
      <c r="A68" s="17">
        <v>1975</v>
      </c>
      <c r="D68" s="3">
        <v>46</v>
      </c>
      <c r="E68" s="3">
        <v>11.1</v>
      </c>
      <c r="G68" s="3">
        <f t="shared" si="1"/>
        <v>34.9</v>
      </c>
    </row>
    <row r="69" spans="1:7" x14ac:dyDescent="0.55000000000000004">
      <c r="A69" s="17">
        <v>1976</v>
      </c>
      <c r="D69" s="3">
        <v>46</v>
      </c>
      <c r="E69" s="3">
        <v>10.9</v>
      </c>
      <c r="G69" s="3">
        <f t="shared" si="1"/>
        <v>35.1</v>
      </c>
    </row>
    <row r="70" spans="1:7" x14ac:dyDescent="0.55000000000000004">
      <c r="A70" s="17">
        <v>1977</v>
      </c>
      <c r="D70" s="3">
        <v>45.7</v>
      </c>
      <c r="E70" s="3">
        <v>10.6</v>
      </c>
      <c r="G70" s="3">
        <f t="shared" si="1"/>
        <v>35.1</v>
      </c>
    </row>
    <row r="71" spans="1:7" x14ac:dyDescent="0.55000000000000004">
      <c r="A71" s="17">
        <v>1978</v>
      </c>
      <c r="D71" s="3">
        <v>45.3</v>
      </c>
      <c r="E71" s="3">
        <v>10.3</v>
      </c>
      <c r="G71" s="3">
        <f t="shared" si="1"/>
        <v>35</v>
      </c>
    </row>
    <row r="72" spans="1:7" x14ac:dyDescent="0.55000000000000004">
      <c r="A72" s="17">
        <v>1979</v>
      </c>
      <c r="D72" s="3">
        <v>44.9</v>
      </c>
      <c r="E72" s="3">
        <v>10</v>
      </c>
      <c r="G72" s="3">
        <f t="shared" si="1"/>
        <v>34.9</v>
      </c>
    </row>
    <row r="73" spans="1:7" x14ac:dyDescent="0.55000000000000004">
      <c r="A73" s="17">
        <v>1980</v>
      </c>
      <c r="D73" s="3">
        <v>44.3</v>
      </c>
      <c r="E73" s="3">
        <v>9.6999999999999993</v>
      </c>
      <c r="G73" s="3">
        <f t="shared" si="1"/>
        <v>34.599999999999994</v>
      </c>
    </row>
    <row r="74" spans="1:7" x14ac:dyDescent="0.55000000000000004">
      <c r="A74" s="17">
        <v>1981</v>
      </c>
      <c r="D74" s="3">
        <v>43.7</v>
      </c>
      <c r="E74" s="3">
        <v>9.4</v>
      </c>
      <c r="G74" s="3">
        <f t="shared" si="1"/>
        <v>34.300000000000004</v>
      </c>
    </row>
    <row r="75" spans="1:7" x14ac:dyDescent="0.55000000000000004">
      <c r="A75" s="17">
        <v>1982</v>
      </c>
      <c r="D75" s="3">
        <v>43.1</v>
      </c>
      <c r="E75" s="3">
        <v>9.1</v>
      </c>
      <c r="G75" s="3">
        <f t="shared" si="1"/>
        <v>34</v>
      </c>
    </row>
    <row r="76" spans="1:7" x14ac:dyDescent="0.55000000000000004">
      <c r="A76" s="17">
        <v>1983</v>
      </c>
      <c r="D76" s="3">
        <v>42.4</v>
      </c>
      <c r="E76" s="3">
        <v>8.6999999999999993</v>
      </c>
      <c r="G76" s="3">
        <f t="shared" si="1"/>
        <v>33.700000000000003</v>
      </c>
    </row>
    <row r="77" spans="1:7" x14ac:dyDescent="0.55000000000000004">
      <c r="A77" s="17">
        <v>1984</v>
      </c>
      <c r="D77" s="3">
        <v>41.8</v>
      </c>
      <c r="E77" s="3">
        <v>8.5</v>
      </c>
      <c r="G77" s="3">
        <f t="shared" si="1"/>
        <v>33.299999999999997</v>
      </c>
    </row>
    <row r="78" spans="1:7" x14ac:dyDescent="0.55000000000000004">
      <c r="A78" s="17">
        <v>1985</v>
      </c>
      <c r="D78" s="3">
        <v>41.1</v>
      </c>
      <c r="E78" s="3">
        <v>8.1999999999999993</v>
      </c>
      <c r="G78" s="3">
        <f t="shared" si="1"/>
        <v>32.900000000000006</v>
      </c>
    </row>
    <row r="79" spans="1:7" x14ac:dyDescent="0.55000000000000004">
      <c r="A79" s="17">
        <v>1986</v>
      </c>
      <c r="D79" s="3">
        <v>40.5</v>
      </c>
      <c r="E79" s="3">
        <v>8</v>
      </c>
      <c r="G79" s="3">
        <f t="shared" si="1"/>
        <v>32.5</v>
      </c>
    </row>
    <row r="80" spans="1:7" x14ac:dyDescent="0.55000000000000004">
      <c r="A80" s="17">
        <v>1987</v>
      </c>
      <c r="D80" s="3">
        <v>39.9</v>
      </c>
      <c r="E80" s="3">
        <v>7.8</v>
      </c>
      <c r="G80" s="3">
        <f t="shared" si="1"/>
        <v>32.1</v>
      </c>
    </row>
    <row r="81" spans="1:7" x14ac:dyDescent="0.55000000000000004">
      <c r="A81" s="17">
        <v>1988</v>
      </c>
      <c r="D81" s="3">
        <v>39.299999999999997</v>
      </c>
      <c r="E81" s="3">
        <v>7.6</v>
      </c>
      <c r="G81" s="3">
        <f t="shared" si="1"/>
        <v>31.699999999999996</v>
      </c>
    </row>
    <row r="82" spans="1:7" x14ac:dyDescent="0.55000000000000004">
      <c r="A82" s="17">
        <v>1989</v>
      </c>
      <c r="D82" s="3">
        <v>38.799999999999997</v>
      </c>
      <c r="E82" s="3">
        <v>7.3</v>
      </c>
      <c r="G82" s="3">
        <f t="shared" si="1"/>
        <v>31.499999999999996</v>
      </c>
    </row>
    <row r="83" spans="1:7" x14ac:dyDescent="0.55000000000000004">
      <c r="A83" s="17">
        <v>1990</v>
      </c>
      <c r="D83" s="3">
        <v>38.5</v>
      </c>
      <c r="E83" s="3">
        <v>7</v>
      </c>
      <c r="G83" s="3">
        <f t="shared" si="1"/>
        <v>31.5</v>
      </c>
    </row>
    <row r="84" spans="1:7" x14ac:dyDescent="0.55000000000000004">
      <c r="A84" s="17">
        <v>1991</v>
      </c>
      <c r="D84" s="3">
        <v>38.200000000000003</v>
      </c>
      <c r="E84" s="3">
        <v>6.8</v>
      </c>
      <c r="G84" s="3">
        <f t="shared" si="1"/>
        <v>31.400000000000002</v>
      </c>
    </row>
    <row r="85" spans="1:7" x14ac:dyDescent="0.55000000000000004">
      <c r="A85" s="17">
        <v>1992</v>
      </c>
      <c r="D85" s="3">
        <v>37.9</v>
      </c>
      <c r="E85" s="3">
        <v>6.6</v>
      </c>
      <c r="G85" s="3">
        <f t="shared" si="1"/>
        <v>31.299999999999997</v>
      </c>
    </row>
    <row r="86" spans="1:7" x14ac:dyDescent="0.55000000000000004">
      <c r="A86" s="17">
        <v>1993</v>
      </c>
      <c r="D86" s="3">
        <v>37.700000000000003</v>
      </c>
      <c r="E86" s="3">
        <v>6.4</v>
      </c>
      <c r="G86" s="3">
        <f t="shared" si="1"/>
        <v>31.300000000000004</v>
      </c>
    </row>
    <row r="87" spans="1:7" x14ac:dyDescent="0.55000000000000004">
      <c r="A87" s="17">
        <v>1994</v>
      </c>
      <c r="D87" s="3">
        <v>37.299999999999997</v>
      </c>
      <c r="E87" s="3">
        <v>6.2</v>
      </c>
      <c r="G87" s="3">
        <f t="shared" si="1"/>
        <v>31.099999999999998</v>
      </c>
    </row>
    <row r="88" spans="1:7" x14ac:dyDescent="0.55000000000000004">
      <c r="A88" s="17">
        <v>1995</v>
      </c>
      <c r="D88" s="3">
        <v>36.9</v>
      </c>
      <c r="E88" s="3">
        <v>6</v>
      </c>
      <c r="G88" s="3">
        <f t="shared" si="1"/>
        <v>30.9</v>
      </c>
    </row>
    <row r="89" spans="1:7" x14ac:dyDescent="0.55000000000000004">
      <c r="A89" s="17">
        <v>1996</v>
      </c>
      <c r="D89" s="3">
        <v>36.299999999999997</v>
      </c>
      <c r="E89" s="3">
        <v>5.8</v>
      </c>
      <c r="G89" s="3">
        <f t="shared" si="1"/>
        <v>30.499999999999996</v>
      </c>
    </row>
    <row r="90" spans="1:7" x14ac:dyDescent="0.55000000000000004">
      <c r="A90" s="17">
        <v>1997</v>
      </c>
      <c r="D90" s="3">
        <v>35.700000000000003</v>
      </c>
      <c r="E90" s="3">
        <v>5.6</v>
      </c>
      <c r="G90" s="3">
        <f t="shared" si="1"/>
        <v>30.1</v>
      </c>
    </row>
    <row r="91" spans="1:7" x14ac:dyDescent="0.55000000000000004">
      <c r="A91" s="17">
        <v>1998</v>
      </c>
      <c r="D91" s="3">
        <v>35.1</v>
      </c>
      <c r="E91" s="3">
        <v>7.9</v>
      </c>
      <c r="G91" s="3">
        <f t="shared" si="1"/>
        <v>27.200000000000003</v>
      </c>
    </row>
    <row r="92" spans="1:7" x14ac:dyDescent="0.55000000000000004">
      <c r="A92" s="17">
        <v>1999</v>
      </c>
      <c r="D92" s="3">
        <v>34.6</v>
      </c>
      <c r="E92" s="3">
        <v>5.4</v>
      </c>
      <c r="G92" s="3">
        <f t="shared" si="1"/>
        <v>29.200000000000003</v>
      </c>
    </row>
    <row r="93" spans="1:7" x14ac:dyDescent="0.55000000000000004">
      <c r="A93" s="17">
        <v>2000</v>
      </c>
      <c r="D93" s="3">
        <v>34.200000000000003</v>
      </c>
      <c r="E93" s="3">
        <v>5.2</v>
      </c>
      <c r="G93" s="3">
        <f t="shared" si="1"/>
        <v>29.000000000000004</v>
      </c>
    </row>
    <row r="94" spans="1:7" x14ac:dyDescent="0.55000000000000004">
      <c r="A94" s="17">
        <v>2001</v>
      </c>
      <c r="D94" s="3">
        <v>33.4</v>
      </c>
      <c r="E94" s="3">
        <v>5.0999999999999996</v>
      </c>
      <c r="G94" s="3">
        <f t="shared" si="1"/>
        <v>28.299999999999997</v>
      </c>
    </row>
    <row r="95" spans="1:7" x14ac:dyDescent="0.55000000000000004">
      <c r="A95" s="17">
        <v>2002</v>
      </c>
      <c r="D95" s="3">
        <v>32.4</v>
      </c>
      <c r="E95" s="3">
        <v>5</v>
      </c>
      <c r="G95" s="3">
        <f t="shared" si="1"/>
        <v>27.4</v>
      </c>
    </row>
    <row r="96" spans="1:7" x14ac:dyDescent="0.55000000000000004">
      <c r="A96" s="17">
        <v>2003</v>
      </c>
      <c r="D96" s="3">
        <v>31.4</v>
      </c>
      <c r="E96" s="3">
        <v>5</v>
      </c>
      <c r="G96" s="3">
        <f t="shared" si="1"/>
        <v>26.4</v>
      </c>
    </row>
    <row r="97" spans="1:7" x14ac:dyDescent="0.55000000000000004">
      <c r="A97" s="17">
        <v>2004</v>
      </c>
      <c r="D97" s="3">
        <v>30.5</v>
      </c>
      <c r="E97" s="3">
        <v>4.9000000000000004</v>
      </c>
      <c r="G97" s="3">
        <f t="shared" si="1"/>
        <v>25.6</v>
      </c>
    </row>
    <row r="98" spans="1:7" x14ac:dyDescent="0.55000000000000004">
      <c r="A98" s="17">
        <v>2005</v>
      </c>
      <c r="D98" s="3">
        <v>29.6</v>
      </c>
      <c r="E98" s="3">
        <v>4.8</v>
      </c>
      <c r="G98" s="3">
        <f t="shared" si="1"/>
        <v>24.8</v>
      </c>
    </row>
    <row r="99" spans="1:7" x14ac:dyDescent="0.55000000000000004">
      <c r="A99" s="17">
        <v>2006</v>
      </c>
      <c r="D99" s="3">
        <v>28.7</v>
      </c>
      <c r="E99" s="3">
        <v>4.8</v>
      </c>
      <c r="G99" s="3">
        <f t="shared" si="1"/>
        <v>23.9</v>
      </c>
    </row>
    <row r="100" spans="1:7" x14ac:dyDescent="0.55000000000000004">
      <c r="A100" s="17">
        <v>2007</v>
      </c>
      <c r="D100" s="3">
        <v>28.1</v>
      </c>
      <c r="E100" s="3">
        <v>4.8</v>
      </c>
      <c r="G100" s="3">
        <f t="shared" si="1"/>
        <v>23.3</v>
      </c>
    </row>
    <row r="101" spans="1:7" x14ac:dyDescent="0.55000000000000004">
      <c r="A101" s="17">
        <v>2008</v>
      </c>
      <c r="D101" s="3">
        <v>27.5</v>
      </c>
      <c r="E101" s="3">
        <v>4.7</v>
      </c>
      <c r="G101" s="3">
        <f t="shared" si="1"/>
        <v>22.8</v>
      </c>
    </row>
    <row r="102" spans="1:7" x14ac:dyDescent="0.55000000000000004">
      <c r="A102" s="17">
        <v>2009</v>
      </c>
      <c r="D102" s="3">
        <v>27</v>
      </c>
      <c r="E102" s="3">
        <v>4.7</v>
      </c>
      <c r="G102" s="3">
        <f t="shared" si="1"/>
        <v>22.3</v>
      </c>
    </row>
    <row r="103" spans="1:7" x14ac:dyDescent="0.55000000000000004">
      <c r="A103" s="17">
        <v>2010</v>
      </c>
      <c r="D103" s="3">
        <v>26.3</v>
      </c>
      <c r="E103" s="3">
        <v>4.8</v>
      </c>
      <c r="G103" s="3">
        <f t="shared" si="1"/>
        <v>21.5</v>
      </c>
    </row>
    <row r="104" spans="1:7" x14ac:dyDescent="0.55000000000000004">
      <c r="A104" s="17">
        <v>2011</v>
      </c>
      <c r="D104" s="3">
        <v>25.8</v>
      </c>
      <c r="E104" s="3">
        <v>4.7</v>
      </c>
      <c r="G104" s="3">
        <f t="shared" si="1"/>
        <v>21.1</v>
      </c>
    </row>
    <row r="105" spans="1:7" x14ac:dyDescent="0.55000000000000004">
      <c r="A105" s="17">
        <v>2012</v>
      </c>
      <c r="D105" s="3">
        <v>25.3</v>
      </c>
      <c r="E105" s="3">
        <v>4.5999999999999996</v>
      </c>
      <c r="G105" s="3">
        <f t="shared" si="1"/>
        <v>20.700000000000003</v>
      </c>
    </row>
    <row r="106" spans="1:7" x14ac:dyDescent="0.55000000000000004">
      <c r="A106" s="17">
        <v>2013</v>
      </c>
      <c r="D106" s="3">
        <v>24.8</v>
      </c>
      <c r="E106" s="3">
        <v>4.5999999999999996</v>
      </c>
      <c r="G106" s="3">
        <f t="shared" si="1"/>
        <v>20.200000000000003</v>
      </c>
    </row>
    <row r="107" spans="1:7" x14ac:dyDescent="0.55000000000000004">
      <c r="A107" s="17">
        <v>2014</v>
      </c>
      <c r="D107" s="3">
        <v>24.4</v>
      </c>
      <c r="E107" s="3">
        <v>4.5</v>
      </c>
      <c r="G107" s="3">
        <f t="shared" si="1"/>
        <v>19.899999999999999</v>
      </c>
    </row>
    <row r="108" spans="1:7" x14ac:dyDescent="0.55000000000000004">
      <c r="A108" s="17">
        <v>2015</v>
      </c>
      <c r="D108" s="3">
        <v>24.1</v>
      </c>
      <c r="E108" s="3">
        <v>4.5</v>
      </c>
      <c r="G108" s="3">
        <f t="shared" ref="G108:G116" si="2">D108-E108</f>
        <v>19.600000000000001</v>
      </c>
    </row>
    <row r="109" spans="1:7" x14ac:dyDescent="0.55000000000000004">
      <c r="A109" s="17">
        <v>2016</v>
      </c>
      <c r="D109" s="3">
        <v>23.8</v>
      </c>
      <c r="E109" s="3">
        <v>4.4000000000000004</v>
      </c>
      <c r="G109" s="3">
        <f t="shared" si="2"/>
        <v>19.399999999999999</v>
      </c>
    </row>
    <row r="110" spans="1:7" x14ac:dyDescent="0.55000000000000004">
      <c r="A110" s="17">
        <v>2017</v>
      </c>
      <c r="D110" s="3">
        <v>23.5</v>
      </c>
      <c r="E110" s="3">
        <v>4.4000000000000004</v>
      </c>
      <c r="G110" s="3">
        <f t="shared" si="2"/>
        <v>19.100000000000001</v>
      </c>
    </row>
    <row r="111" spans="1:7" x14ac:dyDescent="0.55000000000000004">
      <c r="A111" s="17">
        <v>2018</v>
      </c>
      <c r="D111" s="3">
        <v>23.4</v>
      </c>
      <c r="E111" s="3">
        <v>4.5</v>
      </c>
      <c r="G111" s="3">
        <f t="shared" si="2"/>
        <v>18.899999999999999</v>
      </c>
    </row>
    <row r="112" spans="1:7" x14ac:dyDescent="0.55000000000000004">
      <c r="A112" s="17">
        <v>2019</v>
      </c>
      <c r="D112" s="3">
        <v>23.1</v>
      </c>
      <c r="E112" s="3">
        <v>4.5</v>
      </c>
      <c r="G112" s="3">
        <f t="shared" si="2"/>
        <v>18.600000000000001</v>
      </c>
    </row>
    <row r="113" spans="1:7" x14ac:dyDescent="0.55000000000000004">
      <c r="A113" s="17">
        <v>2020</v>
      </c>
      <c r="D113" s="3">
        <v>22.8</v>
      </c>
      <c r="E113" s="3">
        <v>5.0999999999999996</v>
      </c>
      <c r="G113" s="3">
        <f t="shared" si="2"/>
        <v>17.700000000000003</v>
      </c>
    </row>
    <row r="114" spans="1:7" x14ac:dyDescent="0.55000000000000004">
      <c r="A114" s="17">
        <v>2021</v>
      </c>
      <c r="D114" s="3">
        <v>22.5</v>
      </c>
      <c r="E114" s="3">
        <v>5.7</v>
      </c>
      <c r="G114" s="3">
        <f t="shared" si="2"/>
        <v>16.8</v>
      </c>
    </row>
    <row r="115" spans="1:7" x14ac:dyDescent="0.55000000000000004">
      <c r="A115" s="17">
        <v>2022</v>
      </c>
      <c r="D115" s="3">
        <v>22.2</v>
      </c>
      <c r="E115" s="3">
        <v>4.4000000000000004</v>
      </c>
      <c r="G115" s="3">
        <f t="shared" si="2"/>
        <v>17.799999999999997</v>
      </c>
    </row>
    <row r="116" spans="1:7" x14ac:dyDescent="0.55000000000000004">
      <c r="A116" s="17">
        <v>2023</v>
      </c>
      <c r="D116" s="3">
        <v>22</v>
      </c>
      <c r="E116" s="3">
        <v>4.5</v>
      </c>
      <c r="G116" s="3">
        <f t="shared" si="2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AU11" sqref="AU11"/>
    </sheetView>
  </sheetViews>
  <sheetFormatPr defaultRowHeight="14.4" x14ac:dyDescent="0.55000000000000004"/>
  <cols>
    <col min="15" max="15" width="4.68359375" bestFit="1" customWidth="1"/>
    <col min="16" max="16" width="12.68359375" bestFit="1" customWidth="1"/>
    <col min="17" max="17" width="10.734375" bestFit="1" customWidth="1"/>
    <col min="18" max="18" width="5.20703125" bestFit="1" customWidth="1"/>
  </cols>
  <sheetData>
    <row r="1" spans="1:21" x14ac:dyDescent="0.55000000000000004">
      <c r="B1" s="27" t="s">
        <v>90</v>
      </c>
      <c r="C1" s="27"/>
      <c r="D1" s="27"/>
      <c r="E1" s="27"/>
      <c r="I1" s="27" t="s">
        <v>89</v>
      </c>
      <c r="J1" s="27"/>
      <c r="K1" s="27"/>
      <c r="U1" s="3"/>
    </row>
    <row r="2" spans="1:21" x14ac:dyDescent="0.55000000000000004">
      <c r="A2" t="s">
        <v>73</v>
      </c>
      <c r="B2" t="s">
        <v>77</v>
      </c>
      <c r="C2" t="s">
        <v>131</v>
      </c>
      <c r="D2" s="21" t="s">
        <v>132</v>
      </c>
      <c r="E2" t="s">
        <v>133</v>
      </c>
      <c r="G2" t="s">
        <v>134</v>
      </c>
      <c r="I2" t="s">
        <v>76</v>
      </c>
      <c r="J2" s="21" t="s">
        <v>135</v>
      </c>
      <c r="K2" t="s">
        <v>136</v>
      </c>
      <c r="M2" t="s">
        <v>137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>J4+LIFT</f>
        <v>52.322000000000003</v>
      </c>
      <c r="O4">
        <f t="shared" ref="O4:O67" si="1">A4</f>
        <v>1911</v>
      </c>
      <c r="P4" s="21">
        <f t="shared" ref="P4:P67" si="2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3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4">P4-Q4</f>
        <v>20.28</v>
      </c>
      <c r="U4" s="3"/>
    </row>
    <row r="5" spans="1:21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>J5+LIFT</f>
        <v>52.050000000000004</v>
      </c>
      <c r="O5">
        <f t="shared" si="1"/>
        <v>1912</v>
      </c>
      <c r="P5" s="21">
        <f t="shared" si="2"/>
        <v>52.050000000000004</v>
      </c>
      <c r="Q5" s="21">
        <f t="shared" si="3"/>
        <v>32.438000000000002</v>
      </c>
      <c r="R5" s="21">
        <f t="shared" si="4"/>
        <v>19.612000000000002</v>
      </c>
      <c r="U5" s="3"/>
    </row>
    <row r="6" spans="1:21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>J6+LIFT</f>
        <v>51.615000000000002</v>
      </c>
      <c r="O6">
        <f t="shared" si="1"/>
        <v>1913</v>
      </c>
      <c r="P6" s="21">
        <f t="shared" si="2"/>
        <v>51.615000000000002</v>
      </c>
      <c r="Q6" s="21">
        <f t="shared" si="3"/>
        <v>33.078000000000003</v>
      </c>
      <c r="R6" s="21">
        <f t="shared" si="4"/>
        <v>18.536999999999999</v>
      </c>
      <c r="U6" s="3"/>
    </row>
    <row r="7" spans="1:21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>J7+LIFT</f>
        <v>51.04</v>
      </c>
      <c r="O7">
        <f t="shared" si="1"/>
        <v>1914</v>
      </c>
      <c r="P7" s="21">
        <f t="shared" si="2"/>
        <v>51.04</v>
      </c>
      <c r="Q7" s="21">
        <f t="shared" si="3"/>
        <v>33.933</v>
      </c>
      <c r="R7" s="21">
        <f t="shared" si="4"/>
        <v>17.106999999999999</v>
      </c>
      <c r="U7" s="3"/>
    </row>
    <row r="8" spans="1:21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>J8+LIFT</f>
        <v>50.059000000000005</v>
      </c>
      <c r="O8">
        <f t="shared" si="1"/>
        <v>1915</v>
      </c>
      <c r="P8" s="21">
        <f t="shared" si="2"/>
        <v>50.059000000000005</v>
      </c>
      <c r="Q8" s="21">
        <f t="shared" si="3"/>
        <v>35.448999999999998</v>
      </c>
      <c r="R8" s="21">
        <f t="shared" si="4"/>
        <v>14.610000000000007</v>
      </c>
      <c r="U8" s="3"/>
    </row>
    <row r="9" spans="1:21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>J9+LIFT</f>
        <v>49.658000000000001</v>
      </c>
      <c r="O9">
        <f t="shared" si="1"/>
        <v>1916</v>
      </c>
      <c r="P9" s="21">
        <f t="shared" si="2"/>
        <v>49.658000000000001</v>
      </c>
      <c r="Q9" s="21">
        <f t="shared" si="3"/>
        <v>36.044000000000004</v>
      </c>
      <c r="R9" s="21">
        <f t="shared" si="4"/>
        <v>13.613999999999997</v>
      </c>
      <c r="U9" s="3"/>
    </row>
    <row r="10" spans="1:21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>J10+LIFT</f>
        <v>49.561</v>
      </c>
      <c r="O10">
        <f t="shared" si="1"/>
        <v>1917</v>
      </c>
      <c r="P10" s="21">
        <f t="shared" si="2"/>
        <v>49.561</v>
      </c>
      <c r="Q10" s="21">
        <f t="shared" si="3"/>
        <v>36.128</v>
      </c>
      <c r="R10" s="21">
        <f t="shared" si="4"/>
        <v>13.433</v>
      </c>
    </row>
    <row r="11" spans="1:21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>J11+LIFT</f>
        <v>49.798000000000002</v>
      </c>
      <c r="O11">
        <f t="shared" si="1"/>
        <v>1918</v>
      </c>
      <c r="P11" s="21">
        <f t="shared" si="2"/>
        <v>49.798000000000002</v>
      </c>
      <c r="Q11" s="21">
        <f t="shared" si="3"/>
        <v>35.652000000000001</v>
      </c>
      <c r="R11" s="21">
        <f t="shared" si="4"/>
        <v>14.146000000000001</v>
      </c>
    </row>
    <row r="12" spans="1:21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>J12+LIFT</f>
        <v>50.339000000000006</v>
      </c>
      <c r="O12">
        <f t="shared" si="1"/>
        <v>1919</v>
      </c>
      <c r="P12" s="21">
        <f t="shared" si="2"/>
        <v>50.339000000000006</v>
      </c>
      <c r="Q12" s="21">
        <f t="shared" si="3"/>
        <v>34.68</v>
      </c>
      <c r="R12" s="21">
        <f t="shared" si="4"/>
        <v>15.659000000000006</v>
      </c>
    </row>
    <row r="13" spans="1:21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>J13+LIFT</f>
        <v>51.478999999999999</v>
      </c>
      <c r="O13">
        <f t="shared" si="1"/>
        <v>1920</v>
      </c>
      <c r="P13" s="21">
        <f t="shared" si="2"/>
        <v>51.478999999999999</v>
      </c>
      <c r="Q13" s="21">
        <f t="shared" si="3"/>
        <v>32.746000000000002</v>
      </c>
      <c r="R13" s="21">
        <f t="shared" si="4"/>
        <v>18.732999999999997</v>
      </c>
    </row>
    <row r="14" spans="1:21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>J14+LIFT</f>
        <v>52.161000000000001</v>
      </c>
      <c r="O14">
        <f t="shared" si="1"/>
        <v>1921</v>
      </c>
      <c r="P14" s="21">
        <f t="shared" si="2"/>
        <v>52.161000000000001</v>
      </c>
      <c r="Q14" s="21">
        <f t="shared" si="3"/>
        <v>31.674999999999997</v>
      </c>
      <c r="R14" s="21">
        <f t="shared" si="4"/>
        <v>20.486000000000004</v>
      </c>
    </row>
    <row r="15" spans="1:21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>J15+LIFT</f>
        <v>52.669000000000004</v>
      </c>
      <c r="O15">
        <f t="shared" si="1"/>
        <v>1922</v>
      </c>
      <c r="P15" s="21">
        <f t="shared" si="2"/>
        <v>52.669000000000004</v>
      </c>
      <c r="Q15" s="21">
        <f t="shared" si="3"/>
        <v>30.942</v>
      </c>
      <c r="R15" s="21">
        <f t="shared" si="4"/>
        <v>21.727000000000004</v>
      </c>
    </row>
    <row r="16" spans="1:21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>J16+LIFT</f>
        <v>52.968000000000004</v>
      </c>
      <c r="O16">
        <f t="shared" si="1"/>
        <v>1923</v>
      </c>
      <c r="P16" s="21">
        <f t="shared" si="2"/>
        <v>52.968000000000004</v>
      </c>
      <c r="Q16" s="21">
        <f t="shared" si="3"/>
        <v>30.591000000000001</v>
      </c>
      <c r="R16" s="21">
        <f t="shared" si="4"/>
        <v>22.377000000000002</v>
      </c>
    </row>
    <row r="17" spans="1:18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>J17+LIFT</f>
        <v>53.064</v>
      </c>
      <c r="O17">
        <f t="shared" si="1"/>
        <v>1924</v>
      </c>
      <c r="P17" s="21">
        <f t="shared" si="2"/>
        <v>53.064</v>
      </c>
      <c r="Q17" s="21">
        <f t="shared" si="3"/>
        <v>30.584000000000003</v>
      </c>
      <c r="R17" s="21">
        <f t="shared" si="4"/>
        <v>22.479999999999997</v>
      </c>
    </row>
    <row r="18" spans="1:18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>J18+LIFT</f>
        <v>52.893000000000001</v>
      </c>
      <c r="O18">
        <f t="shared" si="1"/>
        <v>1925</v>
      </c>
      <c r="P18" s="21">
        <f t="shared" si="2"/>
        <v>52.893000000000001</v>
      </c>
      <c r="Q18" s="21">
        <f t="shared" si="3"/>
        <v>31.216000000000001</v>
      </c>
      <c r="R18" s="21">
        <f t="shared" si="4"/>
        <v>21.677</v>
      </c>
    </row>
    <row r="19" spans="1:18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>J19+LIFT</f>
        <v>52.688000000000002</v>
      </c>
      <c r="O19">
        <f t="shared" si="1"/>
        <v>1926</v>
      </c>
      <c r="P19" s="21">
        <f t="shared" si="2"/>
        <v>52.688000000000002</v>
      </c>
      <c r="Q19" s="21">
        <f t="shared" si="3"/>
        <v>31.410000000000004</v>
      </c>
      <c r="R19" s="21">
        <f t="shared" si="4"/>
        <v>21.277999999999999</v>
      </c>
    </row>
    <row r="20" spans="1:18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>J20+LIFT</f>
        <v>52.387</v>
      </c>
      <c r="O20">
        <f t="shared" si="1"/>
        <v>1927</v>
      </c>
      <c r="P20" s="21">
        <f t="shared" si="2"/>
        <v>52.387</v>
      </c>
      <c r="Q20" s="21">
        <f t="shared" si="3"/>
        <v>31.457000000000001</v>
      </c>
      <c r="R20" s="21">
        <f t="shared" si="4"/>
        <v>20.93</v>
      </c>
    </row>
    <row r="21" spans="1:18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>J21+LIFT</f>
        <v>51.997</v>
      </c>
      <c r="O21">
        <f t="shared" si="1"/>
        <v>1928</v>
      </c>
      <c r="P21" s="21">
        <f t="shared" si="2"/>
        <v>51.997</v>
      </c>
      <c r="Q21" s="21">
        <f t="shared" si="3"/>
        <v>31.323999999999998</v>
      </c>
      <c r="R21" s="21">
        <f t="shared" si="4"/>
        <v>20.673000000000002</v>
      </c>
    </row>
    <row r="22" spans="1:18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>J22+LIFT</f>
        <v>51.530999999999999</v>
      </c>
      <c r="O22">
        <f t="shared" si="1"/>
        <v>1929</v>
      </c>
      <c r="P22" s="21">
        <f t="shared" si="2"/>
        <v>51.530999999999999</v>
      </c>
      <c r="Q22" s="21">
        <f t="shared" si="3"/>
        <v>31.027999999999999</v>
      </c>
      <c r="R22" s="21">
        <f t="shared" si="4"/>
        <v>20.503</v>
      </c>
    </row>
    <row r="23" spans="1:18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>J23+LIFT</f>
        <v>50.885000000000005</v>
      </c>
      <c r="O23">
        <f t="shared" si="1"/>
        <v>1930</v>
      </c>
      <c r="P23" s="21">
        <f t="shared" si="2"/>
        <v>50.885000000000005</v>
      </c>
      <c r="Q23" s="21">
        <f t="shared" si="3"/>
        <v>30.423999999999999</v>
      </c>
      <c r="R23" s="21">
        <f t="shared" si="4"/>
        <v>20.461000000000006</v>
      </c>
    </row>
    <row r="24" spans="1:18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>J24+LIFT</f>
        <v>50.441000000000003</v>
      </c>
      <c r="O24">
        <f t="shared" si="1"/>
        <v>1931</v>
      </c>
      <c r="P24" s="21">
        <f t="shared" si="2"/>
        <v>50.441000000000003</v>
      </c>
      <c r="Q24" s="21">
        <f t="shared" si="3"/>
        <v>30.061999999999998</v>
      </c>
      <c r="R24" s="21">
        <f t="shared" si="4"/>
        <v>20.379000000000005</v>
      </c>
    </row>
    <row r="25" spans="1:18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>J25+LIFT</f>
        <v>50.093000000000004</v>
      </c>
      <c r="O25">
        <f t="shared" si="1"/>
        <v>1932</v>
      </c>
      <c r="P25" s="21">
        <f t="shared" si="2"/>
        <v>50.093000000000004</v>
      </c>
      <c r="Q25" s="21">
        <f t="shared" si="3"/>
        <v>29.791000000000004</v>
      </c>
      <c r="R25" s="21">
        <f t="shared" si="4"/>
        <v>20.302</v>
      </c>
    </row>
    <row r="26" spans="1:18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>J26+LIFT</f>
        <v>49.85</v>
      </c>
      <c r="O26">
        <f t="shared" si="1"/>
        <v>1933</v>
      </c>
      <c r="P26" s="21">
        <f t="shared" si="2"/>
        <v>49.85</v>
      </c>
      <c r="Q26" s="21">
        <f t="shared" si="3"/>
        <v>29.625</v>
      </c>
      <c r="R26" s="21">
        <f t="shared" si="4"/>
        <v>20.225000000000001</v>
      </c>
    </row>
    <row r="27" spans="1:18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>J27+LIFT</f>
        <v>49.715000000000003</v>
      </c>
      <c r="O27">
        <f t="shared" si="1"/>
        <v>1934</v>
      </c>
      <c r="P27" s="21">
        <f t="shared" si="2"/>
        <v>49.715000000000003</v>
      </c>
      <c r="Q27" s="21">
        <f t="shared" si="3"/>
        <v>29.566000000000003</v>
      </c>
      <c r="R27" s="21">
        <f t="shared" si="4"/>
        <v>20.149000000000001</v>
      </c>
    </row>
    <row r="28" spans="1:18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>J28+LIFT</f>
        <v>49.681000000000004</v>
      </c>
      <c r="O28">
        <f t="shared" si="1"/>
        <v>1935</v>
      </c>
      <c r="P28" s="21">
        <f t="shared" si="2"/>
        <v>49.681000000000004</v>
      </c>
      <c r="Q28" s="21">
        <f t="shared" si="3"/>
        <v>29.591999999999999</v>
      </c>
      <c r="R28" s="21">
        <f t="shared" si="4"/>
        <v>20.089000000000006</v>
      </c>
    </row>
    <row r="29" spans="1:18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>J29+LIFT</f>
        <v>49.765000000000001</v>
      </c>
      <c r="O29">
        <f t="shared" si="1"/>
        <v>1936</v>
      </c>
      <c r="P29" s="21">
        <f t="shared" si="2"/>
        <v>49.765000000000001</v>
      </c>
      <c r="Q29" s="21">
        <f t="shared" si="3"/>
        <v>29.785000000000004</v>
      </c>
      <c r="R29" s="21">
        <f t="shared" si="4"/>
        <v>19.979999999999997</v>
      </c>
    </row>
    <row r="30" spans="1:18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>J30+LIFT</f>
        <v>49.963000000000001</v>
      </c>
      <c r="O30">
        <f t="shared" si="1"/>
        <v>1937</v>
      </c>
      <c r="P30" s="21">
        <f t="shared" si="2"/>
        <v>49.963000000000001</v>
      </c>
      <c r="Q30" s="21">
        <f t="shared" si="3"/>
        <v>30.125</v>
      </c>
      <c r="R30" s="21">
        <f t="shared" si="4"/>
        <v>19.838000000000001</v>
      </c>
    </row>
    <row r="31" spans="1:18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>J31+LIFT</f>
        <v>50.276000000000003</v>
      </c>
      <c r="O31">
        <f t="shared" si="1"/>
        <v>1938</v>
      </c>
      <c r="P31" s="21">
        <f t="shared" si="2"/>
        <v>50.276000000000003</v>
      </c>
      <c r="Q31" s="21">
        <f t="shared" si="3"/>
        <v>30.616</v>
      </c>
      <c r="R31" s="21">
        <f t="shared" si="4"/>
        <v>19.660000000000004</v>
      </c>
    </row>
    <row r="32" spans="1:18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>J32+LIFT</f>
        <v>50.691000000000003</v>
      </c>
      <c r="O32">
        <f t="shared" si="1"/>
        <v>1939</v>
      </c>
      <c r="P32" s="21">
        <f t="shared" si="2"/>
        <v>50.691000000000003</v>
      </c>
      <c r="Q32" s="21">
        <f t="shared" si="3"/>
        <v>31.225999999999999</v>
      </c>
      <c r="R32" s="21">
        <f t="shared" si="4"/>
        <v>19.465000000000003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>J33+LIFT</f>
        <v>51.329000000000001</v>
      </c>
      <c r="O33">
        <f t="shared" si="1"/>
        <v>1940</v>
      </c>
      <c r="P33" s="21">
        <f t="shared" si="2"/>
        <v>51.329000000000001</v>
      </c>
      <c r="Q33" s="21">
        <f t="shared" si="3"/>
        <v>32.279000000000003</v>
      </c>
      <c r="R33" s="21">
        <f t="shared" si="4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>J34+LIFT</f>
        <v>51.753</v>
      </c>
      <c r="O34">
        <f t="shared" si="1"/>
        <v>1941</v>
      </c>
      <c r="P34" s="21">
        <f t="shared" si="2"/>
        <v>51.753</v>
      </c>
      <c r="Q34" s="21">
        <f t="shared" si="3"/>
        <v>32.612000000000002</v>
      </c>
      <c r="R34" s="21">
        <f t="shared" si="4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>J35+LIFT</f>
        <v>52.080000000000005</v>
      </c>
      <c r="O35">
        <f t="shared" si="1"/>
        <v>1942</v>
      </c>
      <c r="P35" s="21">
        <f t="shared" si="2"/>
        <v>52.080000000000005</v>
      </c>
      <c r="Q35" s="21">
        <f t="shared" si="3"/>
        <v>32.53</v>
      </c>
      <c r="R35" s="21">
        <f t="shared" si="4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>J36+LIFT</f>
        <v>52.295999999999999</v>
      </c>
      <c r="O36">
        <f t="shared" si="1"/>
        <v>1943</v>
      </c>
      <c r="P36" s="21">
        <f t="shared" si="2"/>
        <v>52.295999999999999</v>
      </c>
      <c r="Q36" s="21">
        <f t="shared" si="3"/>
        <v>32.000999999999998</v>
      </c>
      <c r="R36" s="21">
        <f t="shared" si="4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>J37+LIFT</f>
        <v>52.411999999999999</v>
      </c>
      <c r="O37">
        <f t="shared" si="1"/>
        <v>1944</v>
      </c>
      <c r="P37" s="21">
        <f t="shared" si="2"/>
        <v>52.411999999999999</v>
      </c>
      <c r="Q37" s="21">
        <f t="shared" si="3"/>
        <v>31.064</v>
      </c>
      <c r="R37" s="21">
        <f t="shared" si="4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>J38+LIFT</f>
        <v>52.322000000000003</v>
      </c>
      <c r="O38">
        <f t="shared" si="1"/>
        <v>1945</v>
      </c>
      <c r="P38" s="21">
        <f t="shared" si="2"/>
        <v>52.322000000000003</v>
      </c>
      <c r="Q38" s="21">
        <f t="shared" si="3"/>
        <v>29.456000000000003</v>
      </c>
      <c r="R38" s="21">
        <f t="shared" si="4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>J39+LIFT</f>
        <v>52.416000000000004</v>
      </c>
      <c r="O39">
        <f t="shared" si="1"/>
        <v>1946</v>
      </c>
      <c r="P39" s="21">
        <f t="shared" si="2"/>
        <v>52.380726720000006</v>
      </c>
      <c r="Q39" s="21">
        <f t="shared" si="3"/>
        <v>28.279273279999998</v>
      </c>
      <c r="R39" s="21">
        <f t="shared" si="4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>J40+LIFT</f>
        <v>52.588000000000001</v>
      </c>
      <c r="O40">
        <f t="shared" si="1"/>
        <v>1947</v>
      </c>
      <c r="P40" s="21">
        <f t="shared" si="2"/>
        <v>52.39467904</v>
      </c>
      <c r="Q40" s="21">
        <f t="shared" si="3"/>
        <v>27.319320959999999</v>
      </c>
      <c r="R40" s="21">
        <f t="shared" si="4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>J41+LIFT</f>
        <v>52.850999999999999</v>
      </c>
      <c r="O41">
        <f t="shared" si="1"/>
        <v>1948</v>
      </c>
      <c r="P41" s="21">
        <f t="shared" si="2"/>
        <v>52.435320959999999</v>
      </c>
      <c r="Q41" s="21">
        <f t="shared" si="3"/>
        <v>26.542679040000003</v>
      </c>
      <c r="R41" s="21">
        <f t="shared" si="4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>J42+LIFT</f>
        <v>53.192</v>
      </c>
      <c r="O42">
        <f t="shared" si="1"/>
        <v>1949</v>
      </c>
      <c r="P42" s="21">
        <f t="shared" si="2"/>
        <v>52.618273279999997</v>
      </c>
      <c r="Q42" s="21">
        <f t="shared" si="3"/>
        <v>25.812726719999997</v>
      </c>
      <c r="R42" s="21">
        <f t="shared" si="4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>J43+LIFT</f>
        <v>53.718000000000004</v>
      </c>
      <c r="O43">
        <f t="shared" si="1"/>
        <v>1950</v>
      </c>
      <c r="P43" s="21">
        <f t="shared" si="2"/>
        <v>53.109000000000002</v>
      </c>
      <c r="Q43" s="21">
        <f t="shared" si="3"/>
        <v>25.091000000000001</v>
      </c>
      <c r="R43" s="21">
        <f t="shared" si="4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>J44+LIFT</f>
        <v>54.045000000000002</v>
      </c>
      <c r="O44">
        <f t="shared" si="1"/>
        <v>1951</v>
      </c>
      <c r="P44" s="21">
        <f t="shared" si="2"/>
        <v>53.003786959999999</v>
      </c>
      <c r="Q44" s="21">
        <f t="shared" si="3"/>
        <v>24.496213040000004</v>
      </c>
      <c r="R44" s="21">
        <f t="shared" si="4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>J45+LIFT</f>
        <v>54.278000000000006</v>
      </c>
      <c r="O45">
        <f t="shared" si="1"/>
        <v>1952</v>
      </c>
      <c r="P45" s="21">
        <f t="shared" si="2"/>
        <v>52.873726720000001</v>
      </c>
      <c r="Q45" s="21">
        <f t="shared" si="3"/>
        <v>24.026273280000002</v>
      </c>
      <c r="R45" s="21">
        <f t="shared" si="4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>J46+LIFT</f>
        <v>54.402000000000001</v>
      </c>
      <c r="O46">
        <f t="shared" si="1"/>
        <v>1953</v>
      </c>
      <c r="P46" s="21">
        <f t="shared" si="2"/>
        <v>52.609684280000003</v>
      </c>
      <c r="Q46" s="21">
        <f t="shared" si="3"/>
        <v>23.490315720000002</v>
      </c>
      <c r="R46" s="21">
        <f t="shared" si="4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>J47+LIFT</f>
        <v>54.427</v>
      </c>
      <c r="O47">
        <f t="shared" si="1"/>
        <v>1954</v>
      </c>
      <c r="P47" s="21">
        <f t="shared" si="2"/>
        <v>52.315679039999999</v>
      </c>
      <c r="Q47" s="21">
        <f t="shared" si="3"/>
        <v>22.984320959999998</v>
      </c>
      <c r="R47" s="21">
        <f t="shared" si="4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>J48+LIFT</f>
        <v>54.283999999999999</v>
      </c>
      <c r="O48">
        <f t="shared" si="1"/>
        <v>1955</v>
      </c>
      <c r="P48" s="21">
        <f t="shared" si="2"/>
        <v>51.904499999999999</v>
      </c>
      <c r="Q48" s="21">
        <f t="shared" si="3"/>
        <v>22.395499999999998</v>
      </c>
      <c r="R48" s="21">
        <f t="shared" si="4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>J49+LIFT</f>
        <v>54.221000000000004</v>
      </c>
      <c r="O49">
        <f t="shared" si="1"/>
        <v>1956</v>
      </c>
      <c r="P49" s="21">
        <f t="shared" si="2"/>
        <v>51.393320960000004</v>
      </c>
      <c r="Q49" s="21">
        <f t="shared" si="3"/>
        <v>21.806679040000002</v>
      </c>
      <c r="R49" s="21">
        <f t="shared" si="4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>J50+LIFT</f>
        <v>54.170999999999999</v>
      </c>
      <c r="O50">
        <f t="shared" si="1"/>
        <v>1957</v>
      </c>
      <c r="P50" s="21">
        <f t="shared" si="2"/>
        <v>50.899315719999997</v>
      </c>
      <c r="Q50" s="21">
        <f t="shared" si="3"/>
        <v>21.200684280000001</v>
      </c>
      <c r="R50" s="21">
        <f t="shared" si="4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>J51+LIFT</f>
        <v>54.139000000000003</v>
      </c>
      <c r="O51">
        <f t="shared" si="1"/>
        <v>1958</v>
      </c>
      <c r="P51" s="21">
        <f t="shared" si="2"/>
        <v>50.435273279999997</v>
      </c>
      <c r="Q51" s="21">
        <f t="shared" si="3"/>
        <v>20.564726719999999</v>
      </c>
      <c r="R51" s="21">
        <f t="shared" si="4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>J52+LIFT</f>
        <v>54.123000000000005</v>
      </c>
      <c r="O52">
        <f t="shared" si="1"/>
        <v>1959</v>
      </c>
      <c r="P52" s="21">
        <f t="shared" si="2"/>
        <v>49.90521304</v>
      </c>
      <c r="Q52" s="21">
        <f t="shared" si="3"/>
        <v>19.79478696</v>
      </c>
      <c r="R52" s="21">
        <f t="shared" si="4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1"/>
        <v>1960</v>
      </c>
      <c r="P53" s="21">
        <f t="shared" si="2"/>
        <v>49.4</v>
      </c>
      <c r="Q53" s="21">
        <f t="shared" si="3"/>
        <v>19.100000000000001</v>
      </c>
      <c r="R53" s="21">
        <f t="shared" si="4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1"/>
        <v>1961</v>
      </c>
      <c r="P54" s="21">
        <f t="shared" si="2"/>
        <v>49</v>
      </c>
      <c r="Q54" s="21">
        <f t="shared" si="3"/>
        <v>18.5</v>
      </c>
      <c r="R54" s="21">
        <f t="shared" si="4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1"/>
        <v>1962</v>
      </c>
      <c r="P55" s="21">
        <f t="shared" si="2"/>
        <v>48.6</v>
      </c>
      <c r="Q55" s="21">
        <f t="shared" si="3"/>
        <v>17.7</v>
      </c>
      <c r="R55" s="21">
        <f t="shared" si="4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1"/>
        <v>1963</v>
      </c>
      <c r="P56" s="21">
        <f t="shared" si="2"/>
        <v>48.2</v>
      </c>
      <c r="Q56" s="21">
        <f t="shared" si="3"/>
        <v>17.100000000000001</v>
      </c>
      <c r="R56" s="21">
        <f t="shared" si="4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1"/>
        <v>1964</v>
      </c>
      <c r="P57" s="21">
        <f t="shared" si="2"/>
        <v>47.9</v>
      </c>
      <c r="Q57" s="21">
        <f t="shared" si="3"/>
        <v>16.399999999999999</v>
      </c>
      <c r="R57" s="21">
        <f t="shared" si="4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1"/>
        <v>1965</v>
      </c>
      <c r="P58" s="21">
        <f t="shared" si="2"/>
        <v>47.7</v>
      </c>
      <c r="Q58" s="21">
        <f t="shared" si="3"/>
        <v>15.9</v>
      </c>
      <c r="R58" s="21">
        <f t="shared" si="4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1"/>
        <v>1966</v>
      </c>
      <c r="P59" s="21">
        <f t="shared" si="2"/>
        <v>47.3</v>
      </c>
      <c r="Q59" s="21">
        <f t="shared" si="3"/>
        <v>15.3</v>
      </c>
      <c r="R59" s="21">
        <f t="shared" si="4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1"/>
        <v>1967</v>
      </c>
      <c r="P60" s="21">
        <f t="shared" si="2"/>
        <v>46.9</v>
      </c>
      <c r="Q60" s="21">
        <f t="shared" si="3"/>
        <v>14.7</v>
      </c>
      <c r="R60" s="21">
        <f t="shared" si="4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1"/>
        <v>1968</v>
      </c>
      <c r="P61" s="21">
        <f t="shared" si="2"/>
        <v>46.6</v>
      </c>
      <c r="Q61" s="21">
        <f t="shared" si="3"/>
        <v>14.2</v>
      </c>
      <c r="R61" s="21">
        <f t="shared" si="4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1"/>
        <v>1969</v>
      </c>
      <c r="P62" s="21">
        <f t="shared" si="2"/>
        <v>46.4</v>
      </c>
      <c r="Q62" s="21">
        <f t="shared" si="3"/>
        <v>13.7</v>
      </c>
      <c r="R62" s="21">
        <f t="shared" si="4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1"/>
        <v>1970</v>
      </c>
      <c r="P63" s="21">
        <f t="shared" si="2"/>
        <v>46.3</v>
      </c>
      <c r="Q63" s="21">
        <f t="shared" si="3"/>
        <v>13.2</v>
      </c>
      <c r="R63" s="21">
        <f t="shared" si="4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1"/>
        <v>1971</v>
      </c>
      <c r="P64" s="21">
        <f t="shared" si="2"/>
        <v>46.2</v>
      </c>
      <c r="Q64" s="21">
        <f t="shared" si="3"/>
        <v>12.8</v>
      </c>
      <c r="R64" s="21">
        <f t="shared" si="4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1"/>
        <v>1972</v>
      </c>
      <c r="P65" s="21">
        <f t="shared" si="2"/>
        <v>46.1</v>
      </c>
      <c r="Q65" s="21">
        <f t="shared" si="3"/>
        <v>12.4</v>
      </c>
      <c r="R65" s="21">
        <f t="shared" si="4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1"/>
        <v>1973</v>
      </c>
      <c r="P66" s="21">
        <f t="shared" si="2"/>
        <v>45.9</v>
      </c>
      <c r="Q66" s="21">
        <f t="shared" si="3"/>
        <v>12.9</v>
      </c>
      <c r="R66" s="21">
        <f t="shared" si="4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1"/>
        <v>1974</v>
      </c>
      <c r="P67" s="21">
        <f t="shared" si="2"/>
        <v>45.8</v>
      </c>
      <c r="Q67" s="21">
        <f t="shared" si="3"/>
        <v>14.2</v>
      </c>
      <c r="R67" s="21">
        <f t="shared" si="4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5">A68</f>
        <v>1975</v>
      </c>
      <c r="P68" s="21">
        <f t="shared" ref="P68:P116" si="6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7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8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5"/>
        <v>1976</v>
      </c>
      <c r="P69" s="21">
        <f t="shared" si="6"/>
        <v>46</v>
      </c>
      <c r="Q69" s="21">
        <f t="shared" si="7"/>
        <v>10.9</v>
      </c>
      <c r="R69" s="21">
        <f t="shared" si="8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5"/>
        <v>1977</v>
      </c>
      <c r="P70" s="21">
        <f t="shared" si="6"/>
        <v>45.7</v>
      </c>
      <c r="Q70" s="21">
        <f t="shared" si="7"/>
        <v>10.6</v>
      </c>
      <c r="R70" s="21">
        <f t="shared" si="8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5"/>
        <v>1978</v>
      </c>
      <c r="P71" s="21">
        <f t="shared" si="6"/>
        <v>45.3</v>
      </c>
      <c r="Q71" s="21">
        <f t="shared" si="7"/>
        <v>10.3</v>
      </c>
      <c r="R71" s="21">
        <f t="shared" si="8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5"/>
        <v>1979</v>
      </c>
      <c r="P72" s="21">
        <f t="shared" si="6"/>
        <v>44.9</v>
      </c>
      <c r="Q72" s="21">
        <f t="shared" si="7"/>
        <v>10</v>
      </c>
      <c r="R72" s="21">
        <f t="shared" si="8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5"/>
        <v>1980</v>
      </c>
      <c r="P73" s="21">
        <f t="shared" si="6"/>
        <v>44.3</v>
      </c>
      <c r="Q73" s="21">
        <f t="shared" si="7"/>
        <v>9.6999999999999993</v>
      </c>
      <c r="R73" s="21">
        <f t="shared" si="8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5"/>
        <v>1981</v>
      </c>
      <c r="P74" s="21">
        <f t="shared" si="6"/>
        <v>43.7</v>
      </c>
      <c r="Q74" s="21">
        <f t="shared" si="7"/>
        <v>9.4</v>
      </c>
      <c r="R74" s="21">
        <f t="shared" si="8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5"/>
        <v>1982</v>
      </c>
      <c r="P75" s="21">
        <f t="shared" si="6"/>
        <v>43.1</v>
      </c>
      <c r="Q75" s="21">
        <f t="shared" si="7"/>
        <v>9.1</v>
      </c>
      <c r="R75" s="21">
        <f t="shared" si="8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5"/>
        <v>1983</v>
      </c>
      <c r="P76" s="21">
        <f t="shared" si="6"/>
        <v>42.4</v>
      </c>
      <c r="Q76" s="21">
        <f t="shared" si="7"/>
        <v>8.6999999999999993</v>
      </c>
      <c r="R76" s="21">
        <f t="shared" si="8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5"/>
        <v>1984</v>
      </c>
      <c r="P77" s="21">
        <f t="shared" si="6"/>
        <v>41.8</v>
      </c>
      <c r="Q77" s="21">
        <f t="shared" si="7"/>
        <v>8.5</v>
      </c>
      <c r="R77" s="21">
        <f t="shared" si="8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5"/>
        <v>1985</v>
      </c>
      <c r="P78" s="21">
        <f t="shared" si="6"/>
        <v>41.1</v>
      </c>
      <c r="Q78" s="21">
        <f t="shared" si="7"/>
        <v>8.1999999999999993</v>
      </c>
      <c r="R78" s="21">
        <f t="shared" si="8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5"/>
        <v>1986</v>
      </c>
      <c r="P79" s="21">
        <f t="shared" si="6"/>
        <v>40.5</v>
      </c>
      <c r="Q79" s="21">
        <f t="shared" si="7"/>
        <v>8</v>
      </c>
      <c r="R79" s="21">
        <f t="shared" si="8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5"/>
        <v>1987</v>
      </c>
      <c r="P80" s="21">
        <f t="shared" si="6"/>
        <v>39.9</v>
      </c>
      <c r="Q80" s="21">
        <f t="shared" si="7"/>
        <v>7.8</v>
      </c>
      <c r="R80" s="21">
        <f t="shared" si="8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5"/>
        <v>1988</v>
      </c>
      <c r="P81" s="21">
        <f t="shared" si="6"/>
        <v>39.299999999999997</v>
      </c>
      <c r="Q81" s="21">
        <f t="shared" si="7"/>
        <v>7.6</v>
      </c>
      <c r="R81" s="21">
        <f t="shared" si="8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5"/>
        <v>1989</v>
      </c>
      <c r="P82" s="21">
        <f t="shared" si="6"/>
        <v>38.799999999999997</v>
      </c>
      <c r="Q82" s="21">
        <f t="shared" si="7"/>
        <v>7.3</v>
      </c>
      <c r="R82" s="21">
        <f t="shared" si="8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5"/>
        <v>1990</v>
      </c>
      <c r="P83" s="21">
        <f t="shared" si="6"/>
        <v>38.5</v>
      </c>
      <c r="Q83" s="21">
        <f t="shared" si="7"/>
        <v>7</v>
      </c>
      <c r="R83" s="21">
        <f t="shared" si="8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5"/>
        <v>1991</v>
      </c>
      <c r="P84" s="21">
        <f t="shared" si="6"/>
        <v>38.200000000000003</v>
      </c>
      <c r="Q84" s="21">
        <f t="shared" si="7"/>
        <v>6.8</v>
      </c>
      <c r="R84" s="21">
        <f t="shared" si="8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5"/>
        <v>1992</v>
      </c>
      <c r="P85" s="21">
        <f t="shared" si="6"/>
        <v>37.9</v>
      </c>
      <c r="Q85" s="21">
        <f t="shared" si="7"/>
        <v>6.6</v>
      </c>
      <c r="R85" s="21">
        <f t="shared" si="8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5"/>
        <v>1993</v>
      </c>
      <c r="P86" s="21">
        <f t="shared" si="6"/>
        <v>37.700000000000003</v>
      </c>
      <c r="Q86" s="21">
        <f t="shared" si="7"/>
        <v>6.4</v>
      </c>
      <c r="R86" s="21">
        <f t="shared" si="8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5"/>
        <v>1994</v>
      </c>
      <c r="P87" s="21">
        <f t="shared" si="6"/>
        <v>37.299999999999997</v>
      </c>
      <c r="Q87" s="21">
        <f t="shared" si="7"/>
        <v>6.2</v>
      </c>
      <c r="R87" s="21">
        <f t="shared" si="8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5"/>
        <v>1995</v>
      </c>
      <c r="P88" s="21">
        <f t="shared" si="6"/>
        <v>36.9</v>
      </c>
      <c r="Q88" s="21">
        <f t="shared" si="7"/>
        <v>6</v>
      </c>
      <c r="R88" s="21">
        <f t="shared" si="8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5"/>
        <v>1996</v>
      </c>
      <c r="P89" s="21">
        <f t="shared" si="6"/>
        <v>36.299999999999997</v>
      </c>
      <c r="Q89" s="21">
        <f t="shared" si="7"/>
        <v>5.8</v>
      </c>
      <c r="R89" s="21">
        <f t="shared" si="8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5"/>
        <v>1997</v>
      </c>
      <c r="P90" s="21">
        <f t="shared" si="6"/>
        <v>35.700000000000003</v>
      </c>
      <c r="Q90" s="21">
        <f t="shared" si="7"/>
        <v>5.6</v>
      </c>
      <c r="R90" s="21">
        <f t="shared" si="8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5"/>
        <v>1998</v>
      </c>
      <c r="P91" s="21">
        <f t="shared" si="6"/>
        <v>35.1</v>
      </c>
      <c r="Q91" s="21">
        <f t="shared" si="7"/>
        <v>7.9</v>
      </c>
      <c r="R91" s="21">
        <f t="shared" si="8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5"/>
        <v>1999</v>
      </c>
      <c r="P92" s="21">
        <f t="shared" si="6"/>
        <v>34.6</v>
      </c>
      <c r="Q92" s="21">
        <f t="shared" si="7"/>
        <v>5.4</v>
      </c>
      <c r="R92" s="21">
        <f t="shared" si="8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5"/>
        <v>2000</v>
      </c>
      <c r="P93" s="21">
        <f t="shared" si="6"/>
        <v>34.200000000000003</v>
      </c>
      <c r="Q93" s="21">
        <f t="shared" si="7"/>
        <v>5.2</v>
      </c>
      <c r="R93" s="21">
        <f t="shared" si="8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5"/>
        <v>2001</v>
      </c>
      <c r="P94" s="21">
        <f t="shared" si="6"/>
        <v>33.4</v>
      </c>
      <c r="Q94" s="21">
        <f t="shared" si="7"/>
        <v>5.0999999999999996</v>
      </c>
      <c r="R94" s="21">
        <f t="shared" si="8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5"/>
        <v>2002</v>
      </c>
      <c r="P95" s="21">
        <f t="shared" si="6"/>
        <v>32.4</v>
      </c>
      <c r="Q95" s="21">
        <f t="shared" si="7"/>
        <v>5</v>
      </c>
      <c r="R95" s="21">
        <f t="shared" si="8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5"/>
        <v>2003</v>
      </c>
      <c r="P96" s="21">
        <f t="shared" si="6"/>
        <v>31.4</v>
      </c>
      <c r="Q96" s="21">
        <f t="shared" si="7"/>
        <v>5</v>
      </c>
      <c r="R96" s="21">
        <f t="shared" si="8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5"/>
        <v>2004</v>
      </c>
      <c r="P97" s="21">
        <f t="shared" si="6"/>
        <v>30.5</v>
      </c>
      <c r="Q97" s="21">
        <f t="shared" si="7"/>
        <v>4.9000000000000004</v>
      </c>
      <c r="R97" s="21">
        <f t="shared" si="8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5"/>
        <v>2005</v>
      </c>
      <c r="P98" s="21">
        <f t="shared" si="6"/>
        <v>29.6</v>
      </c>
      <c r="Q98" s="21">
        <f t="shared" si="7"/>
        <v>4.8</v>
      </c>
      <c r="R98" s="21">
        <f t="shared" si="8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5"/>
        <v>2006</v>
      </c>
      <c r="P99" s="21">
        <f t="shared" si="6"/>
        <v>28.7</v>
      </c>
      <c r="Q99" s="21">
        <f t="shared" si="7"/>
        <v>4.8</v>
      </c>
      <c r="R99" s="21">
        <f t="shared" si="8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5"/>
        <v>2007</v>
      </c>
      <c r="P100" s="21">
        <f t="shared" si="6"/>
        <v>28.1</v>
      </c>
      <c r="Q100" s="21">
        <f t="shared" si="7"/>
        <v>4.8</v>
      </c>
      <c r="R100" s="21">
        <f t="shared" si="8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5"/>
        <v>2008</v>
      </c>
      <c r="P101" s="21">
        <f t="shared" si="6"/>
        <v>27.5</v>
      </c>
      <c r="Q101" s="21">
        <f t="shared" si="7"/>
        <v>4.7</v>
      </c>
      <c r="R101" s="21">
        <f t="shared" si="8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5"/>
        <v>2009</v>
      </c>
      <c r="P102" s="21">
        <f t="shared" si="6"/>
        <v>27</v>
      </c>
      <c r="Q102" s="21">
        <f t="shared" si="7"/>
        <v>4.7</v>
      </c>
      <c r="R102" s="21">
        <f t="shared" si="8"/>
        <v>22.3</v>
      </c>
    </row>
    <row r="103" spans="1:18" x14ac:dyDescent="0.55000000000000004">
      <c r="A103" s="17">
        <f t="shared" ref="A103:A116" si="9">A102+1</f>
        <v>2010</v>
      </c>
      <c r="B103" s="3">
        <v>4.8</v>
      </c>
      <c r="I103" s="3">
        <v>26.3</v>
      </c>
      <c r="O103">
        <f t="shared" si="5"/>
        <v>2010</v>
      </c>
      <c r="P103" s="21">
        <f t="shared" si="6"/>
        <v>26.3</v>
      </c>
      <c r="Q103" s="21">
        <f t="shared" si="7"/>
        <v>4.8</v>
      </c>
      <c r="R103" s="21">
        <f t="shared" si="8"/>
        <v>21.5</v>
      </c>
    </row>
    <row r="104" spans="1:18" x14ac:dyDescent="0.55000000000000004">
      <c r="A104" s="17">
        <f t="shared" si="9"/>
        <v>2011</v>
      </c>
      <c r="B104" s="3">
        <v>4.7</v>
      </c>
      <c r="I104" s="3">
        <v>25.8</v>
      </c>
      <c r="O104">
        <f t="shared" si="5"/>
        <v>2011</v>
      </c>
      <c r="P104" s="21">
        <f t="shared" si="6"/>
        <v>25.8</v>
      </c>
      <c r="Q104" s="21">
        <f t="shared" si="7"/>
        <v>4.7</v>
      </c>
      <c r="R104" s="21">
        <f t="shared" si="8"/>
        <v>21.1</v>
      </c>
    </row>
    <row r="105" spans="1:18" x14ac:dyDescent="0.55000000000000004">
      <c r="A105" s="17">
        <f t="shared" si="9"/>
        <v>2012</v>
      </c>
      <c r="B105" s="3">
        <v>4.5999999999999996</v>
      </c>
      <c r="I105" s="3">
        <v>25.3</v>
      </c>
      <c r="O105">
        <f t="shared" si="5"/>
        <v>2012</v>
      </c>
      <c r="P105" s="21">
        <f t="shared" si="6"/>
        <v>25.3</v>
      </c>
      <c r="Q105" s="21">
        <f t="shared" si="7"/>
        <v>4.5999999999999996</v>
      </c>
      <c r="R105" s="21">
        <f t="shared" si="8"/>
        <v>20.700000000000003</v>
      </c>
    </row>
    <row r="106" spans="1:18" x14ac:dyDescent="0.55000000000000004">
      <c r="A106" s="17">
        <f t="shared" si="9"/>
        <v>2013</v>
      </c>
      <c r="B106" s="3">
        <v>4.5999999999999996</v>
      </c>
      <c r="I106" s="3">
        <v>24.8</v>
      </c>
      <c r="O106">
        <f t="shared" si="5"/>
        <v>2013</v>
      </c>
      <c r="P106" s="21">
        <f t="shared" si="6"/>
        <v>24.8</v>
      </c>
      <c r="Q106" s="21">
        <f t="shared" si="7"/>
        <v>4.5999999999999996</v>
      </c>
      <c r="R106" s="21">
        <f t="shared" si="8"/>
        <v>20.200000000000003</v>
      </c>
    </row>
    <row r="107" spans="1:18" x14ac:dyDescent="0.55000000000000004">
      <c r="A107" s="17">
        <f t="shared" si="9"/>
        <v>2014</v>
      </c>
      <c r="B107" s="3">
        <v>4.5</v>
      </c>
      <c r="I107" s="3">
        <v>24.4</v>
      </c>
      <c r="O107">
        <f t="shared" si="5"/>
        <v>2014</v>
      </c>
      <c r="P107" s="21">
        <f t="shared" si="6"/>
        <v>24.4</v>
      </c>
      <c r="Q107" s="21">
        <f t="shared" si="7"/>
        <v>4.5</v>
      </c>
      <c r="R107" s="21">
        <f t="shared" si="8"/>
        <v>19.899999999999999</v>
      </c>
    </row>
    <row r="108" spans="1:18" x14ac:dyDescent="0.55000000000000004">
      <c r="A108" s="17">
        <f t="shared" si="9"/>
        <v>2015</v>
      </c>
      <c r="B108" s="3">
        <v>4.5</v>
      </c>
      <c r="I108" s="3">
        <v>24.1</v>
      </c>
      <c r="O108">
        <f t="shared" si="5"/>
        <v>2015</v>
      </c>
      <c r="P108" s="21">
        <f t="shared" si="6"/>
        <v>24.1</v>
      </c>
      <c r="Q108" s="21">
        <f t="shared" si="7"/>
        <v>4.5</v>
      </c>
      <c r="R108" s="21">
        <f t="shared" si="8"/>
        <v>19.600000000000001</v>
      </c>
    </row>
    <row r="109" spans="1:18" x14ac:dyDescent="0.55000000000000004">
      <c r="A109" s="17">
        <f t="shared" si="9"/>
        <v>2016</v>
      </c>
      <c r="B109" s="3">
        <v>4.4000000000000004</v>
      </c>
      <c r="I109" s="3">
        <v>23.8</v>
      </c>
      <c r="O109">
        <f t="shared" si="5"/>
        <v>2016</v>
      </c>
      <c r="P109" s="21">
        <f t="shared" si="6"/>
        <v>23.8</v>
      </c>
      <c r="Q109" s="21">
        <f t="shared" si="7"/>
        <v>4.4000000000000004</v>
      </c>
      <c r="R109" s="21">
        <f t="shared" si="8"/>
        <v>19.399999999999999</v>
      </c>
    </row>
    <row r="110" spans="1:18" x14ac:dyDescent="0.55000000000000004">
      <c r="A110" s="17">
        <f t="shared" si="9"/>
        <v>2017</v>
      </c>
      <c r="B110" s="3">
        <v>4.4000000000000004</v>
      </c>
      <c r="I110" s="3">
        <v>23.5</v>
      </c>
      <c r="O110">
        <f t="shared" si="5"/>
        <v>2017</v>
      </c>
      <c r="P110" s="21">
        <f t="shared" si="6"/>
        <v>23.5</v>
      </c>
      <c r="Q110" s="21">
        <f t="shared" si="7"/>
        <v>4.4000000000000004</v>
      </c>
      <c r="R110" s="21">
        <f t="shared" si="8"/>
        <v>19.100000000000001</v>
      </c>
    </row>
    <row r="111" spans="1:18" x14ac:dyDescent="0.55000000000000004">
      <c r="A111" s="17">
        <f t="shared" si="9"/>
        <v>2018</v>
      </c>
      <c r="B111" s="3">
        <v>4.5</v>
      </c>
      <c r="I111" s="3">
        <v>23.4</v>
      </c>
      <c r="O111">
        <f t="shared" si="5"/>
        <v>2018</v>
      </c>
      <c r="P111" s="21">
        <f t="shared" si="6"/>
        <v>23.4</v>
      </c>
      <c r="Q111" s="21">
        <f t="shared" si="7"/>
        <v>4.5</v>
      </c>
      <c r="R111" s="21">
        <f t="shared" si="8"/>
        <v>18.899999999999999</v>
      </c>
    </row>
    <row r="112" spans="1:18" x14ac:dyDescent="0.55000000000000004">
      <c r="A112" s="17">
        <f t="shared" si="9"/>
        <v>2019</v>
      </c>
      <c r="B112" s="3">
        <v>4.5</v>
      </c>
      <c r="I112" s="3">
        <v>23.1</v>
      </c>
      <c r="O112">
        <f t="shared" si="5"/>
        <v>2019</v>
      </c>
      <c r="P112" s="21">
        <f t="shared" si="6"/>
        <v>23.1</v>
      </c>
      <c r="Q112" s="21">
        <f t="shared" si="7"/>
        <v>4.5</v>
      </c>
      <c r="R112" s="21">
        <f t="shared" si="8"/>
        <v>18.600000000000001</v>
      </c>
    </row>
    <row r="113" spans="1:18" x14ac:dyDescent="0.55000000000000004">
      <c r="A113" s="17">
        <f t="shared" si="9"/>
        <v>2020</v>
      </c>
      <c r="B113" s="3">
        <v>5.0999999999999996</v>
      </c>
      <c r="I113" s="3">
        <v>22.8</v>
      </c>
      <c r="O113">
        <f t="shared" si="5"/>
        <v>2020</v>
      </c>
      <c r="P113" s="21">
        <f t="shared" si="6"/>
        <v>22.8</v>
      </c>
      <c r="Q113" s="21">
        <f t="shared" si="7"/>
        <v>5.0999999999999996</v>
      </c>
      <c r="R113" s="21">
        <f t="shared" si="8"/>
        <v>17.700000000000003</v>
      </c>
    </row>
    <row r="114" spans="1:18" x14ac:dyDescent="0.55000000000000004">
      <c r="A114" s="17">
        <f t="shared" si="9"/>
        <v>2021</v>
      </c>
      <c r="B114" s="3">
        <v>5.7</v>
      </c>
      <c r="I114" s="3">
        <v>22.5</v>
      </c>
      <c r="O114">
        <f t="shared" si="5"/>
        <v>2021</v>
      </c>
      <c r="P114" s="21">
        <f t="shared" si="6"/>
        <v>22.5</v>
      </c>
      <c r="Q114" s="21">
        <f t="shared" si="7"/>
        <v>5.7</v>
      </c>
      <c r="R114" s="21">
        <f t="shared" si="8"/>
        <v>16.8</v>
      </c>
    </row>
    <row r="115" spans="1:18" x14ac:dyDescent="0.55000000000000004">
      <c r="A115" s="17">
        <f t="shared" si="9"/>
        <v>2022</v>
      </c>
      <c r="B115" s="3">
        <v>4.4000000000000004</v>
      </c>
      <c r="I115" s="3">
        <v>22.2</v>
      </c>
      <c r="O115">
        <f t="shared" si="5"/>
        <v>2022</v>
      </c>
      <c r="P115" s="21">
        <f t="shared" si="6"/>
        <v>22.2</v>
      </c>
      <c r="Q115" s="21">
        <f t="shared" si="7"/>
        <v>4.4000000000000004</v>
      </c>
      <c r="R115" s="21">
        <f t="shared" si="8"/>
        <v>17.799999999999997</v>
      </c>
    </row>
    <row r="116" spans="1:18" x14ac:dyDescent="0.55000000000000004">
      <c r="A116" s="17">
        <f t="shared" si="9"/>
        <v>2023</v>
      </c>
      <c r="B116" s="3">
        <v>4.5</v>
      </c>
      <c r="I116" s="3">
        <v>22</v>
      </c>
      <c r="O116">
        <f t="shared" si="5"/>
        <v>2023</v>
      </c>
      <c r="P116" s="21">
        <f t="shared" si="6"/>
        <v>22</v>
      </c>
      <c r="Q116" s="21">
        <f t="shared" si="7"/>
        <v>4.5</v>
      </c>
      <c r="R116" s="21">
        <f t="shared" si="8"/>
        <v>17.5</v>
      </c>
    </row>
    <row r="117" spans="1:18" x14ac:dyDescent="0.55000000000000004">
      <c r="A117" s="28"/>
    </row>
    <row r="118" spans="1:18" x14ac:dyDescent="0.55000000000000004">
      <c r="A118" s="28" t="s">
        <v>138</v>
      </c>
      <c r="B118" s="16">
        <v>8.1850000000000005</v>
      </c>
    </row>
    <row r="119" spans="1:18" x14ac:dyDescent="0.55000000000000004">
      <c r="A119" s="28"/>
    </row>
    <row r="120" spans="1:18" x14ac:dyDescent="0.55000000000000004">
      <c r="A120" s="28"/>
    </row>
    <row r="121" spans="1:18" x14ac:dyDescent="0.55000000000000004">
      <c r="A121" s="28"/>
    </row>
    <row r="122" spans="1:18" x14ac:dyDescent="0.55000000000000004">
      <c r="A122" s="28"/>
    </row>
    <row r="123" spans="1:18" x14ac:dyDescent="0.55000000000000004">
      <c r="A123" s="28"/>
    </row>
    <row r="124" spans="1:18" x14ac:dyDescent="0.55000000000000004">
      <c r="A124" s="28"/>
    </row>
    <row r="125" spans="1:18" x14ac:dyDescent="0.55000000000000004">
      <c r="A125" s="28"/>
    </row>
    <row r="126" spans="1:18" x14ac:dyDescent="0.55000000000000004">
      <c r="A126" s="28"/>
    </row>
    <row r="127" spans="1:18" x14ac:dyDescent="0.55000000000000004">
      <c r="A127" s="28"/>
    </row>
    <row r="128" spans="1:18" x14ac:dyDescent="0.55000000000000004">
      <c r="A128" s="28"/>
    </row>
    <row r="129" spans="1:1" x14ac:dyDescent="0.55000000000000004">
      <c r="A129" s="28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4" t="s">
        <v>115</v>
      </c>
      <c r="C1" s="24"/>
      <c r="D1" s="24" t="s">
        <v>75</v>
      </c>
      <c r="E1" s="2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2" sqref="A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32" sqref="AK32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4" t="s">
        <v>115</v>
      </c>
      <c r="C1" s="24"/>
      <c r="D1" s="24" t="s">
        <v>75</v>
      </c>
      <c r="E1" s="2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topLeftCell="A4" workbookViewId="0">
      <selection activeCell="AF19" sqref="AF19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P63" sqref="P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4" t="s">
        <v>115</v>
      </c>
      <c r="C1" s="24"/>
      <c r="D1" s="24" t="s">
        <v>75</v>
      </c>
      <c r="E1" s="2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AO61" sqref="AO6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4" t="s">
        <v>100</v>
      </c>
      <c r="C1" s="24"/>
      <c r="D1" s="24" t="s">
        <v>75</v>
      </c>
      <c r="E1" s="24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>
        <v>47.476999999999997</v>
      </c>
      <c r="C3">
        <v>34.473999999999997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47.476999999999997</v>
      </c>
      <c r="H3" s="3">
        <f>IF($A3&lt;1960,$C3,IF($A3&gt;=1970,$E3,$E3-(INDEX($E:$E,MATCH(1960,$A:$A,0))-(2*INDEX($C:$C,MATCH(1959,$A:$A,0))-INDEX($C:$C,MATCH(1958,$A:$A,0))))*(1-$F3)))</f>
        <v>34.473999999999997</v>
      </c>
      <c r="J3" s="17">
        <f>A3</f>
        <v>1895</v>
      </c>
      <c r="K3" s="3">
        <f>G3</f>
        <v>47.476999999999997</v>
      </c>
      <c r="L3" s="3">
        <f>H3</f>
        <v>34.473999999999997</v>
      </c>
      <c r="M3" s="3">
        <f>K3-L3</f>
        <v>13.003</v>
      </c>
    </row>
    <row r="4" spans="1:13" x14ac:dyDescent="0.55000000000000004">
      <c r="A4" s="13">
        <v>1896</v>
      </c>
      <c r="B4">
        <v>47.433</v>
      </c>
      <c r="C4">
        <v>34.456000000000003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47.433</v>
      </c>
      <c r="H4" s="3">
        <f t="shared" ref="H4:H67" si="2">IF($A4&lt;1960,$C4,IF($A4&gt;=1970,$E4,$E4-(INDEX($E:$E,MATCH(1960,$A:$A,0))-(2*INDEX($C:$C,MATCH(1959,$A:$A,0))-INDEX($C:$C,MATCH(1958,$A:$A,0))))*(1-$F4)))</f>
        <v>34.456000000000003</v>
      </c>
      <c r="J4" s="17">
        <f t="shared" ref="J4:J67" si="3">A4</f>
        <v>1896</v>
      </c>
      <c r="K4" s="3">
        <f t="shared" ref="K4:K67" si="4">G4</f>
        <v>47.433</v>
      </c>
      <c r="L4" s="3">
        <f t="shared" ref="L4:L67" si="5">H4</f>
        <v>34.456000000000003</v>
      </c>
      <c r="M4" s="3">
        <f t="shared" ref="M4:M67" si="6">K4-L4</f>
        <v>12.976999999999997</v>
      </c>
    </row>
    <row r="5" spans="1:13" x14ac:dyDescent="0.55000000000000004">
      <c r="A5" s="13">
        <v>1897</v>
      </c>
      <c r="B5">
        <v>47.35</v>
      </c>
      <c r="C5">
        <v>34.421999999999997</v>
      </c>
      <c r="F5">
        <f t="shared" si="0"/>
        <v>0</v>
      </c>
      <c r="G5" s="3">
        <f t="shared" si="1"/>
        <v>47.35</v>
      </c>
      <c r="H5" s="3">
        <f t="shared" si="2"/>
        <v>34.421999999999997</v>
      </c>
      <c r="J5" s="17">
        <f t="shared" si="3"/>
        <v>1897</v>
      </c>
      <c r="K5" s="3">
        <f t="shared" si="4"/>
        <v>47.35</v>
      </c>
      <c r="L5" s="3">
        <f t="shared" si="5"/>
        <v>34.421999999999997</v>
      </c>
      <c r="M5" s="3">
        <f t="shared" si="6"/>
        <v>12.928000000000004</v>
      </c>
    </row>
    <row r="6" spans="1:13" x14ac:dyDescent="0.55000000000000004">
      <c r="A6" s="13">
        <v>1898</v>
      </c>
      <c r="B6">
        <v>47.216999999999999</v>
      </c>
      <c r="C6">
        <v>34.369</v>
      </c>
      <c r="F6">
        <f t="shared" si="0"/>
        <v>0</v>
      </c>
      <c r="G6" s="3">
        <f t="shared" si="1"/>
        <v>47.216999999999999</v>
      </c>
      <c r="H6" s="3">
        <f t="shared" si="2"/>
        <v>34.369</v>
      </c>
      <c r="J6" s="17">
        <f t="shared" si="3"/>
        <v>1898</v>
      </c>
      <c r="K6" s="3">
        <f t="shared" si="4"/>
        <v>47.216999999999999</v>
      </c>
      <c r="L6" s="3">
        <f t="shared" si="5"/>
        <v>34.369</v>
      </c>
      <c r="M6" s="3">
        <f t="shared" si="6"/>
        <v>12.847999999999999</v>
      </c>
    </row>
    <row r="7" spans="1:13" x14ac:dyDescent="0.55000000000000004">
      <c r="A7" s="13">
        <v>1899</v>
      </c>
      <c r="B7">
        <v>47.037999999999997</v>
      </c>
      <c r="C7">
        <v>34.284999999999997</v>
      </c>
      <c r="F7">
        <f t="shared" si="0"/>
        <v>0</v>
      </c>
      <c r="G7" s="3">
        <f t="shared" si="1"/>
        <v>47.037999999999997</v>
      </c>
      <c r="H7" s="3">
        <f t="shared" si="2"/>
        <v>34.284999999999997</v>
      </c>
      <c r="J7" s="17">
        <f t="shared" si="3"/>
        <v>1899</v>
      </c>
      <c r="K7" s="3">
        <f t="shared" si="4"/>
        <v>47.037999999999997</v>
      </c>
      <c r="L7" s="3">
        <f t="shared" si="5"/>
        <v>34.284999999999997</v>
      </c>
      <c r="M7" s="3">
        <f t="shared" si="6"/>
        <v>12.753</v>
      </c>
    </row>
    <row r="8" spans="1:13" x14ac:dyDescent="0.55000000000000004">
      <c r="A8" s="13">
        <v>1900</v>
      </c>
      <c r="B8">
        <v>46.755000000000003</v>
      </c>
      <c r="C8">
        <v>34.247</v>
      </c>
      <c r="F8">
        <f t="shared" si="0"/>
        <v>0</v>
      </c>
      <c r="G8" s="3">
        <f t="shared" si="1"/>
        <v>46.755000000000003</v>
      </c>
      <c r="H8" s="3">
        <f t="shared" si="2"/>
        <v>34.247</v>
      </c>
      <c r="J8" s="17">
        <f t="shared" si="3"/>
        <v>1900</v>
      </c>
      <c r="K8" s="3">
        <f t="shared" si="4"/>
        <v>46.755000000000003</v>
      </c>
      <c r="L8" s="3">
        <f t="shared" si="5"/>
        <v>34.247</v>
      </c>
      <c r="M8" s="3">
        <f t="shared" si="6"/>
        <v>12.508000000000003</v>
      </c>
    </row>
    <row r="9" spans="1:13" x14ac:dyDescent="0.55000000000000004">
      <c r="A9" s="13">
        <v>1901</v>
      </c>
      <c r="B9">
        <v>46.579000000000001</v>
      </c>
      <c r="C9">
        <v>33.978999999999999</v>
      </c>
      <c r="F9">
        <f t="shared" si="0"/>
        <v>0</v>
      </c>
      <c r="G9" s="3">
        <f t="shared" si="1"/>
        <v>46.579000000000001</v>
      </c>
      <c r="H9" s="3">
        <f t="shared" si="2"/>
        <v>33.978999999999999</v>
      </c>
      <c r="J9" s="17">
        <f t="shared" si="3"/>
        <v>1901</v>
      </c>
      <c r="K9" s="3">
        <f t="shared" si="4"/>
        <v>46.579000000000001</v>
      </c>
      <c r="L9" s="3">
        <f t="shared" si="5"/>
        <v>33.978999999999999</v>
      </c>
      <c r="M9" s="3">
        <f t="shared" si="6"/>
        <v>12.600000000000001</v>
      </c>
    </row>
    <row r="10" spans="1:13" x14ac:dyDescent="0.55000000000000004">
      <c r="A10" s="13">
        <v>1902</v>
      </c>
      <c r="B10">
        <v>46.451000000000001</v>
      </c>
      <c r="C10">
        <v>33.558</v>
      </c>
      <c r="F10">
        <f t="shared" si="0"/>
        <v>0</v>
      </c>
      <c r="G10" s="3">
        <f t="shared" si="1"/>
        <v>46.451000000000001</v>
      </c>
      <c r="H10" s="3">
        <f t="shared" si="2"/>
        <v>33.558</v>
      </c>
      <c r="J10" s="17">
        <f t="shared" si="3"/>
        <v>1902</v>
      </c>
      <c r="K10" s="3">
        <f t="shared" si="4"/>
        <v>46.451000000000001</v>
      </c>
      <c r="L10" s="3">
        <f t="shared" si="5"/>
        <v>33.558</v>
      </c>
      <c r="M10" s="3">
        <f t="shared" si="6"/>
        <v>12.893000000000001</v>
      </c>
    </row>
    <row r="11" spans="1:13" x14ac:dyDescent="0.55000000000000004">
      <c r="A11" s="13">
        <v>1903</v>
      </c>
      <c r="B11">
        <v>46.378</v>
      </c>
      <c r="C11">
        <v>32.978000000000002</v>
      </c>
      <c r="F11">
        <f t="shared" si="0"/>
        <v>0</v>
      </c>
      <c r="G11" s="3">
        <f t="shared" si="1"/>
        <v>46.378</v>
      </c>
      <c r="H11" s="3">
        <f t="shared" si="2"/>
        <v>32.978000000000002</v>
      </c>
      <c r="J11" s="17">
        <f t="shared" si="3"/>
        <v>1903</v>
      </c>
      <c r="K11" s="3">
        <f t="shared" si="4"/>
        <v>46.378</v>
      </c>
      <c r="L11" s="3">
        <f t="shared" si="5"/>
        <v>32.978000000000002</v>
      </c>
      <c r="M11" s="3">
        <f t="shared" si="6"/>
        <v>13.399999999999999</v>
      </c>
    </row>
    <row r="12" spans="1:13" x14ac:dyDescent="0.55000000000000004">
      <c r="A12" s="13">
        <v>1904</v>
      </c>
      <c r="B12">
        <v>46.348999999999997</v>
      </c>
      <c r="C12">
        <v>32.302999999999997</v>
      </c>
      <c r="F12">
        <f t="shared" si="0"/>
        <v>0</v>
      </c>
      <c r="G12" s="3">
        <f t="shared" si="1"/>
        <v>46.348999999999997</v>
      </c>
      <c r="H12" s="3">
        <f t="shared" si="2"/>
        <v>32.302999999999997</v>
      </c>
      <c r="J12" s="17">
        <f t="shared" si="3"/>
        <v>1904</v>
      </c>
      <c r="K12" s="3">
        <f t="shared" si="4"/>
        <v>46.348999999999997</v>
      </c>
      <c r="L12" s="3">
        <f t="shared" si="5"/>
        <v>32.302999999999997</v>
      </c>
      <c r="M12" s="3">
        <f t="shared" si="6"/>
        <v>14.045999999999999</v>
      </c>
    </row>
    <row r="13" spans="1:13" x14ac:dyDescent="0.55000000000000004">
      <c r="A13" s="13">
        <v>1905</v>
      </c>
      <c r="B13">
        <v>46.462000000000003</v>
      </c>
      <c r="C13">
        <v>30.978999999999999</v>
      </c>
      <c r="F13">
        <f t="shared" si="0"/>
        <v>0</v>
      </c>
      <c r="G13" s="3">
        <f t="shared" si="1"/>
        <v>46.462000000000003</v>
      </c>
      <c r="H13" s="3">
        <f t="shared" si="2"/>
        <v>30.978999999999999</v>
      </c>
      <c r="J13" s="17">
        <f t="shared" si="3"/>
        <v>1905</v>
      </c>
      <c r="K13" s="3">
        <f t="shared" si="4"/>
        <v>46.462000000000003</v>
      </c>
      <c r="L13" s="3">
        <f t="shared" si="5"/>
        <v>30.978999999999999</v>
      </c>
      <c r="M13" s="3">
        <f t="shared" si="6"/>
        <v>15.483000000000004</v>
      </c>
    </row>
    <row r="14" spans="1:13" x14ac:dyDescent="0.55000000000000004">
      <c r="A14" s="13">
        <v>1906</v>
      </c>
      <c r="B14">
        <v>46.356999999999999</v>
      </c>
      <c r="C14">
        <v>31.055</v>
      </c>
      <c r="F14">
        <f t="shared" si="0"/>
        <v>0</v>
      </c>
      <c r="G14" s="3">
        <f t="shared" si="1"/>
        <v>46.356999999999999</v>
      </c>
      <c r="H14" s="3">
        <f t="shared" si="2"/>
        <v>31.055</v>
      </c>
      <c r="J14" s="17">
        <f t="shared" si="3"/>
        <v>1906</v>
      </c>
      <c r="K14" s="3">
        <f t="shared" si="4"/>
        <v>46.356999999999999</v>
      </c>
      <c r="L14" s="3">
        <f t="shared" si="5"/>
        <v>31.055</v>
      </c>
      <c r="M14" s="3">
        <f t="shared" si="6"/>
        <v>15.302</v>
      </c>
    </row>
    <row r="15" spans="1:13" x14ac:dyDescent="0.55000000000000004">
      <c r="A15" s="13">
        <v>1907</v>
      </c>
      <c r="B15">
        <v>46.134</v>
      </c>
      <c r="C15">
        <v>31.966000000000001</v>
      </c>
      <c r="F15">
        <f t="shared" si="0"/>
        <v>0</v>
      </c>
      <c r="G15" s="3">
        <f t="shared" si="1"/>
        <v>46.134</v>
      </c>
      <c r="H15" s="3">
        <f t="shared" si="2"/>
        <v>31.966000000000001</v>
      </c>
      <c r="J15" s="17">
        <f t="shared" si="3"/>
        <v>1907</v>
      </c>
      <c r="K15" s="3">
        <f t="shared" si="4"/>
        <v>46.134</v>
      </c>
      <c r="L15" s="3">
        <f t="shared" si="5"/>
        <v>31.966000000000001</v>
      </c>
      <c r="M15" s="3">
        <f t="shared" si="6"/>
        <v>14.167999999999999</v>
      </c>
    </row>
    <row r="16" spans="1:13" x14ac:dyDescent="0.55000000000000004">
      <c r="A16" s="13">
        <v>1908</v>
      </c>
      <c r="B16">
        <v>45.781999999999996</v>
      </c>
      <c r="C16">
        <v>33.802</v>
      </c>
      <c r="F16">
        <f t="shared" si="0"/>
        <v>0</v>
      </c>
      <c r="G16" s="3">
        <f t="shared" si="1"/>
        <v>45.781999999999996</v>
      </c>
      <c r="H16" s="3">
        <f t="shared" si="2"/>
        <v>33.802</v>
      </c>
      <c r="J16" s="17">
        <f t="shared" si="3"/>
        <v>1908</v>
      </c>
      <c r="K16" s="3">
        <f t="shared" si="4"/>
        <v>45.781999999999996</v>
      </c>
      <c r="L16" s="3">
        <f t="shared" si="5"/>
        <v>33.802</v>
      </c>
      <c r="M16" s="3">
        <f t="shared" si="6"/>
        <v>11.979999999999997</v>
      </c>
    </row>
    <row r="17" spans="1:13" x14ac:dyDescent="0.55000000000000004">
      <c r="A17" s="13">
        <v>1909</v>
      </c>
      <c r="B17">
        <v>45.304000000000002</v>
      </c>
      <c r="C17">
        <v>36.517000000000003</v>
      </c>
      <c r="F17">
        <f t="shared" si="0"/>
        <v>0</v>
      </c>
      <c r="G17" s="3">
        <f t="shared" si="1"/>
        <v>45.304000000000002</v>
      </c>
      <c r="H17" s="3">
        <f t="shared" si="2"/>
        <v>36.517000000000003</v>
      </c>
      <c r="J17" s="17">
        <f t="shared" si="3"/>
        <v>1909</v>
      </c>
      <c r="K17" s="3">
        <f t="shared" si="4"/>
        <v>45.304000000000002</v>
      </c>
      <c r="L17" s="3">
        <f t="shared" si="5"/>
        <v>36.517000000000003</v>
      </c>
      <c r="M17" s="3">
        <f t="shared" si="6"/>
        <v>8.786999999999999</v>
      </c>
    </row>
    <row r="18" spans="1:13" x14ac:dyDescent="0.55000000000000004">
      <c r="A18" s="13">
        <v>1910</v>
      </c>
      <c r="B18">
        <v>44.673999999999999</v>
      </c>
      <c r="C18">
        <v>41.073</v>
      </c>
      <c r="F18">
        <f t="shared" si="0"/>
        <v>0</v>
      </c>
      <c r="G18" s="3">
        <f t="shared" si="1"/>
        <v>44.673999999999999</v>
      </c>
      <c r="H18" s="3">
        <f t="shared" si="2"/>
        <v>41.073</v>
      </c>
      <c r="J18" s="17">
        <f t="shared" si="3"/>
        <v>1910</v>
      </c>
      <c r="K18" s="3">
        <f t="shared" si="4"/>
        <v>44.673999999999999</v>
      </c>
      <c r="L18" s="3">
        <f t="shared" si="5"/>
        <v>41.073</v>
      </c>
      <c r="M18" s="3">
        <f t="shared" si="6"/>
        <v>3.6009999999999991</v>
      </c>
    </row>
    <row r="19" spans="1:13" x14ac:dyDescent="0.55000000000000004">
      <c r="A19" s="13">
        <v>1911</v>
      </c>
      <c r="B19">
        <v>44.000999999999998</v>
      </c>
      <c r="C19">
        <v>44.375999999999998</v>
      </c>
      <c r="F19">
        <f t="shared" si="0"/>
        <v>0</v>
      </c>
      <c r="G19" s="3">
        <f t="shared" si="1"/>
        <v>44.000999999999998</v>
      </c>
      <c r="H19" s="3">
        <f t="shared" si="2"/>
        <v>44.375999999999998</v>
      </c>
      <c r="J19" s="17">
        <f t="shared" si="3"/>
        <v>1911</v>
      </c>
      <c r="K19" s="3">
        <f t="shared" si="4"/>
        <v>44.000999999999998</v>
      </c>
      <c r="L19" s="3">
        <f t="shared" si="5"/>
        <v>44.375999999999998</v>
      </c>
      <c r="M19" s="3">
        <f t="shared" si="6"/>
        <v>-0.375</v>
      </c>
    </row>
    <row r="20" spans="1:13" x14ac:dyDescent="0.55000000000000004">
      <c r="A20" s="13">
        <v>1912</v>
      </c>
      <c r="B20">
        <v>43.256</v>
      </c>
      <c r="C20">
        <v>47.207000000000001</v>
      </c>
      <c r="F20">
        <f t="shared" si="0"/>
        <v>0</v>
      </c>
      <c r="G20" s="3">
        <f t="shared" si="1"/>
        <v>43.256</v>
      </c>
      <c r="H20" s="3">
        <f t="shared" si="2"/>
        <v>47.207000000000001</v>
      </c>
      <c r="J20" s="17">
        <f t="shared" si="3"/>
        <v>1912</v>
      </c>
      <c r="K20" s="3">
        <f t="shared" si="4"/>
        <v>43.256</v>
      </c>
      <c r="L20" s="3">
        <f t="shared" si="5"/>
        <v>47.207000000000001</v>
      </c>
      <c r="M20" s="3">
        <f t="shared" si="6"/>
        <v>-3.9510000000000005</v>
      </c>
    </row>
    <row r="21" spans="1:13" x14ac:dyDescent="0.55000000000000004">
      <c r="A21" s="13">
        <v>1913</v>
      </c>
      <c r="B21">
        <v>42.442999999999998</v>
      </c>
      <c r="C21">
        <v>49.438000000000002</v>
      </c>
      <c r="F21">
        <f t="shared" si="0"/>
        <v>0</v>
      </c>
      <c r="G21" s="3">
        <f t="shared" si="1"/>
        <v>42.442999999999998</v>
      </c>
      <c r="H21" s="3">
        <f t="shared" si="2"/>
        <v>49.438000000000002</v>
      </c>
      <c r="J21" s="17">
        <f t="shared" si="3"/>
        <v>1913</v>
      </c>
      <c r="K21" s="3">
        <f t="shared" si="4"/>
        <v>42.442999999999998</v>
      </c>
      <c r="L21" s="3">
        <f t="shared" si="5"/>
        <v>49.438000000000002</v>
      </c>
      <c r="M21" s="3">
        <f t="shared" si="6"/>
        <v>-6.9950000000000045</v>
      </c>
    </row>
    <row r="22" spans="1:13" x14ac:dyDescent="0.55000000000000004">
      <c r="A22" s="13">
        <v>1914</v>
      </c>
      <c r="B22">
        <v>41.597999999999999</v>
      </c>
      <c r="C22">
        <v>50.99</v>
      </c>
      <c r="F22">
        <f t="shared" si="0"/>
        <v>0</v>
      </c>
      <c r="G22" s="3">
        <f t="shared" si="1"/>
        <v>41.597999999999999</v>
      </c>
      <c r="H22" s="3">
        <f t="shared" si="2"/>
        <v>50.99</v>
      </c>
      <c r="J22" s="17">
        <f t="shared" si="3"/>
        <v>1914</v>
      </c>
      <c r="K22" s="3">
        <f t="shared" si="4"/>
        <v>41.597999999999999</v>
      </c>
      <c r="L22" s="3">
        <f t="shared" si="5"/>
        <v>50.99</v>
      </c>
      <c r="M22" s="3">
        <f t="shared" si="6"/>
        <v>-9.392000000000003</v>
      </c>
    </row>
    <row r="23" spans="1:13" x14ac:dyDescent="0.55000000000000004">
      <c r="A23" s="13">
        <v>1915</v>
      </c>
      <c r="B23">
        <v>40.414999999999999</v>
      </c>
      <c r="C23">
        <v>52.290999999999997</v>
      </c>
      <c r="F23">
        <f t="shared" si="0"/>
        <v>0</v>
      </c>
      <c r="G23" s="3">
        <f t="shared" si="1"/>
        <v>40.414999999999999</v>
      </c>
      <c r="H23" s="3">
        <f t="shared" si="2"/>
        <v>52.290999999999997</v>
      </c>
      <c r="J23" s="17">
        <f t="shared" si="3"/>
        <v>1915</v>
      </c>
      <c r="K23" s="3">
        <f t="shared" si="4"/>
        <v>40.414999999999999</v>
      </c>
      <c r="L23" s="3">
        <f t="shared" si="5"/>
        <v>52.290999999999997</v>
      </c>
      <c r="M23" s="3">
        <f t="shared" si="6"/>
        <v>-11.875999999999998</v>
      </c>
    </row>
    <row r="24" spans="1:13" x14ac:dyDescent="0.55000000000000004">
      <c r="A24" s="13">
        <v>1916</v>
      </c>
      <c r="B24">
        <v>40.024999999999999</v>
      </c>
      <c r="C24">
        <v>51.691000000000003</v>
      </c>
      <c r="F24">
        <f t="shared" si="0"/>
        <v>0</v>
      </c>
      <c r="G24" s="3">
        <f t="shared" si="1"/>
        <v>40.024999999999999</v>
      </c>
      <c r="H24" s="3">
        <f t="shared" si="2"/>
        <v>51.691000000000003</v>
      </c>
      <c r="J24" s="17">
        <f t="shared" si="3"/>
        <v>1916</v>
      </c>
      <c r="K24" s="3">
        <f t="shared" si="4"/>
        <v>40.024999999999999</v>
      </c>
      <c r="L24" s="3">
        <f t="shared" si="5"/>
        <v>51.691000000000003</v>
      </c>
      <c r="M24" s="3">
        <f t="shared" si="6"/>
        <v>-11.666000000000004</v>
      </c>
    </row>
    <row r="25" spans="1:13" x14ac:dyDescent="0.55000000000000004">
      <c r="A25" s="13">
        <v>1917</v>
      </c>
      <c r="B25">
        <v>40.110999999999997</v>
      </c>
      <c r="C25">
        <v>49.643999999999998</v>
      </c>
      <c r="F25">
        <f t="shared" si="0"/>
        <v>0</v>
      </c>
      <c r="G25" s="3">
        <f t="shared" si="1"/>
        <v>40.110999999999997</v>
      </c>
      <c r="H25" s="3">
        <f t="shared" si="2"/>
        <v>49.643999999999998</v>
      </c>
      <c r="J25" s="17">
        <f t="shared" si="3"/>
        <v>1917</v>
      </c>
      <c r="K25" s="3">
        <f t="shared" si="4"/>
        <v>40.110999999999997</v>
      </c>
      <c r="L25" s="3">
        <f t="shared" si="5"/>
        <v>49.643999999999998</v>
      </c>
      <c r="M25" s="3">
        <f t="shared" si="6"/>
        <v>-9.5330000000000013</v>
      </c>
    </row>
    <row r="26" spans="1:13" x14ac:dyDescent="0.55000000000000004">
      <c r="A26" s="13">
        <v>1918</v>
      </c>
      <c r="B26">
        <v>40.707000000000001</v>
      </c>
      <c r="C26">
        <v>46.161999999999999</v>
      </c>
      <c r="F26">
        <f t="shared" si="0"/>
        <v>0</v>
      </c>
      <c r="G26" s="3">
        <f t="shared" si="1"/>
        <v>40.707000000000001</v>
      </c>
      <c r="H26" s="3">
        <f t="shared" si="2"/>
        <v>46.161999999999999</v>
      </c>
      <c r="J26" s="17">
        <f t="shared" si="3"/>
        <v>1918</v>
      </c>
      <c r="K26" s="3">
        <f t="shared" si="4"/>
        <v>40.707000000000001</v>
      </c>
      <c r="L26" s="3">
        <f t="shared" si="5"/>
        <v>46.161999999999999</v>
      </c>
      <c r="M26" s="3">
        <f t="shared" si="6"/>
        <v>-5.4549999999999983</v>
      </c>
    </row>
    <row r="27" spans="1:13" x14ac:dyDescent="0.55000000000000004">
      <c r="A27" s="13">
        <v>1919</v>
      </c>
      <c r="B27">
        <v>41.765000000000001</v>
      </c>
      <c r="C27">
        <v>41.500999999999998</v>
      </c>
      <c r="F27">
        <f t="shared" si="0"/>
        <v>0</v>
      </c>
      <c r="G27" s="3">
        <f t="shared" si="1"/>
        <v>41.765000000000001</v>
      </c>
      <c r="H27" s="3">
        <f t="shared" si="2"/>
        <v>41.500999999999998</v>
      </c>
      <c r="J27" s="17">
        <f t="shared" si="3"/>
        <v>1919</v>
      </c>
      <c r="K27" s="3">
        <f t="shared" si="4"/>
        <v>41.765000000000001</v>
      </c>
      <c r="L27" s="3">
        <f t="shared" si="5"/>
        <v>41.500999999999998</v>
      </c>
      <c r="M27" s="3">
        <f t="shared" si="6"/>
        <v>0.2640000000000029</v>
      </c>
    </row>
    <row r="28" spans="1:13" x14ac:dyDescent="0.55000000000000004">
      <c r="A28" s="13">
        <v>1920</v>
      </c>
      <c r="B28">
        <v>43.822000000000003</v>
      </c>
      <c r="C28">
        <v>34.396000000000001</v>
      </c>
      <c r="F28">
        <f t="shared" si="0"/>
        <v>0</v>
      </c>
      <c r="G28" s="3">
        <f t="shared" si="1"/>
        <v>43.822000000000003</v>
      </c>
      <c r="H28" s="3">
        <f t="shared" si="2"/>
        <v>34.396000000000001</v>
      </c>
      <c r="J28" s="17">
        <f t="shared" si="3"/>
        <v>1920</v>
      </c>
      <c r="K28" s="3">
        <f t="shared" si="4"/>
        <v>43.822000000000003</v>
      </c>
      <c r="L28" s="3">
        <f t="shared" si="5"/>
        <v>34.396000000000001</v>
      </c>
      <c r="M28" s="3">
        <f t="shared" si="6"/>
        <v>9.4260000000000019</v>
      </c>
    </row>
    <row r="29" spans="1:13" x14ac:dyDescent="0.55000000000000004">
      <c r="A29" s="13">
        <v>1921</v>
      </c>
      <c r="B29">
        <v>44.978000000000002</v>
      </c>
      <c r="C29">
        <v>30.242000000000001</v>
      </c>
      <c r="F29">
        <f t="shared" si="0"/>
        <v>0</v>
      </c>
      <c r="G29" s="3">
        <f t="shared" si="1"/>
        <v>44.978000000000002</v>
      </c>
      <c r="H29" s="3">
        <f t="shared" si="2"/>
        <v>30.242000000000001</v>
      </c>
      <c r="J29" s="17">
        <f t="shared" si="3"/>
        <v>1921</v>
      </c>
      <c r="K29" s="3">
        <f t="shared" si="4"/>
        <v>44.978000000000002</v>
      </c>
      <c r="L29" s="3">
        <f t="shared" si="5"/>
        <v>30.242000000000001</v>
      </c>
      <c r="M29" s="3">
        <f t="shared" si="6"/>
        <v>14.736000000000001</v>
      </c>
    </row>
    <row r="30" spans="1:13" x14ac:dyDescent="0.55000000000000004">
      <c r="A30" s="13">
        <v>1922</v>
      </c>
      <c r="B30">
        <v>45.73</v>
      </c>
      <c r="C30">
        <v>27.283000000000001</v>
      </c>
      <c r="F30">
        <f t="shared" si="0"/>
        <v>0</v>
      </c>
      <c r="G30" s="3">
        <f t="shared" si="1"/>
        <v>45.73</v>
      </c>
      <c r="H30" s="3">
        <f t="shared" si="2"/>
        <v>27.283000000000001</v>
      </c>
      <c r="J30" s="17">
        <f t="shared" si="3"/>
        <v>1922</v>
      </c>
      <c r="K30" s="3">
        <f t="shared" si="4"/>
        <v>45.73</v>
      </c>
      <c r="L30" s="3">
        <f t="shared" si="5"/>
        <v>27.283000000000001</v>
      </c>
      <c r="M30" s="3">
        <f t="shared" si="6"/>
        <v>18.446999999999996</v>
      </c>
    </row>
    <row r="31" spans="1:13" x14ac:dyDescent="0.55000000000000004">
      <c r="A31" s="13">
        <v>1923</v>
      </c>
      <c r="B31">
        <v>46.015999999999998</v>
      </c>
      <c r="C31">
        <v>25.558</v>
      </c>
      <c r="F31">
        <f t="shared" si="0"/>
        <v>0</v>
      </c>
      <c r="G31" s="3">
        <f t="shared" si="1"/>
        <v>46.015999999999998</v>
      </c>
      <c r="H31" s="3">
        <f t="shared" si="2"/>
        <v>25.558</v>
      </c>
      <c r="J31" s="17">
        <f t="shared" si="3"/>
        <v>1923</v>
      </c>
      <c r="K31" s="3">
        <f t="shared" si="4"/>
        <v>46.015999999999998</v>
      </c>
      <c r="L31" s="3">
        <f t="shared" si="5"/>
        <v>25.558</v>
      </c>
      <c r="M31" s="3">
        <f t="shared" si="6"/>
        <v>20.457999999999998</v>
      </c>
    </row>
    <row r="32" spans="1:13" x14ac:dyDescent="0.55000000000000004">
      <c r="A32" s="13">
        <v>1924</v>
      </c>
      <c r="B32">
        <v>45.869</v>
      </c>
      <c r="C32">
        <v>24.919</v>
      </c>
      <c r="F32">
        <f t="shared" si="0"/>
        <v>0</v>
      </c>
      <c r="G32" s="3">
        <f t="shared" si="1"/>
        <v>45.869</v>
      </c>
      <c r="H32" s="3">
        <f t="shared" si="2"/>
        <v>24.919</v>
      </c>
      <c r="J32" s="17">
        <f t="shared" si="3"/>
        <v>1924</v>
      </c>
      <c r="K32" s="3">
        <f t="shared" si="4"/>
        <v>45.869</v>
      </c>
      <c r="L32" s="3">
        <f t="shared" si="5"/>
        <v>24.919</v>
      </c>
      <c r="M32" s="3">
        <f t="shared" si="6"/>
        <v>20.95</v>
      </c>
    </row>
    <row r="33" spans="1:13" x14ac:dyDescent="0.55000000000000004">
      <c r="A33" s="13">
        <v>1925</v>
      </c>
      <c r="B33">
        <v>44.963000000000001</v>
      </c>
      <c r="C33">
        <v>25.994</v>
      </c>
      <c r="F33">
        <f t="shared" si="0"/>
        <v>0</v>
      </c>
      <c r="G33" s="3">
        <f t="shared" si="1"/>
        <v>44.963000000000001</v>
      </c>
      <c r="H33" s="3">
        <f t="shared" si="2"/>
        <v>25.994</v>
      </c>
      <c r="J33" s="17">
        <f t="shared" si="3"/>
        <v>1925</v>
      </c>
      <c r="K33" s="3">
        <f t="shared" si="4"/>
        <v>44.963000000000001</v>
      </c>
      <c r="L33" s="3">
        <f t="shared" si="5"/>
        <v>25.994</v>
      </c>
      <c r="M33" s="3">
        <f t="shared" si="6"/>
        <v>18.969000000000001</v>
      </c>
    </row>
    <row r="34" spans="1:13" x14ac:dyDescent="0.55000000000000004">
      <c r="A34" s="13">
        <v>1926</v>
      </c>
      <c r="B34">
        <v>44.506</v>
      </c>
      <c r="C34">
        <v>26.395</v>
      </c>
      <c r="F34">
        <f t="shared" si="0"/>
        <v>0</v>
      </c>
      <c r="G34" s="3">
        <f t="shared" si="1"/>
        <v>44.506</v>
      </c>
      <c r="H34" s="3">
        <f t="shared" si="2"/>
        <v>26.395</v>
      </c>
      <c r="J34" s="17">
        <f t="shared" si="3"/>
        <v>1926</v>
      </c>
      <c r="K34" s="3">
        <f t="shared" si="4"/>
        <v>44.506</v>
      </c>
      <c r="L34" s="3">
        <f t="shared" si="5"/>
        <v>26.395</v>
      </c>
      <c r="M34" s="3">
        <f t="shared" si="6"/>
        <v>18.111000000000001</v>
      </c>
    </row>
    <row r="35" spans="1:13" x14ac:dyDescent="0.55000000000000004">
      <c r="A35" s="13">
        <v>1927</v>
      </c>
      <c r="B35">
        <v>44.165999999999997</v>
      </c>
      <c r="C35">
        <v>26.773</v>
      </c>
      <c r="F35">
        <f t="shared" si="0"/>
        <v>0</v>
      </c>
      <c r="G35" s="3">
        <f t="shared" si="1"/>
        <v>44.165999999999997</v>
      </c>
      <c r="H35" s="3">
        <f t="shared" si="2"/>
        <v>26.773</v>
      </c>
      <c r="J35" s="17">
        <f t="shared" si="3"/>
        <v>1927</v>
      </c>
      <c r="K35" s="3">
        <f t="shared" si="4"/>
        <v>44.165999999999997</v>
      </c>
      <c r="L35" s="3">
        <f t="shared" si="5"/>
        <v>26.773</v>
      </c>
      <c r="M35" s="3">
        <f t="shared" si="6"/>
        <v>17.392999999999997</v>
      </c>
    </row>
    <row r="36" spans="1:13" x14ac:dyDescent="0.55000000000000004">
      <c r="A36" s="13">
        <v>1928</v>
      </c>
      <c r="B36">
        <v>43.978999999999999</v>
      </c>
      <c r="C36">
        <v>27.053999999999998</v>
      </c>
      <c r="F36">
        <f t="shared" si="0"/>
        <v>0</v>
      </c>
      <c r="G36" s="3">
        <f t="shared" si="1"/>
        <v>43.978999999999999</v>
      </c>
      <c r="H36" s="3">
        <f t="shared" si="2"/>
        <v>27.053999999999998</v>
      </c>
      <c r="J36" s="17">
        <f t="shared" si="3"/>
        <v>1928</v>
      </c>
      <c r="K36" s="3">
        <f t="shared" si="4"/>
        <v>43.978999999999999</v>
      </c>
      <c r="L36" s="3">
        <f t="shared" si="5"/>
        <v>27.053999999999998</v>
      </c>
      <c r="M36" s="3">
        <f t="shared" si="6"/>
        <v>16.925000000000001</v>
      </c>
    </row>
    <row r="37" spans="1:13" x14ac:dyDescent="0.55000000000000004">
      <c r="A37" s="13">
        <v>1929</v>
      </c>
      <c r="B37">
        <v>43.932000000000002</v>
      </c>
      <c r="C37">
        <v>27.23</v>
      </c>
      <c r="F37">
        <f t="shared" si="0"/>
        <v>0</v>
      </c>
      <c r="G37" s="3">
        <f t="shared" si="1"/>
        <v>43.932000000000002</v>
      </c>
      <c r="H37" s="3">
        <f t="shared" si="2"/>
        <v>27.23</v>
      </c>
      <c r="J37" s="17">
        <f t="shared" si="3"/>
        <v>1929</v>
      </c>
      <c r="K37" s="3">
        <f t="shared" si="4"/>
        <v>43.932000000000002</v>
      </c>
      <c r="L37" s="3">
        <f t="shared" si="5"/>
        <v>27.23</v>
      </c>
      <c r="M37" s="3">
        <f t="shared" si="6"/>
        <v>16.702000000000002</v>
      </c>
    </row>
    <row r="38" spans="1:13" x14ac:dyDescent="0.55000000000000004">
      <c r="A38" s="13">
        <v>1930</v>
      </c>
      <c r="B38">
        <v>44.14</v>
      </c>
      <c r="C38">
        <v>27.356999999999999</v>
      </c>
      <c r="F38">
        <f t="shared" si="0"/>
        <v>0</v>
      </c>
      <c r="G38" s="3">
        <f t="shared" si="1"/>
        <v>44.14</v>
      </c>
      <c r="H38" s="3">
        <f t="shared" si="2"/>
        <v>27.356999999999999</v>
      </c>
      <c r="J38" s="17">
        <f t="shared" si="3"/>
        <v>1930</v>
      </c>
      <c r="K38" s="3">
        <f t="shared" si="4"/>
        <v>44.14</v>
      </c>
      <c r="L38" s="3">
        <f t="shared" si="5"/>
        <v>27.356999999999999</v>
      </c>
      <c r="M38" s="3">
        <f t="shared" si="6"/>
        <v>16.783000000000001</v>
      </c>
    </row>
    <row r="39" spans="1:13" x14ac:dyDescent="0.55000000000000004">
      <c r="A39" s="13">
        <v>1931</v>
      </c>
      <c r="B39">
        <v>44.179000000000002</v>
      </c>
      <c r="C39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>
        <v>44.164000000000001</v>
      </c>
      <c r="C40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>
        <v>44.082999999999998</v>
      </c>
      <c r="C41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>
        <v>43.942999999999998</v>
      </c>
      <c r="C42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>
        <v>43.677999999999997</v>
      </c>
      <c r="C43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>
        <v>43.533999999999999</v>
      </c>
      <c r="C44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>
        <v>43.442999999999998</v>
      </c>
      <c r="C45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>
        <v>43.414000000000001</v>
      </c>
      <c r="C46">
        <v>22.966999999999999</v>
      </c>
      <c r="F46">
        <f t="shared" si="0"/>
        <v>0</v>
      </c>
      <c r="G46" s="3">
        <f t="shared" si="1"/>
        <v>43.414000000000001</v>
      </c>
      <c r="H46" s="3">
        <f t="shared" si="2"/>
        <v>22.966999999999999</v>
      </c>
      <c r="J46" s="17">
        <f t="shared" si="3"/>
        <v>1938</v>
      </c>
      <c r="K46" s="3">
        <f t="shared" si="4"/>
        <v>43.414000000000001</v>
      </c>
      <c r="L46" s="3">
        <f t="shared" si="5"/>
        <v>22.966999999999999</v>
      </c>
      <c r="M46" s="3">
        <f t="shared" si="6"/>
        <v>20.447000000000003</v>
      </c>
    </row>
    <row r="47" spans="1:13" x14ac:dyDescent="0.55000000000000004">
      <c r="A47" s="13">
        <v>1939</v>
      </c>
      <c r="B47">
        <v>43.442</v>
      </c>
      <c r="C47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>
        <v>43.554000000000002</v>
      </c>
      <c r="C48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>
        <v>43.658000000000001</v>
      </c>
      <c r="C49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>
        <v>43.779000000000003</v>
      </c>
      <c r="C50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>
        <v>43.915999999999997</v>
      </c>
      <c r="C51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>
        <v>44.064999999999998</v>
      </c>
      <c r="C52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>
        <v>44.246000000000002</v>
      </c>
      <c r="C53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>
        <v>44.389000000000003</v>
      </c>
      <c r="C54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>
        <v>44.514000000000003</v>
      </c>
      <c r="C55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>
        <v>44.616999999999997</v>
      </c>
      <c r="C5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>
        <v>44.703000000000003</v>
      </c>
      <c r="C57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>
        <v>44.743000000000002</v>
      </c>
      <c r="C58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>
        <v>44.838000000000001</v>
      </c>
      <c r="C59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>
        <v>44.962000000000003</v>
      </c>
      <c r="C60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>
        <v>45.116999999999997</v>
      </c>
      <c r="C61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>
        <v>45.298999999999999</v>
      </c>
      <c r="C62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>
        <v>45.548999999999999</v>
      </c>
      <c r="C63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>
        <v>45.715000000000003</v>
      </c>
      <c r="C64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>
        <v>45.837000000000003</v>
      </c>
      <c r="C65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>
        <v>45.912999999999997</v>
      </c>
      <c r="C6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>
        <v>45.953000000000003</v>
      </c>
      <c r="C67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D75"/>
  <sheetViews>
    <sheetView workbookViewId="0">
      <selection activeCell="AD37" sqref="AD3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1950</v>
      </c>
      <c r="B2" s="3">
        <v>44.5</v>
      </c>
      <c r="C2" s="3">
        <v>11.7</v>
      </c>
      <c r="D2" s="3">
        <f>B2-C2</f>
        <v>32.799999999999997</v>
      </c>
    </row>
    <row r="3" spans="1:4" x14ac:dyDescent="0.55000000000000004">
      <c r="A3" s="17">
        <v>1951</v>
      </c>
      <c r="B3" s="3">
        <v>44.3</v>
      </c>
      <c r="C3" s="3">
        <v>11.6</v>
      </c>
      <c r="D3" s="3">
        <f t="shared" ref="D3:D66" si="0">B3-C3</f>
        <v>32.699999999999996</v>
      </c>
    </row>
    <row r="4" spans="1:4" x14ac:dyDescent="0.55000000000000004">
      <c r="A4" s="17">
        <v>1952</v>
      </c>
      <c r="B4" s="3">
        <v>44.1</v>
      </c>
      <c r="C4" s="3">
        <v>11.6</v>
      </c>
      <c r="D4" s="3">
        <f t="shared" si="0"/>
        <v>32.5</v>
      </c>
    </row>
    <row r="5" spans="1:4" x14ac:dyDescent="0.55000000000000004">
      <c r="A5" s="17">
        <v>1953</v>
      </c>
      <c r="B5" s="3">
        <v>43.9</v>
      </c>
      <c r="C5" s="3">
        <v>11.5</v>
      </c>
      <c r="D5" s="3">
        <f t="shared" si="0"/>
        <v>32.4</v>
      </c>
    </row>
    <row r="6" spans="1:4" x14ac:dyDescent="0.55000000000000004">
      <c r="A6" s="17">
        <v>1954</v>
      </c>
      <c r="B6" s="3">
        <v>43.6</v>
      </c>
      <c r="C6" s="3">
        <v>11.5</v>
      </c>
      <c r="D6" s="3">
        <f t="shared" si="0"/>
        <v>32.1</v>
      </c>
    </row>
    <row r="7" spans="1:4" x14ac:dyDescent="0.55000000000000004">
      <c r="A7" s="17">
        <v>1955</v>
      </c>
      <c r="B7" s="3">
        <v>43.4</v>
      </c>
      <c r="C7" s="3">
        <v>11.4</v>
      </c>
      <c r="D7" s="3">
        <f t="shared" si="0"/>
        <v>32</v>
      </c>
    </row>
    <row r="8" spans="1:4" x14ac:dyDescent="0.55000000000000004">
      <c r="A8" s="17">
        <v>1956</v>
      </c>
      <c r="B8" s="3">
        <v>43.1</v>
      </c>
      <c r="C8" s="3">
        <v>11.2</v>
      </c>
      <c r="D8" s="3">
        <f t="shared" si="0"/>
        <v>31.900000000000002</v>
      </c>
    </row>
    <row r="9" spans="1:4" x14ac:dyDescent="0.55000000000000004">
      <c r="A9" s="17">
        <v>1957</v>
      </c>
      <c r="B9" s="3">
        <v>42.9</v>
      </c>
      <c r="C9" s="3">
        <v>11.1</v>
      </c>
      <c r="D9" s="3">
        <f t="shared" si="0"/>
        <v>31.799999999999997</v>
      </c>
    </row>
    <row r="10" spans="1:4" x14ac:dyDescent="0.55000000000000004">
      <c r="A10" s="17">
        <v>1958</v>
      </c>
      <c r="B10" s="3">
        <v>42.7</v>
      </c>
      <c r="C10" s="3">
        <v>10.9</v>
      </c>
      <c r="D10" s="3">
        <f t="shared" si="0"/>
        <v>31.800000000000004</v>
      </c>
    </row>
    <row r="11" spans="1:4" x14ac:dyDescent="0.55000000000000004">
      <c r="A11" s="17">
        <v>1959</v>
      </c>
      <c r="B11" s="3">
        <v>42.5</v>
      </c>
      <c r="C11" s="3">
        <v>10.7</v>
      </c>
      <c r="D11" s="3">
        <f t="shared" si="0"/>
        <v>31.8</v>
      </c>
    </row>
    <row r="12" spans="1:4" x14ac:dyDescent="0.55000000000000004">
      <c r="A12" s="17">
        <v>1960</v>
      </c>
      <c r="B12" s="3">
        <v>42.4</v>
      </c>
      <c r="C12" s="3">
        <v>10.6</v>
      </c>
      <c r="D12" s="3">
        <f t="shared" si="0"/>
        <v>31.799999999999997</v>
      </c>
    </row>
    <row r="13" spans="1:4" x14ac:dyDescent="0.55000000000000004">
      <c r="A13" s="17">
        <v>1961</v>
      </c>
      <c r="B13" s="3">
        <v>42.3</v>
      </c>
      <c r="C13" s="3">
        <v>10.4</v>
      </c>
      <c r="D13" s="3">
        <f t="shared" si="0"/>
        <v>31.9</v>
      </c>
    </row>
    <row r="14" spans="1:4" x14ac:dyDescent="0.55000000000000004">
      <c r="A14" s="17">
        <v>1962</v>
      </c>
      <c r="B14" s="3">
        <v>42.2</v>
      </c>
      <c r="C14" s="3">
        <v>10.199999999999999</v>
      </c>
      <c r="D14" s="3">
        <f t="shared" si="0"/>
        <v>32</v>
      </c>
    </row>
    <row r="15" spans="1:4" x14ac:dyDescent="0.55000000000000004">
      <c r="A15" s="17">
        <v>1963</v>
      </c>
      <c r="B15" s="3">
        <v>42.1</v>
      </c>
      <c r="C15" s="3">
        <v>10</v>
      </c>
      <c r="D15" s="3">
        <f t="shared" si="0"/>
        <v>32.1</v>
      </c>
    </row>
    <row r="16" spans="1:4" x14ac:dyDescent="0.55000000000000004">
      <c r="A16" s="17">
        <v>1964</v>
      </c>
      <c r="B16" s="3">
        <v>41.7</v>
      </c>
      <c r="C16" s="3">
        <v>10</v>
      </c>
      <c r="D16" s="3">
        <f t="shared" si="0"/>
        <v>31.700000000000003</v>
      </c>
    </row>
    <row r="17" spans="1:4" x14ac:dyDescent="0.55000000000000004">
      <c r="A17" s="17">
        <v>1965</v>
      </c>
      <c r="B17" s="3">
        <v>41</v>
      </c>
      <c r="C17" s="3">
        <v>9.9</v>
      </c>
      <c r="D17" s="3">
        <f t="shared" si="0"/>
        <v>31.1</v>
      </c>
    </row>
    <row r="18" spans="1:4" x14ac:dyDescent="0.55000000000000004">
      <c r="A18" s="17">
        <v>1966</v>
      </c>
      <c r="B18" s="3">
        <v>40.200000000000003</v>
      </c>
      <c r="C18" s="3">
        <v>9.8000000000000007</v>
      </c>
      <c r="D18" s="3">
        <f t="shared" si="0"/>
        <v>30.400000000000002</v>
      </c>
    </row>
    <row r="19" spans="1:4" x14ac:dyDescent="0.55000000000000004">
      <c r="A19" s="17">
        <v>1967</v>
      </c>
      <c r="B19" s="3">
        <v>39.200000000000003</v>
      </c>
      <c r="C19" s="3">
        <v>9.6999999999999993</v>
      </c>
      <c r="D19" s="3">
        <f t="shared" si="0"/>
        <v>29.500000000000004</v>
      </c>
    </row>
    <row r="20" spans="1:4" x14ac:dyDescent="0.55000000000000004">
      <c r="A20" s="17">
        <v>1968</v>
      </c>
      <c r="B20" s="3">
        <v>38.4</v>
      </c>
      <c r="C20" s="3">
        <v>9.6</v>
      </c>
      <c r="D20" s="3">
        <f t="shared" si="0"/>
        <v>28.799999999999997</v>
      </c>
    </row>
    <row r="21" spans="1:4" x14ac:dyDescent="0.55000000000000004">
      <c r="A21" s="17">
        <v>1969</v>
      </c>
      <c r="B21" s="3">
        <v>37.6</v>
      </c>
      <c r="C21" s="3">
        <v>9.5</v>
      </c>
      <c r="D21" s="3">
        <f t="shared" si="0"/>
        <v>28.1</v>
      </c>
    </row>
    <row r="22" spans="1:4" x14ac:dyDescent="0.55000000000000004">
      <c r="A22" s="17">
        <v>1970</v>
      </c>
      <c r="B22" s="3">
        <v>37</v>
      </c>
      <c r="C22" s="3">
        <v>9.4</v>
      </c>
      <c r="D22" s="3">
        <f t="shared" si="0"/>
        <v>27.6</v>
      </c>
    </row>
    <row r="23" spans="1:4" x14ac:dyDescent="0.55000000000000004">
      <c r="A23" s="17">
        <v>1971</v>
      </c>
      <c r="B23" s="3">
        <v>36.299999999999997</v>
      </c>
      <c r="C23" s="3">
        <v>9.3000000000000007</v>
      </c>
      <c r="D23" s="3">
        <f t="shared" si="0"/>
        <v>26.999999999999996</v>
      </c>
    </row>
    <row r="24" spans="1:4" x14ac:dyDescent="0.55000000000000004">
      <c r="A24" s="17">
        <v>1972</v>
      </c>
      <c r="B24" s="3">
        <v>35.799999999999997</v>
      </c>
      <c r="C24" s="3">
        <v>9.1</v>
      </c>
      <c r="D24" s="3">
        <f t="shared" si="0"/>
        <v>26.699999999999996</v>
      </c>
    </row>
    <row r="25" spans="1:4" x14ac:dyDescent="0.55000000000000004">
      <c r="A25" s="17">
        <v>1973</v>
      </c>
      <c r="B25" s="3">
        <v>35.4</v>
      </c>
      <c r="C25" s="3">
        <v>8.9</v>
      </c>
      <c r="D25" s="3">
        <f t="shared" si="0"/>
        <v>26.5</v>
      </c>
    </row>
    <row r="26" spans="1:4" x14ac:dyDescent="0.55000000000000004">
      <c r="A26" s="17">
        <v>1974</v>
      </c>
      <c r="B26" s="3">
        <v>35.200000000000003</v>
      </c>
      <c r="C26" s="3">
        <v>8.9</v>
      </c>
      <c r="D26" s="3">
        <f t="shared" si="0"/>
        <v>26.300000000000004</v>
      </c>
    </row>
    <row r="27" spans="1:4" x14ac:dyDescent="0.55000000000000004">
      <c r="A27" s="17">
        <v>1975</v>
      </c>
      <c r="B27" s="3">
        <v>34.9</v>
      </c>
      <c r="C27" s="3">
        <v>8.8000000000000007</v>
      </c>
      <c r="D27" s="3">
        <f t="shared" si="0"/>
        <v>26.099999999999998</v>
      </c>
    </row>
    <row r="28" spans="1:4" x14ac:dyDescent="0.55000000000000004">
      <c r="A28" s="17">
        <v>1976</v>
      </c>
      <c r="B28" s="3">
        <v>34.799999999999997</v>
      </c>
      <c r="C28" s="3">
        <v>8.6999999999999993</v>
      </c>
      <c r="D28" s="3">
        <f t="shared" si="0"/>
        <v>26.099999999999998</v>
      </c>
    </row>
    <row r="29" spans="1:4" x14ac:dyDescent="0.55000000000000004">
      <c r="A29" s="17">
        <v>1977</v>
      </c>
      <c r="B29" s="3">
        <v>35</v>
      </c>
      <c r="C29" s="3">
        <v>8.6999999999999993</v>
      </c>
      <c r="D29" s="3">
        <f t="shared" si="0"/>
        <v>26.3</v>
      </c>
    </row>
    <row r="30" spans="1:4" x14ac:dyDescent="0.55000000000000004">
      <c r="A30" s="17">
        <v>1978</v>
      </c>
      <c r="B30" s="3">
        <v>35.1</v>
      </c>
      <c r="C30" s="3">
        <v>8.6</v>
      </c>
      <c r="D30" s="3">
        <f t="shared" si="0"/>
        <v>26.5</v>
      </c>
    </row>
    <row r="31" spans="1:4" x14ac:dyDescent="0.55000000000000004">
      <c r="A31" s="17">
        <v>1979</v>
      </c>
      <c r="B31" s="3">
        <v>35.6</v>
      </c>
      <c r="C31" s="3">
        <v>8.6</v>
      </c>
      <c r="D31" s="3">
        <f t="shared" si="0"/>
        <v>27</v>
      </c>
    </row>
    <row r="32" spans="1:4" x14ac:dyDescent="0.55000000000000004">
      <c r="A32" s="17">
        <v>1980</v>
      </c>
      <c r="B32" s="3">
        <v>36.200000000000003</v>
      </c>
      <c r="C32" s="3">
        <v>8.5</v>
      </c>
      <c r="D32" s="3">
        <f t="shared" si="0"/>
        <v>27.700000000000003</v>
      </c>
    </row>
    <row r="33" spans="1:4" x14ac:dyDescent="0.55000000000000004">
      <c r="A33" s="17">
        <v>1981</v>
      </c>
      <c r="B33" s="3">
        <v>36.9</v>
      </c>
      <c r="C33" s="3">
        <v>8.4</v>
      </c>
      <c r="D33" s="3">
        <f t="shared" si="0"/>
        <v>28.5</v>
      </c>
    </row>
    <row r="34" spans="1:4" x14ac:dyDescent="0.55000000000000004">
      <c r="A34" s="17">
        <v>1982</v>
      </c>
      <c r="B34" s="3">
        <v>37</v>
      </c>
      <c r="C34" s="3">
        <v>8.1999999999999993</v>
      </c>
      <c r="D34" s="3">
        <f t="shared" si="0"/>
        <v>28.8</v>
      </c>
    </row>
    <row r="35" spans="1:4" x14ac:dyDescent="0.55000000000000004">
      <c r="A35" s="17">
        <v>1983</v>
      </c>
      <c r="B35" s="3">
        <v>37</v>
      </c>
      <c r="C35" s="3">
        <v>8</v>
      </c>
      <c r="D35" s="3">
        <f t="shared" si="0"/>
        <v>29</v>
      </c>
    </row>
    <row r="36" spans="1:4" x14ac:dyDescent="0.55000000000000004">
      <c r="A36" s="17">
        <v>1984</v>
      </c>
      <c r="B36" s="3">
        <v>37</v>
      </c>
      <c r="C36" s="3">
        <v>7.7</v>
      </c>
      <c r="D36" s="3">
        <f t="shared" si="0"/>
        <v>29.3</v>
      </c>
    </row>
    <row r="37" spans="1:4" x14ac:dyDescent="0.55000000000000004">
      <c r="A37" s="17">
        <v>1985</v>
      </c>
      <c r="B37" s="3">
        <v>36.799999999999997</v>
      </c>
      <c r="C37" s="3">
        <v>7.5</v>
      </c>
      <c r="D37" s="3">
        <f t="shared" si="0"/>
        <v>29.299999999999997</v>
      </c>
    </row>
    <row r="38" spans="1:4" x14ac:dyDescent="0.55000000000000004">
      <c r="A38" s="17">
        <v>1986</v>
      </c>
      <c r="B38" s="3">
        <v>36.5</v>
      </c>
      <c r="C38" s="3">
        <v>7.3</v>
      </c>
      <c r="D38" s="3">
        <f t="shared" si="0"/>
        <v>29.2</v>
      </c>
    </row>
    <row r="39" spans="1:4" x14ac:dyDescent="0.55000000000000004">
      <c r="A39" s="17">
        <v>1987</v>
      </c>
      <c r="B39" s="3">
        <v>36.1</v>
      </c>
      <c r="C39" s="3">
        <v>7.1</v>
      </c>
      <c r="D39" s="3">
        <f t="shared" si="0"/>
        <v>29</v>
      </c>
    </row>
    <row r="40" spans="1:4" x14ac:dyDescent="0.55000000000000004">
      <c r="A40" s="17">
        <v>1988</v>
      </c>
      <c r="B40" s="3">
        <v>35.799999999999997</v>
      </c>
      <c r="C40" s="3">
        <v>6.9</v>
      </c>
      <c r="D40" s="3">
        <f t="shared" si="0"/>
        <v>28.9</v>
      </c>
    </row>
    <row r="41" spans="1:4" x14ac:dyDescent="0.55000000000000004">
      <c r="A41" s="17">
        <v>1989</v>
      </c>
      <c r="B41" s="3">
        <v>35.200000000000003</v>
      </c>
      <c r="C41" s="3">
        <v>6.7</v>
      </c>
      <c r="D41" s="3">
        <f t="shared" si="0"/>
        <v>28.500000000000004</v>
      </c>
    </row>
    <row r="42" spans="1:4" x14ac:dyDescent="0.55000000000000004">
      <c r="A42" s="17">
        <v>1990</v>
      </c>
      <c r="B42" s="3">
        <v>34.4</v>
      </c>
      <c r="C42" s="3">
        <v>6.5</v>
      </c>
      <c r="D42" s="3">
        <f t="shared" si="0"/>
        <v>27.9</v>
      </c>
    </row>
    <row r="43" spans="1:4" x14ac:dyDescent="0.55000000000000004">
      <c r="A43" s="17">
        <v>1991</v>
      </c>
      <c r="B43" s="3">
        <v>33.9</v>
      </c>
      <c r="C43" s="3">
        <v>6.3</v>
      </c>
      <c r="D43" s="3">
        <f t="shared" si="0"/>
        <v>27.599999999999998</v>
      </c>
    </row>
    <row r="44" spans="1:4" x14ac:dyDescent="0.55000000000000004">
      <c r="A44" s="17">
        <v>1992</v>
      </c>
      <c r="B44" s="3">
        <v>33.299999999999997</v>
      </c>
      <c r="C44" s="3">
        <v>6.1</v>
      </c>
      <c r="D44" s="3">
        <f t="shared" si="0"/>
        <v>27.199999999999996</v>
      </c>
    </row>
    <row r="45" spans="1:4" x14ac:dyDescent="0.55000000000000004">
      <c r="A45" s="17">
        <v>1993</v>
      </c>
      <c r="B45" s="3">
        <v>32.4</v>
      </c>
      <c r="C45" s="3">
        <v>6</v>
      </c>
      <c r="D45" s="3">
        <f t="shared" si="0"/>
        <v>26.4</v>
      </c>
    </row>
    <row r="46" spans="1:4" x14ac:dyDescent="0.55000000000000004">
      <c r="A46" s="17">
        <v>1994</v>
      </c>
      <c r="B46" s="3">
        <v>31.7</v>
      </c>
      <c r="C46" s="3">
        <v>5.9</v>
      </c>
      <c r="D46" s="3">
        <f t="shared" si="0"/>
        <v>25.799999999999997</v>
      </c>
    </row>
    <row r="47" spans="1:4" x14ac:dyDescent="0.55000000000000004">
      <c r="A47" s="17">
        <v>1995</v>
      </c>
      <c r="B47" s="3">
        <v>31</v>
      </c>
      <c r="C47" s="3">
        <v>5.7</v>
      </c>
      <c r="D47" s="3">
        <f t="shared" si="0"/>
        <v>25.3</v>
      </c>
    </row>
    <row r="48" spans="1:4" x14ac:dyDescent="0.55000000000000004">
      <c r="A48" s="17">
        <v>1996</v>
      </c>
      <c r="B48" s="3">
        <v>30.3</v>
      </c>
      <c r="C48" s="3">
        <v>5.6</v>
      </c>
      <c r="D48" s="3">
        <f t="shared" si="0"/>
        <v>24.700000000000003</v>
      </c>
    </row>
    <row r="49" spans="1:4" x14ac:dyDescent="0.55000000000000004">
      <c r="A49" s="17">
        <v>1997</v>
      </c>
      <c r="B49" s="3">
        <v>29.6</v>
      </c>
      <c r="C49" s="3">
        <v>5.6</v>
      </c>
      <c r="D49" s="3">
        <f t="shared" si="0"/>
        <v>24</v>
      </c>
    </row>
    <row r="50" spans="1:4" x14ac:dyDescent="0.55000000000000004">
      <c r="A50" s="17">
        <v>1998</v>
      </c>
      <c r="B50" s="3">
        <v>28.8</v>
      </c>
      <c r="C50" s="3">
        <v>5.5</v>
      </c>
      <c r="D50" s="3">
        <f t="shared" si="0"/>
        <v>23.3</v>
      </c>
    </row>
    <row r="51" spans="1:4" x14ac:dyDescent="0.55000000000000004">
      <c r="A51" s="17">
        <v>1999</v>
      </c>
      <c r="B51" s="3">
        <v>27.9</v>
      </c>
      <c r="C51" s="3">
        <v>5.4</v>
      </c>
      <c r="D51" s="3">
        <f t="shared" si="0"/>
        <v>22.5</v>
      </c>
    </row>
    <row r="52" spans="1:4" x14ac:dyDescent="0.55000000000000004">
      <c r="A52" s="17">
        <v>2000</v>
      </c>
      <c r="B52" s="3">
        <v>26.9</v>
      </c>
      <c r="C52" s="3">
        <v>5.3</v>
      </c>
      <c r="D52" s="3">
        <f t="shared" si="0"/>
        <v>21.599999999999998</v>
      </c>
    </row>
    <row r="53" spans="1:4" x14ac:dyDescent="0.55000000000000004">
      <c r="A53" s="17">
        <v>2001</v>
      </c>
      <c r="B53" s="3">
        <v>25.9</v>
      </c>
      <c r="C53" s="3">
        <v>5.3</v>
      </c>
      <c r="D53" s="3">
        <f t="shared" si="0"/>
        <v>20.599999999999998</v>
      </c>
    </row>
    <row r="54" spans="1:4" x14ac:dyDescent="0.55000000000000004">
      <c r="A54" s="17">
        <v>2002</v>
      </c>
      <c r="B54" s="3">
        <v>25.1</v>
      </c>
      <c r="C54" s="3">
        <v>5.2</v>
      </c>
      <c r="D54" s="3">
        <f t="shared" si="0"/>
        <v>19.900000000000002</v>
      </c>
    </row>
    <row r="55" spans="1:4" x14ac:dyDescent="0.55000000000000004">
      <c r="A55" s="17">
        <v>2003</v>
      </c>
      <c r="B55" s="3">
        <v>24.4</v>
      </c>
      <c r="C55" s="3">
        <v>5.2</v>
      </c>
      <c r="D55" s="3">
        <f t="shared" si="0"/>
        <v>19.2</v>
      </c>
    </row>
    <row r="56" spans="1:4" x14ac:dyDescent="0.55000000000000004">
      <c r="A56" s="17">
        <v>2004</v>
      </c>
      <c r="B56" s="3">
        <v>24.1</v>
      </c>
      <c r="C56" s="3">
        <v>5.2</v>
      </c>
      <c r="D56" s="3">
        <f t="shared" si="0"/>
        <v>18.900000000000002</v>
      </c>
    </row>
    <row r="57" spans="1:4" x14ac:dyDescent="0.55000000000000004">
      <c r="A57" s="17">
        <v>2005</v>
      </c>
      <c r="B57" s="3">
        <v>23.7</v>
      </c>
      <c r="C57" s="3">
        <v>5.2</v>
      </c>
      <c r="D57" s="3">
        <f t="shared" si="0"/>
        <v>18.5</v>
      </c>
    </row>
    <row r="58" spans="1:4" x14ac:dyDescent="0.55000000000000004">
      <c r="A58" s="17">
        <v>2006</v>
      </c>
      <c r="B58" s="3">
        <v>23.3</v>
      </c>
      <c r="C58" s="3">
        <v>5.2</v>
      </c>
      <c r="D58" s="3">
        <f t="shared" si="0"/>
        <v>18.100000000000001</v>
      </c>
    </row>
    <row r="59" spans="1:4" x14ac:dyDescent="0.55000000000000004">
      <c r="A59" s="17">
        <v>2007</v>
      </c>
      <c r="B59" s="3">
        <v>23</v>
      </c>
      <c r="C59" s="3">
        <v>5.2</v>
      </c>
      <c r="D59" s="3">
        <f t="shared" si="0"/>
        <v>17.8</v>
      </c>
    </row>
    <row r="60" spans="1:4" x14ac:dyDescent="0.55000000000000004">
      <c r="A60" s="17">
        <v>2008</v>
      </c>
      <c r="B60" s="3">
        <v>23</v>
      </c>
      <c r="C60" s="3">
        <v>5.2</v>
      </c>
      <c r="D60" s="3">
        <f t="shared" si="0"/>
        <v>17.8</v>
      </c>
    </row>
    <row r="61" spans="1:4" x14ac:dyDescent="0.55000000000000004">
      <c r="A61" s="17">
        <v>2009</v>
      </c>
      <c r="B61" s="3">
        <v>22.9</v>
      </c>
      <c r="C61" s="3">
        <v>5.2</v>
      </c>
      <c r="D61" s="3">
        <f t="shared" si="0"/>
        <v>17.7</v>
      </c>
    </row>
    <row r="62" spans="1:4" x14ac:dyDescent="0.55000000000000004">
      <c r="A62" s="17">
        <v>2010</v>
      </c>
      <c r="B62" s="3">
        <v>22.5</v>
      </c>
      <c r="C62" s="3">
        <v>5.2</v>
      </c>
      <c r="D62" s="3">
        <f t="shared" si="0"/>
        <v>17.3</v>
      </c>
    </row>
    <row r="63" spans="1:4" x14ac:dyDescent="0.55000000000000004">
      <c r="A63" s="17">
        <v>2011</v>
      </c>
      <c r="B63" s="3">
        <v>22.5</v>
      </c>
      <c r="C63" s="3">
        <v>5.2</v>
      </c>
      <c r="D63" s="3">
        <f t="shared" si="0"/>
        <v>17.3</v>
      </c>
    </row>
    <row r="64" spans="1:4" x14ac:dyDescent="0.55000000000000004">
      <c r="A64" s="17">
        <v>2012</v>
      </c>
      <c r="B64" s="3">
        <v>22.6</v>
      </c>
      <c r="C64" s="3">
        <v>5.2</v>
      </c>
      <c r="D64" s="3">
        <f t="shared" si="0"/>
        <v>17.400000000000002</v>
      </c>
    </row>
    <row r="65" spans="1:4" x14ac:dyDescent="0.55000000000000004">
      <c r="A65" s="17">
        <v>2013</v>
      </c>
      <c r="B65" s="3">
        <v>22.5</v>
      </c>
      <c r="C65" s="3">
        <v>5.2</v>
      </c>
      <c r="D65" s="3">
        <f t="shared" si="0"/>
        <v>17.3</v>
      </c>
    </row>
    <row r="66" spans="1:4" x14ac:dyDescent="0.55000000000000004">
      <c r="A66" s="17">
        <v>2014</v>
      </c>
      <c r="B66" s="3">
        <v>22.6</v>
      </c>
      <c r="C66" s="3">
        <v>5.2</v>
      </c>
      <c r="D66" s="3">
        <f t="shared" si="0"/>
        <v>17.400000000000002</v>
      </c>
    </row>
    <row r="67" spans="1:4" x14ac:dyDescent="0.55000000000000004">
      <c r="A67" s="17">
        <v>2015</v>
      </c>
      <c r="B67" s="3">
        <v>22.7</v>
      </c>
      <c r="C67" s="3">
        <v>5.3</v>
      </c>
      <c r="D67" s="3">
        <f t="shared" ref="D67:D75" si="1">B67-C67</f>
        <v>17.399999999999999</v>
      </c>
    </row>
    <row r="68" spans="1:4" x14ac:dyDescent="0.55000000000000004">
      <c r="A68" s="17">
        <v>2016</v>
      </c>
      <c r="B68" s="3">
        <v>22.5</v>
      </c>
      <c r="C68" s="3">
        <v>5.4</v>
      </c>
      <c r="D68" s="3">
        <f t="shared" si="1"/>
        <v>17.100000000000001</v>
      </c>
    </row>
    <row r="69" spans="1:4" x14ac:dyDescent="0.55000000000000004">
      <c r="A69" s="17">
        <v>2017</v>
      </c>
      <c r="B69" s="3">
        <v>22.2</v>
      </c>
      <c r="C69" s="3">
        <v>5.5</v>
      </c>
      <c r="D69" s="3">
        <f t="shared" si="1"/>
        <v>16.7</v>
      </c>
    </row>
    <row r="70" spans="1:4" x14ac:dyDescent="0.55000000000000004">
      <c r="A70" s="17">
        <v>2018</v>
      </c>
      <c r="B70" s="3">
        <v>21.8</v>
      </c>
      <c r="C70" s="3">
        <v>5.5</v>
      </c>
      <c r="D70" s="3">
        <f t="shared" si="1"/>
        <v>16.3</v>
      </c>
    </row>
    <row r="71" spans="1:4" x14ac:dyDescent="0.55000000000000004">
      <c r="A71" s="17">
        <v>2019</v>
      </c>
      <c r="B71" s="3">
        <v>21.4</v>
      </c>
      <c r="C71" s="3">
        <v>5.6</v>
      </c>
      <c r="D71" s="3">
        <f t="shared" si="1"/>
        <v>15.799999999999999</v>
      </c>
    </row>
    <row r="72" spans="1:4" x14ac:dyDescent="0.55000000000000004">
      <c r="A72" s="17">
        <v>2020</v>
      </c>
      <c r="B72" s="3">
        <v>21</v>
      </c>
      <c r="C72" s="3">
        <v>6.1</v>
      </c>
      <c r="D72" s="3">
        <f t="shared" si="1"/>
        <v>14.9</v>
      </c>
    </row>
    <row r="73" spans="1:4" x14ac:dyDescent="0.55000000000000004">
      <c r="A73" s="17">
        <v>2021</v>
      </c>
      <c r="B73" s="3">
        <v>20.7</v>
      </c>
      <c r="C73" s="3">
        <v>8.9</v>
      </c>
      <c r="D73" s="3">
        <f t="shared" si="1"/>
        <v>11.799999999999999</v>
      </c>
    </row>
    <row r="74" spans="1:4" x14ac:dyDescent="0.55000000000000004">
      <c r="A74" s="17">
        <v>2022</v>
      </c>
      <c r="B74" s="3">
        <v>20.399999999999999</v>
      </c>
      <c r="C74" s="3">
        <v>6.4</v>
      </c>
      <c r="D74" s="3">
        <f t="shared" si="1"/>
        <v>13.999999999999998</v>
      </c>
    </row>
    <row r="75" spans="1:4" x14ac:dyDescent="0.55000000000000004">
      <c r="A75" s="17">
        <v>2023</v>
      </c>
      <c r="B75" s="3">
        <v>20</v>
      </c>
      <c r="C75" s="3">
        <v>5.7</v>
      </c>
      <c r="D75" s="3">
        <f t="shared" si="1"/>
        <v>14.3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D85"/>
  <sheetViews>
    <sheetView workbookViewId="0">
      <selection activeCell="AE36" sqref="AE3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1940</v>
      </c>
      <c r="B2" s="3">
        <v>44.4</v>
      </c>
      <c r="C2" s="3">
        <v>29.8</v>
      </c>
      <c r="D2" s="3">
        <f>B2-C2</f>
        <v>14.599999999999998</v>
      </c>
    </row>
    <row r="3" spans="1:4" x14ac:dyDescent="0.55000000000000004">
      <c r="A3" s="17">
        <v>1941</v>
      </c>
      <c r="B3" s="3">
        <v>44.4</v>
      </c>
      <c r="C3" s="3">
        <v>29.5</v>
      </c>
      <c r="D3" s="3">
        <f t="shared" ref="D3:D66" si="0">B3-C3</f>
        <v>14.899999999999999</v>
      </c>
    </row>
    <row r="4" spans="1:4" x14ac:dyDescent="0.55000000000000004">
      <c r="A4" s="17">
        <v>1942</v>
      </c>
      <c r="B4" s="3">
        <v>44.5</v>
      </c>
      <c r="C4" s="3">
        <v>29.1</v>
      </c>
      <c r="D4" s="3">
        <f t="shared" si="0"/>
        <v>15.399999999999999</v>
      </c>
    </row>
    <row r="5" spans="1:4" x14ac:dyDescent="0.55000000000000004">
      <c r="A5" s="17">
        <v>1943</v>
      </c>
      <c r="B5" s="3">
        <v>44.5</v>
      </c>
      <c r="C5" s="3">
        <v>28.3</v>
      </c>
      <c r="D5" s="3">
        <f t="shared" si="0"/>
        <v>16.2</v>
      </c>
    </row>
    <row r="6" spans="1:4" x14ac:dyDescent="0.55000000000000004">
      <c r="A6" s="17">
        <v>1944</v>
      </c>
      <c r="B6" s="3">
        <v>44.6</v>
      </c>
      <c r="C6" s="3">
        <v>27.4</v>
      </c>
      <c r="D6" s="3">
        <f t="shared" si="0"/>
        <v>17.200000000000003</v>
      </c>
    </row>
    <row r="7" spans="1:4" x14ac:dyDescent="0.55000000000000004">
      <c r="A7" s="17">
        <v>1945</v>
      </c>
      <c r="B7" s="3">
        <v>44.7</v>
      </c>
      <c r="C7" s="3">
        <v>26.2</v>
      </c>
      <c r="D7" s="3">
        <f t="shared" si="0"/>
        <v>18.500000000000004</v>
      </c>
    </row>
    <row r="8" spans="1:4" x14ac:dyDescent="0.55000000000000004">
      <c r="A8" s="17">
        <v>1946</v>
      </c>
      <c r="B8" s="3">
        <v>44.8</v>
      </c>
      <c r="C8" s="3">
        <v>25.3</v>
      </c>
      <c r="D8" s="3">
        <f t="shared" si="0"/>
        <v>19.499999999999996</v>
      </c>
    </row>
    <row r="9" spans="1:4" x14ac:dyDescent="0.55000000000000004">
      <c r="A9" s="17">
        <v>1947</v>
      </c>
      <c r="B9" s="3">
        <v>44.9</v>
      </c>
      <c r="C9" s="3">
        <v>24.5</v>
      </c>
      <c r="D9" s="3">
        <f t="shared" si="0"/>
        <v>20.399999999999999</v>
      </c>
    </row>
    <row r="10" spans="1:4" x14ac:dyDescent="0.55000000000000004">
      <c r="A10" s="17">
        <v>1948</v>
      </c>
      <c r="B10" s="3">
        <v>45</v>
      </c>
      <c r="C10" s="3">
        <v>24</v>
      </c>
      <c r="D10" s="3">
        <f t="shared" si="0"/>
        <v>21</v>
      </c>
    </row>
    <row r="11" spans="1:4" x14ac:dyDescent="0.55000000000000004">
      <c r="A11" s="17">
        <v>1949</v>
      </c>
      <c r="B11" s="3">
        <v>45.1</v>
      </c>
      <c r="C11" s="3">
        <v>23.6</v>
      </c>
      <c r="D11" s="3">
        <f t="shared" si="0"/>
        <v>21.5</v>
      </c>
    </row>
    <row r="12" spans="1:4" x14ac:dyDescent="0.55000000000000004">
      <c r="A12" s="17">
        <v>1950</v>
      </c>
      <c r="B12" s="3">
        <v>45.2</v>
      </c>
      <c r="C12" s="3">
        <v>23.5</v>
      </c>
      <c r="D12" s="3">
        <f t="shared" si="0"/>
        <v>21.700000000000003</v>
      </c>
    </row>
    <row r="13" spans="1:4" x14ac:dyDescent="0.55000000000000004">
      <c r="A13" s="17">
        <v>1951</v>
      </c>
      <c r="B13" s="3">
        <v>45.4</v>
      </c>
      <c r="C13" s="3">
        <v>23.1</v>
      </c>
      <c r="D13" s="3">
        <f t="shared" si="0"/>
        <v>22.299999999999997</v>
      </c>
    </row>
    <row r="14" spans="1:4" x14ac:dyDescent="0.55000000000000004">
      <c r="A14" s="17">
        <v>1952</v>
      </c>
      <c r="B14" s="3">
        <v>45.6</v>
      </c>
      <c r="C14" s="3">
        <v>22.5</v>
      </c>
      <c r="D14" s="3">
        <f t="shared" si="0"/>
        <v>23.1</v>
      </c>
    </row>
    <row r="15" spans="1:4" x14ac:dyDescent="0.55000000000000004">
      <c r="A15" s="17">
        <v>1953</v>
      </c>
      <c r="B15" s="3">
        <v>46</v>
      </c>
      <c r="C15" s="3">
        <v>21.5</v>
      </c>
      <c r="D15" s="3">
        <f t="shared" si="0"/>
        <v>24.5</v>
      </c>
    </row>
    <row r="16" spans="1:4" x14ac:dyDescent="0.55000000000000004">
      <c r="A16" s="17">
        <v>1954</v>
      </c>
      <c r="B16" s="3">
        <v>46.5</v>
      </c>
      <c r="C16" s="3">
        <v>20.5</v>
      </c>
      <c r="D16" s="3">
        <f t="shared" si="0"/>
        <v>26</v>
      </c>
    </row>
    <row r="17" spans="1:4" x14ac:dyDescent="0.55000000000000004">
      <c r="A17" s="17">
        <v>1955</v>
      </c>
      <c r="B17" s="3">
        <v>46.9</v>
      </c>
      <c r="C17" s="3">
        <v>19.5</v>
      </c>
      <c r="D17" s="3">
        <f t="shared" si="0"/>
        <v>27.4</v>
      </c>
    </row>
    <row r="18" spans="1:4" x14ac:dyDescent="0.55000000000000004">
      <c r="A18" s="17">
        <v>1956</v>
      </c>
      <c r="B18" s="3">
        <v>47.2</v>
      </c>
      <c r="C18" s="3">
        <v>18.899999999999999</v>
      </c>
      <c r="D18" s="3">
        <f t="shared" si="0"/>
        <v>28.300000000000004</v>
      </c>
    </row>
    <row r="19" spans="1:4" x14ac:dyDescent="0.55000000000000004">
      <c r="A19" s="17">
        <v>1957</v>
      </c>
      <c r="B19" s="3">
        <v>47.4</v>
      </c>
      <c r="C19" s="3">
        <v>18.399999999999999</v>
      </c>
      <c r="D19" s="3">
        <f t="shared" si="0"/>
        <v>29</v>
      </c>
    </row>
    <row r="20" spans="1:4" x14ac:dyDescent="0.55000000000000004">
      <c r="A20" s="17">
        <v>1958</v>
      </c>
      <c r="B20" s="3">
        <v>47.3</v>
      </c>
      <c r="C20" s="3">
        <v>18</v>
      </c>
      <c r="D20" s="3">
        <f t="shared" si="0"/>
        <v>29.299999999999997</v>
      </c>
    </row>
    <row r="21" spans="1:4" x14ac:dyDescent="0.55000000000000004">
      <c r="A21" s="17">
        <v>1959</v>
      </c>
      <c r="B21" s="3">
        <v>47.2</v>
      </c>
      <c r="C21" s="3">
        <v>17.600000000000001</v>
      </c>
      <c r="D21" s="3">
        <f t="shared" si="0"/>
        <v>29.6</v>
      </c>
    </row>
    <row r="22" spans="1:4" x14ac:dyDescent="0.55000000000000004">
      <c r="A22" s="17">
        <v>1960</v>
      </c>
      <c r="B22" s="3">
        <v>46.9</v>
      </c>
      <c r="C22" s="3">
        <v>17.100000000000001</v>
      </c>
      <c r="D22" s="3">
        <f t="shared" si="0"/>
        <v>29.799999999999997</v>
      </c>
    </row>
    <row r="23" spans="1:4" x14ac:dyDescent="0.55000000000000004">
      <c r="A23" s="17">
        <v>1961</v>
      </c>
      <c r="B23" s="3">
        <v>46.6</v>
      </c>
      <c r="C23" s="3">
        <v>16.7</v>
      </c>
      <c r="D23" s="3">
        <f t="shared" si="0"/>
        <v>29.900000000000002</v>
      </c>
    </row>
    <row r="24" spans="1:4" x14ac:dyDescent="0.55000000000000004">
      <c r="A24" s="17">
        <v>1962</v>
      </c>
      <c r="B24" s="3">
        <v>46.2</v>
      </c>
      <c r="C24" s="3">
        <v>16.399999999999999</v>
      </c>
      <c r="D24" s="3">
        <f t="shared" si="0"/>
        <v>29.800000000000004</v>
      </c>
    </row>
    <row r="25" spans="1:4" x14ac:dyDescent="0.55000000000000004">
      <c r="A25" s="17">
        <v>1963</v>
      </c>
      <c r="B25" s="3">
        <v>45.8</v>
      </c>
      <c r="C25" s="3">
        <v>15.8</v>
      </c>
      <c r="D25" s="3">
        <f t="shared" si="0"/>
        <v>29.999999999999996</v>
      </c>
    </row>
    <row r="26" spans="1:4" x14ac:dyDescent="0.55000000000000004">
      <c r="A26" s="17">
        <v>1964</v>
      </c>
      <c r="B26" s="3">
        <v>45.4</v>
      </c>
      <c r="C26" s="3">
        <v>15.5</v>
      </c>
      <c r="D26" s="3">
        <f t="shared" si="0"/>
        <v>29.9</v>
      </c>
    </row>
    <row r="27" spans="1:4" x14ac:dyDescent="0.55000000000000004">
      <c r="A27" s="17">
        <v>1965</v>
      </c>
      <c r="B27" s="3">
        <v>44.9</v>
      </c>
      <c r="C27" s="3">
        <v>15.2</v>
      </c>
      <c r="D27" s="3">
        <f t="shared" si="0"/>
        <v>29.7</v>
      </c>
    </row>
    <row r="28" spans="1:4" x14ac:dyDescent="0.55000000000000004">
      <c r="A28" s="17">
        <v>1966</v>
      </c>
      <c r="B28" s="3">
        <v>44.4</v>
      </c>
      <c r="C28" s="3">
        <v>14.9</v>
      </c>
      <c r="D28" s="3">
        <f t="shared" si="0"/>
        <v>29.5</v>
      </c>
    </row>
    <row r="29" spans="1:4" x14ac:dyDescent="0.55000000000000004">
      <c r="A29" s="17">
        <v>1967</v>
      </c>
      <c r="B29" s="3">
        <v>44</v>
      </c>
      <c r="C29" s="3">
        <v>14.6</v>
      </c>
      <c r="D29" s="3">
        <f t="shared" si="0"/>
        <v>29.4</v>
      </c>
    </row>
    <row r="30" spans="1:4" x14ac:dyDescent="0.55000000000000004">
      <c r="A30" s="17">
        <v>1968</v>
      </c>
      <c r="B30" s="3">
        <v>43.4</v>
      </c>
      <c r="C30" s="3">
        <v>14.4</v>
      </c>
      <c r="D30" s="3">
        <f t="shared" si="0"/>
        <v>29</v>
      </c>
    </row>
    <row r="31" spans="1:4" x14ac:dyDescent="0.55000000000000004">
      <c r="A31" s="17">
        <v>1969</v>
      </c>
      <c r="B31" s="3">
        <v>42.9</v>
      </c>
      <c r="C31" s="3">
        <v>14.1</v>
      </c>
      <c r="D31" s="3">
        <f t="shared" si="0"/>
        <v>28.799999999999997</v>
      </c>
    </row>
    <row r="32" spans="1:4" x14ac:dyDescent="0.55000000000000004">
      <c r="A32" s="17">
        <v>1970</v>
      </c>
      <c r="B32" s="3">
        <v>42.4</v>
      </c>
      <c r="C32" s="3">
        <v>18.8</v>
      </c>
      <c r="D32" s="3">
        <f t="shared" si="0"/>
        <v>23.599999999999998</v>
      </c>
    </row>
    <row r="33" spans="1:4" x14ac:dyDescent="0.55000000000000004">
      <c r="A33" s="17">
        <v>1971</v>
      </c>
      <c r="B33" s="3">
        <v>41.8</v>
      </c>
      <c r="C33" s="3">
        <v>13.5</v>
      </c>
      <c r="D33" s="3">
        <f t="shared" si="0"/>
        <v>28.299999999999997</v>
      </c>
    </row>
    <row r="34" spans="1:4" x14ac:dyDescent="0.55000000000000004">
      <c r="A34" s="17">
        <v>1972</v>
      </c>
      <c r="B34" s="3">
        <v>41.2</v>
      </c>
      <c r="C34" s="3">
        <v>13.3</v>
      </c>
      <c r="D34" s="3">
        <f t="shared" si="0"/>
        <v>27.900000000000002</v>
      </c>
    </row>
    <row r="35" spans="1:4" x14ac:dyDescent="0.55000000000000004">
      <c r="A35" s="17">
        <v>1973</v>
      </c>
      <c r="B35" s="3">
        <v>40.700000000000003</v>
      </c>
      <c r="C35" s="3">
        <v>13.2</v>
      </c>
      <c r="D35" s="3">
        <f t="shared" si="0"/>
        <v>27.500000000000004</v>
      </c>
    </row>
    <row r="36" spans="1:4" x14ac:dyDescent="0.55000000000000004">
      <c r="A36" s="17">
        <v>1974</v>
      </c>
      <c r="B36" s="3">
        <v>40.1</v>
      </c>
      <c r="C36" s="3">
        <v>12.8</v>
      </c>
      <c r="D36" s="3">
        <f t="shared" si="0"/>
        <v>27.3</v>
      </c>
    </row>
    <row r="37" spans="1:4" x14ac:dyDescent="0.55000000000000004">
      <c r="A37" s="17">
        <v>1975</v>
      </c>
      <c r="B37" s="3">
        <v>39.5</v>
      </c>
      <c r="C37" s="3">
        <v>12.5</v>
      </c>
      <c r="D37" s="3">
        <f t="shared" si="0"/>
        <v>27</v>
      </c>
    </row>
    <row r="38" spans="1:4" x14ac:dyDescent="0.55000000000000004">
      <c r="A38" s="17">
        <v>1976</v>
      </c>
      <c r="B38" s="3">
        <v>38.9</v>
      </c>
      <c r="C38" s="3">
        <v>12.2</v>
      </c>
      <c r="D38" s="3">
        <f t="shared" si="0"/>
        <v>26.7</v>
      </c>
    </row>
    <row r="39" spans="1:4" x14ac:dyDescent="0.55000000000000004">
      <c r="A39" s="17">
        <v>1977</v>
      </c>
      <c r="B39" s="3">
        <v>38.299999999999997</v>
      </c>
      <c r="C39" s="3">
        <v>11.9</v>
      </c>
      <c r="D39" s="3">
        <f t="shared" si="0"/>
        <v>26.4</v>
      </c>
    </row>
    <row r="40" spans="1:4" x14ac:dyDescent="0.55000000000000004">
      <c r="A40" s="17">
        <v>1978</v>
      </c>
      <c r="B40" s="3">
        <v>37.700000000000003</v>
      </c>
      <c r="C40" s="3">
        <v>11.5</v>
      </c>
      <c r="D40" s="3">
        <f t="shared" si="0"/>
        <v>26.200000000000003</v>
      </c>
    </row>
    <row r="41" spans="1:4" x14ac:dyDescent="0.55000000000000004">
      <c r="A41" s="17">
        <v>1979</v>
      </c>
      <c r="B41" s="3">
        <v>37.1</v>
      </c>
      <c r="C41" s="3">
        <v>11.2</v>
      </c>
      <c r="D41" s="3">
        <f t="shared" si="0"/>
        <v>25.900000000000002</v>
      </c>
    </row>
    <row r="42" spans="1:4" x14ac:dyDescent="0.55000000000000004">
      <c r="A42" s="17">
        <v>1980</v>
      </c>
      <c r="B42" s="3">
        <v>36.5</v>
      </c>
      <c r="C42" s="3">
        <v>10.9</v>
      </c>
      <c r="D42" s="3">
        <f t="shared" si="0"/>
        <v>25.6</v>
      </c>
    </row>
    <row r="43" spans="1:4" x14ac:dyDescent="0.55000000000000004">
      <c r="A43" s="17">
        <v>1981</v>
      </c>
      <c r="B43" s="3">
        <v>35.9</v>
      </c>
      <c r="C43" s="3">
        <v>10.5</v>
      </c>
      <c r="D43" s="3">
        <f t="shared" si="0"/>
        <v>25.4</v>
      </c>
    </row>
    <row r="44" spans="1:4" x14ac:dyDescent="0.55000000000000004">
      <c r="A44" s="17">
        <v>1982</v>
      </c>
      <c r="B44" s="3">
        <v>35.4</v>
      </c>
      <c r="C44" s="3">
        <v>10.1</v>
      </c>
      <c r="D44" s="3">
        <f t="shared" si="0"/>
        <v>25.299999999999997</v>
      </c>
    </row>
    <row r="45" spans="1:4" x14ac:dyDescent="0.55000000000000004">
      <c r="A45" s="17">
        <v>1983</v>
      </c>
      <c r="B45" s="3">
        <v>35</v>
      </c>
      <c r="C45" s="3">
        <v>9.9</v>
      </c>
      <c r="D45" s="3">
        <f t="shared" si="0"/>
        <v>25.1</v>
      </c>
    </row>
    <row r="46" spans="1:4" x14ac:dyDescent="0.55000000000000004">
      <c r="A46" s="17">
        <v>1984</v>
      </c>
      <c r="B46" s="3">
        <v>34.5</v>
      </c>
      <c r="C46" s="3">
        <v>9.6</v>
      </c>
      <c r="D46" s="3">
        <f t="shared" si="0"/>
        <v>24.9</v>
      </c>
    </row>
    <row r="47" spans="1:4" x14ac:dyDescent="0.55000000000000004">
      <c r="A47" s="17">
        <v>1985</v>
      </c>
      <c r="B47" s="3">
        <v>34</v>
      </c>
      <c r="C47" s="3">
        <v>9.1999999999999993</v>
      </c>
      <c r="D47" s="3">
        <f t="shared" si="0"/>
        <v>24.8</v>
      </c>
    </row>
    <row r="48" spans="1:4" x14ac:dyDescent="0.55000000000000004">
      <c r="A48" s="17">
        <v>1986</v>
      </c>
      <c r="B48" s="3">
        <v>33.5</v>
      </c>
      <c r="C48" s="3">
        <v>8.9</v>
      </c>
      <c r="D48" s="3">
        <f t="shared" si="0"/>
        <v>24.6</v>
      </c>
    </row>
    <row r="49" spans="1:4" x14ac:dyDescent="0.55000000000000004">
      <c r="A49" s="17">
        <v>1987</v>
      </c>
      <c r="B49" s="3">
        <v>33</v>
      </c>
      <c r="C49" s="3">
        <v>8.6</v>
      </c>
      <c r="D49" s="3">
        <f t="shared" si="0"/>
        <v>24.4</v>
      </c>
    </row>
    <row r="50" spans="1:4" x14ac:dyDescent="0.55000000000000004">
      <c r="A50" s="17">
        <v>1988</v>
      </c>
      <c r="B50" s="3">
        <v>32.4</v>
      </c>
      <c r="C50" s="3">
        <v>8.3000000000000007</v>
      </c>
      <c r="D50" s="3">
        <f t="shared" si="0"/>
        <v>24.099999999999998</v>
      </c>
    </row>
    <row r="51" spans="1:4" x14ac:dyDescent="0.55000000000000004">
      <c r="A51" s="17">
        <v>1989</v>
      </c>
      <c r="B51" s="3">
        <v>31.8</v>
      </c>
      <c r="C51" s="3">
        <v>8</v>
      </c>
      <c r="D51" s="3">
        <f t="shared" si="0"/>
        <v>23.8</v>
      </c>
    </row>
    <row r="52" spans="1:4" x14ac:dyDescent="0.55000000000000004">
      <c r="A52" s="17">
        <v>1990</v>
      </c>
      <c r="B52" s="3">
        <v>31.1</v>
      </c>
      <c r="C52" s="3">
        <v>7.7</v>
      </c>
      <c r="D52" s="3">
        <f t="shared" si="0"/>
        <v>23.400000000000002</v>
      </c>
    </row>
    <row r="53" spans="1:4" x14ac:dyDescent="0.55000000000000004">
      <c r="A53" s="17">
        <v>1991</v>
      </c>
      <c r="B53" s="3">
        <v>30.4</v>
      </c>
      <c r="C53" s="3">
        <v>7.6</v>
      </c>
      <c r="D53" s="3">
        <f t="shared" si="0"/>
        <v>22.799999999999997</v>
      </c>
    </row>
    <row r="54" spans="1:4" x14ac:dyDescent="0.55000000000000004">
      <c r="A54" s="17">
        <v>1992</v>
      </c>
      <c r="B54" s="3">
        <v>29.6</v>
      </c>
      <c r="C54" s="3">
        <v>7.2</v>
      </c>
      <c r="D54" s="3">
        <f t="shared" si="0"/>
        <v>22.400000000000002</v>
      </c>
    </row>
    <row r="55" spans="1:4" x14ac:dyDescent="0.55000000000000004">
      <c r="A55" s="17">
        <v>1993</v>
      </c>
      <c r="B55" s="3">
        <v>28.8</v>
      </c>
      <c r="C55" s="3">
        <v>6.9</v>
      </c>
      <c r="D55" s="3">
        <f t="shared" si="0"/>
        <v>21.9</v>
      </c>
    </row>
    <row r="56" spans="1:4" x14ac:dyDescent="0.55000000000000004">
      <c r="A56" s="17">
        <v>1994</v>
      </c>
      <c r="B56" s="3">
        <v>28</v>
      </c>
      <c r="C56" s="3">
        <v>6.5</v>
      </c>
      <c r="D56" s="3">
        <f t="shared" si="0"/>
        <v>21.5</v>
      </c>
    </row>
    <row r="57" spans="1:4" x14ac:dyDescent="0.55000000000000004">
      <c r="A57" s="17">
        <v>1995</v>
      </c>
      <c r="B57" s="3">
        <v>27.2</v>
      </c>
      <c r="C57" s="3">
        <v>6.3</v>
      </c>
      <c r="D57" s="3">
        <f t="shared" si="0"/>
        <v>20.9</v>
      </c>
    </row>
    <row r="58" spans="1:4" x14ac:dyDescent="0.55000000000000004">
      <c r="A58" s="17">
        <v>1996</v>
      </c>
      <c r="B58" s="3">
        <v>26.4</v>
      </c>
      <c r="C58" s="3">
        <v>6.1</v>
      </c>
      <c r="D58" s="3">
        <f t="shared" si="0"/>
        <v>20.299999999999997</v>
      </c>
    </row>
    <row r="59" spans="1:4" x14ac:dyDescent="0.55000000000000004">
      <c r="A59" s="17">
        <v>1997</v>
      </c>
      <c r="B59" s="3">
        <v>25.6</v>
      </c>
      <c r="C59" s="3">
        <v>6</v>
      </c>
      <c r="D59" s="3">
        <f t="shared" si="0"/>
        <v>19.600000000000001</v>
      </c>
    </row>
    <row r="60" spans="1:4" x14ac:dyDescent="0.55000000000000004">
      <c r="A60" s="17">
        <v>1998</v>
      </c>
      <c r="B60" s="3">
        <v>24.9</v>
      </c>
      <c r="C60" s="3">
        <v>5.9</v>
      </c>
      <c r="D60" s="3">
        <f t="shared" si="0"/>
        <v>19</v>
      </c>
    </row>
    <row r="61" spans="1:4" x14ac:dyDescent="0.55000000000000004">
      <c r="A61" s="17">
        <v>1999</v>
      </c>
      <c r="B61" s="3">
        <v>24.3</v>
      </c>
      <c r="C61" s="3">
        <v>5.7</v>
      </c>
      <c r="D61" s="3">
        <f t="shared" si="0"/>
        <v>18.600000000000001</v>
      </c>
    </row>
    <row r="62" spans="1:4" x14ac:dyDescent="0.55000000000000004">
      <c r="A62" s="17">
        <v>2000</v>
      </c>
      <c r="B62" s="3">
        <v>23.8</v>
      </c>
      <c r="C62" s="3">
        <v>5.6</v>
      </c>
      <c r="D62" s="3">
        <f t="shared" si="0"/>
        <v>18.200000000000003</v>
      </c>
    </row>
    <row r="63" spans="1:4" x14ac:dyDescent="0.55000000000000004">
      <c r="A63" s="17">
        <v>2001</v>
      </c>
      <c r="B63" s="3">
        <v>23</v>
      </c>
      <c r="C63" s="3">
        <v>5.6</v>
      </c>
      <c r="D63" s="3">
        <f t="shared" si="0"/>
        <v>17.399999999999999</v>
      </c>
    </row>
    <row r="64" spans="1:4" x14ac:dyDescent="0.55000000000000004">
      <c r="A64" s="17">
        <v>2002</v>
      </c>
      <c r="B64" s="3">
        <v>22.6</v>
      </c>
      <c r="C64" s="3">
        <v>5.6</v>
      </c>
      <c r="D64" s="3">
        <f t="shared" si="0"/>
        <v>17</v>
      </c>
    </row>
    <row r="65" spans="1:4" x14ac:dyDescent="0.55000000000000004">
      <c r="A65" s="17">
        <v>2003</v>
      </c>
      <c r="B65" s="3">
        <v>22.3</v>
      </c>
      <c r="C65" s="3">
        <v>5.7</v>
      </c>
      <c r="D65" s="3">
        <f t="shared" si="0"/>
        <v>16.600000000000001</v>
      </c>
    </row>
    <row r="66" spans="1:4" x14ac:dyDescent="0.55000000000000004">
      <c r="A66" s="17">
        <v>2004</v>
      </c>
      <c r="B66" s="3">
        <v>22.4</v>
      </c>
      <c r="C66" s="3">
        <v>5.9</v>
      </c>
      <c r="D66" s="3">
        <f t="shared" si="0"/>
        <v>16.5</v>
      </c>
    </row>
    <row r="67" spans="1:4" x14ac:dyDescent="0.55000000000000004">
      <c r="A67" s="17">
        <v>2005</v>
      </c>
      <c r="B67" s="3">
        <v>22.1</v>
      </c>
      <c r="C67" s="3">
        <v>5.9</v>
      </c>
      <c r="D67" s="3">
        <f t="shared" ref="D67:D85" si="1">B67-C67</f>
        <v>16.200000000000003</v>
      </c>
    </row>
    <row r="68" spans="1:4" x14ac:dyDescent="0.55000000000000004">
      <c r="A68" s="17">
        <v>2006</v>
      </c>
      <c r="B68" s="3">
        <v>21.8</v>
      </c>
      <c r="C68" s="3">
        <v>6.1</v>
      </c>
      <c r="D68" s="3">
        <f t="shared" si="1"/>
        <v>15.700000000000001</v>
      </c>
    </row>
    <row r="69" spans="1:4" x14ac:dyDescent="0.55000000000000004">
      <c r="A69" s="17">
        <v>2007</v>
      </c>
      <c r="B69" s="3">
        <v>21.4</v>
      </c>
      <c r="C69" s="3">
        <v>6.2</v>
      </c>
      <c r="D69" s="3">
        <f t="shared" si="1"/>
        <v>15.2</v>
      </c>
    </row>
    <row r="70" spans="1:4" x14ac:dyDescent="0.55000000000000004">
      <c r="A70" s="17">
        <v>2008</v>
      </c>
      <c r="B70" s="3">
        <v>20.9</v>
      </c>
      <c r="C70" s="3">
        <v>6.5</v>
      </c>
      <c r="D70" s="3">
        <f t="shared" si="1"/>
        <v>14.399999999999999</v>
      </c>
    </row>
    <row r="71" spans="1:4" x14ac:dyDescent="0.55000000000000004">
      <c r="A71" s="17">
        <v>2009</v>
      </c>
      <c r="B71" s="3">
        <v>20.399999999999999</v>
      </c>
      <c r="C71" s="3">
        <v>6.7</v>
      </c>
      <c r="D71" s="3">
        <f t="shared" si="1"/>
        <v>13.7</v>
      </c>
    </row>
    <row r="72" spans="1:4" x14ac:dyDescent="0.55000000000000004">
      <c r="A72" s="17">
        <v>2010</v>
      </c>
      <c r="B72" s="3">
        <v>19.899999999999999</v>
      </c>
      <c r="C72" s="3">
        <v>6.7</v>
      </c>
      <c r="D72" s="3">
        <f t="shared" si="1"/>
        <v>13.2</v>
      </c>
    </row>
    <row r="73" spans="1:4" x14ac:dyDescent="0.55000000000000004">
      <c r="A73" s="17">
        <v>2011</v>
      </c>
      <c r="B73" s="3">
        <v>19.8</v>
      </c>
      <c r="C73" s="3">
        <v>6.7</v>
      </c>
      <c r="D73" s="3">
        <f t="shared" si="1"/>
        <v>13.100000000000001</v>
      </c>
    </row>
    <row r="74" spans="1:4" x14ac:dyDescent="0.55000000000000004">
      <c r="A74" s="17">
        <v>2012</v>
      </c>
      <c r="B74" s="3">
        <v>19.2</v>
      </c>
      <c r="C74" s="3">
        <v>6.5</v>
      </c>
      <c r="D74" s="3">
        <f t="shared" si="1"/>
        <v>12.7</v>
      </c>
    </row>
    <row r="75" spans="1:4" x14ac:dyDescent="0.55000000000000004">
      <c r="A75" s="17">
        <v>2013</v>
      </c>
      <c r="B75" s="3">
        <v>18.8</v>
      </c>
      <c r="C75" s="3">
        <v>6.3</v>
      </c>
      <c r="D75" s="3">
        <f t="shared" si="1"/>
        <v>12.5</v>
      </c>
    </row>
    <row r="76" spans="1:4" x14ac:dyDescent="0.55000000000000004">
      <c r="A76" s="17">
        <v>2014</v>
      </c>
      <c r="B76" s="3">
        <v>18.399999999999999</v>
      </c>
      <c r="C76" s="3">
        <v>6.1</v>
      </c>
      <c r="D76" s="3">
        <f t="shared" si="1"/>
        <v>12.299999999999999</v>
      </c>
    </row>
    <row r="77" spans="1:4" x14ac:dyDescent="0.55000000000000004">
      <c r="A77" s="17">
        <v>2015</v>
      </c>
      <c r="B77" s="3">
        <v>17.899999999999999</v>
      </c>
      <c r="C77" s="3">
        <v>6</v>
      </c>
      <c r="D77" s="3">
        <f t="shared" si="1"/>
        <v>11.899999999999999</v>
      </c>
    </row>
    <row r="78" spans="1:4" x14ac:dyDescent="0.55000000000000004">
      <c r="A78" s="17">
        <v>2016</v>
      </c>
      <c r="B78" s="3">
        <v>17.600000000000001</v>
      </c>
      <c r="C78" s="3">
        <v>6</v>
      </c>
      <c r="D78" s="3">
        <f t="shared" si="1"/>
        <v>11.600000000000001</v>
      </c>
    </row>
    <row r="79" spans="1:4" x14ac:dyDescent="0.55000000000000004">
      <c r="A79" s="17">
        <v>2017</v>
      </c>
      <c r="B79" s="3">
        <v>17.3</v>
      </c>
      <c r="C79" s="3">
        <v>6.1</v>
      </c>
      <c r="D79" s="3">
        <f t="shared" si="1"/>
        <v>11.200000000000001</v>
      </c>
    </row>
    <row r="80" spans="1:4" x14ac:dyDescent="0.55000000000000004">
      <c r="A80" s="17">
        <v>2018</v>
      </c>
      <c r="B80" s="3">
        <v>16.899999999999999</v>
      </c>
      <c r="C80" s="3">
        <v>6.2</v>
      </c>
      <c r="D80" s="3">
        <f t="shared" si="1"/>
        <v>10.7</v>
      </c>
    </row>
    <row r="81" spans="1:4" x14ac:dyDescent="0.55000000000000004">
      <c r="A81" s="17">
        <v>2019</v>
      </c>
      <c r="B81" s="3">
        <v>16.899999999999999</v>
      </c>
      <c r="C81" s="3">
        <v>6.2</v>
      </c>
      <c r="D81" s="3">
        <f t="shared" si="1"/>
        <v>10.7</v>
      </c>
    </row>
    <row r="82" spans="1:4" x14ac:dyDescent="0.55000000000000004">
      <c r="A82" s="17">
        <v>2020</v>
      </c>
      <c r="B82" s="3">
        <v>16.600000000000001</v>
      </c>
      <c r="C82" s="3">
        <v>7.4</v>
      </c>
      <c r="D82" s="3">
        <f t="shared" si="1"/>
        <v>9.2000000000000011</v>
      </c>
    </row>
    <row r="83" spans="1:4" x14ac:dyDescent="0.55000000000000004">
      <c r="A83" s="17">
        <v>2021</v>
      </c>
      <c r="B83" s="3">
        <v>16.399999999999999</v>
      </c>
      <c r="C83" s="3">
        <v>9.3000000000000007</v>
      </c>
      <c r="D83" s="3">
        <f t="shared" si="1"/>
        <v>7.0999999999999979</v>
      </c>
    </row>
    <row r="84" spans="1:4" x14ac:dyDescent="0.55000000000000004">
      <c r="A84" s="17">
        <v>2022</v>
      </c>
      <c r="B84" s="3">
        <v>16.2</v>
      </c>
      <c r="C84" s="3">
        <v>6.4</v>
      </c>
      <c r="D84" s="3">
        <f t="shared" si="1"/>
        <v>9.7999999999999989</v>
      </c>
    </row>
    <row r="85" spans="1:4" x14ac:dyDescent="0.55000000000000004">
      <c r="A85" s="17">
        <v>2023</v>
      </c>
      <c r="B85" s="3">
        <v>15.9</v>
      </c>
      <c r="C85" s="3">
        <v>5.5</v>
      </c>
      <c r="D85" s="3">
        <f t="shared" si="1"/>
        <v>10.4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sqref="A1:D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4" t="s">
        <v>115</v>
      </c>
      <c r="C1" s="24"/>
      <c r="D1" s="24" t="s">
        <v>75</v>
      </c>
      <c r="E1" s="2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sqref="A1:D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4.4" x14ac:dyDescent="0.55000000000000004"/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55000000000000004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55000000000000004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55000000000000004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55000000000000004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55000000000000004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55000000000000004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55000000000000004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55000000000000004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55000000000000004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55000000000000004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55000000000000004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55000000000000004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55000000000000004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55000000000000004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55000000000000004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55000000000000004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55000000000000004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55000000000000004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55000000000000004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55000000000000004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55000000000000004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55000000000000004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55000000000000004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55000000000000004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55000000000000004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55000000000000004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55000000000000004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55000000000000004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55000000000000004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55000000000000004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55000000000000004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55000000000000004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55000000000000004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55000000000000004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55000000000000004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55000000000000004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55000000000000004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55000000000000004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55000000000000004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55000000000000004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55000000000000004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55000000000000004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55000000000000004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55000000000000004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55000000000000004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55000000000000004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55000000000000004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55000000000000004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55000000000000004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55000000000000004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55000000000000004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55000000000000004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55000000000000004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55000000000000004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55000000000000004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55000000000000004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55000000000000004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55000000000000004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55000000000000004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55000000000000004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55000000000000004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55000000000000004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55000000000000004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55000000000000004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55000000000000004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55000000000000004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55000000000000004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55000000000000004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55000000000000004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55000000000000004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55000000000000004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55000000000000004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55000000000000004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55000000000000004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55000000000000004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55000000000000004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55000000000000004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55000000000000004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55000000000000004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55000000000000004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55000000000000004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55000000000000004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55000000000000004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55000000000000004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55000000000000004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55000000000000004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55000000000000004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55000000000000004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55000000000000004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55000000000000004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55000000000000004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55000000000000004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55000000000000004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55000000000000004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55000000000000004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55000000000000004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55000000000000004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55000000000000004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55000000000000004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55000000000000004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55000000000000004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55000000000000004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55000000000000004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55000000000000004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55000000000000004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55000000000000004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55000000000000004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55000000000000004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55000000000000004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2" sqref="F2:K2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4" t="s">
        <v>115</v>
      </c>
      <c r="C1" s="24"/>
      <c r="D1" s="24" t="s">
        <v>75</v>
      </c>
      <c r="E1" s="24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D110"/>
  <sheetViews>
    <sheetView workbookViewId="0">
      <selection activeCell="AG12" sqref="AG1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4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</row>
    <row r="4" spans="1:4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</row>
    <row r="5" spans="1:4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</row>
    <row r="6" spans="1:4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</row>
    <row r="7" spans="1:4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</row>
    <row r="8" spans="1:4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</row>
    <row r="9" spans="1:4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</row>
    <row r="10" spans="1:4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</row>
    <row r="11" spans="1:4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</row>
    <row r="12" spans="1:4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</row>
    <row r="13" spans="1:4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</row>
    <row r="14" spans="1:4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</row>
    <row r="15" spans="1:4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</row>
    <row r="16" spans="1:4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</row>
    <row r="17" spans="1:4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</row>
    <row r="18" spans="1:4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</row>
    <row r="19" spans="1:4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</row>
    <row r="20" spans="1:4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</row>
    <row r="21" spans="1:4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</row>
    <row r="22" spans="1:4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</row>
    <row r="23" spans="1:4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4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4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4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4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4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4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4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4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4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1</vt:i4>
      </vt:variant>
    </vt:vector>
  </HeadingPairs>
  <TitlesOfParts>
    <vt:vector size="32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Гондурас-правка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</vt:lpstr>
      <vt:lpstr>Мексика-Колвер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2026-06-05T01:49:54Z</dcterms:modified>
</cp:coreProperties>
</file>