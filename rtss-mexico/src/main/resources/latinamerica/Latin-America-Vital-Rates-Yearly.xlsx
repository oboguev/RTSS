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3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6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7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C30692B2-3250-40F7-B7BE-B06736BA37B7}" xr6:coauthVersionLast="47" xr6:coauthVersionMax="47" xr10:uidLastSave="{00000000-0000-0000-0000-000000000000}"/>
  <bookViews>
    <workbookView xWindow="57480" yWindow="-120" windowWidth="51840" windowHeight="21120" tabRatio="746" firstSheet="24" activeTab="33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-Бриньоли" sheetId="42" r:id="rId12"/>
    <sheet name="Гватемала-Колвер" sheetId="7" r:id="rId13"/>
    <sheet name="Гватемала-Колвер-без-кризиса" sheetId="41" r:id="rId14"/>
    <sheet name="Гондурас-Бриньоли" sheetId="44" r:id="rId15"/>
    <sheet name="Гондурас-Колвер" sheetId="22" r:id="rId16"/>
    <sheet name="Гондурас-Колвер-правка" sheetId="32" r:id="rId17"/>
    <sheet name="Доминиканская республика" sheetId="33" r:id="rId18"/>
    <sheet name="Колумбия" sheetId="8" r:id="rId19"/>
    <sheet name="Коста-Рика-Бриньоли-1993" sheetId="25" r:id="rId20"/>
    <sheet name="Коста-Рика-Бриньоли-2015" sheetId="46" r:id="rId21"/>
    <sheet name="Коста-Рика-Колвер" sheetId="6" r:id="rId22"/>
    <sheet name="Куба-все" sheetId="40" r:id="rId23"/>
    <sheet name="Куба-Бриньоли" sheetId="26" r:id="rId24"/>
    <sheet name="Куба-Колвер" sheetId="18" r:id="rId25"/>
    <sheet name="Мексика-Бриньоли-WPP" sheetId="29" r:id="rId26"/>
    <sheet name="Мексика-Бриньоли-WPP-реформа" sheetId="38" r:id="rId27"/>
    <sheet name="Мексика-Бриньоли-CONAPO" sheetId="34" r:id="rId28"/>
    <sheet name="Мексика-Бриньоли-CONAPO-реформа" sheetId="39" r:id="rId29"/>
    <sheet name="Мексика-Колвер-WPP" sheetId="19" r:id="rId30"/>
    <sheet name="Мексика-Колвер-WPP-реформа" sheetId="36" r:id="rId31"/>
    <sheet name="Мексика-Колвер-CONAPO" sheetId="35" r:id="rId32"/>
    <sheet name="Мексика-Колвер-CONAPO-реформа" sheetId="37" r:id="rId33"/>
    <sheet name="Никарагуа-Бриньоли" sheetId="45" r:id="rId34"/>
    <sheet name="Панама" sheetId="17" r:id="rId35"/>
    <sheet name="Парагвай" sheetId="10" r:id="rId36"/>
    <sheet name="Перу" sheetId="11" r:id="rId37"/>
    <sheet name="Сальвадор-Бриньоли" sheetId="43" r:id="rId38"/>
    <sheet name="Сальвадор-Колвер" sheetId="12" r:id="rId39"/>
    <sheet name="Уругвай-Бриньоли" sheetId="27" r:id="rId40"/>
    <sheet name="Уругвай-Ротман" sheetId="16" r:id="rId41"/>
    <sheet name="Уругвай-Митчел" sheetId="20" r:id="rId42"/>
    <sheet name="Чили-Бриньоли" sheetId="28" r:id="rId43"/>
    <sheet name="Чили-Колвер" sheetId="13" r:id="rId44"/>
    <sheet name="Эквадор" sheetId="9" r:id="rId45"/>
  </sheets>
  <definedNames>
    <definedName name="LIFT" localSheetId="16">'Гондурас-Колвер-правка'!$B$118</definedName>
    <definedName name="LIF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3" i="46" l="1"/>
  <c r="A124" i="46" s="1"/>
  <c r="A125" i="46" s="1"/>
  <c r="A126" i="46" s="1"/>
  <c r="A127" i="46" s="1"/>
  <c r="A128" i="46" s="1"/>
  <c r="A129" i="46" s="1"/>
  <c r="A130" i="46" s="1"/>
  <c r="A131" i="46" s="1"/>
  <c r="A132" i="46" s="1"/>
  <c r="A133" i="46" s="1"/>
  <c r="A134" i="46" s="1"/>
  <c r="A135" i="46" s="1"/>
  <c r="A136" i="46" s="1"/>
  <c r="A137" i="46" s="1"/>
  <c r="A138" i="46" s="1"/>
  <c r="A139" i="46" s="1"/>
  <c r="A140" i="46" s="1"/>
  <c r="A141" i="46" s="1"/>
  <c r="A142" i="46" s="1"/>
  <c r="A143" i="46" s="1"/>
  <c r="A144" i="46" s="1"/>
  <c r="A145" i="46" s="1"/>
  <c r="A146" i="46" s="1"/>
  <c r="A122" i="46"/>
  <c r="A62" i="45"/>
  <c r="A63" i="45" s="1"/>
  <c r="A64" i="45" s="1"/>
  <c r="A65" i="45" s="1"/>
  <c r="A66" i="45" s="1"/>
  <c r="A67" i="45" s="1"/>
  <c r="A68" i="45" s="1"/>
  <c r="A69" i="45" s="1"/>
  <c r="A70" i="45" s="1"/>
  <c r="A71" i="45" s="1"/>
  <c r="A72" i="45" s="1"/>
  <c r="A73" i="45" s="1"/>
  <c r="A74" i="45" s="1"/>
  <c r="A75" i="45" s="1"/>
  <c r="A76" i="45" s="1"/>
  <c r="A77" i="45" s="1"/>
  <c r="A78" i="45" s="1"/>
  <c r="A79" i="45" s="1"/>
  <c r="A80" i="45" s="1"/>
  <c r="A81" i="45" s="1"/>
  <c r="A82" i="45" s="1"/>
  <c r="A83" i="45" s="1"/>
  <c r="A84" i="45" s="1"/>
  <c r="A85" i="45" s="1"/>
  <c r="A86" i="45" s="1"/>
  <c r="A87" i="45" s="1"/>
  <c r="A88" i="45" s="1"/>
  <c r="A89" i="45" s="1"/>
  <c r="A90" i="45" s="1"/>
  <c r="A91" i="45" s="1"/>
  <c r="A92" i="45" s="1"/>
  <c r="A93" i="45" s="1"/>
  <c r="A61" i="45"/>
  <c r="A100" i="43"/>
  <c r="A101" i="43" s="1"/>
  <c r="A102" i="43" s="1"/>
  <c r="A103" i="43" s="1"/>
  <c r="A104" i="43" s="1"/>
  <c r="A105" i="43" s="1"/>
  <c r="A106" i="43" s="1"/>
  <c r="A107" i="43" s="1"/>
  <c r="A108" i="43" s="1"/>
  <c r="A109" i="43" s="1"/>
  <c r="A110" i="43" s="1"/>
  <c r="A111" i="43" s="1"/>
  <c r="A112" i="43" s="1"/>
  <c r="A113" i="43" s="1"/>
  <c r="A114" i="43" s="1"/>
  <c r="A115" i="43" s="1"/>
  <c r="A116" i="43" s="1"/>
  <c r="A117" i="43" s="1"/>
  <c r="A118" i="43" s="1"/>
  <c r="A119" i="43" s="1"/>
  <c r="A120" i="43" s="1"/>
  <c r="A121" i="43" s="1"/>
  <c r="A122" i="43" s="1"/>
  <c r="A123" i="43" s="1"/>
  <c r="A124" i="43" s="1"/>
  <c r="A125" i="43" s="1"/>
  <c r="A126" i="43" s="1"/>
  <c r="A127" i="43" s="1"/>
  <c r="A99" i="43"/>
  <c r="A93" i="44"/>
  <c r="A94" i="44" s="1"/>
  <c r="A95" i="44" s="1"/>
  <c r="A96" i="44" s="1"/>
  <c r="A97" i="44" s="1"/>
  <c r="A98" i="44" s="1"/>
  <c r="A99" i="44" s="1"/>
  <c r="A100" i="44" s="1"/>
  <c r="A101" i="44" s="1"/>
  <c r="A102" i="44" s="1"/>
  <c r="A103" i="44" s="1"/>
  <c r="A104" i="44" s="1"/>
  <c r="A105" i="44" s="1"/>
  <c r="A106" i="44" s="1"/>
  <c r="A107" i="44" s="1"/>
  <c r="A108" i="44" s="1"/>
  <c r="A109" i="44" s="1"/>
  <c r="A110" i="44" s="1"/>
  <c r="A111" i="44" s="1"/>
  <c r="A112" i="44" s="1"/>
  <c r="A113" i="44" s="1"/>
  <c r="A114" i="44" s="1"/>
  <c r="A115" i="44" s="1"/>
  <c r="A116" i="44" s="1"/>
  <c r="A92" i="44"/>
  <c r="A91" i="44"/>
  <c r="A121" i="42"/>
  <c r="A122" i="42" s="1"/>
  <c r="A123" i="42" s="1"/>
  <c r="A124" i="42" s="1"/>
  <c r="A125" i="42" s="1"/>
  <c r="A126" i="42" s="1"/>
  <c r="A127" i="42" s="1"/>
  <c r="A128" i="42" s="1"/>
  <c r="A129" i="42" s="1"/>
  <c r="A130" i="42" s="1"/>
  <c r="A131" i="42" s="1"/>
  <c r="A132" i="42" s="1"/>
  <c r="A133" i="42" s="1"/>
  <c r="A134" i="42" s="1"/>
  <c r="A135" i="42" s="1"/>
  <c r="A136" i="42" s="1"/>
  <c r="A137" i="42" s="1"/>
  <c r="A138" i="42" s="1"/>
  <c r="A139" i="42" s="1"/>
  <c r="A140" i="42" s="1"/>
  <c r="A141" i="42" s="1"/>
  <c r="A142" i="42" s="1"/>
  <c r="A143" i="42" s="1"/>
  <c r="A144" i="42" s="1"/>
  <c r="A145" i="42" s="1"/>
  <c r="A146" i="42" s="1"/>
  <c r="A120" i="42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J69" i="26"/>
  <c r="J70" i="26"/>
  <c r="J125" i="40" l="1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G131" i="37" l="1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J44" i="37" s="1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J36" i="37" s="1"/>
  <c r="G35" i="37"/>
  <c r="F35" i="37"/>
  <c r="G34" i="37"/>
  <c r="K34" i="37" s="1"/>
  <c r="F34" i="37"/>
  <c r="G33" i="37"/>
  <c r="F33" i="37"/>
  <c r="J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L25" i="37" s="1"/>
  <c r="G24" i="37"/>
  <c r="F24" i="37"/>
  <c r="G23" i="37"/>
  <c r="F23" i="37"/>
  <c r="G22" i="37"/>
  <c r="F22" i="37"/>
  <c r="G21" i="37"/>
  <c r="F21" i="37"/>
  <c r="G20" i="37"/>
  <c r="F20" i="37"/>
  <c r="J20" i="37" s="1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L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J127" i="39"/>
  <c r="I127" i="39"/>
  <c r="J126" i="39"/>
  <c r="I126" i="39"/>
  <c r="J125" i="39"/>
  <c r="I125" i="39"/>
  <c r="K125" i="39" s="1"/>
  <c r="J124" i="39"/>
  <c r="I124" i="39"/>
  <c r="J123" i="39"/>
  <c r="I123" i="39"/>
  <c r="K123" i="39" s="1"/>
  <c r="J122" i="39"/>
  <c r="I122" i="39"/>
  <c r="K122" i="39" s="1"/>
  <c r="J121" i="39"/>
  <c r="I121" i="39"/>
  <c r="J120" i="39"/>
  <c r="I120" i="39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J115" i="39"/>
  <c r="I115" i="39"/>
  <c r="J114" i="39"/>
  <c r="I114" i="39"/>
  <c r="K114" i="39" s="1"/>
  <c r="J113" i="39"/>
  <c r="I113" i="39"/>
  <c r="J112" i="39"/>
  <c r="K112" i="39" s="1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K107" i="39" s="1"/>
  <c r="J106" i="39"/>
  <c r="I106" i="39"/>
  <c r="J105" i="39"/>
  <c r="I105" i="39"/>
  <c r="J104" i="39"/>
  <c r="I104" i="39"/>
  <c r="J103" i="39"/>
  <c r="I103" i="39"/>
  <c r="J102" i="39"/>
  <c r="I102" i="39"/>
  <c r="K102" i="39" s="1"/>
  <c r="J101" i="39"/>
  <c r="I101" i="39"/>
  <c r="K101" i="39" s="1"/>
  <c r="J100" i="39"/>
  <c r="I100" i="39"/>
  <c r="J99" i="39"/>
  <c r="I99" i="39"/>
  <c r="K99" i="39" s="1"/>
  <c r="J98" i="39"/>
  <c r="I98" i="39"/>
  <c r="K98" i="39" s="1"/>
  <c r="J97" i="39"/>
  <c r="I97" i="39"/>
  <c r="J96" i="39"/>
  <c r="I96" i="39"/>
  <c r="J95" i="39"/>
  <c r="I95" i="39"/>
  <c r="K95" i="39" s="1"/>
  <c r="J94" i="39"/>
  <c r="I94" i="39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J85" i="39"/>
  <c r="I85" i="39"/>
  <c r="K85" i="39" s="1"/>
  <c r="A85" i="39"/>
  <c r="H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H82" i="39"/>
  <c r="J81" i="39"/>
  <c r="I81" i="39"/>
  <c r="H81" i="39"/>
  <c r="J80" i="39"/>
  <c r="I80" i="39"/>
  <c r="H80" i="39"/>
  <c r="J79" i="39"/>
  <c r="I79" i="39"/>
  <c r="H79" i="39"/>
  <c r="J78" i="39"/>
  <c r="I78" i="39"/>
  <c r="H78" i="39"/>
  <c r="J77" i="39"/>
  <c r="I77" i="39"/>
  <c r="H77" i="39"/>
  <c r="J76" i="39"/>
  <c r="I76" i="39"/>
  <c r="K76" i="39" s="1"/>
  <c r="H76" i="39"/>
  <c r="J75" i="39"/>
  <c r="I75" i="39"/>
  <c r="H75" i="39"/>
  <c r="J74" i="39"/>
  <c r="I74" i="39"/>
  <c r="H74" i="39"/>
  <c r="J73" i="39"/>
  <c r="I73" i="39"/>
  <c r="H73" i="39"/>
  <c r="J72" i="39"/>
  <c r="K72" i="39" s="1"/>
  <c r="I72" i="39"/>
  <c r="H72" i="39"/>
  <c r="J71" i="39"/>
  <c r="I71" i="39"/>
  <c r="H71" i="39"/>
  <c r="J70" i="39"/>
  <c r="I70" i="39"/>
  <c r="K70" i="39" s="1"/>
  <c r="H70" i="39"/>
  <c r="J69" i="39"/>
  <c r="I69" i="39"/>
  <c r="H69" i="39"/>
  <c r="J68" i="39"/>
  <c r="I68" i="39"/>
  <c r="K68" i="39" s="1"/>
  <c r="H68" i="39"/>
  <c r="J67" i="39"/>
  <c r="I67" i="39"/>
  <c r="K67" i="39" s="1"/>
  <c r="H67" i="39"/>
  <c r="J66" i="39"/>
  <c r="I66" i="39"/>
  <c r="H66" i="39"/>
  <c r="J65" i="39"/>
  <c r="I65" i="39"/>
  <c r="K65" i="39" s="1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H59" i="39"/>
  <c r="J58" i="39"/>
  <c r="I58" i="39"/>
  <c r="H58" i="39"/>
  <c r="J57" i="39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H50" i="39"/>
  <c r="J49" i="39"/>
  <c r="I49" i="39"/>
  <c r="K49" i="39" s="1"/>
  <c r="H49" i="39"/>
  <c r="J48" i="39"/>
  <c r="I48" i="39"/>
  <c r="H48" i="39"/>
  <c r="J47" i="39"/>
  <c r="I47" i="39"/>
  <c r="H47" i="39"/>
  <c r="J46" i="39"/>
  <c r="I46" i="39"/>
  <c r="K46" i="39" s="1"/>
  <c r="H46" i="39"/>
  <c r="J45" i="39"/>
  <c r="I45" i="39"/>
  <c r="H45" i="39"/>
  <c r="J44" i="39"/>
  <c r="I44" i="39"/>
  <c r="K44" i="39" s="1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K39" i="39" s="1"/>
  <c r="I39" i="39"/>
  <c r="H39" i="39"/>
  <c r="J38" i="39"/>
  <c r="I38" i="39"/>
  <c r="K38" i="39" s="1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K24" i="39" s="1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K17" i="39" s="1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J128" i="38"/>
  <c r="I128" i="38"/>
  <c r="K128" i="38" s="1"/>
  <c r="J127" i="38"/>
  <c r="I127" i="38"/>
  <c r="K127" i="38" s="1"/>
  <c r="J126" i="38"/>
  <c r="I126" i="38"/>
  <c r="J125" i="38"/>
  <c r="I125" i="38"/>
  <c r="J124" i="38"/>
  <c r="I124" i="38"/>
  <c r="K124" i="38" s="1"/>
  <c r="J123" i="38"/>
  <c r="I123" i="38"/>
  <c r="K123" i="38" s="1"/>
  <c r="K122" i="38"/>
  <c r="J122" i="38"/>
  <c r="I122" i="38"/>
  <c r="J121" i="38"/>
  <c r="I121" i="38"/>
  <c r="J120" i="38"/>
  <c r="I120" i="38"/>
  <c r="K120" i="38" s="1"/>
  <c r="J119" i="38"/>
  <c r="I119" i="38"/>
  <c r="J118" i="38"/>
  <c r="I118" i="38"/>
  <c r="J117" i="38"/>
  <c r="I117" i="38"/>
  <c r="J116" i="38"/>
  <c r="I116" i="38"/>
  <c r="K116" i="38" s="1"/>
  <c r="J115" i="38"/>
  <c r="I115" i="38"/>
  <c r="J114" i="38"/>
  <c r="I114" i="38"/>
  <c r="K114" i="38" s="1"/>
  <c r="J113" i="38"/>
  <c r="I113" i="38"/>
  <c r="J112" i="38"/>
  <c r="I112" i="38"/>
  <c r="K112" i="38" s="1"/>
  <c r="J111" i="38"/>
  <c r="I111" i="38"/>
  <c r="J110" i="38"/>
  <c r="I110" i="38"/>
  <c r="K110" i="38" s="1"/>
  <c r="J109" i="38"/>
  <c r="I109" i="38"/>
  <c r="J108" i="38"/>
  <c r="I108" i="38"/>
  <c r="J107" i="38"/>
  <c r="I107" i="38"/>
  <c r="K107" i="38" s="1"/>
  <c r="J106" i="38"/>
  <c r="I106" i="38"/>
  <c r="K106" i="38" s="1"/>
  <c r="J105" i="38"/>
  <c r="I105" i="38"/>
  <c r="J104" i="38"/>
  <c r="I104" i="38"/>
  <c r="J103" i="38"/>
  <c r="K103" i="38" s="1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J96" i="38"/>
  <c r="I96" i="38"/>
  <c r="K96" i="38" s="1"/>
  <c r="J95" i="38"/>
  <c r="I95" i="38"/>
  <c r="J94" i="38"/>
  <c r="I94" i="38"/>
  <c r="K94" i="38" s="1"/>
  <c r="J93" i="38"/>
  <c r="K93" i="38" s="1"/>
  <c r="I93" i="38"/>
  <c r="J92" i="38"/>
  <c r="I92" i="38"/>
  <c r="K92" i="38" s="1"/>
  <c r="J91" i="38"/>
  <c r="I91" i="38"/>
  <c r="J90" i="38"/>
  <c r="I90" i="38"/>
  <c r="K90" i="38" s="1"/>
  <c r="J89" i="38"/>
  <c r="K89" i="38" s="1"/>
  <c r="I89" i="38"/>
  <c r="J88" i="38"/>
  <c r="I88" i="38"/>
  <c r="J87" i="38"/>
  <c r="I87" i="38"/>
  <c r="J86" i="38"/>
  <c r="I86" i="38"/>
  <c r="K86" i="38" s="1"/>
  <c r="J85" i="38"/>
  <c r="I85" i="38"/>
  <c r="J84" i="38"/>
  <c r="I84" i="38"/>
  <c r="K84" i="38" s="1"/>
  <c r="A84" i="38"/>
  <c r="H84" i="38" s="1"/>
  <c r="J83" i="38"/>
  <c r="I83" i="38"/>
  <c r="H83" i="38"/>
  <c r="J82" i="38"/>
  <c r="I82" i="38"/>
  <c r="H82" i="38"/>
  <c r="J81" i="38"/>
  <c r="I81" i="38"/>
  <c r="K81" i="38" s="1"/>
  <c r="H81" i="38"/>
  <c r="J80" i="38"/>
  <c r="I80" i="38"/>
  <c r="H80" i="38"/>
  <c r="J79" i="38"/>
  <c r="I79" i="38"/>
  <c r="K79" i="38" s="1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H70" i="38"/>
  <c r="J69" i="38"/>
  <c r="I69" i="38"/>
  <c r="K69" i="38" s="1"/>
  <c r="H69" i="38"/>
  <c r="J68" i="38"/>
  <c r="I68" i="38"/>
  <c r="K68" i="38" s="1"/>
  <c r="H68" i="38"/>
  <c r="J67" i="38"/>
  <c r="I67" i="38"/>
  <c r="H67" i="38"/>
  <c r="J66" i="38"/>
  <c r="I66" i="38"/>
  <c r="H66" i="38"/>
  <c r="J65" i="38"/>
  <c r="I65" i="38"/>
  <c r="K65" i="38" s="1"/>
  <c r="H65" i="38"/>
  <c r="J64" i="38"/>
  <c r="I64" i="38"/>
  <c r="H64" i="38"/>
  <c r="J63" i="38"/>
  <c r="I63" i="38"/>
  <c r="K63" i="38" s="1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H54" i="38"/>
  <c r="J53" i="38"/>
  <c r="I53" i="38"/>
  <c r="K53" i="38" s="1"/>
  <c r="H53" i="38"/>
  <c r="J52" i="38"/>
  <c r="I52" i="38"/>
  <c r="K52" i="38" s="1"/>
  <c r="H52" i="38"/>
  <c r="J51" i="38"/>
  <c r="I51" i="38"/>
  <c r="H51" i="38"/>
  <c r="J50" i="38"/>
  <c r="I50" i="38"/>
  <c r="H50" i="38"/>
  <c r="J49" i="38"/>
  <c r="I49" i="38"/>
  <c r="K49" i="38" s="1"/>
  <c r="H49" i="38"/>
  <c r="J48" i="38"/>
  <c r="I48" i="38"/>
  <c r="H48" i="38"/>
  <c r="J47" i="38"/>
  <c r="I47" i="38"/>
  <c r="K47" i="38" s="1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H38" i="38"/>
  <c r="J37" i="38"/>
  <c r="I37" i="38"/>
  <c r="K37" i="38" s="1"/>
  <c r="H37" i="38"/>
  <c r="J36" i="38"/>
  <c r="I36" i="38"/>
  <c r="K36" i="38" s="1"/>
  <c r="H36" i="38"/>
  <c r="J35" i="38"/>
  <c r="I35" i="38"/>
  <c r="H35" i="38"/>
  <c r="J34" i="38"/>
  <c r="I34" i="38"/>
  <c r="H34" i="38"/>
  <c r="J33" i="38"/>
  <c r="I33" i="38"/>
  <c r="K33" i="38" s="1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H22" i="38"/>
  <c r="J21" i="38"/>
  <c r="I21" i="38"/>
  <c r="K21" i="38" s="1"/>
  <c r="H21" i="38"/>
  <c r="J20" i="38"/>
  <c r="I20" i="38"/>
  <c r="K20" i="38" s="1"/>
  <c r="H20" i="38"/>
  <c r="J19" i="38"/>
  <c r="I19" i="38"/>
  <c r="H19" i="38"/>
  <c r="J18" i="38"/>
  <c r="I18" i="38"/>
  <c r="H18" i="38"/>
  <c r="J17" i="38"/>
  <c r="I17" i="38"/>
  <c r="K17" i="38" s="1"/>
  <c r="H17" i="38"/>
  <c r="J16" i="38"/>
  <c r="I16" i="38"/>
  <c r="H16" i="38"/>
  <c r="J15" i="38"/>
  <c r="I15" i="38"/>
  <c r="K15" i="38" s="1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H6" i="38"/>
  <c r="J5" i="38"/>
  <c r="I5" i="38"/>
  <c r="K5" i="38" s="1"/>
  <c r="H5" i="38"/>
  <c r="J4" i="38"/>
  <c r="I4" i="38"/>
  <c r="K4" i="38" s="1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L46" i="37" s="1"/>
  <c r="I45" i="37"/>
  <c r="K45" i="37"/>
  <c r="J45" i="37"/>
  <c r="I44" i="37"/>
  <c r="K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I38" i="37"/>
  <c r="K38" i="37"/>
  <c r="J38" i="37"/>
  <c r="I37" i="37"/>
  <c r="K37" i="37"/>
  <c r="J37" i="37"/>
  <c r="I36" i="37"/>
  <c r="K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I19" i="37"/>
  <c r="K19" i="37"/>
  <c r="J19" i="37"/>
  <c r="I18" i="37"/>
  <c r="J18" i="37"/>
  <c r="I17" i="37"/>
  <c r="K17" i="37"/>
  <c r="I16" i="37"/>
  <c r="K16" i="37"/>
  <c r="J16" i="37"/>
  <c r="L16" i="37" s="1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61" i="36"/>
  <c r="A59" i="36"/>
  <c r="A60" i="36" s="1"/>
  <c r="L58" i="36"/>
  <c r="M58" i="36" s="1"/>
  <c r="J58" i="36"/>
  <c r="H58" i="36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F54" i="36"/>
  <c r="J53" i="36"/>
  <c r="H53" i="36"/>
  <c r="L53" i="36" s="1"/>
  <c r="G53" i="36"/>
  <c r="K53" i="36" s="1"/>
  <c r="F53" i="36"/>
  <c r="K52" i="36"/>
  <c r="J52" i="36"/>
  <c r="H52" i="36"/>
  <c r="L52" i="36" s="1"/>
  <c r="G52" i="36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L48" i="36"/>
  <c r="J48" i="36"/>
  <c r="H48" i="36"/>
  <c r="G48" i="36"/>
  <c r="K48" i="36" s="1"/>
  <c r="F48" i="36"/>
  <c r="J47" i="36"/>
  <c r="H47" i="36"/>
  <c r="L47" i="36" s="1"/>
  <c r="G47" i="36"/>
  <c r="K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M44" i="36" s="1"/>
  <c r="F44" i="36"/>
  <c r="K43" i="36"/>
  <c r="J43" i="36"/>
  <c r="H43" i="36"/>
  <c r="L43" i="36" s="1"/>
  <c r="G43" i="36"/>
  <c r="F43" i="36"/>
  <c r="J42" i="36"/>
  <c r="H42" i="36"/>
  <c r="L42" i="36" s="1"/>
  <c r="G42" i="36"/>
  <c r="K42" i="36" s="1"/>
  <c r="M42" i="36" s="1"/>
  <c r="F42" i="36"/>
  <c r="J41" i="36"/>
  <c r="H41" i="36"/>
  <c r="L41" i="36" s="1"/>
  <c r="G41" i="36"/>
  <c r="K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F35" i="36"/>
  <c r="J34" i="36"/>
  <c r="H34" i="36"/>
  <c r="L34" i="36" s="1"/>
  <c r="G34" i="36"/>
  <c r="K34" i="36" s="1"/>
  <c r="F34" i="36"/>
  <c r="L33" i="36"/>
  <c r="K33" i="36"/>
  <c r="J33" i="36"/>
  <c r="H33" i="36"/>
  <c r="G33" i="36"/>
  <c r="F33" i="36"/>
  <c r="J32" i="36"/>
  <c r="H32" i="36"/>
  <c r="L32" i="36" s="1"/>
  <c r="G32" i="36"/>
  <c r="K32" i="36" s="1"/>
  <c r="F32" i="36"/>
  <c r="J31" i="36"/>
  <c r="H31" i="36"/>
  <c r="L31" i="36" s="1"/>
  <c r="G31" i="36"/>
  <c r="K31" i="36" s="1"/>
  <c r="F31" i="36"/>
  <c r="J30" i="36"/>
  <c r="H30" i="36"/>
  <c r="L30" i="36" s="1"/>
  <c r="G30" i="36"/>
  <c r="K30" i="36" s="1"/>
  <c r="F30" i="36"/>
  <c r="K29" i="36"/>
  <c r="J29" i="36"/>
  <c r="H29" i="36"/>
  <c r="L29" i="36" s="1"/>
  <c r="G29" i="36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F25" i="36"/>
  <c r="J24" i="36"/>
  <c r="H24" i="36"/>
  <c r="L24" i="36" s="1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J19" i="36"/>
  <c r="H19" i="36"/>
  <c r="L19" i="36" s="1"/>
  <c r="G19" i="36"/>
  <c r="K19" i="36" s="1"/>
  <c r="F19" i="36"/>
  <c r="J18" i="36"/>
  <c r="H18" i="36"/>
  <c r="L18" i="36" s="1"/>
  <c r="G18" i="36"/>
  <c r="K18" i="36" s="1"/>
  <c r="F18" i="36"/>
  <c r="K17" i="36"/>
  <c r="J17" i="36"/>
  <c r="H17" i="36"/>
  <c r="L17" i="36" s="1"/>
  <c r="G17" i="36"/>
  <c r="F17" i="36"/>
  <c r="K16" i="36"/>
  <c r="J16" i="36"/>
  <c r="H16" i="36"/>
  <c r="L16" i="36" s="1"/>
  <c r="G16" i="36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F14" i="36"/>
  <c r="J13" i="36"/>
  <c r="H13" i="36"/>
  <c r="L13" i="36" s="1"/>
  <c r="G13" i="36"/>
  <c r="K13" i="36" s="1"/>
  <c r="F13" i="36"/>
  <c r="K12" i="36"/>
  <c r="J12" i="36"/>
  <c r="H12" i="36"/>
  <c r="L12" i="36" s="1"/>
  <c r="G12" i="36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M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M41" i="36" l="1"/>
  <c r="L39" i="37"/>
  <c r="K6" i="38"/>
  <c r="K22" i="38"/>
  <c r="K38" i="38"/>
  <c r="K54" i="38"/>
  <c r="K70" i="38"/>
  <c r="K87" i="38"/>
  <c r="K95" i="38"/>
  <c r="K11" i="39"/>
  <c r="K43" i="39"/>
  <c r="K48" i="39"/>
  <c r="K59" i="39"/>
  <c r="K86" i="39"/>
  <c r="K94" i="39"/>
  <c r="L33" i="37"/>
  <c r="M31" i="36"/>
  <c r="K18" i="38"/>
  <c r="K34" i="38"/>
  <c r="K50" i="38"/>
  <c r="K66" i="38"/>
  <c r="K82" i="38"/>
  <c r="K97" i="38"/>
  <c r="K105" i="38"/>
  <c r="K96" i="39"/>
  <c r="K103" i="39"/>
  <c r="K127" i="39"/>
  <c r="M35" i="36"/>
  <c r="M54" i="36"/>
  <c r="K129" i="38"/>
  <c r="K50" i="39"/>
  <c r="K82" i="39"/>
  <c r="K128" i="39"/>
  <c r="M14" i="36"/>
  <c r="M25" i="36"/>
  <c r="M43" i="36"/>
  <c r="M47" i="36"/>
  <c r="K45" i="39"/>
  <c r="K105" i="39"/>
  <c r="K113" i="39"/>
  <c r="K121" i="39"/>
  <c r="K115" i="38"/>
  <c r="M22" i="36"/>
  <c r="K9" i="39"/>
  <c r="K57" i="39"/>
  <c r="F59" i="36"/>
  <c r="H59" i="36"/>
  <c r="L59" i="36" s="1"/>
  <c r="K108" i="38"/>
  <c r="J59" i="36"/>
  <c r="K117" i="38"/>
  <c r="K31" i="39"/>
  <c r="K47" i="39"/>
  <c r="K79" i="39"/>
  <c r="K115" i="39"/>
  <c r="K125" i="38"/>
  <c r="K42" i="39"/>
  <c r="L42" i="37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A87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M59" i="36"/>
  <c r="H61" i="36"/>
  <c r="L61" i="36" s="1"/>
  <c r="G61" i="36"/>
  <c r="K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L18" i="35" s="1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J127" i="34"/>
  <c r="I127" i="34"/>
  <c r="J126" i="34"/>
  <c r="I126" i="34"/>
  <c r="J125" i="34"/>
  <c r="I125" i="34"/>
  <c r="J124" i="34"/>
  <c r="I124" i="34"/>
  <c r="J123" i="34"/>
  <c r="I123" i="34"/>
  <c r="J122" i="34"/>
  <c r="I122" i="34"/>
  <c r="K122" i="34" s="1"/>
  <c r="J121" i="34"/>
  <c r="I121" i="34"/>
  <c r="J120" i="34"/>
  <c r="I120" i="34"/>
  <c r="J119" i="34"/>
  <c r="I119" i="34"/>
  <c r="J118" i="34"/>
  <c r="I118" i="34"/>
  <c r="J117" i="34"/>
  <c r="I117" i="34"/>
  <c r="J116" i="34"/>
  <c r="I116" i="34"/>
  <c r="K116" i="34" s="1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J108" i="34"/>
  <c r="I108" i="34"/>
  <c r="J107" i="34"/>
  <c r="I107" i="34"/>
  <c r="J106" i="34"/>
  <c r="I106" i="34"/>
  <c r="J105" i="34"/>
  <c r="I105" i="34"/>
  <c r="J104" i="34"/>
  <c r="I104" i="34"/>
  <c r="J103" i="34"/>
  <c r="I103" i="34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H61" i="34"/>
  <c r="J60" i="34"/>
  <c r="I60" i="34"/>
  <c r="H60" i="34"/>
  <c r="J59" i="34"/>
  <c r="I59" i="34"/>
  <c r="K59" i="34" s="1"/>
  <c r="H59" i="34"/>
  <c r="J58" i="34"/>
  <c r="I58" i="34"/>
  <c r="H58" i="34"/>
  <c r="J57" i="34"/>
  <c r="I57" i="34"/>
  <c r="K57" i="34" s="1"/>
  <c r="H57" i="34"/>
  <c r="J56" i="34"/>
  <c r="I56" i="34"/>
  <c r="H56" i="34"/>
  <c r="J55" i="34"/>
  <c r="I55" i="34"/>
  <c r="K55" i="34" s="1"/>
  <c r="H55" i="34"/>
  <c r="J54" i="34"/>
  <c r="I54" i="34"/>
  <c r="H54" i="34"/>
  <c r="J53" i="34"/>
  <c r="I53" i="34"/>
  <c r="K53" i="34" s="1"/>
  <c r="H53" i="34"/>
  <c r="J52" i="34"/>
  <c r="I52" i="34"/>
  <c r="K52" i="34" s="1"/>
  <c r="H52" i="34"/>
  <c r="J51" i="34"/>
  <c r="I51" i="34"/>
  <c r="H51" i="34"/>
  <c r="J50" i="34"/>
  <c r="I50" i="34"/>
  <c r="K50" i="34" s="1"/>
  <c r="H50" i="34"/>
  <c r="K49" i="34"/>
  <c r="J49" i="34"/>
  <c r="I49" i="34"/>
  <c r="H49" i="34"/>
  <c r="J48" i="34"/>
  <c r="I48" i="34"/>
  <c r="H48" i="34"/>
  <c r="J47" i="34"/>
  <c r="I47" i="34"/>
  <c r="K47" i="34" s="1"/>
  <c r="H47" i="34"/>
  <c r="J46" i="34"/>
  <c r="I46" i="34"/>
  <c r="H46" i="34"/>
  <c r="J45" i="34"/>
  <c r="I45" i="34"/>
  <c r="H45" i="34"/>
  <c r="J44" i="34"/>
  <c r="I44" i="34"/>
  <c r="H44" i="34"/>
  <c r="J43" i="34"/>
  <c r="K43" i="34" s="1"/>
  <c r="I43" i="34"/>
  <c r="H43" i="34"/>
  <c r="J42" i="34"/>
  <c r="I42" i="34"/>
  <c r="K42" i="34" s="1"/>
  <c r="H42" i="34"/>
  <c r="J41" i="34"/>
  <c r="I41" i="34"/>
  <c r="K41" i="34" s="1"/>
  <c r="H41" i="34"/>
  <c r="J40" i="34"/>
  <c r="I40" i="34"/>
  <c r="K40" i="34" s="1"/>
  <c r="H40" i="34"/>
  <c r="J39" i="34"/>
  <c r="I39" i="34"/>
  <c r="H39" i="34"/>
  <c r="J38" i="34"/>
  <c r="K38" i="34" s="1"/>
  <c r="I38" i="34"/>
  <c r="H38" i="34"/>
  <c r="J37" i="34"/>
  <c r="I37" i="34"/>
  <c r="K37" i="34" s="1"/>
  <c r="H37" i="34"/>
  <c r="J36" i="34"/>
  <c r="I36" i="34"/>
  <c r="H36" i="34"/>
  <c r="J35" i="34"/>
  <c r="I35" i="34"/>
  <c r="K35" i="34" s="1"/>
  <c r="H35" i="34"/>
  <c r="J34" i="34"/>
  <c r="I34" i="34"/>
  <c r="H34" i="34"/>
  <c r="J33" i="34"/>
  <c r="I33" i="34"/>
  <c r="K33" i="34" s="1"/>
  <c r="H33" i="34"/>
  <c r="J32" i="34"/>
  <c r="I32" i="34"/>
  <c r="H32" i="34"/>
  <c r="J31" i="34"/>
  <c r="I31" i="34"/>
  <c r="H31" i="34"/>
  <c r="J30" i="34"/>
  <c r="I30" i="34"/>
  <c r="H30" i="34"/>
  <c r="J29" i="34"/>
  <c r="I29" i="34"/>
  <c r="K29" i="34" s="1"/>
  <c r="H29" i="34"/>
  <c r="J28" i="34"/>
  <c r="I28" i="34"/>
  <c r="K28" i="34" s="1"/>
  <c r="H28" i="34"/>
  <c r="J27" i="34"/>
  <c r="I27" i="34"/>
  <c r="K27" i="34" s="1"/>
  <c r="H27" i="34"/>
  <c r="J26" i="34"/>
  <c r="I26" i="34"/>
  <c r="K26" i="34" s="1"/>
  <c r="H26" i="34"/>
  <c r="J25" i="34"/>
  <c r="K25" i="34" s="1"/>
  <c r="I25" i="34"/>
  <c r="H25" i="34"/>
  <c r="J24" i="34"/>
  <c r="I24" i="34"/>
  <c r="H24" i="34"/>
  <c r="J23" i="34"/>
  <c r="I23" i="34"/>
  <c r="K23" i="34" s="1"/>
  <c r="H23" i="34"/>
  <c r="J22" i="34"/>
  <c r="I22" i="34"/>
  <c r="K22" i="34" s="1"/>
  <c r="H22" i="34"/>
  <c r="J21" i="34"/>
  <c r="I21" i="34"/>
  <c r="H21" i="34"/>
  <c r="J20" i="34"/>
  <c r="I20" i="34"/>
  <c r="H20" i="34"/>
  <c r="J19" i="34"/>
  <c r="I19" i="34"/>
  <c r="H19" i="34"/>
  <c r="J18" i="34"/>
  <c r="I18" i="34"/>
  <c r="K18" i="34" s="1"/>
  <c r="H18" i="34"/>
  <c r="J17" i="34"/>
  <c r="I17" i="34"/>
  <c r="K17" i="34" s="1"/>
  <c r="H17" i="34"/>
  <c r="J16" i="34"/>
  <c r="I16" i="34"/>
  <c r="H16" i="34"/>
  <c r="J15" i="34"/>
  <c r="I15" i="34"/>
  <c r="H15" i="34"/>
  <c r="J14" i="34"/>
  <c r="K14" i="34" s="1"/>
  <c r="I14" i="34"/>
  <c r="H14" i="34"/>
  <c r="J13" i="34"/>
  <c r="I13" i="34"/>
  <c r="K13" i="34" s="1"/>
  <c r="H13" i="34"/>
  <c r="J12" i="34"/>
  <c r="I12" i="34"/>
  <c r="K12" i="34" s="1"/>
  <c r="H12" i="34"/>
  <c r="J11" i="34"/>
  <c r="K11" i="34" s="1"/>
  <c r="I11" i="34"/>
  <c r="H11" i="34"/>
  <c r="K10" i="34"/>
  <c r="J10" i="34"/>
  <c r="I10" i="34"/>
  <c r="H10" i="34"/>
  <c r="J9" i="34"/>
  <c r="I9" i="34"/>
  <c r="H9" i="34"/>
  <c r="J8" i="34"/>
  <c r="K8" i="34" s="1"/>
  <c r="I8" i="34"/>
  <c r="H8" i="34"/>
  <c r="J7" i="34"/>
  <c r="I7" i="34"/>
  <c r="K7" i="34" s="1"/>
  <c r="H7" i="34"/>
  <c r="J6" i="34"/>
  <c r="I6" i="34"/>
  <c r="K6" i="34" s="1"/>
  <c r="H6" i="34"/>
  <c r="J5" i="34"/>
  <c r="I5" i="34"/>
  <c r="K5" i="34" s="1"/>
  <c r="H5" i="34"/>
  <c r="K4" i="34"/>
  <c r="J4" i="34"/>
  <c r="I4" i="34"/>
  <c r="H4" i="34"/>
  <c r="J3" i="34"/>
  <c r="I3" i="34"/>
  <c r="H3" i="34"/>
  <c r="K32" i="34" l="1"/>
  <c r="K48" i="34"/>
  <c r="K85" i="34"/>
  <c r="K109" i="34"/>
  <c r="K125" i="34"/>
  <c r="K9" i="34"/>
  <c r="K34" i="34"/>
  <c r="K44" i="34"/>
  <c r="K54" i="34"/>
  <c r="K103" i="34"/>
  <c r="K119" i="34"/>
  <c r="M61" i="36"/>
  <c r="K19" i="34"/>
  <c r="K60" i="34"/>
  <c r="K104" i="34"/>
  <c r="K128" i="34"/>
  <c r="K15" i="34"/>
  <c r="K20" i="34"/>
  <c r="K16" i="34"/>
  <c r="K21" i="34"/>
  <c r="K31" i="34"/>
  <c r="K46" i="34"/>
  <c r="L54" i="35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2" i="21"/>
  <c r="A41" i="21" s="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L60" i="37" l="1"/>
  <c r="L59" i="35"/>
  <c r="M62" i="36"/>
  <c r="A88" i="39"/>
  <c r="H87" i="39"/>
  <c r="A89" i="38"/>
  <c r="H88" i="38"/>
  <c r="K61" i="37"/>
  <c r="J61" i="37"/>
  <c r="L61" i="37" s="1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M63" i="36" l="1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M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R57" i="32" l="1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M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H58" i="29"/>
  <c r="J57" i="29"/>
  <c r="I57" i="29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H10" i="29"/>
  <c r="J9" i="29"/>
  <c r="I9" i="29"/>
  <c r="K9" i="29" s="1"/>
  <c r="H9" i="29"/>
  <c r="J8" i="29"/>
  <c r="I8" i="29"/>
  <c r="H8" i="29"/>
  <c r="J7" i="29"/>
  <c r="I7" i="29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J118" i="26"/>
  <c r="I118" i="26"/>
  <c r="J117" i="26"/>
  <c r="I117" i="26"/>
  <c r="J116" i="26"/>
  <c r="I116" i="26"/>
  <c r="J115" i="26"/>
  <c r="I115" i="26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J102" i="26"/>
  <c r="I102" i="26"/>
  <c r="J101" i="26"/>
  <c r="I101" i="26"/>
  <c r="J100" i="26"/>
  <c r="I100" i="26"/>
  <c r="J99" i="26"/>
  <c r="I99" i="26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J80" i="26"/>
  <c r="I80" i="26"/>
  <c r="J79" i="26"/>
  <c r="I79" i="26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I70" i="26"/>
  <c r="I69" i="26"/>
  <c r="J68" i="26"/>
  <c r="I68" i="26"/>
  <c r="H68" i="26"/>
  <c r="J67" i="26"/>
  <c r="I67" i="26"/>
  <c r="H67" i="26"/>
  <c r="J66" i="26"/>
  <c r="I66" i="26"/>
  <c r="H66" i="26"/>
  <c r="J65" i="26"/>
  <c r="I65" i="26"/>
  <c r="H65" i="26"/>
  <c r="J64" i="26"/>
  <c r="I64" i="26"/>
  <c r="H64" i="26"/>
  <c r="J63" i="26"/>
  <c r="I63" i="26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H54" i="26"/>
  <c r="J53" i="26"/>
  <c r="I53" i="26"/>
  <c r="H53" i="26"/>
  <c r="J52" i="26"/>
  <c r="I52" i="26"/>
  <c r="H52" i="26"/>
  <c r="J51" i="26"/>
  <c r="I51" i="26"/>
  <c r="H51" i="26"/>
  <c r="J50" i="26"/>
  <c r="I50" i="26"/>
  <c r="H50" i="26"/>
  <c r="J49" i="26"/>
  <c r="I49" i="26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H39" i="26"/>
  <c r="J38" i="26"/>
  <c r="I38" i="26"/>
  <c r="H38" i="26"/>
  <c r="J37" i="26"/>
  <c r="I37" i="26"/>
  <c r="H37" i="26"/>
  <c r="J36" i="26"/>
  <c r="I36" i="26"/>
  <c r="H36" i="26"/>
  <c r="J35" i="26"/>
  <c r="I35" i="26"/>
  <c r="H35" i="26"/>
  <c r="J34" i="26"/>
  <c r="I34" i="26"/>
  <c r="H34" i="26"/>
  <c r="J33" i="26"/>
  <c r="I33" i="26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H23" i="26"/>
  <c r="J22" i="26"/>
  <c r="I22" i="26"/>
  <c r="H22" i="26"/>
  <c r="J21" i="26"/>
  <c r="I21" i="26"/>
  <c r="H21" i="26"/>
  <c r="J20" i="26"/>
  <c r="I20" i="26"/>
  <c r="H20" i="26"/>
  <c r="J19" i="26"/>
  <c r="I19" i="26"/>
  <c r="K19" i="26" s="1"/>
  <c r="H19" i="26"/>
  <c r="J18" i="26"/>
  <c r="I18" i="26"/>
  <c r="H18" i="26"/>
  <c r="J17" i="26"/>
  <c r="I17" i="26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H7" i="26"/>
  <c r="J6" i="26"/>
  <c r="I6" i="26"/>
  <c r="H6" i="26"/>
  <c r="J5" i="26"/>
  <c r="I5" i="26"/>
  <c r="H5" i="26"/>
  <c r="J4" i="26"/>
  <c r="I4" i="26"/>
  <c r="H4" i="26"/>
  <c r="J3" i="26"/>
  <c r="I3" i="26"/>
  <c r="K3" i="26" s="1"/>
  <c r="H3" i="26"/>
  <c r="J122" i="28"/>
  <c r="I122" i="28"/>
  <c r="J121" i="28"/>
  <c r="I121" i="28"/>
  <c r="J120" i="28"/>
  <c r="I120" i="28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J168" i="28"/>
  <c r="I168" i="28"/>
  <c r="J167" i="28"/>
  <c r="I167" i="28"/>
  <c r="K167" i="28" s="1"/>
  <c r="J166" i="28"/>
  <c r="I166" i="28"/>
  <c r="J165" i="28"/>
  <c r="I165" i="28"/>
  <c r="J164" i="28"/>
  <c r="I164" i="28"/>
  <c r="J163" i="28"/>
  <c r="I163" i="28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J152" i="28"/>
  <c r="I152" i="28"/>
  <c r="J151" i="28"/>
  <c r="I151" i="28"/>
  <c r="K151" i="28" s="1"/>
  <c r="J150" i="28"/>
  <c r="I150" i="28"/>
  <c r="J149" i="28"/>
  <c r="I149" i="28"/>
  <c r="J148" i="28"/>
  <c r="I148" i="28"/>
  <c r="J147" i="28"/>
  <c r="I147" i="28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J136" i="28"/>
  <c r="I136" i="28"/>
  <c r="J135" i="28"/>
  <c r="I135" i="28"/>
  <c r="K135" i="28" s="1"/>
  <c r="J134" i="28"/>
  <c r="I134" i="28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K61" i="28" s="1"/>
  <c r="H61" i="28"/>
  <c r="J60" i="28"/>
  <c r="I60" i="28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K13" i="28" s="1"/>
  <c r="H13" i="28"/>
  <c r="J12" i="28"/>
  <c r="I12" i="28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J121" i="27"/>
  <c r="I121" i="27"/>
  <c r="J120" i="27"/>
  <c r="I120" i="27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J105" i="27"/>
  <c r="I105" i="27"/>
  <c r="J104" i="27"/>
  <c r="I104" i="27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J75" i="27"/>
  <c r="I75" i="27"/>
  <c r="J74" i="27"/>
  <c r="I74" i="27"/>
  <c r="K74" i="27" s="1"/>
  <c r="J73" i="27"/>
  <c r="I73" i="27"/>
  <c r="J72" i="27"/>
  <c r="I72" i="27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H65" i="27"/>
  <c r="J64" i="27"/>
  <c r="I64" i="27"/>
  <c r="H64" i="27"/>
  <c r="J63" i="27"/>
  <c r="I63" i="27"/>
  <c r="H63" i="27"/>
  <c r="J62" i="27"/>
  <c r="I62" i="27"/>
  <c r="H62" i="27"/>
  <c r="J61" i="27"/>
  <c r="I61" i="27"/>
  <c r="H61" i="27"/>
  <c r="J60" i="27"/>
  <c r="I60" i="27"/>
  <c r="H60" i="27"/>
  <c r="J59" i="27"/>
  <c r="I59" i="27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H46" i="27"/>
  <c r="J45" i="27"/>
  <c r="I45" i="27"/>
  <c r="H45" i="27"/>
  <c r="J44" i="27"/>
  <c r="I44" i="27"/>
  <c r="H44" i="27"/>
  <c r="J43" i="27"/>
  <c r="I43" i="27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H30" i="27"/>
  <c r="J29" i="27"/>
  <c r="I29" i="27"/>
  <c r="H29" i="27"/>
  <c r="J28" i="27"/>
  <c r="I28" i="27"/>
  <c r="H28" i="27"/>
  <c r="J27" i="27"/>
  <c r="I27" i="27"/>
  <c r="H27" i="27"/>
  <c r="J26" i="27"/>
  <c r="I26" i="27"/>
  <c r="H26" i="27"/>
  <c r="J25" i="27"/>
  <c r="I25" i="27"/>
  <c r="H25" i="27"/>
  <c r="J24" i="27"/>
  <c r="I24" i="27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H14" i="27"/>
  <c r="J13" i="27"/>
  <c r="I13" i="27"/>
  <c r="H13" i="27"/>
  <c r="J12" i="27"/>
  <c r="I12" i="27"/>
  <c r="H12" i="27"/>
  <c r="J11" i="27"/>
  <c r="I11" i="27"/>
  <c r="H11" i="27"/>
  <c r="J10" i="27"/>
  <c r="I10" i="27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J157" i="25"/>
  <c r="I157" i="25"/>
  <c r="K157" i="25" s="1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J141" i="25"/>
  <c r="I141" i="25"/>
  <c r="K141" i="25" s="1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K131" i="25" s="1"/>
  <c r="J130" i="25"/>
  <c r="I130" i="25"/>
  <c r="J129" i="25"/>
  <c r="I129" i="25"/>
  <c r="J128" i="25"/>
  <c r="I128" i="25"/>
  <c r="J127" i="25"/>
  <c r="I127" i="25"/>
  <c r="J126" i="25"/>
  <c r="I126" i="25"/>
  <c r="J125" i="25"/>
  <c r="I125" i="25"/>
  <c r="K125" i="25" s="1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K115" i="25" s="1"/>
  <c r="J114" i="25"/>
  <c r="I114" i="25"/>
  <c r="J113" i="25"/>
  <c r="I113" i="25"/>
  <c r="J112" i="25"/>
  <c r="I112" i="25"/>
  <c r="J111" i="25"/>
  <c r="I111" i="25"/>
  <c r="J110" i="25"/>
  <c r="I110" i="25"/>
  <c r="J109" i="25"/>
  <c r="I109" i="25"/>
  <c r="K109" i="25" s="1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K99" i="25" s="1"/>
  <c r="J98" i="25"/>
  <c r="I98" i="25"/>
  <c r="J97" i="25"/>
  <c r="I97" i="25"/>
  <c r="J96" i="25"/>
  <c r="I96" i="25"/>
  <c r="J95" i="25"/>
  <c r="I95" i="25"/>
  <c r="J94" i="25"/>
  <c r="I94" i="25"/>
  <c r="J93" i="25"/>
  <c r="I93" i="25"/>
  <c r="K93" i="25" s="1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H28" i="25"/>
  <c r="J27" i="25"/>
  <c r="I27" i="25"/>
  <c r="H27" i="25"/>
  <c r="J26" i="25"/>
  <c r="I26" i="25"/>
  <c r="H26" i="25"/>
  <c r="J25" i="25"/>
  <c r="I25" i="25"/>
  <c r="H25" i="25"/>
  <c r="J24" i="25"/>
  <c r="I24" i="25"/>
  <c r="H24" i="25"/>
  <c r="J23" i="25"/>
  <c r="I23" i="25"/>
  <c r="H23" i="25"/>
  <c r="J22" i="25"/>
  <c r="I22" i="25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J7" i="24"/>
  <c r="I7" i="24"/>
  <c r="K7" i="24" s="1"/>
  <c r="J6" i="24"/>
  <c r="I6" i="24"/>
  <c r="J5" i="24"/>
  <c r="I5" i="24"/>
  <c r="J4" i="24"/>
  <c r="I4" i="24"/>
  <c r="K4" i="24" s="1"/>
  <c r="J3" i="24"/>
  <c r="I3" i="24"/>
  <c r="K3" i="24" s="1"/>
  <c r="K8" i="24" l="1"/>
  <c r="K16" i="24"/>
  <c r="K24" i="24"/>
  <c r="K32" i="24"/>
  <c r="K40" i="24"/>
  <c r="K48" i="24"/>
  <c r="K56" i="24"/>
  <c r="K64" i="24"/>
  <c r="K94" i="25"/>
  <c r="K110" i="25"/>
  <c r="K126" i="25"/>
  <c r="K142" i="25"/>
  <c r="K158" i="25"/>
  <c r="K14" i="27"/>
  <c r="K30" i="27"/>
  <c r="K46" i="27"/>
  <c r="K62" i="27"/>
  <c r="K75" i="27"/>
  <c r="K17" i="26"/>
  <c r="K33" i="26"/>
  <c r="K49" i="26"/>
  <c r="K65" i="26"/>
  <c r="K37" i="29"/>
  <c r="K76" i="27"/>
  <c r="K7" i="26"/>
  <c r="K23" i="26"/>
  <c r="K39" i="26"/>
  <c r="K32" i="29"/>
  <c r="K80" i="29"/>
  <c r="K26" i="25"/>
  <c r="K134" i="28"/>
  <c r="K150" i="28"/>
  <c r="K166" i="28"/>
  <c r="K99" i="26"/>
  <c r="K35" i="26"/>
  <c r="K51" i="26"/>
  <c r="K67" i="26"/>
  <c r="K7" i="29"/>
  <c r="K48" i="25"/>
  <c r="K11" i="27"/>
  <c r="K27" i="27"/>
  <c r="K43" i="27"/>
  <c r="K59" i="27"/>
  <c r="R53" i="32"/>
  <c r="K6" i="25"/>
  <c r="K22" i="25"/>
  <c r="K65" i="27"/>
  <c r="K4" i="26"/>
  <c r="K12" i="27"/>
  <c r="K28" i="27"/>
  <c r="K44" i="27"/>
  <c r="K60" i="27"/>
  <c r="K72" i="27"/>
  <c r="K88" i="27"/>
  <c r="K104" i="27"/>
  <c r="K120" i="27"/>
  <c r="K12" i="28"/>
  <c r="K28" i="28"/>
  <c r="K44" i="28"/>
  <c r="K60" i="28"/>
  <c r="K63" i="26"/>
  <c r="K8" i="29"/>
  <c r="K137" i="28"/>
  <c r="K153" i="28"/>
  <c r="K169" i="28"/>
  <c r="K57" i="29"/>
  <c r="K73" i="29"/>
  <c r="K124" i="29"/>
  <c r="K119" i="26"/>
  <c r="K24" i="27"/>
  <c r="K106" i="27"/>
  <c r="K114" i="27"/>
  <c r="K122" i="27"/>
  <c r="K3" i="28"/>
  <c r="K19" i="28"/>
  <c r="K35" i="28"/>
  <c r="K51" i="28"/>
  <c r="K67" i="28"/>
  <c r="K147" i="28"/>
  <c r="K163" i="28"/>
  <c r="K96" i="28"/>
  <c r="K104" i="28"/>
  <c r="K112" i="28"/>
  <c r="K120" i="28"/>
  <c r="K6" i="26"/>
  <c r="K22" i="26"/>
  <c r="K38" i="26"/>
  <c r="K54" i="26"/>
  <c r="K10" i="29"/>
  <c r="K42" i="29"/>
  <c r="K58" i="29"/>
  <c r="K100" i="26"/>
  <c r="K118" i="26"/>
  <c r="K79" i="26"/>
  <c r="K103" i="26"/>
  <c r="K109" i="26"/>
  <c r="K115" i="26"/>
  <c r="K80" i="26"/>
  <c r="K86" i="26"/>
  <c r="K116" i="26"/>
  <c r="K52" i="26"/>
  <c r="K64" i="26"/>
  <c r="K68" i="26"/>
  <c r="K96" i="25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48" i="23"/>
  <c r="J124" i="23"/>
  <c r="J116" i="23"/>
  <c r="J108" i="23"/>
  <c r="J100" i="23"/>
  <c r="J84" i="23"/>
  <c r="J58" i="23"/>
  <c r="J42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J142" i="23" s="1"/>
  <c r="I141" i="23"/>
  <c r="H141" i="23"/>
  <c r="I140" i="23"/>
  <c r="H140" i="23"/>
  <c r="J140" i="23" s="1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J132" i="23" s="1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J126" i="23" s="1"/>
  <c r="I125" i="23"/>
  <c r="H125" i="23"/>
  <c r="J125" i="23" s="1"/>
  <c r="I124" i="23"/>
  <c r="H124" i="23"/>
  <c r="I123" i="23"/>
  <c r="H123" i="23"/>
  <c r="J123" i="23" s="1"/>
  <c r="I122" i="23"/>
  <c r="H122" i="23"/>
  <c r="J122" i="23" s="1"/>
  <c r="I121" i="23"/>
  <c r="J121" i="23" s="1"/>
  <c r="H121" i="23"/>
  <c r="I120" i="23"/>
  <c r="H120" i="23"/>
  <c r="I119" i="23"/>
  <c r="H119" i="23"/>
  <c r="I118" i="23"/>
  <c r="H118" i="23"/>
  <c r="I117" i="23"/>
  <c r="H117" i="23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J110" i="23" s="1"/>
  <c r="I109" i="23"/>
  <c r="H109" i="23"/>
  <c r="I108" i="23"/>
  <c r="H108" i="23"/>
  <c r="I107" i="23"/>
  <c r="H107" i="23"/>
  <c r="J107" i="23" s="1"/>
  <c r="I106" i="23"/>
  <c r="H106" i="23"/>
  <c r="J106" i="23" s="1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J94" i="23" s="1"/>
  <c r="I93" i="23"/>
  <c r="H93" i="23"/>
  <c r="I92" i="23"/>
  <c r="H92" i="23"/>
  <c r="J92" i="23" s="1"/>
  <c r="I91" i="23"/>
  <c r="H91" i="23"/>
  <c r="I90" i="23"/>
  <c r="H90" i="23"/>
  <c r="J90" i="23" s="1"/>
  <c r="I89" i="23"/>
  <c r="J89" i="23" s="1"/>
  <c r="H89" i="23"/>
  <c r="I88" i="23"/>
  <c r="H88" i="23"/>
  <c r="I87" i="23"/>
  <c r="H87" i="23"/>
  <c r="I86" i="23"/>
  <c r="H86" i="23"/>
  <c r="I85" i="23"/>
  <c r="H85" i="23"/>
  <c r="I84" i="23"/>
  <c r="H84" i="23"/>
  <c r="I83" i="23"/>
  <c r="H83" i="23"/>
  <c r="I82" i="23"/>
  <c r="H82" i="23"/>
  <c r="I81" i="23"/>
  <c r="H81" i="23"/>
  <c r="I78" i="23"/>
  <c r="H78" i="23"/>
  <c r="I77" i="23"/>
  <c r="H77" i="23"/>
  <c r="I76" i="23"/>
  <c r="H76" i="23"/>
  <c r="J76" i="23" s="1"/>
  <c r="I75" i="23"/>
  <c r="H75" i="23"/>
  <c r="J75" i="23" s="1"/>
  <c r="I74" i="23"/>
  <c r="H74" i="23"/>
  <c r="J74" i="23" s="1"/>
  <c r="I73" i="23"/>
  <c r="H73" i="23"/>
  <c r="I72" i="23"/>
  <c r="H72" i="23"/>
  <c r="I71" i="23"/>
  <c r="H71" i="23"/>
  <c r="I70" i="23"/>
  <c r="H70" i="23"/>
  <c r="I69" i="23"/>
  <c r="H69" i="23"/>
  <c r="I68" i="23"/>
  <c r="H68" i="23"/>
  <c r="J68" i="23" s="1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J60" i="23" s="1"/>
  <c r="I59" i="23"/>
  <c r="H59" i="23"/>
  <c r="I58" i="23"/>
  <c r="H58" i="23"/>
  <c r="I57" i="23"/>
  <c r="H57" i="23"/>
  <c r="J57" i="23" s="1"/>
  <c r="I56" i="23"/>
  <c r="H56" i="23"/>
  <c r="I55" i="23"/>
  <c r="H55" i="23"/>
  <c r="I54" i="23"/>
  <c r="H54" i="23"/>
  <c r="I53" i="23"/>
  <c r="H53" i="23"/>
  <c r="I52" i="23"/>
  <c r="H52" i="23"/>
  <c r="J52" i="23" s="1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J44" i="23" s="1"/>
  <c r="I43" i="23"/>
  <c r="J43" i="23" s="1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J36" i="23" s="1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J28" i="23" s="1"/>
  <c r="I27" i="23"/>
  <c r="H27" i="23"/>
  <c r="I26" i="23"/>
  <c r="H26" i="23"/>
  <c r="J26" i="23" s="1"/>
  <c r="I25" i="23"/>
  <c r="H25" i="23"/>
  <c r="J25" i="23" s="1"/>
  <c r="I24" i="23"/>
  <c r="H24" i="23"/>
  <c r="I23" i="23"/>
  <c r="H23" i="23"/>
  <c r="I22" i="23"/>
  <c r="H22" i="23"/>
  <c r="I21" i="23"/>
  <c r="H21" i="23"/>
  <c r="I20" i="23"/>
  <c r="H20" i="23"/>
  <c r="J20" i="23" s="1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J12" i="23" s="1"/>
  <c r="I11" i="23"/>
  <c r="H11" i="23"/>
  <c r="I10" i="23"/>
  <c r="H10" i="23"/>
  <c r="J10" i="23" s="1"/>
  <c r="I9" i="23"/>
  <c r="H9" i="23"/>
  <c r="J9" i="23" s="1"/>
  <c r="I8" i="23"/>
  <c r="H8" i="23"/>
  <c r="I7" i="23"/>
  <c r="H7" i="23"/>
  <c r="I6" i="23"/>
  <c r="H6" i="23"/>
  <c r="I5" i="23"/>
  <c r="H5" i="23"/>
  <c r="I4" i="23"/>
  <c r="H4" i="23"/>
  <c r="J4" i="23" s="1"/>
  <c r="I3" i="23"/>
  <c r="H3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69" i="27"/>
  <c r="H69" i="27" s="1"/>
  <c r="A84" i="29"/>
  <c r="H84" i="29" s="1"/>
  <c r="A69" i="26"/>
  <c r="H69" i="26" s="1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J105" i="23" l="1"/>
  <c r="J153" i="23"/>
  <c r="M66" i="36"/>
  <c r="J138" i="23"/>
  <c r="J154" i="23"/>
  <c r="J91" i="23"/>
  <c r="J73" i="23"/>
  <c r="J139" i="23"/>
  <c r="J41" i="23"/>
  <c r="A70" i="27"/>
  <c r="A71" i="27" s="1"/>
  <c r="A95" i="25"/>
  <c r="J3" i="23"/>
  <c r="J11" i="23"/>
  <c r="J19" i="23"/>
  <c r="J27" i="23"/>
  <c r="J35" i="23"/>
  <c r="J51" i="23"/>
  <c r="J59" i="23"/>
  <c r="J67" i="23"/>
  <c r="J85" i="23"/>
  <c r="J93" i="23"/>
  <c r="J101" i="23"/>
  <c r="J109" i="23"/>
  <c r="J117" i="23"/>
  <c r="J133" i="23"/>
  <c r="J141" i="23"/>
  <c r="J149" i="23"/>
  <c r="J5" i="23"/>
  <c r="J13" i="23"/>
  <c r="J21" i="23"/>
  <c r="J29" i="23"/>
  <c r="J37" i="23"/>
  <c r="J45" i="23"/>
  <c r="J53" i="23"/>
  <c r="J61" i="23"/>
  <c r="J69" i="23"/>
  <c r="J77" i="23"/>
  <c r="J87" i="23"/>
  <c r="J95" i="23"/>
  <c r="J103" i="23"/>
  <c r="J111" i="23"/>
  <c r="J119" i="23"/>
  <c r="J127" i="23"/>
  <c r="J135" i="23"/>
  <c r="J143" i="23"/>
  <c r="J151" i="23"/>
  <c r="L63" i="35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0" i="23" s="1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11" i="19" l="1"/>
  <c r="M35" i="19"/>
  <c r="H70" i="27"/>
  <c r="J79" i="23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F68" i="36"/>
  <c r="H68" i="36" s="1"/>
  <c r="L68" i="36" s="1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G75" i="19" s="1"/>
  <c r="K75" i="19" s="1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H76" i="19" s="1"/>
  <c r="L76" i="19" s="1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G77" i="19" s="1"/>
  <c r="K77" i="19" s="1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83" i="19"/>
  <c r="K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G69" i="19" s="1"/>
  <c r="K69" i="19" s="1"/>
  <c r="F85" i="19"/>
  <c r="F101" i="19"/>
  <c r="F117" i="19"/>
  <c r="H59" i="19"/>
  <c r="L59" i="19" s="1"/>
  <c r="H67" i="19"/>
  <c r="L67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M24" i="19"/>
  <c r="J83" i="19"/>
  <c r="J115" i="19"/>
  <c r="F72" i="19"/>
  <c r="H72" i="19" s="1"/>
  <c r="L72" i="19" s="1"/>
  <c r="F88" i="19"/>
  <c r="F104" i="19"/>
  <c r="F120" i="19"/>
  <c r="G61" i="19"/>
  <c r="K61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G70" i="19"/>
  <c r="K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H75" i="19" l="1"/>
  <c r="L75" i="19" s="1"/>
  <c r="G76" i="19"/>
  <c r="K76" i="19" s="1"/>
  <c r="M83" i="19"/>
  <c r="H77" i="19"/>
  <c r="L77" i="19" s="1"/>
  <c r="G68" i="36"/>
  <c r="K68" i="36" s="1"/>
  <c r="M68" i="36" s="1"/>
  <c r="M112" i="19"/>
  <c r="M62" i="19"/>
  <c r="M100" i="19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76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R37" i="32" s="1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L40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K118" i="3" s="1"/>
  <c r="M118" i="3" s="1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H113" i="3"/>
  <c r="L113" i="3" s="1"/>
  <c r="G113" i="3"/>
  <c r="K113" i="3" s="1"/>
  <c r="H112" i="3"/>
  <c r="L112" i="3" s="1"/>
  <c r="G112" i="3"/>
  <c r="K112" i="3" s="1"/>
  <c r="H111" i="3"/>
  <c r="L111" i="3" s="1"/>
  <c r="G111" i="3"/>
  <c r="K111" i="3" s="1"/>
  <c r="H110" i="3"/>
  <c r="L110" i="3" s="1"/>
  <c r="G110" i="3"/>
  <c r="K110" i="3" s="1"/>
  <c r="H109" i="3"/>
  <c r="L109" i="3" s="1"/>
  <c r="G109" i="3"/>
  <c r="K109" i="3" s="1"/>
  <c r="H108" i="3"/>
  <c r="L108" i="3" s="1"/>
  <c r="G108" i="3"/>
  <c r="K108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L64" i="3" s="1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K51" i="3" s="1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K43" i="3" s="1"/>
  <c r="H42" i="3"/>
  <c r="L42" i="3" s="1"/>
  <c r="G42" i="3"/>
  <c r="K42" i="3" s="1"/>
  <c r="H41" i="3"/>
  <c r="L41" i="3" s="1"/>
  <c r="G41" i="3"/>
  <c r="K41" i="3" s="1"/>
  <c r="H40" i="3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K27" i="3" s="1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110" i="3" l="1"/>
  <c r="H94" i="3"/>
  <c r="L94" i="3" s="1"/>
  <c r="L67" i="37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H70" i="36"/>
  <c r="L70" i="36" s="1"/>
  <c r="G70" i="36"/>
  <c r="K70" i="36" s="1"/>
  <c r="F70" i="36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L68" i="37" l="1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R109" i="32" s="1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H96" i="39" l="1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M72" i="36" l="1"/>
  <c r="M132" i="3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G73" i="36"/>
  <c r="K73" i="36" s="1"/>
  <c r="A74" i="36"/>
  <c r="F73" i="36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R111" i="32" l="1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H74" i="36"/>
  <c r="L74" i="36" s="1"/>
  <c r="F74" i="36"/>
  <c r="G74" i="36" s="1"/>
  <c r="K74" i="36" s="1"/>
  <c r="M74" i="36" s="1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R112" i="32" l="1"/>
  <c r="H99" i="39"/>
  <c r="A100" i="39"/>
  <c r="A101" i="38"/>
  <c r="H100" i="38"/>
  <c r="K73" i="37"/>
  <c r="J73" i="37"/>
  <c r="L73" i="37" s="1"/>
  <c r="A74" i="37"/>
  <c r="I73" i="37"/>
  <c r="J75" i="36"/>
  <c r="F75" i="36"/>
  <c r="H75" i="36"/>
  <c r="L75" i="36" s="1"/>
  <c r="G75" i="36"/>
  <c r="K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F135" i="3"/>
  <c r="M134" i="3"/>
  <c r="M135" i="3" l="1"/>
  <c r="M75" i="36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J73" i="35" l="1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G77" i="36"/>
  <c r="K77" i="36" s="1"/>
  <c r="F77" i="36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M77" i="36" l="1"/>
  <c r="A103" i="39"/>
  <c r="H102" i="39"/>
  <c r="H103" i="38"/>
  <c r="A104" i="38"/>
  <c r="R115" i="32"/>
  <c r="L75" i="37"/>
  <c r="K76" i="37"/>
  <c r="J76" i="37"/>
  <c r="I76" i="37"/>
  <c r="A77" i="37"/>
  <c r="J78" i="36"/>
  <c r="F78" i="36"/>
  <c r="H78" i="36"/>
  <c r="L78" i="36" s="1"/>
  <c r="G78" i="36"/>
  <c r="K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M78" i="36" l="1"/>
  <c r="L76" i="37"/>
  <c r="H103" i="39"/>
  <c r="A104" i="39"/>
  <c r="H104" i="38"/>
  <c r="A105" i="38"/>
  <c r="I77" i="37"/>
  <c r="K77" i="37"/>
  <c r="A78" i="37"/>
  <c r="J77" i="37"/>
  <c r="L77" i="37" s="1"/>
  <c r="H79" i="36"/>
  <c r="L79" i="36" s="1"/>
  <c r="G79" i="36"/>
  <c r="K79" i="36" s="1"/>
  <c r="M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J76" i="35" l="1"/>
  <c r="L76" i="35" s="1"/>
  <c r="A105" i="39"/>
  <c r="H104" i="39"/>
  <c r="R27" i="32"/>
  <c r="H105" i="38"/>
  <c r="A106" i="38"/>
  <c r="A79" i="37"/>
  <c r="I78" i="37"/>
  <c r="K78" i="37"/>
  <c r="J78" i="37"/>
  <c r="L78" i="37" s="1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A106" i="39" l="1"/>
  <c r="H105" i="39"/>
  <c r="A107" i="38"/>
  <c r="H106" i="38"/>
  <c r="K79" i="37"/>
  <c r="J79" i="37"/>
  <c r="L79" i="37" s="1"/>
  <c r="A80" i="37"/>
  <c r="I79" i="37"/>
  <c r="J81" i="36"/>
  <c r="F81" i="36"/>
  <c r="A82" i="36"/>
  <c r="H81" i="36"/>
  <c r="L81" i="36" s="1"/>
  <c r="G81" i="36"/>
  <c r="K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M81" i="36" l="1"/>
  <c r="H106" i="39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L79" i="35" l="1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M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R23" i="32" l="1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M84" i="36" l="1"/>
  <c r="H109" i="39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L82" i="35" l="1"/>
  <c r="M85" i="36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H111" i="39" l="1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M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13" i="39" l="1"/>
  <c r="H112" i="39"/>
  <c r="R19" i="32"/>
  <c r="H113" i="38"/>
  <c r="A114" i="38"/>
  <c r="I86" i="37"/>
  <c r="K86" i="37"/>
  <c r="A87" i="37"/>
  <c r="J86" i="37"/>
  <c r="L86" i="37" s="1"/>
  <c r="H88" i="36"/>
  <c r="L88" i="36" s="1"/>
  <c r="G88" i="36"/>
  <c r="K88" i="36" s="1"/>
  <c r="A89" i="36"/>
  <c r="F88" i="36"/>
  <c r="J88" i="36"/>
  <c r="L84" i="35"/>
  <c r="K85" i="35"/>
  <c r="J85" i="35"/>
  <c r="L85" i="35" s="1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M88" i="36" l="1"/>
  <c r="A114" i="39"/>
  <c r="H113" i="39"/>
  <c r="A115" i="38"/>
  <c r="H114" i="38"/>
  <c r="A88" i="37"/>
  <c r="K87" i="37"/>
  <c r="I87" i="37"/>
  <c r="J87" i="37"/>
  <c r="L87" i="37" s="1"/>
  <c r="A90" i="36"/>
  <c r="J89" i="36"/>
  <c r="F89" i="36"/>
  <c r="H89" i="36"/>
  <c r="L89" i="36" s="1"/>
  <c r="G89" i="36"/>
  <c r="K89" i="36" s="1"/>
  <c r="M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H114" i="39" l="1"/>
  <c r="A115" i="39"/>
  <c r="A116" i="38"/>
  <c r="H115" i="38"/>
  <c r="K88" i="37"/>
  <c r="J88" i="37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L88" i="37" l="1"/>
  <c r="L87" i="35"/>
  <c r="M90" i="36"/>
  <c r="H115" i="39"/>
  <c r="A116" i="39"/>
  <c r="R16" i="32"/>
  <c r="H116" i="38"/>
  <c r="A117" i="38"/>
  <c r="K89" i="37"/>
  <c r="I89" i="37"/>
  <c r="A90" i="37"/>
  <c r="J89" i="37"/>
  <c r="L89" i="37" s="1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M91" i="36" l="1"/>
  <c r="A117" i="39"/>
  <c r="H116" i="39"/>
  <c r="R15" i="32"/>
  <c r="H117" i="38"/>
  <c r="A118" i="38"/>
  <c r="A91" i="37"/>
  <c r="I90" i="37"/>
  <c r="K90" i="37"/>
  <c r="J90" i="37"/>
  <c r="L90" i="37" s="1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118" i="39" l="1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L91" i="37" l="1"/>
  <c r="M93" i="36"/>
  <c r="A119" i="39"/>
  <c r="H118" i="39"/>
  <c r="R13" i="32"/>
  <c r="A120" i="38"/>
  <c r="H119" i="38"/>
  <c r="I92" i="37"/>
  <c r="K92" i="37"/>
  <c r="A93" i="37"/>
  <c r="J92" i="37"/>
  <c r="L92" i="37" s="1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L91" i="35" l="1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M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L92" i="35" l="1"/>
  <c r="R11" i="32"/>
  <c r="H120" i="39"/>
  <c r="A121" i="39"/>
  <c r="A122" i="38"/>
  <c r="H121" i="38"/>
  <c r="L93" i="37"/>
  <c r="K94" i="37"/>
  <c r="J94" i="37"/>
  <c r="A95" i="37"/>
  <c r="I94" i="37"/>
  <c r="J96" i="36"/>
  <c r="H96" i="36"/>
  <c r="L96" i="36" s="1"/>
  <c r="F96" i="36"/>
  <c r="G96" i="36"/>
  <c r="K96" i="36" s="1"/>
  <c r="M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L94" i="37" l="1"/>
  <c r="H121" i="39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M97" i="36" l="1"/>
  <c r="H122" i="39"/>
  <c r="A123" i="39"/>
  <c r="H123" i="38"/>
  <c r="A124" i="38"/>
  <c r="R9" i="32"/>
  <c r="A97" i="37"/>
  <c r="K96" i="37"/>
  <c r="J96" i="37"/>
  <c r="L96" i="37" s="1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R8" i="32" l="1"/>
  <c r="A124" i="39"/>
  <c r="H123" i="39"/>
  <c r="A125" i="38"/>
  <c r="H124" i="38"/>
  <c r="K97" i="37"/>
  <c r="J97" i="37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L97" i="37" l="1"/>
  <c r="M99" i="36"/>
  <c r="R7" i="32"/>
  <c r="A125" i="39"/>
  <c r="H124" i="39"/>
  <c r="A126" i="38"/>
  <c r="H125" i="38"/>
  <c r="I98" i="37"/>
  <c r="K98" i="37"/>
  <c r="A99" i="37"/>
  <c r="J98" i="37"/>
  <c r="L98" i="37" s="1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M100" i="36" l="1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L98" i="35" l="1"/>
  <c r="M101" i="36"/>
  <c r="R5" i="32"/>
  <c r="H126" i="39"/>
  <c r="A127" i="39"/>
  <c r="A128" i="38"/>
  <c r="H127" i="38"/>
  <c r="L99" i="37"/>
  <c r="K100" i="37"/>
  <c r="J100" i="37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L100" i="37" l="1"/>
  <c r="M102" i="36"/>
  <c r="H127" i="39"/>
  <c r="A128" i="39"/>
  <c r="R4" i="32"/>
  <c r="H128" i="38"/>
  <c r="A129" i="38"/>
  <c r="H129" i="38" s="1"/>
  <c r="K101" i="37"/>
  <c r="I101" i="37"/>
  <c r="A102" i="37"/>
  <c r="J101" i="37"/>
  <c r="L101" i="37" s="1"/>
  <c r="H103" i="36"/>
  <c r="L103" i="36" s="1"/>
  <c r="G103" i="36"/>
  <c r="K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M103" i="36" l="1"/>
  <c r="R3" i="32"/>
  <c r="H128" i="39"/>
  <c r="A129" i="39"/>
  <c r="H129" i="39" s="1"/>
  <c r="A103" i="37"/>
  <c r="I102" i="37"/>
  <c r="K102" i="37"/>
  <c r="J102" i="37"/>
  <c r="L102" i="37" s="1"/>
  <c r="A105" i="36"/>
  <c r="F104" i="36"/>
  <c r="J104" i="36"/>
  <c r="H104" i="36"/>
  <c r="L104" i="36" s="1"/>
  <c r="G104" i="36"/>
  <c r="K104" i="36" s="1"/>
  <c r="M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K103" i="37" l="1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L103" i="37" l="1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L103" i="35" l="1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L105" i="37" l="1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K107" i="37" l="1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L106" i="35" l="1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L108" i="37" l="1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M111" i="36" l="1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L109" i="35" l="1"/>
  <c r="A112" i="37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L111" i="37" l="1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I113" i="37" l="1"/>
  <c r="K113" i="37"/>
  <c r="J113" i="37"/>
  <c r="L113" i="37" s="1"/>
  <c r="A114" i="37"/>
  <c r="H115" i="36"/>
  <c r="L115" i="36" s="1"/>
  <c r="G115" i="36"/>
  <c r="K115" i="36" s="1"/>
  <c r="M115" i="36" s="1"/>
  <c r="F115" i="36"/>
  <c r="A116" i="36"/>
  <c r="J115" i="36"/>
  <c r="L111" i="35"/>
  <c r="K112" i="35"/>
  <c r="J112" i="35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L112" i="35" l="1"/>
  <c r="A115" i="37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L113" i="35" l="1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L114" i="35" l="1"/>
  <c r="K116" i="37"/>
  <c r="I116" i="37"/>
  <c r="A117" i="37"/>
  <c r="J116" i="37"/>
  <c r="L116" i="37" s="1"/>
  <c r="H118" i="36"/>
  <c r="L118" i="36" s="1"/>
  <c r="G118" i="36"/>
  <c r="K118" i="36" s="1"/>
  <c r="A119" i="36"/>
  <c r="F118" i="36"/>
  <c r="J118" i="36"/>
  <c r="K115" i="35"/>
  <c r="J115" i="35"/>
  <c r="L115" i="35" s="1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M118" i="36" l="1"/>
  <c r="A118" i="37"/>
  <c r="I117" i="37"/>
  <c r="K117" i="37"/>
  <c r="J117" i="37"/>
  <c r="A120" i="36"/>
  <c r="H119" i="36"/>
  <c r="L119" i="36" s="1"/>
  <c r="J119" i="36"/>
  <c r="G119" i="36"/>
  <c r="K119" i="36" s="1"/>
  <c r="M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L117" i="37" l="1"/>
  <c r="K118" i="37"/>
  <c r="J118" i="37"/>
  <c r="L118" i="37" s="1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I119" i="37" l="1"/>
  <c r="K119" i="37"/>
  <c r="J119" i="37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L118" i="35" l="1"/>
  <c r="L119" i="37"/>
  <c r="A121" i="37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K121" i="37" l="1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M123" i="36" s="1"/>
  <c r="L119" i="35"/>
  <c r="I120" i="35"/>
  <c r="A121" i="35"/>
  <c r="K120" i="35"/>
  <c r="J120" i="35"/>
  <c r="A172" i="28"/>
  <c r="H171" i="28"/>
  <c r="A131" i="24"/>
  <c r="H130" i="24"/>
  <c r="A152" i="25"/>
  <c r="H151" i="25"/>
  <c r="A127" i="27"/>
  <c r="H126" i="27"/>
  <c r="L120" i="35" l="1"/>
  <c r="K122" i="37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L121" i="35" s="1"/>
  <c r="A122" i="35"/>
  <c r="I121" i="35"/>
  <c r="A153" i="25"/>
  <c r="H152" i="25"/>
  <c r="A132" i="24"/>
  <c r="H131" i="24"/>
  <c r="A128" i="27"/>
  <c r="H127" i="27"/>
  <c r="A173" i="28"/>
  <c r="H172" i="28"/>
  <c r="A124" i="37" l="1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L123" i="37" l="1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A124" i="35"/>
  <c r="I123" i="35"/>
  <c r="J123" i="35"/>
  <c r="K123" i="35"/>
  <c r="A155" i="25"/>
  <c r="H154" i="25"/>
  <c r="A134" i="24"/>
  <c r="H133" i="24"/>
  <c r="M126" i="36" l="1"/>
  <c r="K125" i="37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L124" i="35" s="1"/>
  <c r="A125" i="35"/>
  <c r="I124" i="35"/>
  <c r="A135" i="24"/>
  <c r="H134" i="24"/>
  <c r="A156" i="25"/>
  <c r="H155" i="25"/>
  <c r="M127" i="36" l="1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L126" i="37" l="1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M129" i="36" s="1"/>
  <c r="L125" i="35"/>
  <c r="I126" i="35"/>
  <c r="A127" i="35"/>
  <c r="J126" i="35"/>
  <c r="K126" i="35"/>
  <c r="A137" i="24"/>
  <c r="H136" i="24"/>
  <c r="A158" i="25"/>
  <c r="H157" i="25"/>
  <c r="K128" i="37" l="1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130" i="37" l="1"/>
  <c r="I129" i="37"/>
  <c r="K129" i="37"/>
  <c r="J129" i="37"/>
  <c r="J131" i="36"/>
  <c r="H131" i="36"/>
  <c r="L131" i="36" s="1"/>
  <c r="G131" i="36"/>
  <c r="K131" i="36" s="1"/>
  <c r="M131" i="36" s="1"/>
  <c r="F131" i="36"/>
  <c r="I128" i="35"/>
  <c r="A129" i="35"/>
  <c r="K128" i="35"/>
  <c r="J128" i="35"/>
  <c r="A139" i="24"/>
  <c r="H139" i="24" s="1"/>
  <c r="H138" i="24"/>
  <c r="A160" i="25"/>
  <c r="H159" i="25"/>
  <c r="L128" i="35" l="1"/>
  <c r="L129" i="37"/>
  <c r="K130" i="37"/>
  <c r="J130" i="37"/>
  <c r="L130" i="37" s="1"/>
  <c r="A131" i="37"/>
  <c r="I130" i="37"/>
  <c r="A130" i="35"/>
  <c r="I129" i="35"/>
  <c r="K129" i="35"/>
  <c r="J129" i="35"/>
  <c r="L129" i="35" s="1"/>
  <c r="A161" i="25"/>
  <c r="H160" i="25"/>
  <c r="I131" i="37" l="1"/>
  <c r="K131" i="37"/>
  <c r="J131" i="37"/>
  <c r="L131" i="37" s="1"/>
  <c r="K130" i="35"/>
  <c r="J130" i="35"/>
  <c r="L130" i="35" s="1"/>
  <c r="A131" i="35"/>
  <c r="I130" i="35"/>
  <c r="A162" i="25"/>
  <c r="H161" i="25"/>
  <c r="I131" i="35" l="1"/>
  <c r="K131" i="35"/>
  <c r="J131" i="35"/>
  <c r="L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<sst xmlns="http://schemas.openxmlformats.org/spreadsheetml/2006/main" count="725" uniqueCount="371">
  <si>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</si>
  <si>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</si>
  <si>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</si>
  <si>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</si>
  <si>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</si>
  <si>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</si>
  <si>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</si>
  <si>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</si>
  <si>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</si>
  <si>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</si>
  <si>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</si>
  <si>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</si>
  <si>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</si>
  <si>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</si>
  <si>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</si>
  <si>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</si>
  <si>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</si>
  <si>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</si>
  <si>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</si>
  <si>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</si>
  <si>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</si>
  <si>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</si>
  <si>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</si>
  <si>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</si>
  <si>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</si>
  <si>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</si>
  <si>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</si>
  <si>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</si>
  <si>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</si>
  <si>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</si>
  <si>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</si>
  <si>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</si>
  <si>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</si>
  <si>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</si>
  <si>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</si>
  <si>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</si>
  <si>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</si>
  <si>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</si>
  <si>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</si>
  <si>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</si>
  <si>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</si>
  <si>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</si>
  <si>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</si>
  <si>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</si>
  <si>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</si>
  <si>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</si>
  <si>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</si>
  <si>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</si>
  <si>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</si>
  <si>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</si>
  <si>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</si>
  <si>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</si>
  <si>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</si>
  <si>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</si>
  <si>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</si>
  <si>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</si>
  <si>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</si>
  <si>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</si>
  <si>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</si>
  <si>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</si>
  <si>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</si>
  <si>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</si>
  <si>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</si>
  <si>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</si>
  <si>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</si>
  <si>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</si>
  <si>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</si>
  <si>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</si>
  <si>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</si>
  <si>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</si>
  <si>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</si>
  <si>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</si>
  <si>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</si>
  <si>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</si>
  <si>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</si>
  <si>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</si>
  <si>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</si>
  <si>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</si>
  <si>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</si>
  <si>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</si>
  <si>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</si>
  <si>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</si>
  <si>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</si>
  <si>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</si>
  <si>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</si>
  <si>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</si>
  <si>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</si>
  <si>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</si>
  <si>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</si>
  <si>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</si>
  <si>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</si>
  <si>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</si>
  <si>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</si>
  <si>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</si>
  <si>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</si>
  <si>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</si>
  <si>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</si>
  <si>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</si>
  <si>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</si>
  <si>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</si>
  <si>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</si>
  <si>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</si>
  <si>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</si>
  <si>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</si>
  <si>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</si>
  <si>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</si>
  <si>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</si>
  <si>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</si>
  <si>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</si>
  <si>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</si>
  <si>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</si>
  <si>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</si>
  <si>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</si>
  <si>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</si>
  <si>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</si>
  <si>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</si>
  <si>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</si>
  <si>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</si>
  <si>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</si>
  <si>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</si>
  <si>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</si>
  <si>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</si>
  <si>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</si>
  <si>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</si>
  <si>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</si>
  <si>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</si>
  <si>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</si>
  <si>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</si>
  <si>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</si>
  <si>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</si>
  <si>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</si>
  <si>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</si>
  <si>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</si>
  <si>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</si>
  <si>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</si>
  <si>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</si>
  <si>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</si>
  <si>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</si>
  <si>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</si>
  <si>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</si>
  <si>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</si>
  <si>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</si>
  <si>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</si>
  <si>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</si>
  <si>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</si>
  <si>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</si>
  <si>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</si>
  <si>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</si>
  <si>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</si>
  <si>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</si>
  <si>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</si>
  <si>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</si>
  <si>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</si>
  <si>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</si>
  <si>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</si>
  <si>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</si>
  <si>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</si>
  <si>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</si>
  <si>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</si>
  <si>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</si>
  <si>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</si>
  <si>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</si>
  <si>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</si>
  <si>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</si>
  <si>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</si>
  <si>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</si>
  <si>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</si>
  <si>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</si>
  <si>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</si>
  <si>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</si>
  <si>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</si>
  <si>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</si>
  <si>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</si>
  <si>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</si>
  <si>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</si>
  <si>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</si>
  <si>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</si>
  <si>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</si>
  <si>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</si>
  <si>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</si>
  <si>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</si>
  <si>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</si>
  <si>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</si>
  <si>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</si>
  <si>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</si>
  <si>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</si>
  <si>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</si>
  <si>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</si>
  <si>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</si>
  <si>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</si>
  <si>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</si>
  <si>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</si>
  <si>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</si>
  <si>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</si>
  <si>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</si>
  <si>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</si>
  <si>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</si>
  <si>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</si>
  <si>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</si>
  <si>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</si>
  <si>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</si>
  <si>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</si>
  <si>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</si>
  <si>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</si>
  <si>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</si>
  <si>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</si>
  <si>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</si>
  <si>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</si>
  <si>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</si>
  <si>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</si>
  <si>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</si>
  <si>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</si>
  <si>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</si>
  <si>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</si>
  <si>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</si>
  <si>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</si>
  <si>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</si>
  <si>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</si>
  <si>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</si>
  <si>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</si>
  <si>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</si>
  <si>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</si>
  <si>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</si>
  <si>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</si>
  <si>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</si>
  <si>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</si>
  <si>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</si>
  <si>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</si>
  <si>
    <t>с-корр</t>
  </si>
  <si>
    <t>Всплеск смертности и спал рождаемости в Сальвадоре 1910-х гг. вероятно связаны с сочетанием</t>
  </si>
  <si>
    <t>испанского гриппа 1918 года и вулканической катастрофы 1917 года.</t>
  </si>
  <si>
    <t xml:space="preserve">уже в августе в Сан-Мигеле сообщалось о тысячах заболевших, к сентябрю болезнь затронула Сан-Сальвадор, </t>
  </si>
  <si>
    <t xml:space="preserve">а к 19 сентября была отмечена как распространившаяся по всей стране. </t>
  </si>
  <si>
    <t>Общее число умерших тогда, по-видимому, не было аккуратно подведено.</t>
  </si>
  <si>
    <t xml:space="preserve">Но одна эта катастрофа, вероятно, слишком локальна и кратковременна, чтобы объяснить весь пятилетний скачок смертности 1915–1919; </t>
  </si>
  <si>
    <t>грипп и сопутствующие эпидемические/санитарные последствия выглядят более сильным общенациональным фактором.</t>
  </si>
  <si>
    <t xml:space="preserve">Главный вклад в смертность дал грипп 1918 года, дополнительный — землетрясение и извержение 1917 года, </t>
  </si>
  <si>
    <t>а падение рождаемости отражает обычную для кризисов реакцию через откладывание браков и рождений.</t>
  </si>
  <si>
    <t xml:space="preserve">Извержение вулкана Сан-Сальвадор (Эль-Бокерон) в 1917 году стало событием, принесшим огромные разрушения Сальвадору. </t>
  </si>
  <si>
    <t xml:space="preserve">Спровоцированное серией мощных землетрясений, это извержение и вызванная им сейсмическая активность превратили столицу </t>
  </si>
  <si>
    <t>и окрестные города в руины, привели к испарению озера в вершинном кратере и открыли новые жерла, извергающие лаву.</t>
  </si>
  <si>
    <t xml:space="preserve">принесли прямые смерти и, что не менее важно, ухудшили санитарные условия и уязвимость населения. </t>
  </si>
  <si>
    <t xml:space="preserve">Испанский грипп распространился по стране примерно с августа по ноябрь 1918 года; </t>
  </si>
  <si>
    <t>Землетрясения, извержение, разрушения, пожары, повреждение водоснабжения, лава и пепел</t>
  </si>
  <si>
    <t>Главные события:</t>
  </si>
  <si>
    <t>1. Разрушительные землетрясения 1917–1918 гг.</t>
  </si>
  <si>
    <t xml:space="preserve">В декабре 1917 и январе 1918 была фактически разрушена Гватемала-сити. </t>
  </si>
  <si>
    <t xml:space="preserve">Современный отчёт Marshall H. Saville в Geographical Review прямо пишет, что город был “practically destroyed”; </t>
  </si>
  <si>
    <t xml:space="preserve">серия толчков началась ещё 17 ноября 1917, затем были сильные удары в рождественские дни, 3 января и 24 января 1918. </t>
  </si>
  <si>
    <t>К февралю, по оценке автора, около 40 тыс. человек покинули город, а почти все дома в городе и окрестностях были повреждены.</t>
  </si>
  <si>
    <t>https://archive.org/download/guatemalaearthqu00savirich/guatemalaearthqu00savirich.pdf</t>
  </si>
  <si>
    <t>2. Испанский грипп 1918–1919 гг.</t>
  </si>
  <si>
    <t xml:space="preserve">Это, вероятно, главный источник сверхсмертности. Richard N. Adams разбирает гватемальскую эпидемию по газетам и местным записям: </t>
  </si>
  <si>
    <t xml:space="preserve">официальный отчёт Министерства дал 325,220 случаев и 43,731 смертей, </t>
  </si>
  <si>
    <t xml:space="preserve">но Adams считает, что реальное число смертей могло быть существенно выше — примерно 75,000–150,000. </t>
  </si>
  <si>
    <t xml:space="preserve">Он также показывает, что местные данные могли резко занижаться: например, по San Marcos в подробных регистрах было не менее 4,000 смертей от инфлюэнцы, </t>
  </si>
  <si>
    <t>тогда как министерский отчёт давал только 1,152.</t>
  </si>
  <si>
    <t>https://dialnet.unirioja.es/descarga/articulo/2412876.pdf</t>
  </si>
  <si>
    <t>3. Жёлтая лихорадка в 1918 г. — но это второстепенно.</t>
  </si>
  <si>
    <t xml:space="preserve">Rockefeller Foundation сообщает об эпидемии жёлтой лихорадки в Гватемале с июня 1918 г.; </t>
  </si>
  <si>
    <t xml:space="preserve">она охватила 17 населённых пунктов западного побережья, было зарегистрировано 550 случаев и 200 смертей. </t>
  </si>
  <si>
    <t xml:space="preserve">Это реальное событие, но по масштабу оно слишком мало, чтобы объяснить национальный скачок смертности; </t>
  </si>
  <si>
    <t>скорее оно добавило небольшой вклад к общему санитарному кризису.</t>
  </si>
  <si>
    <t xml:space="preserve">Всплеск смертности в 1915–1919 почти наверняка вызван прежде всего испанским гриппом, усиленным разрушениями и дезорганизацией после землетрясений 1917–1918 гг. </t>
  </si>
  <si>
    <t xml:space="preserve">Падение рождаемости — кризисная реакция: болезни, смерти, перемещения, разрушение жилья, нарушение брачности и хозяйственной жизни. </t>
  </si>
  <si>
    <t>Быстрый отскок рождаемости в 1920–1924 хорошо подтверждает, что это был временный кризис, а не устойчивый переход рождаемости вниз.</t>
  </si>
  <si>
    <t>Сочетание нескольких событий вызвали кризисный всплеск смертности в 1915-1919 годах,</t>
  </si>
  <si>
    <t>который годичная интерполяция без настройки превращает в пик около 1917–1918 гг.</t>
  </si>
  <si>
    <t>Спад рождаемости в 1930-х вызван экономическим циклом.</t>
  </si>
  <si>
    <t xml:space="preserve">Колвер сам прямо пишет, что в 1930 г. ударила экономическая депрессия, и что её воздействие зависело от зависимости страны от внешних рынков и притока иностранного капитала. </t>
  </si>
  <si>
    <t xml:space="preserve">Он специально называет Чили, Гватемалу и Венесуэлу как страны, где CBR снизился примерно на 3‰ между 1925–1929 и 1930–1934, и добавляет, </t>
  </si>
  <si>
    <t>что часть провала объясняется откладыванием браков, а также безработицей и нарушением нормальной семейной жизни.</t>
  </si>
  <si>
    <t>https://www.milbank.org/wp-content/uploads/mq/volume-46/issue-03/46-3-part-2-Current-Trends-and-Differentials-in-Fertility-as-Revealed-by-Offical-Data.pdf</t>
  </si>
  <si>
    <t xml:space="preserve">Для Гватемалы это особенно правдоподобно: её экспортный сектор был почти полностью завязан на кофе и бананы, причём кофе давал около 77% экспортной выручки, бананы — около 13%; </t>
  </si>
  <si>
    <t xml:space="preserve">такая структура делала страну очень уязвимой к мировому кризису. </t>
  </si>
  <si>
    <t>https://www.cambridge.org/core/books/cambridge-history-of-latin-america/guatemala-since-1930/C6BEAE3D81431A0DCB557ED39D87A6D3</t>
  </si>
  <si>
    <t xml:space="preserve">Госдеповский исторический очерк формулирует ещё сильнее: к началу Великой депрессии экономика Гватемалы “nearly collapsed”; </t>
  </si>
  <si>
    <t>банкротства и безработица росли, а в 1931 г. элиты привели к власти Убико для восстановления порядка и экономической стабильности.</t>
  </si>
  <si>
    <t>https://history.state.gov/historicaldocuments/frus1952-54Guat/intro</t>
  </si>
  <si>
    <t xml:space="preserve">Важно: это не демографический переход вниз. Колвер прямо делает общий вывод, что в большинстве латиноамериканских стран после 1930 г. </t>
  </si>
  <si>
    <t xml:space="preserve">преобладающая тенденция рождаемости была скорее восходящей, а колебания рождаемости отвечали на изменения экономических и социальных условий; </t>
  </si>
  <si>
    <t>при улучшении условий рождаемость обычно росла.</t>
  </si>
  <si>
    <t>Поэтому схема выглядит так:</t>
  </si>
  <si>
    <t>1930-е: депрессия → падение доходов, безработица, социальная неуверенность → откладывание браков и рождений → падение CBR.</t>
  </si>
  <si>
    <t>1940-е: стабилизация экономики, восстановление экспортной конъюнктуры, затем послевоенный подъём → брачность и рождаемость возвращаются вверх.</t>
  </si>
  <si>
    <t>1910-е — провал от чрезвычайного кризиса: землетрясения + испанский грипп + дезорганизация.</t>
  </si>
  <si>
    <t>1920-е — восстановление и частичный компенсаторный отскок.</t>
  </si>
  <si>
    <t>1930-е — новый провал, но уже от Великой депрессии.</t>
  </si>
  <si>
    <t>Широко сглаженная базовая кривая, в которой 1915–1924 и 1930-е имеют малый вес.</t>
  </si>
  <si>
    <t>Намечена, но пока не построена.</t>
  </si>
  <si>
    <t>1940-е и 1950-е — восстановление/подъём на фоне экономической стабилизации и улучшения условий, а не собственно “послевоенный baby boom” в европейско-американском смысле.</t>
  </si>
  <si>
    <t>Потрясения 1973-1974 и 1998 годов -- это два крупнейших ураганных бедствия в истории Гондураса.</t>
  </si>
  <si>
    <t>1973–1974: ураган Fifi / Fifi-Orlene, сентябрь 1974.</t>
  </si>
  <si>
    <t xml:space="preserve">Точнее, событие относится к сентябрю 1974. Fifi прошёл вдоль северного побережья Гондураса, дал чрезвычайные дожди — </t>
  </si>
  <si>
    <t xml:space="preserve">до 610 мм за 36 часов в северных горных районах — вызвал селевые потоки и внезапные наводнения. </t>
  </si>
  <si>
    <t xml:space="preserve">За сутки Были разрушены 182 города и деревни; в Choloma погибло около 2300 человек; всего жертв было свыше 8000, </t>
  </si>
  <si>
    <t xml:space="preserve">почти все основные потери пришлись на Гондурас. </t>
  </si>
  <si>
    <t>NOAA/NHC также относит Fifi к штормам примерно с 8000 погибших и отмечает, что при таких катастрофах главной причиной смерти обычно было утопление, а не ветер.</t>
  </si>
  <si>
    <t>https://hurricanescience.org/history/storms/1970s/fifi/index.html</t>
  </si>
  <si>
    <t>https://www.nhc.noaa.gov/pastdeadly4.shtml</t>
  </si>
  <si>
    <t>1998: ураган Mitch, конец октября 1998.</t>
  </si>
  <si>
    <t xml:space="preserve">Mitch стал ураганом 5-й категории, 29 октября вышел на сушу и затем медленно прошёл через Гондурас, вызвав катастрофические наводнения и оползни. </t>
  </si>
  <si>
    <t xml:space="preserve">USGS пишет о более чем 5000 погибших в самом Гондурасе и более чем $4 млрд ущерба; гондурасские власти оценивали, что Mitch отбросил страну на 50 лет экономического развития. </t>
  </si>
  <si>
    <t xml:space="preserve">Другой обзор указывает, что из-за Mitch погибло не менее 11 тыс. человек в регионе, ещё 9191 числились пропавшими, </t>
  </si>
  <si>
    <t>а более 20% населения Гондураса осталось без жилья; было уничтожено около 70% урожая.</t>
  </si>
  <si>
    <t>https://pubs.usgs.gov/publication/wri20014266</t>
  </si>
  <si>
    <t>https://hurricanescience.org/history/storms/1990s/mitch/index.html</t>
  </si>
  <si>
    <t xml:space="preserve">С рождаемостью есть важная оговорка. Реальное поведенческое падение рождаемости после бедствия возможно: откладываются браки, семьи разлучаются, </t>
  </si>
  <si>
    <t xml:space="preserve">падает частота половых отношений, стресс и недоедание могут уменьшать зачатия. Но для Mitch авторы специально замечают, что из-за календаря катастрофы </t>
  </si>
  <si>
    <t xml:space="preserve">это должно было проявиться, если вообще проявилось, главным образом в рождениях июля–августа 1999, а не в 1998 году; к тому же данные 2001 года </t>
  </si>
  <si>
    <t>показывали рождаемость 1999–2001 чуть выше ожидаемой.</t>
  </si>
  <si>
    <t>https://ciaotest.cc.columbia.edu/wps/mag03/mag03.pdf</t>
  </si>
  <si>
    <t>Поэтому я бы интерпретировал так:</t>
  </si>
  <si>
    <t>всплеск смертности в 1974 и 1998 — реальный катастрофический эффект Fifi и Mitch;</t>
  </si>
  <si>
    <t xml:space="preserve">падение CBR в тот же год — частично возможно, но для позднегодовых ураганов подозрительно: оно может отражать нарушение регистрации, </t>
  </si>
  <si>
    <t xml:space="preserve">особенности годовой оценки/сглаживания, потери поздних беременностей и лишь в меньшей степени собственно падение зачатий. </t>
  </si>
  <si>
    <t>Для Fifi, случившегося в сентябре, тот же лаговый аргумент: чистый эффект на зачатия должен был бы сильнее появиться уже в 1975.</t>
  </si>
  <si>
    <t>Потрясения В Перу в 1970 году — это Великое перуанское / Анкашское землетрясение 31 мая 1970 года.</t>
  </si>
  <si>
    <t xml:space="preserve">Это было землетрясение у северного побережья Перу, величиной около 7.8–7.9, затронувшее прежде всего Анкаш и Ла-Либертад. </t>
  </si>
  <si>
    <t xml:space="preserve">Главное число погибших дала не только сама тряска, а вызванная ею гигантская лавина/селевой поток с горы Уаскаран, </t>
  </si>
  <si>
    <t xml:space="preserve">который похоронил Юнгай и соседние поселения. Оценки погибших обычно дают около 66–70 тыс. человек; </t>
  </si>
  <si>
    <t xml:space="preserve">USGS называет около 70 тыс. погибших, 150 тыс. раненых и катастрофическую лавину, похоронившую Юнгай. </t>
  </si>
  <si>
    <t>Britannica также даёт примерно 70 тыс. погибших и подчёркивает роль массовых оползней.</t>
  </si>
  <si>
    <t>Для всплеска смертности объяснение прямое: это одна из крупнейших природных катастроф XX века в Латинской Америке.</t>
  </si>
  <si>
    <t xml:space="preserve">С падением рождаемости надо осторожнее. Так как катастрофа произошла 31 мая, её влияние на зачатия должно было бы </t>
  </si>
  <si>
    <t>в основном проявиться в рождениях 1971 года, а не целиком в 1970-м. Поэтому падение CBR в 1970 может быть смесью нескольких вещей:</t>
  </si>
  <si>
    <t>реальные потери беременных женщин, выкидыши, преждевременные роды и ухудшение условий жизни во второй половине 1970 года;</t>
  </si>
  <si>
    <t>нарушение регистрации рождений в разрушенных районах;</t>
  </si>
  <si>
    <t>перемещение населения и административный хаос;</t>
  </si>
  <si>
    <t>возможный эффект методики годовой оценки, если ряд не является чистой регистрацией.</t>
  </si>
  <si>
    <t xml:space="preserve">То есть для Перу-1970 я бы трактовал так: пик CDR — реальный эффект землетрясения и лавины; провал CBR в том же году — </t>
  </si>
  <si>
    <t xml:space="preserve">вероятно частично реальный, но очень вероятно усилен регистрационным/оценочным артефактом. </t>
  </si>
  <si>
    <t>Наиболее “чистый” демографический эффект через падение зачатий должен был бы быть виден скорее в 1971 году.</t>
  </si>
  <si>
    <t>https://earthquake.usgs.gov/learn/today/index.php?day=31&amp;month=5</t>
  </si>
  <si>
    <t>https://www.britannica.com/event/Ancash-earthquake-of-1970</t>
  </si>
  <si>
    <t>Поотярсения в Сальвадоре в 1979–1983 — это начало гражданской войны и период максимального политического насилия.</t>
  </si>
  <si>
    <t xml:space="preserve">Всплеск смертности — реальный эффект гражданской войны, репрессий, эскадронов смерти, массовых убийств и боевых действий. </t>
  </si>
  <si>
    <t xml:space="preserve">Комиссия истины ООН прямо выделяет 1980–1983 как период “институционализации насилия”: систематические убийства, исчезновения, </t>
  </si>
  <si>
    <t xml:space="preserve">внесудебные казни, массовые расправы над сельским населением, Sumpul 1980, Lempa 1981, El Mozote 1981 и деятельность death squads. </t>
  </si>
  <si>
    <t>Она же пишет, что именно этот период дал наибольшее число смертей и нарушений прав человека.</t>
  </si>
  <si>
    <t>https://www.usip.org/sites/default/files/file/ElSalvador-Report.pdf</t>
  </si>
  <si>
    <t xml:space="preserve">По годам масштаб тоже виден. В 1981 году Christian Legal Aid сообщала о 12 501 погибшем; к 1981 году было уже 164 тыс. перемещённых лиц. </t>
  </si>
  <si>
    <t xml:space="preserve">В 1982 году, по данным посольства США, было 5639 убитых, а число внутренних беженцев достигло 226 744. </t>
  </si>
  <si>
    <t>В 1983 году церковные источники называли 6096 погибших от политического насилия, а суммарно перемещённые и бежавшие за границу составляли около 20% населения страны.</t>
  </si>
  <si>
    <t xml:space="preserve">Война продолжалась годами, поэтому она могла снижать зачатия почти синхронно с годовыми данными: разлучение супругов, бегство, мобилизация, </t>
  </si>
  <si>
    <t xml:space="preserve">страх, ухудшение питания и доходов, откладывание браков, разрушение нормальной жизни в сельских зонах. </t>
  </si>
  <si>
    <t>Сальвадорская рождаемость действительно быстро снижалась: один обзор 1988 года указывает падение TFR примерно с 6 детей на женщину в 1970-х до 4.4 в 1985.</t>
  </si>
  <si>
    <t>https://pubmed.ncbi.nlm.nih.gov/12342349/?utm_source=chatgpt.com</t>
  </si>
  <si>
    <t xml:space="preserve">Данные, вероятно, отражают смесь реального снижения рождаемости и нарушения регистрации/оценивания. </t>
  </si>
  <si>
    <t xml:space="preserve">При такой войне гражданская регистрация в районах боёв, массовых перемещений и эмиграции почти неизбежно ломалась. </t>
  </si>
  <si>
    <t xml:space="preserve">Особенно подозрительны одномоментные “ступеньки” вниз: они могут отражать не только меньшее число рождений, но и недоучёт рождений среди беженцев, </t>
  </si>
  <si>
    <t>перемещённых лиц и населения вне контроля государства.</t>
  </si>
  <si>
    <t xml:space="preserve">Итого: пик смертности — почти наверняка реальная война; провал рождаемости — частично реальная демографическая реакция на войну, </t>
  </si>
  <si>
    <t>частично возможный артефакт регистрации/оценок.</t>
  </si>
  <si>
    <t>Потрясения в Колумбии в 1985 году — прежде всего извержение вулкана Невадо-дель-Руис и трагедия Армеро, 13 ноября 1985.</t>
  </si>
  <si>
    <t xml:space="preserve">Извержение само по себе было не самым большим, но оно растопило ледники на вершине вулкана; вниз пошли мощные лахары — вулканические грязекаменные потоки. </t>
  </si>
  <si>
    <t xml:space="preserve">Самый разрушительный поток накрыл город Армеро. Smithsonian Global Volcanism Program пишет, что в Армеро погибло около 21 тыс. из 25 тыс. жителей; </t>
  </si>
  <si>
    <t>USGS называет катастрофу второй по смертности вулканической катастрофой XX века, с более чем 25 тыс. погибших.</t>
  </si>
  <si>
    <t>https://volcano.si.edu/showreport.cfm?doi=10.5479%2Fsi.GVP.SEAN198510-351020</t>
  </si>
  <si>
    <t xml:space="preserve">Всплеск смертности в 1985 объясняется именно этим. </t>
  </si>
  <si>
    <t xml:space="preserve">Была ещё осада Дворца правосудия в Боготе 6–7 ноября 1985 года, где погибло свыше 100 человек, включая судей Верховного суда, </t>
  </si>
  <si>
    <t>но в масштабе годового CDR страны это на порядок меньше Армеро.</t>
  </si>
  <si>
    <t>https://nsarchive.gwu.edu/briefing-book/colombia/2023-09-19/after-black-november-us-and-1985-palace-justice-tragedy</t>
  </si>
  <si>
    <t xml:space="preserve">С падением рождаемости нужна осторожность. Катастрофа произошла 13 ноября, то есть слишком поздно, чтобы обычный механизм </t>
  </si>
  <si>
    <t xml:space="preserve">“меньше зачатий → меньше рождений через 9 месяцев” заметно снизил рождения в самом 1985 году. Реальный эффект на зачатия </t>
  </si>
  <si>
    <t xml:space="preserve">должен был бы проявиться главным образом в 1986 году, особенно летом–осенью. Поэтому если в ряду видно падение CBR именно в 1985, </t>
  </si>
  <si>
    <t xml:space="preserve">я бы подозревал смесь: гибель беременных женщин и младенцев, нарушение регистрации в зоне бедствия, административный хаос, </t>
  </si>
  <si>
    <t>переселение и особенности оценки годового показателя.</t>
  </si>
  <si>
    <t xml:space="preserve">Итого: пик смертности — реальная катастрофа Армеро; провал рождаемости в том же 1985 году — вероятно не чистый поведенческий демографический эффект, </t>
  </si>
  <si>
    <t>а частично регистрационно-оценочный артефакт.</t>
  </si>
  <si>
    <t xml:space="preserve">р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</si>
</sst>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0" fillId="0" borderId="0" xfId="0" applyNumberFormat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'Гватемала-Колвер'!$C$1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'Гватемала-Колвер'!$D$1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Пока не сделано: Гватемала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Колвер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+ WPP)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тренд без кризиса 1910-х</a:t>
            </a:r>
            <a:endParaRPr lang="de-DE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'Гватемала-Колвер-без-кризиса'!$B$1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99-4376-BDB9-239E79B86513}"/>
            </c:ext>
          </c:extLst>
        </c:ser>
        <c:ser>
          <c:idx val="1"/>
          <c:order val="1"/>
          <c:tx>
            <c:strRef>
              <c:f>'Гватемала-Колвер-без-кризиса'!$C$1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99-4376-BDB9-239E79B86513}"/>
            </c:ext>
          </c:extLst>
        </c:ser>
        <c:ser>
          <c:idx val="2"/>
          <c:order val="2"/>
          <c:tx>
            <c:strRef>
              <c:f>'Гватемала-Колвер-без-кризиса'!$D$1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99-4376-BDB9-239E79B86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032287"/>
        <c:axId val="1627030367"/>
      </c:scatterChart>
      <c:valAx>
        <c:axId val="1627032287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30367"/>
        <c:crosses val="autoZero"/>
        <c:crossBetween val="midCat"/>
        <c:majorUnit val="10"/>
      </c:valAx>
      <c:valAx>
        <c:axId val="162703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3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'Гондурас-Колвер-правка'!$C$2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'Гондурас-Колвер-правка'!$E$2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'Гондурас-Колвер-правка'!$F$2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'Гондурас-Колвер-правка'!$I$2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'Гондурас-Колвер-правка'!$K$2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'Гондурас-Колвер-правка'!$D$2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'Гондурас-Колвер-правка'!$D$3:$D$116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'Гондурас-Колвер-правка'!$Q$2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'Гондурас-Колвер-правка'!$R$2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1993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'Коста-Рика-Бриньоли-1993'!$I$2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'Коста-Рика-Бриньоли-1993'!$J$2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'Коста-Рика-Бриньоли-1993'!$K$2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29.7316</c:v>
                </c:pt>
                <c:pt idx="49">
                  <c:v>29.682300000000001</c:v>
                </c:pt>
                <c:pt idx="50">
                  <c:v>29.6</c:v>
                </c:pt>
                <c:pt idx="51">
                  <c:v>29.292899999999999</c:v>
                </c:pt>
                <c:pt idx="52">
                  <c:v>28.713999999999999</c:v>
                </c:pt>
                <c:pt idx="53">
                  <c:v>28.058599999999998</c:v>
                </c:pt>
                <c:pt idx="54">
                  <c:v>27.522200000000002</c:v>
                </c:pt>
                <c:pt idx="55">
                  <c:v>27.3</c:v>
                </c:pt>
                <c:pt idx="56">
                  <c:v>28.007200000000001</c:v>
                </c:pt>
                <c:pt idx="57">
                  <c:v>29.6936</c:v>
                </c:pt>
                <c:pt idx="58">
                  <c:v>31.706399999999999</c:v>
                </c:pt>
                <c:pt idx="59">
                  <c:v>33.392800000000001</c:v>
                </c:pt>
                <c:pt idx="60">
                  <c:v>34.1</c:v>
                </c:pt>
                <c:pt idx="61">
                  <c:v>34.010399999999997</c:v>
                </c:pt>
                <c:pt idx="62">
                  <c:v>33.767200000000003</c:v>
                </c:pt>
                <c:pt idx="63">
                  <c:v>33.408799999999999</c:v>
                </c:pt>
                <c:pt idx="64">
                  <c:v>32.973599999999998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7.7506000000000004</c:v>
                </c:pt>
                <c:pt idx="49">
                  <c:v>7.5273000000000003</c:v>
                </c:pt>
                <c:pt idx="50">
                  <c:v>7.4</c:v>
                </c:pt>
                <c:pt idx="51">
                  <c:v>7.3348000000000004</c:v>
                </c:pt>
                <c:pt idx="52">
                  <c:v>7.2797000000000001</c:v>
                </c:pt>
                <c:pt idx="53">
                  <c:v>7.2370999999999999</c:v>
                </c:pt>
                <c:pt idx="54">
                  <c:v>7.2096999999999998</c:v>
                </c:pt>
                <c:pt idx="55">
                  <c:v>7.2</c:v>
                </c:pt>
                <c:pt idx="56">
                  <c:v>7.2103999999999999</c:v>
                </c:pt>
                <c:pt idx="57">
                  <c:v>7.2351999999999999</c:v>
                </c:pt>
                <c:pt idx="58">
                  <c:v>7.2648000000000001</c:v>
                </c:pt>
                <c:pt idx="59">
                  <c:v>7.2896000000000001</c:v>
                </c:pt>
                <c:pt idx="60">
                  <c:v>7.3</c:v>
                </c:pt>
                <c:pt idx="61">
                  <c:v>7.2888000000000002</c:v>
                </c:pt>
                <c:pt idx="62">
                  <c:v>7.2584</c:v>
                </c:pt>
                <c:pt idx="63">
                  <c:v>7.2135999999999996</c:v>
                </c:pt>
                <c:pt idx="64">
                  <c:v>7.1592000000000002</c:v>
                </c:pt>
                <c:pt idx="65">
                  <c:v>7.1</c:v>
                </c:pt>
                <c:pt idx="66">
                  <c:v>7.0659999999999998</c:v>
                </c:pt>
                <c:pt idx="67">
                  <c:v>7.0330000000000004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21.981000000000002</c:v>
                </c:pt>
                <c:pt idx="49">
                  <c:v>22.155000000000001</c:v>
                </c:pt>
                <c:pt idx="50">
                  <c:v>22.200000000000003</c:v>
                </c:pt>
                <c:pt idx="51">
                  <c:v>21.958099999999998</c:v>
                </c:pt>
                <c:pt idx="52">
                  <c:v>21.4343</c:v>
                </c:pt>
                <c:pt idx="53">
                  <c:v>20.8215</c:v>
                </c:pt>
                <c:pt idx="54">
                  <c:v>20.3125</c:v>
                </c:pt>
                <c:pt idx="55">
                  <c:v>20.100000000000001</c:v>
                </c:pt>
                <c:pt idx="56">
                  <c:v>20.796800000000001</c:v>
                </c:pt>
                <c:pt idx="57">
                  <c:v>22.458400000000001</c:v>
                </c:pt>
                <c:pt idx="58">
                  <c:v>24.441599999999998</c:v>
                </c:pt>
                <c:pt idx="59">
                  <c:v>26.103200000000001</c:v>
                </c:pt>
                <c:pt idx="60">
                  <c:v>26.8</c:v>
                </c:pt>
                <c:pt idx="61">
                  <c:v>26.721599999999995</c:v>
                </c:pt>
                <c:pt idx="62">
                  <c:v>26.508800000000001</c:v>
                </c:pt>
                <c:pt idx="63">
                  <c:v>26.1952</c:v>
                </c:pt>
                <c:pt idx="64">
                  <c:v>25.814399999999999</c:v>
                </c:pt>
                <c:pt idx="65">
                  <c:v>25.4</c:v>
                </c:pt>
                <c:pt idx="66">
                  <c:v>24.534000000000002</c:v>
                </c:pt>
                <c:pt idx="67">
                  <c:v>23.966999999999999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'Мексика-Колвер-CONAPO'!$K$2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'Мексика-Колвер-CONAPO'!$L$2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'Мексика-Колвер-CONAPO-реформа'!$K$2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'Мексика-Колвер-CONAPO-реформа'!$L$2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'Сальвадор-Колвер'!$C$1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'Сальвадор-Колвер'!$D$1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626745</xdr:colOff>
      <xdr:row>0</xdr:row>
      <xdr:rowOff>172402</xdr:rowOff>
    </xdr:from>
    <xdr:to>
      <xdr:col>27</xdr:col>
      <xdr:colOff>619125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B6AEF8-7506-CFA2-70B8-A51DAF3B2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601026</xdr:colOff>
      <xdr:row>2</xdr:row>
      <xdr:rowOff>179075</xdr:rowOff>
    </xdr:from>
    <xdr:to>
      <xdr:col>37</xdr:col>
      <xdr:colOff>9525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48"/>
  <sheetViews>
    <sheetView topLeftCell="A100" workbookViewId="0">
      <selection activeCell="A79" sqref="A79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120</v>
      </c>
      <c r="B52" s="3"/>
      <c r="C52" s="3"/>
      <c r="D52" s="3"/>
    </row>
    <row r="53" spans="1:4" x14ac:dyDescent="0.55000000000000004">
      <c r="A53" s="22"/>
      <c r="B53" s="3"/>
      <c r="C53" s="3"/>
      <c r="D53" s="3"/>
    </row>
    <row r="54" spans="1:4" x14ac:dyDescent="0.55000000000000004">
      <c r="A54" s="22"/>
      <c r="B54" s="3" t="s">
        <v>116</v>
      </c>
      <c r="C54" s="3"/>
      <c r="D54" s="3"/>
    </row>
    <row r="55" spans="1:4" x14ac:dyDescent="0.55000000000000004">
      <c r="A55" s="22"/>
      <c r="B55" s="3" t="s">
        <v>117</v>
      </c>
      <c r="C55" s="3"/>
      <c r="D55" s="3"/>
    </row>
    <row r="56" spans="1:4" x14ac:dyDescent="0.55000000000000004">
      <c r="A56" s="22"/>
      <c r="B56" s="3" t="s">
        <v>118</v>
      </c>
      <c r="C56" s="3"/>
      <c r="D56" s="3"/>
    </row>
    <row r="57" spans="1:4" x14ac:dyDescent="0.55000000000000004">
      <c r="A57" s="22"/>
      <c r="B57" s="3" t="s">
        <v>119</v>
      </c>
      <c r="C57" s="3"/>
      <c r="D57" s="3"/>
    </row>
    <row r="59" spans="1:4" x14ac:dyDescent="0.55000000000000004">
      <c r="B59" s="3" t="s">
        <v>127</v>
      </c>
    </row>
    <row r="60" spans="1:4" x14ac:dyDescent="0.55000000000000004">
      <c r="C60" s="3" t="s">
        <v>126</v>
      </c>
    </row>
    <row r="61" spans="1:4" x14ac:dyDescent="0.55000000000000004">
      <c r="C61" s="3" t="s">
        <v>121</v>
      </c>
    </row>
    <row r="62" spans="1:4" x14ac:dyDescent="0.55000000000000004">
      <c r="C62" s="3" t="s">
        <v>122</v>
      </c>
    </row>
    <row r="63" spans="1:4" x14ac:dyDescent="0.55000000000000004">
      <c r="C63" s="3" t="s">
        <v>123</v>
      </c>
    </row>
    <row r="64" spans="1:4" x14ac:dyDescent="0.55000000000000004">
      <c r="C64" s="3" t="s">
        <v>124</v>
      </c>
    </row>
    <row r="65" spans="1:3" x14ac:dyDescent="0.55000000000000004">
      <c r="C65" s="3" t="s">
        <v>125</v>
      </c>
    </row>
    <row r="66" spans="1:3" x14ac:dyDescent="0.55000000000000004">
      <c r="C66" s="3" t="s">
        <v>11</v>
      </c>
    </row>
    <row r="68" spans="1:3" x14ac:dyDescent="0.55000000000000004">
      <c r="A68" t="s">
        <v>58</v>
      </c>
    </row>
    <row r="69" spans="1:3" x14ac:dyDescent="0.55000000000000004">
      <c r="A69" t="s">
        <v>91</v>
      </c>
    </row>
    <row r="71" spans="1:3" x14ac:dyDescent="0.55000000000000004">
      <c r="A71" t="s">
        <v>94</v>
      </c>
    </row>
    <row r="72" spans="1:3" x14ac:dyDescent="0.55000000000000004">
      <c r="A72" t="s">
        <v>95</v>
      </c>
    </row>
    <row r="74" spans="1:3" x14ac:dyDescent="0.55000000000000004">
      <c r="A74" t="s">
        <v>191</v>
      </c>
    </row>
    <row r="76" spans="1:3" x14ac:dyDescent="0.55000000000000004">
      <c r="B76" t="s">
        <v>192</v>
      </c>
    </row>
    <row r="77" spans="1:3" x14ac:dyDescent="0.55000000000000004">
      <c r="B77" t="s">
        <v>194</v>
      </c>
    </row>
    <row r="78" spans="1:3" x14ac:dyDescent="0.55000000000000004">
      <c r="B78" t="s">
        <v>195</v>
      </c>
    </row>
    <row r="80" spans="1:3" x14ac:dyDescent="0.55000000000000004">
      <c r="B80" t="s">
        <v>193</v>
      </c>
    </row>
    <row r="81" spans="1:3" x14ac:dyDescent="0.55000000000000004">
      <c r="B81" t="s">
        <v>196</v>
      </c>
    </row>
    <row r="82" spans="1:3" x14ac:dyDescent="0.55000000000000004">
      <c r="B82" t="s">
        <v>197</v>
      </c>
    </row>
    <row r="83" spans="1:3" x14ac:dyDescent="0.55000000000000004">
      <c r="B83" t="s">
        <v>198</v>
      </c>
    </row>
    <row r="85" spans="1:3" x14ac:dyDescent="0.55000000000000004">
      <c r="A85" t="s">
        <v>199</v>
      </c>
    </row>
    <row r="87" spans="1:3" x14ac:dyDescent="0.55000000000000004">
      <c r="B87" t="s">
        <v>164</v>
      </c>
    </row>
    <row r="88" spans="1:3" x14ac:dyDescent="0.55000000000000004">
      <c r="B88" t="s">
        <v>165</v>
      </c>
    </row>
    <row r="89" spans="1:3" x14ac:dyDescent="0.55000000000000004">
      <c r="B89" t="s">
        <v>166</v>
      </c>
    </row>
    <row r="91" spans="1:3" x14ac:dyDescent="0.55000000000000004">
      <c r="C91" t="s">
        <v>167</v>
      </c>
    </row>
    <row r="92" spans="1:3" x14ac:dyDescent="0.55000000000000004">
      <c r="C92" t="s">
        <v>168</v>
      </c>
    </row>
    <row r="94" spans="1:3" x14ac:dyDescent="0.55000000000000004">
      <c r="B94" t="s">
        <v>169</v>
      </c>
    </row>
    <row r="96" spans="1:3" x14ac:dyDescent="0.55000000000000004">
      <c r="C96" t="s">
        <v>170</v>
      </c>
    </row>
    <row r="97" spans="2:3" x14ac:dyDescent="0.55000000000000004">
      <c r="C97" t="s">
        <v>171</v>
      </c>
    </row>
    <row r="98" spans="2:3" x14ac:dyDescent="0.55000000000000004">
      <c r="C98" t="s">
        <v>172</v>
      </c>
    </row>
    <row r="99" spans="2:3" x14ac:dyDescent="0.55000000000000004">
      <c r="C99" t="s">
        <v>173</v>
      </c>
    </row>
    <row r="101" spans="2:3" x14ac:dyDescent="0.55000000000000004">
      <c r="B101" t="s">
        <v>184</v>
      </c>
    </row>
    <row r="102" spans="2:3" x14ac:dyDescent="0.55000000000000004">
      <c r="B102" t="s">
        <v>174</v>
      </c>
    </row>
    <row r="104" spans="2:3" x14ac:dyDescent="0.55000000000000004">
      <c r="C104" t="s">
        <v>175</v>
      </c>
    </row>
    <row r="105" spans="2:3" x14ac:dyDescent="0.55000000000000004">
      <c r="C105" t="s">
        <v>176</v>
      </c>
    </row>
    <row r="106" spans="2:3" x14ac:dyDescent="0.55000000000000004">
      <c r="C106" t="s">
        <v>177</v>
      </c>
    </row>
    <row r="108" spans="2:3" x14ac:dyDescent="0.55000000000000004">
      <c r="B108" t="s">
        <v>178</v>
      </c>
    </row>
    <row r="109" spans="2:3" x14ac:dyDescent="0.55000000000000004">
      <c r="B109" t="s">
        <v>179</v>
      </c>
    </row>
    <row r="111" spans="2:3" x14ac:dyDescent="0.55000000000000004">
      <c r="C111" t="s">
        <v>180</v>
      </c>
    </row>
    <row r="112" spans="2:3" x14ac:dyDescent="0.55000000000000004">
      <c r="C112" t="s">
        <v>181</v>
      </c>
    </row>
    <row r="113" spans="1:3" x14ac:dyDescent="0.55000000000000004">
      <c r="C113" t="s">
        <v>182</v>
      </c>
    </row>
    <row r="114" spans="1:3" x14ac:dyDescent="0.55000000000000004">
      <c r="C114" t="s">
        <v>183</v>
      </c>
    </row>
    <row r="116" spans="1:3" x14ac:dyDescent="0.55000000000000004">
      <c r="B116" t="s">
        <v>200</v>
      </c>
    </row>
    <row r="117" spans="1:3" x14ac:dyDescent="0.55000000000000004">
      <c r="B117" t="s">
        <v>201</v>
      </c>
    </row>
    <row r="119" spans="1:3" x14ac:dyDescent="0.55000000000000004">
      <c r="A119" t="s">
        <v>189</v>
      </c>
    </row>
    <row r="120" spans="1:3" x14ac:dyDescent="0.55000000000000004">
      <c r="A120" t="s">
        <v>190</v>
      </c>
    </row>
    <row r="122" spans="1:3" x14ac:dyDescent="0.55000000000000004">
      <c r="A122" t="s">
        <v>138</v>
      </c>
    </row>
    <row r="123" spans="1:3" x14ac:dyDescent="0.55000000000000004">
      <c r="A123" t="s">
        <v>139</v>
      </c>
    </row>
    <row r="124" spans="1:3" x14ac:dyDescent="0.55000000000000004">
      <c r="B124" t="s">
        <v>149</v>
      </c>
    </row>
    <row r="125" spans="1:3" x14ac:dyDescent="0.55000000000000004">
      <c r="B125" t="s">
        <v>139</v>
      </c>
    </row>
    <row r="126" spans="1:3" x14ac:dyDescent="0.55000000000000004">
      <c r="C126" t="s">
        <v>140</v>
      </c>
    </row>
    <row r="127" spans="1:3" x14ac:dyDescent="0.55000000000000004">
      <c r="C127" t="s">
        <v>141</v>
      </c>
    </row>
    <row r="128" spans="1:3" x14ac:dyDescent="0.55000000000000004">
      <c r="C128" t="s">
        <v>142</v>
      </c>
    </row>
    <row r="129" spans="1:3" x14ac:dyDescent="0.55000000000000004">
      <c r="C129" t="s">
        <v>143</v>
      </c>
    </row>
    <row r="130" spans="1:3" x14ac:dyDescent="0.55000000000000004">
      <c r="C130" t="s">
        <v>144</v>
      </c>
    </row>
    <row r="131" spans="1:3" x14ac:dyDescent="0.55000000000000004">
      <c r="C131" t="s">
        <v>139</v>
      </c>
    </row>
    <row r="132" spans="1:3" x14ac:dyDescent="0.55000000000000004">
      <c r="C132" t="s">
        <v>145</v>
      </c>
    </row>
    <row r="133" spans="1:3" x14ac:dyDescent="0.55000000000000004">
      <c r="C133" t="s">
        <v>146</v>
      </c>
    </row>
    <row r="134" spans="1:3" x14ac:dyDescent="0.55000000000000004">
      <c r="C134" t="s">
        <v>147</v>
      </c>
    </row>
    <row r="136" spans="1:3" x14ac:dyDescent="0.55000000000000004">
      <c r="B136" t="s">
        <v>150</v>
      </c>
    </row>
    <row r="137" spans="1:3" x14ac:dyDescent="0.55000000000000004">
      <c r="B137" t="s">
        <v>148</v>
      </c>
    </row>
    <row r="138" spans="1:3" x14ac:dyDescent="0.55000000000000004">
      <c r="B138" t="s">
        <v>159</v>
      </c>
    </row>
    <row r="140" spans="1:3" x14ac:dyDescent="0.55000000000000004">
      <c r="A140" t="s">
        <v>151</v>
      </c>
    </row>
    <row r="142" spans="1:3" x14ac:dyDescent="0.55000000000000004">
      <c r="A142" t="s">
        <v>152</v>
      </c>
    </row>
    <row r="144" spans="1:3" x14ac:dyDescent="0.55000000000000004">
      <c r="A144" t="s">
        <v>186</v>
      </c>
    </row>
    <row r="146" spans="2:2" x14ac:dyDescent="0.55000000000000004">
      <c r="B146" t="s">
        <v>185</v>
      </c>
    </row>
    <row r="147" spans="2:2" x14ac:dyDescent="0.55000000000000004">
      <c r="B147" t="s">
        <v>188</v>
      </c>
    </row>
    <row r="148" spans="2:2" x14ac:dyDescent="0.55000000000000004">
      <c r="B148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77" activePane="bottomRight" state="frozen"/>
      <selection pane="topRight" activeCell="B1" sqref="B1"/>
      <selection pane="bottomLeft" activeCell="A3" sqref="A3"/>
      <selection pane="bottomRight" activeCell="AH27" sqref="AH27:AI100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28" t="s">
        <v>20</v>
      </c>
      <c r="C1" s="28"/>
      <c r="D1" s="28" t="s">
        <v>21</v>
      </c>
      <c r="E1" s="28"/>
      <c r="F1" s="28" t="s">
        <v>22</v>
      </c>
      <c r="G1" s="28"/>
      <c r="H1" s="28" t="s">
        <v>23</v>
      </c>
      <c r="I1" s="28"/>
      <c r="J1" s="28" t="s">
        <v>24</v>
      </c>
      <c r="K1" s="28"/>
      <c r="L1" s="28" t="s">
        <v>25</v>
      </c>
      <c r="M1" s="28"/>
      <c r="N1" s="28" t="s">
        <v>26</v>
      </c>
      <c r="O1" s="28"/>
      <c r="P1" s="28" t="s">
        <v>27</v>
      </c>
      <c r="Q1" s="28"/>
      <c r="R1" s="28" t="s">
        <v>28</v>
      </c>
      <c r="S1" s="28"/>
      <c r="T1" s="28" t="s">
        <v>57</v>
      </c>
      <c r="U1" s="28"/>
      <c r="V1" s="28" t="s">
        <v>29</v>
      </c>
      <c r="W1" s="28"/>
      <c r="X1" s="28" t="s">
        <v>30</v>
      </c>
      <c r="Y1" s="28"/>
      <c r="Z1" s="28" t="s">
        <v>31</v>
      </c>
      <c r="AA1" s="28"/>
      <c r="AB1" s="28" t="s">
        <v>32</v>
      </c>
      <c r="AC1" s="28"/>
      <c r="AD1" s="28" t="s">
        <v>33</v>
      </c>
      <c r="AE1" s="28"/>
      <c r="AF1" s="19" t="s">
        <v>34</v>
      </c>
      <c r="AG1" s="19"/>
      <c r="AH1" s="28" t="s">
        <v>35</v>
      </c>
      <c r="AI1" s="28"/>
      <c r="AJ1" s="28" t="s">
        <v>36</v>
      </c>
      <c r="AK1" s="28"/>
      <c r="AL1" s="28" t="s">
        <v>93</v>
      </c>
      <c r="AM1" s="28"/>
    </row>
    <row r="2" spans="1:39" x14ac:dyDescent="0.55000000000000004">
      <c r="A2" s="20" t="s">
        <v>92</v>
      </c>
      <c r="B2" s="29" t="s">
        <v>1</v>
      </c>
      <c r="C2" s="29"/>
      <c r="D2" s="29" t="s">
        <v>2</v>
      </c>
      <c r="E2" s="29"/>
      <c r="F2" s="29" t="s">
        <v>3</v>
      </c>
      <c r="G2" s="29"/>
      <c r="H2" s="29" t="s">
        <v>4</v>
      </c>
      <c r="I2" s="29"/>
      <c r="J2" s="29" t="s">
        <v>5</v>
      </c>
      <c r="K2" s="29"/>
      <c r="L2" s="29" t="s">
        <v>6</v>
      </c>
      <c r="M2" s="29"/>
      <c r="N2" s="29" t="s">
        <v>7</v>
      </c>
      <c r="O2" s="29"/>
      <c r="P2" s="29" t="s">
        <v>8</v>
      </c>
      <c r="Q2" s="29"/>
      <c r="R2" s="29" t="s">
        <v>9</v>
      </c>
      <c r="S2" s="29"/>
      <c r="T2" s="29" t="s">
        <v>10</v>
      </c>
      <c r="U2" s="29"/>
      <c r="V2" s="29" t="s">
        <v>11</v>
      </c>
      <c r="W2" s="29"/>
      <c r="X2" s="29" t="s">
        <v>12</v>
      </c>
      <c r="Y2" s="29"/>
      <c r="Z2" s="29" t="s">
        <v>13</v>
      </c>
      <c r="AA2" s="29"/>
      <c r="AB2" s="29" t="s">
        <v>14</v>
      </c>
      <c r="AC2" s="29"/>
      <c r="AD2" s="29" t="s">
        <v>15</v>
      </c>
      <c r="AE2" s="29"/>
      <c r="AF2" s="29" t="s">
        <v>16</v>
      </c>
      <c r="AG2" s="29"/>
      <c r="AH2" s="29" t="s">
        <v>17</v>
      </c>
      <c r="AI2" s="29"/>
      <c r="AJ2" s="29" t="s">
        <v>18</v>
      </c>
      <c r="AK2" s="29"/>
      <c r="AL2" s="29" t="s">
        <v>19</v>
      </c>
      <c r="AM2" s="29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22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4.4" x14ac:dyDescent="0.55000000000000004"/>
  <sheetData>
    <row r="1" spans="1:39" x14ac:dyDescent="0.55000000000000004">
      <c r="A1" s="18" t="s">
        <v>0</v>
      </c>
      <c r="B1" s="28" t="s">
        <v>20</v>
      </c>
      <c r="C1" s="28"/>
      <c r="D1" s="28" t="s">
        <v>21</v>
      </c>
      <c r="E1" s="28"/>
      <c r="F1" s="28" t="s">
        <v>22</v>
      </c>
      <c r="G1" s="28"/>
      <c r="H1" s="28" t="s">
        <v>23</v>
      </c>
      <c r="I1" s="28"/>
      <c r="J1" s="28" t="s">
        <v>24</v>
      </c>
      <c r="K1" s="28"/>
      <c r="L1" s="28" t="s">
        <v>25</v>
      </c>
      <c r="M1" s="28"/>
      <c r="N1" s="28" t="s">
        <v>26</v>
      </c>
      <c r="O1" s="28"/>
      <c r="P1" s="28" t="s">
        <v>27</v>
      </c>
      <c r="Q1" s="28"/>
      <c r="R1" s="28" t="s">
        <v>28</v>
      </c>
      <c r="S1" s="28"/>
      <c r="T1" s="28" t="s">
        <v>57</v>
      </c>
      <c r="U1" s="28"/>
      <c r="V1" s="28" t="s">
        <v>29</v>
      </c>
      <c r="W1" s="28"/>
      <c r="X1" s="28" t="s">
        <v>30</v>
      </c>
      <c r="Y1" s="28"/>
      <c r="Z1" s="28" t="s">
        <v>31</v>
      </c>
      <c r="AA1" s="28"/>
      <c r="AB1" s="28" t="s">
        <v>32</v>
      </c>
      <c r="AC1" s="28"/>
      <c r="AD1" s="28" t="s">
        <v>33</v>
      </c>
      <c r="AE1" s="28"/>
      <c r="AF1" s="19" t="s">
        <v>34</v>
      </c>
      <c r="AG1" s="19"/>
      <c r="AH1" s="28" t="s">
        <v>35</v>
      </c>
      <c r="AI1" s="28"/>
      <c r="AJ1" s="28" t="s">
        <v>36</v>
      </c>
      <c r="AK1" s="28"/>
      <c r="AL1" s="28" t="s">
        <v>93</v>
      </c>
      <c r="AM1" s="28"/>
    </row>
    <row r="2" spans="1:39" x14ac:dyDescent="0.55000000000000004">
      <c r="A2" s="20" t="s">
        <v>92</v>
      </c>
      <c r="B2" s="29" t="s">
        <v>1</v>
      </c>
      <c r="C2" s="29"/>
      <c r="D2" s="29" t="s">
        <v>2</v>
      </c>
      <c r="E2" s="29"/>
      <c r="F2" s="29" t="s">
        <v>3</v>
      </c>
      <c r="G2" s="29"/>
      <c r="H2" s="29" t="s">
        <v>4</v>
      </c>
      <c r="I2" s="29"/>
      <c r="J2" s="29" t="s">
        <v>5</v>
      </c>
      <c r="K2" s="29"/>
      <c r="L2" s="29" t="s">
        <v>6</v>
      </c>
      <c r="M2" s="29"/>
      <c r="N2" s="29" t="s">
        <v>7</v>
      </c>
      <c r="O2" s="29"/>
      <c r="P2" s="29" t="s">
        <v>8</v>
      </c>
      <c r="Q2" s="29"/>
      <c r="R2" s="29" t="s">
        <v>9</v>
      </c>
      <c r="S2" s="29"/>
      <c r="T2" s="29" t="s">
        <v>10</v>
      </c>
      <c r="U2" s="29"/>
      <c r="V2" s="29" t="s">
        <v>11</v>
      </c>
      <c r="W2" s="29"/>
      <c r="X2" s="29" t="s">
        <v>12</v>
      </c>
      <c r="Y2" s="29"/>
      <c r="Z2" s="29" t="s">
        <v>13</v>
      </c>
      <c r="AA2" s="29"/>
      <c r="AB2" s="29" t="s">
        <v>14</v>
      </c>
      <c r="AC2" s="29"/>
      <c r="AD2" s="29" t="s">
        <v>15</v>
      </c>
      <c r="AE2" s="29"/>
      <c r="AF2" s="29" t="s">
        <v>16</v>
      </c>
      <c r="AG2" s="29"/>
      <c r="AH2" s="29" t="s">
        <v>17</v>
      </c>
      <c r="AI2" s="29"/>
      <c r="AJ2" s="29" t="s">
        <v>18</v>
      </c>
      <c r="AK2" s="29"/>
      <c r="AL2" s="29" t="s">
        <v>19</v>
      </c>
      <c r="AM2" s="29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5.578125" bestFit="1" customWidth="1"/>
  </cols>
  <sheetData>
    <row r="1" spans="1:10" x14ac:dyDescent="0.55000000000000004">
      <c r="B1" s="30" t="s">
        <v>115</v>
      </c>
      <c r="C1" s="30"/>
      <c r="D1" s="30" t="s">
        <v>75</v>
      </c>
      <c r="E1" s="30"/>
    </row>
    <row r="2" spans="1:10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55000000000000004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55000000000000004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55000000000000004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55000000000000004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55000000000000004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55000000000000004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55000000000000004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55000000000000004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55000000000000004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55000000000000004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55000000000000004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55000000000000004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55000000000000004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55000000000000004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55000000000000004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55000000000000004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55000000000000004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55000000000000004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55000000000000004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55000000000000004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55000000000000004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55000000000000004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55000000000000004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55000000000000004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55000000000000004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55000000000000004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55000000000000004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55000000000000004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55000000000000004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55000000000000004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55000000000000004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55000000000000004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55000000000000004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55000000000000004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55000000000000004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55000000000000004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55000000000000004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55000000000000004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55000000000000004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55000000000000004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55000000000000004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55000000000000004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55000000000000004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55000000000000004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55000000000000004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55000000000000004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55000000000000004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55000000000000004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55000000000000004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55000000000000004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55000000000000004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55000000000000004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55000000000000004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55000000000000004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55000000000000004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55000000000000004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55000000000000004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55000000000000004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55000000000000004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55000000000000004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55000000000000004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55000000000000004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55000000000000004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55000000000000004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55000000000000004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55000000000000004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55000000000000004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55000000000000004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55000000000000004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55000000000000004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55000000000000004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55000000000000004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55000000000000004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55000000000000004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55000000000000004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55000000000000004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55000000000000004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55000000000000004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55000000000000004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55000000000000004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55000000000000004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55000000000000004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55000000000000004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55000000000000004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55000000000000004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55000000000000004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55000000000000004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55000000000000004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55000000000000004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55000000000000004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55000000000000004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55000000000000004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55000000000000004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55000000000000004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55000000000000004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55000000000000004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55000000000000004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55000000000000004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55000000000000004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55000000000000004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55000000000000004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55000000000000004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55000000000000004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55000000000000004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55000000000000004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55000000000000004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55000000000000004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55000000000000004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55000000000000004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55000000000000004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55000000000000004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55000000000000004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55000000000000004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55000000000000004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55000000000000004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55000000000000004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55000000000000004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55000000000000004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55000000000000004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55000000000000004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55000000000000004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55000000000000004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55000000000000004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55000000000000004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55000000000000004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55000000000000004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55000000000000004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55000000000000004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55000000000000004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55000000000000004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55000000000000004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55000000000000004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55000000000000004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55000000000000004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55000000000000004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55000000000000004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55000000000000004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55000000000000004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55000000000000004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55000000000000004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55000000000000004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55000000000000004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55000000000000004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55000000000000004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55000000000000004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55000000000000004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55000000000000004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55000000000000004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55000000000000004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55000000000000004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55000000000000004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55000000000000004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4.4" x14ac:dyDescent="0.55000000000000004"/>
  <sheetData>
    <row r="1" spans="1:34" x14ac:dyDescent="0.55000000000000004">
      <c r="B1" s="30" t="s">
        <v>100</v>
      </c>
      <c r="C1" s="30"/>
      <c r="D1" s="30" t="s">
        <v>75</v>
      </c>
      <c r="E1" s="30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  <c r="AF2" t="s">
        <v>73</v>
      </c>
      <c r="AG2" t="s">
        <v>153</v>
      </c>
      <c r="AH2" t="s">
        <v>154</v>
      </c>
    </row>
    <row r="3" spans="1:34" x14ac:dyDescent="0.55000000000000004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 x14ac:dyDescent="0.55000000000000004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 x14ac:dyDescent="0.55000000000000004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 x14ac:dyDescent="0.55000000000000004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 x14ac:dyDescent="0.55000000000000004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 x14ac:dyDescent="0.55000000000000004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 x14ac:dyDescent="0.55000000000000004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 x14ac:dyDescent="0.55000000000000004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 x14ac:dyDescent="0.55000000000000004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 x14ac:dyDescent="0.55000000000000004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 x14ac:dyDescent="0.55000000000000004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 x14ac:dyDescent="0.55000000000000004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 x14ac:dyDescent="0.55000000000000004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 x14ac:dyDescent="0.55000000000000004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 x14ac:dyDescent="0.55000000000000004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 x14ac:dyDescent="0.55000000000000004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 x14ac:dyDescent="0.55000000000000004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 x14ac:dyDescent="0.55000000000000004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 x14ac:dyDescent="0.55000000000000004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 x14ac:dyDescent="0.55000000000000004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 x14ac:dyDescent="0.55000000000000004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 x14ac:dyDescent="0.55000000000000004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 x14ac:dyDescent="0.55000000000000004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 x14ac:dyDescent="0.55000000000000004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 x14ac:dyDescent="0.55000000000000004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 x14ac:dyDescent="0.55000000000000004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 x14ac:dyDescent="0.55000000000000004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 x14ac:dyDescent="0.55000000000000004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 x14ac:dyDescent="0.55000000000000004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 x14ac:dyDescent="0.55000000000000004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 x14ac:dyDescent="0.55000000000000004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 x14ac:dyDescent="0.55000000000000004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 x14ac:dyDescent="0.55000000000000004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 x14ac:dyDescent="0.55000000000000004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 x14ac:dyDescent="0.55000000000000004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 x14ac:dyDescent="0.55000000000000004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 x14ac:dyDescent="0.55000000000000004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 x14ac:dyDescent="0.55000000000000004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 x14ac:dyDescent="0.55000000000000004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 x14ac:dyDescent="0.55000000000000004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 x14ac:dyDescent="0.55000000000000004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 x14ac:dyDescent="0.55000000000000004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 x14ac:dyDescent="0.55000000000000004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 x14ac:dyDescent="0.55000000000000004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 x14ac:dyDescent="0.55000000000000004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 x14ac:dyDescent="0.55000000000000004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 x14ac:dyDescent="0.55000000000000004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 x14ac:dyDescent="0.55000000000000004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 x14ac:dyDescent="0.55000000000000004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 x14ac:dyDescent="0.55000000000000004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 x14ac:dyDescent="0.55000000000000004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 x14ac:dyDescent="0.55000000000000004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 x14ac:dyDescent="0.55000000000000004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 x14ac:dyDescent="0.55000000000000004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 x14ac:dyDescent="0.55000000000000004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 x14ac:dyDescent="0.55000000000000004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 x14ac:dyDescent="0.55000000000000004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 x14ac:dyDescent="0.55000000000000004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 x14ac:dyDescent="0.55000000000000004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 x14ac:dyDescent="0.55000000000000004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 x14ac:dyDescent="0.55000000000000004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 x14ac:dyDescent="0.55000000000000004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 x14ac:dyDescent="0.55000000000000004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 x14ac:dyDescent="0.55000000000000004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 x14ac:dyDescent="0.55000000000000004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 x14ac:dyDescent="0.55000000000000004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 x14ac:dyDescent="0.55000000000000004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 x14ac:dyDescent="0.55000000000000004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 x14ac:dyDescent="0.55000000000000004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 x14ac:dyDescent="0.55000000000000004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 x14ac:dyDescent="0.55000000000000004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 x14ac:dyDescent="0.55000000000000004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 x14ac:dyDescent="0.55000000000000004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 x14ac:dyDescent="0.55000000000000004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 x14ac:dyDescent="0.55000000000000004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 x14ac:dyDescent="0.55000000000000004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 x14ac:dyDescent="0.55000000000000004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 x14ac:dyDescent="0.55000000000000004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 x14ac:dyDescent="0.55000000000000004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 x14ac:dyDescent="0.55000000000000004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 x14ac:dyDescent="0.55000000000000004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 x14ac:dyDescent="0.55000000000000004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 x14ac:dyDescent="0.55000000000000004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 x14ac:dyDescent="0.55000000000000004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 x14ac:dyDescent="0.55000000000000004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 x14ac:dyDescent="0.55000000000000004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 x14ac:dyDescent="0.55000000000000004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 x14ac:dyDescent="0.55000000000000004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 x14ac:dyDescent="0.55000000000000004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 x14ac:dyDescent="0.55000000000000004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 x14ac:dyDescent="0.55000000000000004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 x14ac:dyDescent="0.55000000000000004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 x14ac:dyDescent="0.55000000000000004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 x14ac:dyDescent="0.55000000000000004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 x14ac:dyDescent="0.55000000000000004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 x14ac:dyDescent="0.55000000000000004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 x14ac:dyDescent="0.55000000000000004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 x14ac:dyDescent="0.55000000000000004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 x14ac:dyDescent="0.55000000000000004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 x14ac:dyDescent="0.55000000000000004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 x14ac:dyDescent="0.55000000000000004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 x14ac:dyDescent="0.55000000000000004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 x14ac:dyDescent="0.55000000000000004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 x14ac:dyDescent="0.55000000000000004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 x14ac:dyDescent="0.55000000000000004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 x14ac:dyDescent="0.55000000000000004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55000000000000004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55000000000000004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55000000000000004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55000000000000004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55000000000000004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55000000000000004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55000000000000004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55000000000000004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55000000000000004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55000000000000004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B1" s="30" t="s">
        <v>75</v>
      </c>
      <c r="C1" s="30"/>
    </row>
    <row r="2" spans="1:30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55000000000000004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55000000000000004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55000000000000004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55000000000000004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55000000000000004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55000000000000004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55000000000000004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55000000000000004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55000000000000004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55000000000000004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55000000000000004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55000000000000004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55000000000000004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55000000000000004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5500000000000000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5500000000000000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5500000000000000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5500000000000000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5500000000000000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5500000000000000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5500000000000000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5500000000000000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5500000000000000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5500000000000000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5500000000000000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5500000000000000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5500000000000000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5500000000000000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5500000000000000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5500000000000000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5500000000000000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5500000000000000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5500000000000000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5500000000000000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5500000000000000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5500000000000000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5500000000000000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5500000000000000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5500000000000000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5500000000000000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5500000000000000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5500000000000000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5500000000000000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5500000000000000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5500000000000000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5500000000000000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5500000000000000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5500000000000000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5500000000000000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5500000000000000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5500000000000000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5500000000000000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5500000000000000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5500000000000000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5500000000000000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5500000000000000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5500000000000000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5500000000000000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5500000000000000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5500000000000000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5500000000000000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5500000000000000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5500000000000000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5500000000000000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5500000000000000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5500000000000000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5500000000000000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5500000000000000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5500000000000000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5500000000000000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5500000000000000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5500000000000000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5500000000000000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5500000000000000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30" t="s">
        <v>74</v>
      </c>
      <c r="C1" s="30"/>
      <c r="D1" s="30" t="s">
        <v>75</v>
      </c>
      <c r="E1" s="30"/>
      <c r="G1" s="30" t="s">
        <v>86</v>
      </c>
      <c r="H1" s="30"/>
      <c r="J1" s="30" t="s">
        <v>87</v>
      </c>
      <c r="K1" s="30"/>
      <c r="L1" s="30"/>
      <c r="M1" s="30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75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55000000000000004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55000000000000004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55000000000000004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55000000000000004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55000000000000004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55000000000000004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55000000000000004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55000000000000004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55000000000000004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55000000000000004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55000000000000004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55000000000000004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55000000000000004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55000000000000004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55000000000000004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55000000000000004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55000000000000004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55000000000000004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55000000000000004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55000000000000004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55000000000000004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55000000000000004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55000000000000004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55000000000000004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55000000000000004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55000000000000004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55000000000000004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55000000000000004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55000000000000004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55000000000000004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55000000000000004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55000000000000004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55000000000000004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55000000000000004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55000000000000004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55000000000000004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55000000000000004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55000000000000004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55000000000000004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55000000000000004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55000000000000004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55000000000000004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55000000000000004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55000000000000004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55000000000000004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55000000000000004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55000000000000004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55000000000000004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55000000000000004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55000000000000004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55000000000000004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55000000000000004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55000000000000004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55000000000000004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55000000000000004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55000000000000004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55000000000000004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55000000000000004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55000000000000004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55000000000000004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55000000000000004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55000000000000004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55000000000000004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55000000000000004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55000000000000004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55000000000000004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55000000000000004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55000000000000004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55000000000000004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55000000000000004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55000000000000004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55000000000000004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55000000000000004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55000000000000004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55000000000000004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55000000000000004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55000000000000004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55000000000000004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55000000000000004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55000000000000004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55000000000000004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55000000000000004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55000000000000004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55000000000000004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55000000000000004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55000000000000004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55000000000000004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55000000000000004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55000000000000004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55000000000000004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55000000000000004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55000000000000004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55000000000000004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55000000000000004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55000000000000004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55000000000000004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55000000000000004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55000000000000004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55000000000000004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55000000000000004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55000000000000004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55000000000000004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55000000000000004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55000000000000004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55000000000000004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55000000000000004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55000000000000004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55000000000000004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55000000000000004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55000000000000004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55000000000000004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55000000000000004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55000000000000004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55000000000000004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55000000000000004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55000000000000004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55000000000000004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55000000000000004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55000000000000004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55000000000000004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55000000000000004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55000000000000004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55000000000000004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55000000000000004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55000000000000004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55000000000000004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55000000000000004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55000000000000004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55000000000000004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55000000000000004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55000000000000004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55000000000000004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55000000000000004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55000000000000004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55000000000000004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55000000000000004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3865-BA82-49E2-B76C-F25A0EADC5D8}">
  <dimension ref="A1:E146"/>
  <sheetViews>
    <sheetView topLeftCell="A37" workbookViewId="0">
      <selection activeCell="D73" sqref="D73"/>
    </sheetView>
  </sheetViews>
  <sheetFormatPr defaultRowHeight="14.4" x14ac:dyDescent="0.55000000000000004"/>
  <sheetData>
    <row r="1" spans="1:5" x14ac:dyDescent="0.55000000000000004">
      <c r="A1" s="1"/>
      <c r="B1" s="30" t="s">
        <v>115</v>
      </c>
      <c r="C1" s="30"/>
      <c r="D1" s="30" t="s">
        <v>75</v>
      </c>
      <c r="E1" s="30"/>
    </row>
    <row r="2" spans="1:5" x14ac:dyDescent="0.55000000000000004">
      <c r="A2" s="13" t="s">
        <v>73</v>
      </c>
      <c r="B2" s="13" t="s">
        <v>370</v>
      </c>
      <c r="C2" s="13" t="s">
        <v>85</v>
      </c>
      <c r="D2" s="13" t="s">
        <v>370</v>
      </c>
      <c r="E2" s="13" t="s">
        <v>85</v>
      </c>
    </row>
    <row r="3" spans="1:5" x14ac:dyDescent="0.55000000000000004">
      <c r="A3">
        <v>1880</v>
      </c>
      <c r="B3" s="21">
        <v>43.98</v>
      </c>
      <c r="C3" s="21">
        <v>30.74</v>
      </c>
      <c r="D3" s="21"/>
      <c r="E3" s="21"/>
    </row>
    <row r="4" spans="1:5" x14ac:dyDescent="0.55000000000000004">
      <c r="A4">
        <v>1881</v>
      </c>
      <c r="B4" s="21">
        <v>43.4</v>
      </c>
      <c r="C4" s="21">
        <v>27.2</v>
      </c>
      <c r="D4" s="21"/>
      <c r="E4" s="21"/>
    </row>
    <row r="5" spans="1:5" x14ac:dyDescent="0.55000000000000004">
      <c r="A5">
        <v>1882</v>
      </c>
      <c r="B5" s="21">
        <v>44.46</v>
      </c>
      <c r="C5" s="21">
        <v>32.57</v>
      </c>
      <c r="D5" s="21"/>
      <c r="E5" s="21"/>
    </row>
    <row r="6" spans="1:5" x14ac:dyDescent="0.55000000000000004">
      <c r="A6">
        <v>1883</v>
      </c>
      <c r="B6" s="21">
        <v>42.65</v>
      </c>
      <c r="C6" s="21">
        <v>54.07</v>
      </c>
      <c r="D6" s="21"/>
      <c r="E6" s="21"/>
    </row>
    <row r="7" spans="1:5" x14ac:dyDescent="0.55000000000000004">
      <c r="A7">
        <v>1884</v>
      </c>
      <c r="B7" s="21">
        <v>47.48</v>
      </c>
      <c r="C7" s="21">
        <v>55.23</v>
      </c>
      <c r="D7" s="21"/>
      <c r="E7" s="21"/>
    </row>
    <row r="8" spans="1:5" x14ac:dyDescent="0.55000000000000004">
      <c r="A8">
        <v>1885</v>
      </c>
      <c r="B8" s="21">
        <v>50.89</v>
      </c>
      <c r="C8" s="21">
        <v>26.74</v>
      </c>
      <c r="D8" s="21"/>
      <c r="E8" s="21"/>
    </row>
    <row r="9" spans="1:5" x14ac:dyDescent="0.55000000000000004">
      <c r="A9">
        <v>1886</v>
      </c>
      <c r="B9" s="21">
        <v>46.68</v>
      </c>
      <c r="C9" s="21">
        <v>24.83</v>
      </c>
      <c r="D9" s="21"/>
      <c r="E9" s="21"/>
    </row>
    <row r="10" spans="1:5" x14ac:dyDescent="0.55000000000000004">
      <c r="A10">
        <v>1887</v>
      </c>
      <c r="B10" s="21">
        <v>45.61</v>
      </c>
      <c r="C10" s="21">
        <v>23.23</v>
      </c>
      <c r="D10" s="21"/>
      <c r="E10" s="21"/>
    </row>
    <row r="11" spans="1:5" x14ac:dyDescent="0.55000000000000004">
      <c r="A11">
        <v>1888</v>
      </c>
      <c r="B11" s="21">
        <v>44.97</v>
      </c>
      <c r="C11" s="21">
        <v>26.53</v>
      </c>
      <c r="D11" s="21"/>
      <c r="E11" s="21"/>
    </row>
    <row r="12" spans="1:5" x14ac:dyDescent="0.55000000000000004">
      <c r="A12">
        <v>1889</v>
      </c>
      <c r="B12" s="21">
        <v>44.89</v>
      </c>
      <c r="C12" s="21">
        <v>27</v>
      </c>
      <c r="D12" s="21"/>
      <c r="E12" s="21"/>
    </row>
    <row r="13" spans="1:5" x14ac:dyDescent="0.55000000000000004">
      <c r="A13">
        <v>1890</v>
      </c>
      <c r="B13" s="21">
        <v>44.36</v>
      </c>
      <c r="C13" s="21">
        <v>65.17</v>
      </c>
      <c r="D13" s="21"/>
      <c r="E13" s="21"/>
    </row>
    <row r="14" spans="1:5" x14ac:dyDescent="0.55000000000000004">
      <c r="A14">
        <v>1891</v>
      </c>
      <c r="B14" s="21">
        <v>51.66</v>
      </c>
      <c r="C14" s="21">
        <v>48.96</v>
      </c>
      <c r="D14" s="21"/>
      <c r="E14" s="21"/>
    </row>
    <row r="15" spans="1:5" x14ac:dyDescent="0.55000000000000004">
      <c r="A15">
        <v>1892</v>
      </c>
      <c r="B15" s="21">
        <v>48.18</v>
      </c>
      <c r="C15" s="21">
        <v>25.15</v>
      </c>
      <c r="D15" s="21"/>
      <c r="E15" s="21"/>
    </row>
    <row r="16" spans="1:5" x14ac:dyDescent="0.55000000000000004">
      <c r="A16">
        <v>1893</v>
      </c>
      <c r="B16" s="21">
        <v>46.57</v>
      </c>
      <c r="C16" s="21">
        <v>25.28</v>
      </c>
      <c r="D16" s="21"/>
      <c r="E16" s="21"/>
    </row>
    <row r="17" spans="1:5" x14ac:dyDescent="0.55000000000000004">
      <c r="A17">
        <v>1894</v>
      </c>
      <c r="B17" s="21">
        <v>44.99</v>
      </c>
      <c r="C17" s="21">
        <v>26.21</v>
      </c>
      <c r="D17" s="21"/>
      <c r="E17" s="21"/>
    </row>
    <row r="18" spans="1:5" x14ac:dyDescent="0.55000000000000004">
      <c r="A18">
        <v>1895</v>
      </c>
      <c r="B18" s="21">
        <v>48.43</v>
      </c>
      <c r="C18" s="21">
        <v>26.8</v>
      </c>
      <c r="D18" s="21"/>
      <c r="E18" s="21"/>
    </row>
    <row r="19" spans="1:5" x14ac:dyDescent="0.55000000000000004">
      <c r="A19">
        <v>1896</v>
      </c>
      <c r="B19" s="21">
        <v>47.07</v>
      </c>
      <c r="C19" s="21">
        <v>27.27</v>
      </c>
      <c r="D19" s="21"/>
      <c r="E19" s="21"/>
    </row>
    <row r="20" spans="1:5" x14ac:dyDescent="0.55000000000000004">
      <c r="A20">
        <v>1897</v>
      </c>
      <c r="B20" s="21">
        <v>47.21</v>
      </c>
      <c r="C20" s="21">
        <v>37.75</v>
      </c>
      <c r="D20" s="21"/>
      <c r="E20" s="21"/>
    </row>
    <row r="21" spans="1:5" x14ac:dyDescent="0.55000000000000004">
      <c r="A21">
        <v>1898</v>
      </c>
      <c r="B21" s="21">
        <v>47.62</v>
      </c>
      <c r="C21" s="21">
        <v>28.9</v>
      </c>
      <c r="D21" s="21"/>
      <c r="E21" s="21"/>
    </row>
    <row r="22" spans="1:5" x14ac:dyDescent="0.55000000000000004">
      <c r="A22">
        <v>1899</v>
      </c>
      <c r="B22" s="21">
        <v>44.72</v>
      </c>
      <c r="C22" s="21">
        <v>25.66</v>
      </c>
      <c r="D22" s="21"/>
      <c r="E22" s="21"/>
    </row>
    <row r="23" spans="1:5" x14ac:dyDescent="0.55000000000000004">
      <c r="A23">
        <v>1900</v>
      </c>
      <c r="B23" s="21">
        <v>43.97</v>
      </c>
      <c r="C23" s="21">
        <v>28.35</v>
      </c>
      <c r="D23" s="21"/>
      <c r="E23" s="21"/>
    </row>
    <row r="24" spans="1:5" x14ac:dyDescent="0.55000000000000004">
      <c r="A24">
        <v>1901</v>
      </c>
      <c r="B24" s="21">
        <v>41.48</v>
      </c>
      <c r="C24" s="21">
        <v>28.78</v>
      </c>
      <c r="D24" s="21"/>
      <c r="E24" s="21"/>
    </row>
    <row r="25" spans="1:5" x14ac:dyDescent="0.55000000000000004">
      <c r="A25">
        <v>1902</v>
      </c>
      <c r="B25" s="21">
        <v>40.020000000000003</v>
      </c>
      <c r="C25" s="21">
        <v>25.19</v>
      </c>
      <c r="D25" s="21"/>
      <c r="E25" s="21"/>
    </row>
    <row r="26" spans="1:5" x14ac:dyDescent="0.55000000000000004">
      <c r="A26">
        <v>1903</v>
      </c>
      <c r="B26" s="21">
        <v>43.23</v>
      </c>
      <c r="C26" s="21">
        <v>33.11</v>
      </c>
      <c r="D26" s="21"/>
      <c r="E26" s="21"/>
    </row>
    <row r="27" spans="1:5" x14ac:dyDescent="0.55000000000000004">
      <c r="A27">
        <v>1904</v>
      </c>
      <c r="B27" s="21">
        <v>37.43</v>
      </c>
      <c r="C27" s="21">
        <v>24.03</v>
      </c>
      <c r="D27" s="21"/>
      <c r="E27" s="21"/>
    </row>
    <row r="28" spans="1:5" x14ac:dyDescent="0.55000000000000004">
      <c r="A28">
        <v>1905</v>
      </c>
      <c r="B28" s="21">
        <v>36.61</v>
      </c>
      <c r="C28" s="21">
        <v>28.74</v>
      </c>
      <c r="D28" s="21"/>
      <c r="E28" s="21"/>
    </row>
    <row r="29" spans="1:5" x14ac:dyDescent="0.55000000000000004">
      <c r="A29">
        <v>1906</v>
      </c>
      <c r="B29" s="21">
        <v>36.909999999999997</v>
      </c>
      <c r="C29" s="21">
        <v>28.51</v>
      </c>
      <c r="D29" s="21"/>
      <c r="E29" s="21"/>
    </row>
    <row r="30" spans="1:5" x14ac:dyDescent="0.55000000000000004">
      <c r="A30">
        <v>1907</v>
      </c>
      <c r="B30" s="21">
        <v>39.35</v>
      </c>
      <c r="C30" s="21">
        <v>26.82</v>
      </c>
      <c r="D30" s="21"/>
      <c r="E30" s="21"/>
    </row>
    <row r="31" spans="1:5" x14ac:dyDescent="0.55000000000000004">
      <c r="A31">
        <v>1908</v>
      </c>
      <c r="B31" s="21">
        <v>42.34</v>
      </c>
      <c r="C31" s="21">
        <v>25.49</v>
      </c>
      <c r="D31" s="21"/>
      <c r="E31" s="21"/>
    </row>
    <row r="32" spans="1:5" x14ac:dyDescent="0.55000000000000004">
      <c r="A32">
        <v>1909</v>
      </c>
      <c r="B32" s="21">
        <v>39.49</v>
      </c>
      <c r="C32" s="21">
        <v>35.340000000000003</v>
      </c>
      <c r="D32" s="21"/>
      <c r="E32" s="21"/>
    </row>
    <row r="33" spans="1:5" x14ac:dyDescent="0.55000000000000004">
      <c r="A33">
        <v>1910</v>
      </c>
      <c r="B33" s="21">
        <v>41.89</v>
      </c>
      <c r="C33" s="21">
        <v>23.67</v>
      </c>
      <c r="D33" s="21"/>
      <c r="E33" s="21"/>
    </row>
    <row r="34" spans="1:5" x14ac:dyDescent="0.55000000000000004">
      <c r="A34">
        <v>1911</v>
      </c>
      <c r="B34" s="21">
        <v>42.18</v>
      </c>
      <c r="C34" s="21">
        <v>24.44</v>
      </c>
      <c r="D34" s="21"/>
      <c r="E34" s="21"/>
    </row>
    <row r="35" spans="1:5" x14ac:dyDescent="0.55000000000000004">
      <c r="A35">
        <v>1912</v>
      </c>
      <c r="B35" s="21">
        <v>40.36</v>
      </c>
      <c r="C35" s="21">
        <v>28.08</v>
      </c>
      <c r="D35" s="21"/>
      <c r="E35" s="21"/>
    </row>
    <row r="36" spans="1:5" x14ac:dyDescent="0.55000000000000004">
      <c r="A36">
        <v>1913</v>
      </c>
      <c r="B36" s="21">
        <v>41.26</v>
      </c>
      <c r="C36" s="21">
        <v>24.43</v>
      </c>
      <c r="D36" s="21"/>
      <c r="E36" s="21"/>
    </row>
    <row r="37" spans="1:5" x14ac:dyDescent="0.55000000000000004">
      <c r="A37">
        <v>1914</v>
      </c>
      <c r="B37" s="21">
        <v>41.49</v>
      </c>
      <c r="C37" s="21">
        <v>25.08</v>
      </c>
      <c r="D37" s="21"/>
      <c r="E37" s="21"/>
    </row>
    <row r="38" spans="1:5" x14ac:dyDescent="0.55000000000000004">
      <c r="A38">
        <v>1915</v>
      </c>
      <c r="B38" s="21">
        <v>39.65</v>
      </c>
      <c r="C38" s="21">
        <v>33.22</v>
      </c>
      <c r="D38" s="21"/>
      <c r="E38" s="21"/>
    </row>
    <row r="39" spans="1:5" x14ac:dyDescent="0.55000000000000004">
      <c r="A39">
        <v>1916</v>
      </c>
      <c r="B39" s="21">
        <v>36.6</v>
      </c>
      <c r="C39" s="21">
        <v>28.99</v>
      </c>
      <c r="D39" s="21"/>
      <c r="E39" s="21"/>
    </row>
    <row r="40" spans="1:5" x14ac:dyDescent="0.55000000000000004">
      <c r="A40">
        <v>1917</v>
      </c>
      <c r="B40" s="21">
        <v>38.979999999999997</v>
      </c>
      <c r="C40" s="21">
        <v>31</v>
      </c>
      <c r="D40" s="21"/>
      <c r="E40" s="21"/>
    </row>
    <row r="41" spans="1:5" x14ac:dyDescent="0.55000000000000004">
      <c r="A41">
        <v>1918</v>
      </c>
      <c r="B41" s="21">
        <v>38.5</v>
      </c>
      <c r="C41" s="21">
        <v>39.61</v>
      </c>
      <c r="D41" s="21"/>
      <c r="E41" s="21"/>
    </row>
    <row r="42" spans="1:5" x14ac:dyDescent="0.55000000000000004">
      <c r="A42">
        <v>1919</v>
      </c>
      <c r="B42" s="21">
        <v>34.5</v>
      </c>
      <c r="C42" s="21">
        <v>38.81</v>
      </c>
      <c r="D42" s="21"/>
      <c r="E42" s="21"/>
    </row>
    <row r="43" spans="1:5" x14ac:dyDescent="0.55000000000000004">
      <c r="A43">
        <v>1920</v>
      </c>
      <c r="B43" s="21">
        <v>42.81</v>
      </c>
      <c r="C43" s="21">
        <v>22.17</v>
      </c>
      <c r="D43" s="21"/>
      <c r="E43" s="21"/>
    </row>
    <row r="44" spans="1:5" x14ac:dyDescent="0.55000000000000004">
      <c r="A44">
        <v>1921</v>
      </c>
      <c r="B44" s="21">
        <v>40.97</v>
      </c>
      <c r="C44" s="21">
        <v>20.36</v>
      </c>
      <c r="D44" s="21"/>
      <c r="E44" s="21"/>
    </row>
    <row r="45" spans="1:5" x14ac:dyDescent="0.55000000000000004">
      <c r="A45">
        <v>1922</v>
      </c>
      <c r="B45" s="21">
        <v>41.03</v>
      </c>
      <c r="C45" s="21">
        <v>23.9</v>
      </c>
      <c r="D45" s="21"/>
      <c r="E45" s="21"/>
    </row>
    <row r="46" spans="1:5" x14ac:dyDescent="0.55000000000000004">
      <c r="A46">
        <v>1923</v>
      </c>
      <c r="B46" s="21">
        <v>42.66</v>
      </c>
      <c r="C46" s="21">
        <v>22.38</v>
      </c>
      <c r="D46" s="21"/>
      <c r="E46" s="21"/>
    </row>
    <row r="47" spans="1:5" x14ac:dyDescent="0.55000000000000004">
      <c r="A47">
        <v>1924</v>
      </c>
      <c r="B47" s="21">
        <v>42.69</v>
      </c>
      <c r="C47" s="21">
        <v>23.34</v>
      </c>
      <c r="D47" s="21"/>
      <c r="E47" s="21"/>
    </row>
    <row r="48" spans="1:5" x14ac:dyDescent="0.55000000000000004">
      <c r="A48">
        <v>1925</v>
      </c>
      <c r="B48" s="21">
        <v>41.55</v>
      </c>
      <c r="C48" s="21">
        <v>31.1</v>
      </c>
      <c r="D48" s="21"/>
      <c r="E48" s="21"/>
    </row>
    <row r="49" spans="1:5" x14ac:dyDescent="0.55000000000000004">
      <c r="A49">
        <v>1926</v>
      </c>
      <c r="B49" s="21">
        <v>43.25</v>
      </c>
      <c r="C49" s="21">
        <v>31.8</v>
      </c>
      <c r="D49" s="21"/>
      <c r="E49" s="21"/>
    </row>
    <row r="50" spans="1:5" x14ac:dyDescent="0.55000000000000004">
      <c r="A50">
        <v>1927</v>
      </c>
      <c r="B50" s="21">
        <v>43.75</v>
      </c>
      <c r="C50" s="21">
        <v>25.07</v>
      </c>
      <c r="D50" s="21"/>
      <c r="E50" s="21"/>
    </row>
    <row r="51" spans="1:5" x14ac:dyDescent="0.55000000000000004">
      <c r="A51">
        <v>1928</v>
      </c>
      <c r="B51" s="21">
        <v>44.27</v>
      </c>
      <c r="C51" s="21">
        <v>25.09</v>
      </c>
      <c r="D51" s="21"/>
      <c r="E51" s="21"/>
    </row>
    <row r="52" spans="1:5" x14ac:dyDescent="0.55000000000000004">
      <c r="A52">
        <v>1929</v>
      </c>
      <c r="B52" s="21">
        <v>40.090000000000003</v>
      </c>
      <c r="C52" s="21">
        <v>29.22</v>
      </c>
      <c r="D52" s="21"/>
      <c r="E52" s="21"/>
    </row>
    <row r="53" spans="1:5" x14ac:dyDescent="0.55000000000000004">
      <c r="A53">
        <v>1930</v>
      </c>
      <c r="B53" s="21">
        <v>43.42</v>
      </c>
      <c r="C53" s="21">
        <v>24.53</v>
      </c>
      <c r="D53" s="21"/>
      <c r="E53" s="21"/>
    </row>
    <row r="54" spans="1:5" x14ac:dyDescent="0.55000000000000004">
      <c r="A54">
        <v>1931</v>
      </c>
      <c r="B54" s="21">
        <v>42.37</v>
      </c>
      <c r="C54" s="21">
        <v>24.38</v>
      </c>
      <c r="D54" s="21"/>
      <c r="E54" s="21"/>
    </row>
    <row r="55" spans="1:5" x14ac:dyDescent="0.55000000000000004">
      <c r="A55">
        <v>1932</v>
      </c>
      <c r="B55" s="21">
        <v>39.409999999999997</v>
      </c>
      <c r="C55" s="21">
        <v>24.47</v>
      </c>
      <c r="D55" s="21"/>
      <c r="E55" s="21"/>
    </row>
    <row r="56" spans="1:5" x14ac:dyDescent="0.55000000000000004">
      <c r="A56">
        <v>1933</v>
      </c>
      <c r="B56" s="21">
        <v>37.590000000000003</v>
      </c>
      <c r="C56" s="21">
        <v>28.04</v>
      </c>
      <c r="D56" s="21"/>
      <c r="E56" s="21"/>
    </row>
    <row r="57" spans="1:5" x14ac:dyDescent="0.55000000000000004">
      <c r="A57">
        <v>1934</v>
      </c>
      <c r="B57" s="21">
        <v>37.450000000000003</v>
      </c>
      <c r="C57" s="21">
        <v>31.71</v>
      </c>
      <c r="D57" s="21"/>
      <c r="E57" s="21"/>
    </row>
    <row r="58" spans="1:5" x14ac:dyDescent="0.55000000000000004">
      <c r="A58">
        <v>1935</v>
      </c>
      <c r="B58" s="21">
        <v>39.18</v>
      </c>
      <c r="C58" s="21">
        <v>28.76</v>
      </c>
      <c r="D58" s="21"/>
      <c r="E58" s="21"/>
    </row>
    <row r="59" spans="1:5" x14ac:dyDescent="0.55000000000000004">
      <c r="A59">
        <v>1936</v>
      </c>
      <c r="B59" s="21">
        <v>39.03</v>
      </c>
      <c r="C59" s="21">
        <v>26.29</v>
      </c>
      <c r="D59" s="21"/>
      <c r="E59" s="21"/>
    </row>
    <row r="60" spans="1:5" x14ac:dyDescent="0.55000000000000004">
      <c r="A60">
        <v>1937</v>
      </c>
      <c r="B60" s="21">
        <v>38.270000000000003</v>
      </c>
      <c r="C60" s="21">
        <v>26.18</v>
      </c>
      <c r="D60" s="21"/>
      <c r="E60" s="21"/>
    </row>
    <row r="61" spans="1:5" x14ac:dyDescent="0.55000000000000004">
      <c r="A61">
        <v>1938</v>
      </c>
      <c r="B61" s="21">
        <v>38.57</v>
      </c>
      <c r="C61" s="21">
        <v>28.45</v>
      </c>
      <c r="D61" s="21"/>
      <c r="E61" s="21"/>
    </row>
    <row r="62" spans="1:5" x14ac:dyDescent="0.55000000000000004">
      <c r="A62">
        <v>1939</v>
      </c>
      <c r="B62" s="21">
        <v>39.71</v>
      </c>
      <c r="C62" s="21">
        <v>32.18</v>
      </c>
      <c r="D62" s="21"/>
      <c r="E62" s="21"/>
    </row>
    <row r="63" spans="1:5" x14ac:dyDescent="0.55000000000000004">
      <c r="A63">
        <v>1940</v>
      </c>
      <c r="B63" s="21">
        <v>40.99</v>
      </c>
      <c r="C63" s="21">
        <v>27.44</v>
      </c>
      <c r="D63" s="21"/>
      <c r="E63" s="21"/>
    </row>
    <row r="64" spans="1:5" x14ac:dyDescent="0.55000000000000004">
      <c r="A64">
        <v>1941</v>
      </c>
      <c r="B64" s="21">
        <v>39.200000000000003</v>
      </c>
      <c r="C64" s="21">
        <v>27.74</v>
      </c>
      <c r="D64" s="21"/>
      <c r="E64" s="21"/>
    </row>
    <row r="65" spans="1:5" x14ac:dyDescent="0.55000000000000004">
      <c r="A65">
        <v>1942</v>
      </c>
      <c r="B65" s="21">
        <v>40.18</v>
      </c>
      <c r="C65" s="21">
        <v>35.21</v>
      </c>
      <c r="D65" s="21"/>
      <c r="E65" s="21"/>
    </row>
    <row r="66" spans="1:5" x14ac:dyDescent="0.55000000000000004">
      <c r="A66">
        <v>1943</v>
      </c>
      <c r="B66" s="21">
        <v>41.8</v>
      </c>
      <c r="C66" s="21">
        <v>35.21</v>
      </c>
      <c r="D66" s="21"/>
      <c r="E66" s="21"/>
    </row>
    <row r="67" spans="1:5" x14ac:dyDescent="0.55000000000000004">
      <c r="A67">
        <v>1944</v>
      </c>
      <c r="B67" s="21">
        <v>41.13</v>
      </c>
      <c r="C67" s="21">
        <v>30.29</v>
      </c>
      <c r="D67" s="21"/>
      <c r="E67" s="21"/>
    </row>
    <row r="68" spans="1:5" x14ac:dyDescent="0.55000000000000004">
      <c r="A68">
        <v>1945</v>
      </c>
      <c r="B68" s="21">
        <v>43.46</v>
      </c>
      <c r="C68" s="21">
        <v>28.38</v>
      </c>
      <c r="D68" s="21"/>
      <c r="E68" s="21"/>
    </row>
    <row r="69" spans="1:5" x14ac:dyDescent="0.55000000000000004">
      <c r="A69">
        <v>1946</v>
      </c>
      <c r="B69" s="21">
        <v>43.4</v>
      </c>
      <c r="C69" s="21">
        <v>28.85</v>
      </c>
      <c r="D69" s="21"/>
      <c r="E69" s="21"/>
    </row>
    <row r="70" spans="1:5" x14ac:dyDescent="0.55000000000000004">
      <c r="A70">
        <v>1947</v>
      </c>
      <c r="B70" s="21">
        <v>47.58</v>
      </c>
      <c r="C70" s="21">
        <v>29.21</v>
      </c>
      <c r="D70" s="21"/>
      <c r="E70" s="21"/>
    </row>
    <row r="71" spans="1:5" x14ac:dyDescent="0.55000000000000004">
      <c r="A71">
        <v>1948</v>
      </c>
      <c r="B71" s="21">
        <v>47.75</v>
      </c>
      <c r="C71" s="21">
        <v>28.13</v>
      </c>
      <c r="D71" s="21"/>
      <c r="E71" s="21"/>
    </row>
    <row r="72" spans="1:5" x14ac:dyDescent="0.55000000000000004">
      <c r="A72">
        <v>1949</v>
      </c>
      <c r="B72" s="21">
        <v>48.12</v>
      </c>
      <c r="C72" s="21">
        <v>26.34</v>
      </c>
      <c r="D72" s="21"/>
      <c r="E72" s="21"/>
    </row>
    <row r="73" spans="1:5" x14ac:dyDescent="0.55000000000000004">
      <c r="A73">
        <v>1950</v>
      </c>
      <c r="B73" s="21">
        <v>47.72</v>
      </c>
      <c r="C73" s="21">
        <v>26.63</v>
      </c>
      <c r="D73" s="3">
        <v>50.7</v>
      </c>
      <c r="E73" s="3">
        <v>25.9</v>
      </c>
    </row>
    <row r="74" spans="1:5" x14ac:dyDescent="0.55000000000000004">
      <c r="A74">
        <v>1951</v>
      </c>
      <c r="B74" s="21">
        <v>49.6</v>
      </c>
      <c r="C74" s="21">
        <v>19.45</v>
      </c>
      <c r="D74" s="3">
        <v>51.1</v>
      </c>
      <c r="E74" s="3">
        <v>25.4</v>
      </c>
    </row>
    <row r="75" spans="1:5" x14ac:dyDescent="0.55000000000000004">
      <c r="A75">
        <v>1952</v>
      </c>
      <c r="B75" s="21">
        <v>48.29</v>
      </c>
      <c r="C75" s="21">
        <v>24.04</v>
      </c>
      <c r="D75" s="3">
        <v>51.3</v>
      </c>
      <c r="E75" s="3">
        <v>24.8</v>
      </c>
    </row>
    <row r="76" spans="1:5" x14ac:dyDescent="0.55000000000000004">
      <c r="A76">
        <v>1953</v>
      </c>
      <c r="B76" s="21">
        <v>48.55</v>
      </c>
      <c r="C76" s="21">
        <v>23.08</v>
      </c>
      <c r="D76" s="3">
        <v>51.3</v>
      </c>
      <c r="E76" s="3">
        <v>24.3</v>
      </c>
    </row>
    <row r="77" spans="1:5" x14ac:dyDescent="0.55000000000000004">
      <c r="A77">
        <v>1954</v>
      </c>
      <c r="B77" s="21">
        <v>49.28</v>
      </c>
      <c r="C77" s="21">
        <v>18.48</v>
      </c>
      <c r="D77" s="3">
        <v>51.1</v>
      </c>
      <c r="E77" s="3">
        <v>23.8</v>
      </c>
    </row>
    <row r="78" spans="1:5" x14ac:dyDescent="0.55000000000000004">
      <c r="A78">
        <v>1955</v>
      </c>
      <c r="B78" s="21">
        <v>51.94</v>
      </c>
      <c r="C78" s="21">
        <v>21.73</v>
      </c>
      <c r="D78" s="3">
        <v>50.9</v>
      </c>
      <c r="E78" s="3">
        <v>23.2</v>
      </c>
    </row>
    <row r="79" spans="1:5" x14ac:dyDescent="0.55000000000000004">
      <c r="A79">
        <v>1956</v>
      </c>
      <c r="B79" s="21">
        <v>51.83</v>
      </c>
      <c r="C79" s="21">
        <v>20.84</v>
      </c>
      <c r="D79" s="3">
        <v>50.6</v>
      </c>
      <c r="E79" s="3">
        <v>22.6</v>
      </c>
    </row>
    <row r="80" spans="1:5" x14ac:dyDescent="0.55000000000000004">
      <c r="A80">
        <v>1957</v>
      </c>
      <c r="B80" s="21">
        <v>52.45</v>
      </c>
      <c r="C80" s="21">
        <v>21.63</v>
      </c>
      <c r="D80" s="3">
        <v>50.3</v>
      </c>
      <c r="E80" s="3">
        <v>22</v>
      </c>
    </row>
    <row r="81" spans="1:5" x14ac:dyDescent="0.55000000000000004">
      <c r="A81">
        <v>1958</v>
      </c>
      <c r="B81" s="21">
        <v>51.59</v>
      </c>
      <c r="C81" s="21">
        <v>22.37</v>
      </c>
      <c r="D81" s="3">
        <v>49.7</v>
      </c>
      <c r="E81" s="3">
        <v>20.9</v>
      </c>
    </row>
    <row r="82" spans="1:5" x14ac:dyDescent="0.55000000000000004">
      <c r="A82">
        <v>1959</v>
      </c>
      <c r="B82" s="21">
        <v>52.73</v>
      </c>
      <c r="C82" s="21">
        <v>18.11</v>
      </c>
      <c r="D82" s="3">
        <v>49.1</v>
      </c>
      <c r="E82" s="3">
        <v>19.899999999999999</v>
      </c>
    </row>
    <row r="83" spans="1:5" x14ac:dyDescent="0.55000000000000004">
      <c r="A83">
        <v>1960</v>
      </c>
      <c r="B83" s="21">
        <v>52.3</v>
      </c>
      <c r="C83" s="21">
        <v>18.28</v>
      </c>
      <c r="D83" s="3">
        <v>48.5</v>
      </c>
      <c r="E83" s="3">
        <v>18.8</v>
      </c>
    </row>
    <row r="84" spans="1:5" x14ac:dyDescent="0.55000000000000004">
      <c r="A84">
        <v>1961</v>
      </c>
      <c r="B84" s="21">
        <v>52.64</v>
      </c>
      <c r="C84" s="21">
        <v>17.02</v>
      </c>
      <c r="D84" s="3">
        <v>48</v>
      </c>
      <c r="E84" s="3">
        <v>18.5</v>
      </c>
    </row>
    <row r="85" spans="1:5" x14ac:dyDescent="0.55000000000000004">
      <c r="A85">
        <v>1962</v>
      </c>
      <c r="B85" s="21">
        <v>50.26</v>
      </c>
      <c r="C85" s="21">
        <v>18.02</v>
      </c>
      <c r="D85" s="3">
        <v>47.4</v>
      </c>
      <c r="E85" s="3">
        <v>18.100000000000001</v>
      </c>
    </row>
    <row r="86" spans="1:5" x14ac:dyDescent="0.55000000000000004">
      <c r="A86">
        <v>1963</v>
      </c>
      <c r="B86" s="21">
        <v>50.34</v>
      </c>
      <c r="C86" s="21">
        <v>18.02</v>
      </c>
      <c r="D86" s="3">
        <v>46.9</v>
      </c>
      <c r="E86" s="3">
        <v>17.8</v>
      </c>
    </row>
    <row r="87" spans="1:5" x14ac:dyDescent="0.55000000000000004">
      <c r="A87">
        <v>1964</v>
      </c>
      <c r="B87" s="21">
        <v>48.5</v>
      </c>
      <c r="C87" s="21">
        <v>16.7</v>
      </c>
      <c r="D87" s="3">
        <v>46.5</v>
      </c>
      <c r="E87" s="3">
        <v>17.5</v>
      </c>
    </row>
    <row r="88" spans="1:5" x14ac:dyDescent="0.55000000000000004">
      <c r="A88">
        <v>1965</v>
      </c>
      <c r="B88" s="21">
        <v>48.18</v>
      </c>
      <c r="C88" s="21">
        <v>17.760000000000002</v>
      </c>
      <c r="D88" s="3">
        <v>46.2</v>
      </c>
      <c r="E88" s="3">
        <v>17.3</v>
      </c>
    </row>
    <row r="89" spans="1:5" x14ac:dyDescent="0.55000000000000004">
      <c r="A89">
        <v>1966</v>
      </c>
      <c r="B89" s="21">
        <v>48.46</v>
      </c>
      <c r="C89" s="21">
        <v>17.489999999999998</v>
      </c>
      <c r="D89" s="3">
        <v>46</v>
      </c>
      <c r="E89" s="3">
        <v>17</v>
      </c>
    </row>
    <row r="90" spans="1:5" x14ac:dyDescent="0.55000000000000004">
      <c r="A90">
        <v>1967</v>
      </c>
      <c r="B90" s="21">
        <v>46.79</v>
      </c>
      <c r="C90" s="21">
        <v>15.98</v>
      </c>
      <c r="D90" s="3">
        <v>45.6</v>
      </c>
      <c r="E90" s="3">
        <v>16.7</v>
      </c>
    </row>
    <row r="91" spans="1:5" x14ac:dyDescent="0.55000000000000004">
      <c r="A91">
        <v>1968</v>
      </c>
      <c r="B91" s="21">
        <v>46.62</v>
      </c>
      <c r="C91" s="21">
        <v>17.329999999999998</v>
      </c>
      <c r="D91" s="3">
        <v>45.3</v>
      </c>
      <c r="E91" s="3">
        <v>16.600000000000001</v>
      </c>
    </row>
    <row r="92" spans="1:5" x14ac:dyDescent="0.55000000000000004">
      <c r="A92">
        <v>1969</v>
      </c>
      <c r="B92" s="21">
        <v>46.18</v>
      </c>
      <c r="C92" s="21">
        <v>18.09</v>
      </c>
      <c r="D92" s="3">
        <v>45.1</v>
      </c>
      <c r="E92" s="3">
        <v>16.7</v>
      </c>
    </row>
    <row r="93" spans="1:5" x14ac:dyDescent="0.55000000000000004">
      <c r="A93">
        <v>1970</v>
      </c>
      <c r="B93" s="21">
        <v>44.33</v>
      </c>
      <c r="C93" s="21">
        <v>16.010000000000002</v>
      </c>
      <c r="D93" s="3">
        <v>44.9</v>
      </c>
      <c r="E93" s="3">
        <v>16</v>
      </c>
    </row>
    <row r="94" spans="1:5" x14ac:dyDescent="0.55000000000000004">
      <c r="A94">
        <v>1971</v>
      </c>
      <c r="B94" s="21">
        <v>46.85</v>
      </c>
      <c r="C94" s="21">
        <v>15.2</v>
      </c>
      <c r="D94" s="3">
        <v>44.7</v>
      </c>
      <c r="E94" s="3">
        <v>14.9</v>
      </c>
    </row>
    <row r="95" spans="1:5" x14ac:dyDescent="0.55000000000000004">
      <c r="A95">
        <v>1972</v>
      </c>
      <c r="B95" s="21">
        <v>47.95</v>
      </c>
      <c r="C95" s="21">
        <v>13.37</v>
      </c>
      <c r="D95" s="3">
        <v>44.4</v>
      </c>
      <c r="E95" s="3">
        <v>14</v>
      </c>
    </row>
    <row r="96" spans="1:5" x14ac:dyDescent="0.55000000000000004">
      <c r="A96">
        <v>1973</v>
      </c>
      <c r="B96" s="21">
        <v>45.92</v>
      </c>
      <c r="C96" s="21">
        <v>13.25</v>
      </c>
      <c r="D96" s="3">
        <v>44.2</v>
      </c>
      <c r="E96" s="3">
        <v>13.4</v>
      </c>
    </row>
    <row r="97" spans="1:5" x14ac:dyDescent="0.55000000000000004">
      <c r="A97">
        <v>1974</v>
      </c>
      <c r="B97" s="21">
        <v>47.18</v>
      </c>
      <c r="C97" s="21">
        <v>12.95</v>
      </c>
      <c r="D97" s="3">
        <v>44.1</v>
      </c>
      <c r="E97" s="3">
        <v>13.2</v>
      </c>
    </row>
    <row r="98" spans="1:5" x14ac:dyDescent="0.55000000000000004">
      <c r="A98">
        <v>1975</v>
      </c>
      <c r="B98" s="21">
        <v>45.94</v>
      </c>
      <c r="C98" s="21">
        <v>14.14</v>
      </c>
      <c r="D98" s="3">
        <v>44.1</v>
      </c>
      <c r="E98" s="3">
        <v>13.3</v>
      </c>
    </row>
    <row r="99" spans="1:5" x14ac:dyDescent="0.55000000000000004">
      <c r="A99">
        <v>1976</v>
      </c>
      <c r="B99" s="21">
        <v>47.25</v>
      </c>
      <c r="C99" s="21">
        <v>14.33</v>
      </c>
      <c r="D99" s="3">
        <v>44</v>
      </c>
      <c r="E99" s="3">
        <v>16.600000000000001</v>
      </c>
    </row>
    <row r="100" spans="1:5" x14ac:dyDescent="0.55000000000000004">
      <c r="A100">
        <v>1977</v>
      </c>
      <c r="B100" s="21">
        <v>49.24</v>
      </c>
      <c r="C100" s="21">
        <v>12.29</v>
      </c>
      <c r="D100" s="3">
        <v>43.9</v>
      </c>
      <c r="E100" s="3">
        <v>12.1</v>
      </c>
    </row>
    <row r="101" spans="1:5" x14ac:dyDescent="0.55000000000000004">
      <c r="A101">
        <v>1978</v>
      </c>
      <c r="B101" s="21">
        <v>48.11</v>
      </c>
      <c r="C101" s="21">
        <v>11.12</v>
      </c>
      <c r="D101" s="3">
        <v>43.7</v>
      </c>
      <c r="E101" s="3">
        <v>11.5</v>
      </c>
    </row>
    <row r="102" spans="1:5" x14ac:dyDescent="0.55000000000000004">
      <c r="A102">
        <v>1979</v>
      </c>
      <c r="B102" s="21">
        <v>48.28</v>
      </c>
      <c r="C102" s="21">
        <v>11.68</v>
      </c>
      <c r="D102" s="3">
        <v>43.6</v>
      </c>
      <c r="E102" s="3">
        <v>11.4</v>
      </c>
    </row>
    <row r="103" spans="1:5" x14ac:dyDescent="0.55000000000000004">
      <c r="A103">
        <v>1980</v>
      </c>
      <c r="B103" s="21">
        <v>48.25</v>
      </c>
      <c r="C103" s="21">
        <v>11.2</v>
      </c>
      <c r="D103" s="3">
        <v>43.6</v>
      </c>
      <c r="E103" s="3">
        <v>12</v>
      </c>
    </row>
    <row r="104" spans="1:5" x14ac:dyDescent="0.55000000000000004">
      <c r="A104">
        <v>1981</v>
      </c>
      <c r="B104" s="21">
        <v>46.13</v>
      </c>
      <c r="C104" s="21">
        <v>11.54</v>
      </c>
      <c r="D104" s="3">
        <v>43.4</v>
      </c>
      <c r="E104" s="3">
        <v>12.2</v>
      </c>
    </row>
    <row r="105" spans="1:5" x14ac:dyDescent="0.55000000000000004">
      <c r="A105">
        <v>1982</v>
      </c>
      <c r="B105" s="21">
        <v>45.44</v>
      </c>
      <c r="C105" s="21">
        <v>11.33</v>
      </c>
      <c r="D105" s="3">
        <v>43.2</v>
      </c>
      <c r="E105" s="3">
        <v>15.6</v>
      </c>
    </row>
    <row r="106" spans="1:5" x14ac:dyDescent="0.55000000000000004">
      <c r="A106">
        <v>1983</v>
      </c>
      <c r="B106" s="21">
        <v>43.51</v>
      </c>
      <c r="C106" s="21">
        <v>10.76</v>
      </c>
      <c r="D106" s="3">
        <v>42.8</v>
      </c>
      <c r="E106" s="3">
        <v>10.7</v>
      </c>
    </row>
    <row r="107" spans="1:5" x14ac:dyDescent="0.55000000000000004">
      <c r="A107">
        <v>1984</v>
      </c>
      <c r="B107" s="21">
        <v>43.14</v>
      </c>
      <c r="C107" s="21">
        <v>9.2799999999999994</v>
      </c>
      <c r="D107" s="3">
        <v>41.9</v>
      </c>
      <c r="E107" s="3">
        <v>10.199999999999999</v>
      </c>
    </row>
    <row r="108" spans="1:5" x14ac:dyDescent="0.55000000000000004">
      <c r="A108">
        <v>1985</v>
      </c>
      <c r="B108" s="21">
        <v>43.99</v>
      </c>
      <c r="C108" s="21">
        <v>9.5299999999999994</v>
      </c>
      <c r="D108" s="3">
        <v>41.1</v>
      </c>
      <c r="E108" s="3">
        <v>9.8000000000000007</v>
      </c>
    </row>
    <row r="109" spans="1:5" x14ac:dyDescent="0.55000000000000004">
      <c r="A109">
        <v>1986</v>
      </c>
      <c r="B109" s="21">
        <v>40.65</v>
      </c>
      <c r="C109" s="21">
        <v>8.8699999999999992</v>
      </c>
      <c r="D109" s="3">
        <v>40.799999999999997</v>
      </c>
      <c r="E109" s="3">
        <v>9.5</v>
      </c>
    </row>
    <row r="110" spans="1:5" x14ac:dyDescent="0.55000000000000004">
      <c r="A110">
        <v>1987</v>
      </c>
      <c r="B110" s="21">
        <v>40.33</v>
      </c>
      <c r="C110" s="21">
        <v>8.66</v>
      </c>
      <c r="D110" s="3">
        <v>40.700000000000003</v>
      </c>
      <c r="E110" s="3">
        <v>9.1999999999999993</v>
      </c>
    </row>
    <row r="111" spans="1:5" x14ac:dyDescent="0.55000000000000004">
      <c r="A111">
        <v>1988</v>
      </c>
      <c r="B111" s="21">
        <v>41.34</v>
      </c>
      <c r="C111" s="21">
        <v>8.15</v>
      </c>
      <c r="D111" s="3">
        <v>40.700000000000003</v>
      </c>
      <c r="E111" s="3">
        <v>8.9</v>
      </c>
    </row>
    <row r="112" spans="1:5" x14ac:dyDescent="0.55000000000000004">
      <c r="A112">
        <v>1989</v>
      </c>
      <c r="B112" s="21">
        <v>40.700000000000003</v>
      </c>
      <c r="C112" s="21">
        <v>7.62</v>
      </c>
      <c r="D112" s="3">
        <v>40.299999999999997</v>
      </c>
      <c r="E112" s="3">
        <v>8.8000000000000007</v>
      </c>
    </row>
    <row r="113" spans="1:5" x14ac:dyDescent="0.55000000000000004">
      <c r="A113">
        <v>1990</v>
      </c>
      <c r="B113" s="21">
        <v>39.86</v>
      </c>
      <c r="C113" s="21">
        <v>8.84</v>
      </c>
      <c r="D113" s="3">
        <v>39.799999999999997</v>
      </c>
      <c r="E113" s="3">
        <v>8.8000000000000007</v>
      </c>
    </row>
    <row r="114" spans="1:5" x14ac:dyDescent="0.55000000000000004">
      <c r="A114">
        <v>1991</v>
      </c>
      <c r="B114" s="21">
        <v>40.25</v>
      </c>
      <c r="C114" s="21">
        <v>8.56</v>
      </c>
      <c r="D114" s="3">
        <v>39.299999999999997</v>
      </c>
      <c r="E114" s="3">
        <v>8.6</v>
      </c>
    </row>
    <row r="115" spans="1:5" x14ac:dyDescent="0.55000000000000004">
      <c r="A115">
        <v>1992</v>
      </c>
      <c r="B115" s="21">
        <v>39.6</v>
      </c>
      <c r="C115" s="21">
        <v>8.36</v>
      </c>
      <c r="D115" s="3">
        <v>38.9</v>
      </c>
      <c r="E115" s="3">
        <v>8.6</v>
      </c>
    </row>
    <row r="116" spans="1:5" x14ac:dyDescent="0.55000000000000004">
      <c r="A116">
        <v>1993</v>
      </c>
      <c r="B116" s="21">
        <v>39.25</v>
      </c>
      <c r="C116" s="21">
        <v>8.2200000000000006</v>
      </c>
      <c r="D116" s="3">
        <v>38.6</v>
      </c>
      <c r="E116" s="3">
        <v>8.4</v>
      </c>
    </row>
    <row r="117" spans="1:5" x14ac:dyDescent="0.55000000000000004">
      <c r="A117">
        <v>1994</v>
      </c>
      <c r="B117" s="21">
        <v>39.4</v>
      </c>
      <c r="C117" s="21">
        <v>8.11</v>
      </c>
      <c r="D117" s="3">
        <v>38.200000000000003</v>
      </c>
      <c r="E117" s="3">
        <v>8.1</v>
      </c>
    </row>
    <row r="118" spans="1:5" x14ac:dyDescent="0.55000000000000004">
      <c r="A118">
        <v>1995</v>
      </c>
      <c r="B118" s="21">
        <v>37.31</v>
      </c>
      <c r="C118" s="21">
        <v>7.51</v>
      </c>
      <c r="D118" s="3">
        <v>37.799999999999997</v>
      </c>
      <c r="E118" s="3">
        <v>7.8</v>
      </c>
    </row>
    <row r="119" spans="1:5" x14ac:dyDescent="0.55000000000000004">
      <c r="A119">
        <v>1996</v>
      </c>
      <c r="B119" s="21">
        <v>32.130000000000003</v>
      </c>
      <c r="C119" s="21">
        <v>6.05</v>
      </c>
      <c r="D119" s="3">
        <v>37.1</v>
      </c>
      <c r="E119" s="3">
        <v>7.4</v>
      </c>
    </row>
    <row r="120" spans="1:5" x14ac:dyDescent="0.55000000000000004">
      <c r="A120">
        <f>A119+1</f>
        <v>1997</v>
      </c>
      <c r="B120" s="21"/>
      <c r="C120" s="21"/>
      <c r="D120" s="3">
        <v>36.5</v>
      </c>
      <c r="E120" s="3">
        <v>7</v>
      </c>
    </row>
    <row r="121" spans="1:5" x14ac:dyDescent="0.55000000000000004">
      <c r="A121">
        <f t="shared" ref="A121:A159" si="0">A120+1</f>
        <v>1998</v>
      </c>
      <c r="B121" s="21"/>
      <c r="C121" s="21"/>
      <c r="D121" s="3">
        <v>35.9</v>
      </c>
      <c r="E121" s="3">
        <v>6.7</v>
      </c>
    </row>
    <row r="122" spans="1:5" x14ac:dyDescent="0.55000000000000004">
      <c r="A122">
        <f t="shared" si="0"/>
        <v>1999</v>
      </c>
      <c r="B122" s="21"/>
      <c r="C122" s="21"/>
      <c r="D122" s="3">
        <v>35.200000000000003</v>
      </c>
      <c r="E122" s="3">
        <v>6.4</v>
      </c>
    </row>
    <row r="123" spans="1:5" x14ac:dyDescent="0.55000000000000004">
      <c r="A123">
        <f t="shared" si="0"/>
        <v>2000</v>
      </c>
      <c r="B123" s="21"/>
      <c r="C123" s="21"/>
      <c r="D123" s="3">
        <v>34.700000000000003</v>
      </c>
      <c r="E123" s="3">
        <v>6.3</v>
      </c>
    </row>
    <row r="124" spans="1:5" x14ac:dyDescent="0.55000000000000004">
      <c r="A124">
        <f t="shared" si="0"/>
        <v>2001</v>
      </c>
      <c r="B124" s="21"/>
      <c r="C124" s="21"/>
      <c r="D124" s="3">
        <v>34.200000000000003</v>
      </c>
      <c r="E124" s="3">
        <v>6.1</v>
      </c>
    </row>
    <row r="125" spans="1:5" x14ac:dyDescent="0.55000000000000004">
      <c r="A125">
        <f t="shared" si="0"/>
        <v>2002</v>
      </c>
      <c r="B125" s="21"/>
      <c r="C125" s="21"/>
      <c r="D125" s="3">
        <v>33.299999999999997</v>
      </c>
      <c r="E125" s="3">
        <v>6</v>
      </c>
    </row>
    <row r="126" spans="1:5" x14ac:dyDescent="0.55000000000000004">
      <c r="A126">
        <f t="shared" si="0"/>
        <v>2003</v>
      </c>
      <c r="B126" s="21"/>
      <c r="C126" s="21"/>
      <c r="D126" s="3">
        <v>32.5</v>
      </c>
      <c r="E126" s="3">
        <v>5.8</v>
      </c>
    </row>
    <row r="127" spans="1:5" x14ac:dyDescent="0.55000000000000004">
      <c r="A127">
        <f t="shared" si="0"/>
        <v>2004</v>
      </c>
      <c r="B127" s="21"/>
      <c r="C127" s="21"/>
      <c r="D127" s="3">
        <v>31.7</v>
      </c>
      <c r="E127" s="3">
        <v>5.8</v>
      </c>
    </row>
    <row r="128" spans="1:5" x14ac:dyDescent="0.55000000000000004">
      <c r="A128">
        <f t="shared" si="0"/>
        <v>2005</v>
      </c>
      <c r="B128" s="21"/>
      <c r="C128" s="21"/>
      <c r="D128" s="3">
        <v>30.8</v>
      </c>
      <c r="E128" s="3">
        <v>5.9</v>
      </c>
    </row>
    <row r="129" spans="1:5" x14ac:dyDescent="0.55000000000000004">
      <c r="A129">
        <f t="shared" si="0"/>
        <v>2006</v>
      </c>
      <c r="B129" s="21"/>
      <c r="C129" s="21"/>
      <c r="D129" s="3">
        <v>30</v>
      </c>
      <c r="E129" s="3">
        <v>5.7</v>
      </c>
    </row>
    <row r="130" spans="1:5" x14ac:dyDescent="0.55000000000000004">
      <c r="A130">
        <f t="shared" si="0"/>
        <v>2007</v>
      </c>
      <c r="B130" s="21"/>
      <c r="C130" s="21"/>
      <c r="D130" s="3">
        <v>29.4</v>
      </c>
      <c r="E130" s="3">
        <v>5.5</v>
      </c>
    </row>
    <row r="131" spans="1:5" x14ac:dyDescent="0.55000000000000004">
      <c r="A131">
        <f t="shared" si="0"/>
        <v>2008</v>
      </c>
      <c r="B131" s="21"/>
      <c r="C131" s="21"/>
      <c r="D131" s="3">
        <v>28.7</v>
      </c>
      <c r="E131" s="3">
        <v>5.5</v>
      </c>
    </row>
    <row r="132" spans="1:5" x14ac:dyDescent="0.55000000000000004">
      <c r="A132">
        <f t="shared" si="0"/>
        <v>2009</v>
      </c>
      <c r="B132" s="21"/>
      <c r="C132" s="21"/>
      <c r="D132" s="3">
        <v>28.2</v>
      </c>
      <c r="E132" s="3">
        <v>5.5</v>
      </c>
    </row>
    <row r="133" spans="1:5" x14ac:dyDescent="0.55000000000000004">
      <c r="A133">
        <f t="shared" si="0"/>
        <v>2010</v>
      </c>
      <c r="B133" s="21"/>
      <c r="C133" s="21"/>
      <c r="D133" s="3">
        <v>27.8</v>
      </c>
      <c r="E133" s="3">
        <v>5.4</v>
      </c>
    </row>
    <row r="134" spans="1:5" x14ac:dyDescent="0.55000000000000004">
      <c r="A134">
        <f t="shared" si="0"/>
        <v>2011</v>
      </c>
      <c r="B134" s="21"/>
      <c r="C134" s="21"/>
      <c r="D134" s="3">
        <v>27.5</v>
      </c>
      <c r="E134" s="3">
        <v>5.3</v>
      </c>
    </row>
    <row r="135" spans="1:5" x14ac:dyDescent="0.55000000000000004">
      <c r="A135">
        <f t="shared" si="0"/>
        <v>2012</v>
      </c>
      <c r="B135" s="21"/>
      <c r="C135" s="21"/>
      <c r="D135" s="3">
        <v>27.2</v>
      </c>
      <c r="E135" s="3">
        <v>5.2</v>
      </c>
    </row>
    <row r="136" spans="1:5" x14ac:dyDescent="0.55000000000000004">
      <c r="A136">
        <f t="shared" si="0"/>
        <v>2013</v>
      </c>
      <c r="B136" s="21"/>
      <c r="C136" s="21"/>
      <c r="D136" s="3">
        <v>26.7</v>
      </c>
      <c r="E136" s="3">
        <v>5.2</v>
      </c>
    </row>
    <row r="137" spans="1:5" x14ac:dyDescent="0.55000000000000004">
      <c r="A137">
        <f t="shared" si="0"/>
        <v>2014</v>
      </c>
      <c r="B137" s="21"/>
      <c r="C137" s="21"/>
      <c r="D137" s="3">
        <v>26.5</v>
      </c>
      <c r="E137" s="3">
        <v>5.2</v>
      </c>
    </row>
    <row r="138" spans="1:5" x14ac:dyDescent="0.55000000000000004">
      <c r="A138">
        <f t="shared" si="0"/>
        <v>2015</v>
      </c>
      <c r="B138" s="21"/>
      <c r="C138" s="21"/>
      <c r="D138" s="3">
        <v>26.2</v>
      </c>
      <c r="E138" s="3">
        <v>5.2</v>
      </c>
    </row>
    <row r="139" spans="1:5" x14ac:dyDescent="0.55000000000000004">
      <c r="A139">
        <f t="shared" si="0"/>
        <v>2016</v>
      </c>
      <c r="B139" s="21"/>
      <c r="C139" s="21"/>
      <c r="D139" s="3">
        <v>26</v>
      </c>
      <c r="E139" s="3">
        <v>5.2</v>
      </c>
    </row>
    <row r="140" spans="1:5" x14ac:dyDescent="0.55000000000000004">
      <c r="A140">
        <f t="shared" si="0"/>
        <v>2017</v>
      </c>
      <c r="B140" s="21"/>
      <c r="C140" s="21"/>
      <c r="D140" s="3">
        <v>25.2</v>
      </c>
      <c r="E140" s="3">
        <v>5.0999999999999996</v>
      </c>
    </row>
    <row r="141" spans="1:5" x14ac:dyDescent="0.55000000000000004">
      <c r="A141">
        <f t="shared" si="0"/>
        <v>2018</v>
      </c>
      <c r="B141" s="21"/>
      <c r="C141" s="21"/>
      <c r="D141" s="3">
        <v>24.3</v>
      </c>
      <c r="E141" s="3">
        <v>5.0999999999999996</v>
      </c>
    </row>
    <row r="142" spans="1:5" x14ac:dyDescent="0.55000000000000004">
      <c r="A142">
        <f t="shared" si="0"/>
        <v>2019</v>
      </c>
      <c r="B142" s="21"/>
      <c r="C142" s="21"/>
      <c r="D142" s="3">
        <v>23.1</v>
      </c>
      <c r="E142" s="3">
        <v>5.0999999999999996</v>
      </c>
    </row>
    <row r="143" spans="1:5" x14ac:dyDescent="0.55000000000000004">
      <c r="A143">
        <f t="shared" si="0"/>
        <v>2020</v>
      </c>
      <c r="B143" s="21"/>
      <c r="C143" s="21"/>
      <c r="D143" s="3">
        <v>22</v>
      </c>
      <c r="E143" s="3">
        <v>5.8</v>
      </c>
    </row>
    <row r="144" spans="1:5" x14ac:dyDescent="0.55000000000000004">
      <c r="A144">
        <f t="shared" si="0"/>
        <v>2021</v>
      </c>
      <c r="B144" s="21"/>
      <c r="C144" s="21"/>
      <c r="D144" s="3">
        <v>21.4</v>
      </c>
      <c r="E144" s="3">
        <v>6.9</v>
      </c>
    </row>
    <row r="145" spans="1:5" x14ac:dyDescent="0.55000000000000004">
      <c r="A145">
        <f t="shared" si="0"/>
        <v>2022</v>
      </c>
      <c r="B145" s="21"/>
      <c r="C145" s="21"/>
      <c r="D145" s="3">
        <v>21.1</v>
      </c>
      <c r="E145" s="3">
        <v>5.3</v>
      </c>
    </row>
    <row r="146" spans="1:5" x14ac:dyDescent="0.55000000000000004">
      <c r="A146">
        <f t="shared" si="0"/>
        <v>2023</v>
      </c>
      <c r="B146" s="21"/>
      <c r="C146" s="21"/>
      <c r="D146" s="3">
        <v>20.8</v>
      </c>
      <c r="E146" s="3">
        <v>4.8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AD125"/>
  <sheetViews>
    <sheetView topLeftCell="A28" workbookViewId="0">
      <selection activeCell="AF26" sqref="AF2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266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  <c r="AD3" t="s">
        <v>267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  <c r="AD5" t="s">
        <v>244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  <c r="AD7" t="s">
        <v>245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  <c r="AD8" t="s">
        <v>246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  <c r="AD9" t="s">
        <v>247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  <c r="AD10" t="s">
        <v>248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  <c r="AD11" t="s">
        <v>249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  <c r="AD12" t="s">
        <v>250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  <c r="AD14" t="s">
        <v>251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  <c r="AD15" t="s">
        <v>252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  <c r="AD16" t="s">
        <v>253</v>
      </c>
    </row>
    <row r="17" spans="1:30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  <c r="AD17" t="s">
        <v>254</v>
      </c>
    </row>
    <row r="18" spans="1:30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  <c r="AD18" t="s">
        <v>255</v>
      </c>
    </row>
    <row r="19" spans="1:30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  <c r="AD19" t="s">
        <v>256</v>
      </c>
    </row>
    <row r="20" spans="1:30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  <c r="AD20" t="s">
        <v>257</v>
      </c>
    </row>
    <row r="21" spans="1:30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30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  <c r="AD22" t="s">
        <v>258</v>
      </c>
    </row>
    <row r="23" spans="1:30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  <c r="AD23" t="s">
        <v>259</v>
      </c>
    </row>
    <row r="24" spans="1:30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  <c r="AD24" t="s">
        <v>260</v>
      </c>
    </row>
    <row r="25" spans="1:30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  <c r="AD25" t="s">
        <v>261</v>
      </c>
    </row>
    <row r="26" spans="1:30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  <c r="AD26" t="s">
        <v>262</v>
      </c>
    </row>
    <row r="27" spans="1:30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30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  <c r="AD28" t="s">
        <v>263</v>
      </c>
    </row>
    <row r="29" spans="1:30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  <c r="AD29" t="s">
        <v>264</v>
      </c>
    </row>
    <row r="30" spans="1:30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  <c r="AD30" t="s">
        <v>265</v>
      </c>
    </row>
    <row r="31" spans="1:30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30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  <c r="AD32" t="s">
        <v>268</v>
      </c>
    </row>
    <row r="33" spans="1:30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30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  <c r="AD34" t="s">
        <v>269</v>
      </c>
    </row>
    <row r="35" spans="1:30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  <c r="AD35" t="s">
        <v>270</v>
      </c>
    </row>
    <row r="36" spans="1:30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  <c r="AD36" t="s">
        <v>271</v>
      </c>
    </row>
    <row r="37" spans="1:30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  <c r="AD37" t="s">
        <v>272</v>
      </c>
    </row>
    <row r="38" spans="1:30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30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  <c r="AD39" t="s">
        <v>273</v>
      </c>
    </row>
    <row r="40" spans="1:30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  <c r="AD40" t="s">
        <v>274</v>
      </c>
    </row>
    <row r="41" spans="1:30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  <c r="AD41" t="s">
        <v>275</v>
      </c>
    </row>
    <row r="42" spans="1:30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  <c r="AD42" t="s">
        <v>276</v>
      </c>
    </row>
    <row r="43" spans="1:30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  <c r="AD43" t="s">
        <v>277</v>
      </c>
    </row>
    <row r="44" spans="1:30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  <c r="AD44" t="s">
        <v>278</v>
      </c>
    </row>
    <row r="45" spans="1:30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30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  <c r="AD46" t="s">
        <v>279</v>
      </c>
    </row>
    <row r="47" spans="1:30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  <c r="AD47" t="s">
        <v>280</v>
      </c>
    </row>
    <row r="48" spans="1:30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  <c r="AD48" t="s">
        <v>281</v>
      </c>
    </row>
    <row r="49" spans="1:30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  <c r="AD49" t="s">
        <v>272</v>
      </c>
    </row>
    <row r="50" spans="1:30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30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  <c r="AD51" t="s">
        <v>282</v>
      </c>
    </row>
    <row r="52" spans="1:30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30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  <c r="AD53" t="s">
        <v>283</v>
      </c>
    </row>
    <row r="54" spans="1:30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  <c r="AD54" t="s">
        <v>284</v>
      </c>
    </row>
    <row r="55" spans="1:30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30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  <c r="AD56" t="s">
        <v>179</v>
      </c>
    </row>
    <row r="57" spans="1:30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  <c r="AD57" t="s">
        <v>285</v>
      </c>
    </row>
    <row r="58" spans="1:30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  <c r="AD58" t="s">
        <v>286</v>
      </c>
    </row>
    <row r="59" spans="1:30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  <c r="AD59" t="s">
        <v>287</v>
      </c>
    </row>
    <row r="60" spans="1:30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  <c r="AD60" t="s">
        <v>290</v>
      </c>
    </row>
    <row r="61" spans="1:30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30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30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30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EE2B-A018-43F5-A8F7-5C70AE3C3CAD}">
  <dimension ref="A1:AD125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288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  <c r="AD4" t="s">
        <v>289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4FECB-F5AA-4101-8AC3-E0D998AB2D53}">
  <dimension ref="A1:E116"/>
  <sheetViews>
    <sheetView workbookViewId="0">
      <selection activeCell="D43" sqref="D43"/>
    </sheetView>
  </sheetViews>
  <sheetFormatPr defaultRowHeight="14.4" x14ac:dyDescent="0.55000000000000004"/>
  <sheetData>
    <row r="1" spans="1:5" x14ac:dyDescent="0.55000000000000004">
      <c r="A1" s="1"/>
      <c r="B1" s="30" t="s">
        <v>115</v>
      </c>
      <c r="C1" s="30"/>
      <c r="D1" s="30" t="s">
        <v>75</v>
      </c>
      <c r="E1" s="30"/>
    </row>
    <row r="2" spans="1:5" x14ac:dyDescent="0.55000000000000004">
      <c r="A2" s="13" t="s">
        <v>73</v>
      </c>
      <c r="B2" s="13" t="s">
        <v>370</v>
      </c>
      <c r="C2" s="13" t="s">
        <v>85</v>
      </c>
      <c r="D2" s="13" t="s">
        <v>370</v>
      </c>
      <c r="E2" s="13" t="s">
        <v>85</v>
      </c>
    </row>
    <row r="3" spans="1:5" x14ac:dyDescent="0.55000000000000004">
      <c r="A3">
        <v>1910</v>
      </c>
      <c r="B3" s="21">
        <v>40.380000000000003</v>
      </c>
      <c r="C3" s="21">
        <v>25.73</v>
      </c>
      <c r="D3" s="21"/>
      <c r="E3" s="21"/>
    </row>
    <row r="4" spans="1:5" x14ac:dyDescent="0.55000000000000004">
      <c r="A4">
        <v>1911</v>
      </c>
      <c r="B4" s="21">
        <v>42.48</v>
      </c>
      <c r="C4" s="21">
        <v>26.58</v>
      </c>
      <c r="D4" s="21"/>
      <c r="E4" s="21"/>
    </row>
    <row r="5" spans="1:5" x14ac:dyDescent="0.55000000000000004">
      <c r="A5">
        <v>1912</v>
      </c>
      <c r="B5" s="21">
        <v>42.12</v>
      </c>
      <c r="C5" s="21">
        <v>24.21</v>
      </c>
      <c r="D5" s="21"/>
      <c r="E5" s="21"/>
    </row>
    <row r="6" spans="1:5" x14ac:dyDescent="0.55000000000000004">
      <c r="A6">
        <v>1913</v>
      </c>
      <c r="B6" s="21">
        <v>42.69</v>
      </c>
      <c r="C6" s="21">
        <v>24.66</v>
      </c>
      <c r="D6" s="21"/>
      <c r="E6" s="21"/>
    </row>
    <row r="7" spans="1:5" x14ac:dyDescent="0.55000000000000004">
      <c r="A7">
        <v>1914</v>
      </c>
      <c r="B7" s="21">
        <v>43.22</v>
      </c>
      <c r="C7" s="21">
        <v>24.19</v>
      </c>
      <c r="D7" s="21"/>
      <c r="E7" s="21"/>
    </row>
    <row r="8" spans="1:5" x14ac:dyDescent="0.55000000000000004">
      <c r="A8">
        <v>1915</v>
      </c>
      <c r="B8" s="21">
        <v>38.75</v>
      </c>
      <c r="C8" s="21">
        <v>33.97</v>
      </c>
      <c r="D8" s="21"/>
      <c r="E8" s="21"/>
    </row>
    <row r="9" spans="1:5" x14ac:dyDescent="0.55000000000000004">
      <c r="A9">
        <v>1916</v>
      </c>
      <c r="B9" s="21">
        <v>35.57</v>
      </c>
      <c r="C9" s="21">
        <v>35.369999999999997</v>
      </c>
      <c r="D9" s="21"/>
      <c r="E9" s="21"/>
    </row>
    <row r="10" spans="1:5" x14ac:dyDescent="0.55000000000000004">
      <c r="A10">
        <v>1917</v>
      </c>
      <c r="B10" s="21">
        <v>39.72</v>
      </c>
      <c r="C10" s="21">
        <v>34.82</v>
      </c>
      <c r="D10" s="21"/>
      <c r="E10" s="21"/>
    </row>
    <row r="11" spans="1:5" x14ac:dyDescent="0.55000000000000004">
      <c r="A11">
        <v>1918</v>
      </c>
      <c r="B11" s="21">
        <v>43.35</v>
      </c>
      <c r="C11" s="21">
        <v>32.58</v>
      </c>
      <c r="D11" s="21"/>
      <c r="E11" s="21"/>
    </row>
    <row r="12" spans="1:5" x14ac:dyDescent="0.55000000000000004">
      <c r="A12">
        <v>1919</v>
      </c>
      <c r="B12" s="21">
        <v>30.99</v>
      </c>
      <c r="C12" s="21">
        <v>26.35</v>
      </c>
      <c r="D12" s="21"/>
      <c r="E12" s="21"/>
    </row>
    <row r="13" spans="1:5" x14ac:dyDescent="0.55000000000000004">
      <c r="A13">
        <v>1920</v>
      </c>
      <c r="B13" s="21">
        <v>42.5</v>
      </c>
      <c r="C13" s="21">
        <v>25.09</v>
      </c>
      <c r="D13" s="21"/>
      <c r="E13" s="21"/>
    </row>
    <row r="14" spans="1:5" x14ac:dyDescent="0.55000000000000004">
      <c r="A14">
        <v>1921</v>
      </c>
      <c r="B14" s="21">
        <v>42.59</v>
      </c>
      <c r="C14" s="21">
        <v>27.24</v>
      </c>
      <c r="D14" s="21"/>
      <c r="E14" s="21"/>
    </row>
    <row r="15" spans="1:5" x14ac:dyDescent="0.55000000000000004">
      <c r="A15">
        <v>1922</v>
      </c>
      <c r="B15" s="21">
        <v>42.81</v>
      </c>
      <c r="C15" s="21">
        <v>27.52</v>
      </c>
      <c r="D15" s="21"/>
      <c r="E15" s="21"/>
    </row>
    <row r="16" spans="1:5" x14ac:dyDescent="0.55000000000000004">
      <c r="A16">
        <v>1923</v>
      </c>
      <c r="B16" s="21">
        <v>45.38</v>
      </c>
      <c r="C16" s="21">
        <v>27.7</v>
      </c>
      <c r="D16" s="21"/>
      <c r="E16" s="21"/>
    </row>
    <row r="17" spans="1:5" x14ac:dyDescent="0.55000000000000004">
      <c r="A17">
        <v>1924</v>
      </c>
      <c r="B17" s="21">
        <v>45.58</v>
      </c>
      <c r="C17" s="21">
        <v>27.7</v>
      </c>
      <c r="D17" s="21"/>
      <c r="E17" s="21"/>
    </row>
    <row r="18" spans="1:5" x14ac:dyDescent="0.55000000000000004">
      <c r="A18">
        <v>1925</v>
      </c>
      <c r="B18" s="21">
        <v>45.59</v>
      </c>
      <c r="C18" s="21">
        <v>29.31</v>
      </c>
      <c r="D18" s="21"/>
      <c r="E18" s="21"/>
    </row>
    <row r="19" spans="1:5" x14ac:dyDescent="0.55000000000000004">
      <c r="A19">
        <v>1926</v>
      </c>
      <c r="B19" s="21">
        <v>47.37</v>
      </c>
      <c r="C19" s="21">
        <v>32.31</v>
      </c>
      <c r="D19" s="21"/>
      <c r="E19" s="21"/>
    </row>
    <row r="20" spans="1:5" x14ac:dyDescent="0.55000000000000004">
      <c r="A20">
        <v>1927</v>
      </c>
      <c r="B20" s="21">
        <v>47.62</v>
      </c>
      <c r="C20" s="21">
        <v>32.92</v>
      </c>
      <c r="D20" s="21"/>
      <c r="E20" s="21"/>
    </row>
    <row r="21" spans="1:5" x14ac:dyDescent="0.55000000000000004">
      <c r="A21">
        <v>1928</v>
      </c>
      <c r="B21" s="21">
        <v>46.65</v>
      </c>
      <c r="C21" s="21">
        <v>26.31</v>
      </c>
      <c r="D21" s="21"/>
      <c r="E21" s="21"/>
    </row>
    <row r="22" spans="1:5" x14ac:dyDescent="0.55000000000000004">
      <c r="A22">
        <v>1929</v>
      </c>
      <c r="B22" s="21">
        <v>46.74</v>
      </c>
      <c r="C22" s="21">
        <v>31.18</v>
      </c>
      <c r="D22" s="21"/>
      <c r="E22" s="21"/>
    </row>
    <row r="23" spans="1:5" x14ac:dyDescent="0.55000000000000004">
      <c r="A23">
        <v>1930</v>
      </c>
      <c r="B23" s="21">
        <v>50.19</v>
      </c>
      <c r="C23" s="21">
        <v>31.8</v>
      </c>
      <c r="D23" s="21"/>
      <c r="E23" s="21"/>
    </row>
    <row r="24" spans="1:5" x14ac:dyDescent="0.55000000000000004">
      <c r="A24">
        <v>1931</v>
      </c>
      <c r="B24" s="21">
        <v>50.26</v>
      </c>
      <c r="C24" s="21">
        <v>27.95</v>
      </c>
      <c r="D24" s="21"/>
      <c r="E24" s="21"/>
    </row>
    <row r="25" spans="1:5" x14ac:dyDescent="0.55000000000000004">
      <c r="A25">
        <v>1932</v>
      </c>
      <c r="B25" s="21">
        <v>47.65</v>
      </c>
      <c r="C25" s="21">
        <v>26.51</v>
      </c>
      <c r="D25" s="21"/>
      <c r="E25" s="21"/>
    </row>
    <row r="26" spans="1:5" x14ac:dyDescent="0.55000000000000004">
      <c r="A26">
        <v>1933</v>
      </c>
      <c r="B26" s="21">
        <v>45.28</v>
      </c>
      <c r="C26" s="21">
        <v>25.7</v>
      </c>
      <c r="D26" s="21"/>
      <c r="E26" s="21"/>
    </row>
    <row r="27" spans="1:5" x14ac:dyDescent="0.55000000000000004">
      <c r="A27">
        <v>1934</v>
      </c>
      <c r="B27" s="21">
        <v>45.15</v>
      </c>
      <c r="C27" s="21">
        <v>27.61</v>
      </c>
      <c r="D27" s="21"/>
      <c r="E27" s="21"/>
    </row>
    <row r="28" spans="1:5" x14ac:dyDescent="0.55000000000000004">
      <c r="A28">
        <v>1935</v>
      </c>
      <c r="B28" s="21">
        <v>45.62</v>
      </c>
      <c r="C28" s="21">
        <v>23.44</v>
      </c>
      <c r="D28" s="21"/>
      <c r="E28" s="21"/>
    </row>
    <row r="29" spans="1:5" x14ac:dyDescent="0.55000000000000004">
      <c r="A29">
        <v>1936</v>
      </c>
      <c r="B29" s="21">
        <v>46.93</v>
      </c>
      <c r="C29" s="21">
        <v>31.12</v>
      </c>
      <c r="D29" s="21"/>
      <c r="E29" s="21"/>
    </row>
    <row r="30" spans="1:5" x14ac:dyDescent="0.55000000000000004">
      <c r="A30">
        <v>1937</v>
      </c>
      <c r="B30" s="21">
        <v>52.21</v>
      </c>
      <c r="C30" s="21">
        <v>35.57</v>
      </c>
      <c r="D30" s="21"/>
      <c r="E30" s="21"/>
    </row>
    <row r="31" spans="1:5" x14ac:dyDescent="0.55000000000000004">
      <c r="A31">
        <v>1938</v>
      </c>
      <c r="B31" s="21">
        <v>53.19</v>
      </c>
      <c r="C31" s="21">
        <v>31.41</v>
      </c>
      <c r="D31" s="21"/>
      <c r="E31" s="21"/>
    </row>
    <row r="32" spans="1:5" x14ac:dyDescent="0.55000000000000004">
      <c r="A32">
        <v>1939</v>
      </c>
      <c r="B32" s="21">
        <v>53.14</v>
      </c>
      <c r="C32" s="21">
        <v>29.04</v>
      </c>
      <c r="D32" s="21"/>
      <c r="E32" s="21"/>
    </row>
    <row r="33" spans="1:5" x14ac:dyDescent="0.55000000000000004">
      <c r="A33">
        <v>1940</v>
      </c>
      <c r="B33" s="21">
        <v>48.59</v>
      </c>
      <c r="C33" s="21">
        <v>29.84</v>
      </c>
      <c r="D33" s="21"/>
      <c r="E33" s="21"/>
    </row>
    <row r="34" spans="1:5" x14ac:dyDescent="0.55000000000000004">
      <c r="A34">
        <v>1941</v>
      </c>
      <c r="B34" s="21">
        <v>49.05</v>
      </c>
      <c r="C34" s="21">
        <v>31.32</v>
      </c>
      <c r="D34" s="21"/>
      <c r="E34" s="21"/>
    </row>
    <row r="35" spans="1:5" x14ac:dyDescent="0.55000000000000004">
      <c r="A35">
        <v>1942</v>
      </c>
      <c r="B35" s="21">
        <v>48.39</v>
      </c>
      <c r="C35" s="21">
        <v>31.21</v>
      </c>
      <c r="D35" s="21"/>
      <c r="E35" s="21"/>
    </row>
    <row r="36" spans="1:5" x14ac:dyDescent="0.55000000000000004">
      <c r="A36">
        <v>1943</v>
      </c>
      <c r="B36" s="21">
        <v>47.75</v>
      </c>
      <c r="C36" s="21">
        <v>38.07</v>
      </c>
      <c r="D36" s="21"/>
      <c r="E36" s="21"/>
    </row>
    <row r="37" spans="1:5" x14ac:dyDescent="0.55000000000000004">
      <c r="A37">
        <v>1944</v>
      </c>
      <c r="B37" s="21">
        <v>48.3</v>
      </c>
      <c r="C37" s="21">
        <v>32.92</v>
      </c>
      <c r="D37" s="21"/>
      <c r="E37" s="21"/>
    </row>
    <row r="38" spans="1:5" x14ac:dyDescent="0.55000000000000004">
      <c r="A38">
        <v>1945</v>
      </c>
      <c r="B38" s="21">
        <v>48.7</v>
      </c>
      <c r="C38" s="21">
        <v>32.53</v>
      </c>
      <c r="D38" s="21"/>
      <c r="E38" s="21"/>
    </row>
    <row r="39" spans="1:5" x14ac:dyDescent="0.55000000000000004">
      <c r="A39">
        <v>1946</v>
      </c>
      <c r="B39" s="21">
        <v>50.82</v>
      </c>
      <c r="C39" s="21">
        <v>32.590000000000003</v>
      </c>
      <c r="D39" s="21"/>
      <c r="E39" s="21"/>
    </row>
    <row r="40" spans="1:5" x14ac:dyDescent="0.55000000000000004">
      <c r="A40">
        <v>1947</v>
      </c>
      <c r="B40" s="21">
        <v>52.35</v>
      </c>
      <c r="C40" s="21">
        <v>25.98</v>
      </c>
      <c r="D40" s="21"/>
      <c r="E40" s="21"/>
    </row>
    <row r="41" spans="1:5" x14ac:dyDescent="0.55000000000000004">
      <c r="A41">
        <v>1948</v>
      </c>
      <c r="B41" s="21">
        <v>53.32</v>
      </c>
      <c r="C41" s="21">
        <v>29.38</v>
      </c>
      <c r="D41" s="21"/>
      <c r="E41" s="21"/>
    </row>
    <row r="42" spans="1:5" x14ac:dyDescent="0.55000000000000004">
      <c r="A42">
        <v>1949</v>
      </c>
      <c r="B42" s="21">
        <v>54.02</v>
      </c>
      <c r="C42" s="21">
        <v>28.31</v>
      </c>
      <c r="D42" s="21"/>
      <c r="E42" s="21"/>
    </row>
    <row r="43" spans="1:5" x14ac:dyDescent="0.55000000000000004">
      <c r="A43">
        <v>1950</v>
      </c>
      <c r="B43" s="21">
        <v>53</v>
      </c>
      <c r="C43" s="21">
        <v>25.58</v>
      </c>
      <c r="D43" s="3">
        <v>52.5</v>
      </c>
      <c r="E43" s="3">
        <v>25.7</v>
      </c>
    </row>
    <row r="44" spans="1:5" x14ac:dyDescent="0.55000000000000004">
      <c r="A44">
        <v>1951</v>
      </c>
      <c r="B44" s="21">
        <v>54.46</v>
      </c>
      <c r="C44" s="21">
        <v>25.65</v>
      </c>
      <c r="D44" s="3">
        <v>52.4</v>
      </c>
      <c r="E44" s="3">
        <v>25.1</v>
      </c>
    </row>
    <row r="45" spans="1:5" x14ac:dyDescent="0.55000000000000004">
      <c r="A45">
        <v>1952</v>
      </c>
      <c r="B45" s="21">
        <v>52.69</v>
      </c>
      <c r="C45" s="21">
        <v>21.4</v>
      </c>
      <c r="D45" s="3">
        <v>52.3</v>
      </c>
      <c r="E45" s="3">
        <v>24.6</v>
      </c>
    </row>
    <row r="46" spans="1:5" x14ac:dyDescent="0.55000000000000004">
      <c r="A46">
        <v>1953</v>
      </c>
      <c r="B46" s="21">
        <v>55.22</v>
      </c>
      <c r="C46" s="21">
        <v>22.58</v>
      </c>
      <c r="D46" s="3">
        <v>52.1</v>
      </c>
      <c r="E46" s="3">
        <v>24</v>
      </c>
    </row>
    <row r="47" spans="1:5" x14ac:dyDescent="0.55000000000000004">
      <c r="A47">
        <v>1954</v>
      </c>
      <c r="B47" s="21">
        <v>54.92</v>
      </c>
      <c r="C47" s="21">
        <v>21.61</v>
      </c>
      <c r="D47" s="3">
        <v>51.9</v>
      </c>
      <c r="E47" s="3">
        <v>23.4</v>
      </c>
    </row>
    <row r="48" spans="1:5" x14ac:dyDescent="0.55000000000000004">
      <c r="A48">
        <v>1955</v>
      </c>
      <c r="B48" s="21">
        <v>54.58</v>
      </c>
      <c r="C48" s="21">
        <v>21.97</v>
      </c>
      <c r="D48" s="3">
        <v>51.6</v>
      </c>
      <c r="E48" s="3">
        <v>22.7</v>
      </c>
    </row>
    <row r="49" spans="1:5" x14ac:dyDescent="0.55000000000000004">
      <c r="A49">
        <v>1956</v>
      </c>
      <c r="B49" s="21">
        <v>51.61</v>
      </c>
      <c r="C49" s="21">
        <v>20.43</v>
      </c>
      <c r="D49" s="3">
        <v>51.2</v>
      </c>
      <c r="E49" s="3">
        <v>22</v>
      </c>
    </row>
    <row r="50" spans="1:5" x14ac:dyDescent="0.55000000000000004">
      <c r="A50">
        <v>1957</v>
      </c>
      <c r="B50" s="21">
        <v>54.62</v>
      </c>
      <c r="C50" s="21">
        <v>20.98</v>
      </c>
      <c r="D50" s="3">
        <v>50.8</v>
      </c>
      <c r="E50" s="3">
        <v>21.3</v>
      </c>
    </row>
    <row r="51" spans="1:5" x14ac:dyDescent="0.55000000000000004">
      <c r="A51">
        <v>1958</v>
      </c>
      <c r="B51" s="21">
        <v>54.37</v>
      </c>
      <c r="C51" s="21">
        <v>22.31</v>
      </c>
      <c r="D51" s="3">
        <v>50.4</v>
      </c>
      <c r="E51" s="3">
        <v>20.6</v>
      </c>
    </row>
    <row r="52" spans="1:5" x14ac:dyDescent="0.55000000000000004">
      <c r="A52">
        <v>1959</v>
      </c>
      <c r="B52" s="21">
        <v>52.86</v>
      </c>
      <c r="C52" s="21">
        <v>18.98</v>
      </c>
      <c r="D52" s="3">
        <v>49.9</v>
      </c>
      <c r="E52" s="3">
        <v>19.8</v>
      </c>
    </row>
    <row r="53" spans="1:5" x14ac:dyDescent="0.55000000000000004">
      <c r="A53">
        <v>1960</v>
      </c>
      <c r="B53" s="21">
        <v>50.61</v>
      </c>
      <c r="C53" s="21">
        <v>19.12</v>
      </c>
      <c r="D53" s="3">
        <v>49.4</v>
      </c>
      <c r="E53" s="3">
        <v>19.100000000000001</v>
      </c>
    </row>
    <row r="54" spans="1:5" x14ac:dyDescent="0.55000000000000004">
      <c r="A54">
        <v>1961</v>
      </c>
      <c r="B54" s="21">
        <v>51.21</v>
      </c>
      <c r="C54" s="21">
        <v>18.559999999999999</v>
      </c>
      <c r="D54" s="3">
        <v>49</v>
      </c>
      <c r="E54" s="3">
        <v>18.5</v>
      </c>
    </row>
    <row r="55" spans="1:5" x14ac:dyDescent="0.55000000000000004">
      <c r="A55">
        <v>1962</v>
      </c>
      <c r="B55" s="21">
        <v>53.17</v>
      </c>
      <c r="C55" s="21">
        <v>18.559999999999999</v>
      </c>
      <c r="D55" s="3">
        <v>48.6</v>
      </c>
      <c r="E55" s="3">
        <v>17.7</v>
      </c>
    </row>
    <row r="56" spans="1:5" x14ac:dyDescent="0.55000000000000004">
      <c r="A56">
        <v>1963</v>
      </c>
      <c r="B56" s="21">
        <v>52.19</v>
      </c>
      <c r="C56" s="21">
        <v>18.75</v>
      </c>
      <c r="D56" s="3">
        <v>48.2</v>
      </c>
      <c r="E56" s="3">
        <v>17.100000000000001</v>
      </c>
    </row>
    <row r="57" spans="1:5" x14ac:dyDescent="0.55000000000000004">
      <c r="A57">
        <v>1964</v>
      </c>
      <c r="B57" s="21">
        <v>54.16</v>
      </c>
      <c r="C57" s="21">
        <v>17.649999999999999</v>
      </c>
      <c r="D57" s="3">
        <v>47.9</v>
      </c>
      <c r="E57" s="3">
        <v>16.399999999999999</v>
      </c>
    </row>
    <row r="58" spans="1:5" x14ac:dyDescent="0.55000000000000004">
      <c r="A58">
        <v>1965</v>
      </c>
      <c r="B58" s="21">
        <v>51.86</v>
      </c>
      <c r="C58" s="21">
        <v>16.309999999999999</v>
      </c>
      <c r="D58" s="3">
        <v>47.7</v>
      </c>
      <c r="E58" s="3">
        <v>15.9</v>
      </c>
    </row>
    <row r="59" spans="1:5" x14ac:dyDescent="0.55000000000000004">
      <c r="A59">
        <v>1966</v>
      </c>
      <c r="B59" s="21">
        <v>50.56</v>
      </c>
      <c r="C59" s="21">
        <v>16.48</v>
      </c>
      <c r="D59" s="3">
        <v>47.3</v>
      </c>
      <c r="E59" s="3">
        <v>15.3</v>
      </c>
    </row>
    <row r="60" spans="1:5" x14ac:dyDescent="0.55000000000000004">
      <c r="A60">
        <v>1967</v>
      </c>
      <c r="B60" s="21">
        <v>50.31</v>
      </c>
      <c r="C60" s="21">
        <v>15.37</v>
      </c>
      <c r="D60" s="3">
        <v>46.9</v>
      </c>
      <c r="E60" s="3">
        <v>14.7</v>
      </c>
    </row>
    <row r="61" spans="1:5" x14ac:dyDescent="0.55000000000000004">
      <c r="A61">
        <v>1968</v>
      </c>
      <c r="B61" s="21">
        <v>51.11</v>
      </c>
      <c r="C61" s="21">
        <v>15.63</v>
      </c>
      <c r="D61" s="3">
        <v>46.6</v>
      </c>
      <c r="E61" s="3">
        <v>14.2</v>
      </c>
    </row>
    <row r="62" spans="1:5" x14ac:dyDescent="0.55000000000000004">
      <c r="A62">
        <v>1969</v>
      </c>
      <c r="B62" s="21">
        <v>50.08</v>
      </c>
      <c r="C62" s="21">
        <v>16.55</v>
      </c>
      <c r="D62" s="3">
        <v>46.4</v>
      </c>
      <c r="E62" s="3">
        <v>13.7</v>
      </c>
    </row>
    <row r="63" spans="1:5" x14ac:dyDescent="0.55000000000000004">
      <c r="A63">
        <v>1970</v>
      </c>
      <c r="B63" s="21">
        <v>47.75</v>
      </c>
      <c r="C63" s="21">
        <v>13.76</v>
      </c>
      <c r="D63" s="3">
        <v>46.3</v>
      </c>
      <c r="E63" s="3">
        <v>13.2</v>
      </c>
    </row>
    <row r="64" spans="1:5" x14ac:dyDescent="0.55000000000000004">
      <c r="A64">
        <v>1971</v>
      </c>
      <c r="B64" s="21">
        <v>50.8</v>
      </c>
      <c r="C64" s="21">
        <v>13.43</v>
      </c>
      <c r="D64" s="3">
        <v>46.2</v>
      </c>
      <c r="E64" s="3">
        <v>12.8</v>
      </c>
    </row>
    <row r="65" spans="1:5" x14ac:dyDescent="0.55000000000000004">
      <c r="A65">
        <v>1972</v>
      </c>
      <c r="B65" s="21">
        <v>51.15</v>
      </c>
      <c r="C65" s="21">
        <v>13.72</v>
      </c>
      <c r="D65" s="3">
        <v>46.1</v>
      </c>
      <c r="E65" s="3">
        <v>12.4</v>
      </c>
    </row>
    <row r="66" spans="1:5" x14ac:dyDescent="0.55000000000000004">
      <c r="A66">
        <v>1973</v>
      </c>
      <c r="B66" s="21">
        <v>49.05</v>
      </c>
      <c r="C66" s="21">
        <v>12.89</v>
      </c>
      <c r="D66" s="3">
        <v>45.9</v>
      </c>
      <c r="E66" s="3">
        <v>12.9</v>
      </c>
    </row>
    <row r="67" spans="1:5" x14ac:dyDescent="0.55000000000000004">
      <c r="A67">
        <v>1974</v>
      </c>
      <c r="B67" s="21">
        <v>49.41</v>
      </c>
      <c r="C67" s="21">
        <v>11.5</v>
      </c>
      <c r="D67" s="3">
        <v>45.8</v>
      </c>
      <c r="E67" s="3">
        <v>14.2</v>
      </c>
    </row>
    <row r="68" spans="1:5" x14ac:dyDescent="0.55000000000000004">
      <c r="A68">
        <v>1975</v>
      </c>
      <c r="B68" s="21">
        <v>43.91</v>
      </c>
      <c r="C68" s="21">
        <v>12.3</v>
      </c>
      <c r="D68" s="3">
        <v>46</v>
      </c>
      <c r="E68" s="3">
        <v>11.1</v>
      </c>
    </row>
    <row r="69" spans="1:5" x14ac:dyDescent="0.55000000000000004">
      <c r="A69">
        <v>1976</v>
      </c>
      <c r="B69" s="21">
        <v>45.45</v>
      </c>
      <c r="C69" s="21">
        <v>11.25</v>
      </c>
      <c r="D69" s="3">
        <v>46</v>
      </c>
      <c r="E69" s="3">
        <v>10.9</v>
      </c>
    </row>
    <row r="70" spans="1:5" x14ac:dyDescent="0.55000000000000004">
      <c r="A70">
        <v>1977</v>
      </c>
      <c r="B70" s="21">
        <v>46.3</v>
      </c>
      <c r="C70" s="21">
        <v>11.12</v>
      </c>
      <c r="D70" s="3">
        <v>45.7</v>
      </c>
      <c r="E70" s="3">
        <v>10.6</v>
      </c>
    </row>
    <row r="71" spans="1:5" x14ac:dyDescent="0.55000000000000004">
      <c r="A71">
        <v>1978</v>
      </c>
      <c r="B71" s="21">
        <v>44.76</v>
      </c>
      <c r="C71" s="21">
        <v>10.49</v>
      </c>
      <c r="D71" s="3">
        <v>45.3</v>
      </c>
      <c r="E71" s="3">
        <v>10.3</v>
      </c>
    </row>
    <row r="72" spans="1:5" x14ac:dyDescent="0.55000000000000004">
      <c r="A72">
        <v>1979</v>
      </c>
      <c r="B72" s="21">
        <v>46.79</v>
      </c>
      <c r="C72" s="21">
        <v>10.38</v>
      </c>
      <c r="D72" s="3">
        <v>44.9</v>
      </c>
      <c r="E72" s="3">
        <v>10</v>
      </c>
    </row>
    <row r="73" spans="1:5" x14ac:dyDescent="0.55000000000000004">
      <c r="A73">
        <v>1980</v>
      </c>
      <c r="B73" s="21">
        <v>44.7</v>
      </c>
      <c r="C73" s="21">
        <v>9.2899999999999991</v>
      </c>
      <c r="D73" s="3">
        <v>44.3</v>
      </c>
      <c r="E73" s="3">
        <v>9.6999999999999993</v>
      </c>
    </row>
    <row r="74" spans="1:5" x14ac:dyDescent="0.55000000000000004">
      <c r="A74">
        <v>1981</v>
      </c>
      <c r="B74" s="21">
        <v>44.66</v>
      </c>
      <c r="C74" s="21">
        <v>8.98</v>
      </c>
      <c r="D74" s="3">
        <v>43.7</v>
      </c>
      <c r="E74" s="3">
        <v>9.4</v>
      </c>
    </row>
    <row r="75" spans="1:5" x14ac:dyDescent="0.55000000000000004">
      <c r="A75">
        <v>1982</v>
      </c>
      <c r="B75" s="21">
        <v>43.36</v>
      </c>
      <c r="C75" s="21">
        <v>8.77</v>
      </c>
      <c r="D75" s="3">
        <v>43.1</v>
      </c>
      <c r="E75" s="3">
        <v>9.1</v>
      </c>
    </row>
    <row r="76" spans="1:5" x14ac:dyDescent="0.55000000000000004">
      <c r="A76">
        <v>1983</v>
      </c>
      <c r="B76" s="21">
        <v>41.13</v>
      </c>
      <c r="C76" s="21">
        <v>8.86</v>
      </c>
      <c r="D76" s="3">
        <v>42.4</v>
      </c>
      <c r="E76" s="3">
        <v>8.6999999999999993</v>
      </c>
    </row>
    <row r="77" spans="1:5" x14ac:dyDescent="0.55000000000000004">
      <c r="A77">
        <v>1984</v>
      </c>
      <c r="B77" s="21">
        <v>40.31</v>
      </c>
      <c r="C77" s="21">
        <v>8.4600000000000009</v>
      </c>
      <c r="D77" s="3">
        <v>41.8</v>
      </c>
      <c r="E77" s="3">
        <v>8.5</v>
      </c>
    </row>
    <row r="78" spans="1:5" x14ac:dyDescent="0.55000000000000004">
      <c r="A78">
        <v>1985</v>
      </c>
      <c r="B78" s="21"/>
      <c r="C78" s="21"/>
      <c r="D78" s="3">
        <v>41.1</v>
      </c>
      <c r="E78" s="3">
        <v>8.1999999999999993</v>
      </c>
    </row>
    <row r="79" spans="1:5" x14ac:dyDescent="0.55000000000000004">
      <c r="A79">
        <v>1986</v>
      </c>
      <c r="B79" s="21"/>
      <c r="C79" s="21"/>
      <c r="D79" s="3">
        <v>40.5</v>
      </c>
      <c r="E79" s="3">
        <v>8</v>
      </c>
    </row>
    <row r="80" spans="1:5" x14ac:dyDescent="0.55000000000000004">
      <c r="A80">
        <v>1987</v>
      </c>
      <c r="B80" s="21"/>
      <c r="C80" s="21"/>
      <c r="D80" s="3">
        <v>39.9</v>
      </c>
      <c r="E80" s="3">
        <v>7.8</v>
      </c>
    </row>
    <row r="81" spans="1:5" x14ac:dyDescent="0.55000000000000004">
      <c r="A81">
        <v>1988</v>
      </c>
      <c r="B81" s="21"/>
      <c r="C81" s="21"/>
      <c r="D81" s="3">
        <v>39.299999999999997</v>
      </c>
      <c r="E81" s="3">
        <v>7.6</v>
      </c>
    </row>
    <row r="82" spans="1:5" x14ac:dyDescent="0.55000000000000004">
      <c r="A82">
        <v>1989</v>
      </c>
      <c r="B82" s="21"/>
      <c r="C82" s="21"/>
      <c r="D82" s="3">
        <v>38.799999999999997</v>
      </c>
      <c r="E82" s="3">
        <v>7.3</v>
      </c>
    </row>
    <row r="83" spans="1:5" x14ac:dyDescent="0.55000000000000004">
      <c r="A83">
        <v>1990</v>
      </c>
      <c r="B83" s="21"/>
      <c r="C83" s="21"/>
      <c r="D83" s="3">
        <v>38.5</v>
      </c>
      <c r="E83" s="3">
        <v>7</v>
      </c>
    </row>
    <row r="84" spans="1:5" x14ac:dyDescent="0.55000000000000004">
      <c r="A84">
        <v>1991</v>
      </c>
      <c r="B84" s="21"/>
      <c r="C84" s="21"/>
      <c r="D84" s="3">
        <v>38.200000000000003</v>
      </c>
      <c r="E84" s="3">
        <v>6.8</v>
      </c>
    </row>
    <row r="85" spans="1:5" x14ac:dyDescent="0.55000000000000004">
      <c r="A85">
        <v>1992</v>
      </c>
      <c r="B85" s="21"/>
      <c r="C85" s="21"/>
      <c r="D85" s="3">
        <v>37.9</v>
      </c>
      <c r="E85" s="3">
        <v>6.6</v>
      </c>
    </row>
    <row r="86" spans="1:5" x14ac:dyDescent="0.55000000000000004">
      <c r="A86">
        <v>1993</v>
      </c>
      <c r="B86" s="21"/>
      <c r="C86" s="21"/>
      <c r="D86" s="3">
        <v>37.700000000000003</v>
      </c>
      <c r="E86" s="3">
        <v>6.4</v>
      </c>
    </row>
    <row r="87" spans="1:5" x14ac:dyDescent="0.55000000000000004">
      <c r="A87">
        <v>1994</v>
      </c>
      <c r="B87" s="21"/>
      <c r="C87" s="21"/>
      <c r="D87" s="3">
        <v>37.299999999999997</v>
      </c>
      <c r="E87" s="3">
        <v>6.2</v>
      </c>
    </row>
    <row r="88" spans="1:5" x14ac:dyDescent="0.55000000000000004">
      <c r="A88">
        <v>1995</v>
      </c>
      <c r="B88" s="21"/>
      <c r="C88" s="21"/>
      <c r="D88" s="3">
        <v>36.9</v>
      </c>
      <c r="E88" s="3">
        <v>6</v>
      </c>
    </row>
    <row r="89" spans="1:5" x14ac:dyDescent="0.55000000000000004">
      <c r="A89">
        <v>1996</v>
      </c>
      <c r="B89" s="21"/>
      <c r="C89" s="21"/>
      <c r="D89" s="3">
        <v>36.299999999999997</v>
      </c>
      <c r="E89" s="3">
        <v>5.8</v>
      </c>
    </row>
    <row r="90" spans="1:5" x14ac:dyDescent="0.55000000000000004">
      <c r="A90">
        <v>1997</v>
      </c>
      <c r="B90" s="21"/>
      <c r="C90" s="21"/>
      <c r="D90" s="3">
        <v>35.700000000000003</v>
      </c>
      <c r="E90" s="3">
        <v>5.6</v>
      </c>
    </row>
    <row r="91" spans="1:5" x14ac:dyDescent="0.55000000000000004">
      <c r="A91">
        <f>A90+1</f>
        <v>1998</v>
      </c>
      <c r="B91" s="21"/>
      <c r="C91" s="21"/>
      <c r="D91" s="3">
        <v>35.1</v>
      </c>
      <c r="E91" s="3">
        <v>7.9</v>
      </c>
    </row>
    <row r="92" spans="1:5" x14ac:dyDescent="0.55000000000000004">
      <c r="A92">
        <f t="shared" ref="A92:A140" si="0">A91+1</f>
        <v>1999</v>
      </c>
      <c r="B92" s="21"/>
      <c r="C92" s="21"/>
      <c r="D92" s="3">
        <v>34.6</v>
      </c>
      <c r="E92" s="3">
        <v>5.4</v>
      </c>
    </row>
    <row r="93" spans="1:5" x14ac:dyDescent="0.55000000000000004">
      <c r="A93">
        <f t="shared" si="0"/>
        <v>2000</v>
      </c>
      <c r="B93" s="21"/>
      <c r="C93" s="21"/>
      <c r="D93" s="3">
        <v>34.200000000000003</v>
      </c>
      <c r="E93" s="3">
        <v>5.2</v>
      </c>
    </row>
    <row r="94" spans="1:5" x14ac:dyDescent="0.55000000000000004">
      <c r="A94">
        <f t="shared" si="0"/>
        <v>2001</v>
      </c>
      <c r="B94" s="21"/>
      <c r="C94" s="21"/>
      <c r="D94" s="3">
        <v>33.4</v>
      </c>
      <c r="E94" s="3">
        <v>5.0999999999999996</v>
      </c>
    </row>
    <row r="95" spans="1:5" x14ac:dyDescent="0.55000000000000004">
      <c r="A95">
        <f t="shared" si="0"/>
        <v>2002</v>
      </c>
      <c r="B95" s="21"/>
      <c r="C95" s="21"/>
      <c r="D95" s="3">
        <v>32.4</v>
      </c>
      <c r="E95" s="3">
        <v>5</v>
      </c>
    </row>
    <row r="96" spans="1:5" x14ac:dyDescent="0.55000000000000004">
      <c r="A96">
        <f t="shared" si="0"/>
        <v>2003</v>
      </c>
      <c r="B96" s="21"/>
      <c r="C96" s="21"/>
      <c r="D96" s="3">
        <v>31.4</v>
      </c>
      <c r="E96" s="3">
        <v>5</v>
      </c>
    </row>
    <row r="97" spans="1:5" x14ac:dyDescent="0.55000000000000004">
      <c r="A97">
        <f t="shared" si="0"/>
        <v>2004</v>
      </c>
      <c r="B97" s="21"/>
      <c r="C97" s="21"/>
      <c r="D97" s="3">
        <v>30.5</v>
      </c>
      <c r="E97" s="3">
        <v>4.9000000000000004</v>
      </c>
    </row>
    <row r="98" spans="1:5" x14ac:dyDescent="0.55000000000000004">
      <c r="A98">
        <f t="shared" si="0"/>
        <v>2005</v>
      </c>
      <c r="B98" s="21"/>
      <c r="C98" s="21"/>
      <c r="D98" s="3">
        <v>29.6</v>
      </c>
      <c r="E98" s="3">
        <v>4.8</v>
      </c>
    </row>
    <row r="99" spans="1:5" x14ac:dyDescent="0.55000000000000004">
      <c r="A99">
        <f t="shared" si="0"/>
        <v>2006</v>
      </c>
      <c r="B99" s="21"/>
      <c r="C99" s="21"/>
      <c r="D99" s="3">
        <v>28.7</v>
      </c>
      <c r="E99" s="3">
        <v>4.8</v>
      </c>
    </row>
    <row r="100" spans="1:5" x14ac:dyDescent="0.55000000000000004">
      <c r="A100">
        <f t="shared" si="0"/>
        <v>2007</v>
      </c>
      <c r="B100" s="21"/>
      <c r="C100" s="21"/>
      <c r="D100" s="3">
        <v>28.1</v>
      </c>
      <c r="E100" s="3">
        <v>4.8</v>
      </c>
    </row>
    <row r="101" spans="1:5" x14ac:dyDescent="0.55000000000000004">
      <c r="A101">
        <f t="shared" si="0"/>
        <v>2008</v>
      </c>
      <c r="B101" s="21"/>
      <c r="C101" s="21"/>
      <c r="D101" s="3">
        <v>27.5</v>
      </c>
      <c r="E101" s="3">
        <v>4.7</v>
      </c>
    </row>
    <row r="102" spans="1:5" x14ac:dyDescent="0.55000000000000004">
      <c r="A102">
        <f t="shared" si="0"/>
        <v>2009</v>
      </c>
      <c r="B102" s="21"/>
      <c r="C102" s="21"/>
      <c r="D102" s="3">
        <v>27</v>
      </c>
      <c r="E102" s="3">
        <v>4.7</v>
      </c>
    </row>
    <row r="103" spans="1:5" x14ac:dyDescent="0.55000000000000004">
      <c r="A103">
        <f t="shared" si="0"/>
        <v>2010</v>
      </c>
      <c r="B103" s="21"/>
      <c r="C103" s="21"/>
      <c r="D103" s="3">
        <v>26.3</v>
      </c>
      <c r="E103" s="3">
        <v>4.8</v>
      </c>
    </row>
    <row r="104" spans="1:5" x14ac:dyDescent="0.55000000000000004">
      <c r="A104">
        <f t="shared" si="0"/>
        <v>2011</v>
      </c>
      <c r="B104" s="21"/>
      <c r="C104" s="21"/>
      <c r="D104" s="3">
        <v>25.8</v>
      </c>
      <c r="E104" s="3">
        <v>4.7</v>
      </c>
    </row>
    <row r="105" spans="1:5" x14ac:dyDescent="0.55000000000000004">
      <c r="A105">
        <f t="shared" si="0"/>
        <v>2012</v>
      </c>
      <c r="B105" s="21"/>
      <c r="C105" s="21"/>
      <c r="D105" s="3">
        <v>25.3</v>
      </c>
      <c r="E105" s="3">
        <v>4.5999999999999996</v>
      </c>
    </row>
    <row r="106" spans="1:5" x14ac:dyDescent="0.55000000000000004">
      <c r="A106">
        <f t="shared" si="0"/>
        <v>2013</v>
      </c>
      <c r="B106" s="21"/>
      <c r="C106" s="21"/>
      <c r="D106" s="3">
        <v>24.8</v>
      </c>
      <c r="E106" s="3">
        <v>4.5999999999999996</v>
      </c>
    </row>
    <row r="107" spans="1:5" x14ac:dyDescent="0.55000000000000004">
      <c r="A107">
        <f t="shared" si="0"/>
        <v>2014</v>
      </c>
      <c r="B107" s="21"/>
      <c r="C107" s="21"/>
      <c r="D107" s="3">
        <v>24.4</v>
      </c>
      <c r="E107" s="3">
        <v>4.5</v>
      </c>
    </row>
    <row r="108" spans="1:5" x14ac:dyDescent="0.55000000000000004">
      <c r="A108">
        <f t="shared" si="0"/>
        <v>2015</v>
      </c>
      <c r="B108" s="21"/>
      <c r="C108" s="21"/>
      <c r="D108" s="3">
        <v>24.1</v>
      </c>
      <c r="E108" s="3">
        <v>4.5</v>
      </c>
    </row>
    <row r="109" spans="1:5" x14ac:dyDescent="0.55000000000000004">
      <c r="A109">
        <f t="shared" si="0"/>
        <v>2016</v>
      </c>
      <c r="B109" s="21"/>
      <c r="C109" s="21"/>
      <c r="D109" s="3">
        <v>23.8</v>
      </c>
      <c r="E109" s="3">
        <v>4.4000000000000004</v>
      </c>
    </row>
    <row r="110" spans="1:5" x14ac:dyDescent="0.55000000000000004">
      <c r="A110">
        <f t="shared" si="0"/>
        <v>2017</v>
      </c>
      <c r="B110" s="21"/>
      <c r="C110" s="21"/>
      <c r="D110" s="3">
        <v>23.5</v>
      </c>
      <c r="E110" s="3">
        <v>4.4000000000000004</v>
      </c>
    </row>
    <row r="111" spans="1:5" x14ac:dyDescent="0.55000000000000004">
      <c r="A111">
        <f t="shared" si="0"/>
        <v>2018</v>
      </c>
      <c r="B111" s="21"/>
      <c r="C111" s="21"/>
      <c r="D111" s="3">
        <v>23.4</v>
      </c>
      <c r="E111" s="3">
        <v>4.5</v>
      </c>
    </row>
    <row r="112" spans="1:5" x14ac:dyDescent="0.55000000000000004">
      <c r="A112">
        <f t="shared" si="0"/>
        <v>2019</v>
      </c>
      <c r="B112" s="21"/>
      <c r="C112" s="21"/>
      <c r="D112" s="3">
        <v>23.1</v>
      </c>
      <c r="E112" s="3">
        <v>4.5</v>
      </c>
    </row>
    <row r="113" spans="1:5" x14ac:dyDescent="0.55000000000000004">
      <c r="A113">
        <f t="shared" si="0"/>
        <v>2020</v>
      </c>
      <c r="B113" s="21"/>
      <c r="C113" s="21"/>
      <c r="D113" s="3">
        <v>22.8</v>
      </c>
      <c r="E113" s="3">
        <v>5.0999999999999996</v>
      </c>
    </row>
    <row r="114" spans="1:5" x14ac:dyDescent="0.55000000000000004">
      <c r="A114">
        <f t="shared" si="0"/>
        <v>2021</v>
      </c>
      <c r="B114" s="21"/>
      <c r="C114" s="21"/>
      <c r="D114" s="3">
        <v>22.5</v>
      </c>
      <c r="E114" s="3">
        <v>5.7</v>
      </c>
    </row>
    <row r="115" spans="1:5" x14ac:dyDescent="0.55000000000000004">
      <c r="A115">
        <f t="shared" si="0"/>
        <v>2022</v>
      </c>
      <c r="B115" s="21"/>
      <c r="C115" s="21"/>
      <c r="D115" s="3">
        <v>22.2</v>
      </c>
      <c r="E115" s="3">
        <v>4.4000000000000004</v>
      </c>
    </row>
    <row r="116" spans="1:5" x14ac:dyDescent="0.55000000000000004">
      <c r="A116">
        <f t="shared" si="0"/>
        <v>2023</v>
      </c>
      <c r="B116" s="21"/>
      <c r="C116" s="21"/>
      <c r="D116" s="3">
        <v>22</v>
      </c>
      <c r="E116" s="3">
        <v>4.5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4.4" x14ac:dyDescent="0.55000000000000004"/>
  <sheetData>
    <row r="1" spans="1:34" x14ac:dyDescent="0.55000000000000004">
      <c r="B1" s="30" t="s">
        <v>100</v>
      </c>
      <c r="C1" s="30"/>
      <c r="D1" s="30" t="s">
        <v>75</v>
      </c>
      <c r="E1" s="30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</row>
    <row r="3" spans="1:34" x14ac:dyDescent="0.55000000000000004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 x14ac:dyDescent="0.55000000000000004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 x14ac:dyDescent="0.55000000000000004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 x14ac:dyDescent="0.55000000000000004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 x14ac:dyDescent="0.55000000000000004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 x14ac:dyDescent="0.55000000000000004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 x14ac:dyDescent="0.55000000000000004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 x14ac:dyDescent="0.55000000000000004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 x14ac:dyDescent="0.55000000000000004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 x14ac:dyDescent="0.55000000000000004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 x14ac:dyDescent="0.55000000000000004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 x14ac:dyDescent="0.55000000000000004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 x14ac:dyDescent="0.55000000000000004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 x14ac:dyDescent="0.55000000000000004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 x14ac:dyDescent="0.55000000000000004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 x14ac:dyDescent="0.55000000000000004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 x14ac:dyDescent="0.55000000000000004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 x14ac:dyDescent="0.55000000000000004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 x14ac:dyDescent="0.55000000000000004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 x14ac:dyDescent="0.55000000000000004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 x14ac:dyDescent="0.55000000000000004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 x14ac:dyDescent="0.55000000000000004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 x14ac:dyDescent="0.55000000000000004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 x14ac:dyDescent="0.55000000000000004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 x14ac:dyDescent="0.55000000000000004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 x14ac:dyDescent="0.55000000000000004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 x14ac:dyDescent="0.55000000000000004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 x14ac:dyDescent="0.55000000000000004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 x14ac:dyDescent="0.55000000000000004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 x14ac:dyDescent="0.55000000000000004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 x14ac:dyDescent="0.55000000000000004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 x14ac:dyDescent="0.55000000000000004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 x14ac:dyDescent="0.55000000000000004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 x14ac:dyDescent="0.55000000000000004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 x14ac:dyDescent="0.55000000000000004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 x14ac:dyDescent="0.55000000000000004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 x14ac:dyDescent="0.55000000000000004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 x14ac:dyDescent="0.55000000000000004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 x14ac:dyDescent="0.55000000000000004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 x14ac:dyDescent="0.55000000000000004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 x14ac:dyDescent="0.55000000000000004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 x14ac:dyDescent="0.55000000000000004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 x14ac:dyDescent="0.55000000000000004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 x14ac:dyDescent="0.55000000000000004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 x14ac:dyDescent="0.55000000000000004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 x14ac:dyDescent="0.55000000000000004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 x14ac:dyDescent="0.55000000000000004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 x14ac:dyDescent="0.55000000000000004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 x14ac:dyDescent="0.55000000000000004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 x14ac:dyDescent="0.55000000000000004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 x14ac:dyDescent="0.55000000000000004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 x14ac:dyDescent="0.55000000000000004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 x14ac:dyDescent="0.55000000000000004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 x14ac:dyDescent="0.55000000000000004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 x14ac:dyDescent="0.55000000000000004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 x14ac:dyDescent="0.55000000000000004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 x14ac:dyDescent="0.55000000000000004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 x14ac:dyDescent="0.55000000000000004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 x14ac:dyDescent="0.55000000000000004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 x14ac:dyDescent="0.55000000000000004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 x14ac:dyDescent="0.55000000000000004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 x14ac:dyDescent="0.55000000000000004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 x14ac:dyDescent="0.55000000000000004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 x14ac:dyDescent="0.55000000000000004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 x14ac:dyDescent="0.55000000000000004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 x14ac:dyDescent="0.55000000000000004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 x14ac:dyDescent="0.55000000000000004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 x14ac:dyDescent="0.55000000000000004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 x14ac:dyDescent="0.55000000000000004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 x14ac:dyDescent="0.55000000000000004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 x14ac:dyDescent="0.55000000000000004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 x14ac:dyDescent="0.55000000000000004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 x14ac:dyDescent="0.55000000000000004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 x14ac:dyDescent="0.55000000000000004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 x14ac:dyDescent="0.55000000000000004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 x14ac:dyDescent="0.55000000000000004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55000000000000004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55000000000000004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55000000000000004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55000000000000004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55000000000000004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55000000000000004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55000000000000004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55000000000000004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55000000000000004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55000000000000004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55000000000000004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55000000000000004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55000000000000004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55000000000000004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55000000000000004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55000000000000004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55000000000000004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55000000000000004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55000000000000004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55000000000000004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55000000000000004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55000000000000004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55000000000000004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55000000000000004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55000000000000004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55000000000000004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55000000000000004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55000000000000004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55000000000000004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55000000000000004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55000000000000004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55000000000000004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55000000000000004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55000000000000004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55000000000000004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55000000000000004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55000000000000004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55000000000000004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55000000000000004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55000000000000004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AS129"/>
  <sheetViews>
    <sheetView workbookViewId="0">
      <selection activeCell="AU47" sqref="AU47"/>
    </sheetView>
  </sheetViews>
  <sheetFormatPr defaultRowHeight="14.4" x14ac:dyDescent="0.55000000000000004"/>
  <cols>
    <col min="15" max="15" width="5" bestFit="1" customWidth="1"/>
    <col min="16" max="16" width="13.83984375" bestFit="1" customWidth="1"/>
    <col min="17" max="17" width="11.578125" bestFit="1" customWidth="1"/>
    <col min="18" max="18" width="5.578125" bestFit="1" customWidth="1"/>
  </cols>
  <sheetData>
    <row r="1" spans="1:45" x14ac:dyDescent="0.55000000000000004">
      <c r="B1" s="31" t="s">
        <v>90</v>
      </c>
      <c r="C1" s="31"/>
      <c r="D1" s="31"/>
      <c r="E1" s="31"/>
      <c r="I1" s="31" t="s">
        <v>89</v>
      </c>
      <c r="J1" s="31"/>
      <c r="K1" s="31"/>
      <c r="U1" s="3"/>
    </row>
    <row r="2" spans="1:45" x14ac:dyDescent="0.55000000000000004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  <c r="AS2" t="s">
        <v>291</v>
      </c>
    </row>
    <row r="3" spans="1:45" x14ac:dyDescent="0.55000000000000004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45" x14ac:dyDescent="0.55000000000000004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  <c r="AS4" t="s">
        <v>292</v>
      </c>
    </row>
    <row r="5" spans="1:45" x14ac:dyDescent="0.55000000000000004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  <c r="AS5" t="s">
        <v>293</v>
      </c>
    </row>
    <row r="6" spans="1:45" x14ac:dyDescent="0.55000000000000004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  <c r="AS6" t="s">
        <v>294</v>
      </c>
    </row>
    <row r="7" spans="1:45" x14ac:dyDescent="0.55000000000000004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  <c r="AS7" t="s">
        <v>295</v>
      </c>
    </row>
    <row r="8" spans="1:45" x14ac:dyDescent="0.55000000000000004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  <c r="AS8" t="s">
        <v>296</v>
      </c>
    </row>
    <row r="9" spans="1:45" x14ac:dyDescent="0.55000000000000004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  <c r="AS9" t="s">
        <v>297</v>
      </c>
    </row>
    <row r="10" spans="1:45" x14ac:dyDescent="0.55000000000000004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  <c r="AS10" t="s">
        <v>298</v>
      </c>
    </row>
    <row r="11" spans="1:45" x14ac:dyDescent="0.55000000000000004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  <c r="AS11" t="s">
        <v>299</v>
      </c>
    </row>
    <row r="12" spans="1:45" x14ac:dyDescent="0.55000000000000004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45" x14ac:dyDescent="0.55000000000000004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  <c r="AS13" t="s">
        <v>300</v>
      </c>
    </row>
    <row r="14" spans="1:45" x14ac:dyDescent="0.55000000000000004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  <c r="AS14" t="s">
        <v>301</v>
      </c>
    </row>
    <row r="15" spans="1:45" x14ac:dyDescent="0.55000000000000004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  <c r="AS15" t="s">
        <v>302</v>
      </c>
    </row>
    <row r="16" spans="1:45" x14ac:dyDescent="0.55000000000000004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  <c r="AS16" t="s">
        <v>303</v>
      </c>
    </row>
    <row r="17" spans="1:45" x14ac:dyDescent="0.55000000000000004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  <c r="AS17" t="s">
        <v>304</v>
      </c>
    </row>
    <row r="18" spans="1:45" x14ac:dyDescent="0.55000000000000004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  <c r="AS18" t="s">
        <v>305</v>
      </c>
    </row>
    <row r="19" spans="1:45" x14ac:dyDescent="0.55000000000000004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  <c r="AS19" t="s">
        <v>306</v>
      </c>
    </row>
    <row r="20" spans="1:45" x14ac:dyDescent="0.55000000000000004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45" x14ac:dyDescent="0.55000000000000004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  <c r="AS21" t="s">
        <v>307</v>
      </c>
    </row>
    <row r="22" spans="1:45" x14ac:dyDescent="0.55000000000000004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  <c r="AS22" t="s">
        <v>308</v>
      </c>
    </row>
    <row r="23" spans="1:45" x14ac:dyDescent="0.55000000000000004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  <c r="AS23" t="s">
        <v>309</v>
      </c>
    </row>
    <row r="24" spans="1:45" x14ac:dyDescent="0.55000000000000004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  <c r="AS24" t="s">
        <v>310</v>
      </c>
    </row>
    <row r="25" spans="1:45" x14ac:dyDescent="0.55000000000000004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  <c r="AS25" t="s">
        <v>311</v>
      </c>
    </row>
    <row r="26" spans="1:45" x14ac:dyDescent="0.55000000000000004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45" x14ac:dyDescent="0.55000000000000004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  <c r="AS27" t="s">
        <v>312</v>
      </c>
    </row>
    <row r="28" spans="1:45" x14ac:dyDescent="0.55000000000000004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45" x14ac:dyDescent="0.55000000000000004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  <c r="AS29" t="s">
        <v>313</v>
      </c>
    </row>
    <row r="30" spans="1:45" x14ac:dyDescent="0.55000000000000004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  <c r="AS30" t="s">
        <v>314</v>
      </c>
    </row>
    <row r="31" spans="1:45" x14ac:dyDescent="0.55000000000000004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  <c r="AS31" t="s">
        <v>315</v>
      </c>
    </row>
    <row r="32" spans="1:45" x14ac:dyDescent="0.55000000000000004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  <c r="AS32" t="s">
        <v>316</v>
      </c>
    </row>
    <row r="33" spans="1:18" x14ac:dyDescent="0.55000000000000004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55000000000000004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55000000000000004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55000000000000004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55000000000000004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55000000000000004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55000000000000004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55000000000000004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55000000000000004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55000000000000004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55000000000000004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55000000000000004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55000000000000004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55000000000000004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55000000000000004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55000000000000004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55000000000000004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55000000000000004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55000000000000004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55000000000000004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55000000000000004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55000000000000004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55000000000000004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55000000000000004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55000000000000004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55000000000000004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55000000000000004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55000000000000004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55000000000000004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55000000000000004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55000000000000004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55000000000000004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55000000000000004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55000000000000004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55000000000000004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55000000000000004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55000000000000004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55000000000000004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55000000000000004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55000000000000004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55000000000000004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55000000000000004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55000000000000004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55000000000000004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55000000000000004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55000000000000004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55000000000000004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55000000000000004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55000000000000004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55000000000000004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55000000000000004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55000000000000004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55000000000000004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55000000000000004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55000000000000004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55000000000000004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55000000000000004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55000000000000004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55000000000000004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55000000000000004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55000000000000004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55000000000000004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55000000000000004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55000000000000004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55000000000000004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55000000000000004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55000000000000004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55000000000000004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55000000000000004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55000000000000004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55000000000000004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55000000000000004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55000000000000004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55000000000000004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55000000000000004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55000000000000004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55000000000000004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55000000000000004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55000000000000004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55000000000000004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55000000000000004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55000000000000004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55000000000000004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55000000000000004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55000000000000004">
      <c r="A117" s="24"/>
    </row>
    <row r="118" spans="1:18" x14ac:dyDescent="0.55000000000000004">
      <c r="A118" s="24" t="s">
        <v>137</v>
      </c>
      <c r="B118" s="16">
        <v>8.1850000000000005</v>
      </c>
    </row>
    <row r="119" spans="1:18" x14ac:dyDescent="0.55000000000000004">
      <c r="A119" s="24"/>
    </row>
    <row r="120" spans="1:18" x14ac:dyDescent="0.55000000000000004">
      <c r="A120" s="24"/>
    </row>
    <row r="121" spans="1:18" x14ac:dyDescent="0.55000000000000004">
      <c r="A121" s="24"/>
    </row>
    <row r="122" spans="1:18" x14ac:dyDescent="0.55000000000000004">
      <c r="A122" s="24"/>
    </row>
    <row r="123" spans="1:18" x14ac:dyDescent="0.55000000000000004">
      <c r="A123" s="24"/>
    </row>
    <row r="124" spans="1:18" x14ac:dyDescent="0.55000000000000004">
      <c r="A124" s="24"/>
    </row>
    <row r="125" spans="1:18" x14ac:dyDescent="0.55000000000000004">
      <c r="A125" s="24"/>
    </row>
    <row r="126" spans="1:18" x14ac:dyDescent="0.55000000000000004">
      <c r="A126" s="24"/>
    </row>
    <row r="127" spans="1:18" x14ac:dyDescent="0.55000000000000004">
      <c r="A127" s="24"/>
    </row>
    <row r="128" spans="1:18" x14ac:dyDescent="0.55000000000000004">
      <c r="A128" s="24"/>
    </row>
    <row r="129" spans="1:1" x14ac:dyDescent="0.55000000000000004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4.4" x14ac:dyDescent="0.55000000000000004"/>
  <cols>
    <col min="1" max="1" width="8.83984375" style="1"/>
  </cols>
  <sheetData>
    <row r="2" spans="1:32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154</v>
      </c>
      <c r="F2" s="13" t="s">
        <v>153</v>
      </c>
      <c r="AF2" t="s">
        <v>202</v>
      </c>
    </row>
    <row r="3" spans="1:32" x14ac:dyDescent="0.55000000000000004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216</v>
      </c>
    </row>
    <row r="4" spans="1:32" x14ac:dyDescent="0.55000000000000004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 x14ac:dyDescent="0.55000000000000004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203</v>
      </c>
    </row>
    <row r="6" spans="1:32" x14ac:dyDescent="0.55000000000000004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 x14ac:dyDescent="0.55000000000000004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204</v>
      </c>
    </row>
    <row r="8" spans="1:32" x14ac:dyDescent="0.55000000000000004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205</v>
      </c>
    </row>
    <row r="9" spans="1:32" x14ac:dyDescent="0.55000000000000004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206</v>
      </c>
    </row>
    <row r="10" spans="1:32" x14ac:dyDescent="0.55000000000000004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207</v>
      </c>
    </row>
    <row r="11" spans="1:32" x14ac:dyDescent="0.55000000000000004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 x14ac:dyDescent="0.55000000000000004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208</v>
      </c>
    </row>
    <row r="13" spans="1:32" x14ac:dyDescent="0.55000000000000004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209</v>
      </c>
    </row>
    <row r="14" spans="1:32" x14ac:dyDescent="0.55000000000000004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210</v>
      </c>
    </row>
    <row r="15" spans="1:32" x14ac:dyDescent="0.55000000000000004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 x14ac:dyDescent="0.55000000000000004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211</v>
      </c>
    </row>
    <row r="17" spans="1:32" x14ac:dyDescent="0.55000000000000004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212</v>
      </c>
    </row>
    <row r="18" spans="1:32" x14ac:dyDescent="0.55000000000000004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213</v>
      </c>
    </row>
    <row r="19" spans="1:32" x14ac:dyDescent="0.55000000000000004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 x14ac:dyDescent="0.55000000000000004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214</v>
      </c>
    </row>
    <row r="21" spans="1:32" x14ac:dyDescent="0.55000000000000004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215</v>
      </c>
    </row>
    <row r="22" spans="1:32" x14ac:dyDescent="0.55000000000000004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 x14ac:dyDescent="0.55000000000000004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 x14ac:dyDescent="0.55000000000000004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 x14ac:dyDescent="0.55000000000000004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 x14ac:dyDescent="0.55000000000000004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 x14ac:dyDescent="0.55000000000000004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 x14ac:dyDescent="0.55000000000000004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 x14ac:dyDescent="0.55000000000000004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 x14ac:dyDescent="0.55000000000000004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 x14ac:dyDescent="0.55000000000000004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 x14ac:dyDescent="0.55000000000000004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 x14ac:dyDescent="0.55000000000000004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 x14ac:dyDescent="0.55000000000000004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 x14ac:dyDescent="0.55000000000000004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 x14ac:dyDescent="0.55000000000000004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 x14ac:dyDescent="0.55000000000000004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 x14ac:dyDescent="0.55000000000000004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 x14ac:dyDescent="0.55000000000000004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 x14ac:dyDescent="0.55000000000000004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 x14ac:dyDescent="0.55000000000000004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 x14ac:dyDescent="0.55000000000000004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 x14ac:dyDescent="0.55000000000000004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 x14ac:dyDescent="0.55000000000000004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 x14ac:dyDescent="0.55000000000000004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 x14ac:dyDescent="0.55000000000000004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 x14ac:dyDescent="0.55000000000000004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 x14ac:dyDescent="0.55000000000000004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 x14ac:dyDescent="0.55000000000000004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 x14ac:dyDescent="0.55000000000000004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 x14ac:dyDescent="0.55000000000000004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 x14ac:dyDescent="0.55000000000000004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 x14ac:dyDescent="0.55000000000000004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 x14ac:dyDescent="0.55000000000000004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 x14ac:dyDescent="0.55000000000000004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 x14ac:dyDescent="0.55000000000000004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 x14ac:dyDescent="0.55000000000000004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 x14ac:dyDescent="0.55000000000000004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 x14ac:dyDescent="0.55000000000000004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 x14ac:dyDescent="0.55000000000000004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 x14ac:dyDescent="0.55000000000000004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 x14ac:dyDescent="0.55000000000000004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 x14ac:dyDescent="0.55000000000000004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 x14ac:dyDescent="0.55000000000000004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 x14ac:dyDescent="0.55000000000000004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 x14ac:dyDescent="0.55000000000000004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 x14ac:dyDescent="0.55000000000000004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 x14ac:dyDescent="0.55000000000000004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 x14ac:dyDescent="0.55000000000000004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 x14ac:dyDescent="0.55000000000000004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 x14ac:dyDescent="0.55000000000000004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 x14ac:dyDescent="0.55000000000000004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 x14ac:dyDescent="0.55000000000000004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 x14ac:dyDescent="0.55000000000000004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 x14ac:dyDescent="0.55000000000000004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 x14ac:dyDescent="0.55000000000000004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 x14ac:dyDescent="0.55000000000000004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 x14ac:dyDescent="0.55000000000000004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 x14ac:dyDescent="0.55000000000000004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 x14ac:dyDescent="0.55000000000000004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 x14ac:dyDescent="0.55000000000000004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 x14ac:dyDescent="0.55000000000000004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 x14ac:dyDescent="0.55000000000000004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 x14ac:dyDescent="0.55000000000000004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 x14ac:dyDescent="0.55000000000000004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 x14ac:dyDescent="0.55000000000000004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 x14ac:dyDescent="0.55000000000000004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 x14ac:dyDescent="0.55000000000000004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 x14ac:dyDescent="0.55000000000000004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 x14ac:dyDescent="0.55000000000000004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 x14ac:dyDescent="0.55000000000000004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 x14ac:dyDescent="0.55000000000000004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 x14ac:dyDescent="0.55000000000000004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 x14ac:dyDescent="0.55000000000000004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 x14ac:dyDescent="0.55000000000000004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 x14ac:dyDescent="0.55000000000000004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 x14ac:dyDescent="0.55000000000000004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 x14ac:dyDescent="0.55000000000000004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 x14ac:dyDescent="0.55000000000000004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 x14ac:dyDescent="0.55000000000000004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 x14ac:dyDescent="0.55000000000000004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 x14ac:dyDescent="0.55000000000000004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 x14ac:dyDescent="0.55000000000000004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 x14ac:dyDescent="0.55000000000000004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 x14ac:dyDescent="0.55000000000000004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 x14ac:dyDescent="0.55000000000000004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 x14ac:dyDescent="0.55000000000000004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 x14ac:dyDescent="0.55000000000000004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 x14ac:dyDescent="0.55000000000000004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 x14ac:dyDescent="0.55000000000000004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 x14ac:dyDescent="0.55000000000000004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 x14ac:dyDescent="0.55000000000000004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 x14ac:dyDescent="0.55000000000000004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 x14ac:dyDescent="0.55000000000000004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 x14ac:dyDescent="0.55000000000000004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 x14ac:dyDescent="0.55000000000000004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 x14ac:dyDescent="0.55000000000000004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 x14ac:dyDescent="0.55000000000000004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 x14ac:dyDescent="0.55000000000000004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 x14ac:dyDescent="0.55000000000000004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 x14ac:dyDescent="0.55000000000000004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 x14ac:dyDescent="0.55000000000000004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 x14ac:dyDescent="0.55000000000000004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 x14ac:dyDescent="0.55000000000000004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 x14ac:dyDescent="0.55000000000000004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 x14ac:dyDescent="0.55000000000000004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AD125"/>
  <sheetViews>
    <sheetView workbookViewId="0">
      <selection activeCell="AG28" sqref="AG28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  <c r="AD2" t="s">
        <v>354</v>
      </c>
    </row>
    <row r="3" spans="1:30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30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  <c r="AD4" t="s">
        <v>355</v>
      </c>
    </row>
    <row r="5" spans="1:30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  <c r="AD5" t="s">
        <v>356</v>
      </c>
    </row>
    <row r="6" spans="1:30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  <c r="AD6" t="s">
        <v>357</v>
      </c>
    </row>
    <row r="7" spans="1:30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  <c r="AD7" t="s">
        <v>358</v>
      </c>
    </row>
    <row r="8" spans="1:30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30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  <c r="AD9" t="s">
        <v>359</v>
      </c>
    </row>
    <row r="10" spans="1:30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  <c r="AD10" t="s">
        <v>360</v>
      </c>
    </row>
    <row r="11" spans="1:30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  <c r="AD11" t="s">
        <v>361</v>
      </c>
    </row>
    <row r="12" spans="1:30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  <c r="AD12" t="s">
        <v>362</v>
      </c>
    </row>
    <row r="13" spans="1:30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30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  <c r="AD14" t="s">
        <v>363</v>
      </c>
    </row>
    <row r="15" spans="1:30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  <c r="AD15" t="s">
        <v>364</v>
      </c>
    </row>
    <row r="16" spans="1:30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  <c r="AD16" t="s">
        <v>365</v>
      </c>
    </row>
    <row r="17" spans="1:30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  <c r="AD17" t="s">
        <v>366</v>
      </c>
    </row>
    <row r="18" spans="1:30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  <c r="AD18" t="s">
        <v>367</v>
      </c>
    </row>
    <row r="19" spans="1:30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30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  <c r="AD20" t="s">
        <v>368</v>
      </c>
    </row>
    <row r="21" spans="1:30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  <c r="AD21" t="s">
        <v>369</v>
      </c>
    </row>
    <row r="22" spans="1:30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30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30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30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30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30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30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30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30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30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30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81" activePane="bottomRight" state="frozen"/>
      <selection pane="topRight" activeCell="B1" sqref="B1"/>
      <selection pane="bottomLeft" activeCell="A3" sqref="A3"/>
      <selection pane="bottomRight" activeCell="D91" sqref="D91:E16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75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55000000000000004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55000000000000004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55000000000000004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55000000000000004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55000000000000004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55000000000000004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55000000000000004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55000000000000004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55000000000000004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55000000000000004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55000000000000004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55000000000000004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55000000000000004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55000000000000004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55000000000000004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55000000000000004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55000000000000004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55000000000000004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55000000000000004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55000000000000004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55000000000000004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55000000000000004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55000000000000004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55000000000000004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55000000000000004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55000000000000004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55000000000000004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55000000000000004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55000000000000004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55000000000000004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55000000000000004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55000000000000004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55000000000000004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55000000000000004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55000000000000004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55000000000000004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55000000000000004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55000000000000004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55000000000000004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55000000000000004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55000000000000004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55000000000000004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55000000000000004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55000000000000004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55000000000000004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55000000000000004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55000000000000004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55000000000000004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55000000000000004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55000000000000004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55000000000000004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55000000000000004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55000000000000004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55000000000000004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55000000000000004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55000000000000004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55000000000000004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55000000000000004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55000000000000004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55000000000000004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55000000000000004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55000000000000004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55000000000000004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55000000000000004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55000000000000004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55000000000000004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55000000000000004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55000000000000004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55000000000000004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55000000000000004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55000000000000004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55000000000000004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55000000000000004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55000000000000004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55000000000000004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55000000000000004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55000000000000004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55000000000000004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55000000000000004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55000000000000004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55000000000000004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55000000000000004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55000000000000004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55000000000000004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55000000000000004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55000000000000004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55000000000000004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55000000000000004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55000000000000004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55000000000000004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55000000000000004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55000000000000004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55000000000000004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55000000000000004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55000000000000004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55000000000000004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55000000000000004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55000000000000004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55000000000000004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55000000000000004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55000000000000004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55000000000000004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55000000000000004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55000000000000004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55000000000000004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55000000000000004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55000000000000004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55000000000000004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55000000000000004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55000000000000004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55000000000000004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55000000000000004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55000000000000004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55000000000000004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55000000000000004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55000000000000004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55000000000000004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55000000000000004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55000000000000004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55000000000000004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55000000000000004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55000000000000004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55000000000000004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55000000000000004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55000000000000004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55000000000000004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55000000000000004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55000000000000004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55000000000000004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55000000000000004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55000000000000004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55000000000000004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55000000000000004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55000000000000004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55000000000000004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55000000000000004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55000000000000004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55000000000000004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55000000000000004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55000000000000004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55000000000000004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55000000000000004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55000000000000004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55000000000000004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55000000000000004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55000000000000004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55000000000000004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55000000000000004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55000000000000004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55000000000000004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55000000000000004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55000000000000004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55000000000000004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55000000000000004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55000000000000004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55000000000000004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55000000000000004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55000000000000004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55000000000000004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55000000000000004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55000000000000004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F79C6-36FE-4437-9BCA-5E2408275698}">
  <dimension ref="A1:E253"/>
  <sheetViews>
    <sheetView topLeftCell="A105" workbookViewId="0">
      <selection activeCell="D123" sqref="D123"/>
    </sheetView>
  </sheetViews>
  <sheetFormatPr defaultRowHeight="14.4" x14ac:dyDescent="0.55000000000000004"/>
  <sheetData>
    <row r="1" spans="1:5" x14ac:dyDescent="0.55000000000000004">
      <c r="A1" s="1"/>
      <c r="B1" s="30" t="s">
        <v>115</v>
      </c>
      <c r="C1" s="30"/>
      <c r="D1" s="30" t="s">
        <v>75</v>
      </c>
      <c r="E1" s="30"/>
    </row>
    <row r="2" spans="1:5" x14ac:dyDescent="0.55000000000000004">
      <c r="A2" s="13" t="s">
        <v>73</v>
      </c>
      <c r="B2" s="13" t="s">
        <v>370</v>
      </c>
      <c r="C2" s="13" t="s">
        <v>85</v>
      </c>
      <c r="D2" s="13" t="s">
        <v>370</v>
      </c>
      <c r="E2" s="13" t="s">
        <v>85</v>
      </c>
    </row>
    <row r="3" spans="1:5" x14ac:dyDescent="0.55000000000000004">
      <c r="A3">
        <v>1880</v>
      </c>
      <c r="B3" s="21">
        <v>41.32</v>
      </c>
      <c r="C3" s="21">
        <v>25.47</v>
      </c>
      <c r="D3" s="21"/>
      <c r="E3" s="21"/>
    </row>
    <row r="4" spans="1:5" x14ac:dyDescent="0.55000000000000004">
      <c r="A4">
        <v>1881</v>
      </c>
      <c r="B4" s="21">
        <v>41.03</v>
      </c>
      <c r="C4" s="21">
        <v>19.190000000000001</v>
      </c>
      <c r="D4" s="21"/>
      <c r="E4" s="21"/>
    </row>
    <row r="5" spans="1:5" x14ac:dyDescent="0.55000000000000004">
      <c r="A5">
        <v>1882</v>
      </c>
      <c r="B5" s="21">
        <v>40.07</v>
      </c>
      <c r="C5" s="21">
        <v>18.84</v>
      </c>
      <c r="D5" s="21"/>
      <c r="E5" s="21"/>
    </row>
    <row r="6" spans="1:5" x14ac:dyDescent="0.55000000000000004">
      <c r="A6">
        <v>1883</v>
      </c>
      <c r="B6" s="21">
        <v>40.700000000000003</v>
      </c>
      <c r="C6" s="21">
        <v>17.96</v>
      </c>
      <c r="D6" s="21"/>
      <c r="E6" s="21"/>
    </row>
    <row r="7" spans="1:5" x14ac:dyDescent="0.55000000000000004">
      <c r="A7">
        <v>1884</v>
      </c>
      <c r="B7" s="21">
        <v>40.42</v>
      </c>
      <c r="C7" s="21">
        <v>18.440000000000001</v>
      </c>
      <c r="D7" s="21"/>
      <c r="E7" s="21"/>
    </row>
    <row r="8" spans="1:5" x14ac:dyDescent="0.55000000000000004">
      <c r="A8">
        <v>1885</v>
      </c>
      <c r="B8" s="21">
        <v>41.02</v>
      </c>
      <c r="C8" s="21">
        <v>18.57</v>
      </c>
      <c r="D8" s="21"/>
      <c r="E8" s="21"/>
    </row>
    <row r="9" spans="1:5" x14ac:dyDescent="0.55000000000000004">
      <c r="A9">
        <v>1886</v>
      </c>
      <c r="B9" s="21">
        <v>40.020000000000003</v>
      </c>
      <c r="C9" s="21">
        <v>19.96</v>
      </c>
      <c r="D9" s="21"/>
      <c r="E9" s="21"/>
    </row>
    <row r="10" spans="1:5" x14ac:dyDescent="0.55000000000000004">
      <c r="A10">
        <v>1887</v>
      </c>
      <c r="B10" s="21">
        <v>40.450000000000003</v>
      </c>
      <c r="C10" s="21">
        <v>20.420000000000002</v>
      </c>
      <c r="D10" s="21"/>
      <c r="E10" s="21"/>
    </row>
    <row r="11" spans="1:5" x14ac:dyDescent="0.55000000000000004">
      <c r="A11">
        <v>1888</v>
      </c>
      <c r="B11" s="21">
        <v>42.02</v>
      </c>
      <c r="C11" s="21">
        <v>22.42</v>
      </c>
      <c r="D11" s="21"/>
      <c r="E11" s="21"/>
    </row>
    <row r="12" spans="1:5" x14ac:dyDescent="0.55000000000000004">
      <c r="A12">
        <v>1889</v>
      </c>
      <c r="B12" s="21">
        <v>40.83</v>
      </c>
      <c r="C12" s="21">
        <v>22.56</v>
      </c>
      <c r="D12" s="21"/>
      <c r="E12" s="21"/>
    </row>
    <row r="13" spans="1:5" x14ac:dyDescent="0.55000000000000004">
      <c r="A13">
        <v>1890</v>
      </c>
      <c r="B13" s="21">
        <v>41.24</v>
      </c>
      <c r="C13" s="21">
        <v>23.2</v>
      </c>
      <c r="D13" s="21"/>
      <c r="E13" s="21"/>
    </row>
    <row r="14" spans="1:5" x14ac:dyDescent="0.55000000000000004">
      <c r="A14">
        <v>1891</v>
      </c>
      <c r="B14" s="21">
        <v>42.37</v>
      </c>
      <c r="C14" s="21">
        <v>35.659999999999997</v>
      </c>
      <c r="D14" s="21"/>
      <c r="E14" s="21"/>
    </row>
    <row r="15" spans="1:5" x14ac:dyDescent="0.55000000000000004">
      <c r="A15">
        <v>1892</v>
      </c>
      <c r="B15" s="21">
        <v>44.48</v>
      </c>
      <c r="C15" s="21">
        <v>23.61</v>
      </c>
      <c r="D15" s="21"/>
      <c r="E15" s="21"/>
    </row>
    <row r="16" spans="1:5" x14ac:dyDescent="0.55000000000000004">
      <c r="A16">
        <v>1893</v>
      </c>
      <c r="B16" s="21">
        <v>42.28</v>
      </c>
      <c r="C16" s="21">
        <v>26.61</v>
      </c>
      <c r="D16" s="21"/>
      <c r="E16" s="21"/>
    </row>
    <row r="17" spans="1:5" x14ac:dyDescent="0.55000000000000004">
      <c r="A17">
        <v>1894</v>
      </c>
      <c r="B17" s="21">
        <v>42.36</v>
      </c>
      <c r="C17" s="21">
        <v>23.26</v>
      </c>
      <c r="D17" s="21"/>
      <c r="E17" s="21"/>
    </row>
    <row r="18" spans="1:5" x14ac:dyDescent="0.55000000000000004">
      <c r="A18">
        <v>1895</v>
      </c>
      <c r="B18" s="21">
        <v>43.67</v>
      </c>
      <c r="C18" s="21">
        <v>23.65</v>
      </c>
      <c r="D18" s="21"/>
      <c r="E18" s="21"/>
    </row>
    <row r="19" spans="1:5" x14ac:dyDescent="0.55000000000000004">
      <c r="A19">
        <v>1896</v>
      </c>
      <c r="B19" s="21">
        <v>42.48</v>
      </c>
      <c r="C19" s="21">
        <v>34.369999999999997</v>
      </c>
      <c r="D19" s="21"/>
      <c r="E19" s="21"/>
    </row>
    <row r="20" spans="1:5" x14ac:dyDescent="0.55000000000000004">
      <c r="A20">
        <v>1897</v>
      </c>
      <c r="B20" s="21">
        <v>44.24</v>
      </c>
      <c r="C20" s="21">
        <v>24.91</v>
      </c>
      <c r="D20" s="21"/>
      <c r="E20" s="21"/>
    </row>
    <row r="21" spans="1:5" x14ac:dyDescent="0.55000000000000004">
      <c r="A21">
        <v>1898</v>
      </c>
      <c r="B21" s="21">
        <v>42.51</v>
      </c>
      <c r="C21" s="21">
        <v>24.14</v>
      </c>
      <c r="D21" s="21"/>
      <c r="E21" s="21"/>
    </row>
    <row r="22" spans="1:5" x14ac:dyDescent="0.55000000000000004">
      <c r="A22">
        <v>1899</v>
      </c>
      <c r="B22" s="21">
        <v>43.35</v>
      </c>
      <c r="C22" s="21">
        <v>31.75</v>
      </c>
      <c r="D22" s="21"/>
      <c r="E22" s="21"/>
    </row>
    <row r="23" spans="1:5" x14ac:dyDescent="0.55000000000000004">
      <c r="A23">
        <v>1900</v>
      </c>
      <c r="B23" s="21">
        <v>42.77</v>
      </c>
      <c r="C23" s="21">
        <v>25.34</v>
      </c>
      <c r="D23" s="21"/>
      <c r="E23" s="21"/>
    </row>
    <row r="24" spans="1:5" x14ac:dyDescent="0.55000000000000004">
      <c r="A24">
        <v>1901</v>
      </c>
      <c r="B24" s="21">
        <v>40.619999999999997</v>
      </c>
      <c r="C24" s="21">
        <v>29.08</v>
      </c>
      <c r="D24" s="21"/>
      <c r="E24" s="21"/>
    </row>
    <row r="25" spans="1:5" x14ac:dyDescent="0.55000000000000004">
      <c r="A25">
        <v>1902</v>
      </c>
      <c r="B25" s="21">
        <v>39.090000000000003</v>
      </c>
      <c r="C25" s="21">
        <v>28.13</v>
      </c>
      <c r="D25" s="21"/>
      <c r="E25" s="21"/>
    </row>
    <row r="26" spans="1:5" x14ac:dyDescent="0.55000000000000004">
      <c r="A26">
        <v>1903</v>
      </c>
      <c r="B26" s="21">
        <v>40.36</v>
      </c>
      <c r="C26" s="21">
        <v>25.34</v>
      </c>
      <c r="D26" s="21"/>
      <c r="E26" s="21"/>
    </row>
    <row r="27" spans="1:5" x14ac:dyDescent="0.55000000000000004">
      <c r="A27">
        <v>1904</v>
      </c>
      <c r="B27" s="21">
        <v>42.84</v>
      </c>
      <c r="C27" s="21">
        <v>25.28</v>
      </c>
      <c r="D27" s="21"/>
      <c r="E27" s="21"/>
    </row>
    <row r="28" spans="1:5" x14ac:dyDescent="0.55000000000000004">
      <c r="A28">
        <v>1905</v>
      </c>
      <c r="B28" s="21">
        <v>42.51</v>
      </c>
      <c r="C28" s="21">
        <v>31.07</v>
      </c>
      <c r="D28" s="21"/>
      <c r="E28" s="21"/>
    </row>
    <row r="29" spans="1:5" x14ac:dyDescent="0.55000000000000004">
      <c r="A29">
        <v>1906</v>
      </c>
      <c r="B29" s="21">
        <v>44.62</v>
      </c>
      <c r="C29" s="21">
        <v>27.94</v>
      </c>
      <c r="D29" s="21"/>
      <c r="E29" s="21"/>
    </row>
    <row r="30" spans="1:5" x14ac:dyDescent="0.55000000000000004">
      <c r="A30">
        <v>1907</v>
      </c>
      <c r="B30" s="21">
        <v>48.05</v>
      </c>
      <c r="C30" s="21">
        <v>28.84</v>
      </c>
      <c r="D30" s="21"/>
      <c r="E30" s="21"/>
    </row>
    <row r="31" spans="1:5" x14ac:dyDescent="0.55000000000000004">
      <c r="A31">
        <v>1908</v>
      </c>
      <c r="B31" s="21">
        <v>48.85</v>
      </c>
      <c r="C31" s="21">
        <v>29.11</v>
      </c>
      <c r="D31" s="21"/>
      <c r="E31" s="21"/>
    </row>
    <row r="32" spans="1:5" x14ac:dyDescent="0.55000000000000004">
      <c r="A32">
        <v>1909</v>
      </c>
      <c r="B32" s="21">
        <v>48.78</v>
      </c>
      <c r="C32" s="21">
        <v>28.62</v>
      </c>
      <c r="D32" s="21"/>
      <c r="E32" s="21"/>
    </row>
    <row r="33" spans="1:5" x14ac:dyDescent="0.55000000000000004">
      <c r="A33">
        <v>1910</v>
      </c>
      <c r="B33" s="21">
        <v>48.62</v>
      </c>
      <c r="C33" s="21">
        <v>29.83</v>
      </c>
      <c r="D33" s="21"/>
      <c r="E33" s="21"/>
    </row>
    <row r="34" spans="1:5" x14ac:dyDescent="0.55000000000000004">
      <c r="A34">
        <v>1911</v>
      </c>
      <c r="B34" s="21">
        <v>50.52</v>
      </c>
      <c r="C34" s="21">
        <v>28.45</v>
      </c>
      <c r="D34" s="21"/>
      <c r="E34" s="21"/>
    </row>
    <row r="35" spans="1:5" x14ac:dyDescent="0.55000000000000004">
      <c r="A35">
        <v>1912</v>
      </c>
      <c r="B35" s="21">
        <v>50.21</v>
      </c>
      <c r="C35" s="21">
        <v>27.5</v>
      </c>
      <c r="D35" s="21"/>
      <c r="E35" s="21"/>
    </row>
    <row r="36" spans="1:5" x14ac:dyDescent="0.55000000000000004">
      <c r="A36">
        <v>1913</v>
      </c>
      <c r="B36" s="21">
        <v>50.79</v>
      </c>
      <c r="C36" s="21">
        <v>26.85</v>
      </c>
      <c r="D36" s="21"/>
      <c r="E36" s="21"/>
    </row>
    <row r="37" spans="1:5" x14ac:dyDescent="0.55000000000000004">
      <c r="A37">
        <v>1914</v>
      </c>
      <c r="B37" s="21">
        <v>51.96</v>
      </c>
      <c r="C37" s="21">
        <v>26.44</v>
      </c>
      <c r="D37" s="21"/>
      <c r="E37" s="21"/>
    </row>
    <row r="38" spans="1:5" x14ac:dyDescent="0.55000000000000004">
      <c r="A38">
        <v>1915</v>
      </c>
      <c r="B38" s="21">
        <v>50.84</v>
      </c>
      <c r="C38" s="21">
        <v>25.68</v>
      </c>
      <c r="D38" s="21"/>
      <c r="E38" s="21"/>
    </row>
    <row r="39" spans="1:5" x14ac:dyDescent="0.55000000000000004">
      <c r="A39">
        <v>1916</v>
      </c>
      <c r="B39" s="21">
        <v>48.44</v>
      </c>
      <c r="C39" s="21">
        <v>27.05</v>
      </c>
      <c r="D39" s="21"/>
      <c r="E39" s="21"/>
    </row>
    <row r="40" spans="1:5" x14ac:dyDescent="0.55000000000000004">
      <c r="A40">
        <v>1917</v>
      </c>
      <c r="B40" s="21">
        <v>49.41</v>
      </c>
      <c r="C40" s="21">
        <v>26.65</v>
      </c>
      <c r="D40" s="21"/>
      <c r="E40" s="21"/>
    </row>
    <row r="41" spans="1:5" x14ac:dyDescent="0.55000000000000004">
      <c r="A41">
        <v>1918</v>
      </c>
      <c r="B41" s="21">
        <v>47.33</v>
      </c>
      <c r="C41" s="21">
        <v>36.08</v>
      </c>
      <c r="D41" s="21"/>
      <c r="E41" s="21"/>
    </row>
    <row r="42" spans="1:5" x14ac:dyDescent="0.55000000000000004">
      <c r="A42">
        <v>1919</v>
      </c>
      <c r="B42" s="21">
        <v>42.66</v>
      </c>
      <c r="C42" s="21">
        <v>30.65</v>
      </c>
      <c r="D42" s="21"/>
      <c r="E42" s="21"/>
    </row>
    <row r="43" spans="1:5" x14ac:dyDescent="0.55000000000000004">
      <c r="A43">
        <v>1920</v>
      </c>
      <c r="B43" s="21">
        <v>45.35</v>
      </c>
      <c r="C43" s="21">
        <v>33.69</v>
      </c>
      <c r="D43" s="21"/>
      <c r="E43" s="21"/>
    </row>
    <row r="44" spans="1:5" x14ac:dyDescent="0.55000000000000004">
      <c r="A44">
        <v>1921</v>
      </c>
      <c r="B44" s="21">
        <v>44.89</v>
      </c>
      <c r="C44" s="21">
        <v>24.7</v>
      </c>
      <c r="D44" s="21"/>
      <c r="E44" s="21"/>
    </row>
    <row r="45" spans="1:5" x14ac:dyDescent="0.55000000000000004">
      <c r="A45">
        <v>1922</v>
      </c>
      <c r="B45" s="21">
        <v>45.09</v>
      </c>
      <c r="C45" s="21">
        <v>24.56</v>
      </c>
      <c r="D45" s="21"/>
      <c r="E45" s="21"/>
    </row>
    <row r="46" spans="1:5" x14ac:dyDescent="0.55000000000000004">
      <c r="A46">
        <v>1923</v>
      </c>
      <c r="B46" s="21">
        <v>44.87</v>
      </c>
      <c r="C46" s="21">
        <v>23.73</v>
      </c>
      <c r="D46" s="21"/>
      <c r="E46" s="21"/>
    </row>
    <row r="47" spans="1:5" x14ac:dyDescent="0.55000000000000004">
      <c r="A47">
        <v>1924</v>
      </c>
      <c r="B47" s="21">
        <v>45.5</v>
      </c>
      <c r="C47" s="21">
        <v>26.24</v>
      </c>
      <c r="D47" s="21"/>
      <c r="E47" s="21"/>
    </row>
    <row r="48" spans="1:5" x14ac:dyDescent="0.55000000000000004">
      <c r="A48">
        <v>1925</v>
      </c>
      <c r="B48" s="21">
        <v>45.38</v>
      </c>
      <c r="C48" s="21">
        <v>28.52</v>
      </c>
      <c r="D48" s="21"/>
      <c r="E48" s="21"/>
    </row>
    <row r="49" spans="1:5" x14ac:dyDescent="0.55000000000000004">
      <c r="A49">
        <v>1926</v>
      </c>
      <c r="B49" s="21">
        <v>48.55</v>
      </c>
      <c r="C49" s="21">
        <v>23.98</v>
      </c>
      <c r="D49" s="21"/>
      <c r="E49" s="21"/>
    </row>
    <row r="50" spans="1:5" x14ac:dyDescent="0.55000000000000004">
      <c r="A50">
        <v>1927</v>
      </c>
      <c r="B50" s="21">
        <v>48.81</v>
      </c>
      <c r="C50" s="21">
        <v>23.07</v>
      </c>
      <c r="D50" s="21"/>
      <c r="E50" s="21"/>
    </row>
    <row r="51" spans="1:5" x14ac:dyDescent="0.55000000000000004">
      <c r="A51">
        <v>1928</v>
      </c>
      <c r="B51" s="21">
        <v>48.69</v>
      </c>
      <c r="C51" s="21">
        <v>23.88</v>
      </c>
      <c r="D51" s="21"/>
      <c r="E51" s="21"/>
    </row>
    <row r="52" spans="1:5" x14ac:dyDescent="0.55000000000000004">
      <c r="A52">
        <v>1929</v>
      </c>
      <c r="B52" s="21">
        <v>46.69</v>
      </c>
      <c r="C52" s="21">
        <v>24.37</v>
      </c>
      <c r="D52" s="21"/>
      <c r="E52" s="21"/>
    </row>
    <row r="53" spans="1:5" x14ac:dyDescent="0.55000000000000004">
      <c r="A53">
        <v>1930</v>
      </c>
      <c r="B53" s="21">
        <v>47.51</v>
      </c>
      <c r="C53" s="21">
        <v>22.55</v>
      </c>
      <c r="D53" s="21"/>
      <c r="E53" s="21"/>
    </row>
    <row r="54" spans="1:5" x14ac:dyDescent="0.55000000000000004">
      <c r="A54">
        <v>1931</v>
      </c>
      <c r="B54" s="21">
        <v>46.82</v>
      </c>
      <c r="C54" s="21">
        <v>24.7</v>
      </c>
      <c r="D54" s="21"/>
      <c r="E54" s="21"/>
    </row>
    <row r="55" spans="1:5" x14ac:dyDescent="0.55000000000000004">
      <c r="A55">
        <v>1932</v>
      </c>
      <c r="B55" s="21">
        <v>45.42</v>
      </c>
      <c r="C55" s="21">
        <v>22.74</v>
      </c>
      <c r="D55" s="21"/>
      <c r="E55" s="21"/>
    </row>
    <row r="56" spans="1:5" x14ac:dyDescent="0.55000000000000004">
      <c r="A56">
        <v>1933</v>
      </c>
      <c r="B56" s="21">
        <v>44.17</v>
      </c>
      <c r="C56" s="21">
        <v>21.55</v>
      </c>
      <c r="D56" s="21"/>
      <c r="E56" s="21"/>
    </row>
    <row r="57" spans="1:5" x14ac:dyDescent="0.55000000000000004">
      <c r="A57">
        <v>1934</v>
      </c>
      <c r="B57" s="21">
        <v>43.63</v>
      </c>
      <c r="C57" s="21">
        <v>18.32</v>
      </c>
      <c r="D57" s="21"/>
      <c r="E57" s="21"/>
    </row>
    <row r="58" spans="1:5" x14ac:dyDescent="0.55000000000000004">
      <c r="A58">
        <v>1935</v>
      </c>
      <c r="B58" s="21">
        <v>44.6</v>
      </c>
      <c r="C58" s="21">
        <v>22.59</v>
      </c>
      <c r="D58" s="21"/>
      <c r="E58" s="21"/>
    </row>
    <row r="59" spans="1:5" x14ac:dyDescent="0.55000000000000004">
      <c r="A59">
        <v>1936</v>
      </c>
      <c r="B59" s="21">
        <v>44.43</v>
      </c>
      <c r="C59" s="21">
        <v>20.62</v>
      </c>
      <c r="D59" s="21"/>
      <c r="E59" s="21"/>
    </row>
    <row r="60" spans="1:5" x14ac:dyDescent="0.55000000000000004">
      <c r="A60">
        <v>1937</v>
      </c>
      <c r="B60" s="21">
        <v>43.63</v>
      </c>
      <c r="C60" s="21">
        <v>18.78</v>
      </c>
      <c r="D60" s="21"/>
      <c r="E60" s="21"/>
    </row>
    <row r="61" spans="1:5" x14ac:dyDescent="0.55000000000000004">
      <c r="A61">
        <v>1938</v>
      </c>
      <c r="B61" s="21">
        <v>44.45</v>
      </c>
      <c r="C61" s="21">
        <v>17.260000000000002</v>
      </c>
      <c r="D61" s="21"/>
      <c r="E61" s="21"/>
    </row>
    <row r="62" spans="1:5" x14ac:dyDescent="0.55000000000000004">
      <c r="A62">
        <v>1939</v>
      </c>
      <c r="B62" s="21">
        <v>43.66</v>
      </c>
      <c r="C62" s="21">
        <v>18.88</v>
      </c>
      <c r="D62" s="21"/>
      <c r="E62" s="21"/>
    </row>
    <row r="63" spans="1:5" x14ac:dyDescent="0.55000000000000004">
      <c r="A63">
        <v>1940</v>
      </c>
      <c r="B63" s="21">
        <v>44.04</v>
      </c>
      <c r="C63" s="21">
        <v>17.63</v>
      </c>
      <c r="D63" s="21"/>
      <c r="E63" s="21"/>
    </row>
    <row r="64" spans="1:5" x14ac:dyDescent="0.55000000000000004">
      <c r="A64">
        <v>1941</v>
      </c>
      <c r="B64" s="21">
        <v>44.12</v>
      </c>
      <c r="C64" s="21">
        <v>17.489999999999998</v>
      </c>
      <c r="D64" s="21"/>
      <c r="E64" s="21"/>
    </row>
    <row r="65" spans="1:5" x14ac:dyDescent="0.55000000000000004">
      <c r="A65">
        <v>1942</v>
      </c>
      <c r="B65" s="21">
        <v>42.31</v>
      </c>
      <c r="C65" s="21">
        <v>20.3</v>
      </c>
      <c r="D65" s="21"/>
      <c r="E65" s="21"/>
    </row>
    <row r="66" spans="1:5" x14ac:dyDescent="0.55000000000000004">
      <c r="A66">
        <v>1943</v>
      </c>
      <c r="B66" s="21">
        <v>44.37</v>
      </c>
      <c r="C66" s="21">
        <v>17.09</v>
      </c>
      <c r="D66" s="21"/>
      <c r="E66" s="21"/>
    </row>
    <row r="67" spans="1:5" x14ac:dyDescent="0.55000000000000004">
      <c r="A67">
        <v>1944</v>
      </c>
      <c r="B67" s="21">
        <v>42.44</v>
      </c>
      <c r="C67" s="21">
        <v>16.010000000000002</v>
      </c>
      <c r="D67" s="21"/>
      <c r="E67" s="21"/>
    </row>
    <row r="68" spans="1:5" x14ac:dyDescent="0.55000000000000004">
      <c r="A68">
        <v>1945</v>
      </c>
      <c r="B68" s="21">
        <v>44.74</v>
      </c>
      <c r="C68" s="21">
        <v>14.81</v>
      </c>
      <c r="D68" s="21"/>
      <c r="E68" s="21"/>
    </row>
    <row r="69" spans="1:5" x14ac:dyDescent="0.55000000000000004">
      <c r="A69">
        <v>1946</v>
      </c>
      <c r="B69" s="21">
        <v>42.92</v>
      </c>
      <c r="C69" s="21">
        <v>13.31</v>
      </c>
      <c r="D69" s="21"/>
      <c r="E69" s="21"/>
    </row>
    <row r="70" spans="1:5" x14ac:dyDescent="0.55000000000000004">
      <c r="A70">
        <v>1947</v>
      </c>
      <c r="B70" s="21">
        <v>53.74</v>
      </c>
      <c r="C70" s="21">
        <v>14.06</v>
      </c>
      <c r="D70" s="21"/>
      <c r="E70" s="21"/>
    </row>
    <row r="71" spans="1:5" x14ac:dyDescent="0.55000000000000004">
      <c r="A71">
        <v>1948</v>
      </c>
      <c r="B71" s="21">
        <v>41.82</v>
      </c>
      <c r="C71" s="21">
        <v>12.37</v>
      </c>
      <c r="D71" s="21"/>
      <c r="E71" s="21"/>
    </row>
    <row r="72" spans="1:5" x14ac:dyDescent="0.55000000000000004">
      <c r="A72">
        <v>1949</v>
      </c>
      <c r="B72" s="21">
        <v>41.47</v>
      </c>
      <c r="C72" s="21">
        <v>11.93</v>
      </c>
      <c r="D72" s="21"/>
      <c r="E72" s="21"/>
    </row>
    <row r="73" spans="1:5" x14ac:dyDescent="0.55000000000000004">
      <c r="A73">
        <v>1950</v>
      </c>
      <c r="B73" s="21">
        <v>43.52</v>
      </c>
      <c r="C73" s="21">
        <v>11.41</v>
      </c>
      <c r="D73" s="3">
        <v>44.9</v>
      </c>
      <c r="E73" s="3">
        <v>12.1</v>
      </c>
    </row>
    <row r="74" spans="1:5" x14ac:dyDescent="0.55000000000000004">
      <c r="A74">
        <v>1951</v>
      </c>
      <c r="B74" s="21">
        <v>44.31</v>
      </c>
      <c r="C74" s="21">
        <v>10.88</v>
      </c>
      <c r="D74" s="3">
        <v>45.3</v>
      </c>
      <c r="E74" s="3">
        <v>11.8</v>
      </c>
    </row>
    <row r="75" spans="1:5" x14ac:dyDescent="0.55000000000000004">
      <c r="A75">
        <v>1952</v>
      </c>
      <c r="B75" s="21">
        <v>50.54</v>
      </c>
      <c r="C75" s="21">
        <v>10.74</v>
      </c>
      <c r="D75" s="3">
        <v>45.6</v>
      </c>
      <c r="E75" s="3">
        <v>11.6</v>
      </c>
    </row>
    <row r="76" spans="1:5" x14ac:dyDescent="0.55000000000000004">
      <c r="A76">
        <v>1953</v>
      </c>
      <c r="B76" s="21">
        <v>49.48</v>
      </c>
      <c r="C76" s="21">
        <v>10.75</v>
      </c>
      <c r="D76" s="3">
        <v>45.8</v>
      </c>
      <c r="E76" s="3">
        <v>11.1</v>
      </c>
    </row>
    <row r="77" spans="1:5" x14ac:dyDescent="0.55000000000000004">
      <c r="A77">
        <v>1954</v>
      </c>
      <c r="B77" s="21">
        <v>48.26</v>
      </c>
      <c r="C77" s="21">
        <v>9.73</v>
      </c>
      <c r="D77" s="3">
        <v>45.8</v>
      </c>
      <c r="E77" s="3">
        <v>10.7</v>
      </c>
    </row>
    <row r="78" spans="1:5" x14ac:dyDescent="0.55000000000000004">
      <c r="A78">
        <v>1955</v>
      </c>
      <c r="B78" s="21">
        <v>47.17</v>
      </c>
      <c r="C78" s="21">
        <v>9.6300000000000008</v>
      </c>
      <c r="D78" s="3">
        <v>45.8</v>
      </c>
      <c r="E78" s="3">
        <v>10.3</v>
      </c>
    </row>
    <row r="79" spans="1:5" x14ac:dyDescent="0.55000000000000004">
      <c r="A79">
        <v>1956</v>
      </c>
      <c r="B79" s="21">
        <v>47.73</v>
      </c>
      <c r="C79" s="21">
        <v>8.82</v>
      </c>
      <c r="D79" s="3">
        <v>45.8</v>
      </c>
      <c r="E79" s="3">
        <v>9.9</v>
      </c>
    </row>
    <row r="80" spans="1:5" x14ac:dyDescent="0.55000000000000004">
      <c r="A80">
        <v>1957</v>
      </c>
      <c r="B80" s="21">
        <v>46.21</v>
      </c>
      <c r="C80" s="21">
        <v>9.35</v>
      </c>
      <c r="D80" s="3">
        <v>45.9</v>
      </c>
      <c r="E80" s="3">
        <v>9.6999999999999993</v>
      </c>
    </row>
    <row r="81" spans="1:5" x14ac:dyDescent="0.55000000000000004">
      <c r="A81">
        <v>1958</v>
      </c>
      <c r="B81" s="21">
        <v>46.28</v>
      </c>
      <c r="C81" s="21">
        <v>7.95</v>
      </c>
      <c r="D81" s="3">
        <v>46</v>
      </c>
      <c r="E81" s="3">
        <v>9.3000000000000007</v>
      </c>
    </row>
    <row r="82" spans="1:5" x14ac:dyDescent="0.55000000000000004">
      <c r="A82">
        <v>1959</v>
      </c>
      <c r="B82" s="21">
        <v>46.14</v>
      </c>
      <c r="C82" s="21">
        <v>8.41</v>
      </c>
      <c r="D82" s="3">
        <v>45.9</v>
      </c>
      <c r="E82" s="3">
        <v>9</v>
      </c>
    </row>
    <row r="83" spans="1:5" x14ac:dyDescent="0.55000000000000004">
      <c r="A83">
        <v>1960</v>
      </c>
      <c r="B83" s="21">
        <v>47.23</v>
      </c>
      <c r="C83" s="21">
        <v>7.99</v>
      </c>
      <c r="D83" s="3">
        <v>45.5</v>
      </c>
      <c r="E83" s="3">
        <v>8.6999999999999993</v>
      </c>
    </row>
    <row r="84" spans="1:5" x14ac:dyDescent="0.55000000000000004">
      <c r="A84">
        <v>1961</v>
      </c>
      <c r="B84" s="21">
        <v>47.01</v>
      </c>
      <c r="C84" s="21">
        <v>7.42</v>
      </c>
      <c r="D84" s="3">
        <v>44.8</v>
      </c>
      <c r="E84" s="3">
        <v>8.4</v>
      </c>
    </row>
    <row r="85" spans="1:5" x14ac:dyDescent="0.55000000000000004">
      <c r="A85">
        <v>1962</v>
      </c>
      <c r="B85" s="21">
        <v>45.93</v>
      </c>
      <c r="C85" s="21">
        <v>7.97</v>
      </c>
      <c r="D85" s="3">
        <v>43.9</v>
      </c>
      <c r="E85" s="3">
        <v>8.1999999999999993</v>
      </c>
    </row>
    <row r="86" spans="1:5" x14ac:dyDescent="0.55000000000000004">
      <c r="A86">
        <v>1963</v>
      </c>
      <c r="B86" s="21">
        <v>45.06</v>
      </c>
      <c r="C86" s="21">
        <v>8.0299999999999994</v>
      </c>
      <c r="D86" s="3">
        <v>42.7</v>
      </c>
      <c r="E86" s="3">
        <v>8</v>
      </c>
    </row>
    <row r="87" spans="1:5" x14ac:dyDescent="0.55000000000000004">
      <c r="A87">
        <v>1964</v>
      </c>
      <c r="B87" s="21">
        <v>42.14</v>
      </c>
      <c r="C87" s="21">
        <v>8.3699999999999992</v>
      </c>
      <c r="D87" s="3">
        <v>41.4</v>
      </c>
      <c r="E87" s="3">
        <v>7.8</v>
      </c>
    </row>
    <row r="88" spans="1:5" x14ac:dyDescent="0.55000000000000004">
      <c r="A88">
        <v>1965</v>
      </c>
      <c r="B88" s="21">
        <v>41.51</v>
      </c>
      <c r="C88" s="21">
        <v>8.4600000000000009</v>
      </c>
      <c r="D88" s="3">
        <v>39.9</v>
      </c>
      <c r="E88" s="3">
        <v>7.6</v>
      </c>
    </row>
    <row r="89" spans="1:5" x14ac:dyDescent="0.55000000000000004">
      <c r="A89">
        <v>1966</v>
      </c>
      <c r="B89" s="21">
        <v>40.18</v>
      </c>
      <c r="C89" s="21">
        <v>7.26</v>
      </c>
      <c r="D89" s="3">
        <v>38.299999999999997</v>
      </c>
      <c r="E89" s="3">
        <v>7.3</v>
      </c>
    </row>
    <row r="90" spans="1:5" x14ac:dyDescent="0.55000000000000004">
      <c r="A90">
        <v>1967</v>
      </c>
      <c r="B90" s="21">
        <v>38.299999999999997</v>
      </c>
      <c r="C90" s="21">
        <v>6.93</v>
      </c>
      <c r="D90" s="3">
        <v>36.799999999999997</v>
      </c>
      <c r="E90" s="3">
        <v>7</v>
      </c>
    </row>
    <row r="91" spans="1:5" x14ac:dyDescent="0.55000000000000004">
      <c r="A91">
        <v>1968</v>
      </c>
      <c r="B91" s="21">
        <v>35.54</v>
      </c>
      <c r="C91" s="21">
        <v>6.39</v>
      </c>
      <c r="D91" s="3">
        <v>34.6</v>
      </c>
      <c r="E91" s="3">
        <v>6.8</v>
      </c>
    </row>
    <row r="92" spans="1:5" x14ac:dyDescent="0.55000000000000004">
      <c r="A92">
        <v>1969</v>
      </c>
      <c r="B92" s="21">
        <v>33.86</v>
      </c>
      <c r="C92" s="21">
        <v>6.77</v>
      </c>
      <c r="D92" s="3">
        <v>33.799999999999997</v>
      </c>
      <c r="E92" s="3">
        <v>6.5</v>
      </c>
    </row>
    <row r="93" spans="1:5" x14ac:dyDescent="0.55000000000000004">
      <c r="A93">
        <v>1970</v>
      </c>
      <c r="B93" s="21">
        <v>32.840000000000003</v>
      </c>
      <c r="C93" s="21">
        <v>6.54</v>
      </c>
      <c r="D93" s="3">
        <v>32.6</v>
      </c>
      <c r="E93" s="3">
        <v>6.3</v>
      </c>
    </row>
    <row r="94" spans="1:5" x14ac:dyDescent="0.55000000000000004">
      <c r="A94">
        <v>1971</v>
      </c>
      <c r="B94" s="21">
        <v>31.22</v>
      </c>
      <c r="C94" s="21">
        <v>5.86</v>
      </c>
      <c r="D94" s="3">
        <v>31.6</v>
      </c>
      <c r="E94" s="3">
        <v>6</v>
      </c>
    </row>
    <row r="95" spans="1:5" x14ac:dyDescent="0.55000000000000004">
      <c r="A95">
        <v>1972</v>
      </c>
      <c r="B95" s="21">
        <v>31.03</v>
      </c>
      <c r="C95" s="21">
        <v>5.86</v>
      </c>
      <c r="D95" s="3">
        <v>30.7</v>
      </c>
      <c r="E95" s="3">
        <v>5.7</v>
      </c>
    </row>
    <row r="96" spans="1:5" x14ac:dyDescent="0.55000000000000004">
      <c r="A96">
        <v>1973</v>
      </c>
      <c r="B96" s="21">
        <v>28.21</v>
      </c>
      <c r="C96" s="21">
        <v>5.12</v>
      </c>
      <c r="D96" s="3">
        <v>30.1</v>
      </c>
      <c r="E96" s="3">
        <v>5.5</v>
      </c>
    </row>
    <row r="97" spans="1:5" x14ac:dyDescent="0.55000000000000004">
      <c r="A97">
        <v>1974</v>
      </c>
      <c r="B97" s="21">
        <v>29.23</v>
      </c>
      <c r="C97" s="21">
        <v>4.9000000000000004</v>
      </c>
      <c r="D97" s="3">
        <v>29.9</v>
      </c>
      <c r="E97" s="3">
        <v>5.2</v>
      </c>
    </row>
    <row r="98" spans="1:5" x14ac:dyDescent="0.55000000000000004">
      <c r="A98">
        <v>1975</v>
      </c>
      <c r="B98" s="21">
        <v>29.2</v>
      </c>
      <c r="C98" s="21">
        <v>4.83</v>
      </c>
      <c r="D98" s="3">
        <v>29.8</v>
      </c>
      <c r="E98" s="3">
        <v>4.9000000000000004</v>
      </c>
    </row>
    <row r="99" spans="1:5" x14ac:dyDescent="0.55000000000000004">
      <c r="A99">
        <v>1976</v>
      </c>
      <c r="B99" s="21">
        <v>29.37</v>
      </c>
      <c r="C99" s="21">
        <v>4.58</v>
      </c>
      <c r="D99" s="3">
        <v>29.9</v>
      </c>
      <c r="E99" s="3">
        <v>4.7</v>
      </c>
    </row>
    <row r="100" spans="1:5" x14ac:dyDescent="0.55000000000000004">
      <c r="A100">
        <v>1977</v>
      </c>
      <c r="B100" s="21">
        <v>30.61</v>
      </c>
      <c r="C100" s="21">
        <v>4.25</v>
      </c>
      <c r="D100" s="3">
        <v>30</v>
      </c>
      <c r="E100" s="3">
        <v>4.5999999999999996</v>
      </c>
    </row>
    <row r="101" spans="1:5" x14ac:dyDescent="0.55000000000000004">
      <c r="A101">
        <v>1978</v>
      </c>
      <c r="B101" s="21">
        <v>31.38</v>
      </c>
      <c r="C101" s="21">
        <v>3.99</v>
      </c>
      <c r="D101" s="3">
        <v>30.2</v>
      </c>
      <c r="E101" s="3">
        <v>4.5</v>
      </c>
    </row>
    <row r="102" spans="1:5" x14ac:dyDescent="0.55000000000000004">
      <c r="A102">
        <v>1979</v>
      </c>
      <c r="B102" s="21">
        <v>31.25</v>
      </c>
      <c r="C102" s="21">
        <v>4.1100000000000003</v>
      </c>
      <c r="D102" s="3">
        <v>30.5</v>
      </c>
      <c r="E102" s="3">
        <v>4.3</v>
      </c>
    </row>
    <row r="103" spans="1:5" x14ac:dyDescent="0.55000000000000004">
      <c r="A103">
        <v>1980</v>
      </c>
      <c r="B103" s="21">
        <v>30.74</v>
      </c>
      <c r="C103" s="21">
        <v>4.0599999999999996</v>
      </c>
      <c r="D103" s="3">
        <v>30.4</v>
      </c>
      <c r="E103" s="3">
        <v>4.2</v>
      </c>
    </row>
    <row r="104" spans="1:5" x14ac:dyDescent="0.55000000000000004">
      <c r="A104">
        <v>1981</v>
      </c>
      <c r="B104" s="21">
        <v>30.88</v>
      </c>
      <c r="C104" s="21">
        <v>3.82</v>
      </c>
      <c r="D104" s="3">
        <v>30.4</v>
      </c>
      <c r="E104" s="3">
        <v>4.0999999999999996</v>
      </c>
    </row>
    <row r="105" spans="1:5" x14ac:dyDescent="0.55000000000000004">
      <c r="A105">
        <v>1982</v>
      </c>
      <c r="B105" s="21">
        <v>30.41</v>
      </c>
      <c r="C105" s="21">
        <v>3.8</v>
      </c>
      <c r="D105" s="3">
        <v>30.5</v>
      </c>
      <c r="E105" s="3">
        <v>4</v>
      </c>
    </row>
    <row r="106" spans="1:5" x14ac:dyDescent="0.55000000000000004">
      <c r="A106">
        <v>1983</v>
      </c>
      <c r="B106" s="21">
        <v>29.56</v>
      </c>
      <c r="C106" s="21">
        <v>3.81</v>
      </c>
      <c r="D106" s="3">
        <v>30.5</v>
      </c>
      <c r="E106" s="3">
        <v>3.9</v>
      </c>
    </row>
    <row r="107" spans="1:5" x14ac:dyDescent="0.55000000000000004">
      <c r="A107">
        <v>1984</v>
      </c>
      <c r="B107" s="21">
        <v>30.33</v>
      </c>
      <c r="C107" s="21">
        <v>3.9</v>
      </c>
      <c r="D107" s="3">
        <v>30.5</v>
      </c>
      <c r="E107" s="3">
        <v>3.9</v>
      </c>
    </row>
    <row r="108" spans="1:5" x14ac:dyDescent="0.55000000000000004">
      <c r="A108">
        <v>1985</v>
      </c>
      <c r="B108" s="21">
        <v>32.33</v>
      </c>
      <c r="C108" s="21">
        <v>4.01</v>
      </c>
      <c r="D108" s="3">
        <v>30.4</v>
      </c>
      <c r="E108" s="3">
        <v>3.9</v>
      </c>
    </row>
    <row r="109" spans="1:5" x14ac:dyDescent="0.55000000000000004">
      <c r="A109">
        <v>1986</v>
      </c>
      <c r="B109" s="21">
        <v>31.03</v>
      </c>
      <c r="C109" s="21">
        <v>3.9</v>
      </c>
      <c r="D109" s="3">
        <v>29.8</v>
      </c>
      <c r="E109" s="3">
        <v>3.9</v>
      </c>
    </row>
    <row r="110" spans="1:5" x14ac:dyDescent="0.55000000000000004">
      <c r="A110">
        <v>1987</v>
      </c>
      <c r="B110" s="21">
        <v>29.2</v>
      </c>
      <c r="C110" s="21">
        <v>3.89</v>
      </c>
      <c r="D110" s="3">
        <v>29.1</v>
      </c>
      <c r="E110" s="3">
        <v>3.8</v>
      </c>
    </row>
    <row r="111" spans="1:5" x14ac:dyDescent="0.55000000000000004">
      <c r="A111">
        <v>1988</v>
      </c>
      <c r="B111" s="21">
        <v>28.84</v>
      </c>
      <c r="C111" s="21">
        <v>3.88</v>
      </c>
      <c r="D111" s="3">
        <v>28.3</v>
      </c>
      <c r="E111" s="3">
        <v>3.8</v>
      </c>
    </row>
    <row r="112" spans="1:5" x14ac:dyDescent="0.55000000000000004">
      <c r="A112">
        <v>1989</v>
      </c>
      <c r="B112" s="21">
        <v>28.85</v>
      </c>
      <c r="C112" s="21">
        <v>3.9</v>
      </c>
      <c r="D112" s="3">
        <v>27.5</v>
      </c>
      <c r="E112" s="3">
        <v>3.7</v>
      </c>
    </row>
    <row r="113" spans="1:5" x14ac:dyDescent="0.55000000000000004">
      <c r="A113">
        <v>1990</v>
      </c>
      <c r="B113" s="21">
        <v>27.65</v>
      </c>
      <c r="C113" s="21">
        <v>3.83</v>
      </c>
      <c r="D113" s="3">
        <v>26.7</v>
      </c>
      <c r="E113" s="3">
        <v>3.7</v>
      </c>
    </row>
    <row r="114" spans="1:5" x14ac:dyDescent="0.55000000000000004">
      <c r="A114">
        <v>1991</v>
      </c>
      <c r="B114" s="21">
        <v>26.2</v>
      </c>
      <c r="C114" s="21">
        <v>3.89</v>
      </c>
      <c r="D114" s="3">
        <v>25.7</v>
      </c>
      <c r="E114" s="3">
        <v>3.7</v>
      </c>
    </row>
    <row r="115" spans="1:5" x14ac:dyDescent="0.55000000000000004">
      <c r="A115">
        <v>1992</v>
      </c>
      <c r="B115" s="21">
        <v>25.76</v>
      </c>
      <c r="C115" s="21">
        <v>3.94</v>
      </c>
      <c r="D115" s="3">
        <v>25</v>
      </c>
      <c r="E115" s="3">
        <v>3.7</v>
      </c>
    </row>
    <row r="116" spans="1:5" x14ac:dyDescent="0.55000000000000004">
      <c r="A116">
        <v>1993</v>
      </c>
      <c r="B116" s="21">
        <v>25.07</v>
      </c>
      <c r="C116" s="21">
        <v>3.97</v>
      </c>
      <c r="D116" s="3">
        <v>24.3</v>
      </c>
      <c r="E116" s="3">
        <v>3.8</v>
      </c>
    </row>
    <row r="117" spans="1:5" x14ac:dyDescent="0.55000000000000004">
      <c r="A117">
        <v>1994</v>
      </c>
      <c r="B117" s="21">
        <v>24.7</v>
      </c>
      <c r="C117" s="21">
        <v>4.13</v>
      </c>
      <c r="D117" s="3">
        <v>23.6</v>
      </c>
      <c r="E117" s="3">
        <v>3.8</v>
      </c>
    </row>
    <row r="118" spans="1:5" x14ac:dyDescent="0.55000000000000004">
      <c r="A118">
        <v>1995</v>
      </c>
      <c r="B118" s="21">
        <v>24.23</v>
      </c>
      <c r="C118" s="21">
        <v>4.25</v>
      </c>
      <c r="D118" s="3">
        <v>23</v>
      </c>
      <c r="E118" s="3">
        <v>3.9</v>
      </c>
    </row>
    <row r="119" spans="1:5" x14ac:dyDescent="0.55000000000000004">
      <c r="A119">
        <v>1996</v>
      </c>
      <c r="B119" s="21">
        <v>23.44</v>
      </c>
      <c r="C119" s="21">
        <v>4.1399999999999997</v>
      </c>
      <c r="D119" s="3">
        <v>22.2</v>
      </c>
      <c r="E119" s="3">
        <v>3.9</v>
      </c>
    </row>
    <row r="120" spans="1:5" x14ac:dyDescent="0.55000000000000004">
      <c r="A120">
        <v>1997</v>
      </c>
      <c r="B120" s="21">
        <v>22.54</v>
      </c>
      <c r="C120" s="21">
        <v>4.1500000000000004</v>
      </c>
      <c r="D120" s="3">
        <v>21.5</v>
      </c>
      <c r="E120" s="3">
        <v>3.9</v>
      </c>
    </row>
    <row r="121" spans="1:5" x14ac:dyDescent="0.55000000000000004">
      <c r="A121">
        <v>1998</v>
      </c>
      <c r="B121" s="21">
        <v>21.48</v>
      </c>
      <c r="C121" s="21">
        <v>4.09</v>
      </c>
      <c r="D121" s="3">
        <v>21</v>
      </c>
      <c r="E121" s="3">
        <v>3.9</v>
      </c>
    </row>
    <row r="122" spans="1:5" x14ac:dyDescent="0.55000000000000004">
      <c r="A122">
        <f>A121+1</f>
        <v>1999</v>
      </c>
      <c r="B122" s="21"/>
      <c r="C122" s="21"/>
      <c r="D122" s="3">
        <v>20.7</v>
      </c>
      <c r="E122" s="3">
        <v>3.9</v>
      </c>
    </row>
    <row r="123" spans="1:5" x14ac:dyDescent="0.55000000000000004">
      <c r="A123">
        <f t="shared" ref="A123:A162" si="0">A122+1</f>
        <v>2000</v>
      </c>
      <c r="B123" s="21"/>
      <c r="C123" s="21"/>
      <c r="D123" s="3">
        <v>20.2</v>
      </c>
      <c r="E123" s="3">
        <v>3.9</v>
      </c>
    </row>
    <row r="124" spans="1:5" x14ac:dyDescent="0.55000000000000004">
      <c r="A124">
        <f t="shared" si="0"/>
        <v>2001</v>
      </c>
      <c r="B124" s="21"/>
      <c r="C124" s="21"/>
      <c r="D124" s="3">
        <v>19.399999999999999</v>
      </c>
      <c r="E124" s="3">
        <v>3.9</v>
      </c>
    </row>
    <row r="125" spans="1:5" x14ac:dyDescent="0.55000000000000004">
      <c r="A125">
        <f t="shared" si="0"/>
        <v>2002</v>
      </c>
      <c r="B125" s="21"/>
      <c r="C125" s="21"/>
      <c r="D125" s="3">
        <v>18.2</v>
      </c>
      <c r="E125" s="3">
        <v>3.9</v>
      </c>
    </row>
    <row r="126" spans="1:5" x14ac:dyDescent="0.55000000000000004">
      <c r="A126">
        <f t="shared" si="0"/>
        <v>2003</v>
      </c>
      <c r="B126" s="21"/>
      <c r="C126" s="21"/>
      <c r="D126" s="3">
        <v>17.600000000000001</v>
      </c>
      <c r="E126" s="3">
        <v>3.9</v>
      </c>
    </row>
    <row r="127" spans="1:5" x14ac:dyDescent="0.55000000000000004">
      <c r="A127">
        <f t="shared" si="0"/>
        <v>2004</v>
      </c>
      <c r="B127" s="21"/>
      <c r="C127" s="21"/>
      <c r="D127" s="3">
        <v>17.100000000000001</v>
      </c>
      <c r="E127" s="3">
        <v>3.9</v>
      </c>
    </row>
    <row r="128" spans="1:5" x14ac:dyDescent="0.55000000000000004">
      <c r="A128">
        <f t="shared" si="0"/>
        <v>2005</v>
      </c>
      <c r="B128" s="21"/>
      <c r="C128" s="21"/>
      <c r="D128" s="3">
        <v>17.3</v>
      </c>
      <c r="E128" s="3">
        <v>3.8</v>
      </c>
    </row>
    <row r="129" spans="1:5" x14ac:dyDescent="0.55000000000000004">
      <c r="A129">
        <f t="shared" si="0"/>
        <v>2006</v>
      </c>
      <c r="B129" s="21"/>
      <c r="C129" s="21"/>
      <c r="D129" s="3">
        <v>16.399999999999999</v>
      </c>
      <c r="E129" s="3">
        <v>3.9</v>
      </c>
    </row>
    <row r="130" spans="1:5" x14ac:dyDescent="0.55000000000000004">
      <c r="A130">
        <f t="shared" si="0"/>
        <v>2007</v>
      </c>
      <c r="B130" s="21"/>
      <c r="C130" s="21"/>
      <c r="D130" s="3">
        <v>16.600000000000001</v>
      </c>
      <c r="E130" s="3">
        <v>4</v>
      </c>
    </row>
    <row r="131" spans="1:5" x14ac:dyDescent="0.55000000000000004">
      <c r="A131">
        <f t="shared" si="0"/>
        <v>2008</v>
      </c>
      <c r="B131" s="21"/>
      <c r="C131" s="21"/>
      <c r="D131" s="3">
        <v>16.8</v>
      </c>
      <c r="E131" s="3">
        <v>4.0999999999999996</v>
      </c>
    </row>
    <row r="132" spans="1:5" x14ac:dyDescent="0.55000000000000004">
      <c r="A132">
        <f t="shared" si="0"/>
        <v>2009</v>
      </c>
      <c r="B132" s="21"/>
      <c r="C132" s="21"/>
      <c r="D132" s="3">
        <v>16.5</v>
      </c>
      <c r="E132" s="3">
        <v>4.0999999999999996</v>
      </c>
    </row>
    <row r="133" spans="1:5" x14ac:dyDescent="0.55000000000000004">
      <c r="A133">
        <f t="shared" si="0"/>
        <v>2010</v>
      </c>
      <c r="B133" s="21"/>
      <c r="C133" s="21"/>
      <c r="D133" s="3">
        <v>15.4</v>
      </c>
      <c r="E133" s="3">
        <v>4.3</v>
      </c>
    </row>
    <row r="134" spans="1:5" x14ac:dyDescent="0.55000000000000004">
      <c r="A134">
        <f t="shared" si="0"/>
        <v>2011</v>
      </c>
      <c r="B134" s="21"/>
      <c r="C134" s="21"/>
      <c r="D134" s="3">
        <v>15.8</v>
      </c>
      <c r="E134" s="3">
        <v>4.3</v>
      </c>
    </row>
    <row r="135" spans="1:5" x14ac:dyDescent="0.55000000000000004">
      <c r="A135">
        <f t="shared" si="0"/>
        <v>2012</v>
      </c>
      <c r="B135" s="21"/>
      <c r="C135" s="21"/>
      <c r="D135" s="3">
        <v>15.5</v>
      </c>
      <c r="E135" s="3">
        <v>4.3</v>
      </c>
    </row>
    <row r="136" spans="1:5" x14ac:dyDescent="0.55000000000000004">
      <c r="A136">
        <f t="shared" si="0"/>
        <v>2013</v>
      </c>
      <c r="B136" s="21"/>
      <c r="C136" s="21"/>
      <c r="D136" s="3">
        <v>14.8</v>
      </c>
      <c r="E136" s="3">
        <v>4.3</v>
      </c>
    </row>
    <row r="137" spans="1:5" x14ac:dyDescent="0.55000000000000004">
      <c r="A137">
        <f t="shared" si="0"/>
        <v>2014</v>
      </c>
      <c r="B137" s="21"/>
      <c r="C137" s="21"/>
      <c r="D137" s="3">
        <v>14.8</v>
      </c>
      <c r="E137" s="3">
        <v>4.5</v>
      </c>
    </row>
    <row r="138" spans="1:5" x14ac:dyDescent="0.55000000000000004">
      <c r="A138">
        <f t="shared" si="0"/>
        <v>2015</v>
      </c>
      <c r="B138" s="21"/>
      <c r="C138" s="21"/>
      <c r="D138" s="3">
        <v>14.7</v>
      </c>
      <c r="E138" s="3">
        <v>4.5</v>
      </c>
    </row>
    <row r="139" spans="1:5" x14ac:dyDescent="0.55000000000000004">
      <c r="A139">
        <f t="shared" si="0"/>
        <v>2016</v>
      </c>
      <c r="B139" s="21"/>
      <c r="C139" s="21"/>
      <c r="D139" s="3">
        <v>14.2</v>
      </c>
      <c r="E139" s="3">
        <v>4.8</v>
      </c>
    </row>
    <row r="140" spans="1:5" x14ac:dyDescent="0.55000000000000004">
      <c r="A140">
        <f t="shared" si="0"/>
        <v>2017</v>
      </c>
      <c r="B140" s="21"/>
      <c r="C140" s="21"/>
      <c r="D140" s="3">
        <v>13.8</v>
      </c>
      <c r="E140" s="3">
        <v>5</v>
      </c>
    </row>
    <row r="141" spans="1:5" x14ac:dyDescent="0.55000000000000004">
      <c r="A141">
        <f t="shared" si="0"/>
        <v>2018</v>
      </c>
      <c r="B141" s="21"/>
      <c r="C141" s="21"/>
      <c r="D141" s="3">
        <v>13.6</v>
      </c>
      <c r="E141" s="3">
        <v>5.0999999999999996</v>
      </c>
    </row>
    <row r="142" spans="1:5" x14ac:dyDescent="0.55000000000000004">
      <c r="A142">
        <f t="shared" si="0"/>
        <v>2019</v>
      </c>
      <c r="B142" s="21"/>
      <c r="C142" s="21"/>
      <c r="D142" s="3">
        <v>12.7</v>
      </c>
      <c r="E142" s="3">
        <v>5.0999999999999996</v>
      </c>
    </row>
    <row r="143" spans="1:5" x14ac:dyDescent="0.55000000000000004">
      <c r="A143">
        <f t="shared" si="0"/>
        <v>2020</v>
      </c>
      <c r="B143" s="21"/>
      <c r="C143" s="21"/>
      <c r="D143" s="3">
        <v>11.4</v>
      </c>
      <c r="E143" s="3">
        <v>5.6</v>
      </c>
    </row>
    <row r="144" spans="1:5" x14ac:dyDescent="0.55000000000000004">
      <c r="A144">
        <f t="shared" si="0"/>
        <v>2021</v>
      </c>
      <c r="B144" s="21"/>
      <c r="C144" s="21"/>
      <c r="D144" s="3">
        <v>10.5</v>
      </c>
      <c r="E144" s="3">
        <v>6.6</v>
      </c>
    </row>
    <row r="145" spans="1:5" x14ac:dyDescent="0.55000000000000004">
      <c r="A145">
        <f t="shared" si="0"/>
        <v>2022</v>
      </c>
      <c r="B145" s="21"/>
      <c r="C145" s="21"/>
      <c r="D145" s="3">
        <v>10.3</v>
      </c>
      <c r="E145" s="3">
        <v>6.1</v>
      </c>
    </row>
    <row r="146" spans="1:5" x14ac:dyDescent="0.55000000000000004">
      <c r="A146">
        <f t="shared" si="0"/>
        <v>2023</v>
      </c>
      <c r="B146" s="21"/>
      <c r="C146" s="21"/>
      <c r="D146" s="3">
        <v>10.199999999999999</v>
      </c>
      <c r="E146" s="3">
        <v>5.5</v>
      </c>
    </row>
    <row r="147" spans="1:5" x14ac:dyDescent="0.55000000000000004">
      <c r="B147" s="21"/>
      <c r="C147" s="21"/>
      <c r="D147" s="21"/>
      <c r="E147" s="21"/>
    </row>
    <row r="148" spans="1:5" x14ac:dyDescent="0.55000000000000004">
      <c r="B148" s="21"/>
      <c r="C148" s="21"/>
      <c r="D148" s="21"/>
      <c r="E148" s="21"/>
    </row>
    <row r="149" spans="1:5" x14ac:dyDescent="0.55000000000000004">
      <c r="B149" s="21"/>
      <c r="C149" s="21"/>
      <c r="D149" s="21"/>
      <c r="E149" s="21"/>
    </row>
    <row r="150" spans="1:5" x14ac:dyDescent="0.55000000000000004">
      <c r="B150" s="21"/>
      <c r="C150" s="21"/>
      <c r="D150" s="21"/>
      <c r="E150" s="21"/>
    </row>
    <row r="151" spans="1:5" x14ac:dyDescent="0.55000000000000004">
      <c r="B151" s="21"/>
      <c r="C151" s="21"/>
      <c r="D151" s="21"/>
      <c r="E151" s="21"/>
    </row>
    <row r="152" spans="1:5" x14ac:dyDescent="0.55000000000000004">
      <c r="B152" s="21"/>
      <c r="C152" s="21"/>
      <c r="D152" s="21"/>
      <c r="E152" s="21"/>
    </row>
    <row r="153" spans="1:5" x14ac:dyDescent="0.55000000000000004">
      <c r="B153" s="21"/>
      <c r="C153" s="21"/>
      <c r="D153" s="21"/>
      <c r="E153" s="21"/>
    </row>
    <row r="154" spans="1:5" x14ac:dyDescent="0.55000000000000004">
      <c r="B154" s="21"/>
      <c r="C154" s="21"/>
      <c r="D154" s="21"/>
      <c r="E154" s="21"/>
    </row>
    <row r="155" spans="1:5" x14ac:dyDescent="0.55000000000000004">
      <c r="B155" s="21"/>
      <c r="C155" s="21"/>
      <c r="D155" s="21"/>
      <c r="E155" s="21"/>
    </row>
    <row r="156" spans="1:5" x14ac:dyDescent="0.55000000000000004">
      <c r="B156" s="21"/>
      <c r="C156" s="21"/>
      <c r="D156" s="21"/>
      <c r="E156" s="21"/>
    </row>
    <row r="157" spans="1:5" x14ac:dyDescent="0.55000000000000004">
      <c r="B157" s="21"/>
      <c r="C157" s="21"/>
      <c r="D157" s="21"/>
      <c r="E157" s="21"/>
    </row>
    <row r="158" spans="1:5" x14ac:dyDescent="0.55000000000000004">
      <c r="B158" s="21"/>
      <c r="C158" s="21"/>
      <c r="D158" s="21"/>
      <c r="E158" s="21"/>
    </row>
    <row r="159" spans="1:5" x14ac:dyDescent="0.55000000000000004">
      <c r="B159" s="21"/>
      <c r="C159" s="21"/>
      <c r="D159" s="21"/>
      <c r="E159" s="21"/>
    </row>
    <row r="160" spans="1:5" x14ac:dyDescent="0.55000000000000004">
      <c r="B160" s="21"/>
      <c r="C160" s="21"/>
      <c r="D160" s="21"/>
      <c r="E160" s="21"/>
    </row>
    <row r="161" spans="2:5" x14ac:dyDescent="0.55000000000000004">
      <c r="B161" s="21"/>
      <c r="C161" s="21"/>
      <c r="D161" s="21"/>
      <c r="E161" s="21"/>
    </row>
    <row r="162" spans="2:5" x14ac:dyDescent="0.55000000000000004">
      <c r="B162" s="21"/>
      <c r="C162" s="21"/>
      <c r="D162" s="21"/>
      <c r="E162" s="21"/>
    </row>
    <row r="163" spans="2:5" x14ac:dyDescent="0.55000000000000004">
      <c r="B163" s="21"/>
      <c r="C163" s="21"/>
      <c r="D163" s="21"/>
      <c r="E163" s="21"/>
    </row>
    <row r="164" spans="2:5" x14ac:dyDescent="0.55000000000000004">
      <c r="B164" s="21"/>
      <c r="C164" s="21"/>
      <c r="D164" s="21"/>
      <c r="E164" s="21"/>
    </row>
    <row r="165" spans="2:5" x14ac:dyDescent="0.55000000000000004">
      <c r="B165" s="21"/>
      <c r="C165" s="21"/>
      <c r="D165" s="21"/>
      <c r="E165" s="21"/>
    </row>
    <row r="166" spans="2:5" x14ac:dyDescent="0.55000000000000004">
      <c r="B166" s="21"/>
      <c r="C166" s="21"/>
      <c r="D166" s="21"/>
      <c r="E166" s="21"/>
    </row>
    <row r="167" spans="2:5" x14ac:dyDescent="0.55000000000000004">
      <c r="B167" s="21"/>
      <c r="C167" s="21"/>
      <c r="D167" s="21"/>
      <c r="E167" s="21"/>
    </row>
    <row r="168" spans="2:5" x14ac:dyDescent="0.55000000000000004">
      <c r="B168" s="21"/>
      <c r="C168" s="21"/>
      <c r="D168" s="21"/>
      <c r="E168" s="21"/>
    </row>
    <row r="169" spans="2:5" x14ac:dyDescent="0.55000000000000004">
      <c r="B169" s="21"/>
      <c r="C169" s="21"/>
      <c r="D169" s="21"/>
      <c r="E169" s="21"/>
    </row>
    <row r="170" spans="2:5" x14ac:dyDescent="0.55000000000000004">
      <c r="B170" s="21"/>
      <c r="C170" s="21"/>
      <c r="D170" s="21"/>
      <c r="E170" s="21"/>
    </row>
    <row r="171" spans="2:5" x14ac:dyDescent="0.55000000000000004">
      <c r="B171" s="21"/>
      <c r="C171" s="21"/>
      <c r="D171" s="21"/>
      <c r="E171" s="21"/>
    </row>
    <row r="172" spans="2:5" x14ac:dyDescent="0.55000000000000004">
      <c r="B172" s="21"/>
      <c r="C172" s="21"/>
      <c r="D172" s="21"/>
      <c r="E172" s="21"/>
    </row>
    <row r="173" spans="2:5" x14ac:dyDescent="0.55000000000000004">
      <c r="B173" s="21"/>
      <c r="C173" s="21"/>
      <c r="D173" s="21"/>
      <c r="E173" s="21"/>
    </row>
    <row r="174" spans="2:5" x14ac:dyDescent="0.55000000000000004">
      <c r="B174" s="21"/>
      <c r="C174" s="21"/>
      <c r="D174" s="21"/>
      <c r="E174" s="21"/>
    </row>
    <row r="175" spans="2:5" x14ac:dyDescent="0.55000000000000004">
      <c r="B175" s="21"/>
      <c r="C175" s="21"/>
      <c r="D175" s="21"/>
      <c r="E175" s="21"/>
    </row>
    <row r="176" spans="2:5" x14ac:dyDescent="0.55000000000000004">
      <c r="B176" s="21"/>
      <c r="C176" s="21"/>
      <c r="D176" s="21"/>
      <c r="E176" s="21"/>
    </row>
    <row r="177" spans="2:5" x14ac:dyDescent="0.55000000000000004">
      <c r="B177" s="21"/>
      <c r="C177" s="21"/>
      <c r="D177" s="21"/>
      <c r="E177" s="21"/>
    </row>
    <row r="178" spans="2:5" x14ac:dyDescent="0.55000000000000004">
      <c r="B178" s="21"/>
      <c r="C178" s="21"/>
      <c r="D178" s="21"/>
      <c r="E178" s="21"/>
    </row>
    <row r="179" spans="2:5" x14ac:dyDescent="0.55000000000000004">
      <c r="B179" s="21"/>
      <c r="C179" s="21"/>
      <c r="D179" s="21"/>
      <c r="E179" s="21"/>
    </row>
    <row r="180" spans="2:5" x14ac:dyDescent="0.55000000000000004">
      <c r="B180" s="21"/>
      <c r="C180" s="21"/>
      <c r="D180" s="21"/>
      <c r="E180" s="21"/>
    </row>
    <row r="181" spans="2:5" x14ac:dyDescent="0.55000000000000004">
      <c r="B181" s="21"/>
      <c r="C181" s="21"/>
      <c r="D181" s="21"/>
      <c r="E181" s="21"/>
    </row>
    <row r="182" spans="2:5" x14ac:dyDescent="0.55000000000000004">
      <c r="B182" s="21"/>
      <c r="C182" s="21"/>
      <c r="D182" s="21"/>
      <c r="E182" s="21"/>
    </row>
    <row r="183" spans="2:5" x14ac:dyDescent="0.55000000000000004">
      <c r="B183" s="21"/>
      <c r="C183" s="21"/>
      <c r="D183" s="21"/>
      <c r="E183" s="21"/>
    </row>
    <row r="184" spans="2:5" x14ac:dyDescent="0.55000000000000004">
      <c r="B184" s="21"/>
      <c r="C184" s="21"/>
      <c r="D184" s="21"/>
      <c r="E184" s="21"/>
    </row>
    <row r="185" spans="2:5" x14ac:dyDescent="0.55000000000000004">
      <c r="B185" s="21"/>
      <c r="C185" s="21"/>
      <c r="D185" s="21"/>
      <c r="E185" s="21"/>
    </row>
    <row r="186" spans="2:5" x14ac:dyDescent="0.55000000000000004">
      <c r="B186" s="21"/>
      <c r="C186" s="21"/>
      <c r="D186" s="21"/>
      <c r="E186" s="21"/>
    </row>
    <row r="187" spans="2:5" x14ac:dyDescent="0.55000000000000004">
      <c r="B187" s="21"/>
      <c r="C187" s="21"/>
      <c r="D187" s="21"/>
      <c r="E187" s="21"/>
    </row>
    <row r="188" spans="2:5" x14ac:dyDescent="0.55000000000000004">
      <c r="B188" s="21"/>
      <c r="C188" s="21"/>
      <c r="D188" s="21"/>
      <c r="E188" s="21"/>
    </row>
    <row r="189" spans="2:5" x14ac:dyDescent="0.55000000000000004">
      <c r="B189" s="21"/>
      <c r="C189" s="21"/>
      <c r="D189" s="21"/>
      <c r="E189" s="21"/>
    </row>
    <row r="190" spans="2:5" x14ac:dyDescent="0.55000000000000004">
      <c r="B190" s="21"/>
      <c r="C190" s="21"/>
      <c r="D190" s="21"/>
      <c r="E190" s="21"/>
    </row>
    <row r="191" spans="2:5" x14ac:dyDescent="0.55000000000000004">
      <c r="B191" s="21"/>
      <c r="C191" s="21"/>
      <c r="D191" s="21"/>
      <c r="E191" s="21"/>
    </row>
    <row r="192" spans="2:5" x14ac:dyDescent="0.55000000000000004">
      <c r="B192" s="21"/>
      <c r="C192" s="21"/>
      <c r="D192" s="21"/>
      <c r="E192" s="21"/>
    </row>
    <row r="193" spans="2:5" x14ac:dyDescent="0.55000000000000004">
      <c r="B193" s="21"/>
      <c r="C193" s="21"/>
      <c r="D193" s="21"/>
      <c r="E193" s="21"/>
    </row>
    <row r="194" spans="2:5" x14ac:dyDescent="0.55000000000000004">
      <c r="B194" s="21"/>
      <c r="C194" s="21"/>
      <c r="D194" s="21"/>
      <c r="E194" s="21"/>
    </row>
    <row r="195" spans="2:5" x14ac:dyDescent="0.55000000000000004">
      <c r="B195" s="21"/>
      <c r="C195" s="21"/>
      <c r="D195" s="21"/>
      <c r="E195" s="21"/>
    </row>
    <row r="196" spans="2:5" x14ac:dyDescent="0.55000000000000004">
      <c r="B196" s="21"/>
      <c r="C196" s="21"/>
      <c r="D196" s="21"/>
      <c r="E196" s="21"/>
    </row>
    <row r="197" spans="2:5" x14ac:dyDescent="0.55000000000000004">
      <c r="B197" s="21"/>
      <c r="C197" s="21"/>
      <c r="D197" s="21"/>
      <c r="E197" s="21"/>
    </row>
    <row r="198" spans="2:5" x14ac:dyDescent="0.55000000000000004">
      <c r="B198" s="21"/>
      <c r="C198" s="21"/>
      <c r="D198" s="21"/>
      <c r="E198" s="21"/>
    </row>
    <row r="199" spans="2:5" x14ac:dyDescent="0.55000000000000004">
      <c r="B199" s="21"/>
      <c r="C199" s="21"/>
      <c r="D199" s="21"/>
      <c r="E199" s="21"/>
    </row>
    <row r="200" spans="2:5" x14ac:dyDescent="0.55000000000000004">
      <c r="B200" s="21"/>
      <c r="C200" s="21"/>
      <c r="D200" s="21"/>
      <c r="E200" s="21"/>
    </row>
    <row r="201" spans="2:5" x14ac:dyDescent="0.55000000000000004">
      <c r="B201" s="21"/>
      <c r="C201" s="21"/>
      <c r="D201" s="21"/>
      <c r="E201" s="21"/>
    </row>
    <row r="202" spans="2:5" x14ac:dyDescent="0.55000000000000004">
      <c r="B202" s="21"/>
      <c r="C202" s="21"/>
      <c r="D202" s="21"/>
      <c r="E202" s="21"/>
    </row>
    <row r="203" spans="2:5" x14ac:dyDescent="0.55000000000000004">
      <c r="B203" s="21"/>
      <c r="C203" s="21"/>
      <c r="D203" s="21"/>
      <c r="E203" s="21"/>
    </row>
    <row r="204" spans="2:5" x14ac:dyDescent="0.55000000000000004">
      <c r="B204" s="21"/>
      <c r="C204" s="21"/>
      <c r="D204" s="21"/>
      <c r="E204" s="21"/>
    </row>
    <row r="205" spans="2:5" x14ac:dyDescent="0.55000000000000004">
      <c r="B205" s="21"/>
      <c r="C205" s="21"/>
      <c r="D205" s="21"/>
      <c r="E205" s="21"/>
    </row>
    <row r="206" spans="2:5" x14ac:dyDescent="0.55000000000000004">
      <c r="B206" s="21"/>
      <c r="C206" s="21"/>
      <c r="D206" s="21"/>
      <c r="E206" s="21"/>
    </row>
    <row r="207" spans="2:5" x14ac:dyDescent="0.55000000000000004">
      <c r="B207" s="21"/>
      <c r="C207" s="21"/>
      <c r="D207" s="21"/>
      <c r="E207" s="21"/>
    </row>
    <row r="208" spans="2:5" x14ac:dyDescent="0.55000000000000004">
      <c r="B208" s="21"/>
      <c r="C208" s="21"/>
      <c r="D208" s="21"/>
      <c r="E208" s="21"/>
    </row>
    <row r="209" spans="2:5" x14ac:dyDescent="0.55000000000000004">
      <c r="B209" s="21"/>
      <c r="C209" s="21"/>
      <c r="D209" s="21"/>
      <c r="E209" s="21"/>
    </row>
    <row r="210" spans="2:5" x14ac:dyDescent="0.55000000000000004">
      <c r="B210" s="21"/>
      <c r="C210" s="21"/>
      <c r="D210" s="21"/>
      <c r="E210" s="21"/>
    </row>
    <row r="211" spans="2:5" x14ac:dyDescent="0.55000000000000004">
      <c r="B211" s="21"/>
      <c r="C211" s="21"/>
      <c r="D211" s="21"/>
      <c r="E211" s="21"/>
    </row>
    <row r="212" spans="2:5" x14ac:dyDescent="0.55000000000000004">
      <c r="B212" s="21"/>
      <c r="C212" s="21"/>
      <c r="D212" s="21"/>
      <c r="E212" s="21"/>
    </row>
    <row r="213" spans="2:5" x14ac:dyDescent="0.55000000000000004">
      <c r="B213" s="21"/>
      <c r="C213" s="21"/>
      <c r="D213" s="21"/>
      <c r="E213" s="21"/>
    </row>
    <row r="214" spans="2:5" x14ac:dyDescent="0.55000000000000004">
      <c r="B214" s="21"/>
      <c r="C214" s="21"/>
      <c r="D214" s="21"/>
      <c r="E214" s="21"/>
    </row>
    <row r="215" spans="2:5" x14ac:dyDescent="0.55000000000000004">
      <c r="B215" s="21"/>
      <c r="C215" s="21"/>
      <c r="D215" s="21"/>
      <c r="E215" s="21"/>
    </row>
    <row r="216" spans="2:5" x14ac:dyDescent="0.55000000000000004">
      <c r="B216" s="21"/>
      <c r="C216" s="21"/>
      <c r="D216" s="21"/>
      <c r="E216" s="21"/>
    </row>
    <row r="217" spans="2:5" x14ac:dyDescent="0.55000000000000004">
      <c r="B217" s="21"/>
      <c r="C217" s="21"/>
      <c r="D217" s="21"/>
      <c r="E217" s="21"/>
    </row>
    <row r="218" spans="2:5" x14ac:dyDescent="0.55000000000000004">
      <c r="B218" s="21"/>
      <c r="C218" s="21"/>
      <c r="D218" s="21"/>
      <c r="E218" s="21"/>
    </row>
    <row r="219" spans="2:5" x14ac:dyDescent="0.55000000000000004">
      <c r="B219" s="21"/>
      <c r="C219" s="21"/>
      <c r="D219" s="21"/>
      <c r="E219" s="21"/>
    </row>
    <row r="220" spans="2:5" x14ac:dyDescent="0.55000000000000004">
      <c r="B220" s="21"/>
      <c r="C220" s="21"/>
      <c r="D220" s="21"/>
      <c r="E220" s="21"/>
    </row>
    <row r="221" spans="2:5" x14ac:dyDescent="0.55000000000000004">
      <c r="B221" s="21"/>
      <c r="C221" s="21"/>
      <c r="D221" s="21"/>
      <c r="E221" s="21"/>
    </row>
    <row r="222" spans="2:5" x14ac:dyDescent="0.55000000000000004">
      <c r="B222" s="21"/>
      <c r="C222" s="21"/>
      <c r="D222" s="21"/>
      <c r="E222" s="21"/>
    </row>
    <row r="223" spans="2:5" x14ac:dyDescent="0.55000000000000004">
      <c r="B223" s="21"/>
      <c r="C223" s="21"/>
      <c r="D223" s="21"/>
      <c r="E223" s="21"/>
    </row>
    <row r="224" spans="2:5" x14ac:dyDescent="0.55000000000000004">
      <c r="B224" s="21"/>
      <c r="C224" s="21"/>
      <c r="D224" s="21"/>
      <c r="E224" s="21"/>
    </row>
    <row r="225" spans="2:5" x14ac:dyDescent="0.55000000000000004">
      <c r="B225" s="21"/>
      <c r="C225" s="21"/>
      <c r="D225" s="21"/>
      <c r="E225" s="21"/>
    </row>
    <row r="226" spans="2:5" x14ac:dyDescent="0.55000000000000004">
      <c r="B226" s="21"/>
      <c r="C226" s="21"/>
      <c r="D226" s="21"/>
      <c r="E226" s="21"/>
    </row>
    <row r="227" spans="2:5" x14ac:dyDescent="0.55000000000000004">
      <c r="B227" s="21"/>
      <c r="C227" s="21"/>
      <c r="D227" s="21"/>
      <c r="E227" s="21"/>
    </row>
    <row r="228" spans="2:5" x14ac:dyDescent="0.55000000000000004">
      <c r="B228" s="21"/>
      <c r="C228" s="21"/>
      <c r="D228" s="21"/>
      <c r="E228" s="21"/>
    </row>
    <row r="229" spans="2:5" x14ac:dyDescent="0.55000000000000004">
      <c r="B229" s="21"/>
      <c r="C229" s="21"/>
      <c r="D229" s="21"/>
      <c r="E229" s="21"/>
    </row>
    <row r="230" spans="2:5" x14ac:dyDescent="0.55000000000000004">
      <c r="B230" s="21"/>
      <c r="C230" s="21"/>
      <c r="D230" s="21"/>
      <c r="E230" s="21"/>
    </row>
    <row r="231" spans="2:5" x14ac:dyDescent="0.55000000000000004">
      <c r="B231" s="21"/>
      <c r="C231" s="21"/>
      <c r="D231" s="21"/>
      <c r="E231" s="21"/>
    </row>
    <row r="232" spans="2:5" x14ac:dyDescent="0.55000000000000004">
      <c r="B232" s="21"/>
      <c r="C232" s="21"/>
      <c r="D232" s="21"/>
      <c r="E232" s="21"/>
    </row>
    <row r="233" spans="2:5" x14ac:dyDescent="0.55000000000000004">
      <c r="B233" s="21"/>
      <c r="C233" s="21"/>
      <c r="D233" s="21"/>
      <c r="E233" s="21"/>
    </row>
    <row r="234" spans="2:5" x14ac:dyDescent="0.55000000000000004">
      <c r="B234" s="21"/>
      <c r="C234" s="21"/>
      <c r="D234" s="21"/>
      <c r="E234" s="21"/>
    </row>
    <row r="235" spans="2:5" x14ac:dyDescent="0.55000000000000004">
      <c r="B235" s="21"/>
      <c r="C235" s="21"/>
      <c r="D235" s="21"/>
      <c r="E235" s="21"/>
    </row>
    <row r="236" spans="2:5" x14ac:dyDescent="0.55000000000000004">
      <c r="B236" s="21"/>
      <c r="C236" s="21"/>
      <c r="D236" s="21"/>
      <c r="E236" s="21"/>
    </row>
    <row r="237" spans="2:5" x14ac:dyDescent="0.55000000000000004">
      <c r="B237" s="21"/>
      <c r="C237" s="21"/>
      <c r="D237" s="21"/>
      <c r="E237" s="21"/>
    </row>
    <row r="238" spans="2:5" x14ac:dyDescent="0.55000000000000004">
      <c r="B238" s="21"/>
      <c r="C238" s="21"/>
      <c r="D238" s="21"/>
      <c r="E238" s="21"/>
    </row>
    <row r="239" spans="2:5" x14ac:dyDescent="0.55000000000000004">
      <c r="B239" s="21"/>
      <c r="C239" s="21"/>
      <c r="D239" s="21"/>
      <c r="E239" s="21"/>
    </row>
    <row r="240" spans="2:5" x14ac:dyDescent="0.55000000000000004">
      <c r="B240" s="21"/>
      <c r="C240" s="21"/>
      <c r="D240" s="21"/>
      <c r="E240" s="21"/>
    </row>
    <row r="241" spans="2:5" x14ac:dyDescent="0.55000000000000004">
      <c r="B241" s="21"/>
      <c r="C241" s="21"/>
      <c r="D241" s="21"/>
      <c r="E241" s="21"/>
    </row>
    <row r="242" spans="2:5" x14ac:dyDescent="0.55000000000000004">
      <c r="B242" s="21"/>
      <c r="C242" s="21"/>
      <c r="D242" s="21"/>
      <c r="E242" s="21"/>
    </row>
    <row r="243" spans="2:5" x14ac:dyDescent="0.55000000000000004">
      <c r="B243" s="21"/>
      <c r="C243" s="21"/>
      <c r="D243" s="21"/>
      <c r="E243" s="21"/>
    </row>
    <row r="244" spans="2:5" x14ac:dyDescent="0.55000000000000004">
      <c r="B244" s="21"/>
      <c r="C244" s="21"/>
      <c r="D244" s="21"/>
      <c r="E244" s="21"/>
    </row>
    <row r="245" spans="2:5" x14ac:dyDescent="0.55000000000000004">
      <c r="B245" s="21"/>
      <c r="C245" s="21"/>
      <c r="D245" s="21"/>
      <c r="E245" s="21"/>
    </row>
    <row r="246" spans="2:5" x14ac:dyDescent="0.55000000000000004">
      <c r="B246" s="21"/>
      <c r="C246" s="21"/>
      <c r="D246" s="21"/>
      <c r="E246" s="21"/>
    </row>
    <row r="247" spans="2:5" x14ac:dyDescent="0.55000000000000004">
      <c r="B247" s="21"/>
      <c r="C247" s="21"/>
      <c r="D247" s="21"/>
      <c r="E247" s="21"/>
    </row>
    <row r="248" spans="2:5" x14ac:dyDescent="0.55000000000000004">
      <c r="B248" s="21"/>
      <c r="C248" s="21"/>
      <c r="D248" s="21"/>
      <c r="E248" s="21"/>
    </row>
    <row r="249" spans="2:5" x14ac:dyDescent="0.55000000000000004">
      <c r="B249" s="21"/>
      <c r="C249" s="21"/>
      <c r="D249" s="21"/>
      <c r="E249" s="21"/>
    </row>
    <row r="250" spans="2:5" x14ac:dyDescent="0.55000000000000004">
      <c r="B250" s="21"/>
      <c r="C250" s="21"/>
      <c r="D250" s="21"/>
      <c r="E250" s="21"/>
    </row>
    <row r="251" spans="2:5" x14ac:dyDescent="0.55000000000000004">
      <c r="B251" s="21"/>
      <c r="C251" s="21"/>
      <c r="D251" s="21"/>
      <c r="E251" s="21"/>
    </row>
    <row r="252" spans="2:5" x14ac:dyDescent="0.55000000000000004">
      <c r="B252" s="21"/>
      <c r="C252" s="21"/>
      <c r="D252" s="21"/>
      <c r="E252" s="21"/>
    </row>
    <row r="253" spans="2:5" x14ac:dyDescent="0.55000000000000004">
      <c r="B253" s="21"/>
      <c r="C253" s="21"/>
      <c r="D253" s="21"/>
      <c r="E253" s="21"/>
    </row>
  </sheetData>
  <mergeCells count="2">
    <mergeCell ref="B1:C1"/>
    <mergeCell ref="D1:E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workbookViewId="0">
      <selection activeCell="AA63" sqref="AA63"/>
    </sheetView>
  </sheetViews>
  <sheetFormatPr defaultRowHeight="14.4" x14ac:dyDescent="0.55000000000000004"/>
  <cols>
    <col min="1" max="1" width="5" bestFit="1" customWidth="1"/>
    <col min="2" max="2" width="9.578125" bestFit="1" customWidth="1"/>
    <col min="3" max="3" width="9.26171875" bestFit="1" customWidth="1"/>
    <col min="4" max="4" width="10.68359375" bestFit="1" customWidth="1"/>
    <col min="5" max="5" width="11.83984375" bestFit="1" customWidth="1"/>
    <col min="6" max="6" width="11.578125" bestFit="1" customWidth="1"/>
    <col min="7" max="7" width="13.15625" bestFit="1" customWidth="1"/>
    <col min="8" max="8" width="7.15625" bestFit="1" customWidth="1"/>
    <col min="9" max="9" width="6.83984375" bestFit="1" customWidth="1"/>
    <col min="10" max="10" width="8.26171875" bestFit="1" customWidth="1"/>
    <col min="11" max="11" width="12.41796875" bestFit="1" customWidth="1"/>
    <col min="12" max="12" width="12.26171875" bestFit="1" customWidth="1"/>
  </cols>
  <sheetData>
    <row r="1" spans="1:12" x14ac:dyDescent="0.55000000000000004">
      <c r="A1" s="4" t="s">
        <v>73</v>
      </c>
      <c r="B1" s="4" t="s">
        <v>217</v>
      </c>
      <c r="C1" s="4" t="s">
        <v>218</v>
      </c>
      <c r="D1" s="4" t="s">
        <v>219</v>
      </c>
      <c r="E1" s="4" t="s">
        <v>220</v>
      </c>
      <c r="F1" s="4" t="s">
        <v>221</v>
      </c>
      <c r="G1" s="4" t="s">
        <v>222</v>
      </c>
      <c r="H1" s="4" t="s">
        <v>223</v>
      </c>
      <c r="I1" s="4" t="s">
        <v>224</v>
      </c>
      <c r="J1" s="4" t="s">
        <v>225</v>
      </c>
      <c r="K1" s="4" t="s">
        <v>226</v>
      </c>
      <c r="L1" s="4" t="s">
        <v>227</v>
      </c>
    </row>
    <row r="2" spans="1:12" x14ac:dyDescent="0.55000000000000004">
      <c r="A2">
        <v>1900</v>
      </c>
      <c r="B2" s="3">
        <v>43.8</v>
      </c>
      <c r="C2" s="3">
        <v>23.7</v>
      </c>
      <c r="D2" s="3">
        <f>B2-C2</f>
        <v>20.099999999999998</v>
      </c>
      <c r="K2" s="27">
        <f>1000*(L3-L2)/L2</f>
        <v>49.375</v>
      </c>
      <c r="L2" s="25">
        <v>1600</v>
      </c>
    </row>
    <row r="3" spans="1:12" x14ac:dyDescent="0.55000000000000004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27">
        <f t="shared" ref="K3:K66" si="1">1000*(L4-L3)/L3</f>
        <v>47.051816557474687</v>
      </c>
      <c r="L3" s="25">
        <v>1679</v>
      </c>
    </row>
    <row r="4" spans="1:12" x14ac:dyDescent="0.55000000000000004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27">
        <f t="shared" si="1"/>
        <v>44.937428896473264</v>
      </c>
      <c r="L4" s="25">
        <v>1758</v>
      </c>
    </row>
    <row r="5" spans="1:12" x14ac:dyDescent="0.55000000000000004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27">
        <f t="shared" si="1"/>
        <v>22.863364180729452</v>
      </c>
      <c r="L5" s="25">
        <v>1837</v>
      </c>
    </row>
    <row r="6" spans="1:12" x14ac:dyDescent="0.55000000000000004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27">
        <f t="shared" si="1"/>
        <v>25.545502927088876</v>
      </c>
      <c r="L6" s="25">
        <v>1879</v>
      </c>
    </row>
    <row r="7" spans="1:12" x14ac:dyDescent="0.55000000000000004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27">
        <f t="shared" si="1"/>
        <v>26.984950700570835</v>
      </c>
      <c r="L7" s="25">
        <v>1927</v>
      </c>
    </row>
    <row r="8" spans="1:12" x14ac:dyDescent="0.55000000000000004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27">
        <f t="shared" si="1"/>
        <v>27.791814047498736</v>
      </c>
      <c r="L8" s="25">
        <v>1979</v>
      </c>
    </row>
    <row r="9" spans="1:12" x14ac:dyDescent="0.55000000000000004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27">
        <f t="shared" si="1"/>
        <v>28.515240904621436</v>
      </c>
      <c r="L9" s="25">
        <v>2034</v>
      </c>
    </row>
    <row r="10" spans="1:12" x14ac:dyDescent="0.55000000000000004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27">
        <f t="shared" si="1"/>
        <v>29.636711281070745</v>
      </c>
      <c r="L10" s="25">
        <v>2092</v>
      </c>
    </row>
    <row r="11" spans="1:12" x14ac:dyDescent="0.55000000000000004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27">
        <f t="shared" si="1"/>
        <v>30.176415970287838</v>
      </c>
      <c r="L11" s="25">
        <v>2154</v>
      </c>
    </row>
    <row r="12" spans="1:12" x14ac:dyDescent="0.55000000000000004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27">
        <f t="shared" si="1"/>
        <v>30.64443442992339</v>
      </c>
      <c r="L12" s="25">
        <v>2219</v>
      </c>
    </row>
    <row r="13" spans="1:12" x14ac:dyDescent="0.55000000000000004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27">
        <f t="shared" si="1"/>
        <v>31.04503716659379</v>
      </c>
      <c r="L13" s="25">
        <v>2287</v>
      </c>
    </row>
    <row r="14" spans="1:12" x14ac:dyDescent="0.55000000000000004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27">
        <f t="shared" si="1"/>
        <v>23.324851569126377</v>
      </c>
      <c r="L14" s="25">
        <v>2358</v>
      </c>
    </row>
    <row r="15" spans="1:12" x14ac:dyDescent="0.55000000000000004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27">
        <f t="shared" si="1"/>
        <v>38.95565685868214</v>
      </c>
      <c r="L15" s="25">
        <v>2413</v>
      </c>
    </row>
    <row r="16" spans="1:12" x14ac:dyDescent="0.55000000000000004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27">
        <f t="shared" si="1"/>
        <v>31.112883925009971</v>
      </c>
      <c r="L16" s="25">
        <v>2507</v>
      </c>
    </row>
    <row r="17" spans="1:12" x14ac:dyDescent="0.55000000000000004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27">
        <f t="shared" si="1"/>
        <v>30.56092843326886</v>
      </c>
      <c r="L17" s="25">
        <v>2585</v>
      </c>
    </row>
    <row r="18" spans="1:12" x14ac:dyDescent="0.55000000000000004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27">
        <f t="shared" si="1"/>
        <v>30.780780780780781</v>
      </c>
      <c r="L18" s="25">
        <v>2664</v>
      </c>
    </row>
    <row r="19" spans="1:12" x14ac:dyDescent="0.55000000000000004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27">
        <f t="shared" si="1"/>
        <v>29.861616897305172</v>
      </c>
      <c r="L19" s="25">
        <v>2746</v>
      </c>
    </row>
    <row r="20" spans="1:12" x14ac:dyDescent="0.55000000000000004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27">
        <f t="shared" si="1"/>
        <v>29.702970297029704</v>
      </c>
      <c r="L20" s="25">
        <v>2828</v>
      </c>
    </row>
    <row r="21" spans="1:12" x14ac:dyDescent="0.55000000000000004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27">
        <f t="shared" si="1"/>
        <v>29.189560439560438</v>
      </c>
      <c r="L21" s="25">
        <v>2912</v>
      </c>
    </row>
    <row r="22" spans="1:12" x14ac:dyDescent="0.55000000000000004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27">
        <f t="shared" si="1"/>
        <v>28.695362028695364</v>
      </c>
      <c r="L22" s="25">
        <v>2997</v>
      </c>
    </row>
    <row r="23" spans="1:12" x14ac:dyDescent="0.55000000000000004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27">
        <f t="shared" si="1"/>
        <v>28.219266947778138</v>
      </c>
      <c r="L23" s="25">
        <v>3083</v>
      </c>
    </row>
    <row r="24" spans="1:12" x14ac:dyDescent="0.55000000000000004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27">
        <f t="shared" si="1"/>
        <v>27.444794952681388</v>
      </c>
      <c r="L24" s="25">
        <v>3170</v>
      </c>
    </row>
    <row r="25" spans="1:12" x14ac:dyDescent="0.55000000000000004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27">
        <f t="shared" si="1"/>
        <v>27.018728891618053</v>
      </c>
      <c r="L25" s="25">
        <v>3257</v>
      </c>
    </row>
    <row r="26" spans="1:12" x14ac:dyDescent="0.55000000000000004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27">
        <f t="shared" si="1"/>
        <v>26.00896860986547</v>
      </c>
      <c r="L26" s="25">
        <v>3345</v>
      </c>
    </row>
    <row r="27" spans="1:12" x14ac:dyDescent="0.55000000000000004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27">
        <f t="shared" si="1"/>
        <v>25.34965034965035</v>
      </c>
      <c r="L27" s="25">
        <v>3432</v>
      </c>
    </row>
    <row r="28" spans="1:12" x14ac:dyDescent="0.55000000000000004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27">
        <f t="shared" si="1"/>
        <v>24.722932651321397</v>
      </c>
      <c r="L28" s="25">
        <v>3519</v>
      </c>
    </row>
    <row r="29" spans="1:12" x14ac:dyDescent="0.55000000000000004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27">
        <f t="shared" si="1"/>
        <v>-27.45424292845258</v>
      </c>
      <c r="L29" s="25">
        <v>3606</v>
      </c>
    </row>
    <row r="30" spans="1:12" x14ac:dyDescent="0.55000000000000004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27">
        <f t="shared" si="1"/>
        <v>19.960079840319363</v>
      </c>
      <c r="L30" s="25">
        <v>3507</v>
      </c>
    </row>
    <row r="31" spans="1:12" x14ac:dyDescent="0.55000000000000004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27">
        <f t="shared" si="1"/>
        <v>19.569471624266146</v>
      </c>
      <c r="L31" s="25">
        <v>3577</v>
      </c>
    </row>
    <row r="32" spans="1:12" x14ac:dyDescent="0.55000000000000004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27">
        <f t="shared" si="1"/>
        <v>86.372360844529751</v>
      </c>
      <c r="L32" s="25">
        <v>3647</v>
      </c>
    </row>
    <row r="33" spans="1:12" x14ac:dyDescent="0.55000000000000004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27">
        <f t="shared" si="1"/>
        <v>0</v>
      </c>
      <c r="L33" s="25">
        <v>3962</v>
      </c>
    </row>
    <row r="34" spans="1:12" x14ac:dyDescent="0.55000000000000004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27">
        <f t="shared" si="1"/>
        <v>0</v>
      </c>
      <c r="L34" s="25">
        <v>3962</v>
      </c>
    </row>
    <row r="35" spans="1:12" x14ac:dyDescent="0.55000000000000004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27">
        <f t="shared" si="1"/>
        <v>19.434628975265017</v>
      </c>
      <c r="L35" s="25">
        <v>3962</v>
      </c>
    </row>
    <row r="36" spans="1:12" x14ac:dyDescent="0.55000000000000004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27">
        <f t="shared" si="1"/>
        <v>7.9227531567219609</v>
      </c>
      <c r="L36" s="25">
        <v>4039</v>
      </c>
    </row>
    <row r="37" spans="1:12" x14ac:dyDescent="0.55000000000000004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27">
        <f t="shared" si="1"/>
        <v>9.3343158929010066</v>
      </c>
      <c r="L37" s="25">
        <v>4071</v>
      </c>
    </row>
    <row r="38" spans="1:12" x14ac:dyDescent="0.55000000000000004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27">
        <f t="shared" si="1"/>
        <v>13.628620102214651</v>
      </c>
      <c r="L38" s="25">
        <v>4109</v>
      </c>
    </row>
    <row r="39" spans="1:12" x14ac:dyDescent="0.55000000000000004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27">
        <f t="shared" si="1"/>
        <v>15.126050420168067</v>
      </c>
      <c r="L39" s="25">
        <v>4165</v>
      </c>
    </row>
    <row r="40" spans="1:12" x14ac:dyDescent="0.55000000000000004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27">
        <f t="shared" si="1"/>
        <v>5.9129612109744558</v>
      </c>
      <c r="L40" s="25">
        <v>4228</v>
      </c>
    </row>
    <row r="41" spans="1:12" x14ac:dyDescent="0.55000000000000004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27">
        <f t="shared" si="1"/>
        <v>8.9348695038796144</v>
      </c>
      <c r="L41" s="25">
        <v>4253</v>
      </c>
    </row>
    <row r="42" spans="1:12" x14ac:dyDescent="0.55000000000000004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27">
        <f t="shared" si="1"/>
        <v>8.1566068515497552</v>
      </c>
      <c r="L42" s="25">
        <v>4291</v>
      </c>
    </row>
    <row r="43" spans="1:12" x14ac:dyDescent="0.55000000000000004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27">
        <f t="shared" si="1"/>
        <v>10.6333795654184</v>
      </c>
      <c r="L43" s="25">
        <v>4326</v>
      </c>
    </row>
    <row r="44" spans="1:12" x14ac:dyDescent="0.55000000000000004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27">
        <f t="shared" si="1"/>
        <v>93.092406221408964</v>
      </c>
      <c r="L44" s="25">
        <v>4372</v>
      </c>
    </row>
    <row r="45" spans="1:12" x14ac:dyDescent="0.55000000000000004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27">
        <f t="shared" si="1"/>
        <v>14.64741577735928</v>
      </c>
      <c r="L45" s="25">
        <v>4779</v>
      </c>
    </row>
    <row r="46" spans="1:12" x14ac:dyDescent="0.55000000000000004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27">
        <f t="shared" si="1"/>
        <v>17.116931326046608</v>
      </c>
      <c r="L46" s="25">
        <v>4849</v>
      </c>
    </row>
    <row r="47" spans="1:12" x14ac:dyDescent="0.55000000000000004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27">
        <f t="shared" si="1"/>
        <v>21.695052716950528</v>
      </c>
      <c r="L47" s="25">
        <v>4932</v>
      </c>
    </row>
    <row r="48" spans="1:12" x14ac:dyDescent="0.55000000000000004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27">
        <f t="shared" si="1"/>
        <v>22.425084342131374</v>
      </c>
      <c r="L48" s="25">
        <v>5039</v>
      </c>
    </row>
    <row r="49" spans="1:12" x14ac:dyDescent="0.55000000000000004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27">
        <f t="shared" si="1"/>
        <v>22.51552795031056</v>
      </c>
      <c r="L49" s="25">
        <v>5152</v>
      </c>
    </row>
    <row r="50" spans="1:12" x14ac:dyDescent="0.55000000000000004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27">
        <f t="shared" si="1"/>
        <v>22.399392558845861</v>
      </c>
      <c r="L50" s="25">
        <v>5268</v>
      </c>
    </row>
    <row r="51" spans="1:12" x14ac:dyDescent="0.55000000000000004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27">
        <f t="shared" si="1"/>
        <v>22.651318232454511</v>
      </c>
      <c r="L51" s="25">
        <v>5386</v>
      </c>
    </row>
    <row r="52" spans="1:12" x14ac:dyDescent="0.55000000000000004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27">
        <f t="shared" si="1"/>
        <v>20.515613652868556</v>
      </c>
      <c r="L52" s="25">
        <v>5508</v>
      </c>
    </row>
    <row r="53" spans="1:12" x14ac:dyDescent="0.55000000000000004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27">
        <f t="shared" si="1"/>
        <v>18.502045899306172</v>
      </c>
      <c r="L53" s="25">
        <v>5621</v>
      </c>
    </row>
    <row r="54" spans="1:12" x14ac:dyDescent="0.55000000000000004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27">
        <f t="shared" si="1"/>
        <v>26.375545851528383</v>
      </c>
      <c r="L54" s="25">
        <v>5725</v>
      </c>
    </row>
    <row r="55" spans="1:12" x14ac:dyDescent="0.55000000000000004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27">
        <f t="shared" si="1"/>
        <v>21.102791014295438</v>
      </c>
      <c r="L55" s="25">
        <v>5876</v>
      </c>
    </row>
    <row r="56" spans="1:12" x14ac:dyDescent="0.55000000000000004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27">
        <f t="shared" si="1"/>
        <v>21.166666666666668</v>
      </c>
      <c r="L56" s="25">
        <v>6000</v>
      </c>
    </row>
    <row r="57" spans="1:12" x14ac:dyDescent="0.55000000000000004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27">
        <f t="shared" si="1"/>
        <v>21.054349600130571</v>
      </c>
      <c r="L57" s="25">
        <v>6127</v>
      </c>
    </row>
    <row r="58" spans="1:12" x14ac:dyDescent="0.55000000000000004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27">
        <f t="shared" si="1"/>
        <v>21.099744245524295</v>
      </c>
      <c r="L58" s="25">
        <v>6256</v>
      </c>
    </row>
    <row r="59" spans="1:12" x14ac:dyDescent="0.55000000000000004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27">
        <f t="shared" si="1"/>
        <v>21.133375078271758</v>
      </c>
      <c r="L59" s="25">
        <v>6388</v>
      </c>
    </row>
    <row r="60" spans="1:12" x14ac:dyDescent="0.55000000000000004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27">
        <f t="shared" si="1"/>
        <v>21.155909857427563</v>
      </c>
      <c r="L60" s="25">
        <v>6523</v>
      </c>
    </row>
    <row r="61" spans="1:12" x14ac:dyDescent="0.55000000000000004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27">
        <f t="shared" si="1"/>
        <v>20.417354751538809</v>
      </c>
      <c r="L61" s="25">
        <v>6661</v>
      </c>
    </row>
    <row r="62" spans="1:12" x14ac:dyDescent="0.55000000000000004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27">
        <f t="shared" si="1"/>
        <v>20.008827423863469</v>
      </c>
      <c r="L62" s="25">
        <v>6797</v>
      </c>
    </row>
    <row r="63" spans="1:12" x14ac:dyDescent="0.55000000000000004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27">
        <f t="shared" si="1"/>
        <v>20.914467041684695</v>
      </c>
      <c r="L63" s="25">
        <v>6933</v>
      </c>
    </row>
    <row r="64" spans="1:12" x14ac:dyDescent="0.55000000000000004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27">
        <f t="shared" si="1"/>
        <v>20.627295846284262</v>
      </c>
      <c r="L64" s="25">
        <v>7078</v>
      </c>
    </row>
    <row r="65" spans="1:12" x14ac:dyDescent="0.55000000000000004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27">
        <f t="shared" si="1"/>
        <v>20.487264673311184</v>
      </c>
      <c r="L65" s="25">
        <v>7224</v>
      </c>
    </row>
    <row r="66" spans="1:12" x14ac:dyDescent="0.55000000000000004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27">
        <f t="shared" si="1"/>
        <v>20.482908301682041</v>
      </c>
      <c r="L66" s="25">
        <v>7372</v>
      </c>
    </row>
    <row r="67" spans="1:12" x14ac:dyDescent="0.55000000000000004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27">
        <f t="shared" ref="K67:K73" si="5">1000*(L68-L67)/L67</f>
        <v>20.204705569586601</v>
      </c>
      <c r="L67" s="25">
        <v>7523</v>
      </c>
    </row>
    <row r="68" spans="1:12" x14ac:dyDescent="0.55000000000000004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27">
        <f t="shared" si="5"/>
        <v>20.195439739413679</v>
      </c>
      <c r="L68" s="25">
        <v>7675</v>
      </c>
    </row>
    <row r="69" spans="1:12" x14ac:dyDescent="0.55000000000000004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27">
        <f t="shared" si="5"/>
        <v>20.051085568326947</v>
      </c>
      <c r="L69" s="25">
        <v>7830</v>
      </c>
    </row>
    <row r="70" spans="1:12" x14ac:dyDescent="0.55000000000000004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27">
        <f t="shared" si="5"/>
        <v>19.782145987229246</v>
      </c>
      <c r="L70" s="25">
        <v>7987</v>
      </c>
    </row>
    <row r="71" spans="1:12" x14ac:dyDescent="0.55000000000000004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27">
        <f t="shared" si="5"/>
        <v>19.88950276243094</v>
      </c>
      <c r="L71" s="25">
        <v>8145</v>
      </c>
    </row>
    <row r="72" spans="1:12" x14ac:dyDescent="0.55000000000000004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27">
        <f t="shared" si="5"/>
        <v>19.622005537498495</v>
      </c>
      <c r="L72" s="25">
        <v>8307</v>
      </c>
    </row>
    <row r="73" spans="1:12" x14ac:dyDescent="0.55000000000000004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27">
        <f t="shared" si="5"/>
        <v>19.598583234946872</v>
      </c>
      <c r="L73" s="25">
        <v>8470</v>
      </c>
    </row>
    <row r="74" spans="1:12" x14ac:dyDescent="0.55000000000000004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27"/>
      <c r="L74" s="25">
        <v>8636</v>
      </c>
    </row>
    <row r="75" spans="1:12" x14ac:dyDescent="0.55000000000000004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 x14ac:dyDescent="0.55000000000000004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 x14ac:dyDescent="0.55000000000000004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 x14ac:dyDescent="0.55000000000000004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 x14ac:dyDescent="0.55000000000000004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 x14ac:dyDescent="0.55000000000000004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 x14ac:dyDescent="0.55000000000000004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 x14ac:dyDescent="0.55000000000000004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 x14ac:dyDescent="0.55000000000000004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 x14ac:dyDescent="0.55000000000000004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 x14ac:dyDescent="0.55000000000000004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 x14ac:dyDescent="0.55000000000000004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 x14ac:dyDescent="0.55000000000000004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 x14ac:dyDescent="0.55000000000000004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 x14ac:dyDescent="0.55000000000000004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 x14ac:dyDescent="0.55000000000000004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 x14ac:dyDescent="0.55000000000000004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 x14ac:dyDescent="0.55000000000000004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 x14ac:dyDescent="0.55000000000000004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 x14ac:dyDescent="0.55000000000000004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 x14ac:dyDescent="0.55000000000000004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 x14ac:dyDescent="0.55000000000000004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 x14ac:dyDescent="0.55000000000000004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 x14ac:dyDescent="0.55000000000000004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 x14ac:dyDescent="0.55000000000000004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 x14ac:dyDescent="0.55000000000000004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 x14ac:dyDescent="0.55000000000000004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 x14ac:dyDescent="0.55000000000000004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 x14ac:dyDescent="0.55000000000000004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 x14ac:dyDescent="0.55000000000000004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 x14ac:dyDescent="0.55000000000000004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 x14ac:dyDescent="0.55000000000000004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 x14ac:dyDescent="0.55000000000000004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 x14ac:dyDescent="0.55000000000000004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 x14ac:dyDescent="0.55000000000000004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 x14ac:dyDescent="0.55000000000000004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 x14ac:dyDescent="0.55000000000000004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 x14ac:dyDescent="0.55000000000000004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 x14ac:dyDescent="0.55000000000000004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 x14ac:dyDescent="0.55000000000000004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 x14ac:dyDescent="0.55000000000000004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 x14ac:dyDescent="0.55000000000000004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 x14ac:dyDescent="0.55000000000000004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 x14ac:dyDescent="0.55000000000000004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 x14ac:dyDescent="0.55000000000000004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 x14ac:dyDescent="0.55000000000000004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 x14ac:dyDescent="0.55000000000000004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 x14ac:dyDescent="0.55000000000000004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 x14ac:dyDescent="0.55000000000000004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 x14ac:dyDescent="0.55000000000000004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 x14ac:dyDescent="0.55000000000000004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M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34" sqref="M3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  <col min="12" max="12" width="4.578125" customWidth="1"/>
  </cols>
  <sheetData>
    <row r="1" spans="1:13" x14ac:dyDescent="0.55000000000000004">
      <c r="B1" s="30" t="s">
        <v>115</v>
      </c>
      <c r="C1" s="30"/>
      <c r="D1" s="30" t="s">
        <v>75</v>
      </c>
      <c r="E1" s="30"/>
    </row>
    <row r="2" spans="1:13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/>
      <c r="M2" s="13" t="s">
        <v>228</v>
      </c>
    </row>
    <row r="3" spans="1:13" x14ac:dyDescent="0.55000000000000004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  <c r="L3" s="3"/>
    </row>
    <row r="4" spans="1:13" x14ac:dyDescent="0.55000000000000004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  <c r="L4" s="3"/>
    </row>
    <row r="5" spans="1:13" x14ac:dyDescent="0.55000000000000004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  <c r="L5" s="3"/>
    </row>
    <row r="6" spans="1:13" x14ac:dyDescent="0.55000000000000004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  <c r="L6" s="3"/>
    </row>
    <row r="7" spans="1:13" x14ac:dyDescent="0.55000000000000004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  <c r="L7" s="3"/>
    </row>
    <row r="8" spans="1:13" x14ac:dyDescent="0.55000000000000004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  <c r="L8" s="3"/>
    </row>
    <row r="9" spans="1:13" x14ac:dyDescent="0.55000000000000004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  <c r="L9" s="3"/>
    </row>
    <row r="10" spans="1:13" x14ac:dyDescent="0.55000000000000004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  <c r="L10" s="3"/>
    </row>
    <row r="11" spans="1:13" x14ac:dyDescent="0.55000000000000004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  <c r="L11" s="3"/>
    </row>
    <row r="12" spans="1:13" x14ac:dyDescent="0.55000000000000004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  <c r="L12" s="3"/>
    </row>
    <row r="13" spans="1:13" x14ac:dyDescent="0.55000000000000004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  <c r="L13" s="3"/>
    </row>
    <row r="14" spans="1:13" x14ac:dyDescent="0.55000000000000004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  <c r="L14" s="3"/>
    </row>
    <row r="15" spans="1:13" x14ac:dyDescent="0.55000000000000004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  <c r="L15" s="3"/>
    </row>
    <row r="16" spans="1:13" x14ac:dyDescent="0.55000000000000004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  <c r="L16" s="3"/>
    </row>
    <row r="17" spans="1:12" x14ac:dyDescent="0.55000000000000004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  <c r="L17" s="3"/>
    </row>
    <row r="18" spans="1:12" x14ac:dyDescent="0.55000000000000004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  <c r="L18" s="3"/>
    </row>
    <row r="19" spans="1:12" x14ac:dyDescent="0.55000000000000004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  <c r="L19" s="3"/>
    </row>
    <row r="20" spans="1:12" x14ac:dyDescent="0.55000000000000004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  <c r="L20" s="3"/>
    </row>
    <row r="21" spans="1:12" x14ac:dyDescent="0.55000000000000004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  <c r="L21" s="3"/>
    </row>
    <row r="22" spans="1:12" x14ac:dyDescent="0.55000000000000004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  <c r="L22" s="3"/>
    </row>
    <row r="23" spans="1:12" x14ac:dyDescent="0.55000000000000004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  <c r="L23" s="3"/>
    </row>
    <row r="24" spans="1:12" x14ac:dyDescent="0.55000000000000004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  <c r="L24" s="3"/>
    </row>
    <row r="25" spans="1:12" x14ac:dyDescent="0.55000000000000004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  <c r="L25" s="3"/>
    </row>
    <row r="26" spans="1:12" x14ac:dyDescent="0.55000000000000004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  <c r="L26" s="3"/>
    </row>
    <row r="27" spans="1:12" x14ac:dyDescent="0.55000000000000004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  <c r="L27" s="3"/>
    </row>
    <row r="28" spans="1:12" x14ac:dyDescent="0.55000000000000004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  <c r="L28" s="3"/>
    </row>
    <row r="29" spans="1:12" x14ac:dyDescent="0.55000000000000004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  <c r="L29" s="3"/>
    </row>
    <row r="30" spans="1:12" x14ac:dyDescent="0.55000000000000004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  <c r="L30" s="3"/>
    </row>
    <row r="31" spans="1:12" x14ac:dyDescent="0.55000000000000004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  <c r="L31" s="3"/>
    </row>
    <row r="32" spans="1:12" x14ac:dyDescent="0.55000000000000004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  <c r="L32" s="3"/>
    </row>
    <row r="33" spans="1:12" x14ac:dyDescent="0.55000000000000004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  <c r="L33" s="3"/>
    </row>
    <row r="34" spans="1:12" x14ac:dyDescent="0.55000000000000004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  <c r="L34" s="3"/>
    </row>
    <row r="35" spans="1:12" x14ac:dyDescent="0.55000000000000004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  <c r="L35" s="3"/>
    </row>
    <row r="36" spans="1:12" x14ac:dyDescent="0.55000000000000004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  <c r="L36" s="3"/>
    </row>
    <row r="37" spans="1:12" x14ac:dyDescent="0.55000000000000004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  <c r="L37" s="3"/>
    </row>
    <row r="38" spans="1:12" x14ac:dyDescent="0.55000000000000004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  <c r="L38" s="3"/>
    </row>
    <row r="39" spans="1:12" x14ac:dyDescent="0.55000000000000004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  <c r="L39" s="3"/>
    </row>
    <row r="40" spans="1:12" x14ac:dyDescent="0.55000000000000004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  <c r="L40" s="3"/>
    </row>
    <row r="41" spans="1:12" x14ac:dyDescent="0.55000000000000004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  <c r="L41" s="3"/>
    </row>
    <row r="42" spans="1:12" x14ac:dyDescent="0.55000000000000004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  <c r="L42" s="3"/>
    </row>
    <row r="43" spans="1:12" x14ac:dyDescent="0.55000000000000004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  <c r="L43" s="3"/>
    </row>
    <row r="44" spans="1:12" x14ac:dyDescent="0.55000000000000004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  <c r="L44" s="3"/>
    </row>
    <row r="45" spans="1:12" x14ac:dyDescent="0.55000000000000004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  <c r="L45" s="3"/>
    </row>
    <row r="46" spans="1:12" x14ac:dyDescent="0.55000000000000004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  <c r="L46" s="3"/>
    </row>
    <row r="47" spans="1:12" x14ac:dyDescent="0.55000000000000004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  <c r="L47" s="3"/>
    </row>
    <row r="48" spans="1:12" x14ac:dyDescent="0.55000000000000004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  <c r="L48" s="3"/>
    </row>
    <row r="49" spans="1:12" x14ac:dyDescent="0.55000000000000004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  <c r="L49" s="3"/>
    </row>
    <row r="50" spans="1:12" x14ac:dyDescent="0.55000000000000004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  <c r="L50" s="3"/>
    </row>
    <row r="51" spans="1:12" x14ac:dyDescent="0.55000000000000004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0</v>
      </c>
      <c r="H51" s="1">
        <f t="shared" si="0"/>
        <v>1950</v>
      </c>
      <c r="I51" s="3">
        <f t="shared" si="1"/>
        <v>29.7316</v>
      </c>
      <c r="J51" s="3">
        <f t="shared" si="2"/>
        <v>7.7506000000000004</v>
      </c>
      <c r="K51" s="3">
        <f t="shared" si="3"/>
        <v>21.981000000000002</v>
      </c>
      <c r="L51" s="3"/>
    </row>
    <row r="52" spans="1:12" x14ac:dyDescent="0.55000000000000004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0</v>
      </c>
      <c r="H52" s="1">
        <f t="shared" si="0"/>
        <v>1951</v>
      </c>
      <c r="I52" s="3">
        <f t="shared" si="1"/>
        <v>29.682300000000001</v>
      </c>
      <c r="J52" s="3">
        <f t="shared" si="2"/>
        <v>7.5273000000000003</v>
      </c>
      <c r="K52" s="3">
        <f t="shared" si="3"/>
        <v>22.155000000000001</v>
      </c>
      <c r="L52" s="3"/>
    </row>
    <row r="53" spans="1:12" x14ac:dyDescent="0.55000000000000004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0</v>
      </c>
      <c r="H53" s="1">
        <f t="shared" si="0"/>
        <v>1952</v>
      </c>
      <c r="I53" s="3">
        <f t="shared" si="1"/>
        <v>29.6</v>
      </c>
      <c r="J53" s="3">
        <f t="shared" si="2"/>
        <v>7.4</v>
      </c>
      <c r="K53" s="3">
        <f t="shared" si="3"/>
        <v>22.200000000000003</v>
      </c>
      <c r="L53" s="3"/>
    </row>
    <row r="54" spans="1:12" x14ac:dyDescent="0.55000000000000004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0</v>
      </c>
      <c r="H54" s="1">
        <f t="shared" si="0"/>
        <v>1953</v>
      </c>
      <c r="I54" s="3">
        <f t="shared" si="1"/>
        <v>29.292899999999999</v>
      </c>
      <c r="J54" s="3">
        <f t="shared" si="2"/>
        <v>7.3348000000000004</v>
      </c>
      <c r="K54" s="3">
        <f t="shared" si="3"/>
        <v>21.958099999999998</v>
      </c>
      <c r="L54" s="3"/>
    </row>
    <row r="55" spans="1:12" x14ac:dyDescent="0.55000000000000004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0</v>
      </c>
      <c r="H55" s="1">
        <f t="shared" si="0"/>
        <v>1954</v>
      </c>
      <c r="I55" s="3">
        <f t="shared" si="1"/>
        <v>28.713999999999999</v>
      </c>
      <c r="J55" s="3">
        <f t="shared" si="2"/>
        <v>7.2797000000000001</v>
      </c>
      <c r="K55" s="3">
        <f t="shared" si="3"/>
        <v>21.4343</v>
      </c>
      <c r="L55" s="3"/>
    </row>
    <row r="56" spans="1:12" x14ac:dyDescent="0.55000000000000004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0</v>
      </c>
      <c r="H56" s="1">
        <f t="shared" si="0"/>
        <v>1955</v>
      </c>
      <c r="I56" s="3">
        <f t="shared" si="1"/>
        <v>28.058599999999998</v>
      </c>
      <c r="J56" s="3">
        <f t="shared" si="2"/>
        <v>7.2370999999999999</v>
      </c>
      <c r="K56" s="3">
        <f t="shared" si="3"/>
        <v>20.8215</v>
      </c>
      <c r="L56" s="3"/>
    </row>
    <row r="57" spans="1:12" x14ac:dyDescent="0.55000000000000004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0</v>
      </c>
      <c r="H57" s="1">
        <f t="shared" si="0"/>
        <v>1956</v>
      </c>
      <c r="I57" s="3">
        <f t="shared" si="1"/>
        <v>27.522200000000002</v>
      </c>
      <c r="J57" s="3">
        <f t="shared" si="2"/>
        <v>7.2096999999999998</v>
      </c>
      <c r="K57" s="3">
        <f t="shared" si="3"/>
        <v>20.3125</v>
      </c>
      <c r="L57" s="3"/>
    </row>
    <row r="58" spans="1:12" x14ac:dyDescent="0.55000000000000004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0</v>
      </c>
      <c r="H58" s="1">
        <f t="shared" si="0"/>
        <v>1957</v>
      </c>
      <c r="I58" s="3">
        <f t="shared" si="1"/>
        <v>27.3</v>
      </c>
      <c r="J58" s="3">
        <f t="shared" si="2"/>
        <v>7.2</v>
      </c>
      <c r="K58" s="3">
        <f t="shared" si="3"/>
        <v>20.100000000000001</v>
      </c>
      <c r="L58" s="3"/>
    </row>
    <row r="59" spans="1:12" x14ac:dyDescent="0.55000000000000004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0</v>
      </c>
      <c r="H59" s="1">
        <f t="shared" si="0"/>
        <v>1958</v>
      </c>
      <c r="I59" s="3">
        <f t="shared" si="1"/>
        <v>28.007200000000001</v>
      </c>
      <c r="J59" s="3">
        <f t="shared" si="2"/>
        <v>7.2103999999999999</v>
      </c>
      <c r="K59" s="3">
        <f t="shared" si="3"/>
        <v>20.796800000000001</v>
      </c>
      <c r="L59" s="3"/>
    </row>
    <row r="60" spans="1:12" x14ac:dyDescent="0.55000000000000004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0</v>
      </c>
      <c r="H60" s="1">
        <f t="shared" si="0"/>
        <v>1959</v>
      </c>
      <c r="I60" s="3">
        <f t="shared" si="1"/>
        <v>29.6936</v>
      </c>
      <c r="J60" s="3">
        <f t="shared" si="2"/>
        <v>7.2351999999999999</v>
      </c>
      <c r="K60" s="3">
        <f t="shared" si="3"/>
        <v>22.458400000000001</v>
      </c>
      <c r="L60" s="3"/>
    </row>
    <row r="61" spans="1:12" x14ac:dyDescent="0.55000000000000004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0</v>
      </c>
      <c r="H61" s="1">
        <f t="shared" si="0"/>
        <v>1960</v>
      </c>
      <c r="I61" s="3">
        <f t="shared" si="1"/>
        <v>31.706399999999999</v>
      </c>
      <c r="J61" s="3">
        <f t="shared" si="2"/>
        <v>7.2648000000000001</v>
      </c>
      <c r="K61" s="3">
        <f t="shared" si="3"/>
        <v>24.441599999999998</v>
      </c>
      <c r="L61" s="3"/>
    </row>
    <row r="62" spans="1:12" x14ac:dyDescent="0.55000000000000004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0</v>
      </c>
      <c r="H62" s="1">
        <f t="shared" si="0"/>
        <v>1961</v>
      </c>
      <c r="I62" s="3">
        <f t="shared" si="1"/>
        <v>33.392800000000001</v>
      </c>
      <c r="J62" s="3">
        <f t="shared" si="2"/>
        <v>7.2896000000000001</v>
      </c>
      <c r="K62" s="3">
        <f t="shared" si="3"/>
        <v>26.103200000000001</v>
      </c>
      <c r="L62" s="3"/>
    </row>
    <row r="63" spans="1:12" x14ac:dyDescent="0.55000000000000004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0</v>
      </c>
      <c r="H63" s="1">
        <f t="shared" si="0"/>
        <v>1962</v>
      </c>
      <c r="I63" s="3">
        <f t="shared" si="1"/>
        <v>34.1</v>
      </c>
      <c r="J63" s="3">
        <f t="shared" si="2"/>
        <v>7.3</v>
      </c>
      <c r="K63" s="3">
        <f t="shared" si="3"/>
        <v>26.8</v>
      </c>
      <c r="L63" s="3"/>
    </row>
    <row r="64" spans="1:12" x14ac:dyDescent="0.55000000000000004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0</v>
      </c>
      <c r="H64" s="1">
        <f t="shared" si="0"/>
        <v>1963</v>
      </c>
      <c r="I64" s="3">
        <f t="shared" si="1"/>
        <v>34.010399999999997</v>
      </c>
      <c r="J64" s="3">
        <f t="shared" si="2"/>
        <v>7.2888000000000002</v>
      </c>
      <c r="K64" s="3">
        <f t="shared" si="3"/>
        <v>26.721599999999995</v>
      </c>
      <c r="L64" s="3"/>
    </row>
    <row r="65" spans="1:13" x14ac:dyDescent="0.55000000000000004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0</v>
      </c>
      <c r="H65" s="1">
        <f t="shared" si="0"/>
        <v>1964</v>
      </c>
      <c r="I65" s="3">
        <f t="shared" si="1"/>
        <v>33.767200000000003</v>
      </c>
      <c r="J65" s="3">
        <f t="shared" si="2"/>
        <v>7.2584</v>
      </c>
      <c r="K65" s="3">
        <f t="shared" si="3"/>
        <v>26.508800000000001</v>
      </c>
      <c r="L65" s="3"/>
    </row>
    <row r="66" spans="1:13" x14ac:dyDescent="0.55000000000000004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0</v>
      </c>
      <c r="H66" s="1">
        <f t="shared" si="0"/>
        <v>1965</v>
      </c>
      <c r="I66" s="3">
        <f t="shared" si="1"/>
        <v>33.408799999999999</v>
      </c>
      <c r="J66" s="3">
        <f t="shared" si="2"/>
        <v>7.2135999999999996</v>
      </c>
      <c r="K66" s="3">
        <f t="shared" si="3"/>
        <v>26.1952</v>
      </c>
      <c r="L66" s="3"/>
    </row>
    <row r="67" spans="1:13" x14ac:dyDescent="0.55000000000000004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0</v>
      </c>
      <c r="H67" s="1">
        <f t="shared" si="0"/>
        <v>1966</v>
      </c>
      <c r="I67" s="3">
        <f t="shared" si="1"/>
        <v>32.973599999999998</v>
      </c>
      <c r="J67" s="3">
        <f t="shared" si="2"/>
        <v>7.1592000000000002</v>
      </c>
      <c r="K67" s="3">
        <f t="shared" si="3"/>
        <v>25.814399999999999</v>
      </c>
      <c r="L67" s="3"/>
    </row>
    <row r="68" spans="1:13" x14ac:dyDescent="0.55000000000000004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0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7.1</v>
      </c>
      <c r="K68" s="3">
        <f t="shared" ref="K68:K124" si="7">I68-J68</f>
        <v>25.4</v>
      </c>
      <c r="L68" s="3"/>
    </row>
    <row r="69" spans="1:13" x14ac:dyDescent="0.55000000000000004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>M69</f>
        <v>7.0659999999999998</v>
      </c>
      <c r="K69" s="3">
        <f t="shared" si="7"/>
        <v>24.534000000000002</v>
      </c>
      <c r="L69" s="3"/>
      <c r="M69">
        <v>7.0659999999999998</v>
      </c>
    </row>
    <row r="70" spans="1:13" x14ac:dyDescent="0.55000000000000004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>M70</f>
        <v>7.0330000000000004</v>
      </c>
      <c r="K70" s="3">
        <f t="shared" si="7"/>
        <v>23.966999999999999</v>
      </c>
      <c r="L70" s="3"/>
      <c r="M70">
        <v>7.0330000000000004</v>
      </c>
    </row>
    <row r="71" spans="1:13" x14ac:dyDescent="0.55000000000000004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  <c r="L71" s="3"/>
    </row>
    <row r="72" spans="1:13" x14ac:dyDescent="0.55000000000000004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  <c r="L72" s="3"/>
    </row>
    <row r="73" spans="1:13" x14ac:dyDescent="0.55000000000000004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  <c r="L73" s="3"/>
    </row>
    <row r="74" spans="1:13" x14ac:dyDescent="0.55000000000000004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  <c r="L74" s="3"/>
    </row>
    <row r="75" spans="1:13" x14ac:dyDescent="0.55000000000000004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  <c r="L75" s="3"/>
    </row>
    <row r="76" spans="1:13" x14ac:dyDescent="0.55000000000000004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  <c r="L76" s="3"/>
    </row>
    <row r="77" spans="1:13" x14ac:dyDescent="0.55000000000000004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  <c r="L77" s="3"/>
    </row>
    <row r="78" spans="1:13" x14ac:dyDescent="0.55000000000000004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  <c r="L78" s="3"/>
    </row>
    <row r="79" spans="1:13" x14ac:dyDescent="0.55000000000000004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  <c r="L79" s="3"/>
    </row>
    <row r="80" spans="1:13" x14ac:dyDescent="0.55000000000000004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  <c r="L80" s="3"/>
    </row>
    <row r="81" spans="1:12" x14ac:dyDescent="0.55000000000000004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  <c r="L81" s="3"/>
    </row>
    <row r="82" spans="1:12" x14ac:dyDescent="0.55000000000000004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  <c r="L82" s="3"/>
    </row>
    <row r="83" spans="1:12" x14ac:dyDescent="0.55000000000000004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  <c r="L83" s="3"/>
    </row>
    <row r="84" spans="1:12" x14ac:dyDescent="0.55000000000000004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  <c r="L84" s="3"/>
    </row>
    <row r="85" spans="1:12" x14ac:dyDescent="0.55000000000000004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  <c r="L85" s="3"/>
    </row>
    <row r="86" spans="1:12" x14ac:dyDescent="0.55000000000000004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  <c r="L86" s="3"/>
    </row>
    <row r="87" spans="1:12" x14ac:dyDescent="0.55000000000000004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  <c r="L87" s="3"/>
    </row>
    <row r="88" spans="1:12" x14ac:dyDescent="0.55000000000000004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  <c r="L88" s="3"/>
    </row>
    <row r="89" spans="1:12" x14ac:dyDescent="0.55000000000000004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  <c r="L89" s="3"/>
    </row>
    <row r="90" spans="1:12" x14ac:dyDescent="0.55000000000000004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  <c r="L90" s="3"/>
    </row>
    <row r="91" spans="1:12" x14ac:dyDescent="0.55000000000000004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  <c r="L91" s="3"/>
    </row>
    <row r="92" spans="1:12" x14ac:dyDescent="0.55000000000000004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  <c r="L92" s="3"/>
    </row>
    <row r="93" spans="1:12" x14ac:dyDescent="0.55000000000000004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  <c r="L93" s="3"/>
    </row>
    <row r="94" spans="1:12" x14ac:dyDescent="0.55000000000000004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  <c r="L94" s="3"/>
    </row>
    <row r="95" spans="1:12" x14ac:dyDescent="0.55000000000000004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  <c r="L95" s="3"/>
    </row>
    <row r="96" spans="1:12" x14ac:dyDescent="0.55000000000000004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  <c r="L96" s="3"/>
    </row>
    <row r="97" spans="1:12" x14ac:dyDescent="0.55000000000000004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  <c r="L97" s="3"/>
    </row>
    <row r="98" spans="1:12" x14ac:dyDescent="0.55000000000000004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  <c r="L98" s="3"/>
    </row>
    <row r="99" spans="1:12" x14ac:dyDescent="0.55000000000000004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  <c r="L99" s="3"/>
    </row>
    <row r="100" spans="1:12" x14ac:dyDescent="0.55000000000000004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  <c r="L100" s="3"/>
    </row>
    <row r="101" spans="1:12" x14ac:dyDescent="0.55000000000000004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  <c r="L101" s="3"/>
    </row>
    <row r="102" spans="1:12" x14ac:dyDescent="0.55000000000000004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  <c r="L102" s="3"/>
    </row>
    <row r="103" spans="1:12" x14ac:dyDescent="0.55000000000000004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  <c r="L103" s="3"/>
    </row>
    <row r="104" spans="1:12" x14ac:dyDescent="0.55000000000000004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  <c r="L104" s="3"/>
    </row>
    <row r="105" spans="1:12" x14ac:dyDescent="0.55000000000000004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  <c r="L105" s="3"/>
    </row>
    <row r="106" spans="1:12" x14ac:dyDescent="0.55000000000000004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  <c r="L106" s="3"/>
    </row>
    <row r="107" spans="1:12" x14ac:dyDescent="0.55000000000000004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  <c r="L107" s="3"/>
    </row>
    <row r="108" spans="1:12" x14ac:dyDescent="0.55000000000000004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  <c r="L108" s="3"/>
    </row>
    <row r="109" spans="1:12" x14ac:dyDescent="0.55000000000000004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  <c r="L109" s="3"/>
    </row>
    <row r="110" spans="1:12" x14ac:dyDescent="0.55000000000000004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  <c r="L110" s="3"/>
    </row>
    <row r="111" spans="1:12" x14ac:dyDescent="0.55000000000000004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  <c r="L111" s="3"/>
    </row>
    <row r="112" spans="1:12" x14ac:dyDescent="0.55000000000000004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  <c r="L112" s="3"/>
    </row>
    <row r="113" spans="1:12" x14ac:dyDescent="0.55000000000000004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  <c r="L113" s="3"/>
    </row>
    <row r="114" spans="1:12" x14ac:dyDescent="0.55000000000000004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  <c r="L114" s="3"/>
    </row>
    <row r="115" spans="1:12" x14ac:dyDescent="0.55000000000000004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  <c r="L115" s="3"/>
    </row>
    <row r="116" spans="1:12" x14ac:dyDescent="0.55000000000000004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  <c r="L116" s="3"/>
    </row>
    <row r="117" spans="1:12" x14ac:dyDescent="0.55000000000000004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  <c r="L117" s="3"/>
    </row>
    <row r="118" spans="1:12" x14ac:dyDescent="0.55000000000000004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  <c r="L118" s="3"/>
    </row>
    <row r="119" spans="1:12" x14ac:dyDescent="0.55000000000000004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  <c r="L119" s="3"/>
    </row>
    <row r="120" spans="1:12" x14ac:dyDescent="0.55000000000000004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  <c r="L120" s="3"/>
    </row>
    <row r="121" spans="1:12" x14ac:dyDescent="0.55000000000000004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  <c r="L121" s="3"/>
    </row>
    <row r="122" spans="1:12" x14ac:dyDescent="0.55000000000000004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  <c r="L122" s="3"/>
    </row>
    <row r="123" spans="1:12" x14ac:dyDescent="0.55000000000000004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  <c r="L123" s="3"/>
    </row>
    <row r="124" spans="1:12" x14ac:dyDescent="0.55000000000000004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  <c r="L124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75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55000000000000004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55000000000000004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55000000000000004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55000000000000004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55000000000000004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55000000000000004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55000000000000004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55000000000000004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55000000000000004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55000000000000004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55000000000000004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55000000000000004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55000000000000004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55000000000000004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55000000000000004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55000000000000004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55000000000000004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55000000000000004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55000000000000004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55000000000000004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55000000000000004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55000000000000004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55000000000000004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55000000000000004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55000000000000004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55000000000000004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55000000000000004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55000000000000004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55000000000000004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55000000000000004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55000000000000004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55000000000000004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55000000000000004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55000000000000004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55000000000000004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55000000000000004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55000000000000004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55000000000000004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55000000000000004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55000000000000004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55000000000000004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55000000000000004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55000000000000004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55000000000000004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55000000000000004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75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M24" sqref="AM2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160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" sqref="F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160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G3" sqref="G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30" t="s">
        <v>100</v>
      </c>
      <c r="C1" s="30"/>
      <c r="D1" s="30" t="s">
        <v>75</v>
      </c>
      <c r="E1" s="30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55000000000000004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55000000000000004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55000000000000004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55000000000000004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55000000000000004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55000000000000004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55000000000000004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55000000000000004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55000000000000004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55000000000000004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55000000000000004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55000000000000004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55000000000000004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55000000000000004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55000000000000004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55000000000000004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55000000000000004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55000000000000004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55000000000000004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55000000000000004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topLeftCell="A37" workbookViewId="0">
      <selection activeCell="A58" sqref="A58:E13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30" t="s">
        <v>100</v>
      </c>
      <c r="C1" s="30"/>
      <c r="D1" s="30" t="s">
        <v>75</v>
      </c>
      <c r="E1" s="30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55000000000000004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55000000000000004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55000000000000004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55000000000000004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55000000000000004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55000000000000004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55000000000000004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55000000000000004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55000000000000004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55000000000000004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55000000000000004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55000000000000004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55000000000000004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55000000000000004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55000000000000004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55000000000000004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55000000000000004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55000000000000004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55000000000000004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55000000000000004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55000000000000004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55000000000000004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55000000000000004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55000000000000004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55000000000000004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55000000000000004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55000000000000004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55000000000000004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55000000000000004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55000000000000004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55000000000000004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55000000000000004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55000000000000004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55000000000000004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55000000000000004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55000000000000004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55000000000000004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55000000000000004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55000000000000004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55000000000000004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55000000000000004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55000000000000004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55000000000000004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55000000000000004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55000000000000004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55000000000000004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55000000000000004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55000000000000004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55000000000000004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55000000000000004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55000000000000004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55000000000000004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55000000000000004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55000000000000004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55000000000000004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55000000000000004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55000000000000004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55000000000000004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55000000000000004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55000000000000004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55000000000000004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55000000000000004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55000000000000004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55000000000000004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55000000000000004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55000000000000004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55000000000000004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55000000000000004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55000000000000004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55000000000000004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55000000000000004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55000000000000004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55000000000000004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55000000000000004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55000000000000004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55000000000000004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55000000000000004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55000000000000004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55000000000000004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55000000000000004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55000000000000004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55000000000000004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55000000000000004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55000000000000004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31"/>
  <sheetViews>
    <sheetView zoomScaleNormal="100" workbookViewId="0">
      <selection activeCell="AK28" sqref="AK28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30" t="s">
        <v>100</v>
      </c>
      <c r="C1" s="30"/>
      <c r="D1" s="30" t="s">
        <v>160</v>
      </c>
      <c r="E1" s="30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 x14ac:dyDescent="0.55000000000000004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 x14ac:dyDescent="0.55000000000000004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 x14ac:dyDescent="0.55000000000000004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 x14ac:dyDescent="0.55000000000000004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 x14ac:dyDescent="0.55000000000000004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 x14ac:dyDescent="0.55000000000000004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 x14ac:dyDescent="0.55000000000000004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 x14ac:dyDescent="0.55000000000000004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 x14ac:dyDescent="0.55000000000000004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 x14ac:dyDescent="0.55000000000000004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 x14ac:dyDescent="0.55000000000000004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 x14ac:dyDescent="0.55000000000000004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 x14ac:dyDescent="0.55000000000000004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 x14ac:dyDescent="0.55000000000000004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 x14ac:dyDescent="0.55000000000000004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 x14ac:dyDescent="0.55000000000000004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 x14ac:dyDescent="0.55000000000000004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 x14ac:dyDescent="0.55000000000000004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 x14ac:dyDescent="0.55000000000000004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 x14ac:dyDescent="0.55000000000000004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 x14ac:dyDescent="0.55000000000000004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 x14ac:dyDescent="0.55000000000000004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 x14ac:dyDescent="0.55000000000000004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 x14ac:dyDescent="0.55000000000000004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 x14ac:dyDescent="0.55000000000000004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 x14ac:dyDescent="0.55000000000000004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 x14ac:dyDescent="0.55000000000000004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 x14ac:dyDescent="0.55000000000000004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 x14ac:dyDescent="0.55000000000000004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 x14ac:dyDescent="0.55000000000000004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 x14ac:dyDescent="0.55000000000000004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 x14ac:dyDescent="0.55000000000000004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 x14ac:dyDescent="0.55000000000000004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 x14ac:dyDescent="0.55000000000000004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 x14ac:dyDescent="0.55000000000000004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 x14ac:dyDescent="0.55000000000000004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 x14ac:dyDescent="0.55000000000000004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 x14ac:dyDescent="0.55000000000000004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 x14ac:dyDescent="0.55000000000000004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 x14ac:dyDescent="0.55000000000000004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 x14ac:dyDescent="0.55000000000000004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 x14ac:dyDescent="0.55000000000000004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 x14ac:dyDescent="0.55000000000000004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 x14ac:dyDescent="0.55000000000000004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 x14ac:dyDescent="0.55000000000000004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 x14ac:dyDescent="0.55000000000000004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 x14ac:dyDescent="0.55000000000000004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 x14ac:dyDescent="0.55000000000000004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 x14ac:dyDescent="0.55000000000000004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 x14ac:dyDescent="0.55000000000000004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 x14ac:dyDescent="0.55000000000000004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 x14ac:dyDescent="0.55000000000000004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 x14ac:dyDescent="0.55000000000000004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 x14ac:dyDescent="0.55000000000000004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 x14ac:dyDescent="0.55000000000000004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 x14ac:dyDescent="0.55000000000000004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 x14ac:dyDescent="0.55000000000000004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 x14ac:dyDescent="0.55000000000000004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 x14ac:dyDescent="0.55000000000000004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 x14ac:dyDescent="0.55000000000000004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 x14ac:dyDescent="0.55000000000000004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 x14ac:dyDescent="0.55000000000000004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 x14ac:dyDescent="0.55000000000000004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 x14ac:dyDescent="0.55000000000000004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 x14ac:dyDescent="0.55000000000000004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 x14ac:dyDescent="0.55000000000000004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 x14ac:dyDescent="0.55000000000000004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 x14ac:dyDescent="0.55000000000000004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 x14ac:dyDescent="0.55000000000000004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 x14ac:dyDescent="0.55000000000000004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 x14ac:dyDescent="0.55000000000000004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 x14ac:dyDescent="0.55000000000000004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 x14ac:dyDescent="0.55000000000000004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 x14ac:dyDescent="0.55000000000000004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 x14ac:dyDescent="0.55000000000000004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 x14ac:dyDescent="0.55000000000000004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 x14ac:dyDescent="0.55000000000000004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 x14ac:dyDescent="0.55000000000000004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 x14ac:dyDescent="0.55000000000000004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 x14ac:dyDescent="0.55000000000000004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 x14ac:dyDescent="0.55000000000000004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 x14ac:dyDescent="0.55000000000000004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 x14ac:dyDescent="0.55000000000000004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 x14ac:dyDescent="0.55000000000000004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31"/>
  <sheetViews>
    <sheetView workbookViewId="0">
      <selection activeCell="AN23" sqref="AN2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30" t="s">
        <v>100</v>
      </c>
      <c r="C1" s="30"/>
      <c r="D1" s="30" t="s">
        <v>160</v>
      </c>
      <c r="E1" s="30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 x14ac:dyDescent="0.55000000000000004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 x14ac:dyDescent="0.55000000000000004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 x14ac:dyDescent="0.55000000000000004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 x14ac:dyDescent="0.55000000000000004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 x14ac:dyDescent="0.55000000000000004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 x14ac:dyDescent="0.55000000000000004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 x14ac:dyDescent="0.55000000000000004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 x14ac:dyDescent="0.55000000000000004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 x14ac:dyDescent="0.55000000000000004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 x14ac:dyDescent="0.55000000000000004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 x14ac:dyDescent="0.55000000000000004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 x14ac:dyDescent="0.55000000000000004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 x14ac:dyDescent="0.55000000000000004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 x14ac:dyDescent="0.55000000000000004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 x14ac:dyDescent="0.55000000000000004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 x14ac:dyDescent="0.55000000000000004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 x14ac:dyDescent="0.55000000000000004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 x14ac:dyDescent="0.55000000000000004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 x14ac:dyDescent="0.55000000000000004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 x14ac:dyDescent="0.55000000000000004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 x14ac:dyDescent="0.55000000000000004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 x14ac:dyDescent="0.55000000000000004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 x14ac:dyDescent="0.55000000000000004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 x14ac:dyDescent="0.55000000000000004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 x14ac:dyDescent="0.55000000000000004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 x14ac:dyDescent="0.55000000000000004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 x14ac:dyDescent="0.55000000000000004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 x14ac:dyDescent="0.55000000000000004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 x14ac:dyDescent="0.55000000000000004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 x14ac:dyDescent="0.55000000000000004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 x14ac:dyDescent="0.55000000000000004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 x14ac:dyDescent="0.55000000000000004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 x14ac:dyDescent="0.55000000000000004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 x14ac:dyDescent="0.55000000000000004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 x14ac:dyDescent="0.55000000000000004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 x14ac:dyDescent="0.55000000000000004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 x14ac:dyDescent="0.55000000000000004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 x14ac:dyDescent="0.55000000000000004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 x14ac:dyDescent="0.55000000000000004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 x14ac:dyDescent="0.55000000000000004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 x14ac:dyDescent="0.55000000000000004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 x14ac:dyDescent="0.55000000000000004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 x14ac:dyDescent="0.55000000000000004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 x14ac:dyDescent="0.55000000000000004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 x14ac:dyDescent="0.55000000000000004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 x14ac:dyDescent="0.55000000000000004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 x14ac:dyDescent="0.55000000000000004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 x14ac:dyDescent="0.55000000000000004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 x14ac:dyDescent="0.55000000000000004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 x14ac:dyDescent="0.55000000000000004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 x14ac:dyDescent="0.55000000000000004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 x14ac:dyDescent="0.55000000000000004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 x14ac:dyDescent="0.55000000000000004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 x14ac:dyDescent="0.55000000000000004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 x14ac:dyDescent="0.55000000000000004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 x14ac:dyDescent="0.55000000000000004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 x14ac:dyDescent="0.55000000000000004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 x14ac:dyDescent="0.55000000000000004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 x14ac:dyDescent="0.55000000000000004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 x14ac:dyDescent="0.55000000000000004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 x14ac:dyDescent="0.55000000000000004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 x14ac:dyDescent="0.55000000000000004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 x14ac:dyDescent="0.55000000000000004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 x14ac:dyDescent="0.55000000000000004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 x14ac:dyDescent="0.55000000000000004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 x14ac:dyDescent="0.55000000000000004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 x14ac:dyDescent="0.55000000000000004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 x14ac:dyDescent="0.55000000000000004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 x14ac:dyDescent="0.55000000000000004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 x14ac:dyDescent="0.55000000000000004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 x14ac:dyDescent="0.55000000000000004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 x14ac:dyDescent="0.55000000000000004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 x14ac:dyDescent="0.55000000000000004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 x14ac:dyDescent="0.55000000000000004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 x14ac:dyDescent="0.55000000000000004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 x14ac:dyDescent="0.55000000000000004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 x14ac:dyDescent="0.55000000000000004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 x14ac:dyDescent="0.55000000000000004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 x14ac:dyDescent="0.55000000000000004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 x14ac:dyDescent="0.55000000000000004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 x14ac:dyDescent="0.55000000000000004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 x14ac:dyDescent="0.55000000000000004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 x14ac:dyDescent="0.55000000000000004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 x14ac:dyDescent="0.55000000000000004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 x14ac:dyDescent="0.55000000000000004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 x14ac:dyDescent="0.55000000000000004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 x14ac:dyDescent="0.55000000000000004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 x14ac:dyDescent="0.55000000000000004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 x14ac:dyDescent="0.55000000000000004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 x14ac:dyDescent="0.55000000000000004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 x14ac:dyDescent="0.55000000000000004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0AB59-E855-499E-A87F-0D720B0A2342}">
  <dimension ref="A1:E93"/>
  <sheetViews>
    <sheetView tabSelected="1" workbookViewId="0">
      <selection activeCell="G18" sqref="G18"/>
    </sheetView>
  </sheetViews>
  <sheetFormatPr defaultRowHeight="14.4" x14ac:dyDescent="0.55000000000000004"/>
  <sheetData>
    <row r="1" spans="1:5" x14ac:dyDescent="0.55000000000000004">
      <c r="A1" s="1"/>
      <c r="B1" s="30" t="s">
        <v>115</v>
      </c>
      <c r="C1" s="30"/>
      <c r="D1" s="30" t="s">
        <v>75</v>
      </c>
      <c r="E1" s="30"/>
    </row>
    <row r="2" spans="1:5" x14ac:dyDescent="0.55000000000000004">
      <c r="A2" s="13" t="s">
        <v>73</v>
      </c>
      <c r="B2" s="13" t="s">
        <v>370</v>
      </c>
      <c r="C2" s="13" t="s">
        <v>85</v>
      </c>
      <c r="D2" s="13" t="s">
        <v>370</v>
      </c>
      <c r="E2" s="13" t="s">
        <v>85</v>
      </c>
    </row>
    <row r="3" spans="1:5" x14ac:dyDescent="0.55000000000000004">
      <c r="A3">
        <v>1933</v>
      </c>
      <c r="B3" s="21">
        <v>39.159999999999997</v>
      </c>
      <c r="C3" s="21">
        <v>29.18</v>
      </c>
      <c r="D3" s="21"/>
      <c r="E3" s="21"/>
    </row>
    <row r="4" spans="1:5" x14ac:dyDescent="0.55000000000000004">
      <c r="A4">
        <v>1934</v>
      </c>
      <c r="B4" s="21">
        <v>40.67</v>
      </c>
      <c r="C4" s="21">
        <v>31.86</v>
      </c>
      <c r="D4" s="21"/>
      <c r="E4" s="21"/>
    </row>
    <row r="5" spans="1:5" x14ac:dyDescent="0.55000000000000004">
      <c r="A5">
        <v>1935</v>
      </c>
      <c r="B5" s="21">
        <v>46.5</v>
      </c>
      <c r="C5" s="21">
        <v>32.47</v>
      </c>
      <c r="D5" s="21"/>
      <c r="E5" s="21"/>
    </row>
    <row r="6" spans="1:5" x14ac:dyDescent="0.55000000000000004">
      <c r="A6">
        <v>1936</v>
      </c>
      <c r="B6" s="21">
        <v>46.45</v>
      </c>
      <c r="C6" s="21">
        <v>31.14</v>
      </c>
      <c r="D6" s="21"/>
      <c r="E6" s="21"/>
    </row>
    <row r="7" spans="1:5" x14ac:dyDescent="0.55000000000000004">
      <c r="A7">
        <v>1937</v>
      </c>
      <c r="B7" s="21">
        <v>46.67</v>
      </c>
      <c r="C7" s="21">
        <v>30.47</v>
      </c>
      <c r="D7" s="21"/>
      <c r="E7" s="21"/>
    </row>
    <row r="8" spans="1:5" x14ac:dyDescent="0.55000000000000004">
      <c r="A8">
        <v>1938</v>
      </c>
      <c r="B8" s="21">
        <v>47.72</v>
      </c>
      <c r="C8" s="21">
        <v>30.02</v>
      </c>
      <c r="D8" s="21"/>
      <c r="E8" s="21"/>
    </row>
    <row r="9" spans="1:5" x14ac:dyDescent="0.55000000000000004">
      <c r="A9">
        <v>1939</v>
      </c>
      <c r="B9" s="21">
        <v>45.92</v>
      </c>
      <c r="C9" s="21">
        <v>29.73</v>
      </c>
      <c r="D9" s="21"/>
      <c r="E9" s="21"/>
    </row>
    <row r="10" spans="1:5" x14ac:dyDescent="0.55000000000000004">
      <c r="A10">
        <v>1940</v>
      </c>
      <c r="B10" s="21">
        <v>47.26</v>
      </c>
      <c r="C10" s="21">
        <v>36.24</v>
      </c>
      <c r="D10" s="21"/>
      <c r="E10" s="21"/>
    </row>
    <row r="11" spans="1:5" x14ac:dyDescent="0.55000000000000004">
      <c r="A11">
        <v>1941</v>
      </c>
      <c r="B11" s="21">
        <v>46.78</v>
      </c>
      <c r="C11" s="21">
        <v>32.68</v>
      </c>
      <c r="D11" s="21"/>
      <c r="E11" s="21"/>
    </row>
    <row r="12" spans="1:5" x14ac:dyDescent="0.55000000000000004">
      <c r="A12">
        <v>1942</v>
      </c>
      <c r="B12" s="21">
        <v>47.61</v>
      </c>
      <c r="C12" s="21">
        <v>42.82</v>
      </c>
      <c r="D12" s="21"/>
      <c r="E12" s="21"/>
    </row>
    <row r="13" spans="1:5" x14ac:dyDescent="0.55000000000000004">
      <c r="A13">
        <v>1943</v>
      </c>
      <c r="B13" s="21">
        <v>44.23</v>
      </c>
      <c r="C13" s="21">
        <v>34.06</v>
      </c>
      <c r="D13" s="21"/>
      <c r="E13" s="21"/>
    </row>
    <row r="14" spans="1:5" x14ac:dyDescent="0.55000000000000004">
      <c r="A14">
        <v>1944</v>
      </c>
      <c r="B14" s="21">
        <v>49.98</v>
      </c>
      <c r="C14" s="21">
        <v>35.18</v>
      </c>
      <c r="D14" s="21"/>
      <c r="E14" s="21"/>
    </row>
    <row r="15" spans="1:5" x14ac:dyDescent="0.55000000000000004">
      <c r="A15">
        <v>1945</v>
      </c>
      <c r="B15" s="21">
        <v>50.58</v>
      </c>
      <c r="C15" s="21">
        <v>29.34</v>
      </c>
      <c r="D15" s="21"/>
      <c r="E15" s="21"/>
    </row>
    <row r="16" spans="1:5" x14ac:dyDescent="0.55000000000000004">
      <c r="A16">
        <v>1946</v>
      </c>
      <c r="B16" s="21">
        <v>51.26</v>
      </c>
      <c r="C16" s="21">
        <v>28.48</v>
      </c>
      <c r="D16" s="21"/>
      <c r="E16" s="21"/>
    </row>
    <row r="17" spans="1:5" x14ac:dyDescent="0.55000000000000004">
      <c r="A17">
        <v>1947</v>
      </c>
      <c r="B17" s="21">
        <v>52.28</v>
      </c>
      <c r="C17" s="21">
        <v>30.75</v>
      </c>
      <c r="D17" s="21"/>
      <c r="E17" s="21"/>
    </row>
    <row r="18" spans="1:5" x14ac:dyDescent="0.55000000000000004">
      <c r="A18">
        <v>1948</v>
      </c>
      <c r="B18" s="21">
        <v>46.74</v>
      </c>
      <c r="C18" s="21">
        <v>32.6</v>
      </c>
      <c r="D18" s="21"/>
      <c r="E18" s="21"/>
    </row>
    <row r="19" spans="1:5" x14ac:dyDescent="0.55000000000000004">
      <c r="A19">
        <v>1949</v>
      </c>
      <c r="B19" s="21">
        <v>52.75</v>
      </c>
      <c r="C19" s="21">
        <v>26.62</v>
      </c>
      <c r="D19" s="21"/>
      <c r="E19" s="21"/>
    </row>
    <row r="20" spans="1:5" x14ac:dyDescent="0.55000000000000004">
      <c r="A20">
        <v>1950</v>
      </c>
      <c r="B20" s="21">
        <v>53.24</v>
      </c>
      <c r="C20" s="21">
        <v>24.86</v>
      </c>
      <c r="D20" s="21">
        <v>54.1</v>
      </c>
      <c r="E20" s="21">
        <v>24</v>
      </c>
    </row>
    <row r="21" spans="1:5" x14ac:dyDescent="0.55000000000000004">
      <c r="A21">
        <v>1951</v>
      </c>
      <c r="B21" s="21">
        <v>53.49</v>
      </c>
      <c r="C21" s="21">
        <v>21.3</v>
      </c>
      <c r="D21" s="21">
        <v>53.7</v>
      </c>
      <c r="E21" s="21">
        <v>23.9</v>
      </c>
    </row>
    <row r="22" spans="1:5" x14ac:dyDescent="0.55000000000000004">
      <c r="A22">
        <v>1952</v>
      </c>
      <c r="B22" s="21">
        <v>55.77</v>
      </c>
      <c r="C22" s="21">
        <v>24.5</v>
      </c>
      <c r="D22" s="21">
        <v>53.1</v>
      </c>
      <c r="E22" s="21">
        <v>23</v>
      </c>
    </row>
    <row r="23" spans="1:5" x14ac:dyDescent="0.55000000000000004">
      <c r="A23">
        <v>1953</v>
      </c>
      <c r="B23" s="21">
        <v>55.26</v>
      </c>
      <c r="C23" s="21">
        <v>23.4</v>
      </c>
      <c r="D23" s="21">
        <v>52.7</v>
      </c>
      <c r="E23" s="21">
        <v>22.5</v>
      </c>
    </row>
    <row r="24" spans="1:5" x14ac:dyDescent="0.55000000000000004">
      <c r="A24">
        <v>1954</v>
      </c>
      <c r="B24" s="21">
        <v>56.32</v>
      </c>
      <c r="C24" s="21">
        <v>21.96</v>
      </c>
      <c r="D24" s="21">
        <v>52.3</v>
      </c>
      <c r="E24" s="21">
        <v>21.9</v>
      </c>
    </row>
    <row r="25" spans="1:5" x14ac:dyDescent="0.55000000000000004">
      <c r="A25">
        <v>1955</v>
      </c>
      <c r="B25" s="21">
        <v>52.96</v>
      </c>
      <c r="C25" s="21">
        <v>20.69</v>
      </c>
      <c r="D25" s="21">
        <v>52</v>
      </c>
      <c r="E25" s="21">
        <v>21.4</v>
      </c>
    </row>
    <row r="26" spans="1:5" x14ac:dyDescent="0.55000000000000004">
      <c r="A26">
        <v>1956</v>
      </c>
      <c r="B26" s="21">
        <v>51.78</v>
      </c>
      <c r="C26" s="21">
        <v>18.28</v>
      </c>
      <c r="D26" s="21">
        <v>51.6</v>
      </c>
      <c r="E26" s="21">
        <v>20.8</v>
      </c>
    </row>
    <row r="27" spans="1:5" x14ac:dyDescent="0.55000000000000004">
      <c r="A27">
        <v>1957</v>
      </c>
      <c r="B27" s="21">
        <v>53.34</v>
      </c>
      <c r="C27" s="21">
        <v>19.55</v>
      </c>
      <c r="D27" s="21">
        <v>51.3</v>
      </c>
      <c r="E27" s="21">
        <v>20.2</v>
      </c>
    </row>
    <row r="28" spans="1:5" x14ac:dyDescent="0.55000000000000004">
      <c r="A28">
        <v>1958</v>
      </c>
      <c r="B28" s="21">
        <v>51.25</v>
      </c>
      <c r="C28" s="21">
        <v>21.43</v>
      </c>
      <c r="D28" s="21">
        <v>50.9</v>
      </c>
      <c r="E28" s="21">
        <v>19.7</v>
      </c>
    </row>
    <row r="29" spans="1:5" x14ac:dyDescent="0.55000000000000004">
      <c r="A29">
        <v>1959</v>
      </c>
      <c r="B29" s="21">
        <v>55.52</v>
      </c>
      <c r="C29" s="21">
        <v>19.54</v>
      </c>
      <c r="D29" s="21">
        <v>50.5</v>
      </c>
      <c r="E29" s="21">
        <v>19.100000000000001</v>
      </c>
    </row>
    <row r="30" spans="1:5" x14ac:dyDescent="0.55000000000000004">
      <c r="A30">
        <v>1960</v>
      </c>
      <c r="B30" s="21">
        <v>53.71</v>
      </c>
      <c r="C30" s="21">
        <v>19.850000000000001</v>
      </c>
      <c r="D30" s="21">
        <v>50</v>
      </c>
      <c r="E30" s="21">
        <v>18.8</v>
      </c>
    </row>
    <row r="31" spans="1:5" x14ac:dyDescent="0.55000000000000004">
      <c r="A31">
        <v>1961</v>
      </c>
      <c r="B31" s="21">
        <v>50.78</v>
      </c>
      <c r="C31" s="21">
        <v>18.5</v>
      </c>
      <c r="D31" s="21">
        <v>49.3</v>
      </c>
      <c r="E31" s="21">
        <v>18</v>
      </c>
    </row>
    <row r="32" spans="1:5" x14ac:dyDescent="0.55000000000000004">
      <c r="A32">
        <v>1962</v>
      </c>
      <c r="B32" s="21">
        <v>52.02</v>
      </c>
      <c r="C32" s="21">
        <v>17.38</v>
      </c>
      <c r="D32" s="21">
        <v>48.9</v>
      </c>
      <c r="E32" s="21">
        <v>17.399999999999999</v>
      </c>
    </row>
    <row r="33" spans="1:5" x14ac:dyDescent="0.55000000000000004">
      <c r="A33">
        <v>1963</v>
      </c>
      <c r="B33" s="21">
        <v>51.69</v>
      </c>
      <c r="C33" s="21">
        <v>16.52</v>
      </c>
      <c r="D33" s="21">
        <v>48.5</v>
      </c>
      <c r="E33" s="21">
        <v>16.8</v>
      </c>
    </row>
    <row r="34" spans="1:5" x14ac:dyDescent="0.55000000000000004">
      <c r="A34">
        <v>1964</v>
      </c>
      <c r="B34" s="21">
        <v>50.56</v>
      </c>
      <c r="C34" s="21">
        <v>16.43</v>
      </c>
      <c r="D34" s="21">
        <v>48.2</v>
      </c>
      <c r="E34" s="21">
        <v>16.2</v>
      </c>
    </row>
    <row r="35" spans="1:5" x14ac:dyDescent="0.55000000000000004">
      <c r="A35">
        <v>1965</v>
      </c>
      <c r="B35" s="21">
        <v>49.03</v>
      </c>
      <c r="C35" s="21">
        <v>14.58</v>
      </c>
      <c r="D35" s="21">
        <v>47.9</v>
      </c>
      <c r="E35" s="21">
        <v>15.5</v>
      </c>
    </row>
    <row r="36" spans="1:5" x14ac:dyDescent="0.55000000000000004">
      <c r="A36">
        <v>1966</v>
      </c>
      <c r="B36" s="21">
        <v>48.17</v>
      </c>
      <c r="C36" s="21">
        <v>13.26</v>
      </c>
      <c r="D36" s="21">
        <v>47.6</v>
      </c>
      <c r="E36" s="21">
        <v>14.9</v>
      </c>
    </row>
    <row r="37" spans="1:5" x14ac:dyDescent="0.55000000000000004">
      <c r="A37">
        <v>1967</v>
      </c>
      <c r="B37" s="21">
        <v>50.44</v>
      </c>
      <c r="C37" s="21">
        <v>16.059999999999999</v>
      </c>
      <c r="D37" s="21">
        <v>47.4</v>
      </c>
      <c r="E37" s="21">
        <v>14.4</v>
      </c>
    </row>
    <row r="38" spans="1:5" x14ac:dyDescent="0.55000000000000004">
      <c r="A38">
        <v>1968</v>
      </c>
      <c r="B38" s="21">
        <v>50.52</v>
      </c>
      <c r="C38" s="21">
        <v>16.48</v>
      </c>
      <c r="D38" s="21">
        <v>47.2</v>
      </c>
      <c r="E38" s="21">
        <v>14</v>
      </c>
    </row>
    <row r="39" spans="1:5" x14ac:dyDescent="0.55000000000000004">
      <c r="A39">
        <v>1969</v>
      </c>
      <c r="B39" s="21">
        <v>49.24</v>
      </c>
      <c r="C39" s="21">
        <v>15.5</v>
      </c>
      <c r="D39" s="21">
        <v>47</v>
      </c>
      <c r="E39" s="21">
        <v>13.7</v>
      </c>
    </row>
    <row r="40" spans="1:5" x14ac:dyDescent="0.55000000000000004">
      <c r="A40">
        <v>1970</v>
      </c>
      <c r="B40" s="21">
        <v>51.87</v>
      </c>
      <c r="C40" s="21">
        <v>12.84</v>
      </c>
      <c r="D40" s="21">
        <v>46.8</v>
      </c>
      <c r="E40" s="21">
        <v>13.4</v>
      </c>
    </row>
    <row r="41" spans="1:5" x14ac:dyDescent="0.55000000000000004">
      <c r="A41">
        <v>1971</v>
      </c>
      <c r="B41" s="21">
        <v>46.61</v>
      </c>
      <c r="C41" s="21">
        <v>10.45</v>
      </c>
      <c r="D41" s="21">
        <v>46.8</v>
      </c>
      <c r="E41" s="21">
        <v>13.1</v>
      </c>
    </row>
    <row r="42" spans="1:5" x14ac:dyDescent="0.55000000000000004">
      <c r="A42">
        <v>1972</v>
      </c>
      <c r="B42" s="21">
        <v>49.84</v>
      </c>
      <c r="C42" s="21">
        <v>19.23</v>
      </c>
      <c r="D42" s="21">
        <v>46.7</v>
      </c>
      <c r="E42" s="21">
        <v>16.8</v>
      </c>
    </row>
    <row r="43" spans="1:5" x14ac:dyDescent="0.55000000000000004">
      <c r="A43">
        <v>1973</v>
      </c>
      <c r="B43" s="21">
        <v>45.57</v>
      </c>
      <c r="C43" s="21">
        <v>11.1</v>
      </c>
      <c r="D43" s="21">
        <v>46.4</v>
      </c>
      <c r="E43" s="21">
        <v>12.5</v>
      </c>
    </row>
    <row r="44" spans="1:5" x14ac:dyDescent="0.55000000000000004">
      <c r="A44">
        <v>1974</v>
      </c>
      <c r="B44" s="21">
        <v>48.84</v>
      </c>
      <c r="C44" s="21">
        <v>10.57</v>
      </c>
      <c r="D44" s="21">
        <v>46.2</v>
      </c>
      <c r="E44" s="21">
        <v>12.3</v>
      </c>
    </row>
    <row r="45" spans="1:5" x14ac:dyDescent="0.55000000000000004">
      <c r="A45">
        <v>1975</v>
      </c>
      <c r="B45" s="21">
        <v>48.42</v>
      </c>
      <c r="C45" s="21">
        <v>9.89</v>
      </c>
      <c r="D45" s="21">
        <v>45.9</v>
      </c>
      <c r="E45" s="21">
        <v>12.1</v>
      </c>
    </row>
    <row r="46" spans="1:5" x14ac:dyDescent="0.55000000000000004">
      <c r="A46">
        <v>1976</v>
      </c>
      <c r="B46" s="21">
        <v>48.32</v>
      </c>
      <c r="C46" s="21">
        <v>12.33</v>
      </c>
      <c r="D46" s="21">
        <v>45.6</v>
      </c>
      <c r="E46" s="21">
        <v>11.8</v>
      </c>
    </row>
    <row r="47" spans="1:5" x14ac:dyDescent="0.55000000000000004">
      <c r="A47">
        <v>1977</v>
      </c>
      <c r="B47" s="21">
        <v>47.67</v>
      </c>
      <c r="C47" s="21">
        <v>12.64</v>
      </c>
      <c r="D47" s="21">
        <v>45.3</v>
      </c>
      <c r="E47" s="21">
        <v>11.7</v>
      </c>
    </row>
    <row r="48" spans="1:5" x14ac:dyDescent="0.55000000000000004">
      <c r="A48">
        <v>1978</v>
      </c>
      <c r="B48" s="21">
        <v>47.1</v>
      </c>
      <c r="C48" s="21">
        <v>12.26</v>
      </c>
      <c r="D48" s="21">
        <v>44.9</v>
      </c>
      <c r="E48" s="21">
        <v>12.9</v>
      </c>
    </row>
    <row r="49" spans="1:5" x14ac:dyDescent="0.55000000000000004">
      <c r="A49">
        <v>1979</v>
      </c>
      <c r="B49" s="21">
        <v>45.95</v>
      </c>
      <c r="C49" s="21">
        <v>11.66</v>
      </c>
      <c r="D49" s="21">
        <v>44.6</v>
      </c>
      <c r="E49" s="21">
        <v>14.1</v>
      </c>
    </row>
    <row r="50" spans="1:5" x14ac:dyDescent="0.55000000000000004">
      <c r="A50">
        <v>1980</v>
      </c>
      <c r="B50" s="21">
        <v>45.68</v>
      </c>
      <c r="C50" s="21">
        <v>11.4</v>
      </c>
      <c r="D50" s="21">
        <v>44.1</v>
      </c>
      <c r="E50" s="21">
        <v>10.7</v>
      </c>
    </row>
    <row r="51" spans="1:5" x14ac:dyDescent="0.55000000000000004">
      <c r="A51">
        <v>1981</v>
      </c>
      <c r="B51" s="21">
        <v>45.4</v>
      </c>
      <c r="C51" s="21">
        <v>11.05</v>
      </c>
      <c r="D51" s="21">
        <v>43.4</v>
      </c>
      <c r="E51" s="21">
        <v>10.4</v>
      </c>
    </row>
    <row r="52" spans="1:5" x14ac:dyDescent="0.55000000000000004">
      <c r="A52">
        <v>1982</v>
      </c>
      <c r="B52" s="21">
        <v>45.37</v>
      </c>
      <c r="C52" s="21">
        <v>11.01</v>
      </c>
      <c r="D52" s="21">
        <v>42.8</v>
      </c>
      <c r="E52" s="21">
        <v>10.1</v>
      </c>
    </row>
    <row r="53" spans="1:5" x14ac:dyDescent="0.55000000000000004">
      <c r="A53">
        <v>1983</v>
      </c>
      <c r="B53" s="21">
        <v>44.92</v>
      </c>
      <c r="C53" s="21">
        <v>9.66</v>
      </c>
      <c r="D53" s="21">
        <v>42.1</v>
      </c>
      <c r="E53" s="21">
        <v>10.7</v>
      </c>
    </row>
    <row r="54" spans="1:5" x14ac:dyDescent="0.55000000000000004">
      <c r="A54">
        <v>1984</v>
      </c>
      <c r="B54" s="21">
        <v>44.81</v>
      </c>
      <c r="C54" s="21">
        <v>9.9</v>
      </c>
      <c r="D54" s="21">
        <v>41.3</v>
      </c>
      <c r="E54" s="21">
        <v>10.9</v>
      </c>
    </row>
    <row r="55" spans="1:5" x14ac:dyDescent="0.55000000000000004">
      <c r="A55">
        <v>1985</v>
      </c>
      <c r="B55" s="21">
        <v>45.91</v>
      </c>
      <c r="C55" s="21">
        <v>10</v>
      </c>
      <c r="D55" s="21">
        <v>40.6</v>
      </c>
      <c r="E55" s="21">
        <v>10.7</v>
      </c>
    </row>
    <row r="56" spans="1:5" x14ac:dyDescent="0.55000000000000004">
      <c r="A56">
        <v>1986</v>
      </c>
      <c r="B56" s="21">
        <v>43.32</v>
      </c>
      <c r="C56" s="21">
        <v>8.3000000000000007</v>
      </c>
      <c r="D56" s="21">
        <v>39.799999999999997</v>
      </c>
      <c r="E56" s="21">
        <v>10.1</v>
      </c>
    </row>
    <row r="57" spans="1:5" x14ac:dyDescent="0.55000000000000004">
      <c r="A57">
        <v>1987</v>
      </c>
      <c r="B57" s="21">
        <v>44.03</v>
      </c>
      <c r="C57" s="21">
        <v>8.3699999999999992</v>
      </c>
      <c r="D57" s="21">
        <v>39.1</v>
      </c>
      <c r="E57" s="21">
        <v>10</v>
      </c>
    </row>
    <row r="58" spans="1:5" x14ac:dyDescent="0.55000000000000004">
      <c r="A58">
        <v>1988</v>
      </c>
      <c r="B58" s="21">
        <v>44.22</v>
      </c>
      <c r="C58" s="21">
        <v>8.43</v>
      </c>
      <c r="D58" s="21">
        <v>38.4</v>
      </c>
      <c r="E58" s="21">
        <v>8.9</v>
      </c>
    </row>
    <row r="59" spans="1:5" x14ac:dyDescent="0.55000000000000004">
      <c r="A59">
        <v>1989</v>
      </c>
      <c r="B59" s="21">
        <v>42.64</v>
      </c>
      <c r="C59" s="21">
        <v>8.5299999999999994</v>
      </c>
      <c r="D59" s="21">
        <v>37.5</v>
      </c>
      <c r="E59" s="21">
        <v>8</v>
      </c>
    </row>
    <row r="60" spans="1:5" x14ac:dyDescent="0.55000000000000004">
      <c r="A60">
        <v>1990</v>
      </c>
      <c r="B60" s="21">
        <v>41.17</v>
      </c>
      <c r="C60" s="21">
        <v>9.86</v>
      </c>
      <c r="D60" s="21">
        <v>36.6</v>
      </c>
      <c r="E60" s="21">
        <v>7.7</v>
      </c>
    </row>
    <row r="61" spans="1:5" x14ac:dyDescent="0.55000000000000004">
      <c r="A61">
        <f>A60+1</f>
        <v>1991</v>
      </c>
      <c r="B61" s="21"/>
      <c r="C61" s="21"/>
      <c r="D61" s="21">
        <v>35.799999999999997</v>
      </c>
      <c r="E61" s="21">
        <v>7.3</v>
      </c>
    </row>
    <row r="62" spans="1:5" x14ac:dyDescent="0.55000000000000004">
      <c r="A62">
        <f t="shared" ref="A62:A109" si="0">A61+1</f>
        <v>1992</v>
      </c>
      <c r="B62" s="21"/>
      <c r="C62" s="21"/>
      <c r="D62" s="21">
        <v>34.9</v>
      </c>
      <c r="E62" s="21">
        <v>7</v>
      </c>
    </row>
    <row r="63" spans="1:5" x14ac:dyDescent="0.55000000000000004">
      <c r="A63">
        <f t="shared" si="0"/>
        <v>1993</v>
      </c>
      <c r="B63" s="21"/>
      <c r="C63" s="21"/>
      <c r="D63" s="21">
        <v>33.9</v>
      </c>
      <c r="E63" s="21">
        <v>6.8</v>
      </c>
    </row>
    <row r="64" spans="1:5" x14ac:dyDescent="0.55000000000000004">
      <c r="A64">
        <f t="shared" si="0"/>
        <v>1994</v>
      </c>
      <c r="B64" s="21"/>
      <c r="C64" s="21"/>
      <c r="D64" s="21">
        <v>32.9</v>
      </c>
      <c r="E64" s="21">
        <v>6.6</v>
      </c>
    </row>
    <row r="65" spans="1:5" x14ac:dyDescent="0.55000000000000004">
      <c r="A65">
        <f t="shared" si="0"/>
        <v>1995</v>
      </c>
      <c r="B65" s="21"/>
      <c r="C65" s="21"/>
      <c r="D65" s="21">
        <v>31.9</v>
      </c>
      <c r="E65" s="21">
        <v>6.4</v>
      </c>
    </row>
    <row r="66" spans="1:5" x14ac:dyDescent="0.55000000000000004">
      <c r="A66">
        <f t="shared" si="0"/>
        <v>1996</v>
      </c>
      <c r="B66" s="21"/>
      <c r="C66" s="21"/>
      <c r="D66" s="21">
        <v>31</v>
      </c>
      <c r="E66" s="21">
        <v>6.3</v>
      </c>
    </row>
    <row r="67" spans="1:5" x14ac:dyDescent="0.55000000000000004">
      <c r="A67">
        <f t="shared" si="0"/>
        <v>1997</v>
      </c>
      <c r="B67" s="21"/>
      <c r="C67" s="21"/>
      <c r="D67" s="21">
        <v>30</v>
      </c>
      <c r="E67" s="21">
        <v>6.2</v>
      </c>
    </row>
    <row r="68" spans="1:5" x14ac:dyDescent="0.55000000000000004">
      <c r="A68">
        <f t="shared" si="0"/>
        <v>1998</v>
      </c>
      <c r="B68" s="21"/>
      <c r="C68" s="21"/>
      <c r="D68" s="21">
        <v>29.2</v>
      </c>
      <c r="E68" s="21">
        <v>6.9</v>
      </c>
    </row>
    <row r="69" spans="1:5" x14ac:dyDescent="0.55000000000000004">
      <c r="A69">
        <f t="shared" si="0"/>
        <v>1999</v>
      </c>
      <c r="B69" s="21"/>
      <c r="C69" s="21"/>
      <c r="D69" s="21">
        <v>28.5</v>
      </c>
      <c r="E69" s="21">
        <v>6.2</v>
      </c>
    </row>
    <row r="70" spans="1:5" x14ac:dyDescent="0.55000000000000004">
      <c r="A70">
        <f t="shared" si="0"/>
        <v>2000</v>
      </c>
      <c r="B70" s="21"/>
      <c r="C70" s="21"/>
      <c r="D70" s="21">
        <v>27.9</v>
      </c>
      <c r="E70" s="21">
        <v>6.1</v>
      </c>
    </row>
    <row r="71" spans="1:5" x14ac:dyDescent="0.55000000000000004">
      <c r="A71">
        <f t="shared" si="0"/>
        <v>2001</v>
      </c>
      <c r="B71" s="21"/>
      <c r="C71" s="21"/>
      <c r="D71" s="21">
        <v>27</v>
      </c>
      <c r="E71" s="21">
        <v>6</v>
      </c>
    </row>
    <row r="72" spans="1:5" x14ac:dyDescent="0.55000000000000004">
      <c r="A72">
        <f t="shared" si="0"/>
        <v>2002</v>
      </c>
      <c r="B72" s="21"/>
      <c r="C72" s="21"/>
      <c r="D72" s="21">
        <v>26.3</v>
      </c>
      <c r="E72" s="21">
        <v>5.7</v>
      </c>
    </row>
    <row r="73" spans="1:5" x14ac:dyDescent="0.55000000000000004">
      <c r="A73">
        <f t="shared" si="0"/>
        <v>2003</v>
      </c>
      <c r="B73" s="21"/>
      <c r="C73" s="21"/>
      <c r="D73" s="21">
        <v>25.9</v>
      </c>
      <c r="E73" s="21">
        <v>5.6</v>
      </c>
    </row>
    <row r="74" spans="1:5" x14ac:dyDescent="0.55000000000000004">
      <c r="A74">
        <f t="shared" si="0"/>
        <v>2004</v>
      </c>
      <c r="B74" s="21"/>
      <c r="C74" s="21"/>
      <c r="D74" s="21">
        <v>25.7</v>
      </c>
      <c r="E74" s="21">
        <v>5.4</v>
      </c>
    </row>
    <row r="75" spans="1:5" x14ac:dyDescent="0.55000000000000004">
      <c r="A75">
        <f t="shared" si="0"/>
        <v>2005</v>
      </c>
      <c r="B75" s="21"/>
      <c r="C75" s="21"/>
      <c r="D75" s="21">
        <v>25.6</v>
      </c>
      <c r="E75" s="21">
        <v>5.2</v>
      </c>
    </row>
    <row r="76" spans="1:5" x14ac:dyDescent="0.55000000000000004">
      <c r="A76">
        <f t="shared" si="0"/>
        <v>2006</v>
      </c>
      <c r="B76" s="21"/>
      <c r="C76" s="21"/>
      <c r="D76" s="21">
        <v>25.4</v>
      </c>
      <c r="E76" s="21">
        <v>5.0999999999999996</v>
      </c>
    </row>
    <row r="77" spans="1:5" x14ac:dyDescent="0.55000000000000004">
      <c r="A77">
        <f t="shared" si="0"/>
        <v>2007</v>
      </c>
      <c r="B77" s="21"/>
      <c r="C77" s="21"/>
      <c r="D77" s="21">
        <v>25.2</v>
      </c>
      <c r="E77" s="21">
        <v>5.0999999999999996</v>
      </c>
    </row>
    <row r="78" spans="1:5" x14ac:dyDescent="0.55000000000000004">
      <c r="A78">
        <f t="shared" si="0"/>
        <v>2008</v>
      </c>
      <c r="B78" s="21"/>
      <c r="C78" s="21"/>
      <c r="D78" s="21">
        <v>24.9</v>
      </c>
      <c r="E78" s="21">
        <v>5.0999999999999996</v>
      </c>
    </row>
    <row r="79" spans="1:5" x14ac:dyDescent="0.55000000000000004">
      <c r="A79">
        <f t="shared" si="0"/>
        <v>2009</v>
      </c>
      <c r="B79" s="21"/>
      <c r="C79" s="21"/>
      <c r="D79" s="21">
        <v>24.6</v>
      </c>
      <c r="E79" s="21">
        <v>5.0999999999999996</v>
      </c>
    </row>
    <row r="80" spans="1:5" x14ac:dyDescent="0.55000000000000004">
      <c r="A80">
        <f t="shared" si="0"/>
        <v>2010</v>
      </c>
      <c r="B80" s="21"/>
      <c r="C80" s="21"/>
      <c r="D80" s="21">
        <v>24.3</v>
      </c>
      <c r="E80" s="21">
        <v>5.0999999999999996</v>
      </c>
    </row>
    <row r="81" spans="1:5" x14ac:dyDescent="0.55000000000000004">
      <c r="A81">
        <f t="shared" si="0"/>
        <v>2011</v>
      </c>
      <c r="B81" s="21"/>
      <c r="C81" s="21"/>
      <c r="D81" s="21">
        <v>24</v>
      </c>
      <c r="E81" s="21">
        <v>5.0999999999999996</v>
      </c>
    </row>
    <row r="82" spans="1:5" x14ac:dyDescent="0.55000000000000004">
      <c r="A82">
        <f t="shared" si="0"/>
        <v>2012</v>
      </c>
      <c r="B82" s="21"/>
      <c r="C82" s="21"/>
      <c r="D82" s="21">
        <v>23.6</v>
      </c>
      <c r="E82" s="21">
        <v>5</v>
      </c>
    </row>
    <row r="83" spans="1:5" x14ac:dyDescent="0.55000000000000004">
      <c r="A83">
        <f t="shared" si="0"/>
        <v>2013</v>
      </c>
      <c r="B83" s="21"/>
      <c r="C83" s="21"/>
      <c r="D83" s="21">
        <v>23.2</v>
      </c>
      <c r="E83" s="21">
        <v>5</v>
      </c>
    </row>
    <row r="84" spans="1:5" x14ac:dyDescent="0.55000000000000004">
      <c r="A84">
        <f t="shared" si="0"/>
        <v>2014</v>
      </c>
      <c r="B84" s="21"/>
      <c r="C84" s="21"/>
      <c r="D84" s="21">
        <v>22.8</v>
      </c>
      <c r="E84" s="21">
        <v>5</v>
      </c>
    </row>
    <row r="85" spans="1:5" x14ac:dyDescent="0.55000000000000004">
      <c r="A85">
        <f t="shared" si="0"/>
        <v>2015</v>
      </c>
      <c r="B85" s="21"/>
      <c r="C85" s="21"/>
      <c r="D85" s="21">
        <v>22.4</v>
      </c>
      <c r="E85" s="21">
        <v>5</v>
      </c>
    </row>
    <row r="86" spans="1:5" x14ac:dyDescent="0.55000000000000004">
      <c r="A86">
        <f t="shared" si="0"/>
        <v>2016</v>
      </c>
      <c r="B86" s="21"/>
      <c r="C86" s="21"/>
      <c r="D86" s="21">
        <v>22.1</v>
      </c>
      <c r="E86" s="21">
        <v>5</v>
      </c>
    </row>
    <row r="87" spans="1:5" x14ac:dyDescent="0.55000000000000004">
      <c r="A87">
        <f t="shared" si="0"/>
        <v>2017</v>
      </c>
      <c r="B87" s="21"/>
      <c r="C87" s="21"/>
      <c r="D87" s="21">
        <v>21.6</v>
      </c>
      <c r="E87" s="21">
        <v>4.9000000000000004</v>
      </c>
    </row>
    <row r="88" spans="1:5" x14ac:dyDescent="0.55000000000000004">
      <c r="A88">
        <f t="shared" si="0"/>
        <v>2018</v>
      </c>
      <c r="B88" s="21"/>
      <c r="C88" s="21"/>
      <c r="D88" s="21">
        <v>21.2</v>
      </c>
      <c r="E88" s="21">
        <v>4.8</v>
      </c>
    </row>
    <row r="89" spans="1:5" x14ac:dyDescent="0.55000000000000004">
      <c r="A89">
        <f t="shared" si="0"/>
        <v>2019</v>
      </c>
      <c r="B89" s="21"/>
      <c r="C89" s="21"/>
      <c r="D89" s="21">
        <v>20.8</v>
      </c>
      <c r="E89" s="21">
        <v>5</v>
      </c>
    </row>
    <row r="90" spans="1:5" x14ac:dyDescent="0.55000000000000004">
      <c r="A90">
        <f t="shared" si="0"/>
        <v>2020</v>
      </c>
      <c r="B90" s="21"/>
      <c r="C90" s="21"/>
      <c r="D90" s="21">
        <v>20.5</v>
      </c>
      <c r="E90" s="21">
        <v>6.7</v>
      </c>
    </row>
    <row r="91" spans="1:5" x14ac:dyDescent="0.55000000000000004">
      <c r="A91">
        <f t="shared" si="0"/>
        <v>2021</v>
      </c>
      <c r="B91" s="21"/>
      <c r="C91" s="21"/>
      <c r="D91" s="21">
        <v>20</v>
      </c>
      <c r="E91" s="21">
        <v>6.6</v>
      </c>
    </row>
    <row r="92" spans="1:5" x14ac:dyDescent="0.55000000000000004">
      <c r="A92">
        <f t="shared" si="0"/>
        <v>2022</v>
      </c>
      <c r="B92" s="21"/>
      <c r="C92" s="21"/>
      <c r="D92" s="21">
        <v>19.7</v>
      </c>
      <c r="E92" s="21">
        <v>4.7</v>
      </c>
    </row>
    <row r="93" spans="1:5" x14ac:dyDescent="0.55000000000000004">
      <c r="A93">
        <f t="shared" si="0"/>
        <v>2023</v>
      </c>
      <c r="B93" s="21"/>
      <c r="C93" s="21"/>
      <c r="D93" s="21">
        <v>19.399999999999999</v>
      </c>
      <c r="E93" s="21">
        <v>4.5999999999999996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6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55000000000000004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 x14ac:dyDescent="0.55000000000000004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 x14ac:dyDescent="0.55000000000000004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 x14ac:dyDescent="0.55000000000000004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 x14ac:dyDescent="0.55000000000000004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 x14ac:dyDescent="0.55000000000000004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 x14ac:dyDescent="0.55000000000000004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 x14ac:dyDescent="0.55000000000000004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 x14ac:dyDescent="0.55000000000000004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 x14ac:dyDescent="0.55000000000000004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 x14ac:dyDescent="0.55000000000000004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 x14ac:dyDescent="0.55000000000000004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 x14ac:dyDescent="0.55000000000000004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 x14ac:dyDescent="0.55000000000000004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 x14ac:dyDescent="0.55000000000000004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 x14ac:dyDescent="0.55000000000000004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 x14ac:dyDescent="0.55000000000000004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 x14ac:dyDescent="0.55000000000000004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 x14ac:dyDescent="0.55000000000000004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 x14ac:dyDescent="0.55000000000000004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 x14ac:dyDescent="0.55000000000000004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 x14ac:dyDescent="0.55000000000000004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 x14ac:dyDescent="0.55000000000000004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 x14ac:dyDescent="0.55000000000000004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 x14ac:dyDescent="0.55000000000000004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 x14ac:dyDescent="0.55000000000000004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 x14ac:dyDescent="0.55000000000000004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 x14ac:dyDescent="0.55000000000000004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 x14ac:dyDescent="0.55000000000000004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 x14ac:dyDescent="0.55000000000000004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 x14ac:dyDescent="0.55000000000000004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 x14ac:dyDescent="0.55000000000000004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 x14ac:dyDescent="0.55000000000000004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 x14ac:dyDescent="0.55000000000000004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 x14ac:dyDescent="0.55000000000000004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 x14ac:dyDescent="0.55000000000000004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 x14ac:dyDescent="0.55000000000000004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 x14ac:dyDescent="0.55000000000000004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 x14ac:dyDescent="0.55000000000000004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 x14ac:dyDescent="0.55000000000000004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 x14ac:dyDescent="0.55000000000000004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 x14ac:dyDescent="0.55000000000000004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 x14ac:dyDescent="0.55000000000000004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 x14ac:dyDescent="0.55000000000000004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 x14ac:dyDescent="0.55000000000000004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 x14ac:dyDescent="0.55000000000000004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 x14ac:dyDescent="0.55000000000000004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 x14ac:dyDescent="0.55000000000000004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 x14ac:dyDescent="0.55000000000000004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 x14ac:dyDescent="0.55000000000000004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 x14ac:dyDescent="0.55000000000000004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 x14ac:dyDescent="0.55000000000000004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 x14ac:dyDescent="0.55000000000000004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 x14ac:dyDescent="0.55000000000000004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 x14ac:dyDescent="0.55000000000000004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 x14ac:dyDescent="0.55000000000000004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 x14ac:dyDescent="0.55000000000000004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 x14ac:dyDescent="0.55000000000000004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 x14ac:dyDescent="0.55000000000000004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 x14ac:dyDescent="0.55000000000000004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 x14ac:dyDescent="0.55000000000000004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 x14ac:dyDescent="0.55000000000000004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 x14ac:dyDescent="0.55000000000000004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 x14ac:dyDescent="0.55000000000000004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 x14ac:dyDescent="0.55000000000000004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 x14ac:dyDescent="0.55000000000000004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 x14ac:dyDescent="0.55000000000000004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 x14ac:dyDescent="0.55000000000000004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 x14ac:dyDescent="0.55000000000000004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 x14ac:dyDescent="0.55000000000000004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 x14ac:dyDescent="0.55000000000000004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 x14ac:dyDescent="0.55000000000000004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 x14ac:dyDescent="0.55000000000000004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 x14ac:dyDescent="0.55000000000000004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 x14ac:dyDescent="0.55000000000000004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 x14ac:dyDescent="0.55000000000000004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 x14ac:dyDescent="0.55000000000000004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 x14ac:dyDescent="0.55000000000000004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 x14ac:dyDescent="0.55000000000000004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 x14ac:dyDescent="0.55000000000000004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 x14ac:dyDescent="0.55000000000000004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 x14ac:dyDescent="0.55000000000000004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 x14ac:dyDescent="0.55000000000000004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 x14ac:dyDescent="0.55000000000000004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 x14ac:dyDescent="0.55000000000000004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 x14ac:dyDescent="0.55000000000000004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 x14ac:dyDescent="0.55000000000000004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 x14ac:dyDescent="0.55000000000000004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 x14ac:dyDescent="0.55000000000000004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 x14ac:dyDescent="0.55000000000000004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 x14ac:dyDescent="0.55000000000000004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 x14ac:dyDescent="0.55000000000000004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 x14ac:dyDescent="0.55000000000000004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 x14ac:dyDescent="0.55000000000000004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 x14ac:dyDescent="0.55000000000000004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 x14ac:dyDescent="0.55000000000000004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 x14ac:dyDescent="0.55000000000000004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 x14ac:dyDescent="0.55000000000000004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 x14ac:dyDescent="0.55000000000000004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 x14ac:dyDescent="0.55000000000000004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 x14ac:dyDescent="0.55000000000000004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 x14ac:dyDescent="0.55000000000000004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 x14ac:dyDescent="0.55000000000000004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 x14ac:dyDescent="0.55000000000000004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 x14ac:dyDescent="0.55000000000000004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 x14ac:dyDescent="0.55000000000000004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 x14ac:dyDescent="0.55000000000000004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 x14ac:dyDescent="0.55000000000000004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 x14ac:dyDescent="0.55000000000000004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 x14ac:dyDescent="0.55000000000000004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 x14ac:dyDescent="0.55000000000000004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 x14ac:dyDescent="0.55000000000000004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 x14ac:dyDescent="0.55000000000000004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 x14ac:dyDescent="0.55000000000000004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 x14ac:dyDescent="0.55000000000000004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 x14ac:dyDescent="0.55000000000000004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 x14ac:dyDescent="0.55000000000000004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 x14ac:dyDescent="0.55000000000000004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 x14ac:dyDescent="0.55000000000000004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 x14ac:dyDescent="0.55000000000000004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 x14ac:dyDescent="0.55000000000000004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 x14ac:dyDescent="0.55000000000000004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 x14ac:dyDescent="0.55000000000000004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 x14ac:dyDescent="0.55000000000000004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I41" sqref="AI4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2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32" x14ac:dyDescent="0.55000000000000004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  <c r="AF2" t="s">
        <v>317</v>
      </c>
    </row>
    <row r="3" spans="1:32" x14ac:dyDescent="0.55000000000000004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32" x14ac:dyDescent="0.55000000000000004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  <c r="AF4" t="s">
        <v>318</v>
      </c>
    </row>
    <row r="5" spans="1:32" x14ac:dyDescent="0.55000000000000004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  <c r="AF5" t="s">
        <v>319</v>
      </c>
    </row>
    <row r="6" spans="1:32" x14ac:dyDescent="0.55000000000000004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  <c r="AF6" t="s">
        <v>320</v>
      </c>
    </row>
    <row r="7" spans="1:32" x14ac:dyDescent="0.55000000000000004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  <c r="AF7" t="s">
        <v>321</v>
      </c>
    </row>
    <row r="8" spans="1:32" x14ac:dyDescent="0.55000000000000004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  <c r="AF8" t="s">
        <v>322</v>
      </c>
    </row>
    <row r="9" spans="1:32" x14ac:dyDescent="0.55000000000000004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32" x14ac:dyDescent="0.55000000000000004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  <c r="AF10" t="s">
        <v>323</v>
      </c>
    </row>
    <row r="11" spans="1:32" x14ac:dyDescent="0.55000000000000004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32" x14ac:dyDescent="0.55000000000000004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  <c r="AF12" t="s">
        <v>324</v>
      </c>
    </row>
    <row r="13" spans="1:32" x14ac:dyDescent="0.55000000000000004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  <c r="AF13" t="s">
        <v>325</v>
      </c>
    </row>
    <row r="14" spans="1:32" x14ac:dyDescent="0.55000000000000004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32" x14ac:dyDescent="0.55000000000000004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  <c r="AF15" t="s">
        <v>326</v>
      </c>
    </row>
    <row r="16" spans="1:32" x14ac:dyDescent="0.55000000000000004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  <c r="AF16" t="s">
        <v>327</v>
      </c>
    </row>
    <row r="17" spans="1:32" x14ac:dyDescent="0.55000000000000004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  <c r="AF17" t="s">
        <v>328</v>
      </c>
    </row>
    <row r="18" spans="1:32" x14ac:dyDescent="0.55000000000000004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  <c r="AF18" t="s">
        <v>329</v>
      </c>
    </row>
    <row r="19" spans="1:32" x14ac:dyDescent="0.55000000000000004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32" x14ac:dyDescent="0.55000000000000004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  <c r="AF20" t="s">
        <v>330</v>
      </c>
    </row>
    <row r="21" spans="1:32" x14ac:dyDescent="0.55000000000000004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  <c r="AF21" t="s">
        <v>331</v>
      </c>
    </row>
    <row r="22" spans="1:32" x14ac:dyDescent="0.55000000000000004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  <c r="AF22" t="s">
        <v>332</v>
      </c>
    </row>
    <row r="23" spans="1:32" x14ac:dyDescent="0.55000000000000004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32" x14ac:dyDescent="0.55000000000000004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  <c r="AF24" t="s">
        <v>333</v>
      </c>
    </row>
    <row r="25" spans="1:32" x14ac:dyDescent="0.55000000000000004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  <c r="AF25" t="s">
        <v>334</v>
      </c>
    </row>
    <row r="26" spans="1:32" x14ac:dyDescent="0.55000000000000004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32" x14ac:dyDescent="0.55000000000000004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32" x14ac:dyDescent="0.55000000000000004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32" x14ac:dyDescent="0.55000000000000004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32" x14ac:dyDescent="0.55000000000000004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32" x14ac:dyDescent="0.55000000000000004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32" x14ac:dyDescent="0.55000000000000004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 x14ac:dyDescent="0.55000000000000004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 x14ac:dyDescent="0.55000000000000004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 x14ac:dyDescent="0.55000000000000004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 x14ac:dyDescent="0.55000000000000004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 x14ac:dyDescent="0.55000000000000004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 x14ac:dyDescent="0.55000000000000004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 x14ac:dyDescent="0.55000000000000004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 x14ac:dyDescent="0.55000000000000004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 x14ac:dyDescent="0.55000000000000004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 x14ac:dyDescent="0.55000000000000004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 x14ac:dyDescent="0.55000000000000004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 x14ac:dyDescent="0.55000000000000004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 x14ac:dyDescent="0.55000000000000004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 x14ac:dyDescent="0.55000000000000004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 x14ac:dyDescent="0.55000000000000004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 x14ac:dyDescent="0.55000000000000004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 x14ac:dyDescent="0.55000000000000004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 x14ac:dyDescent="0.55000000000000004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 x14ac:dyDescent="0.55000000000000004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 x14ac:dyDescent="0.55000000000000004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 x14ac:dyDescent="0.55000000000000004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 x14ac:dyDescent="0.55000000000000004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 x14ac:dyDescent="0.55000000000000004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 x14ac:dyDescent="0.55000000000000004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 x14ac:dyDescent="0.55000000000000004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 x14ac:dyDescent="0.55000000000000004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 x14ac:dyDescent="0.55000000000000004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 x14ac:dyDescent="0.55000000000000004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 x14ac:dyDescent="0.55000000000000004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 x14ac:dyDescent="0.55000000000000004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 x14ac:dyDescent="0.55000000000000004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 x14ac:dyDescent="0.55000000000000004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 x14ac:dyDescent="0.55000000000000004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 x14ac:dyDescent="0.55000000000000004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 x14ac:dyDescent="0.55000000000000004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 x14ac:dyDescent="0.55000000000000004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 x14ac:dyDescent="0.55000000000000004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 x14ac:dyDescent="0.55000000000000004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 x14ac:dyDescent="0.55000000000000004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 x14ac:dyDescent="0.55000000000000004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 x14ac:dyDescent="0.55000000000000004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 x14ac:dyDescent="0.55000000000000004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 x14ac:dyDescent="0.55000000000000004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 x14ac:dyDescent="0.55000000000000004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 x14ac:dyDescent="0.55000000000000004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 x14ac:dyDescent="0.55000000000000004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 x14ac:dyDescent="0.55000000000000004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 x14ac:dyDescent="0.55000000000000004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 x14ac:dyDescent="0.55000000000000004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 x14ac:dyDescent="0.55000000000000004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 x14ac:dyDescent="0.55000000000000004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 x14ac:dyDescent="0.55000000000000004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55000000000000004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55000000000000004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55000000000000004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55000000000000004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55000000000000004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55000000000000004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55000000000000004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55000000000000004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55000000000000004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55000000000000004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55000000000000004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55000000000000004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55000000000000004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55000000000000004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55000000000000004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55000000000000004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55000000000000004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55000000000000004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55000000000000004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55000000000000004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55000000000000004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55000000000000004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55000000000000004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55000000000000004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55000000000000004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55000000000000004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55000000000000004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55000000000000004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55000000000000004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55000000000000004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55000000000000004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55000000000000004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55000000000000004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55000000000000004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55000000000000004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55000000000000004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55000000000000004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55000000000000004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55000000000000004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55000000000000004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55000000000000004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CB7C1-F4B0-4280-8CC3-5A150888FA0E}">
  <dimension ref="A1:E127"/>
  <sheetViews>
    <sheetView topLeftCell="A16" workbookViewId="0">
      <selection activeCell="D54" sqref="D54:E127"/>
    </sheetView>
  </sheetViews>
  <sheetFormatPr defaultRowHeight="14.4" x14ac:dyDescent="0.55000000000000004"/>
  <sheetData>
    <row r="1" spans="1:5" x14ac:dyDescent="0.55000000000000004">
      <c r="A1" s="1"/>
      <c r="B1" s="30" t="s">
        <v>115</v>
      </c>
      <c r="C1" s="30"/>
      <c r="D1" s="30" t="s">
        <v>75</v>
      </c>
      <c r="E1" s="30"/>
    </row>
    <row r="2" spans="1:5" x14ac:dyDescent="0.55000000000000004">
      <c r="A2" s="13" t="s">
        <v>73</v>
      </c>
      <c r="B2" s="13" t="s">
        <v>370</v>
      </c>
      <c r="C2" s="13" t="s">
        <v>85</v>
      </c>
      <c r="D2" s="13" t="s">
        <v>370</v>
      </c>
      <c r="E2" s="13" t="s">
        <v>85</v>
      </c>
    </row>
    <row r="3" spans="1:5" x14ac:dyDescent="0.55000000000000004">
      <c r="A3">
        <v>1899</v>
      </c>
      <c r="B3" s="21">
        <v>42.07</v>
      </c>
      <c r="C3" s="21">
        <v>24.48</v>
      </c>
      <c r="D3" s="21"/>
      <c r="E3" s="21"/>
    </row>
    <row r="4" spans="1:5" x14ac:dyDescent="0.55000000000000004">
      <c r="A4">
        <v>1900</v>
      </c>
      <c r="B4" s="21">
        <v>44.49</v>
      </c>
      <c r="C4" s="21">
        <v>22.22</v>
      </c>
      <c r="D4" s="21"/>
      <c r="E4" s="21"/>
    </row>
    <row r="5" spans="1:5" x14ac:dyDescent="0.55000000000000004">
      <c r="A5">
        <v>1901</v>
      </c>
      <c r="B5" s="21">
        <v>43.97</v>
      </c>
      <c r="C5" s="21">
        <v>25.34</v>
      </c>
      <c r="D5" s="21"/>
      <c r="E5" s="21"/>
    </row>
    <row r="6" spans="1:5" x14ac:dyDescent="0.55000000000000004">
      <c r="A6">
        <v>1902</v>
      </c>
      <c r="B6" s="21">
        <v>41.76</v>
      </c>
      <c r="C6" s="21">
        <v>27.33</v>
      </c>
      <c r="D6" s="21"/>
      <c r="E6" s="21"/>
    </row>
    <row r="7" spans="1:5" x14ac:dyDescent="0.55000000000000004">
      <c r="A7">
        <v>1903</v>
      </c>
      <c r="B7" s="21">
        <v>43.96</v>
      </c>
      <c r="C7" s="21">
        <v>31.81</v>
      </c>
      <c r="D7" s="21"/>
      <c r="E7" s="21"/>
    </row>
    <row r="8" spans="1:5" x14ac:dyDescent="0.55000000000000004">
      <c r="A8">
        <v>1904</v>
      </c>
      <c r="B8" s="21">
        <v>44.19</v>
      </c>
      <c r="C8" s="21">
        <v>27</v>
      </c>
      <c r="D8" s="21"/>
      <c r="E8" s="21"/>
    </row>
    <row r="9" spans="1:5" x14ac:dyDescent="0.55000000000000004">
      <c r="A9">
        <v>1905</v>
      </c>
      <c r="B9" s="21">
        <v>43.48</v>
      </c>
      <c r="C9" s="21">
        <v>29.08</v>
      </c>
      <c r="D9" s="21"/>
      <c r="E9" s="21"/>
    </row>
    <row r="10" spans="1:5" x14ac:dyDescent="0.55000000000000004">
      <c r="A10">
        <v>1906</v>
      </c>
      <c r="B10" s="21">
        <v>41.16</v>
      </c>
      <c r="C10" s="21">
        <v>27.78</v>
      </c>
      <c r="D10" s="21"/>
      <c r="E10" s="21"/>
    </row>
    <row r="11" spans="1:5" x14ac:dyDescent="0.55000000000000004">
      <c r="A11">
        <v>1907</v>
      </c>
      <c r="B11" s="21">
        <v>41.95</v>
      </c>
      <c r="C11" s="21">
        <v>27.82</v>
      </c>
      <c r="D11" s="21"/>
      <c r="E11" s="21"/>
    </row>
    <row r="12" spans="1:5" x14ac:dyDescent="0.55000000000000004">
      <c r="A12">
        <v>1908</v>
      </c>
      <c r="B12" s="21">
        <v>44.57</v>
      </c>
      <c r="C12" s="21">
        <v>27.71</v>
      </c>
      <c r="D12" s="21"/>
      <c r="E12" s="21"/>
    </row>
    <row r="13" spans="1:5" x14ac:dyDescent="0.55000000000000004">
      <c r="A13">
        <v>1909</v>
      </c>
      <c r="B13" s="21">
        <v>43.94</v>
      </c>
      <c r="C13" s="21">
        <v>27.96</v>
      </c>
      <c r="D13" s="21"/>
      <c r="E13" s="21"/>
    </row>
    <row r="14" spans="1:5" x14ac:dyDescent="0.55000000000000004">
      <c r="A14">
        <v>1910</v>
      </c>
      <c r="B14" s="21">
        <v>42.43</v>
      </c>
      <c r="C14" s="21">
        <v>29.72</v>
      </c>
      <c r="D14" s="21"/>
      <c r="E14" s="21"/>
    </row>
    <row r="15" spans="1:5" x14ac:dyDescent="0.55000000000000004">
      <c r="A15">
        <v>1911</v>
      </c>
      <c r="B15" s="21">
        <v>43.97</v>
      </c>
      <c r="C15" s="21">
        <v>28.9</v>
      </c>
      <c r="D15" s="21"/>
      <c r="E15" s="21"/>
    </row>
    <row r="16" spans="1:5" x14ac:dyDescent="0.55000000000000004">
      <c r="A16">
        <v>1912</v>
      </c>
      <c r="B16" s="21">
        <v>44.03</v>
      </c>
      <c r="C16" s="21">
        <v>26.34</v>
      </c>
      <c r="D16" s="21"/>
      <c r="E16" s="21"/>
    </row>
    <row r="17" spans="1:5" x14ac:dyDescent="0.55000000000000004">
      <c r="A17">
        <v>1913</v>
      </c>
      <c r="B17" s="21">
        <v>44.13</v>
      </c>
      <c r="C17" s="21">
        <v>26.11</v>
      </c>
      <c r="D17" s="21"/>
      <c r="E17" s="21"/>
    </row>
    <row r="18" spans="1:5" x14ac:dyDescent="0.55000000000000004">
      <c r="A18">
        <v>1914</v>
      </c>
      <c r="B18" s="21">
        <v>44.08</v>
      </c>
      <c r="C18" s="21">
        <v>25.92</v>
      </c>
      <c r="D18" s="21"/>
      <c r="E18" s="21"/>
    </row>
    <row r="19" spans="1:5" x14ac:dyDescent="0.55000000000000004">
      <c r="A19">
        <v>1915</v>
      </c>
      <c r="B19" s="21">
        <v>42.63</v>
      </c>
      <c r="C19" s="21">
        <v>37.520000000000003</v>
      </c>
      <c r="D19" s="21"/>
      <c r="E19" s="21"/>
    </row>
    <row r="20" spans="1:5" x14ac:dyDescent="0.55000000000000004">
      <c r="A20">
        <v>1916</v>
      </c>
      <c r="B20" s="21">
        <v>38.68</v>
      </c>
      <c r="C20" s="21">
        <v>41.62</v>
      </c>
      <c r="D20" s="21"/>
      <c r="E20" s="21"/>
    </row>
    <row r="21" spans="1:5" x14ac:dyDescent="0.55000000000000004">
      <c r="A21">
        <v>1917</v>
      </c>
      <c r="B21" s="21">
        <v>41.63</v>
      </c>
      <c r="C21" s="21">
        <v>34</v>
      </c>
      <c r="D21" s="21"/>
      <c r="E21" s="21"/>
    </row>
    <row r="22" spans="1:5" x14ac:dyDescent="0.55000000000000004">
      <c r="A22">
        <v>1918</v>
      </c>
      <c r="B22" s="21">
        <v>41.16</v>
      </c>
      <c r="C22" s="21">
        <v>33.619999999999997</v>
      </c>
      <c r="D22" s="21"/>
      <c r="E22" s="21"/>
    </row>
    <row r="23" spans="1:5" x14ac:dyDescent="0.55000000000000004">
      <c r="A23">
        <v>1919</v>
      </c>
      <c r="B23" s="21">
        <v>41.52</v>
      </c>
      <c r="C23" s="21">
        <v>31.22</v>
      </c>
      <c r="D23" s="21"/>
      <c r="E23" s="21"/>
    </row>
    <row r="24" spans="1:5" x14ac:dyDescent="0.55000000000000004">
      <c r="A24">
        <v>1920</v>
      </c>
      <c r="B24" s="21">
        <v>44.49</v>
      </c>
      <c r="C24" s="21">
        <v>30.64</v>
      </c>
      <c r="D24" s="21"/>
      <c r="E24" s="21"/>
    </row>
    <row r="25" spans="1:5" x14ac:dyDescent="0.55000000000000004">
      <c r="A25">
        <v>1921</v>
      </c>
      <c r="B25" s="21">
        <v>44.5</v>
      </c>
      <c r="C25" s="21">
        <v>29.43</v>
      </c>
      <c r="D25" s="21"/>
      <c r="E25" s="21"/>
    </row>
    <row r="26" spans="1:5" x14ac:dyDescent="0.55000000000000004">
      <c r="A26">
        <v>1922</v>
      </c>
      <c r="B26" s="21">
        <v>41.96</v>
      </c>
      <c r="C26" s="21">
        <v>26.96</v>
      </c>
      <c r="D26" s="21"/>
      <c r="E26" s="21"/>
    </row>
    <row r="27" spans="1:5" x14ac:dyDescent="0.55000000000000004">
      <c r="A27">
        <v>1923</v>
      </c>
      <c r="B27" s="21">
        <v>44.03</v>
      </c>
      <c r="C27" s="21">
        <v>23.4</v>
      </c>
      <c r="D27" s="21"/>
      <c r="E27" s="21"/>
    </row>
    <row r="28" spans="1:5" x14ac:dyDescent="0.55000000000000004">
      <c r="A28">
        <v>1924</v>
      </c>
      <c r="B28" s="21">
        <v>46.16</v>
      </c>
      <c r="C28" s="21">
        <v>30.21</v>
      </c>
      <c r="D28" s="21"/>
      <c r="E28" s="21"/>
    </row>
    <row r="29" spans="1:5" x14ac:dyDescent="0.55000000000000004">
      <c r="A29">
        <v>1925</v>
      </c>
      <c r="B29" s="21">
        <v>42.63</v>
      </c>
      <c r="C29" s="21">
        <v>29.12</v>
      </c>
      <c r="D29" s="21"/>
      <c r="E29" s="21"/>
    </row>
    <row r="30" spans="1:5" x14ac:dyDescent="0.55000000000000004">
      <c r="A30">
        <v>1926</v>
      </c>
      <c r="B30" s="21">
        <v>44.69</v>
      </c>
      <c r="C30" s="21">
        <v>33.21</v>
      </c>
      <c r="D30" s="21"/>
      <c r="E30" s="21"/>
    </row>
    <row r="31" spans="1:5" x14ac:dyDescent="0.55000000000000004">
      <c r="A31">
        <v>1927</v>
      </c>
      <c r="B31" s="21">
        <v>44.51</v>
      </c>
      <c r="C31" s="21">
        <v>26.22</v>
      </c>
      <c r="D31" s="21"/>
      <c r="E31" s="21"/>
    </row>
    <row r="32" spans="1:5" x14ac:dyDescent="0.55000000000000004">
      <c r="A32">
        <v>1928</v>
      </c>
      <c r="B32" s="21">
        <v>47.01</v>
      </c>
      <c r="C32" s="21">
        <v>28.44</v>
      </c>
      <c r="D32" s="21"/>
      <c r="E32" s="21"/>
    </row>
    <row r="33" spans="1:5" x14ac:dyDescent="0.55000000000000004">
      <c r="A33">
        <v>1929</v>
      </c>
      <c r="B33" s="21">
        <v>43.09</v>
      </c>
      <c r="C33" s="21">
        <v>29.36</v>
      </c>
      <c r="D33" s="21"/>
      <c r="E33" s="21"/>
    </row>
    <row r="34" spans="1:5" x14ac:dyDescent="0.55000000000000004">
      <c r="A34">
        <v>1930</v>
      </c>
      <c r="B34" s="21">
        <v>46.2</v>
      </c>
      <c r="C34" s="21">
        <v>27.3</v>
      </c>
      <c r="D34" s="21"/>
      <c r="E34" s="21"/>
    </row>
    <row r="35" spans="1:5" x14ac:dyDescent="0.55000000000000004">
      <c r="A35">
        <v>1931</v>
      </c>
      <c r="B35" s="21">
        <v>46.09</v>
      </c>
      <c r="C35" s="21">
        <v>27.87</v>
      </c>
      <c r="D35" s="21"/>
      <c r="E35" s="21"/>
    </row>
    <row r="36" spans="1:5" x14ac:dyDescent="0.55000000000000004">
      <c r="A36">
        <v>1932</v>
      </c>
      <c r="B36" s="21">
        <v>41.05</v>
      </c>
      <c r="C36" s="21">
        <v>27.04</v>
      </c>
      <c r="D36" s="21"/>
      <c r="E36" s="21"/>
    </row>
    <row r="37" spans="1:5" x14ac:dyDescent="0.55000000000000004">
      <c r="A37">
        <v>1933</v>
      </c>
      <c r="B37" s="21">
        <v>41.75</v>
      </c>
      <c r="C37" s="21">
        <v>29.14</v>
      </c>
      <c r="D37" s="21"/>
      <c r="E37" s="21"/>
    </row>
    <row r="38" spans="1:5" x14ac:dyDescent="0.55000000000000004">
      <c r="A38">
        <v>1934</v>
      </c>
      <c r="B38" s="21">
        <v>41.44</v>
      </c>
      <c r="C38" s="21">
        <v>31.73</v>
      </c>
      <c r="D38" s="21"/>
      <c r="E38" s="21"/>
    </row>
    <row r="39" spans="1:5" x14ac:dyDescent="0.55000000000000004">
      <c r="A39">
        <v>1935</v>
      </c>
      <c r="B39" s="21">
        <v>39.86</v>
      </c>
      <c r="C39" s="21">
        <v>31.55</v>
      </c>
      <c r="D39" s="21"/>
      <c r="E39" s="21"/>
    </row>
    <row r="40" spans="1:5" x14ac:dyDescent="0.55000000000000004">
      <c r="A40">
        <v>1936</v>
      </c>
      <c r="B40" s="21">
        <v>43.73</v>
      </c>
      <c r="C40" s="21">
        <v>26.95</v>
      </c>
      <c r="D40" s="21"/>
      <c r="E40" s="21"/>
    </row>
    <row r="41" spans="1:5" x14ac:dyDescent="0.55000000000000004">
      <c r="A41">
        <v>1937</v>
      </c>
      <c r="B41" s="21">
        <v>41.93</v>
      </c>
      <c r="C41" s="21">
        <v>25.97</v>
      </c>
      <c r="D41" s="21"/>
      <c r="E41" s="21"/>
    </row>
    <row r="42" spans="1:5" x14ac:dyDescent="0.55000000000000004">
      <c r="A42">
        <v>1938</v>
      </c>
      <c r="B42" s="21">
        <v>43.9</v>
      </c>
      <c r="C42" s="21">
        <v>24.33</v>
      </c>
      <c r="D42" s="21"/>
      <c r="E42" s="21"/>
    </row>
    <row r="43" spans="1:5" x14ac:dyDescent="0.55000000000000004">
      <c r="A43">
        <v>1939</v>
      </c>
      <c r="B43" s="21">
        <v>43.92</v>
      </c>
      <c r="C43" s="21">
        <v>24.24</v>
      </c>
      <c r="D43" s="21"/>
      <c r="E43" s="21"/>
    </row>
    <row r="44" spans="1:5" x14ac:dyDescent="0.55000000000000004">
      <c r="A44">
        <v>1940</v>
      </c>
      <c r="B44" s="21">
        <v>44.87</v>
      </c>
      <c r="C44" s="21">
        <v>23.48</v>
      </c>
      <c r="D44" s="21"/>
      <c r="E44" s="21"/>
    </row>
    <row r="45" spans="1:5" x14ac:dyDescent="0.55000000000000004">
      <c r="A45">
        <v>1941</v>
      </c>
      <c r="B45" s="21">
        <v>42.65</v>
      </c>
      <c r="C45" s="21">
        <v>22.46</v>
      </c>
      <c r="D45" s="21"/>
      <c r="E45" s="21"/>
    </row>
    <row r="46" spans="1:5" x14ac:dyDescent="0.55000000000000004">
      <c r="A46">
        <v>1942</v>
      </c>
      <c r="B46" s="21">
        <v>41.3</v>
      </c>
      <c r="C46" s="21">
        <v>27.65</v>
      </c>
      <c r="D46" s="21"/>
      <c r="E46" s="21"/>
    </row>
    <row r="47" spans="1:5" x14ac:dyDescent="0.55000000000000004">
      <c r="A47">
        <v>1943</v>
      </c>
      <c r="B47" s="21">
        <v>40.869999999999997</v>
      </c>
      <c r="C47" s="21">
        <v>27.39</v>
      </c>
      <c r="D47" s="21"/>
      <c r="E47" s="21"/>
    </row>
    <row r="48" spans="1:5" x14ac:dyDescent="0.55000000000000004">
      <c r="A48">
        <v>1944</v>
      </c>
      <c r="B48" s="21">
        <v>40.96</v>
      </c>
      <c r="C48" s="21">
        <v>23.86</v>
      </c>
      <c r="D48" s="21"/>
      <c r="E48" s="21"/>
    </row>
    <row r="49" spans="1:5" x14ac:dyDescent="0.55000000000000004">
      <c r="A49">
        <v>1945</v>
      </c>
      <c r="B49" s="21">
        <v>41.46</v>
      </c>
      <c r="C49" s="21">
        <v>22.04</v>
      </c>
      <c r="D49" s="21"/>
      <c r="E49" s="21"/>
    </row>
    <row r="50" spans="1:5" x14ac:dyDescent="0.55000000000000004">
      <c r="A50">
        <v>1946</v>
      </c>
      <c r="B50" s="21">
        <v>39.29</v>
      </c>
      <c r="C50" s="21">
        <v>21.13</v>
      </c>
      <c r="D50" s="21"/>
      <c r="E50" s="21"/>
    </row>
    <row r="51" spans="1:5" x14ac:dyDescent="0.55000000000000004">
      <c r="A51">
        <v>1947</v>
      </c>
      <c r="B51" s="21">
        <v>45.22</v>
      </c>
      <c r="C51" s="21">
        <v>20.59</v>
      </c>
      <c r="D51" s="21"/>
      <c r="E51" s="21"/>
    </row>
    <row r="52" spans="1:5" x14ac:dyDescent="0.55000000000000004">
      <c r="A52">
        <v>1948</v>
      </c>
      <c r="B52" s="21">
        <v>42.31</v>
      </c>
      <c r="C52" s="21">
        <v>19.989999999999998</v>
      </c>
      <c r="D52" s="21"/>
      <c r="E52" s="21"/>
    </row>
    <row r="53" spans="1:5" x14ac:dyDescent="0.55000000000000004">
      <c r="A53">
        <v>1949</v>
      </c>
      <c r="B53" s="21">
        <v>43.52</v>
      </c>
      <c r="C53" s="21">
        <v>18.170000000000002</v>
      </c>
      <c r="D53" s="21"/>
      <c r="E53" s="21"/>
    </row>
    <row r="54" spans="1:5" x14ac:dyDescent="0.55000000000000004">
      <c r="A54">
        <v>1950</v>
      </c>
      <c r="B54" s="21">
        <v>45.35</v>
      </c>
      <c r="C54" s="21">
        <v>17.600000000000001</v>
      </c>
      <c r="D54" s="3">
        <v>46.9</v>
      </c>
      <c r="E54" s="3">
        <v>21</v>
      </c>
    </row>
    <row r="55" spans="1:5" x14ac:dyDescent="0.55000000000000004">
      <c r="A55">
        <v>1951</v>
      </c>
      <c r="B55" s="21">
        <v>45.71</v>
      </c>
      <c r="C55" s="21">
        <v>18.14</v>
      </c>
      <c r="D55" s="3">
        <v>47</v>
      </c>
      <c r="E55" s="3">
        <v>21.4</v>
      </c>
    </row>
    <row r="56" spans="1:5" x14ac:dyDescent="0.55000000000000004">
      <c r="A56">
        <v>1952</v>
      </c>
      <c r="B56" s="21">
        <v>46.08</v>
      </c>
      <c r="C56" s="21">
        <v>19.760000000000002</v>
      </c>
      <c r="D56" s="3">
        <v>47.2</v>
      </c>
      <c r="E56" s="3">
        <v>20.7</v>
      </c>
    </row>
    <row r="57" spans="1:5" x14ac:dyDescent="0.55000000000000004">
      <c r="A57">
        <v>1953</v>
      </c>
      <c r="B57" s="21">
        <v>45.76</v>
      </c>
      <c r="C57" s="21">
        <v>18.010000000000002</v>
      </c>
      <c r="D57" s="3">
        <v>47.3</v>
      </c>
      <c r="E57" s="3">
        <v>20.5</v>
      </c>
    </row>
    <row r="58" spans="1:5" x14ac:dyDescent="0.55000000000000004">
      <c r="A58">
        <v>1954</v>
      </c>
      <c r="B58" s="21">
        <v>46.2</v>
      </c>
      <c r="C58" s="21">
        <v>18.440000000000001</v>
      </c>
      <c r="D58" s="3">
        <v>47.4</v>
      </c>
      <c r="E58" s="3">
        <v>20.100000000000001</v>
      </c>
    </row>
    <row r="59" spans="1:5" x14ac:dyDescent="0.55000000000000004">
      <c r="A59">
        <v>1955</v>
      </c>
      <c r="B59" s="21">
        <v>46.37</v>
      </c>
      <c r="C59" s="21">
        <v>17.600000000000001</v>
      </c>
      <c r="D59" s="3">
        <v>47.5</v>
      </c>
      <c r="E59" s="3">
        <v>19.7</v>
      </c>
    </row>
    <row r="60" spans="1:5" x14ac:dyDescent="0.55000000000000004">
      <c r="A60">
        <v>1956</v>
      </c>
      <c r="B60" s="21">
        <v>45.82</v>
      </c>
      <c r="C60" s="21">
        <v>15.48</v>
      </c>
      <c r="D60" s="3">
        <v>47.4</v>
      </c>
      <c r="E60" s="3">
        <v>19.3</v>
      </c>
    </row>
    <row r="61" spans="1:5" x14ac:dyDescent="0.55000000000000004">
      <c r="A61">
        <v>1957</v>
      </c>
      <c r="B61" s="21">
        <v>48.07</v>
      </c>
      <c r="C61" s="21">
        <v>17.61</v>
      </c>
      <c r="D61" s="3">
        <v>47.5</v>
      </c>
      <c r="E61" s="3">
        <v>18.899999999999999</v>
      </c>
    </row>
    <row r="62" spans="1:5" x14ac:dyDescent="0.55000000000000004">
      <c r="A62">
        <v>1958</v>
      </c>
      <c r="B62" s="21">
        <v>46.84</v>
      </c>
      <c r="C62" s="21">
        <v>17.100000000000001</v>
      </c>
      <c r="D62" s="3">
        <v>47.4</v>
      </c>
      <c r="E62" s="3">
        <v>18.399999999999999</v>
      </c>
    </row>
    <row r="63" spans="1:5" x14ac:dyDescent="0.55000000000000004">
      <c r="A63">
        <v>1959</v>
      </c>
      <c r="B63" s="21">
        <v>45.76</v>
      </c>
      <c r="C63" s="21">
        <v>15.22</v>
      </c>
      <c r="D63" s="3">
        <v>47.2</v>
      </c>
      <c r="E63" s="3">
        <v>18.100000000000001</v>
      </c>
    </row>
    <row r="64" spans="1:5" x14ac:dyDescent="0.55000000000000004">
      <c r="A64">
        <v>1960</v>
      </c>
      <c r="B64" s="21">
        <v>46.71</v>
      </c>
      <c r="C64" s="21">
        <v>14.17</v>
      </c>
      <c r="D64" s="3">
        <v>47</v>
      </c>
      <c r="E64" s="3">
        <v>17.8</v>
      </c>
    </row>
    <row r="65" spans="1:5" x14ac:dyDescent="0.55000000000000004">
      <c r="A65">
        <v>1961</v>
      </c>
      <c r="B65" s="21">
        <v>46.62</v>
      </c>
      <c r="C65" s="21">
        <v>13.61</v>
      </c>
      <c r="D65" s="3">
        <v>47</v>
      </c>
      <c r="E65" s="3">
        <v>17.5</v>
      </c>
    </row>
    <row r="66" spans="1:5" x14ac:dyDescent="0.55000000000000004">
      <c r="A66">
        <v>1962</v>
      </c>
      <c r="B66" s="21">
        <v>46.04</v>
      </c>
      <c r="C66" s="21">
        <v>14.06</v>
      </c>
      <c r="D66" s="3">
        <v>47.1</v>
      </c>
      <c r="E66" s="3">
        <v>17.2</v>
      </c>
    </row>
    <row r="67" spans="1:5" x14ac:dyDescent="0.55000000000000004">
      <c r="A67">
        <v>1963</v>
      </c>
      <c r="B67" s="21">
        <v>46.88</v>
      </c>
      <c r="C67" s="21">
        <v>13.32</v>
      </c>
      <c r="D67" s="3">
        <v>47</v>
      </c>
      <c r="E67" s="3">
        <v>17</v>
      </c>
    </row>
    <row r="68" spans="1:5" x14ac:dyDescent="0.55000000000000004">
      <c r="A68">
        <v>1964</v>
      </c>
      <c r="B68" s="21">
        <v>45.33</v>
      </c>
      <c r="C68" s="21">
        <v>12.86</v>
      </c>
      <c r="D68" s="3">
        <v>46.8</v>
      </c>
      <c r="E68" s="3">
        <v>16.8</v>
      </c>
    </row>
    <row r="69" spans="1:5" x14ac:dyDescent="0.55000000000000004">
      <c r="A69">
        <v>1965</v>
      </c>
      <c r="B69" s="21">
        <v>45.42</v>
      </c>
      <c r="C69" s="21">
        <v>12.26</v>
      </c>
      <c r="D69" s="3">
        <v>46.3</v>
      </c>
      <c r="E69" s="3">
        <v>16.5</v>
      </c>
    </row>
    <row r="70" spans="1:5" x14ac:dyDescent="0.55000000000000004">
      <c r="A70">
        <v>1966</v>
      </c>
      <c r="B70" s="21">
        <v>44.24</v>
      </c>
      <c r="C70" s="21">
        <v>11.72</v>
      </c>
      <c r="D70" s="3">
        <v>45.7</v>
      </c>
      <c r="E70" s="3">
        <v>16.2</v>
      </c>
    </row>
    <row r="71" spans="1:5" x14ac:dyDescent="0.55000000000000004">
      <c r="A71">
        <v>1967</v>
      </c>
      <c r="B71" s="21">
        <v>43.58</v>
      </c>
      <c r="C71" s="21">
        <v>10.83</v>
      </c>
      <c r="D71" s="3">
        <v>45.1</v>
      </c>
      <c r="E71" s="3">
        <v>16</v>
      </c>
    </row>
    <row r="72" spans="1:5" x14ac:dyDescent="0.55000000000000004">
      <c r="A72">
        <v>1968</v>
      </c>
      <c r="B72" s="21">
        <v>42.61</v>
      </c>
      <c r="C72" s="21">
        <v>10.84</v>
      </c>
      <c r="D72" s="3">
        <v>44.3</v>
      </c>
      <c r="E72" s="3">
        <v>15.9</v>
      </c>
    </row>
    <row r="73" spans="1:5" x14ac:dyDescent="0.55000000000000004">
      <c r="A73">
        <v>1969</v>
      </c>
      <c r="B73" s="21">
        <v>41.9</v>
      </c>
      <c r="C73" s="21">
        <v>11.86</v>
      </c>
      <c r="D73" s="3">
        <v>43.5</v>
      </c>
      <c r="E73" s="3">
        <v>15.5</v>
      </c>
    </row>
    <row r="74" spans="1:5" x14ac:dyDescent="0.55000000000000004">
      <c r="A74">
        <v>1970</v>
      </c>
      <c r="B74" s="21">
        <v>40.42</v>
      </c>
      <c r="C74" s="21">
        <v>12.53</v>
      </c>
      <c r="D74" s="3">
        <v>42.8</v>
      </c>
      <c r="E74" s="3">
        <v>15.4</v>
      </c>
    </row>
    <row r="75" spans="1:5" x14ac:dyDescent="0.55000000000000004">
      <c r="A75">
        <v>1971</v>
      </c>
      <c r="B75" s="21">
        <v>43.16</v>
      </c>
      <c r="C75" s="21">
        <v>10.050000000000001</v>
      </c>
      <c r="D75" s="3">
        <v>42.8</v>
      </c>
      <c r="E75" s="3">
        <v>15</v>
      </c>
    </row>
    <row r="76" spans="1:5" x14ac:dyDescent="0.55000000000000004">
      <c r="A76">
        <v>1972</v>
      </c>
      <c r="B76" s="21">
        <v>41.81</v>
      </c>
      <c r="C76" s="21">
        <v>11.03</v>
      </c>
      <c r="D76" s="3">
        <v>42.5</v>
      </c>
      <c r="E76" s="3">
        <v>14.6</v>
      </c>
    </row>
    <row r="77" spans="1:5" x14ac:dyDescent="0.55000000000000004">
      <c r="A77">
        <v>1973</v>
      </c>
      <c r="B77" s="21">
        <v>41.39</v>
      </c>
      <c r="C77" s="21">
        <v>10.59</v>
      </c>
      <c r="D77" s="3">
        <v>42.2</v>
      </c>
      <c r="E77" s="3">
        <v>13.9</v>
      </c>
    </row>
    <row r="78" spans="1:5" x14ac:dyDescent="0.55000000000000004">
      <c r="A78">
        <v>1974</v>
      </c>
      <c r="B78" s="21">
        <v>41.14</v>
      </c>
      <c r="C78" s="21">
        <v>9.89</v>
      </c>
      <c r="D78" s="3">
        <v>41.9</v>
      </c>
      <c r="E78" s="3">
        <v>13.7</v>
      </c>
    </row>
    <row r="79" spans="1:5" x14ac:dyDescent="0.55000000000000004">
      <c r="A79">
        <v>1975</v>
      </c>
      <c r="B79" s="21">
        <v>40.43</v>
      </c>
      <c r="C79" s="21">
        <v>10.8</v>
      </c>
      <c r="D79" s="3">
        <v>41.5</v>
      </c>
      <c r="E79" s="3">
        <v>13.2</v>
      </c>
    </row>
    <row r="80" spans="1:5" x14ac:dyDescent="0.55000000000000004">
      <c r="A80">
        <v>1976</v>
      </c>
      <c r="B80" s="21">
        <v>41.19</v>
      </c>
      <c r="C80" s="21">
        <v>10.34</v>
      </c>
      <c r="D80" s="3">
        <v>41.2</v>
      </c>
      <c r="E80" s="3">
        <v>12.5</v>
      </c>
    </row>
    <row r="81" spans="1:5" x14ac:dyDescent="0.55000000000000004">
      <c r="A81">
        <v>1977</v>
      </c>
      <c r="B81" s="21">
        <v>43.22</v>
      </c>
      <c r="C81" s="21">
        <v>10.85</v>
      </c>
      <c r="D81" s="3">
        <v>40.799999999999997</v>
      </c>
      <c r="E81" s="3">
        <v>12.5</v>
      </c>
    </row>
    <row r="82" spans="1:5" x14ac:dyDescent="0.55000000000000004">
      <c r="A82">
        <v>1978</v>
      </c>
      <c r="B82" s="21">
        <v>41.18</v>
      </c>
      <c r="C82" s="21">
        <v>9.67</v>
      </c>
      <c r="D82" s="3">
        <v>40.4</v>
      </c>
      <c r="E82" s="3">
        <v>12.1</v>
      </c>
    </row>
    <row r="83" spans="1:5" x14ac:dyDescent="0.55000000000000004">
      <c r="A83">
        <v>1979</v>
      </c>
      <c r="B83" s="21">
        <v>40.61</v>
      </c>
      <c r="C83" s="21">
        <v>10.37</v>
      </c>
      <c r="D83" s="3">
        <v>40.1</v>
      </c>
      <c r="E83" s="3">
        <v>12.5</v>
      </c>
    </row>
    <row r="84" spans="1:5" x14ac:dyDescent="0.55000000000000004">
      <c r="A84">
        <v>1980</v>
      </c>
      <c r="B84" s="21">
        <v>38.83</v>
      </c>
      <c r="C84" s="21">
        <v>12.02</v>
      </c>
      <c r="D84" s="3">
        <v>39.799999999999997</v>
      </c>
      <c r="E84" s="3">
        <v>15.2</v>
      </c>
    </row>
    <row r="85" spans="1:5" x14ac:dyDescent="0.55000000000000004">
      <c r="A85">
        <v>1981</v>
      </c>
      <c r="B85" s="21">
        <v>36.979999999999997</v>
      </c>
      <c r="C85" s="21">
        <v>11.45</v>
      </c>
      <c r="D85" s="3">
        <v>39.6</v>
      </c>
      <c r="E85" s="3">
        <v>13.9</v>
      </c>
    </row>
    <row r="86" spans="1:5" x14ac:dyDescent="0.55000000000000004">
      <c r="A86">
        <v>1982</v>
      </c>
      <c r="B86" s="21">
        <v>35.229999999999997</v>
      </c>
      <c r="C86" s="21">
        <v>10.1</v>
      </c>
      <c r="D86" s="3">
        <v>38.6</v>
      </c>
      <c r="E86" s="3">
        <v>12.4</v>
      </c>
    </row>
    <row r="87" spans="1:5" x14ac:dyDescent="0.55000000000000004">
      <c r="A87">
        <v>1983</v>
      </c>
      <c r="B87" s="21">
        <v>32.15</v>
      </c>
      <c r="C87" s="21">
        <v>9.84</v>
      </c>
      <c r="D87" s="3">
        <v>37.700000000000003</v>
      </c>
      <c r="E87" s="3">
        <v>11.8</v>
      </c>
    </row>
    <row r="88" spans="1:5" x14ac:dyDescent="0.55000000000000004">
      <c r="A88">
        <v>1984</v>
      </c>
      <c r="B88" s="21">
        <v>31.55</v>
      </c>
      <c r="C88" s="21">
        <v>8.64</v>
      </c>
      <c r="D88" s="3">
        <v>36.700000000000003</v>
      </c>
      <c r="E88" s="3">
        <v>10.6</v>
      </c>
    </row>
    <row r="89" spans="1:5" x14ac:dyDescent="0.55000000000000004">
      <c r="A89">
        <v>1985</v>
      </c>
      <c r="B89" s="21">
        <v>31.06</v>
      </c>
      <c r="C89" s="21">
        <v>8.11</v>
      </c>
      <c r="D89" s="3">
        <v>35.700000000000003</v>
      </c>
      <c r="E89" s="3">
        <v>9.6999999999999993</v>
      </c>
    </row>
    <row r="90" spans="1:5" x14ac:dyDescent="0.55000000000000004">
      <c r="A90">
        <v>1986</v>
      </c>
      <c r="B90" s="21">
        <v>31.6</v>
      </c>
      <c r="C90" s="21">
        <v>7.56</v>
      </c>
      <c r="D90" s="3">
        <v>35.1</v>
      </c>
      <c r="E90" s="3">
        <v>9</v>
      </c>
    </row>
    <row r="91" spans="1:5" x14ac:dyDescent="0.55000000000000004">
      <c r="A91">
        <v>1987</v>
      </c>
      <c r="B91" s="21">
        <v>31.83</v>
      </c>
      <c r="C91" s="21">
        <v>7.98</v>
      </c>
      <c r="D91" s="3">
        <v>35.200000000000003</v>
      </c>
      <c r="E91" s="3">
        <v>9</v>
      </c>
    </row>
    <row r="92" spans="1:5" x14ac:dyDescent="0.55000000000000004">
      <c r="A92">
        <v>1988</v>
      </c>
      <c r="B92" s="21">
        <v>31.57</v>
      </c>
      <c r="C92" s="21">
        <v>7.93</v>
      </c>
      <c r="D92" s="3">
        <v>34.9</v>
      </c>
      <c r="E92" s="3">
        <v>8.6999999999999993</v>
      </c>
    </row>
    <row r="93" spans="1:5" x14ac:dyDescent="0.55000000000000004">
      <c r="A93">
        <v>1989</v>
      </c>
      <c r="B93" s="21">
        <v>31.65</v>
      </c>
      <c r="C93" s="21">
        <v>7.81</v>
      </c>
      <c r="D93" s="3">
        <v>34.4</v>
      </c>
      <c r="E93" s="3">
        <v>8.1</v>
      </c>
    </row>
    <row r="94" spans="1:5" x14ac:dyDescent="0.55000000000000004">
      <c r="A94">
        <v>1990</v>
      </c>
      <c r="B94" s="21">
        <v>30.47</v>
      </c>
      <c r="C94" s="21">
        <v>7.82</v>
      </c>
      <c r="D94" s="3">
        <v>33.700000000000003</v>
      </c>
      <c r="E94" s="3">
        <v>7.7</v>
      </c>
    </row>
    <row r="95" spans="1:5" x14ac:dyDescent="0.55000000000000004">
      <c r="A95">
        <v>1991</v>
      </c>
      <c r="B95" s="21">
        <v>30.52</v>
      </c>
      <c r="C95" s="21">
        <v>7.38</v>
      </c>
      <c r="D95" s="3">
        <v>33.1</v>
      </c>
      <c r="E95" s="3">
        <v>7.5</v>
      </c>
    </row>
    <row r="96" spans="1:5" x14ac:dyDescent="0.55000000000000004">
      <c r="A96">
        <v>1992</v>
      </c>
      <c r="B96" s="21">
        <v>30.54</v>
      </c>
      <c r="C96" s="21">
        <v>7.46</v>
      </c>
      <c r="D96" s="3">
        <v>32.200000000000003</v>
      </c>
      <c r="E96" s="3">
        <v>7.3</v>
      </c>
    </row>
    <row r="97" spans="1:5" x14ac:dyDescent="0.55000000000000004">
      <c r="A97">
        <v>1993</v>
      </c>
      <c r="B97" s="21">
        <v>30.7</v>
      </c>
      <c r="C97" s="21">
        <v>7.68</v>
      </c>
      <c r="D97" s="3">
        <v>31.3</v>
      </c>
      <c r="E97" s="3">
        <v>6.9</v>
      </c>
    </row>
    <row r="98" spans="1:5" x14ac:dyDescent="0.55000000000000004">
      <c r="A98">
        <v>1994</v>
      </c>
      <c r="B98" s="21">
        <v>29.25</v>
      </c>
      <c r="C98" s="21">
        <v>7.41</v>
      </c>
      <c r="D98" s="3">
        <v>31</v>
      </c>
      <c r="E98" s="3">
        <v>6.8</v>
      </c>
    </row>
    <row r="99" spans="1:5" x14ac:dyDescent="0.55000000000000004">
      <c r="A99">
        <f>A98+1</f>
        <v>1995</v>
      </c>
      <c r="B99" s="21"/>
      <c r="C99" s="21"/>
      <c r="D99" s="3">
        <v>30.8</v>
      </c>
      <c r="E99" s="3">
        <v>6.8</v>
      </c>
    </row>
    <row r="100" spans="1:5" x14ac:dyDescent="0.55000000000000004">
      <c r="A100">
        <f t="shared" ref="A100:A132" si="0">A99+1</f>
        <v>1996</v>
      </c>
      <c r="B100" s="21"/>
      <c r="C100" s="21"/>
      <c r="D100" s="3">
        <v>30.3</v>
      </c>
      <c r="E100" s="3">
        <v>6.7</v>
      </c>
    </row>
    <row r="101" spans="1:5" x14ac:dyDescent="0.55000000000000004">
      <c r="A101">
        <f t="shared" si="0"/>
        <v>1997</v>
      </c>
      <c r="B101" s="21"/>
      <c r="C101" s="21"/>
      <c r="D101" s="3">
        <v>29.6</v>
      </c>
      <c r="E101" s="3">
        <v>6.6</v>
      </c>
    </row>
    <row r="102" spans="1:5" x14ac:dyDescent="0.55000000000000004">
      <c r="A102">
        <f t="shared" si="0"/>
        <v>1998</v>
      </c>
      <c r="B102" s="21"/>
      <c r="C102" s="21"/>
      <c r="D102" s="3">
        <v>29.4</v>
      </c>
      <c r="E102" s="3">
        <v>6.6</v>
      </c>
    </row>
    <row r="103" spans="1:5" x14ac:dyDescent="0.55000000000000004">
      <c r="A103">
        <f t="shared" si="0"/>
        <v>1999</v>
      </c>
      <c r="B103" s="21"/>
      <c r="C103" s="21"/>
      <c r="D103" s="3">
        <v>28.3</v>
      </c>
      <c r="E103" s="3">
        <v>6.5</v>
      </c>
    </row>
    <row r="104" spans="1:5" x14ac:dyDescent="0.55000000000000004">
      <c r="A104">
        <f t="shared" si="0"/>
        <v>2000</v>
      </c>
      <c r="B104" s="21"/>
      <c r="C104" s="21"/>
      <c r="D104" s="3">
        <v>27.1</v>
      </c>
      <c r="E104" s="3">
        <v>6.6</v>
      </c>
    </row>
    <row r="105" spans="1:5" x14ac:dyDescent="0.55000000000000004">
      <c r="A105">
        <f t="shared" si="0"/>
        <v>2001</v>
      </c>
      <c r="B105" s="21"/>
      <c r="C105" s="21"/>
      <c r="D105" s="3">
        <v>25.8</v>
      </c>
      <c r="E105" s="3">
        <v>6.7</v>
      </c>
    </row>
    <row r="106" spans="1:5" x14ac:dyDescent="0.55000000000000004">
      <c r="A106">
        <f t="shared" si="0"/>
        <v>2002</v>
      </c>
      <c r="B106" s="21"/>
      <c r="C106" s="21"/>
      <c r="D106" s="3">
        <v>24.4</v>
      </c>
      <c r="E106" s="3">
        <v>6.7</v>
      </c>
    </row>
    <row r="107" spans="1:5" x14ac:dyDescent="0.55000000000000004">
      <c r="A107">
        <f t="shared" si="0"/>
        <v>2003</v>
      </c>
      <c r="B107" s="21"/>
      <c r="C107" s="21"/>
      <c r="D107" s="3">
        <v>23.1</v>
      </c>
      <c r="E107" s="3">
        <v>6.8</v>
      </c>
    </row>
    <row r="108" spans="1:5" x14ac:dyDescent="0.55000000000000004">
      <c r="A108">
        <f t="shared" si="0"/>
        <v>2004</v>
      </c>
      <c r="B108" s="21"/>
      <c r="C108" s="21"/>
      <c r="D108" s="3">
        <v>22.1</v>
      </c>
      <c r="E108" s="3">
        <v>6.9</v>
      </c>
    </row>
    <row r="109" spans="1:5" x14ac:dyDescent="0.55000000000000004">
      <c r="A109">
        <f t="shared" si="0"/>
        <v>2005</v>
      </c>
      <c r="B109" s="21"/>
      <c r="C109" s="21"/>
      <c r="D109" s="3">
        <v>21.4</v>
      </c>
      <c r="E109" s="3">
        <v>7.2</v>
      </c>
    </row>
    <row r="110" spans="1:5" x14ac:dyDescent="0.55000000000000004">
      <c r="A110">
        <f t="shared" si="0"/>
        <v>2006</v>
      </c>
      <c r="B110" s="21"/>
      <c r="C110" s="21"/>
      <c r="D110" s="3">
        <v>21</v>
      </c>
      <c r="E110" s="3">
        <v>7.5</v>
      </c>
    </row>
    <row r="111" spans="1:5" x14ac:dyDescent="0.55000000000000004">
      <c r="A111">
        <f t="shared" si="0"/>
        <v>2007</v>
      </c>
      <c r="B111" s="21"/>
      <c r="C111" s="21"/>
      <c r="D111" s="3">
        <v>20.6</v>
      </c>
      <c r="E111" s="3">
        <v>7.8</v>
      </c>
    </row>
    <row r="112" spans="1:5" x14ac:dyDescent="0.55000000000000004">
      <c r="A112">
        <f t="shared" si="0"/>
        <v>2008</v>
      </c>
      <c r="B112" s="21"/>
      <c r="C112" s="21"/>
      <c r="D112" s="3">
        <v>20</v>
      </c>
      <c r="E112" s="3">
        <v>7.6</v>
      </c>
    </row>
    <row r="113" spans="1:5" x14ac:dyDescent="0.55000000000000004">
      <c r="A113">
        <f t="shared" si="0"/>
        <v>2009</v>
      </c>
      <c r="B113" s="21"/>
      <c r="C113" s="21"/>
      <c r="D113" s="3">
        <v>19.8</v>
      </c>
      <c r="E113" s="3">
        <v>7.5</v>
      </c>
    </row>
    <row r="114" spans="1:5" x14ac:dyDescent="0.55000000000000004">
      <c r="A114">
        <f t="shared" si="0"/>
        <v>2010</v>
      </c>
      <c r="B114" s="21"/>
      <c r="C114" s="21"/>
      <c r="D114" s="3">
        <v>19.7</v>
      </c>
      <c r="E114" s="3">
        <v>7.2</v>
      </c>
    </row>
    <row r="115" spans="1:5" x14ac:dyDescent="0.55000000000000004">
      <c r="A115">
        <f t="shared" si="0"/>
        <v>2011</v>
      </c>
      <c r="B115" s="21"/>
      <c r="C115" s="21"/>
      <c r="D115" s="3">
        <v>19.600000000000001</v>
      </c>
      <c r="E115" s="3">
        <v>7.1</v>
      </c>
    </row>
    <row r="116" spans="1:5" x14ac:dyDescent="0.55000000000000004">
      <c r="A116">
        <f t="shared" si="0"/>
        <v>2012</v>
      </c>
      <c r="B116" s="21"/>
      <c r="C116" s="21"/>
      <c r="D116" s="3">
        <v>19.399999999999999</v>
      </c>
      <c r="E116" s="3">
        <v>7</v>
      </c>
    </row>
    <row r="117" spans="1:5" x14ac:dyDescent="0.55000000000000004">
      <c r="A117">
        <f t="shared" si="0"/>
        <v>2013</v>
      </c>
      <c r="B117" s="21"/>
      <c r="C117" s="21"/>
      <c r="D117" s="3">
        <v>19.2</v>
      </c>
      <c r="E117" s="3">
        <v>7.2</v>
      </c>
    </row>
    <row r="118" spans="1:5" x14ac:dyDescent="0.55000000000000004">
      <c r="A118">
        <f t="shared" si="0"/>
        <v>2014</v>
      </c>
      <c r="B118" s="21"/>
      <c r="C118" s="21"/>
      <c r="D118" s="3">
        <v>19</v>
      </c>
      <c r="E118" s="3">
        <v>7.2</v>
      </c>
    </row>
    <row r="119" spans="1:5" x14ac:dyDescent="0.55000000000000004">
      <c r="A119">
        <f t="shared" si="0"/>
        <v>2015</v>
      </c>
      <c r="B119" s="21"/>
      <c r="C119" s="21"/>
      <c r="D119" s="3">
        <v>18.600000000000001</v>
      </c>
      <c r="E119" s="3">
        <v>7.4</v>
      </c>
    </row>
    <row r="120" spans="1:5" x14ac:dyDescent="0.55000000000000004">
      <c r="A120">
        <f t="shared" si="0"/>
        <v>2016</v>
      </c>
      <c r="B120" s="21"/>
      <c r="C120" s="21"/>
      <c r="D120" s="3">
        <v>17.7</v>
      </c>
      <c r="E120" s="3">
        <v>7.4</v>
      </c>
    </row>
    <row r="121" spans="1:5" x14ac:dyDescent="0.55000000000000004">
      <c r="A121">
        <f t="shared" si="0"/>
        <v>2017</v>
      </c>
      <c r="B121" s="21"/>
      <c r="C121" s="21"/>
      <c r="D121" s="3">
        <v>17.100000000000001</v>
      </c>
      <c r="E121" s="3">
        <v>7.5</v>
      </c>
    </row>
    <row r="122" spans="1:5" x14ac:dyDescent="0.55000000000000004">
      <c r="A122">
        <f t="shared" si="0"/>
        <v>2018</v>
      </c>
      <c r="B122" s="21"/>
      <c r="C122" s="21"/>
      <c r="D122" s="3">
        <v>16.7</v>
      </c>
      <c r="E122" s="3">
        <v>7.4</v>
      </c>
    </row>
    <row r="123" spans="1:5" x14ac:dyDescent="0.55000000000000004">
      <c r="A123">
        <f t="shared" si="0"/>
        <v>2019</v>
      </c>
      <c r="B123" s="21"/>
      <c r="C123" s="21"/>
      <c r="D123" s="3">
        <v>16.600000000000001</v>
      </c>
      <c r="E123" s="3">
        <v>7.4</v>
      </c>
    </row>
    <row r="124" spans="1:5" x14ac:dyDescent="0.55000000000000004">
      <c r="A124">
        <f t="shared" si="0"/>
        <v>2020</v>
      </c>
      <c r="B124" s="21"/>
      <c r="C124" s="21"/>
      <c r="D124" s="3">
        <v>16.3</v>
      </c>
      <c r="E124" s="3">
        <v>8.6</v>
      </c>
    </row>
    <row r="125" spans="1:5" x14ac:dyDescent="0.55000000000000004">
      <c r="A125">
        <f t="shared" si="0"/>
        <v>2021</v>
      </c>
      <c r="B125" s="21"/>
      <c r="C125" s="21"/>
      <c r="D125" s="3">
        <v>16.2</v>
      </c>
      <c r="E125" s="3">
        <v>8.6999999999999993</v>
      </c>
    </row>
    <row r="126" spans="1:5" x14ac:dyDescent="0.55000000000000004">
      <c r="A126">
        <f t="shared" si="0"/>
        <v>2022</v>
      </c>
      <c r="B126" s="21"/>
      <c r="C126" s="21"/>
      <c r="D126" s="3">
        <v>15.9</v>
      </c>
      <c r="E126" s="3">
        <v>7.5</v>
      </c>
    </row>
    <row r="127" spans="1:5" x14ac:dyDescent="0.55000000000000004">
      <c r="A127">
        <f t="shared" si="0"/>
        <v>2023</v>
      </c>
      <c r="B127" s="21"/>
      <c r="C127" s="21"/>
      <c r="D127" s="3">
        <v>15.8</v>
      </c>
      <c r="E127" s="3">
        <v>7.5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AD125"/>
  <sheetViews>
    <sheetView workbookViewId="0">
      <selection activeCell="AD26" sqref="AD26:AD50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30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  <c r="AD3" t="s">
        <v>229</v>
      </c>
    </row>
    <row r="4" spans="1:30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  <c r="AD4" t="s">
        <v>230</v>
      </c>
    </row>
    <row r="5" spans="1:30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30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  <c r="AD6" t="s">
        <v>242</v>
      </c>
    </row>
    <row r="7" spans="1:30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  <c r="AD7" t="s">
        <v>231</v>
      </c>
    </row>
    <row r="8" spans="1:30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  <c r="AD8" t="s">
        <v>232</v>
      </c>
    </row>
    <row r="9" spans="1:30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  <c r="AD9" t="s">
        <v>233</v>
      </c>
    </row>
    <row r="10" spans="1:30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30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  <c r="AD11" t="s">
        <v>238</v>
      </c>
    </row>
    <row r="12" spans="1:30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  <c r="AD12" t="s">
        <v>239</v>
      </c>
    </row>
    <row r="13" spans="1:30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  <c r="AD13" t="s">
        <v>240</v>
      </c>
    </row>
    <row r="14" spans="1:30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30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  <c r="AD15" t="s">
        <v>243</v>
      </c>
    </row>
    <row r="16" spans="1:30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  <c r="AD16" t="s">
        <v>241</v>
      </c>
    </row>
    <row r="17" spans="1:30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30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  <c r="AD18" t="s">
        <v>234</v>
      </c>
    </row>
    <row r="19" spans="1:30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  <c r="AD19" t="s">
        <v>235</v>
      </c>
    </row>
    <row r="20" spans="1:30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30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  <c r="AD21" t="s">
        <v>236</v>
      </c>
    </row>
    <row r="22" spans="1:30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  <c r="AD22" t="s">
        <v>237</v>
      </c>
    </row>
    <row r="23" spans="1:30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30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30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30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  <c r="AD26" t="s">
        <v>335</v>
      </c>
    </row>
    <row r="27" spans="1:30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30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  <c r="AD28" t="s">
        <v>336</v>
      </c>
    </row>
    <row r="29" spans="1:30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  <c r="AD29" t="s">
        <v>337</v>
      </c>
    </row>
    <row r="30" spans="1:30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  <c r="AD30" t="s">
        <v>338</v>
      </c>
    </row>
    <row r="31" spans="1:30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  <c r="AD31" t="s">
        <v>339</v>
      </c>
    </row>
    <row r="32" spans="1:30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  <c r="AD32" t="s">
        <v>340</v>
      </c>
    </row>
    <row r="33" spans="1:30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30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  <c r="AD34" t="s">
        <v>341</v>
      </c>
    </row>
    <row r="35" spans="1:30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  <c r="AD35" t="s">
        <v>342</v>
      </c>
    </row>
    <row r="36" spans="1:30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  <c r="AD36" t="s">
        <v>343</v>
      </c>
    </row>
    <row r="37" spans="1:30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  <c r="AD37" t="s">
        <v>340</v>
      </c>
    </row>
    <row r="38" spans="1:30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30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  <c r="AD39" t="s">
        <v>344</v>
      </c>
    </row>
    <row r="40" spans="1:30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  <c r="AD40" t="s">
        <v>345</v>
      </c>
    </row>
    <row r="41" spans="1:30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  <c r="AD41" t="s">
        <v>346</v>
      </c>
    </row>
    <row r="42" spans="1:30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  <c r="AD42" t="s">
        <v>347</v>
      </c>
    </row>
    <row r="43" spans="1:30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30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  <c r="AD44" t="s">
        <v>348</v>
      </c>
    </row>
    <row r="45" spans="1:30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  <c r="AD45" t="s">
        <v>349</v>
      </c>
    </row>
    <row r="46" spans="1:30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  <c r="AD46" t="s">
        <v>350</v>
      </c>
    </row>
    <row r="47" spans="1:30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  <c r="AD47" t="s">
        <v>351</v>
      </c>
    </row>
    <row r="48" spans="1:30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30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  <c r="AD49" t="s">
        <v>352</v>
      </c>
    </row>
    <row r="50" spans="1:30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  <c r="AD50" t="s">
        <v>353</v>
      </c>
    </row>
    <row r="51" spans="1:30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30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30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30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30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30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30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30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30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30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30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30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30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30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75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55000000000000004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55000000000000004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55000000000000004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55000000000000004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55000000000000004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55000000000000004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55000000000000004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55000000000000004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55000000000000004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55000000000000004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55000000000000004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55000000000000004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55000000000000004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55000000000000004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55000000000000004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55000000000000004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55000000000000004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55000000000000004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55000000000000004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55000000000000004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55000000000000004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55000000000000004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55000000000000004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55000000000000004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55000000000000004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55000000000000004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55000000000000004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55000000000000004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55000000000000004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55000000000000004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55000000000000004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55000000000000004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55000000000000004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55000000000000004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55000000000000004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55000000000000004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55000000000000004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55000000000000004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55000000000000004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55000000000000004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55000000000000004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55000000000000004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55000000000000004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55000000000000004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55000000000000004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55000000000000004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55000000000000004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55000000000000004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55000000000000004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55000000000000004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55000000000000004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55000000000000004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55000000000000004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55000000000000004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55000000000000004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55000000000000004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55000000000000004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55000000000000004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55000000000000004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55000000000000004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55000000000000004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55000000000000004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55000000000000004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55000000000000004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55000000000000004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55000000000000004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55000000000000004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55000000000000004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55000000000000004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55000000000000004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55000000000000004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55000000000000004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55000000000000004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55000000000000004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55000000000000004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55000000000000004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55000000000000004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55000000000000004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55000000000000004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55000000000000004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55000000000000004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55000000000000004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55000000000000004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55000000000000004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55000000000000004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55000000000000004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55000000000000004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55000000000000004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55000000000000004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55000000000000004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55000000000000004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55000000000000004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55000000000000004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55000000000000004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55000000000000004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55000000000000004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55000000000000004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55000000000000004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55000000000000004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55000000000000004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55000000000000004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55000000000000004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55000000000000004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55000000000000004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55000000000000004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55000000000000004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55000000000000004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55000000000000004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55000000000000004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55000000000000004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55000000000000004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55000000000000004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55000000000000004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55000000000000004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55000000000000004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55000000000000004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55000000000000004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55000000000000004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55000000000000004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55000000000000004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55000000000000004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55000000000000004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55000000000000004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55000000000000004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55000000000000004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55000000000000004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4.4" x14ac:dyDescent="0.55000000000000004"/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55000000000000004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55000000000000004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55000000000000004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55000000000000004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55000000000000004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55000000000000004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55000000000000004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55000000000000004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55000000000000004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55000000000000004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55000000000000004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55000000000000004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55000000000000004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55000000000000004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55000000000000004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55000000000000004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55000000000000004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55000000000000004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55000000000000004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55000000000000004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55000000000000004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55000000000000004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55000000000000004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55000000000000004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55000000000000004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55000000000000004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55000000000000004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55000000000000004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55000000000000004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55000000000000004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55000000000000004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55000000000000004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55000000000000004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55000000000000004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55000000000000004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55000000000000004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55000000000000004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55000000000000004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55000000000000004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55000000000000004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55000000000000004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55000000000000004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55000000000000004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55000000000000004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55000000000000004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55000000000000004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55000000000000004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55000000000000004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55000000000000004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55000000000000004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55000000000000004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55000000000000004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55000000000000004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55000000000000004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55000000000000004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55000000000000004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55000000000000004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55000000000000004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55000000000000004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55000000000000004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55000000000000004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55000000000000004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55000000000000004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55000000000000004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55000000000000004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55000000000000004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55000000000000004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55000000000000004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55000000000000004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55000000000000004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55000000000000004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55000000000000004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55000000000000004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55000000000000004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55000000000000004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55000000000000004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55000000000000004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55000000000000004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55000000000000004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55000000000000004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55000000000000004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55000000000000004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55000000000000004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55000000000000004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55000000000000004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55000000000000004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55000000000000004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55000000000000004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55000000000000004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55000000000000004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55000000000000004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55000000000000004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55000000000000004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55000000000000004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55000000000000004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55000000000000004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55000000000000004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55000000000000004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55000000000000004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55000000000000004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55000000000000004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55000000000000004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55000000000000004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55000000000000004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55000000000000004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55000000000000004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55000000000000004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55000000000000004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55000000000000004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4.4" x14ac:dyDescent="0.55000000000000004"/>
  <cols>
    <col min="8" max="8" width="5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30" t="s">
        <v>115</v>
      </c>
      <c r="C1" s="30"/>
      <c r="D1" s="30" t="s">
        <v>75</v>
      </c>
      <c r="E1" s="30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55000000000000004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55000000000000004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55000000000000004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55000000000000004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55000000000000004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55000000000000004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55000000000000004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55000000000000004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55000000000000004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55000000000000004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55000000000000004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55000000000000004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55000000000000004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55000000000000004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55000000000000004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55000000000000004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55000000000000004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55000000000000004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55000000000000004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55000000000000004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55000000000000004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55000000000000004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55000000000000004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55000000000000004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55000000000000004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55000000000000004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55000000000000004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55000000000000004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55000000000000004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55000000000000004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55000000000000004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55000000000000004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55000000000000004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55000000000000004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55000000000000004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55000000000000004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55000000000000004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55000000000000004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55000000000000004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55000000000000004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55000000000000004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55000000000000004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55000000000000004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55000000000000004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55000000000000004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55000000000000004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55000000000000004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55000000000000004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55000000000000004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55000000000000004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55000000000000004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55000000000000004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55000000000000004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55000000000000004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55000000000000004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55000000000000004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55000000000000004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55000000000000004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55000000000000004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55000000000000004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55000000000000004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55000000000000004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55000000000000004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55000000000000004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55000000000000004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55000000000000004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55000000000000004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55000000000000004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55000000000000004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55000000000000004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55000000000000004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55000000000000004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55000000000000004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55000000000000004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55000000000000004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55000000000000004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55000000000000004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55000000000000004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55000000000000004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55000000000000004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55000000000000004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55000000000000004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55000000000000004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55000000000000004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55000000000000004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55000000000000004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55000000000000004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55000000000000004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55000000000000004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55000000000000004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55000000000000004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55000000000000004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55000000000000004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55000000000000004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55000000000000004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55000000000000004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55000000000000004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55000000000000004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55000000000000004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55000000000000004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55000000000000004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55000000000000004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55000000000000004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55000000000000004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55000000000000004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55000000000000004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55000000000000004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55000000000000004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55000000000000004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55000000000000004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55000000000000004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55000000000000004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55000000000000004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55000000000000004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55000000000000004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55000000000000004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55000000000000004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55000000000000004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55000000000000004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55000000000000004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55000000000000004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55000000000000004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55000000000000004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55000000000000004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55000000000000004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55000000000000004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55000000000000004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55000000000000004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55000000000000004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55000000000000004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55000000000000004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55000000000000004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55000000000000004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55000000000000004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55000000000000004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55000000000000004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55000000000000004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55000000000000004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55000000000000004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55000000000000004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55000000000000004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55000000000000004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55000000000000004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55000000000000004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55000000000000004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55000000000000004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55000000000000004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55000000000000004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55000000000000004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55000000000000004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55000000000000004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55000000000000004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55000000000000004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55000000000000004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55000000000000004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55000000000000004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55000000000000004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55000000000000004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55000000000000004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55000000000000004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55000000000000004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55000000000000004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55000000000000004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55000000000000004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55000000000000004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55000000000000004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55000000000000004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55000000000000004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55000000000000004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55000000000000004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55000000000000004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3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1</vt:i4>
      </vt:variant>
    </vt:vector>
  </HeadingPairs>
  <TitlesOfParts>
    <vt:vector size="46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Гватемала-Бриньоли</vt:lpstr>
      <vt:lpstr>Гватемала-Колвер</vt:lpstr>
      <vt:lpstr>Гватемала-Колвер-без-кризиса</vt:lpstr>
      <vt:lpstr>Гондурас-Бриньоли</vt:lpstr>
      <vt:lpstr>Гондурас-Колвер</vt:lpstr>
      <vt:lpstr>Гондурас-Колвер-правка</vt:lpstr>
      <vt:lpstr>Доминиканская республика</vt:lpstr>
      <vt:lpstr>Колумбия</vt:lpstr>
      <vt:lpstr>Коста-Рика-Бриньоли-1993</vt:lpstr>
      <vt:lpstr>Коста-Рика-Бриньоли-2015</vt:lpstr>
      <vt:lpstr>Коста-Рика-Колвер</vt:lpstr>
      <vt:lpstr>Куба-все</vt:lpstr>
      <vt:lpstr>Куба-Бриньоли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Мексика-Колвер-CONAPO</vt:lpstr>
      <vt:lpstr>Мексика-Колвер-CONAPO-реформа</vt:lpstr>
      <vt:lpstr>Никарагуа-Бриньоли</vt:lpstr>
      <vt:lpstr>Панама</vt:lpstr>
      <vt:lpstr>Парагвай</vt:lpstr>
      <vt:lpstr>Перу</vt:lpstr>
      <vt:lpstr>Сальвадор-Бриньоли</vt:lpstr>
      <vt:lpstr>Сальвадор-Колвер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'Гондурас-Колвер-правка'!LIFT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2026-06-10T20:23:15Z</dcterms:modified>
</cp:coreProperties>
</file>