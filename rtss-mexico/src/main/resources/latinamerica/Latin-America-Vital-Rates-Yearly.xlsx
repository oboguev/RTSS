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34D3E1F8-FA5F-48E5-9D63-973986C01758}" xr6:coauthVersionLast="45" xr6:coauthVersionMax="47" xr10:uidLastSave="{00000000-0000-0000-0000-000000000000}"/>
  <bookViews>
    <workbookView xWindow="-60" yWindow="-60" windowWidth="38520" windowHeight="23700" tabRatio="746" firstSheet="11" activeTab="20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Бриньоли" sheetId="26" r:id="rId19"/>
    <sheet name="Куба-Колвер" sheetId="18" r:id="rId20"/>
    <sheet name="Мексика-Бриньоли-WPP" sheetId="29" r:id="rId21"/>
    <sheet name="Мексика-Колвер-WPP" sheetId="19" r:id="rId22"/>
    <sheet name="Панама" sheetId="17" r:id="rId23"/>
    <sheet name="Парагвай" sheetId="10" r:id="rId24"/>
    <sheet name="Перу" sheetId="11" r:id="rId25"/>
    <sheet name="Сальвадор" sheetId="12" r:id="rId26"/>
    <sheet name="Уругвай-Бриньоли" sheetId="27" r:id="rId27"/>
    <sheet name="Уругвай-Ротман" sheetId="16" r:id="rId28"/>
    <sheet name="Уругвай-Митчел" sheetId="20" r:id="rId29"/>
    <sheet name="Чили-Бриньоли" sheetId="28" r:id="rId30"/>
    <sheet name="Чили-Колвер" sheetId="13" r:id="rId31"/>
    <sheet name="Эквадор" sheetId="9" r:id="rId32"/>
  </sheets>
  <definedNames>
    <definedName name="LIFT" localSheetId="13">'Гондурас-правка'!$B$118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3" i="33" l="1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1" i="33"/>
  <c r="A50" i="33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A52" i="33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0" i="11"/>
  <c r="A39" i="1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A41" i="1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2" i="10"/>
  <c r="A3" i="10"/>
  <c r="A9" i="10"/>
  <c r="A8" i="10" s="1"/>
  <c r="A7" i="10" s="1"/>
  <c r="A6" i="10" s="1"/>
  <c r="A5" i="10" s="1"/>
  <c r="A4" i="10" s="1"/>
  <c r="A50" i="10"/>
  <c r="A49" i="10"/>
  <c r="A48" i="10"/>
  <c r="A47" i="10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51" i="10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D126" i="33" l="1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A102" i="32" l="1"/>
  <c r="A103" i="32" s="1"/>
  <c r="Q101" i="32"/>
  <c r="P101" i="32"/>
  <c r="R101" i="32" s="1"/>
  <c r="O101" i="32"/>
  <c r="Q100" i="32"/>
  <c r="R100" i="32" s="1"/>
  <c r="P100" i="32"/>
  <c r="O100" i="32"/>
  <c r="Q99" i="32"/>
  <c r="P99" i="32"/>
  <c r="R99" i="32" s="1"/>
  <c r="O99" i="32"/>
  <c r="Q98" i="32"/>
  <c r="P98" i="32"/>
  <c r="R98" i="32" s="1"/>
  <c r="O98" i="32"/>
  <c r="Q97" i="32"/>
  <c r="P97" i="32"/>
  <c r="R97" i="32" s="1"/>
  <c r="O97" i="32"/>
  <c r="Q96" i="32"/>
  <c r="R96" i="32" s="1"/>
  <c r="P96" i="32"/>
  <c r="O96" i="32"/>
  <c r="Q95" i="32"/>
  <c r="P95" i="32"/>
  <c r="R95" i="32" s="1"/>
  <c r="O95" i="32"/>
  <c r="Q94" i="32"/>
  <c r="P94" i="32"/>
  <c r="R94" i="32" s="1"/>
  <c r="O94" i="32"/>
  <c r="Q93" i="32"/>
  <c r="P93" i="32"/>
  <c r="R93" i="32" s="1"/>
  <c r="O93" i="32"/>
  <c r="Q92" i="32"/>
  <c r="R92" i="32" s="1"/>
  <c r="P92" i="32"/>
  <c r="O92" i="32"/>
  <c r="Q91" i="32"/>
  <c r="P91" i="32"/>
  <c r="R91" i="32" s="1"/>
  <c r="O91" i="32"/>
  <c r="Q90" i="32"/>
  <c r="P90" i="32"/>
  <c r="R90" i="32" s="1"/>
  <c r="O90" i="32"/>
  <c r="Q89" i="32"/>
  <c r="P89" i="32"/>
  <c r="R89" i="32" s="1"/>
  <c r="O89" i="32"/>
  <c r="Q88" i="32"/>
  <c r="R88" i="32" s="1"/>
  <c r="P88" i="32"/>
  <c r="O88" i="32"/>
  <c r="Q87" i="32"/>
  <c r="P87" i="32"/>
  <c r="R87" i="32" s="1"/>
  <c r="O87" i="32"/>
  <c r="Q86" i="32"/>
  <c r="P86" i="32"/>
  <c r="R86" i="32" s="1"/>
  <c r="O86" i="32"/>
  <c r="Q85" i="32"/>
  <c r="P85" i="32"/>
  <c r="R85" i="32" s="1"/>
  <c r="O85" i="32"/>
  <c r="Q84" i="32"/>
  <c r="R84" i="32" s="1"/>
  <c r="P84" i="32"/>
  <c r="O84" i="32"/>
  <c r="Q83" i="32"/>
  <c r="P83" i="32"/>
  <c r="R83" i="32" s="1"/>
  <c r="O83" i="32"/>
  <c r="Q82" i="32"/>
  <c r="P82" i="32"/>
  <c r="R82" i="32" s="1"/>
  <c r="O82" i="32"/>
  <c r="Q81" i="32"/>
  <c r="P81" i="32"/>
  <c r="R81" i="32" s="1"/>
  <c r="O81" i="32"/>
  <c r="Q80" i="32"/>
  <c r="R80" i="32" s="1"/>
  <c r="P80" i="32"/>
  <c r="O80" i="32"/>
  <c r="Q79" i="32"/>
  <c r="P79" i="32"/>
  <c r="R79" i="32" s="1"/>
  <c r="O79" i="32"/>
  <c r="Q78" i="32"/>
  <c r="P78" i="32"/>
  <c r="R78" i="32" s="1"/>
  <c r="O78" i="32"/>
  <c r="Q77" i="32"/>
  <c r="P77" i="32"/>
  <c r="R77" i="32" s="1"/>
  <c r="O77" i="32"/>
  <c r="Q76" i="32"/>
  <c r="R76" i="32" s="1"/>
  <c r="P76" i="32"/>
  <c r="O76" i="32"/>
  <c r="Q75" i="32"/>
  <c r="P75" i="32"/>
  <c r="R75" i="32" s="1"/>
  <c r="O75" i="32"/>
  <c r="Q74" i="32"/>
  <c r="P74" i="32"/>
  <c r="R74" i="32" s="1"/>
  <c r="O74" i="32"/>
  <c r="Q73" i="32"/>
  <c r="P73" i="32"/>
  <c r="R73" i="32" s="1"/>
  <c r="O73" i="32"/>
  <c r="Q72" i="32"/>
  <c r="R72" i="32" s="1"/>
  <c r="P72" i="32"/>
  <c r="O72" i="32"/>
  <c r="Q71" i="32"/>
  <c r="P71" i="32"/>
  <c r="R71" i="32" s="1"/>
  <c r="O71" i="32"/>
  <c r="Q70" i="32"/>
  <c r="P70" i="32"/>
  <c r="R70" i="32" s="1"/>
  <c r="O70" i="32"/>
  <c r="Q69" i="32"/>
  <c r="P69" i="32"/>
  <c r="R69" i="32" s="1"/>
  <c r="O69" i="32"/>
  <c r="Q68" i="32"/>
  <c r="R68" i="32" s="1"/>
  <c r="P68" i="32"/>
  <c r="O68" i="32"/>
  <c r="Q67" i="32"/>
  <c r="P67" i="32"/>
  <c r="R67" i="32" s="1"/>
  <c r="O67" i="32"/>
  <c r="Q66" i="32"/>
  <c r="P66" i="32"/>
  <c r="R66" i="32" s="1"/>
  <c r="O66" i="32"/>
  <c r="Q65" i="32"/>
  <c r="P65" i="32"/>
  <c r="R65" i="32" s="1"/>
  <c r="O65" i="32"/>
  <c r="Q64" i="32"/>
  <c r="R64" i="32" s="1"/>
  <c r="P64" i="32"/>
  <c r="O64" i="32"/>
  <c r="Q63" i="32"/>
  <c r="P63" i="32"/>
  <c r="R63" i="32" s="1"/>
  <c r="O63" i="32"/>
  <c r="Q62" i="32"/>
  <c r="P62" i="32"/>
  <c r="R62" i="32" s="1"/>
  <c r="O62" i="32"/>
  <c r="Q61" i="32"/>
  <c r="P61" i="32"/>
  <c r="R61" i="32" s="1"/>
  <c r="O61" i="32"/>
  <c r="Q60" i="32"/>
  <c r="R60" i="32" s="1"/>
  <c r="P60" i="32"/>
  <c r="O60" i="32"/>
  <c r="Q59" i="32"/>
  <c r="P59" i="32"/>
  <c r="R59" i="32" s="1"/>
  <c r="O59" i="32"/>
  <c r="Q58" i="32"/>
  <c r="P58" i="32"/>
  <c r="R58" i="32" s="1"/>
  <c r="O58" i="32"/>
  <c r="Q57" i="32"/>
  <c r="P57" i="32"/>
  <c r="R57" i="32" s="1"/>
  <c r="O57" i="32"/>
  <c r="Q56" i="32"/>
  <c r="R56" i="32" s="1"/>
  <c r="P56" i="32"/>
  <c r="O56" i="32"/>
  <c r="Q55" i="32"/>
  <c r="P55" i="32"/>
  <c r="R55" i="32" s="1"/>
  <c r="O55" i="32"/>
  <c r="Q54" i="32"/>
  <c r="P54" i="32"/>
  <c r="R54" i="32" s="1"/>
  <c r="O54" i="32"/>
  <c r="Q53" i="32"/>
  <c r="P53" i="32"/>
  <c r="R53" i="32" s="1"/>
  <c r="O53" i="32"/>
  <c r="Q52" i="32"/>
  <c r="O52" i="32"/>
  <c r="K52" i="32"/>
  <c r="E52" i="32" a="1"/>
  <c r="E52" i="32" s="1"/>
  <c r="O51" i="32"/>
  <c r="K51" i="32"/>
  <c r="E51" i="32" a="1"/>
  <c r="E51" i="32" s="1"/>
  <c r="Q50" i="32"/>
  <c r="R50" i="32" s="1"/>
  <c r="P50" i="32"/>
  <c r="O50" i="32"/>
  <c r="K50" i="32"/>
  <c r="E50" i="32" a="1"/>
  <c r="E50" i="32" s="1"/>
  <c r="O49" i="32"/>
  <c r="K49" i="32"/>
  <c r="E49" i="32" a="1"/>
  <c r="E49" i="32" s="1"/>
  <c r="Q48" i="32"/>
  <c r="P48" i="32"/>
  <c r="R48" i="32" s="1"/>
  <c r="O48" i="32"/>
  <c r="K48" i="32"/>
  <c r="E48" i="32" a="1"/>
  <c r="E48" i="32" s="1"/>
  <c r="O47" i="32"/>
  <c r="K47" i="32"/>
  <c r="E47" i="32" a="1"/>
  <c r="E47" i="32" s="1"/>
  <c r="Q46" i="32"/>
  <c r="R46" i="32" s="1"/>
  <c r="P46" i="32"/>
  <c r="O46" i="32"/>
  <c r="K46" i="32"/>
  <c r="E46" i="32"/>
  <c r="E46" i="32" a="1"/>
  <c r="Q45" i="32"/>
  <c r="O45" i="32"/>
  <c r="K45" i="32"/>
  <c r="E45" i="32"/>
  <c r="E45" i="32" a="1"/>
  <c r="P44" i="32"/>
  <c r="O44" i="32"/>
  <c r="K44" i="32"/>
  <c r="E44" i="32" a="1"/>
  <c r="E44" i="32" s="1"/>
  <c r="R43" i="32"/>
  <c r="Q43" i="32"/>
  <c r="P43" i="32"/>
  <c r="O43" i="32"/>
  <c r="K43" i="32"/>
  <c r="P52" i="32" s="1"/>
  <c r="R52" i="32" s="1"/>
  <c r="E43" i="32"/>
  <c r="Q47" i="32" s="1"/>
  <c r="E43" i="32" a="1"/>
  <c r="K42" i="32"/>
  <c r="E42" i="32"/>
  <c r="E42" i="32" a="1"/>
  <c r="A42" i="32"/>
  <c r="A41" i="32" s="1"/>
  <c r="K41" i="32"/>
  <c r="E41" i="32" a="1"/>
  <c r="E41" i="32" s="1"/>
  <c r="K40" i="32"/>
  <c r="E40" i="32"/>
  <c r="E40" i="32" a="1"/>
  <c r="K39" i="32"/>
  <c r="E39" i="32" a="1"/>
  <c r="E39" i="32" s="1"/>
  <c r="K38" i="32"/>
  <c r="E38" i="32"/>
  <c r="E38" i="32" a="1"/>
  <c r="K37" i="32"/>
  <c r="E37" i="32" a="1"/>
  <c r="E37" i="32" s="1"/>
  <c r="K36" i="32"/>
  <c r="E36" i="32"/>
  <c r="E36" i="32" a="1"/>
  <c r="K35" i="32"/>
  <c r="E35" i="32" a="1"/>
  <c r="E35" i="32" s="1"/>
  <c r="K34" i="32"/>
  <c r="E34" i="32"/>
  <c r="E34" i="32" a="1"/>
  <c r="K33" i="32"/>
  <c r="E33" i="32" a="1"/>
  <c r="E33" i="32" s="1"/>
  <c r="K32" i="32"/>
  <c r="E32" i="32"/>
  <c r="E32" i="32" a="1"/>
  <c r="K31" i="32"/>
  <c r="E31" i="32" a="1"/>
  <c r="E31" i="32" s="1"/>
  <c r="K30" i="32"/>
  <c r="E30" i="32"/>
  <c r="E30" i="32" a="1"/>
  <c r="K29" i="32"/>
  <c r="E29" i="32" a="1"/>
  <c r="E29" i="32" s="1"/>
  <c r="K28" i="32"/>
  <c r="E28" i="32"/>
  <c r="E28" i="32" a="1"/>
  <c r="K27" i="32"/>
  <c r="E27" i="32" a="1"/>
  <c r="E27" i="32" s="1"/>
  <c r="K26" i="32"/>
  <c r="E26" i="32"/>
  <c r="E26" i="32" a="1"/>
  <c r="K25" i="32"/>
  <c r="E25" i="32" a="1"/>
  <c r="E25" i="32" s="1"/>
  <c r="K24" i="32"/>
  <c r="E24" i="32"/>
  <c r="E24" i="32" a="1"/>
  <c r="K23" i="32"/>
  <c r="E23" i="32" a="1"/>
  <c r="E23" i="32" s="1"/>
  <c r="K22" i="32"/>
  <c r="E22" i="32"/>
  <c r="E22" i="32" a="1"/>
  <c r="K21" i="32"/>
  <c r="E21" i="32" a="1"/>
  <c r="E21" i="32" s="1"/>
  <c r="K20" i="32"/>
  <c r="E20" i="32"/>
  <c r="E20" i="32" a="1"/>
  <c r="K19" i="32"/>
  <c r="E19" i="32" a="1"/>
  <c r="E19" i="32" s="1"/>
  <c r="K18" i="32"/>
  <c r="E18" i="32"/>
  <c r="E18" i="32" a="1"/>
  <c r="K17" i="32"/>
  <c r="E17" i="32" a="1"/>
  <c r="E17" i="32" s="1"/>
  <c r="K16" i="32"/>
  <c r="E16" i="32"/>
  <c r="E16" i="32" a="1"/>
  <c r="K15" i="32"/>
  <c r="E15" i="32" a="1"/>
  <c r="E15" i="32" s="1"/>
  <c r="K14" i="32"/>
  <c r="E14" i="32"/>
  <c r="E14" i="32" a="1"/>
  <c r="K13" i="32"/>
  <c r="E13" i="32" a="1"/>
  <c r="E13" i="32" s="1"/>
  <c r="K12" i="32"/>
  <c r="E12" i="32"/>
  <c r="E12" i="32" a="1"/>
  <c r="K11" i="32"/>
  <c r="E11" i="32" a="1"/>
  <c r="E11" i="32" s="1"/>
  <c r="K10" i="32"/>
  <c r="E10" i="32"/>
  <c r="E10" i="32" a="1"/>
  <c r="K9" i="32"/>
  <c r="E9" i="32" a="1"/>
  <c r="E9" i="32" s="1"/>
  <c r="K8" i="32"/>
  <c r="E8" i="32"/>
  <c r="E8" i="32" a="1"/>
  <c r="K7" i="32"/>
  <c r="E7" i="32" a="1"/>
  <c r="E7" i="32" s="1"/>
  <c r="K6" i="32"/>
  <c r="E6" i="32"/>
  <c r="E6" i="32" a="1"/>
  <c r="K5" i="32"/>
  <c r="E5" i="32" a="1"/>
  <c r="E5" i="32" s="1"/>
  <c r="K4" i="32"/>
  <c r="E4" i="32"/>
  <c r="E4" i="32" a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Q41" i="32" l="1"/>
  <c r="A40" i="32"/>
  <c r="P41" i="32"/>
  <c r="R41" i="32" s="1"/>
  <c r="O41" i="32"/>
  <c r="Q103" i="32"/>
  <c r="P103" i="32"/>
  <c r="R103" i="32" s="1"/>
  <c r="O103" i="32"/>
  <c r="A104" i="32"/>
  <c r="O42" i="32"/>
  <c r="Q44" i="32"/>
  <c r="R44" i="32" s="1"/>
  <c r="P51" i="32"/>
  <c r="P102" i="32"/>
  <c r="R102" i="32" s="1"/>
  <c r="P42" i="32"/>
  <c r="R42" i="32" s="1"/>
  <c r="Q51" i="32"/>
  <c r="Q102" i="32"/>
  <c r="Q42" i="32"/>
  <c r="P49" i="32"/>
  <c r="O102" i="32"/>
  <c r="Q49" i="32"/>
  <c r="P47" i="32"/>
  <c r="R47" i="32" s="1"/>
  <c r="P45" i="32"/>
  <c r="R45" i="32" s="1"/>
  <c r="J129" i="29"/>
  <c r="I129" i="29"/>
  <c r="J128" i="29"/>
  <c r="K128" i="29" s="1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K118" i="29" s="1"/>
  <c r="J117" i="29"/>
  <c r="I117" i="29"/>
  <c r="K117" i="29" s="1"/>
  <c r="J116" i="29"/>
  <c r="K116" i="29" s="1"/>
  <c r="I116" i="29"/>
  <c r="J115" i="29"/>
  <c r="I115" i="29"/>
  <c r="K115" i="29" s="1"/>
  <c r="J114" i="29"/>
  <c r="I114" i="29"/>
  <c r="J113" i="29"/>
  <c r="K113" i="29" s="1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K104" i="29" s="1"/>
  <c r="I104" i="29"/>
  <c r="J103" i="29"/>
  <c r="I103" i="29"/>
  <c r="K103" i="29" s="1"/>
  <c r="J102" i="29"/>
  <c r="I102" i="29"/>
  <c r="K102" i="29" s="1"/>
  <c r="J101" i="29"/>
  <c r="I101" i="29"/>
  <c r="J100" i="29"/>
  <c r="I100" i="29"/>
  <c r="J99" i="29"/>
  <c r="I99" i="29"/>
  <c r="K99" i="29" s="1"/>
  <c r="J98" i="29"/>
  <c r="K98" i="29" s="1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K87" i="29" s="1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H66" i="29"/>
  <c r="J65" i="29"/>
  <c r="K65" i="29" s="1"/>
  <c r="I65" i="29"/>
  <c r="H65" i="29"/>
  <c r="J64" i="29"/>
  <c r="I64" i="29"/>
  <c r="H64" i="29"/>
  <c r="J63" i="29"/>
  <c r="I63" i="29"/>
  <c r="H63" i="29"/>
  <c r="J62" i="29"/>
  <c r="K62" i="29" s="1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K51" i="29" s="1"/>
  <c r="H51" i="29"/>
  <c r="J50" i="29"/>
  <c r="K50" i="29" s="1"/>
  <c r="I50" i="29"/>
  <c r="H50" i="29"/>
  <c r="J49" i="29"/>
  <c r="I49" i="29"/>
  <c r="H49" i="29"/>
  <c r="J48" i="29"/>
  <c r="I48" i="29"/>
  <c r="H48" i="29"/>
  <c r="J47" i="29"/>
  <c r="K47" i="29" s="1"/>
  <c r="I47" i="29"/>
  <c r="H47" i="29"/>
  <c r="J46" i="29"/>
  <c r="I46" i="29"/>
  <c r="H46" i="29"/>
  <c r="J45" i="29"/>
  <c r="I45" i="29"/>
  <c r="K45" i="29" s="1"/>
  <c r="H45" i="29"/>
  <c r="J44" i="29"/>
  <c r="K44" i="29" s="1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H18" i="29"/>
  <c r="J17" i="29"/>
  <c r="K17" i="29" s="1"/>
  <c r="I17" i="29"/>
  <c r="H17" i="29"/>
  <c r="J16" i="29"/>
  <c r="I16" i="29"/>
  <c r="H16" i="29"/>
  <c r="J15" i="29"/>
  <c r="I15" i="29"/>
  <c r="H15" i="29"/>
  <c r="J14" i="29"/>
  <c r="K14" i="29" s="1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K3" i="29" s="1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K113" i="26" s="1"/>
  <c r="J112" i="26"/>
  <c r="I112" i="26"/>
  <c r="K112" i="26" s="1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K97" i="26" s="1"/>
  <c r="J96" i="26"/>
  <c r="I96" i="26"/>
  <c r="K96" i="26" s="1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K81" i="26" s="1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K61" i="26" s="1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K55" i="26" s="1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K45" i="26" s="1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K36" i="26" s="1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K29" i="26" s="1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K20" i="26" s="1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K13" i="26" s="1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K117" i="28" s="1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K101" i="28" s="1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K173" i="28" s="1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K165" i="28" s="1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K157" i="28" s="1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K149" i="28" s="1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K141" i="28" s="1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K133" i="28" s="1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K125" i="28" s="1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K64" i="28" s="1"/>
  <c r="H64" i="28"/>
  <c r="J63" i="28"/>
  <c r="I63" i="28"/>
  <c r="K63" i="28" s="1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K48" i="28" s="1"/>
  <c r="H48" i="28"/>
  <c r="J47" i="28"/>
  <c r="I47" i="28"/>
  <c r="K47" i="28" s="1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K32" i="28" s="1"/>
  <c r="H32" i="28"/>
  <c r="J31" i="28"/>
  <c r="I31" i="28"/>
  <c r="K31" i="28" s="1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K16" i="28" s="1"/>
  <c r="H16" i="28"/>
  <c r="J15" i="28"/>
  <c r="I15" i="28"/>
  <c r="K15" i="28" s="1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K127" i="27" s="1"/>
  <c r="J126" i="27"/>
  <c r="I126" i="27"/>
  <c r="K126" i="27" s="1"/>
  <c r="J125" i="27"/>
  <c r="I125" i="27"/>
  <c r="J124" i="27"/>
  <c r="I124" i="27"/>
  <c r="K124" i="27" s="1"/>
  <c r="J123" i="27"/>
  <c r="I123" i="27"/>
  <c r="K123" i="27" s="1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K111" i="27" s="1"/>
  <c r="J110" i="27"/>
  <c r="I110" i="27"/>
  <c r="K110" i="27" s="1"/>
  <c r="J109" i="27"/>
  <c r="I109" i="27"/>
  <c r="J108" i="27"/>
  <c r="I108" i="27"/>
  <c r="K108" i="27" s="1"/>
  <c r="J107" i="27"/>
  <c r="I107" i="27"/>
  <c r="K107" i="27" s="1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K97" i="27" s="1"/>
  <c r="J96" i="27"/>
  <c r="I96" i="27"/>
  <c r="J95" i="27"/>
  <c r="I95" i="27"/>
  <c r="K95" i="27" s="1"/>
  <c r="J94" i="27"/>
  <c r="I94" i="27"/>
  <c r="K94" i="27" s="1"/>
  <c r="J93" i="27"/>
  <c r="I93" i="27"/>
  <c r="J92" i="27"/>
  <c r="I92" i="27"/>
  <c r="K92" i="27" s="1"/>
  <c r="J91" i="27"/>
  <c r="I91" i="27"/>
  <c r="K91" i="27" s="1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K79" i="27" s="1"/>
  <c r="J78" i="27"/>
  <c r="I78" i="27"/>
  <c r="K78" i="27" s="1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K66" i="27" s="1"/>
  <c r="H66" i="27"/>
  <c r="J65" i="27"/>
  <c r="I65" i="27"/>
  <c r="K65" i="27" s="1"/>
  <c r="H65" i="27"/>
  <c r="J64" i="27"/>
  <c r="I64" i="27"/>
  <c r="H64" i="27"/>
  <c r="J63" i="27"/>
  <c r="I63" i="27"/>
  <c r="K63" i="27" s="1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K50" i="27" s="1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K34" i="27" s="1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K18" i="27" s="1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K164" i="25" s="1"/>
  <c r="J163" i="25"/>
  <c r="I163" i="25"/>
  <c r="J162" i="25"/>
  <c r="I162" i="25"/>
  <c r="J161" i="25"/>
  <c r="I161" i="25"/>
  <c r="J160" i="25"/>
  <c r="I160" i="25"/>
  <c r="K160" i="25" s="1"/>
  <c r="J159" i="25"/>
  <c r="I159" i="25"/>
  <c r="J158" i="25"/>
  <c r="I158" i="25"/>
  <c r="K158" i="25" s="1"/>
  <c r="J157" i="25"/>
  <c r="I157" i="25"/>
  <c r="K157" i="25" s="1"/>
  <c r="J156" i="25"/>
  <c r="I156" i="25"/>
  <c r="K156" i="25" s="1"/>
  <c r="J155" i="25"/>
  <c r="I155" i="25"/>
  <c r="J154" i="25"/>
  <c r="I154" i="25"/>
  <c r="K154" i="25" s="1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K148" i="25" s="1"/>
  <c r="J147" i="25"/>
  <c r="I147" i="25"/>
  <c r="J146" i="25"/>
  <c r="I146" i="25"/>
  <c r="J145" i="25"/>
  <c r="I145" i="25"/>
  <c r="J144" i="25"/>
  <c r="I144" i="25"/>
  <c r="K144" i="25" s="1"/>
  <c r="J143" i="25"/>
  <c r="I143" i="25"/>
  <c r="J142" i="25"/>
  <c r="I142" i="25"/>
  <c r="K142" i="25" s="1"/>
  <c r="J141" i="25"/>
  <c r="I141" i="25"/>
  <c r="K141" i="25" s="1"/>
  <c r="J140" i="25"/>
  <c r="I140" i="25"/>
  <c r="K140" i="25" s="1"/>
  <c r="J139" i="25"/>
  <c r="I139" i="25"/>
  <c r="J138" i="25"/>
  <c r="I138" i="25"/>
  <c r="K138" i="25" s="1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K132" i="25" s="1"/>
  <c r="J131" i="25"/>
  <c r="I131" i="25"/>
  <c r="K131" i="25" s="1"/>
  <c r="J130" i="25"/>
  <c r="I130" i="25"/>
  <c r="J129" i="25"/>
  <c r="I129" i="25"/>
  <c r="K129" i="25" s="1"/>
  <c r="J128" i="25"/>
  <c r="I128" i="25"/>
  <c r="K128" i="25" s="1"/>
  <c r="J127" i="25"/>
  <c r="I127" i="25"/>
  <c r="J126" i="25"/>
  <c r="I126" i="25"/>
  <c r="K126" i="25" s="1"/>
  <c r="J125" i="25"/>
  <c r="I125" i="25"/>
  <c r="K125" i="25" s="1"/>
  <c r="J124" i="25"/>
  <c r="I124" i="25"/>
  <c r="K124" i="25" s="1"/>
  <c r="J123" i="25"/>
  <c r="I123" i="25"/>
  <c r="J122" i="25"/>
  <c r="I122" i="25"/>
  <c r="K122" i="25" s="1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K116" i="25" s="1"/>
  <c r="J115" i="25"/>
  <c r="I115" i="25"/>
  <c r="K115" i="25" s="1"/>
  <c r="J114" i="25"/>
  <c r="I114" i="25"/>
  <c r="J113" i="25"/>
  <c r="I113" i="25"/>
  <c r="J112" i="25"/>
  <c r="I112" i="25"/>
  <c r="K112" i="25" s="1"/>
  <c r="J111" i="25"/>
  <c r="I111" i="25"/>
  <c r="J110" i="25"/>
  <c r="I110" i="25"/>
  <c r="K110" i="25" s="1"/>
  <c r="J109" i="25"/>
  <c r="I109" i="25"/>
  <c r="K109" i="25" s="1"/>
  <c r="J108" i="25"/>
  <c r="I108" i="25"/>
  <c r="K108" i="25" s="1"/>
  <c r="J107" i="25"/>
  <c r="I107" i="25"/>
  <c r="J106" i="25"/>
  <c r="I106" i="25"/>
  <c r="K106" i="25" s="1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K100" i="25" s="1"/>
  <c r="J99" i="25"/>
  <c r="I99" i="25"/>
  <c r="K99" i="25" s="1"/>
  <c r="J98" i="25"/>
  <c r="I98" i="25"/>
  <c r="J97" i="25"/>
  <c r="I97" i="25"/>
  <c r="J96" i="25"/>
  <c r="I96" i="25"/>
  <c r="K96" i="25" s="1"/>
  <c r="J95" i="25"/>
  <c r="I95" i="25"/>
  <c r="J94" i="25"/>
  <c r="I94" i="25"/>
  <c r="K94" i="25" s="1"/>
  <c r="J93" i="25"/>
  <c r="I93" i="25"/>
  <c r="K93" i="25" s="1"/>
  <c r="H93" i="25"/>
  <c r="J92" i="25"/>
  <c r="I92" i="25"/>
  <c r="K92" i="25" s="1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K84" i="25" s="1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K68" i="25" s="1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K52" i="25" s="1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K36" i="25" s="1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K20" i="25" s="1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K4" i="25" s="1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K136" i="24" s="1"/>
  <c r="J135" i="24"/>
  <c r="I135" i="24"/>
  <c r="J134" i="24"/>
  <c r="I134" i="24"/>
  <c r="K134" i="24" s="1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K128" i="24" s="1"/>
  <c r="J127" i="24"/>
  <c r="I127" i="24"/>
  <c r="J126" i="24"/>
  <c r="I126" i="24"/>
  <c r="K126" i="24" s="1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K120" i="24" s="1"/>
  <c r="J119" i="24"/>
  <c r="I119" i="24"/>
  <c r="J118" i="24"/>
  <c r="I118" i="24"/>
  <c r="K118" i="24" s="1"/>
  <c r="J117" i="24"/>
  <c r="I117" i="24"/>
  <c r="J116" i="24"/>
  <c r="I116" i="24"/>
  <c r="K116" i="24" s="1"/>
  <c r="J115" i="24"/>
  <c r="I115" i="24"/>
  <c r="J114" i="24"/>
  <c r="I114" i="24"/>
  <c r="J113" i="24"/>
  <c r="I113" i="24"/>
  <c r="J112" i="24"/>
  <c r="I112" i="24"/>
  <c r="K112" i="24" s="1"/>
  <c r="J111" i="24"/>
  <c r="I111" i="24"/>
  <c r="J110" i="24"/>
  <c r="I110" i="24"/>
  <c r="K110" i="24" s="1"/>
  <c r="J109" i="24"/>
  <c r="I109" i="24"/>
  <c r="J108" i="24"/>
  <c r="I108" i="24"/>
  <c r="K108" i="24" s="1"/>
  <c r="J107" i="24"/>
  <c r="I107" i="24"/>
  <c r="J106" i="24"/>
  <c r="I106" i="24"/>
  <c r="J105" i="24"/>
  <c r="I105" i="24"/>
  <c r="J104" i="24"/>
  <c r="I104" i="24"/>
  <c r="K104" i="24" s="1"/>
  <c r="J103" i="24"/>
  <c r="I103" i="24"/>
  <c r="J102" i="24"/>
  <c r="I102" i="24"/>
  <c r="K102" i="24" s="1"/>
  <c r="J101" i="24"/>
  <c r="I101" i="24"/>
  <c r="J100" i="24"/>
  <c r="I100" i="24"/>
  <c r="K100" i="24" s="1"/>
  <c r="J99" i="24"/>
  <c r="I99" i="24"/>
  <c r="J98" i="24"/>
  <c r="I98" i="24"/>
  <c r="J97" i="24"/>
  <c r="I97" i="24"/>
  <c r="J96" i="24"/>
  <c r="I96" i="24"/>
  <c r="K96" i="24" s="1"/>
  <c r="J95" i="24"/>
  <c r="I95" i="24"/>
  <c r="J94" i="24"/>
  <c r="I94" i="24"/>
  <c r="K94" i="24" s="1"/>
  <c r="J93" i="24"/>
  <c r="I93" i="24"/>
  <c r="J92" i="24"/>
  <c r="I92" i="24"/>
  <c r="K92" i="24" s="1"/>
  <c r="J91" i="24"/>
  <c r="I91" i="24"/>
  <c r="J90" i="24"/>
  <c r="I90" i="24"/>
  <c r="J89" i="24"/>
  <c r="I89" i="24"/>
  <c r="J88" i="24"/>
  <c r="I88" i="24"/>
  <c r="K88" i="24" s="1"/>
  <c r="J87" i="24"/>
  <c r="I87" i="24"/>
  <c r="J86" i="24"/>
  <c r="I86" i="24"/>
  <c r="K86" i="24" s="1"/>
  <c r="J85" i="24"/>
  <c r="I85" i="24"/>
  <c r="J84" i="24"/>
  <c r="I84" i="24"/>
  <c r="K84" i="24" s="1"/>
  <c r="J83" i="24"/>
  <c r="I83" i="24"/>
  <c r="J82" i="24"/>
  <c r="I82" i="24"/>
  <c r="J81" i="24"/>
  <c r="I81" i="24"/>
  <c r="J80" i="24"/>
  <c r="I80" i="24"/>
  <c r="K80" i="24" s="1"/>
  <c r="J79" i="24"/>
  <c r="I79" i="24"/>
  <c r="J78" i="24"/>
  <c r="I78" i="24"/>
  <c r="K78" i="24" s="1"/>
  <c r="J77" i="24"/>
  <c r="I77" i="24"/>
  <c r="J76" i="24"/>
  <c r="I76" i="24"/>
  <c r="K76" i="24" s="1"/>
  <c r="J75" i="24"/>
  <c r="I75" i="24"/>
  <c r="J74" i="24"/>
  <c r="I74" i="24"/>
  <c r="J73" i="24"/>
  <c r="I73" i="24"/>
  <c r="J72" i="24"/>
  <c r="I72" i="24"/>
  <c r="K72" i="24" s="1"/>
  <c r="J71" i="24"/>
  <c r="I71" i="24"/>
  <c r="J70" i="24"/>
  <c r="I70" i="24"/>
  <c r="K70" i="24" s="1"/>
  <c r="J69" i="24"/>
  <c r="I69" i="24"/>
  <c r="J68" i="24"/>
  <c r="I68" i="24"/>
  <c r="K68" i="24" s="1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K62" i="24" s="1"/>
  <c r="J61" i="24"/>
  <c r="I61" i="24"/>
  <c r="J60" i="24"/>
  <c r="I60" i="24"/>
  <c r="K60" i="24" s="1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K54" i="24" s="1"/>
  <c r="J53" i="24"/>
  <c r="I53" i="24"/>
  <c r="J52" i="24"/>
  <c r="I52" i="24"/>
  <c r="K52" i="24" s="1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K46" i="24" s="1"/>
  <c r="J45" i="24"/>
  <c r="I45" i="24"/>
  <c r="J44" i="24"/>
  <c r="I44" i="24"/>
  <c r="K44" i="24" s="1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K38" i="24" s="1"/>
  <c r="J37" i="24"/>
  <c r="I37" i="24"/>
  <c r="J36" i="24"/>
  <c r="I36" i="24"/>
  <c r="K36" i="24" s="1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K30" i="24" s="1"/>
  <c r="J29" i="24"/>
  <c r="I29" i="24"/>
  <c r="J28" i="24"/>
  <c r="I28" i="24"/>
  <c r="K28" i="24" s="1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K22" i="24" s="1"/>
  <c r="J21" i="24"/>
  <c r="I21" i="24"/>
  <c r="J20" i="24"/>
  <c r="I20" i="24"/>
  <c r="K20" i="24" s="1"/>
  <c r="J19" i="24"/>
  <c r="I19" i="24"/>
  <c r="J18" i="24"/>
  <c r="I18" i="24"/>
  <c r="J17" i="24"/>
  <c r="I17" i="24"/>
  <c r="J16" i="24"/>
  <c r="I16" i="24"/>
  <c r="K16" i="24" s="1"/>
  <c r="J15" i="24"/>
  <c r="I15" i="24"/>
  <c r="K15" i="24" s="1"/>
  <c r="J14" i="24"/>
  <c r="I14" i="24"/>
  <c r="K14" i="24" s="1"/>
  <c r="J13" i="24"/>
  <c r="I13" i="24"/>
  <c r="J12" i="24"/>
  <c r="I12" i="24"/>
  <c r="K12" i="24" s="1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K6" i="24" s="1"/>
  <c r="J5" i="24"/>
  <c r="I5" i="24"/>
  <c r="J4" i="24"/>
  <c r="I4" i="24"/>
  <c r="K4" i="24" s="1"/>
  <c r="K3" i="24"/>
  <c r="J3" i="24"/>
  <c r="I3" i="24"/>
  <c r="R51" i="32" l="1"/>
  <c r="P104" i="32"/>
  <c r="Q104" i="32"/>
  <c r="A105" i="32"/>
  <c r="O104" i="32"/>
  <c r="A39" i="32"/>
  <c r="Q40" i="32"/>
  <c r="P40" i="32"/>
  <c r="R40" i="32" s="1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48" i="23"/>
  <c r="J143" i="23"/>
  <c r="J141" i="23"/>
  <c r="J140" i="23"/>
  <c r="J139" i="23"/>
  <c r="J138" i="23"/>
  <c r="J132" i="23"/>
  <c r="J127" i="23"/>
  <c r="J125" i="23"/>
  <c r="J124" i="23"/>
  <c r="J123" i="23"/>
  <c r="J122" i="23"/>
  <c r="J121" i="23"/>
  <c r="J116" i="23"/>
  <c r="J111" i="23"/>
  <c r="J109" i="23"/>
  <c r="J108" i="23"/>
  <c r="J107" i="23"/>
  <c r="J106" i="23"/>
  <c r="J105" i="23"/>
  <c r="J100" i="23"/>
  <c r="J95" i="23"/>
  <c r="J93" i="23"/>
  <c r="J92" i="23"/>
  <c r="J91" i="23"/>
  <c r="J90" i="23"/>
  <c r="J89" i="23"/>
  <c r="J84" i="23"/>
  <c r="J77" i="23"/>
  <c r="J76" i="23"/>
  <c r="J75" i="23"/>
  <c r="J74" i="23"/>
  <c r="J73" i="23"/>
  <c r="J68" i="23"/>
  <c r="J61" i="23"/>
  <c r="J60" i="23"/>
  <c r="J59" i="23"/>
  <c r="J58" i="23"/>
  <c r="J57" i="23"/>
  <c r="J52" i="23"/>
  <c r="J45" i="23"/>
  <c r="J44" i="23"/>
  <c r="J43" i="23"/>
  <c r="J42" i="23"/>
  <c r="J41" i="23"/>
  <c r="J36" i="23"/>
  <c r="J29" i="23"/>
  <c r="J28" i="23"/>
  <c r="J27" i="23"/>
  <c r="J26" i="23"/>
  <c r="J25" i="23"/>
  <c r="J20" i="23"/>
  <c r="J13" i="23"/>
  <c r="J12" i="23"/>
  <c r="J11" i="23"/>
  <c r="J10" i="23"/>
  <c r="J9" i="23"/>
  <c r="J4" i="23"/>
  <c r="I154" i="23"/>
  <c r="H154" i="23"/>
  <c r="I153" i="23"/>
  <c r="H153" i="23"/>
  <c r="I152" i="23"/>
  <c r="H152" i="23"/>
  <c r="J152" i="23" s="1"/>
  <c r="I151" i="23"/>
  <c r="H151" i="23"/>
  <c r="J151" i="23" s="1"/>
  <c r="I150" i="23"/>
  <c r="J150" i="23" s="1"/>
  <c r="H150" i="23"/>
  <c r="I149" i="23"/>
  <c r="H149" i="23"/>
  <c r="J149" i="23" s="1"/>
  <c r="I148" i="23"/>
  <c r="H148" i="23"/>
  <c r="I147" i="23"/>
  <c r="H147" i="23"/>
  <c r="J147" i="23" s="1"/>
  <c r="I146" i="23"/>
  <c r="H146" i="23"/>
  <c r="J146" i="23" s="1"/>
  <c r="I145" i="23"/>
  <c r="H145" i="23"/>
  <c r="J145" i="23" s="1"/>
  <c r="I144" i="23"/>
  <c r="H144" i="23"/>
  <c r="J144" i="23" s="1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J137" i="23" s="1"/>
  <c r="I136" i="23"/>
  <c r="H136" i="23"/>
  <c r="J136" i="23" s="1"/>
  <c r="I135" i="23"/>
  <c r="H135" i="23"/>
  <c r="J135" i="23" s="1"/>
  <c r="I134" i="23"/>
  <c r="J134" i="23" s="1"/>
  <c r="H134" i="23"/>
  <c r="I133" i="23"/>
  <c r="H133" i="23"/>
  <c r="J133" i="23" s="1"/>
  <c r="I132" i="23"/>
  <c r="H132" i="23"/>
  <c r="I131" i="23"/>
  <c r="H131" i="23"/>
  <c r="J131" i="23" s="1"/>
  <c r="I130" i="23"/>
  <c r="H130" i="23"/>
  <c r="J130" i="23" s="1"/>
  <c r="I129" i="23"/>
  <c r="H129" i="23"/>
  <c r="J129" i="23" s="1"/>
  <c r="I128" i="23"/>
  <c r="H128" i="23"/>
  <c r="J128" i="23" s="1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J120" i="23" s="1"/>
  <c r="I119" i="23"/>
  <c r="H119" i="23"/>
  <c r="J119" i="23" s="1"/>
  <c r="I118" i="23"/>
  <c r="J118" i="23" s="1"/>
  <c r="H118" i="23"/>
  <c r="I117" i="23"/>
  <c r="H117" i="23"/>
  <c r="J117" i="23" s="1"/>
  <c r="I116" i="23"/>
  <c r="H116" i="23"/>
  <c r="I115" i="23"/>
  <c r="H115" i="23"/>
  <c r="J115" i="23" s="1"/>
  <c r="I114" i="23"/>
  <c r="H114" i="23"/>
  <c r="J114" i="23" s="1"/>
  <c r="I113" i="23"/>
  <c r="H113" i="23"/>
  <c r="J113" i="23" s="1"/>
  <c r="I112" i="23"/>
  <c r="H112" i="23"/>
  <c r="J112" i="23" s="1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J104" i="23" s="1"/>
  <c r="I103" i="23"/>
  <c r="H103" i="23"/>
  <c r="J103" i="23" s="1"/>
  <c r="I102" i="23"/>
  <c r="J102" i="23" s="1"/>
  <c r="H102" i="23"/>
  <c r="I101" i="23"/>
  <c r="H101" i="23"/>
  <c r="J101" i="23" s="1"/>
  <c r="I100" i="23"/>
  <c r="H100" i="23"/>
  <c r="I99" i="23"/>
  <c r="H99" i="23"/>
  <c r="J99" i="23" s="1"/>
  <c r="I98" i="23"/>
  <c r="H98" i="23"/>
  <c r="J98" i="23" s="1"/>
  <c r="I97" i="23"/>
  <c r="H97" i="23"/>
  <c r="J97" i="23" s="1"/>
  <c r="I96" i="23"/>
  <c r="H96" i="23"/>
  <c r="J96" i="23" s="1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J88" i="23" s="1"/>
  <c r="I87" i="23"/>
  <c r="H87" i="23"/>
  <c r="J87" i="23" s="1"/>
  <c r="I86" i="23"/>
  <c r="J86" i="23" s="1"/>
  <c r="H86" i="23"/>
  <c r="I85" i="23"/>
  <c r="H85" i="23"/>
  <c r="J85" i="23" s="1"/>
  <c r="I84" i="23"/>
  <c r="H84" i="23"/>
  <c r="I83" i="23"/>
  <c r="H83" i="23"/>
  <c r="J83" i="23" s="1"/>
  <c r="I82" i="23"/>
  <c r="H82" i="23"/>
  <c r="J82" i="23" s="1"/>
  <c r="I81" i="23"/>
  <c r="H81" i="23"/>
  <c r="J81" i="23" s="1"/>
  <c r="I78" i="23"/>
  <c r="I80" i="23" s="1"/>
  <c r="H78" i="23"/>
  <c r="H80" i="23" s="1"/>
  <c r="I77" i="23"/>
  <c r="H77" i="23"/>
  <c r="I76" i="23"/>
  <c r="H76" i="23"/>
  <c r="I75" i="23"/>
  <c r="H75" i="23"/>
  <c r="I74" i="23"/>
  <c r="H74" i="23"/>
  <c r="I73" i="23"/>
  <c r="H73" i="23"/>
  <c r="I72" i="23"/>
  <c r="H72" i="23"/>
  <c r="J72" i="23" s="1"/>
  <c r="I71" i="23"/>
  <c r="H71" i="23"/>
  <c r="J71" i="23" s="1"/>
  <c r="I70" i="23"/>
  <c r="H70" i="23"/>
  <c r="J70" i="23" s="1"/>
  <c r="I69" i="23"/>
  <c r="H69" i="23"/>
  <c r="J69" i="23" s="1"/>
  <c r="I68" i="23"/>
  <c r="H68" i="23"/>
  <c r="I67" i="23"/>
  <c r="H67" i="23"/>
  <c r="J67" i="23" s="1"/>
  <c r="I66" i="23"/>
  <c r="J66" i="23" s="1"/>
  <c r="H66" i="23"/>
  <c r="I65" i="23"/>
  <c r="H65" i="23"/>
  <c r="J65" i="23" s="1"/>
  <c r="I64" i="23"/>
  <c r="H64" i="23"/>
  <c r="J64" i="23" s="1"/>
  <c r="I63" i="23"/>
  <c r="H63" i="23"/>
  <c r="J63" i="23" s="1"/>
  <c r="I62" i="23"/>
  <c r="H62" i="23"/>
  <c r="J62" i="23" s="1"/>
  <c r="I61" i="23"/>
  <c r="H61" i="23"/>
  <c r="I60" i="23"/>
  <c r="H60" i="23"/>
  <c r="I59" i="23"/>
  <c r="H59" i="23"/>
  <c r="I58" i="23"/>
  <c r="H58" i="23"/>
  <c r="I57" i="23"/>
  <c r="H57" i="23"/>
  <c r="I56" i="23"/>
  <c r="H56" i="23"/>
  <c r="J56" i="23" s="1"/>
  <c r="I55" i="23"/>
  <c r="H55" i="23"/>
  <c r="J55" i="23" s="1"/>
  <c r="I54" i="23"/>
  <c r="H54" i="23"/>
  <c r="J54" i="23" s="1"/>
  <c r="I53" i="23"/>
  <c r="H53" i="23"/>
  <c r="J53" i="23" s="1"/>
  <c r="I52" i="23"/>
  <c r="H52" i="23"/>
  <c r="I51" i="23"/>
  <c r="H51" i="23"/>
  <c r="J51" i="23" s="1"/>
  <c r="I50" i="23"/>
  <c r="J50" i="23" s="1"/>
  <c r="H50" i="23"/>
  <c r="I49" i="23"/>
  <c r="H49" i="23"/>
  <c r="J49" i="23" s="1"/>
  <c r="I48" i="23"/>
  <c r="H48" i="23"/>
  <c r="J48" i="23" s="1"/>
  <c r="I47" i="23"/>
  <c r="H47" i="23"/>
  <c r="J47" i="23" s="1"/>
  <c r="I46" i="23"/>
  <c r="H46" i="23"/>
  <c r="J46" i="23" s="1"/>
  <c r="I45" i="23"/>
  <c r="H45" i="23"/>
  <c r="I44" i="23"/>
  <c r="H44" i="23"/>
  <c r="I43" i="23"/>
  <c r="H43" i="23"/>
  <c r="I42" i="23"/>
  <c r="H42" i="23"/>
  <c r="I41" i="23"/>
  <c r="H41" i="23"/>
  <c r="I40" i="23"/>
  <c r="H40" i="23"/>
  <c r="J40" i="23" s="1"/>
  <c r="I39" i="23"/>
  <c r="H39" i="23"/>
  <c r="J39" i="23" s="1"/>
  <c r="I38" i="23"/>
  <c r="H38" i="23"/>
  <c r="J38" i="23" s="1"/>
  <c r="I37" i="23"/>
  <c r="H37" i="23"/>
  <c r="J37" i="23" s="1"/>
  <c r="I36" i="23"/>
  <c r="H36" i="23"/>
  <c r="I35" i="23"/>
  <c r="H35" i="23"/>
  <c r="J35" i="23" s="1"/>
  <c r="I34" i="23"/>
  <c r="J34" i="23" s="1"/>
  <c r="H34" i="23"/>
  <c r="I33" i="23"/>
  <c r="H33" i="23"/>
  <c r="J33" i="23" s="1"/>
  <c r="I32" i="23"/>
  <c r="H32" i="23"/>
  <c r="J32" i="23" s="1"/>
  <c r="I31" i="23"/>
  <c r="H31" i="23"/>
  <c r="J31" i="23" s="1"/>
  <c r="I30" i="23"/>
  <c r="H30" i="23"/>
  <c r="J30" i="23" s="1"/>
  <c r="I29" i="23"/>
  <c r="H29" i="23"/>
  <c r="I28" i="23"/>
  <c r="H28" i="23"/>
  <c r="I27" i="23"/>
  <c r="H27" i="23"/>
  <c r="I26" i="23"/>
  <c r="H26" i="23"/>
  <c r="I25" i="23"/>
  <c r="H25" i="23"/>
  <c r="I24" i="23"/>
  <c r="H24" i="23"/>
  <c r="J24" i="23" s="1"/>
  <c r="I23" i="23"/>
  <c r="H23" i="23"/>
  <c r="J23" i="23" s="1"/>
  <c r="I22" i="23"/>
  <c r="H22" i="23"/>
  <c r="J22" i="23" s="1"/>
  <c r="I21" i="23"/>
  <c r="H21" i="23"/>
  <c r="J21" i="23" s="1"/>
  <c r="I20" i="23"/>
  <c r="H20" i="23"/>
  <c r="I19" i="23"/>
  <c r="H19" i="23"/>
  <c r="J19" i="23" s="1"/>
  <c r="I18" i="23"/>
  <c r="J18" i="23" s="1"/>
  <c r="H18" i="23"/>
  <c r="I17" i="23"/>
  <c r="H17" i="23"/>
  <c r="J17" i="23" s="1"/>
  <c r="I16" i="23"/>
  <c r="H16" i="23"/>
  <c r="J16" i="23" s="1"/>
  <c r="I15" i="23"/>
  <c r="H15" i="23"/>
  <c r="J15" i="23" s="1"/>
  <c r="I14" i="23"/>
  <c r="H14" i="23"/>
  <c r="J14" i="23" s="1"/>
  <c r="I13" i="23"/>
  <c r="H13" i="23"/>
  <c r="I12" i="23"/>
  <c r="H12" i="23"/>
  <c r="I11" i="23"/>
  <c r="H11" i="23"/>
  <c r="I10" i="23"/>
  <c r="H10" i="23"/>
  <c r="I9" i="23"/>
  <c r="H9" i="23"/>
  <c r="I8" i="23"/>
  <c r="H8" i="23"/>
  <c r="J8" i="23" s="1"/>
  <c r="I7" i="23"/>
  <c r="H7" i="23"/>
  <c r="J7" i="23" s="1"/>
  <c r="I6" i="23"/>
  <c r="H6" i="23"/>
  <c r="J6" i="23" s="1"/>
  <c r="I5" i="23"/>
  <c r="H5" i="23"/>
  <c r="J5" i="23" s="1"/>
  <c r="I4" i="23"/>
  <c r="H4" i="23"/>
  <c r="I3" i="23"/>
  <c r="H3" i="23"/>
  <c r="J3" i="23" s="1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O39" i="32" l="1"/>
  <c r="Q39" i="32"/>
  <c r="A38" i="32"/>
  <c r="P39" i="32"/>
  <c r="R39" i="32" s="1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J79" i="23" s="1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A116" i="28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M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M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86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54" i="19" l="1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R106" i="32" s="1"/>
  <c r="O106" i="32"/>
  <c r="R105" i="32"/>
  <c r="A37" i="32"/>
  <c r="Q38" i="32"/>
  <c r="P38" i="32"/>
  <c r="R38" i="32" s="1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76" i="19"/>
  <c r="K76" i="19" s="1"/>
  <c r="G84" i="19"/>
  <c r="K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84" i="19" l="1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R107" i="32" s="1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L120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K43" i="3"/>
  <c r="J43" i="3"/>
  <c r="J42" i="3"/>
  <c r="J41" i="3"/>
  <c r="L40" i="3"/>
  <c r="J40" i="3"/>
  <c r="J39" i="3"/>
  <c r="K38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K19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K3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M122" i="3" s="1"/>
  <c r="H121" i="3"/>
  <c r="L121" i="3" s="1"/>
  <c r="G121" i="3"/>
  <c r="K121" i="3" s="1"/>
  <c r="H120" i="3"/>
  <c r="G120" i="3"/>
  <c r="K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M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8" i="3"/>
  <c r="L98" i="3" s="1"/>
  <c r="G95" i="3"/>
  <c r="K95" i="3" s="1"/>
  <c r="H94" i="3"/>
  <c r="L94" i="3" s="1"/>
  <c r="H71" i="3"/>
  <c r="L71" i="3" s="1"/>
  <c r="G71" i="3"/>
  <c r="K71" i="3" s="1"/>
  <c r="H70" i="3"/>
  <c r="L70" i="3" s="1"/>
  <c r="G70" i="3"/>
  <c r="K70" i="3" s="1"/>
  <c r="M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M59" i="3" s="1"/>
  <c r="H58" i="3"/>
  <c r="L58" i="3" s="1"/>
  <c r="G58" i="3"/>
  <c r="K58" i="3" s="1"/>
  <c r="H57" i="3"/>
  <c r="L57" i="3" s="1"/>
  <c r="G57" i="3"/>
  <c r="K57" i="3" s="1"/>
  <c r="M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H39" i="3"/>
  <c r="L39" i="3" s="1"/>
  <c r="G39" i="3"/>
  <c r="K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M35" i="3" s="1"/>
  <c r="H34" i="3"/>
  <c r="L34" i="3" s="1"/>
  <c r="G34" i="3"/>
  <c r="K34" i="3" s="1"/>
  <c r="H33" i="3"/>
  <c r="L33" i="3" s="1"/>
  <c r="G33" i="3"/>
  <c r="K33" i="3" s="1"/>
  <c r="M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M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M11" i="3" s="1"/>
  <c r="H10" i="3"/>
  <c r="L10" i="3" s="1"/>
  <c r="G10" i="3"/>
  <c r="K10" i="3" s="1"/>
  <c r="H9" i="3"/>
  <c r="L9" i="3" s="1"/>
  <c r="G9" i="3"/>
  <c r="K9" i="3" s="1"/>
  <c r="M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M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P108" i="32" l="1"/>
  <c r="A109" i="32"/>
  <c r="Q108" i="32"/>
  <c r="O108" i="32"/>
  <c r="A35" i="32"/>
  <c r="Q36" i="32"/>
  <c r="P36" i="32"/>
  <c r="R36" i="32" s="1"/>
  <c r="O36" i="32"/>
  <c r="H102" i="3"/>
  <c r="L102" i="3" s="1"/>
  <c r="M102" i="3" s="1"/>
  <c r="M27" i="3"/>
  <c r="G103" i="3"/>
  <c r="K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6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112" i="3"/>
  <c r="M120" i="3"/>
  <c r="M128" i="3"/>
  <c r="G87" i="3"/>
  <c r="K87" i="3" s="1"/>
  <c r="M87" i="3" s="1"/>
  <c r="A119" i="28"/>
  <c r="H118" i="28"/>
  <c r="A99" i="25"/>
  <c r="H98" i="25"/>
  <c r="M98" i="3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10" i="32" l="1"/>
  <c r="Q109" i="32"/>
  <c r="P109" i="32"/>
  <c r="R109" i="32" s="1"/>
  <c r="O109" i="32"/>
  <c r="O35" i="32"/>
  <c r="Q35" i="32"/>
  <c r="A34" i="32"/>
  <c r="P35" i="32"/>
  <c r="R35" i="32" s="1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33" i="32" l="1"/>
  <c r="Q34" i="32"/>
  <c r="P34" i="32"/>
  <c r="R34" i="32" s="1"/>
  <c r="O34" i="32"/>
  <c r="O110" i="32"/>
  <c r="A111" i="32"/>
  <c r="Q110" i="32"/>
  <c r="P110" i="32"/>
  <c r="R110" i="32" s="1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M132" i="3" s="1"/>
  <c r="F132" i="3"/>
  <c r="J132" i="3"/>
  <c r="A112" i="32" l="1"/>
  <c r="Q111" i="32"/>
  <c r="P111" i="32"/>
  <c r="R111" i="32" s="1"/>
  <c r="O111" i="32"/>
  <c r="A32" i="32"/>
  <c r="Q33" i="32"/>
  <c r="P33" i="32"/>
  <c r="R33" i="32" s="1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31" i="32" l="1"/>
  <c r="Q32" i="32"/>
  <c r="P32" i="32"/>
  <c r="R32" i="32" s="1"/>
  <c r="O32" i="32"/>
  <c r="A113" i="32"/>
  <c r="Q112" i="32"/>
  <c r="P112" i="32"/>
  <c r="R112" i="32" s="1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P113" i="32" l="1"/>
  <c r="O113" i="32"/>
  <c r="A114" i="32"/>
  <c r="Q113" i="32"/>
  <c r="O31" i="32"/>
  <c r="Q31" i="32"/>
  <c r="A30" i="32"/>
  <c r="P31" i="32"/>
  <c r="R31" i="32" s="1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A29" i="32" l="1"/>
  <c r="Q30" i="32"/>
  <c r="P30" i="32"/>
  <c r="R30" i="32" s="1"/>
  <c r="O30" i="32"/>
  <c r="O114" i="32"/>
  <c r="A115" i="32"/>
  <c r="Q114" i="32"/>
  <c r="P114" i="32"/>
  <c r="R114" i="32" s="1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16" i="32" l="1"/>
  <c r="Q115" i="32"/>
  <c r="P115" i="32"/>
  <c r="R115" i="32" s="1"/>
  <c r="O115" i="32"/>
  <c r="A28" i="32"/>
  <c r="Q29" i="32"/>
  <c r="P29" i="32"/>
  <c r="R29" i="32" s="1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27" i="32" l="1"/>
  <c r="Q28" i="32"/>
  <c r="P28" i="32"/>
  <c r="R28" i="32" s="1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Q27" i="32" l="1"/>
  <c r="A26" i="32"/>
  <c r="P27" i="32"/>
  <c r="R27" i="32" s="1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25" i="32" l="1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O25" i="32" l="1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R25" i="32" l="1"/>
  <c r="A23" i="32"/>
  <c r="Q24" i="32"/>
  <c r="P24" i="32"/>
  <c r="R24" i="32" s="1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Q23" i="32" l="1"/>
  <c r="A22" i="32"/>
  <c r="P23" i="32"/>
  <c r="R23" i="32" s="1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21" i="32" l="1"/>
  <c r="Q22" i="32"/>
  <c r="P22" i="32"/>
  <c r="R22" i="32" s="1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O21" i="32" l="1"/>
  <c r="Q21" i="32"/>
  <c r="A20" i="32"/>
  <c r="P21" i="32"/>
  <c r="R21" i="32" s="1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A19" i="32" l="1"/>
  <c r="Q20" i="32"/>
  <c r="P20" i="32"/>
  <c r="R20" i="32" s="1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Q19" i="32" l="1"/>
  <c r="A18" i="32"/>
  <c r="P19" i="32"/>
  <c r="R19" i="32" s="1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7" i="32" l="1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O17" i="32" l="1"/>
  <c r="Q17" i="32"/>
  <c r="A16" i="32"/>
  <c r="P17" i="32"/>
  <c r="R17" i="32" s="1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A15" i="32" l="1"/>
  <c r="Q16" i="32"/>
  <c r="P16" i="32"/>
  <c r="R16" i="32" s="1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Q15" i="32" l="1"/>
  <c r="A14" i="32"/>
  <c r="P15" i="32"/>
  <c r="R15" i="32" s="1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A13" i="32" l="1"/>
  <c r="Q14" i="32"/>
  <c r="P14" i="32"/>
  <c r="R14" i="32" s="1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O13" i="32" l="1"/>
  <c r="Q13" i="32"/>
  <c r="A12" i="32"/>
  <c r="P13" i="32"/>
  <c r="R13" i="32" s="1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11" i="32" l="1"/>
  <c r="Q12" i="32"/>
  <c r="P12" i="32"/>
  <c r="R12" i="32" s="1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Q11" i="32" l="1"/>
  <c r="A10" i="32"/>
  <c r="P11" i="32"/>
  <c r="R11" i="32" s="1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A9" i="32" l="1"/>
  <c r="Q10" i="32"/>
  <c r="P10" i="32"/>
  <c r="R10" i="32" s="1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8" i="32" l="1"/>
  <c r="Q9" i="32"/>
  <c r="P9" i="32"/>
  <c r="R9" i="32" s="1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7" i="32" l="1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O7" i="32" l="1"/>
  <c r="A6" i="32"/>
  <c r="Q7" i="32"/>
  <c r="P7" i="32"/>
  <c r="R7" i="32" s="1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" i="32" l="1"/>
  <c r="Q6" i="32"/>
  <c r="P6" i="32"/>
  <c r="R6" i="32" s="1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A4" i="32" l="1"/>
  <c r="Q5" i="32"/>
  <c r="P5" i="32"/>
  <c r="R5" i="32" s="1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3" i="32" l="1"/>
  <c r="Q4" i="32"/>
  <c r="P4" i="32"/>
  <c r="R4" i="32" s="1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O3" i="32" l="1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A108" i="27" l="1"/>
  <c r="H107" i="27"/>
  <c r="A107" i="26"/>
  <c r="H106" i="26"/>
  <c r="A133" i="25"/>
  <c r="H132" i="25"/>
  <c r="A153" i="28"/>
  <c r="H152" i="28"/>
  <c r="A122" i="29"/>
  <c r="H121" i="29"/>
  <c r="A112" i="24"/>
  <c r="H111" i="24"/>
  <c r="A113" i="24" l="1"/>
  <c r="H112" i="24"/>
  <c r="A123" i="29"/>
  <c r="H122" i="29"/>
  <c r="A154" i="28"/>
  <c r="H153" i="28"/>
  <c r="A134" i="25"/>
  <c r="H133" i="25"/>
  <c r="A108" i="26"/>
  <c r="H107" i="26"/>
  <c r="A109" i="27"/>
  <c r="H108" i="27"/>
  <c r="A110" i="27" l="1"/>
  <c r="H109" i="27"/>
  <c r="A109" i="26"/>
  <c r="H108" i="26"/>
  <c r="A135" i="25"/>
  <c r="H134" i="25"/>
  <c r="A155" i="28"/>
  <c r="H154" i="28"/>
  <c r="A124" i="29"/>
  <c r="H123" i="29"/>
  <c r="A114" i="24"/>
  <c r="H113" i="24"/>
  <c r="A115" i="24" l="1"/>
  <c r="H114" i="24"/>
  <c r="A125" i="29"/>
  <c r="H124" i="29"/>
  <c r="A136" i="25"/>
  <c r="H135" i="25"/>
  <c r="A156" i="28"/>
  <c r="H155" i="28"/>
  <c r="A110" i="26"/>
  <c r="H109" i="26"/>
  <c r="A111" i="27"/>
  <c r="H110" i="27"/>
  <c r="A112" i="27" l="1"/>
  <c r="H111" i="27"/>
  <c r="A111" i="26"/>
  <c r="H110" i="26"/>
  <c r="A157" i="28"/>
  <c r="H156" i="28"/>
  <c r="A137" i="25"/>
  <c r="H136" i="25"/>
  <c r="A126" i="29"/>
  <c r="H125" i="29"/>
  <c r="A116" i="24"/>
  <c r="H115" i="24"/>
  <c r="A117" i="24" l="1"/>
  <c r="H116" i="24"/>
  <c r="A127" i="29"/>
  <c r="H126" i="29"/>
  <c r="A138" i="25"/>
  <c r="H137" i="25"/>
  <c r="A158" i="28"/>
  <c r="H157" i="28"/>
  <c r="A112" i="26"/>
  <c r="H111" i="26"/>
  <c r="A113" i="27"/>
  <c r="H112" i="27"/>
  <c r="A114" i="27" l="1"/>
  <c r="H113" i="27"/>
  <c r="A113" i="26"/>
  <c r="H112" i="26"/>
  <c r="A159" i="28"/>
  <c r="H158" i="28"/>
  <c r="A139" i="25"/>
  <c r="H138" i="25"/>
  <c r="A128" i="29"/>
  <c r="H127" i="29"/>
  <c r="A118" i="24"/>
  <c r="H117" i="24"/>
  <c r="A119" i="24" l="1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161" i="28" l="1"/>
  <c r="H160" i="28"/>
  <c r="A141" i="25"/>
  <c r="H140" i="25"/>
  <c r="A116" i="27"/>
  <c r="H115" i="27"/>
  <c r="A115" i="26"/>
  <c r="H114" i="26"/>
  <c r="A120" i="24"/>
  <c r="H119" i="24"/>
  <c r="A121" i="24" l="1"/>
  <c r="H120" i="24"/>
  <c r="A116" i="26"/>
  <c r="H115" i="26"/>
  <c r="A117" i="27"/>
  <c r="H116" i="27"/>
  <c r="A142" i="25"/>
  <c r="H141" i="25"/>
  <c r="A162" i="28"/>
  <c r="H161" i="28"/>
  <c r="A163" i="28" l="1"/>
  <c r="H162" i="28"/>
  <c r="A143" i="25"/>
  <c r="H142" i="25"/>
  <c r="A118" i="27"/>
  <c r="H117" i="27"/>
  <c r="A117" i="26"/>
  <c r="H116" i="26"/>
  <c r="A122" i="24"/>
  <c r="H121" i="24"/>
  <c r="A118" i="26" l="1"/>
  <c r="H117" i="26"/>
  <c r="A123" i="24"/>
  <c r="H122" i="24"/>
  <c r="A119" i="27"/>
  <c r="H118" i="27"/>
  <c r="A144" i="25"/>
  <c r="H143" i="25"/>
  <c r="A164" i="28"/>
  <c r="H163" i="28"/>
  <c r="A165" i="28" l="1"/>
  <c r="H164" i="28"/>
  <c r="A145" i="25"/>
  <c r="H144" i="25"/>
  <c r="A120" i="27"/>
  <c r="H119" i="27"/>
  <c r="A124" i="24"/>
  <c r="H123" i="24"/>
  <c r="A119" i="26"/>
  <c r="H118" i="26"/>
  <c r="A120" i="26" l="1"/>
  <c r="H119" i="26"/>
  <c r="A125" i="24"/>
  <c r="H124" i="24"/>
  <c r="A121" i="27"/>
  <c r="H120" i="27"/>
  <c r="A146" i="25"/>
  <c r="H145" i="25"/>
  <c r="A166" i="28"/>
  <c r="H165" i="28"/>
  <c r="A167" i="28" l="1"/>
  <c r="H166" i="28"/>
  <c r="A147" i="25"/>
  <c r="H146" i="25"/>
  <c r="A122" i="27"/>
  <c r="H121" i="27"/>
  <c r="A126" i="24"/>
  <c r="H125" i="24"/>
  <c r="A121" i="26"/>
  <c r="H120" i="26"/>
  <c r="A122" i="26" l="1"/>
  <c r="H121" i="26"/>
  <c r="A127" i="24"/>
  <c r="H126" i="24"/>
  <c r="A123" i="27"/>
  <c r="H122" i="27"/>
  <c r="A148" i="25"/>
  <c r="H147" i="25"/>
  <c r="A168" i="28"/>
  <c r="H167" i="28"/>
  <c r="A169" i="28" l="1"/>
  <c r="H168" i="28"/>
  <c r="A149" i="25"/>
  <c r="H148" i="25"/>
  <c r="A124" i="27"/>
  <c r="H123" i="27"/>
  <c r="A128" i="24"/>
  <c r="H127" i="24"/>
  <c r="A123" i="26"/>
  <c r="H122" i="26"/>
  <c r="A124" i="26" l="1"/>
  <c r="H124" i="26" s="1"/>
  <c r="H123" i="26"/>
  <c r="A129" i="24"/>
  <c r="H128" i="24"/>
  <c r="A125" i="27"/>
  <c r="H124" i="27"/>
  <c r="A150" i="25"/>
  <c r="H149" i="25"/>
  <c r="A170" i="28"/>
  <c r="H169" i="28"/>
  <c r="H125" i="27" l="1"/>
  <c r="A126" i="27"/>
  <c r="A171" i="28"/>
  <c r="H170" i="28"/>
  <c r="A151" i="25"/>
  <c r="H150" i="25"/>
  <c r="H129" i="24"/>
  <c r="A130" i="24"/>
  <c r="A172" i="28" l="1"/>
  <c r="H171" i="28"/>
  <c r="A131" i="24"/>
  <c r="H130" i="24"/>
  <c r="A152" i="25"/>
  <c r="H151" i="25"/>
  <c r="A127" i="27"/>
  <c r="H126" i="27"/>
  <c r="A153" i="25" l="1"/>
  <c r="H152" i="25"/>
  <c r="A132" i="24"/>
  <c r="H131" i="24"/>
  <c r="A128" i="27"/>
  <c r="H127" i="27"/>
  <c r="A173" i="28"/>
  <c r="H172" i="28"/>
  <c r="A174" i="28" l="1"/>
  <c r="H174" i="28" s="1"/>
  <c r="H173" i="28"/>
  <c r="H128" i="27"/>
  <c r="A129" i="27"/>
  <c r="H129" i="27" s="1"/>
  <c r="A133" i="24"/>
  <c r="H132" i="24"/>
  <c r="A154" i="25"/>
  <c r="H153" i="25"/>
  <c r="A155" i="25" l="1"/>
  <c r="H154" i="25"/>
  <c r="A134" i="24"/>
  <c r="H133" i="24"/>
  <c r="A135" i="24" l="1"/>
  <c r="H134" i="24"/>
  <c r="A156" i="25"/>
  <c r="H155" i="25"/>
  <c r="A157" i="25" l="1"/>
  <c r="H156" i="25"/>
  <c r="A136" i="24"/>
  <c r="H135" i="24"/>
  <c r="A137" i="24" l="1"/>
  <c r="H136" i="24"/>
  <c r="A158" i="25"/>
  <c r="H157" i="25"/>
  <c r="A159" i="25" l="1"/>
  <c r="H158" i="25"/>
  <c r="A138" i="24"/>
  <c r="H137" i="24"/>
  <c r="A139" i="24" l="1"/>
  <c r="H139" i="24" s="1"/>
  <c r="H138" i="24"/>
  <c r="A160" i="25"/>
  <c r="H159" i="25"/>
  <c r="A161" i="25" l="1"/>
  <c r="H160" i="25"/>
  <c r="A162" i="25" l="1"/>
  <c r="H161" i="25"/>
  <c r="A163" i="25" l="1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<sst xmlns="http://schemas.openxmlformats.org/spreadsheetml/2006/main" count="400" uniqueCount="160">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</sst>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/>
    </xf>
    <xf numFmtId="3" fontId="0" fillId="0" borderId="0" xfId="0" applyNumberFormat="1"/>
    <xf numFmtId="0" fontId="0" fillId="0" borderId="0" xfId="0" applyFont="1" applyAlignment="1">
      <alignment horizontal="center"/>
    </xf>
    <xf numFmtId="164" fontId="0" fillId="0" borderId="0" xfId="0" applyNumberFormat="1" applyFont="1" applyAlignment="1">
      <alignment horizontal="center"/>
    </xf>
    <xf numFmtId="1" fontId="0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94"/>
  <sheetViews>
    <sheetView topLeftCell="A45" workbookViewId="0">
      <selection activeCell="B91" sqref="B9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138</v>
      </c>
    </row>
    <row r="75" spans="1:3" x14ac:dyDescent="0.25">
      <c r="A75" t="s">
        <v>139</v>
      </c>
    </row>
    <row r="76" spans="1:3" x14ac:dyDescent="0.25">
      <c r="B76" t="s">
        <v>149</v>
      </c>
    </row>
    <row r="77" spans="1:3" x14ac:dyDescent="0.25">
      <c r="B77" t="s">
        <v>139</v>
      </c>
    </row>
    <row r="78" spans="1:3" x14ac:dyDescent="0.25">
      <c r="C78" t="s">
        <v>140</v>
      </c>
    </row>
    <row r="79" spans="1:3" x14ac:dyDescent="0.25">
      <c r="C79" t="s">
        <v>141</v>
      </c>
    </row>
    <row r="80" spans="1:3" x14ac:dyDescent="0.25">
      <c r="C80" t="s">
        <v>142</v>
      </c>
    </row>
    <row r="81" spans="1:3" x14ac:dyDescent="0.25">
      <c r="C81" t="s">
        <v>143</v>
      </c>
    </row>
    <row r="82" spans="1:3" x14ac:dyDescent="0.25">
      <c r="C82" t="s">
        <v>144</v>
      </c>
    </row>
    <row r="83" spans="1:3" x14ac:dyDescent="0.25">
      <c r="C83" t="s">
        <v>139</v>
      </c>
    </row>
    <row r="84" spans="1:3" x14ac:dyDescent="0.25">
      <c r="C84" t="s">
        <v>145</v>
      </c>
    </row>
    <row r="85" spans="1:3" x14ac:dyDescent="0.25">
      <c r="C85" t="s">
        <v>146</v>
      </c>
    </row>
    <row r="86" spans="1:3" x14ac:dyDescent="0.25">
      <c r="C86" t="s">
        <v>147</v>
      </c>
    </row>
    <row r="88" spans="1:3" x14ac:dyDescent="0.25">
      <c r="B88" t="s">
        <v>150</v>
      </c>
    </row>
    <row r="89" spans="1:3" x14ac:dyDescent="0.25">
      <c r="B89" t="s">
        <v>148</v>
      </c>
    </row>
    <row r="90" spans="1:3" x14ac:dyDescent="0.25">
      <c r="B90" t="s">
        <v>159</v>
      </c>
    </row>
    <row r="92" spans="1:3" x14ac:dyDescent="0.25">
      <c r="A92" t="s">
        <v>151</v>
      </c>
    </row>
    <row r="94" spans="1:3" x14ac:dyDescent="0.25">
      <c r="A94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25">
      <c r="A2" s="20" t="s">
        <v>92</v>
      </c>
      <c r="B2" s="31" t="s">
        <v>1</v>
      </c>
      <c r="C2" s="31"/>
      <c r="D2" s="31" t="s">
        <v>2</v>
      </c>
      <c r="E2" s="31"/>
      <c r="F2" s="31" t="s">
        <v>3</v>
      </c>
      <c r="G2" s="31"/>
      <c r="H2" s="31" t="s">
        <v>4</v>
      </c>
      <c r="I2" s="31"/>
      <c r="J2" s="31" t="s">
        <v>5</v>
      </c>
      <c r="K2" s="31"/>
      <c r="L2" s="31" t="s">
        <v>6</v>
      </c>
      <c r="M2" s="31"/>
      <c r="N2" s="31" t="s">
        <v>7</v>
      </c>
      <c r="O2" s="31"/>
      <c r="P2" s="31" t="s">
        <v>8</v>
      </c>
      <c r="Q2" s="31"/>
      <c r="R2" s="31" t="s">
        <v>9</v>
      </c>
      <c r="S2" s="31"/>
      <c r="T2" s="31" t="s">
        <v>10</v>
      </c>
      <c r="U2" s="31"/>
      <c r="V2" s="31" t="s">
        <v>11</v>
      </c>
      <c r="W2" s="31"/>
      <c r="X2" s="31" t="s">
        <v>12</v>
      </c>
      <c r="Y2" s="31"/>
      <c r="Z2" s="31" t="s">
        <v>13</v>
      </c>
      <c r="AA2" s="31"/>
      <c r="AB2" s="31" t="s">
        <v>14</v>
      </c>
      <c r="AC2" s="31"/>
      <c r="AD2" s="31" t="s">
        <v>15</v>
      </c>
      <c r="AE2" s="31"/>
      <c r="AF2" s="31" t="s">
        <v>16</v>
      </c>
      <c r="AG2" s="31"/>
      <c r="AH2" s="31" t="s">
        <v>17</v>
      </c>
      <c r="AI2" s="31"/>
      <c r="AJ2" s="31" t="s">
        <v>18</v>
      </c>
      <c r="AK2" s="31"/>
      <c r="AL2" s="31" t="s">
        <v>19</v>
      </c>
      <c r="AM2" s="31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25">
      <c r="A2" s="20" t="s">
        <v>92</v>
      </c>
      <c r="B2" s="31" t="s">
        <v>1</v>
      </c>
      <c r="C2" s="31"/>
      <c r="D2" s="31" t="s">
        <v>2</v>
      </c>
      <c r="E2" s="31"/>
      <c r="F2" s="31" t="s">
        <v>3</v>
      </c>
      <c r="G2" s="31"/>
      <c r="H2" s="31" t="s">
        <v>4</v>
      </c>
      <c r="I2" s="31"/>
      <c r="J2" s="31" t="s">
        <v>5</v>
      </c>
      <c r="K2" s="31"/>
      <c r="L2" s="31" t="s">
        <v>6</v>
      </c>
      <c r="M2" s="31"/>
      <c r="N2" s="31" t="s">
        <v>7</v>
      </c>
      <c r="O2" s="31"/>
      <c r="P2" s="31" t="s">
        <v>8</v>
      </c>
      <c r="Q2" s="31"/>
      <c r="R2" s="31" t="s">
        <v>9</v>
      </c>
      <c r="S2" s="31"/>
      <c r="T2" s="31" t="s">
        <v>10</v>
      </c>
      <c r="U2" s="31"/>
      <c r="V2" s="31" t="s">
        <v>11</v>
      </c>
      <c r="W2" s="31"/>
      <c r="X2" s="31" t="s">
        <v>12</v>
      </c>
      <c r="Y2" s="31"/>
      <c r="Z2" s="31" t="s">
        <v>13</v>
      </c>
      <c r="AA2" s="31"/>
      <c r="AB2" s="31" t="s">
        <v>14</v>
      </c>
      <c r="AC2" s="31"/>
      <c r="AD2" s="31" t="s">
        <v>15</v>
      </c>
      <c r="AE2" s="31"/>
      <c r="AF2" s="31" t="s">
        <v>16</v>
      </c>
      <c r="AG2" s="31"/>
      <c r="AH2" s="31" t="s">
        <v>17</v>
      </c>
      <c r="AI2" s="31"/>
      <c r="AJ2" s="31" t="s">
        <v>18</v>
      </c>
      <c r="AK2" s="31"/>
      <c r="AL2" s="31" t="s">
        <v>19</v>
      </c>
      <c r="AM2" s="31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32" t="s">
        <v>115</v>
      </c>
      <c r="C1" s="32"/>
      <c r="D1" s="32" t="s">
        <v>75</v>
      </c>
      <c r="E1" s="32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32" t="s">
        <v>100</v>
      </c>
      <c r="C1" s="32"/>
      <c r="D1" s="32" t="s">
        <v>75</v>
      </c>
      <c r="E1" s="32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25" t="s">
        <v>154</v>
      </c>
      <c r="I2" s="25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27">
        <f t="shared" ref="A3:A41" si="0">A4-1</f>
        <v>1900</v>
      </c>
      <c r="B3" s="25"/>
      <c r="C3" s="25"/>
      <c r="D3" s="25"/>
      <c r="E3" s="25"/>
      <c r="F3" s="25"/>
      <c r="G3" s="25"/>
      <c r="H3" s="3">
        <f>1000 *(I4/I3-1)</f>
        <v>10.758776896942157</v>
      </c>
      <c r="I3" s="26">
        <v>1766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3">
        <f t="shared" ref="H4:H67" si="1">1000 *(I5/I4-1)</f>
        <v>10.084033613445342</v>
      </c>
      <c r="I4" s="26">
        <v>1785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3">
        <f t="shared" si="1"/>
        <v>10.537992235163607</v>
      </c>
      <c r="I5" s="26">
        <v>1803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3">
        <f t="shared" si="1"/>
        <v>9.8792535675082949</v>
      </c>
      <c r="I6" s="26">
        <v>1822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3">
        <f t="shared" si="1"/>
        <v>10.326086956521818</v>
      </c>
      <c r="I7" s="26">
        <v>1840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3">
        <f t="shared" si="1"/>
        <v>9.6826250672403802</v>
      </c>
      <c r="I8" s="26">
        <v>1859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3">
        <f t="shared" si="1"/>
        <v>10.122535961640811</v>
      </c>
      <c r="I9" s="26">
        <v>1877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3">
        <f t="shared" si="1"/>
        <v>9.493670886076</v>
      </c>
      <c r="I10" s="26">
        <v>1896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3">
        <f t="shared" si="1"/>
        <v>9.9268547544408836</v>
      </c>
      <c r="I11" s="26">
        <v>1914</v>
      </c>
    </row>
    <row r="12" spans="1:34" x14ac:dyDescent="0.25">
      <c r="A12" s="27">
        <f t="shared" si="0"/>
        <v>1909</v>
      </c>
      <c r="B12" s="25"/>
      <c r="C12" s="25"/>
      <c r="D12" s="25"/>
      <c r="E12" s="25"/>
      <c r="F12" s="25"/>
      <c r="G12" s="25"/>
      <c r="H12" s="3">
        <f t="shared" si="1"/>
        <v>9.3119503362648626</v>
      </c>
      <c r="I12" s="26">
        <v>1933</v>
      </c>
    </row>
    <row r="13" spans="1:34" x14ac:dyDescent="0.25">
      <c r="A13" s="27">
        <f t="shared" si="0"/>
        <v>1910</v>
      </c>
      <c r="B13" s="25"/>
      <c r="C13" s="25"/>
      <c r="D13" s="25"/>
      <c r="E13" s="25"/>
      <c r="F13" s="25"/>
      <c r="G13" s="25"/>
      <c r="H13" s="3">
        <f t="shared" si="1"/>
        <v>9.7385955920041845</v>
      </c>
      <c r="I13" s="26">
        <v>1951</v>
      </c>
    </row>
    <row r="14" spans="1:34" x14ac:dyDescent="0.25">
      <c r="A14" s="27">
        <f t="shared" si="0"/>
        <v>1911</v>
      </c>
      <c r="B14" s="25"/>
      <c r="C14" s="25"/>
      <c r="D14" s="25"/>
      <c r="E14" s="25"/>
      <c r="F14" s="25"/>
      <c r="G14" s="25"/>
      <c r="H14" s="3">
        <f t="shared" si="1"/>
        <v>9.1370558375634126</v>
      </c>
      <c r="I14" s="26">
        <v>1970</v>
      </c>
    </row>
    <row r="15" spans="1:34" x14ac:dyDescent="0.25">
      <c r="A15" s="27">
        <f t="shared" si="0"/>
        <v>1912</v>
      </c>
      <c r="B15" s="25"/>
      <c r="C15" s="25"/>
      <c r="D15" s="25"/>
      <c r="E15" s="25"/>
      <c r="F15" s="25"/>
      <c r="G15" s="25"/>
      <c r="H15" s="3">
        <f t="shared" si="1"/>
        <v>9.5573440643863528</v>
      </c>
      <c r="I15" s="26">
        <v>1988</v>
      </c>
    </row>
    <row r="16" spans="1:34" x14ac:dyDescent="0.25">
      <c r="A16" s="27">
        <f t="shared" si="0"/>
        <v>1913</v>
      </c>
      <c r="B16" s="25"/>
      <c r="C16" s="25"/>
      <c r="D16" s="25"/>
      <c r="E16" s="25"/>
      <c r="F16" s="25"/>
      <c r="G16" s="25"/>
      <c r="H16" s="3">
        <f t="shared" si="1"/>
        <v>8.9686098654708779</v>
      </c>
      <c r="I16" s="26">
        <v>2007</v>
      </c>
    </row>
    <row r="17" spans="1:9" x14ac:dyDescent="0.25">
      <c r="A17" s="27">
        <f t="shared" si="0"/>
        <v>1914</v>
      </c>
      <c r="B17" s="25"/>
      <c r="C17" s="25"/>
      <c r="D17" s="25"/>
      <c r="E17" s="25"/>
      <c r="F17" s="25"/>
      <c r="G17" s="25"/>
      <c r="H17" s="3">
        <f t="shared" si="1"/>
        <v>9.3827160493826778</v>
      </c>
      <c r="I17" s="26">
        <v>2025</v>
      </c>
    </row>
    <row r="18" spans="1:9" x14ac:dyDescent="0.25">
      <c r="A18" s="27">
        <f t="shared" si="0"/>
        <v>1915</v>
      </c>
      <c r="B18" s="25"/>
      <c r="C18" s="25"/>
      <c r="D18" s="25"/>
      <c r="E18" s="25"/>
      <c r="F18" s="25"/>
      <c r="G18" s="25"/>
      <c r="H18" s="3">
        <f t="shared" si="1"/>
        <v>8.8062622309197369</v>
      </c>
      <c r="I18" s="26">
        <v>2044</v>
      </c>
    </row>
    <row r="19" spans="1:9" x14ac:dyDescent="0.25">
      <c r="A19" s="27">
        <f t="shared" si="0"/>
        <v>1916</v>
      </c>
      <c r="B19" s="25"/>
      <c r="C19" s="25"/>
      <c r="D19" s="25"/>
      <c r="E19" s="25"/>
      <c r="F19" s="25"/>
      <c r="G19" s="25"/>
      <c r="H19" s="3">
        <f t="shared" si="1"/>
        <v>9.2143549951504422</v>
      </c>
      <c r="I19" s="26">
        <v>2062</v>
      </c>
    </row>
    <row r="20" spans="1:9" x14ac:dyDescent="0.25">
      <c r="A20" s="27">
        <f t="shared" si="0"/>
        <v>1917</v>
      </c>
      <c r="B20" s="25"/>
      <c r="C20" s="25"/>
      <c r="D20" s="25"/>
      <c r="E20" s="25"/>
      <c r="F20" s="25"/>
      <c r="G20" s="25"/>
      <c r="H20" s="3">
        <f t="shared" si="1"/>
        <v>8.6496876501682696</v>
      </c>
      <c r="I20" s="26">
        <v>2081</v>
      </c>
    </row>
    <row r="21" spans="1:9" x14ac:dyDescent="0.25">
      <c r="A21" s="27">
        <f t="shared" si="0"/>
        <v>1918</v>
      </c>
      <c r="B21" s="25"/>
      <c r="C21" s="25"/>
      <c r="D21" s="25"/>
      <c r="E21" s="25"/>
      <c r="F21" s="25"/>
      <c r="G21" s="25"/>
      <c r="H21" s="3">
        <f t="shared" si="1"/>
        <v>9.051929490233368</v>
      </c>
      <c r="I21" s="26">
        <v>2099</v>
      </c>
    </row>
    <row r="22" spans="1:9" x14ac:dyDescent="0.25">
      <c r="A22" s="27">
        <f t="shared" si="0"/>
        <v>1919</v>
      </c>
      <c r="B22" s="25"/>
      <c r="C22" s="25"/>
      <c r="D22" s="25"/>
      <c r="E22" s="25"/>
      <c r="F22" s="25"/>
      <c r="G22" s="25"/>
      <c r="H22" s="3">
        <f t="shared" si="1"/>
        <v>8.4985835694051381</v>
      </c>
      <c r="I22" s="26">
        <v>2118</v>
      </c>
    </row>
    <row r="23" spans="1:9" x14ac:dyDescent="0.25">
      <c r="A23" s="27">
        <f t="shared" si="0"/>
        <v>1920</v>
      </c>
      <c r="B23" s="25"/>
      <c r="C23" s="25"/>
      <c r="D23" s="25"/>
      <c r="E23" s="25"/>
      <c r="F23" s="25"/>
      <c r="G23" s="25"/>
      <c r="H23" s="3">
        <f t="shared" si="1"/>
        <v>11.704119850187267</v>
      </c>
      <c r="I23" s="26">
        <v>2136</v>
      </c>
    </row>
    <row r="24" spans="1:9" x14ac:dyDescent="0.25">
      <c r="A24" s="27">
        <f t="shared" si="0"/>
        <v>1921</v>
      </c>
      <c r="B24" s="25"/>
      <c r="C24" s="25"/>
      <c r="D24" s="25"/>
      <c r="E24" s="25"/>
      <c r="F24" s="25"/>
      <c r="G24" s="25"/>
      <c r="H24" s="3">
        <f t="shared" si="1"/>
        <v>11.568718186024896</v>
      </c>
      <c r="I24" s="26">
        <v>2161</v>
      </c>
    </row>
    <row r="25" spans="1:9" x14ac:dyDescent="0.25">
      <c r="A25" s="27">
        <f t="shared" si="0"/>
        <v>1922</v>
      </c>
      <c r="B25" s="25"/>
      <c r="C25" s="25"/>
      <c r="D25" s="25"/>
      <c r="E25" s="25"/>
      <c r="F25" s="25"/>
      <c r="G25" s="25"/>
      <c r="H25" s="3">
        <f t="shared" si="1"/>
        <v>11.893870082342106</v>
      </c>
      <c r="I25" s="26">
        <v>2186</v>
      </c>
    </row>
    <row r="26" spans="1:9" x14ac:dyDescent="0.25">
      <c r="A26" s="27">
        <f t="shared" si="0"/>
        <v>1923</v>
      </c>
      <c r="B26" s="25"/>
      <c r="C26" s="25"/>
      <c r="D26" s="25"/>
      <c r="E26" s="25"/>
      <c r="F26" s="25"/>
      <c r="G26" s="25"/>
      <c r="H26" s="3">
        <f t="shared" si="1"/>
        <v>11.301989150090508</v>
      </c>
      <c r="I26" s="26">
        <v>2212</v>
      </c>
    </row>
    <row r="27" spans="1:9" x14ac:dyDescent="0.25">
      <c r="A27" s="27">
        <f t="shared" si="0"/>
        <v>1924</v>
      </c>
      <c r="B27" s="25"/>
      <c r="C27" s="25"/>
      <c r="D27" s="25"/>
      <c r="E27" s="25"/>
      <c r="F27" s="25"/>
      <c r="G27" s="25"/>
      <c r="H27" s="3">
        <f t="shared" si="1"/>
        <v>11.622708985248087</v>
      </c>
      <c r="I27" s="26">
        <v>2237</v>
      </c>
    </row>
    <row r="28" spans="1:9" x14ac:dyDescent="0.25">
      <c r="A28" s="27">
        <f t="shared" si="0"/>
        <v>1925</v>
      </c>
      <c r="B28" s="25"/>
      <c r="C28" s="25"/>
      <c r="D28" s="25"/>
      <c r="E28" s="25"/>
      <c r="F28" s="25"/>
      <c r="G28" s="25"/>
      <c r="H28" s="3">
        <f t="shared" si="1"/>
        <v>11.489173663278729</v>
      </c>
      <c r="I28" s="26">
        <v>2263</v>
      </c>
    </row>
    <row r="29" spans="1:9" x14ac:dyDescent="0.25">
      <c r="A29" s="27">
        <f t="shared" si="0"/>
        <v>1926</v>
      </c>
      <c r="B29" s="25"/>
      <c r="C29" s="25"/>
      <c r="D29" s="25"/>
      <c r="E29" s="25"/>
      <c r="F29" s="25"/>
      <c r="G29" s="25"/>
      <c r="H29" s="3">
        <f t="shared" si="1"/>
        <v>11.795543905635641</v>
      </c>
      <c r="I29" s="26">
        <v>2289</v>
      </c>
    </row>
    <row r="30" spans="1:9" x14ac:dyDescent="0.25">
      <c r="A30" s="27">
        <f t="shared" si="0"/>
        <v>1927</v>
      </c>
      <c r="B30" s="25"/>
      <c r="C30" s="25"/>
      <c r="D30" s="25"/>
      <c r="E30" s="25"/>
      <c r="F30" s="25"/>
      <c r="G30" s="25"/>
      <c r="H30" s="3">
        <f t="shared" si="1"/>
        <v>11.658031088082943</v>
      </c>
      <c r="I30" s="26">
        <v>2316</v>
      </c>
    </row>
    <row r="31" spans="1:9" x14ac:dyDescent="0.25">
      <c r="A31" s="27">
        <f t="shared" si="0"/>
        <v>1928</v>
      </c>
      <c r="B31" s="25"/>
      <c r="C31" s="25"/>
      <c r="D31" s="25"/>
      <c r="E31" s="25"/>
      <c r="F31" s="25"/>
      <c r="G31" s="25"/>
      <c r="H31" s="3">
        <f t="shared" si="1"/>
        <v>11.523687580025532</v>
      </c>
      <c r="I31" s="26">
        <v>2343</v>
      </c>
    </row>
    <row r="32" spans="1:9" x14ac:dyDescent="0.25">
      <c r="A32" s="27">
        <f t="shared" si="0"/>
        <v>1929</v>
      </c>
      <c r="B32" s="25"/>
      <c r="C32" s="25"/>
      <c r="D32" s="25"/>
      <c r="E32" s="25"/>
      <c r="F32" s="25"/>
      <c r="G32" s="25"/>
      <c r="H32" s="3">
        <f t="shared" si="1"/>
        <v>11.3924050632912</v>
      </c>
      <c r="I32" s="26">
        <v>2370</v>
      </c>
    </row>
    <row r="33" spans="1:34" x14ac:dyDescent="0.25">
      <c r="A33" s="27">
        <f t="shared" si="0"/>
        <v>1930</v>
      </c>
      <c r="B33" s="25"/>
      <c r="C33" s="25"/>
      <c r="D33" s="25"/>
      <c r="E33" s="25"/>
      <c r="F33" s="25"/>
      <c r="G33" s="25"/>
      <c r="H33" s="3">
        <f t="shared" si="1"/>
        <v>11.681268251981569</v>
      </c>
      <c r="I33" s="26">
        <v>2397</v>
      </c>
    </row>
    <row r="34" spans="1:34" x14ac:dyDescent="0.25">
      <c r="A34" s="27">
        <f t="shared" si="0"/>
        <v>1931</v>
      </c>
      <c r="B34" s="25"/>
      <c r="C34" s="25"/>
      <c r="D34" s="25"/>
      <c r="E34" s="25"/>
      <c r="F34" s="25"/>
      <c r="G34" s="25"/>
      <c r="H34" s="3">
        <f t="shared" si="1"/>
        <v>11.546391752577323</v>
      </c>
      <c r="I34" s="26">
        <v>2425</v>
      </c>
    </row>
    <row r="35" spans="1:34" x14ac:dyDescent="0.25">
      <c r="A35" s="27">
        <f t="shared" si="0"/>
        <v>1932</v>
      </c>
      <c r="B35" s="25"/>
      <c r="C35" s="25"/>
      <c r="D35" s="25"/>
      <c r="E35" s="25"/>
      <c r="F35" s="25"/>
      <c r="G35" s="25"/>
      <c r="H35" s="3">
        <f t="shared" si="1"/>
        <v>11.822258459029733</v>
      </c>
      <c r="I35" s="26">
        <v>2453</v>
      </c>
    </row>
    <row r="36" spans="1:34" x14ac:dyDescent="0.25">
      <c r="A36" s="27">
        <f t="shared" si="0"/>
        <v>1933</v>
      </c>
      <c r="B36" s="25"/>
      <c r="C36" s="25"/>
      <c r="D36" s="25"/>
      <c r="E36" s="25"/>
      <c r="F36" s="25"/>
      <c r="G36" s="25"/>
      <c r="H36" s="3">
        <f t="shared" si="1"/>
        <v>11.684125705076598</v>
      </c>
      <c r="I36" s="26">
        <v>2482</v>
      </c>
    </row>
    <row r="37" spans="1:34" x14ac:dyDescent="0.25">
      <c r="A37" s="27">
        <f t="shared" si="0"/>
        <v>1934</v>
      </c>
      <c r="B37" s="25"/>
      <c r="C37" s="25"/>
      <c r="D37" s="25"/>
      <c r="E37" s="25"/>
      <c r="F37" s="25"/>
      <c r="G37" s="25"/>
      <c r="H37" s="3">
        <f t="shared" si="1"/>
        <v>11.549183592194368</v>
      </c>
      <c r="I37" s="26">
        <v>2511</v>
      </c>
    </row>
    <row r="38" spans="1:34" x14ac:dyDescent="0.25">
      <c r="A38" s="27">
        <f t="shared" si="0"/>
        <v>1935</v>
      </c>
      <c r="B38" s="25"/>
      <c r="C38" s="25"/>
      <c r="D38" s="25"/>
      <c r="E38" s="25"/>
      <c r="F38" s="25"/>
      <c r="G38" s="25"/>
      <c r="H38" s="3">
        <f t="shared" si="1"/>
        <v>11.417322834645693</v>
      </c>
      <c r="I38" s="26">
        <v>2540</v>
      </c>
    </row>
    <row r="39" spans="1:34" x14ac:dyDescent="0.25">
      <c r="A39" s="27">
        <f t="shared" si="0"/>
        <v>1936</v>
      </c>
      <c r="B39" s="25"/>
      <c r="C39" s="25"/>
      <c r="D39" s="25"/>
      <c r="E39" s="25"/>
      <c r="F39" s="25"/>
      <c r="G39" s="25"/>
      <c r="H39" s="3">
        <f t="shared" si="1"/>
        <v>11.677695601401306</v>
      </c>
      <c r="I39" s="26">
        <v>2569</v>
      </c>
    </row>
    <row r="40" spans="1:34" x14ac:dyDescent="0.25">
      <c r="A40" s="27">
        <f t="shared" si="0"/>
        <v>1937</v>
      </c>
      <c r="B40" s="25"/>
      <c r="C40" s="25"/>
      <c r="D40" s="25"/>
      <c r="E40" s="25"/>
      <c r="F40" s="25"/>
      <c r="G40" s="25"/>
      <c r="H40" s="3">
        <f t="shared" si="1"/>
        <v>11.542901115813686</v>
      </c>
      <c r="I40" s="26">
        <v>2599</v>
      </c>
    </row>
    <row r="41" spans="1:34" x14ac:dyDescent="0.25">
      <c r="A41" s="27">
        <f t="shared" si="0"/>
        <v>1938</v>
      </c>
      <c r="B41" s="25"/>
      <c r="C41" s="25"/>
      <c r="D41" s="25"/>
      <c r="E41" s="25"/>
      <c r="F41" s="25"/>
      <c r="G41" s="25"/>
      <c r="H41" s="3">
        <f t="shared" si="1"/>
        <v>11.411182959300215</v>
      </c>
      <c r="I41" s="26">
        <v>2629</v>
      </c>
    </row>
    <row r="42" spans="1:34" x14ac:dyDescent="0.25">
      <c r="A42" s="27">
        <f>A43-1</f>
        <v>1939</v>
      </c>
      <c r="B42" s="25"/>
      <c r="C42" s="25"/>
      <c r="D42" s="25"/>
      <c r="E42" s="25"/>
      <c r="F42" s="25"/>
      <c r="G42" s="25"/>
      <c r="H42" s="3">
        <f t="shared" si="1"/>
        <v>11.658518239939797</v>
      </c>
      <c r="I42" s="26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6">
        <v>2690</v>
      </c>
      <c r="AG43" s="26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6">
        <v>2721</v>
      </c>
      <c r="AG44" s="26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6">
        <v>2753</v>
      </c>
      <c r="AG45" s="26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6">
        <v>2785</v>
      </c>
      <c r="AG46" s="26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6">
        <v>2817</v>
      </c>
      <c r="AG47" s="26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6">
        <v>2850</v>
      </c>
      <c r="AG48" s="26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6">
        <v>2883</v>
      </c>
      <c r="AG49" s="26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6">
        <v>2916</v>
      </c>
      <c r="AG50" s="26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6">
        <v>2950</v>
      </c>
      <c r="AG51" s="26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6">
        <v>2955</v>
      </c>
      <c r="AG52" s="26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6">
        <v>3013</v>
      </c>
      <c r="AG53" s="26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6">
        <v>3072</v>
      </c>
      <c r="AG54" s="26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6">
        <v>3132</v>
      </c>
      <c r="AG55" s="26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6">
        <v>3193</v>
      </c>
      <c r="AG56" s="26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6">
        <v>3256</v>
      </c>
      <c r="AG57" s="26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6">
        <v>3322</v>
      </c>
      <c r="AG58" s="26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6">
        <v>3392</v>
      </c>
      <c r="AG59" s="26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6">
        <v>3464</v>
      </c>
      <c r="AG60" s="26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6">
        <v>3539</v>
      </c>
      <c r="AG61" s="26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6">
        <v>3616</v>
      </c>
      <c r="AG62" s="26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6">
        <v>3696</v>
      </c>
      <c r="AG63" s="26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6">
        <v>3778</v>
      </c>
      <c r="AG64" s="26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6">
        <v>3863</v>
      </c>
      <c r="AG65" s="26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6">
        <v>3951</v>
      </c>
      <c r="AG66" s="26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6">
        <v>4042</v>
      </c>
      <c r="AG67" s="26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6">
        <v>4136</v>
      </c>
      <c r="AG68" s="26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6">
        <v>4234</v>
      </c>
      <c r="AG69" s="26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6">
        <v>4334</v>
      </c>
      <c r="AG70" s="26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6">
        <v>4438</v>
      </c>
      <c r="AG71" s="26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6">
        <v>4546</v>
      </c>
      <c r="AG72" s="26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6">
        <v>4658</v>
      </c>
      <c r="AG73" s="26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6">
        <v>4774</v>
      </c>
      <c r="AG74" s="26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6">
        <v>4894</v>
      </c>
      <c r="AG75" s="26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6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6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6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6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6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6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6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6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6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6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6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6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6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6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6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6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6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6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6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6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6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6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6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6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6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6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6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6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6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6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6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6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6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6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6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6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6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6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6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6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32" t="s">
        <v>75</v>
      </c>
      <c r="C1" s="32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32" t="s">
        <v>74</v>
      </c>
      <c r="C1" s="32"/>
      <c r="D1" s="32" t="s">
        <v>75</v>
      </c>
      <c r="E1" s="32"/>
      <c r="G1" s="32" t="s">
        <v>86</v>
      </c>
      <c r="H1" s="32"/>
      <c r="J1" s="32" t="s">
        <v>87</v>
      </c>
      <c r="K1" s="32"/>
      <c r="L1" s="32"/>
      <c r="M1" s="32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2" t="s">
        <v>115</v>
      </c>
      <c r="C1" s="32"/>
      <c r="D1" s="32" t="s">
        <v>75</v>
      </c>
      <c r="E1" s="32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32" t="s">
        <v>100</v>
      </c>
      <c r="C1" s="32"/>
      <c r="D1" s="32" t="s">
        <v>75</v>
      </c>
      <c r="E1" s="32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25" t="s">
        <v>153</v>
      </c>
    </row>
    <row r="3" spans="1:34" x14ac:dyDescent="0.25">
      <c r="A3" s="27">
        <f t="shared" ref="A3:A11" si="0">A4-1</f>
        <v>1900</v>
      </c>
      <c r="B3" s="25"/>
      <c r="C3" s="25"/>
      <c r="D3" s="25"/>
      <c r="E3" s="25"/>
      <c r="F3" s="25"/>
      <c r="G3" s="25"/>
      <c r="H3" s="28">
        <f>1000 *(I4/I3 - 1)</f>
        <v>38.09523809523818</v>
      </c>
      <c r="I3" s="26">
        <v>420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28">
        <f t="shared" ref="H4:H67" si="1">1000 *(I5/I4 - 1)</f>
        <v>36.697247706422019</v>
      </c>
      <c r="I4" s="26">
        <v>436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28">
        <f t="shared" si="1"/>
        <v>35.39823008849563</v>
      </c>
      <c r="I5" s="26">
        <v>452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28">
        <f t="shared" si="1"/>
        <v>34.188034188034287</v>
      </c>
      <c r="I6" s="26">
        <v>468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28">
        <f t="shared" si="1"/>
        <v>33.057851239669311</v>
      </c>
      <c r="I7" s="26">
        <v>484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28">
        <f t="shared" si="1"/>
        <v>22.000000000000021</v>
      </c>
      <c r="I8" s="26">
        <v>500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28">
        <f t="shared" si="1"/>
        <v>19.569471624266257</v>
      </c>
      <c r="I9" s="26">
        <v>511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28">
        <f t="shared" si="1"/>
        <v>21.113243761996081</v>
      </c>
      <c r="I10" s="26">
        <v>521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28">
        <f t="shared" si="1"/>
        <v>18.796992481203034</v>
      </c>
      <c r="I11" s="26">
        <v>532</v>
      </c>
    </row>
    <row r="12" spans="1:34" x14ac:dyDescent="0.25">
      <c r="A12" s="27">
        <f>A13-1</f>
        <v>1909</v>
      </c>
      <c r="B12" s="25"/>
      <c r="C12" s="25"/>
      <c r="D12" s="25"/>
      <c r="E12" s="25"/>
      <c r="F12" s="25"/>
      <c r="G12" s="25"/>
      <c r="H12" s="28">
        <f t="shared" si="1"/>
        <v>20.295202952029577</v>
      </c>
      <c r="I12" s="26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8">
        <f t="shared" si="1"/>
        <v>16.274864376130125</v>
      </c>
      <c r="I13" s="26">
        <v>553</v>
      </c>
      <c r="AG13" s="26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8">
        <f t="shared" si="1"/>
        <v>16.014234875444842</v>
      </c>
      <c r="I14" s="26">
        <v>562</v>
      </c>
      <c r="AG14" s="26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8">
        <f t="shared" si="1"/>
        <v>14.010507880910739</v>
      </c>
      <c r="I15" s="26">
        <v>571</v>
      </c>
      <c r="AG15" s="26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8">
        <f t="shared" si="1"/>
        <v>15.544041450777257</v>
      </c>
      <c r="I16" s="26">
        <v>579</v>
      </c>
      <c r="AG16" s="26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8">
        <f t="shared" si="1"/>
        <v>15.306122448979664</v>
      </c>
      <c r="I17" s="26">
        <v>588</v>
      </c>
      <c r="AG17" s="26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8">
        <f t="shared" si="1"/>
        <v>15.075376884422065</v>
      </c>
      <c r="I18" s="26">
        <v>597</v>
      </c>
      <c r="AG18" s="26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8">
        <f t="shared" si="1"/>
        <v>44.55445544554459</v>
      </c>
      <c r="I19" s="26">
        <v>606</v>
      </c>
      <c r="AG19" s="26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8">
        <f t="shared" si="1"/>
        <v>42.654028436019061</v>
      </c>
      <c r="I20" s="26">
        <v>633</v>
      </c>
      <c r="AG20" s="26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8">
        <f t="shared" si="1"/>
        <v>42.424242424242479</v>
      </c>
      <c r="I21" s="26">
        <v>660</v>
      </c>
      <c r="AG21" s="26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8">
        <f t="shared" si="1"/>
        <v>39.244186046511587</v>
      </c>
      <c r="I22" s="26">
        <v>688</v>
      </c>
      <c r="AG22" s="26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8">
        <f t="shared" si="1"/>
        <v>37.762237762237746</v>
      </c>
      <c r="I23" s="26">
        <v>715</v>
      </c>
      <c r="AG23" s="26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8">
        <f t="shared" si="1"/>
        <v>36.388140161724976</v>
      </c>
      <c r="I24" s="26">
        <v>742</v>
      </c>
      <c r="AG24" s="26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8">
        <f t="shared" si="1"/>
        <v>35.110533159947941</v>
      </c>
      <c r="I25" s="26">
        <v>769</v>
      </c>
      <c r="AG25" s="26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8">
        <f t="shared" si="1"/>
        <v>35.175879396984968</v>
      </c>
      <c r="I26" s="26">
        <v>796</v>
      </c>
      <c r="AG26" s="26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8">
        <f t="shared" si="1"/>
        <v>32.766990291262175</v>
      </c>
      <c r="I27" s="26">
        <v>824</v>
      </c>
      <c r="AG27" s="26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8">
        <f t="shared" si="1"/>
        <v>31.727379553466495</v>
      </c>
      <c r="I28" s="26">
        <v>851</v>
      </c>
      <c r="AG28" s="26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8">
        <f t="shared" si="1"/>
        <v>17.084282460136713</v>
      </c>
      <c r="I29" s="26">
        <v>878</v>
      </c>
      <c r="AG29" s="26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8">
        <f t="shared" si="1"/>
        <v>20.156774916013418</v>
      </c>
      <c r="I30" s="26">
        <v>893</v>
      </c>
      <c r="AG30" s="26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8">
        <f t="shared" si="1"/>
        <v>18.660812294182261</v>
      </c>
      <c r="I31" s="26">
        <v>911</v>
      </c>
      <c r="AG31" s="26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8">
        <f t="shared" si="1"/>
        <v>21.55172413793105</v>
      </c>
      <c r="I32" s="26">
        <v>928</v>
      </c>
      <c r="AG32" s="26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8">
        <f t="shared" si="1"/>
        <v>21.097046413502074</v>
      </c>
      <c r="I33" s="26">
        <v>948</v>
      </c>
      <c r="AG33" s="26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8">
        <f t="shared" si="1"/>
        <v>21.694214876033069</v>
      </c>
      <c r="I34" s="26">
        <v>968</v>
      </c>
      <c r="AG34" s="26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8">
        <f t="shared" si="1"/>
        <v>18.200202224469166</v>
      </c>
      <c r="I35" s="26">
        <v>989</v>
      </c>
      <c r="AG35" s="26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8">
        <f t="shared" si="1"/>
        <v>15.888778550148919</v>
      </c>
      <c r="I36" s="26">
        <v>1007</v>
      </c>
      <c r="AG36" s="26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8">
        <f t="shared" si="1"/>
        <v>18.572825024437911</v>
      </c>
      <c r="I37" s="26">
        <v>1023</v>
      </c>
      <c r="AG37" s="26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8">
        <f t="shared" si="1"/>
        <v>15.355086372360827</v>
      </c>
      <c r="I38" s="26">
        <v>1042</v>
      </c>
      <c r="AG38" s="26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8">
        <f t="shared" si="1"/>
        <v>17.013232514177634</v>
      </c>
      <c r="I39" s="26">
        <v>1058</v>
      </c>
      <c r="AG39" s="26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8">
        <f t="shared" si="1"/>
        <v>20.446096654274992</v>
      </c>
      <c r="I40" s="26">
        <v>1076</v>
      </c>
      <c r="AG40" s="26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8">
        <f t="shared" si="1"/>
        <v>21.857923497267784</v>
      </c>
      <c r="I41" s="26">
        <v>1098</v>
      </c>
      <c r="AG41" s="26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8">
        <f t="shared" si="1"/>
        <v>21.390374331550888</v>
      </c>
      <c r="I42" s="26">
        <v>1122</v>
      </c>
      <c r="AG42" s="26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8">
        <f t="shared" si="1"/>
        <v>21.815008726003391</v>
      </c>
      <c r="I43" s="26">
        <v>1146</v>
      </c>
      <c r="AG43" s="26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8">
        <f t="shared" si="1"/>
        <v>20.495303159692611</v>
      </c>
      <c r="I44" s="26">
        <v>1171</v>
      </c>
      <c r="AG44" s="26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8">
        <f t="shared" si="1"/>
        <v>15.062761506276168</v>
      </c>
      <c r="I45" s="26">
        <v>1195</v>
      </c>
      <c r="AG45" s="26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8">
        <f t="shared" si="1"/>
        <v>19.785655399835012</v>
      </c>
      <c r="I46" s="26">
        <v>1213</v>
      </c>
      <c r="AG46" s="26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8">
        <f t="shared" si="1"/>
        <v>19.401778496362265</v>
      </c>
      <c r="I47" s="26">
        <v>1237</v>
      </c>
      <c r="AG47" s="26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8">
        <f t="shared" si="1"/>
        <v>20.618556701030855</v>
      </c>
      <c r="I48" s="26">
        <v>1261</v>
      </c>
      <c r="AG48" s="26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8">
        <f t="shared" si="1"/>
        <v>25.64102564102555</v>
      </c>
      <c r="I49" s="26">
        <v>1287</v>
      </c>
      <c r="AG49" s="26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8">
        <f t="shared" si="1"/>
        <v>24.999999999999911</v>
      </c>
      <c r="I50" s="26">
        <v>1320</v>
      </c>
      <c r="AG50" s="26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8">
        <f t="shared" si="1"/>
        <v>26.607538802660756</v>
      </c>
      <c r="I51" s="26">
        <v>1353</v>
      </c>
      <c r="AG51" s="26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8">
        <f t="shared" si="1"/>
        <v>28.07775377969768</v>
      </c>
      <c r="I52" s="26">
        <v>1389</v>
      </c>
      <c r="AG52" s="26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8">
        <f t="shared" si="1"/>
        <v>29.411764705882248</v>
      </c>
      <c r="I53" s="26">
        <v>1428</v>
      </c>
      <c r="AG53" s="26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8">
        <f t="shared" si="1"/>
        <v>29.251700680272165</v>
      </c>
      <c r="I54" s="26">
        <v>1470</v>
      </c>
      <c r="AG54" s="26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8">
        <f t="shared" si="1"/>
        <v>28.420356906807775</v>
      </c>
      <c r="I55" s="26">
        <v>1513</v>
      </c>
      <c r="AG55" s="26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8">
        <f t="shared" si="1"/>
        <v>33.419023136246786</v>
      </c>
      <c r="I56" s="26">
        <v>1556</v>
      </c>
      <c r="AG56" s="26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8">
        <f t="shared" si="1"/>
        <v>32.338308457711349</v>
      </c>
      <c r="I57" s="26">
        <v>1608</v>
      </c>
      <c r="AG57" s="26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8">
        <f t="shared" si="1"/>
        <v>31.325301204819354</v>
      </c>
      <c r="I58" s="26">
        <v>1660</v>
      </c>
      <c r="AG58" s="26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8">
        <f t="shared" si="1"/>
        <v>33.294392523364415</v>
      </c>
      <c r="I59" s="26">
        <v>1712</v>
      </c>
      <c r="AG59" s="26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8">
        <f t="shared" si="1"/>
        <v>33.352176370830875</v>
      </c>
      <c r="I60" s="26">
        <v>1769</v>
      </c>
      <c r="AG60" s="26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8">
        <f t="shared" si="1"/>
        <v>32.275711159737376</v>
      </c>
      <c r="I61" s="26">
        <v>1828</v>
      </c>
      <c r="AG61" s="26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8">
        <f t="shared" si="1"/>
        <v>33.38632750397452</v>
      </c>
      <c r="I62" s="26">
        <v>1887</v>
      </c>
      <c r="AG62" s="26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8">
        <f t="shared" si="1"/>
        <v>34.35897435897428</v>
      </c>
      <c r="I63" s="26">
        <v>1950</v>
      </c>
      <c r="AG63" s="26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28">
        <f t="shared" si="1"/>
        <v>35.200793257312846</v>
      </c>
      <c r="I64" s="26">
        <v>2017</v>
      </c>
      <c r="AG64" s="26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8">
        <f t="shared" si="1"/>
        <v>34.961685823754692</v>
      </c>
      <c r="I65" s="26">
        <v>2088</v>
      </c>
      <c r="AG65" s="26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8">
        <f t="shared" si="1"/>
        <v>35.168903285516031</v>
      </c>
      <c r="I66" s="26">
        <v>2161</v>
      </c>
      <c r="AG66" s="26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8">
        <f t="shared" si="1"/>
        <v>34.868126955744259</v>
      </c>
      <c r="I67" s="26">
        <v>2237</v>
      </c>
      <c r="AG67" s="26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8">
        <f t="shared" ref="H68:H74" si="4">1000 *(I69/I68 - 1)</f>
        <v>34.989200863930982</v>
      </c>
      <c r="I68" s="26">
        <v>2315</v>
      </c>
      <c r="AG68" s="26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8">
        <f t="shared" si="4"/>
        <v>35.058430717863189</v>
      </c>
      <c r="I69" s="26">
        <v>2396</v>
      </c>
      <c r="AG69" s="26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8">
        <f t="shared" si="4"/>
        <v>35.080645161290391</v>
      </c>
      <c r="I70" s="26">
        <v>2480</v>
      </c>
      <c r="AG70" s="26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8">
        <f t="shared" si="4"/>
        <v>35.060381768601488</v>
      </c>
      <c r="I71" s="26">
        <v>2567</v>
      </c>
      <c r="AG71" s="26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8">
        <f t="shared" si="4"/>
        <v>35.001881821603355</v>
      </c>
      <c r="I72" s="26">
        <v>2657</v>
      </c>
      <c r="AG72" s="26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8">
        <f t="shared" si="4"/>
        <v>34.909090909090999</v>
      </c>
      <c r="I73" s="26">
        <v>2750</v>
      </c>
      <c r="AG73" s="26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8">
        <f t="shared" si="4"/>
        <v>35.137034434293838</v>
      </c>
      <c r="I74" s="26">
        <v>2846</v>
      </c>
      <c r="AG74" s="26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25"/>
      <c r="I75" s="26">
        <v>2946</v>
      </c>
      <c r="AG75" s="26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6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6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6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6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6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6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6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6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6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6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21" x14ac:dyDescent="0.25">
      <c r="B1" s="33" t="s">
        <v>90</v>
      </c>
      <c r="C1" s="33"/>
      <c r="D1" s="33"/>
      <c r="E1" s="33"/>
      <c r="I1" s="33" t="s">
        <v>89</v>
      </c>
      <c r="J1" s="33"/>
      <c r="K1" s="33"/>
      <c r="U1" s="3"/>
    </row>
    <row r="2" spans="1:21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A62" sqref="AA62"/>
    </sheetView>
  </sheetViews>
  <sheetFormatPr defaultRowHeight="15" x14ac:dyDescent="0.25"/>
  <cols>
    <col min="1" max="1" width="8.85546875" style="1"/>
  </cols>
  <sheetData>
    <row r="2" spans="1:6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25" t="s">
        <v>154</v>
      </c>
      <c r="F2" s="25" t="s">
        <v>153</v>
      </c>
    </row>
    <row r="3" spans="1:6" x14ac:dyDescent="0.25">
      <c r="A3" s="27">
        <f t="shared" ref="A3:A51" si="0">A4-1</f>
        <v>1900</v>
      </c>
      <c r="B3" s="25"/>
      <c r="C3" s="25"/>
      <c r="D3" s="25"/>
      <c r="E3" s="3">
        <f>(F4/F3-1) * 1000</f>
        <v>23.333333333333428</v>
      </c>
      <c r="F3" s="26">
        <v>600</v>
      </c>
    </row>
    <row r="4" spans="1:6" x14ac:dyDescent="0.25">
      <c r="A4" s="27">
        <f t="shared" si="0"/>
        <v>1901</v>
      </c>
      <c r="B4" s="25"/>
      <c r="C4" s="25"/>
      <c r="D4" s="25"/>
      <c r="E4" s="3">
        <f t="shared" ref="E4:E53" si="1">(F5/F4-1) * 1000</f>
        <v>22.801302931596101</v>
      </c>
      <c r="F4" s="26">
        <v>614</v>
      </c>
    </row>
    <row r="5" spans="1:6" x14ac:dyDescent="0.25">
      <c r="A5" s="27">
        <f t="shared" si="0"/>
        <v>1902</v>
      </c>
      <c r="B5" s="25"/>
      <c r="C5" s="25"/>
      <c r="D5" s="25"/>
      <c r="E5" s="3">
        <f t="shared" si="1"/>
        <v>22.292993630573356</v>
      </c>
      <c r="F5" s="26">
        <v>628</v>
      </c>
    </row>
    <row r="6" spans="1:6" x14ac:dyDescent="0.25">
      <c r="A6" s="27">
        <f t="shared" si="0"/>
        <v>1903</v>
      </c>
      <c r="B6" s="25"/>
      <c r="C6" s="25"/>
      <c r="D6" s="25"/>
      <c r="E6" s="3">
        <f t="shared" si="1"/>
        <v>21.80685358255441</v>
      </c>
      <c r="F6" s="26">
        <v>642</v>
      </c>
    </row>
    <row r="7" spans="1:6" x14ac:dyDescent="0.25">
      <c r="A7" s="27">
        <f t="shared" si="0"/>
        <v>1904</v>
      </c>
      <c r="B7" s="25"/>
      <c r="C7" s="25"/>
      <c r="D7" s="25"/>
      <c r="E7" s="3">
        <f t="shared" si="1"/>
        <v>21.341463414634056</v>
      </c>
      <c r="F7" s="26">
        <v>656</v>
      </c>
    </row>
    <row r="8" spans="1:6" x14ac:dyDescent="0.25">
      <c r="A8" s="27">
        <f t="shared" si="0"/>
        <v>1905</v>
      </c>
      <c r="B8" s="25"/>
      <c r="C8" s="25"/>
      <c r="D8" s="25"/>
      <c r="E8" s="3">
        <f t="shared" si="1"/>
        <v>20.895522388059806</v>
      </c>
      <c r="F8" s="26">
        <v>670</v>
      </c>
    </row>
    <row r="9" spans="1:6" x14ac:dyDescent="0.25">
      <c r="A9" s="27">
        <f t="shared" si="0"/>
        <v>1906</v>
      </c>
      <c r="B9" s="25"/>
      <c r="C9" s="25"/>
      <c r="D9" s="25"/>
      <c r="E9" s="3">
        <f t="shared" si="1"/>
        <v>20.467836257309855</v>
      </c>
      <c r="F9" s="26">
        <v>684</v>
      </c>
    </row>
    <row r="10" spans="1:6" x14ac:dyDescent="0.25">
      <c r="A10" s="27">
        <f t="shared" si="0"/>
        <v>1907</v>
      </c>
      <c r="B10" s="25"/>
      <c r="C10" s="25"/>
      <c r="D10" s="25"/>
      <c r="E10" s="3">
        <f t="shared" si="1"/>
        <v>20.057306590257838</v>
      </c>
      <c r="F10" s="26">
        <v>698</v>
      </c>
    </row>
    <row r="11" spans="1:6" x14ac:dyDescent="0.25">
      <c r="A11" s="27">
        <f t="shared" si="0"/>
        <v>1908</v>
      </c>
      <c r="B11" s="25"/>
      <c r="C11" s="25"/>
      <c r="D11" s="25"/>
      <c r="E11" s="3">
        <f t="shared" si="1"/>
        <v>19.662921348314597</v>
      </c>
      <c r="F11" s="26">
        <v>712</v>
      </c>
    </row>
    <row r="12" spans="1:6" x14ac:dyDescent="0.25">
      <c r="A12" s="27">
        <f t="shared" si="0"/>
        <v>1909</v>
      </c>
      <c r="B12" s="25"/>
      <c r="C12" s="25"/>
      <c r="D12" s="25"/>
      <c r="E12" s="3">
        <f t="shared" si="1"/>
        <v>19.283746556473915</v>
      </c>
      <c r="F12" s="26">
        <v>726</v>
      </c>
    </row>
    <row r="13" spans="1:6" x14ac:dyDescent="0.25">
      <c r="A13" s="27">
        <f t="shared" si="0"/>
        <v>1910</v>
      </c>
      <c r="B13" s="25"/>
      <c r="C13" s="25"/>
      <c r="D13" s="25"/>
      <c r="E13" s="3">
        <f t="shared" si="1"/>
        <v>17.567567567567501</v>
      </c>
      <c r="F13" s="26">
        <v>740</v>
      </c>
    </row>
    <row r="14" spans="1:6" x14ac:dyDescent="0.25">
      <c r="A14" s="27">
        <f t="shared" si="0"/>
        <v>1911</v>
      </c>
      <c r="B14" s="25"/>
      <c r="C14" s="25"/>
      <c r="D14" s="25"/>
      <c r="E14" s="3">
        <f t="shared" si="1"/>
        <v>18.592297476759612</v>
      </c>
      <c r="F14" s="26">
        <v>753</v>
      </c>
    </row>
    <row r="15" spans="1:6" x14ac:dyDescent="0.25">
      <c r="A15" s="27">
        <f t="shared" si="0"/>
        <v>1912</v>
      </c>
      <c r="B15" s="25"/>
      <c r="C15" s="25"/>
      <c r="D15" s="25"/>
      <c r="E15" s="3">
        <f t="shared" si="1"/>
        <v>18.25293350717083</v>
      </c>
      <c r="F15" s="26">
        <v>767</v>
      </c>
    </row>
    <row r="16" spans="1:6" x14ac:dyDescent="0.25">
      <c r="A16" s="27">
        <f t="shared" si="0"/>
        <v>1913</v>
      </c>
      <c r="B16" s="25"/>
      <c r="C16" s="25"/>
      <c r="D16" s="25"/>
      <c r="E16" s="3">
        <f t="shared" si="1"/>
        <v>17.925736235595345</v>
      </c>
      <c r="F16" s="26">
        <v>781</v>
      </c>
    </row>
    <row r="17" spans="1:6" x14ac:dyDescent="0.25">
      <c r="A17" s="27">
        <f t="shared" si="0"/>
        <v>1914</v>
      </c>
      <c r="B17" s="25"/>
      <c r="C17" s="25"/>
      <c r="D17" s="25"/>
      <c r="E17" s="3">
        <f t="shared" si="1"/>
        <v>17.610062893081757</v>
      </c>
      <c r="F17" s="26">
        <v>795</v>
      </c>
    </row>
    <row r="18" spans="1:6" x14ac:dyDescent="0.25">
      <c r="A18" s="27">
        <f t="shared" si="0"/>
        <v>1915</v>
      </c>
      <c r="B18" s="25"/>
      <c r="C18" s="25"/>
      <c r="D18" s="25"/>
      <c r="E18" s="3">
        <f t="shared" si="1"/>
        <v>17.305315203955509</v>
      </c>
      <c r="F18" s="26">
        <v>809</v>
      </c>
    </row>
    <row r="19" spans="1:6" x14ac:dyDescent="0.25">
      <c r="A19" s="27">
        <f t="shared" si="0"/>
        <v>1916</v>
      </c>
      <c r="B19" s="25"/>
      <c r="C19" s="25"/>
      <c r="D19" s="25"/>
      <c r="E19" s="3">
        <f t="shared" si="1"/>
        <v>17.010935601458055</v>
      </c>
      <c r="F19" s="26">
        <v>823</v>
      </c>
    </row>
    <row r="20" spans="1:6" x14ac:dyDescent="0.25">
      <c r="A20" s="27">
        <f t="shared" si="0"/>
        <v>1917</v>
      </c>
      <c r="B20" s="25"/>
      <c r="C20" s="25"/>
      <c r="D20" s="25"/>
      <c r="E20" s="3">
        <f t="shared" si="1"/>
        <v>16.726403823178025</v>
      </c>
      <c r="F20" s="26">
        <v>837</v>
      </c>
    </row>
    <row r="21" spans="1:6" x14ac:dyDescent="0.25">
      <c r="A21" s="27">
        <f t="shared" si="0"/>
        <v>1918</v>
      </c>
      <c r="B21" s="25"/>
      <c r="C21" s="25"/>
      <c r="D21" s="25"/>
      <c r="E21" s="3">
        <f t="shared" si="1"/>
        <v>16.451233842538215</v>
      </c>
      <c r="F21" s="26">
        <v>851</v>
      </c>
    </row>
    <row r="22" spans="1:6" x14ac:dyDescent="0.25">
      <c r="A22" s="27">
        <f t="shared" si="0"/>
        <v>1919</v>
      </c>
      <c r="B22" s="25"/>
      <c r="C22" s="25"/>
      <c r="D22" s="25"/>
      <c r="E22" s="3">
        <f t="shared" si="1"/>
        <v>16.184971098265997</v>
      </c>
      <c r="F22" s="26">
        <v>865</v>
      </c>
    </row>
    <row r="23" spans="1:6" x14ac:dyDescent="0.25">
      <c r="A23" s="27">
        <f t="shared" si="0"/>
        <v>1920</v>
      </c>
      <c r="B23" s="25"/>
      <c r="C23" s="25"/>
      <c r="D23" s="25"/>
      <c r="E23" s="3">
        <f t="shared" si="1"/>
        <v>37.542662116040844</v>
      </c>
      <c r="F23" s="26">
        <v>879</v>
      </c>
    </row>
    <row r="24" spans="1:6" x14ac:dyDescent="0.25">
      <c r="A24" s="27">
        <f t="shared" si="0"/>
        <v>1921</v>
      </c>
      <c r="B24" s="25"/>
      <c r="C24" s="25"/>
      <c r="D24" s="25"/>
      <c r="E24" s="3">
        <f t="shared" si="1"/>
        <v>37.280701754385916</v>
      </c>
      <c r="F24" s="26">
        <v>912</v>
      </c>
    </row>
    <row r="25" spans="1:6" x14ac:dyDescent="0.25">
      <c r="A25" s="27">
        <f t="shared" si="0"/>
        <v>1922</v>
      </c>
      <c r="B25" s="25"/>
      <c r="C25" s="25"/>
      <c r="D25" s="25"/>
      <c r="E25" s="3">
        <f t="shared" si="1"/>
        <v>36.997885835095225</v>
      </c>
      <c r="F25" s="26">
        <v>946</v>
      </c>
    </row>
    <row r="26" spans="1:6" x14ac:dyDescent="0.25">
      <c r="A26" s="27">
        <f t="shared" si="0"/>
        <v>1923</v>
      </c>
      <c r="B26" s="25"/>
      <c r="C26" s="25"/>
      <c r="D26" s="25"/>
      <c r="E26" s="3">
        <f t="shared" si="1"/>
        <v>36.697247706422019</v>
      </c>
      <c r="F26" s="26">
        <v>981</v>
      </c>
    </row>
    <row r="27" spans="1:6" x14ac:dyDescent="0.25">
      <c r="A27" s="27">
        <f t="shared" si="0"/>
        <v>1924</v>
      </c>
      <c r="B27" s="25"/>
      <c r="C27" s="25"/>
      <c r="D27" s="25"/>
      <c r="E27" s="3">
        <f t="shared" si="1"/>
        <v>36.381514257620481</v>
      </c>
      <c r="F27" s="26">
        <v>1017</v>
      </c>
    </row>
    <row r="28" spans="1:6" x14ac:dyDescent="0.25">
      <c r="A28" s="27">
        <f t="shared" si="0"/>
        <v>1925</v>
      </c>
      <c r="B28" s="25"/>
      <c r="C28" s="25"/>
      <c r="D28" s="25"/>
      <c r="E28" s="3">
        <f t="shared" si="1"/>
        <v>36.053130929791344</v>
      </c>
      <c r="F28" s="26">
        <v>1054</v>
      </c>
    </row>
    <row r="29" spans="1:6" x14ac:dyDescent="0.25">
      <c r="A29" s="27">
        <f t="shared" si="0"/>
        <v>1926</v>
      </c>
      <c r="B29" s="25"/>
      <c r="C29" s="25"/>
      <c r="D29" s="25"/>
      <c r="E29" s="3">
        <f t="shared" si="1"/>
        <v>35.714285714285808</v>
      </c>
      <c r="F29" s="26">
        <v>1092</v>
      </c>
    </row>
    <row r="30" spans="1:6" x14ac:dyDescent="0.25">
      <c r="A30" s="27">
        <f t="shared" si="0"/>
        <v>1927</v>
      </c>
      <c r="B30" s="25"/>
      <c r="C30" s="25"/>
      <c r="D30" s="25"/>
      <c r="E30" s="3">
        <f t="shared" si="1"/>
        <v>36.251105216622562</v>
      </c>
      <c r="F30" s="26">
        <v>1131</v>
      </c>
    </row>
    <row r="31" spans="1:6" x14ac:dyDescent="0.25">
      <c r="A31" s="27">
        <f t="shared" si="0"/>
        <v>1928</v>
      </c>
      <c r="B31" s="25"/>
      <c r="C31" s="25"/>
      <c r="D31" s="25"/>
      <c r="E31" s="3">
        <f t="shared" si="1"/>
        <v>34.982935153583526</v>
      </c>
      <c r="F31" s="26">
        <v>1172</v>
      </c>
    </row>
    <row r="32" spans="1:6" x14ac:dyDescent="0.25">
      <c r="A32" s="27">
        <f t="shared" si="0"/>
        <v>1929</v>
      </c>
      <c r="B32" s="25"/>
      <c r="C32" s="25"/>
      <c r="D32" s="25"/>
      <c r="E32" s="3">
        <f t="shared" si="1"/>
        <v>35.449299258037968</v>
      </c>
      <c r="F32" s="26">
        <v>1213</v>
      </c>
    </row>
    <row r="33" spans="1:6" x14ac:dyDescent="0.25">
      <c r="A33" s="27">
        <f t="shared" si="0"/>
        <v>1930</v>
      </c>
      <c r="B33" s="25"/>
      <c r="C33" s="25"/>
      <c r="D33" s="25"/>
      <c r="E33" s="3">
        <f t="shared" si="1"/>
        <v>35.031847133758063</v>
      </c>
      <c r="F33" s="26">
        <v>1256</v>
      </c>
    </row>
    <row r="34" spans="1:6" x14ac:dyDescent="0.25">
      <c r="A34" s="27">
        <f t="shared" si="0"/>
        <v>1931</v>
      </c>
      <c r="B34" s="25"/>
      <c r="C34" s="25"/>
      <c r="D34" s="25"/>
      <c r="E34" s="3">
        <f t="shared" si="1"/>
        <v>34.615384615384713</v>
      </c>
      <c r="F34" s="26">
        <v>1300</v>
      </c>
    </row>
    <row r="35" spans="1:6" x14ac:dyDescent="0.25">
      <c r="A35" s="27">
        <f t="shared" si="0"/>
        <v>1932</v>
      </c>
      <c r="B35" s="25"/>
      <c r="C35" s="25"/>
      <c r="D35" s="25"/>
      <c r="E35" s="3">
        <f t="shared" si="1"/>
        <v>34.200743494423811</v>
      </c>
      <c r="F35" s="26">
        <v>1345</v>
      </c>
    </row>
    <row r="36" spans="1:6" x14ac:dyDescent="0.25">
      <c r="A36" s="27">
        <f t="shared" si="0"/>
        <v>1933</v>
      </c>
      <c r="B36" s="25"/>
      <c r="C36" s="25"/>
      <c r="D36" s="25"/>
      <c r="E36" s="3">
        <f t="shared" si="1"/>
        <v>33.788641265276809</v>
      </c>
      <c r="F36" s="26">
        <v>1391</v>
      </c>
    </row>
    <row r="37" spans="1:6" x14ac:dyDescent="0.25">
      <c r="A37" s="27">
        <f t="shared" si="0"/>
        <v>1934</v>
      </c>
      <c r="B37" s="25"/>
      <c r="C37" s="25"/>
      <c r="D37" s="25"/>
      <c r="E37" s="3">
        <f t="shared" si="1"/>
        <v>31.988873435326859</v>
      </c>
      <c r="F37" s="26">
        <v>1438</v>
      </c>
    </row>
    <row r="38" spans="1:6" x14ac:dyDescent="0.25">
      <c r="A38" s="27">
        <f t="shared" si="0"/>
        <v>1935</v>
      </c>
      <c r="B38" s="25"/>
      <c r="C38" s="25"/>
      <c r="D38" s="25"/>
      <c r="E38" s="3">
        <f t="shared" si="1"/>
        <v>24.258760107816801</v>
      </c>
      <c r="F38" s="26">
        <v>1484</v>
      </c>
    </row>
    <row r="39" spans="1:6" x14ac:dyDescent="0.25">
      <c r="A39" s="27">
        <f t="shared" si="0"/>
        <v>1936</v>
      </c>
      <c r="B39" s="25"/>
      <c r="C39" s="25"/>
      <c r="D39" s="25"/>
      <c r="E39" s="3">
        <f t="shared" si="1"/>
        <v>24.999999999999911</v>
      </c>
      <c r="F39" s="26">
        <v>1520</v>
      </c>
    </row>
    <row r="40" spans="1:6" x14ac:dyDescent="0.25">
      <c r="A40" s="27">
        <f t="shared" si="0"/>
        <v>1937</v>
      </c>
      <c r="B40" s="25"/>
      <c r="C40" s="25"/>
      <c r="D40" s="25"/>
      <c r="E40" s="3">
        <f t="shared" si="1"/>
        <v>24.390243902439046</v>
      </c>
      <c r="F40" s="26">
        <v>1558</v>
      </c>
    </row>
    <row r="41" spans="1:6" x14ac:dyDescent="0.25">
      <c r="A41" s="27">
        <f t="shared" si="0"/>
        <v>1938</v>
      </c>
      <c r="B41" s="25"/>
      <c r="C41" s="25"/>
      <c r="D41" s="25"/>
      <c r="E41" s="3">
        <f t="shared" si="1"/>
        <v>23.809523809523725</v>
      </c>
      <c r="F41" s="26">
        <v>1596</v>
      </c>
    </row>
    <row r="42" spans="1:6" x14ac:dyDescent="0.25">
      <c r="A42" s="27">
        <f t="shared" si="0"/>
        <v>1939</v>
      </c>
      <c r="B42" s="25"/>
      <c r="C42" s="25"/>
      <c r="D42" s="25"/>
      <c r="E42" s="3">
        <f t="shared" si="1"/>
        <v>76.499388004895863</v>
      </c>
      <c r="F42" s="26">
        <v>1634</v>
      </c>
    </row>
    <row r="43" spans="1:6" x14ac:dyDescent="0.25">
      <c r="A43" s="27">
        <f t="shared" si="0"/>
        <v>1940</v>
      </c>
      <c r="B43" s="25"/>
      <c r="C43" s="25"/>
      <c r="D43" s="25"/>
      <c r="E43" s="3">
        <f t="shared" si="1"/>
        <v>23.877202956225084</v>
      </c>
      <c r="F43" s="26">
        <v>1759</v>
      </c>
    </row>
    <row r="44" spans="1:6" x14ac:dyDescent="0.25">
      <c r="A44" s="27">
        <f t="shared" si="0"/>
        <v>1941</v>
      </c>
      <c r="B44" s="25"/>
      <c r="C44" s="25"/>
      <c r="D44" s="25"/>
      <c r="E44" s="3">
        <f t="shared" si="1"/>
        <v>23.875624652970551</v>
      </c>
      <c r="F44" s="26">
        <v>1801</v>
      </c>
    </row>
    <row r="45" spans="1:6" x14ac:dyDescent="0.25">
      <c r="A45" s="27">
        <f t="shared" si="0"/>
        <v>1942</v>
      </c>
      <c r="B45" s="25"/>
      <c r="C45" s="25"/>
      <c r="D45" s="25"/>
      <c r="E45" s="3">
        <f t="shared" si="1"/>
        <v>24.403470715835152</v>
      </c>
      <c r="F45" s="26">
        <v>1844</v>
      </c>
    </row>
    <row r="46" spans="1:6" x14ac:dyDescent="0.25">
      <c r="A46" s="27">
        <f t="shared" si="0"/>
        <v>1943</v>
      </c>
      <c r="B46" s="25"/>
      <c r="C46" s="25"/>
      <c r="D46" s="25"/>
      <c r="E46" s="3">
        <f t="shared" si="1"/>
        <v>23.822128110111194</v>
      </c>
      <c r="F46" s="26">
        <v>1889</v>
      </c>
    </row>
    <row r="47" spans="1:6" x14ac:dyDescent="0.25">
      <c r="A47" s="27">
        <f t="shared" si="0"/>
        <v>1944</v>
      </c>
      <c r="B47" s="25"/>
      <c r="C47" s="25"/>
      <c r="D47" s="25"/>
      <c r="E47" s="3">
        <f t="shared" si="1"/>
        <v>24.819027921406445</v>
      </c>
      <c r="F47" s="26">
        <v>1934</v>
      </c>
    </row>
    <row r="48" spans="1:6" x14ac:dyDescent="0.25">
      <c r="A48" s="27">
        <f t="shared" si="0"/>
        <v>1945</v>
      </c>
      <c r="B48" s="25"/>
      <c r="C48" s="25"/>
      <c r="D48" s="25"/>
      <c r="E48" s="3">
        <f t="shared" si="1"/>
        <v>24.217961654894093</v>
      </c>
      <c r="F48" s="26">
        <v>1982</v>
      </c>
    </row>
    <row r="49" spans="1:37" x14ac:dyDescent="0.25">
      <c r="A49" s="27">
        <f t="shared" si="0"/>
        <v>1946</v>
      </c>
      <c r="B49" s="25"/>
      <c r="C49" s="25"/>
      <c r="D49" s="25"/>
      <c r="E49" s="3">
        <f t="shared" si="1"/>
        <v>24.630541871921263</v>
      </c>
      <c r="F49" s="26">
        <v>2030</v>
      </c>
    </row>
    <row r="50" spans="1:37" x14ac:dyDescent="0.25">
      <c r="A50" s="27">
        <f t="shared" si="0"/>
        <v>1947</v>
      </c>
      <c r="B50" s="25"/>
      <c r="C50" s="25"/>
      <c r="D50" s="25"/>
      <c r="E50" s="3">
        <f t="shared" si="1"/>
        <v>24.519230769230795</v>
      </c>
      <c r="F50" s="26">
        <v>2080</v>
      </c>
    </row>
    <row r="51" spans="1:37" x14ac:dyDescent="0.25">
      <c r="A51" s="27">
        <f t="shared" si="0"/>
        <v>1948</v>
      </c>
      <c r="B51" s="25"/>
      <c r="C51" s="25"/>
      <c r="D51" s="25"/>
      <c r="E51" s="3">
        <f t="shared" si="1"/>
        <v>25.340215861098024</v>
      </c>
      <c r="F51" s="26">
        <v>2131</v>
      </c>
    </row>
    <row r="52" spans="1:37" x14ac:dyDescent="0.25">
      <c r="A52" s="27">
        <f>A53-1</f>
        <v>1949</v>
      </c>
      <c r="B52" s="25"/>
      <c r="C52" s="25"/>
      <c r="D52" s="25"/>
      <c r="E52" s="3">
        <f t="shared" si="1"/>
        <v>26.544622425629385</v>
      </c>
      <c r="F52" s="26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6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6">
        <v>2305</v>
      </c>
      <c r="AJ54" s="26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6">
        <v>2370</v>
      </c>
      <c r="AJ55" s="26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6">
        <v>2438</v>
      </c>
      <c r="AJ56" s="26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6">
        <v>2511</v>
      </c>
      <c r="AJ57" s="26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6">
        <v>2587</v>
      </c>
      <c r="AJ58" s="26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6">
        <v>2667</v>
      </c>
      <c r="AJ59" s="26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6">
        <v>2752</v>
      </c>
      <c r="AJ60" s="26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6">
        <v>2840</v>
      </c>
      <c r="AJ61" s="26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6">
        <v>2933</v>
      </c>
      <c r="AJ62" s="26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6">
        <v>3030</v>
      </c>
      <c r="AJ63" s="26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6">
        <v>3132</v>
      </c>
      <c r="AJ64" s="26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6">
        <v>3239</v>
      </c>
      <c r="AJ65" s="26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6">
        <v>3350</v>
      </c>
      <c r="AJ66" s="26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6">
        <v>3466</v>
      </c>
      <c r="AJ67" s="26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6">
        <v>3588</v>
      </c>
      <c r="AJ68" s="26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6">
        <v>3715</v>
      </c>
      <c r="AJ69" s="26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6">
        <v>3846</v>
      </c>
      <c r="AJ70" s="26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6">
        <v>3984</v>
      </c>
      <c r="AJ71" s="26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6">
        <v>4127</v>
      </c>
      <c r="AJ72" s="26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6">
        <v>4277</v>
      </c>
      <c r="AJ73" s="26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6">
        <v>4433</v>
      </c>
      <c r="AJ74" s="26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6">
        <v>4595</v>
      </c>
      <c r="AJ75" s="26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6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6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6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6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6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6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6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6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6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6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6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6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6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6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6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6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6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6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6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6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6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6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6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6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6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6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6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6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6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6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6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6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6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6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6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6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6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6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6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6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6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6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6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6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6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6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6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6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6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6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6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2" t="s">
        <v>115</v>
      </c>
      <c r="C1" s="32"/>
      <c r="D1" s="32" t="s">
        <v>75</v>
      </c>
      <c r="E1" s="32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2" t="s">
        <v>115</v>
      </c>
      <c r="C1" s="32"/>
      <c r="D1" s="32" t="s">
        <v>75</v>
      </c>
      <c r="E1" s="32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2" t="s">
        <v>115</v>
      </c>
      <c r="C1" s="32"/>
      <c r="D1" s="32" t="s">
        <v>75</v>
      </c>
      <c r="E1" s="32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B3" sqref="B3:C67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2" t="s">
        <v>100</v>
      </c>
      <c r="C1" s="32"/>
      <c r="D1" s="32" t="s">
        <v>75</v>
      </c>
      <c r="E1" s="32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25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25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25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25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25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25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25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25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25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25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25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25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25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25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25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25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25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25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25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25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9" si="0">A3-1</f>
        <v>1900</v>
      </c>
      <c r="B2" s="25"/>
      <c r="C2" s="25"/>
      <c r="D2" s="25"/>
      <c r="E2" s="3">
        <f>(F3/F2-1) * 1000</f>
        <v>32.653061224489747</v>
      </c>
      <c r="F2" s="26">
        <v>490</v>
      </c>
    </row>
    <row r="3" spans="1:6" x14ac:dyDescent="0.25">
      <c r="A3" s="29">
        <f t="shared" si="0"/>
        <v>1901</v>
      </c>
      <c r="B3" s="25"/>
      <c r="C3" s="25"/>
      <c r="D3" s="25"/>
      <c r="E3" s="3">
        <f t="shared" ref="E3:E66" si="1">(F4/F3-1) * 1000</f>
        <v>31.620553359683832</v>
      </c>
      <c r="F3" s="26">
        <v>506</v>
      </c>
    </row>
    <row r="4" spans="1:6" x14ac:dyDescent="0.25">
      <c r="A4" s="29">
        <f t="shared" si="0"/>
        <v>1902</v>
      </c>
      <c r="B4" s="25"/>
      <c r="C4" s="25"/>
      <c r="D4" s="25"/>
      <c r="E4" s="3">
        <f t="shared" si="1"/>
        <v>32.567049808429175</v>
      </c>
      <c r="F4" s="26">
        <v>522</v>
      </c>
    </row>
    <row r="5" spans="1:6" x14ac:dyDescent="0.25">
      <c r="A5" s="29">
        <f t="shared" si="0"/>
        <v>1903</v>
      </c>
      <c r="B5" s="25"/>
      <c r="C5" s="25"/>
      <c r="D5" s="25"/>
      <c r="E5" s="3">
        <f t="shared" si="1"/>
        <v>29.684601113172615</v>
      </c>
      <c r="F5" s="26">
        <v>539</v>
      </c>
    </row>
    <row r="6" spans="1:6" x14ac:dyDescent="0.25">
      <c r="A6" s="29">
        <f t="shared" si="0"/>
        <v>1904</v>
      </c>
      <c r="B6" s="25"/>
      <c r="C6" s="25"/>
      <c r="D6" s="25"/>
      <c r="E6" s="3">
        <f t="shared" si="1"/>
        <v>28.828828828828755</v>
      </c>
      <c r="F6" s="26">
        <v>555</v>
      </c>
    </row>
    <row r="7" spans="1:6" x14ac:dyDescent="0.25">
      <c r="A7" s="29">
        <f t="shared" si="0"/>
        <v>1905</v>
      </c>
      <c r="B7" s="25"/>
      <c r="C7" s="25"/>
      <c r="D7" s="25"/>
      <c r="E7" s="3">
        <f t="shared" si="1"/>
        <v>15.761821366024442</v>
      </c>
      <c r="F7" s="26">
        <v>571</v>
      </c>
    </row>
    <row r="8" spans="1:6" x14ac:dyDescent="0.25">
      <c r="A8" s="29">
        <f t="shared" si="0"/>
        <v>1906</v>
      </c>
      <c r="B8" s="25"/>
      <c r="C8" s="25"/>
      <c r="D8" s="25"/>
      <c r="E8" s="3">
        <f t="shared" si="1"/>
        <v>17.241379310344751</v>
      </c>
      <c r="F8" s="26">
        <v>580</v>
      </c>
    </row>
    <row r="9" spans="1:6" x14ac:dyDescent="0.25">
      <c r="A9" s="29">
        <f t="shared" si="0"/>
        <v>1907</v>
      </c>
      <c r="B9" s="25"/>
      <c r="C9" s="25"/>
      <c r="D9" s="25"/>
      <c r="E9" s="3">
        <f t="shared" si="1"/>
        <v>16.949152542372836</v>
      </c>
      <c r="F9" s="26">
        <v>590</v>
      </c>
    </row>
    <row r="10" spans="1:6" x14ac:dyDescent="0.25">
      <c r="A10" s="29">
        <f t="shared" ref="A10:A50" si="2">A11-1</f>
        <v>1908</v>
      </c>
      <c r="B10" s="25"/>
      <c r="C10" s="25"/>
      <c r="D10" s="25"/>
      <c r="E10" s="3">
        <f t="shared" si="1"/>
        <v>16.666666666666607</v>
      </c>
      <c r="F10" s="26">
        <v>600</v>
      </c>
    </row>
    <row r="11" spans="1:6" x14ac:dyDescent="0.25">
      <c r="A11" s="29">
        <f t="shared" si="2"/>
        <v>1909</v>
      </c>
      <c r="B11" s="25"/>
      <c r="C11" s="25"/>
      <c r="D11" s="25"/>
      <c r="E11" s="3">
        <f t="shared" si="1"/>
        <v>16.393442622950836</v>
      </c>
      <c r="F11" s="26">
        <v>610</v>
      </c>
    </row>
    <row r="12" spans="1:6" x14ac:dyDescent="0.25">
      <c r="A12" s="29">
        <f t="shared" si="2"/>
        <v>1910</v>
      </c>
      <c r="B12" s="25"/>
      <c r="C12" s="25"/>
      <c r="D12" s="25"/>
      <c r="E12" s="3">
        <f t="shared" si="1"/>
        <v>16.129032258064502</v>
      </c>
      <c r="F12" s="26">
        <v>620</v>
      </c>
    </row>
    <row r="13" spans="1:6" x14ac:dyDescent="0.25">
      <c r="A13" s="29">
        <f t="shared" si="2"/>
        <v>1911</v>
      </c>
      <c r="B13" s="25"/>
      <c r="C13" s="25"/>
      <c r="D13" s="25"/>
      <c r="E13" s="3">
        <f t="shared" si="1"/>
        <v>15.873015873015817</v>
      </c>
      <c r="F13" s="26">
        <v>630</v>
      </c>
    </row>
    <row r="14" spans="1:6" x14ac:dyDescent="0.25">
      <c r="A14" s="29">
        <f t="shared" si="2"/>
        <v>1912</v>
      </c>
      <c r="B14" s="25"/>
      <c r="C14" s="25"/>
      <c r="D14" s="25"/>
      <c r="E14" s="3">
        <f t="shared" si="1"/>
        <v>15.625</v>
      </c>
      <c r="F14" s="26">
        <v>640</v>
      </c>
    </row>
    <row r="15" spans="1:6" x14ac:dyDescent="0.25">
      <c r="A15" s="29">
        <f t="shared" si="2"/>
        <v>1913</v>
      </c>
      <c r="B15" s="25"/>
      <c r="C15" s="25"/>
      <c r="D15" s="25"/>
      <c r="E15" s="3">
        <f t="shared" si="1"/>
        <v>10.769230769230864</v>
      </c>
      <c r="F15" s="26">
        <v>650</v>
      </c>
    </row>
    <row r="16" spans="1:6" x14ac:dyDescent="0.25">
      <c r="A16" s="29">
        <f t="shared" si="2"/>
        <v>1914</v>
      </c>
      <c r="B16" s="25"/>
      <c r="C16" s="25"/>
      <c r="D16" s="25"/>
      <c r="E16" s="3">
        <f t="shared" si="1"/>
        <v>10.654490106544845</v>
      </c>
      <c r="F16" s="26">
        <v>657</v>
      </c>
    </row>
    <row r="17" spans="1:6" x14ac:dyDescent="0.25">
      <c r="A17" s="29">
        <f t="shared" si="2"/>
        <v>1915</v>
      </c>
      <c r="B17" s="25"/>
      <c r="C17" s="25"/>
      <c r="D17" s="25"/>
      <c r="E17" s="3">
        <f t="shared" si="1"/>
        <v>10.542168674698704</v>
      </c>
      <c r="F17" s="26">
        <v>664</v>
      </c>
    </row>
    <row r="18" spans="1:6" x14ac:dyDescent="0.25">
      <c r="A18" s="29">
        <f t="shared" si="2"/>
        <v>1916</v>
      </c>
      <c r="B18" s="25"/>
      <c r="C18" s="25"/>
      <c r="D18" s="25"/>
      <c r="E18" s="3">
        <f t="shared" si="1"/>
        <v>10.432190760059523</v>
      </c>
      <c r="F18" s="26">
        <v>671</v>
      </c>
    </row>
    <row r="19" spans="1:6" x14ac:dyDescent="0.25">
      <c r="A19" s="29">
        <f t="shared" si="2"/>
        <v>1917</v>
      </c>
      <c r="B19" s="25"/>
      <c r="C19" s="25"/>
      <c r="D19" s="25"/>
      <c r="E19" s="3">
        <f t="shared" si="1"/>
        <v>10.324483775811188</v>
      </c>
      <c r="F19" s="26">
        <v>678</v>
      </c>
    </row>
    <row r="20" spans="1:6" x14ac:dyDescent="0.25">
      <c r="A20" s="29">
        <f t="shared" si="2"/>
        <v>1918</v>
      </c>
      <c r="B20" s="25"/>
      <c r="C20" s="25"/>
      <c r="D20" s="25"/>
      <c r="E20" s="3">
        <f t="shared" si="1"/>
        <v>10.218978102189746</v>
      </c>
      <c r="F20" s="26">
        <v>685</v>
      </c>
    </row>
    <row r="21" spans="1:6" x14ac:dyDescent="0.25">
      <c r="A21" s="29">
        <f t="shared" si="2"/>
        <v>1919</v>
      </c>
      <c r="B21" s="25"/>
      <c r="C21" s="25"/>
      <c r="D21" s="25"/>
      <c r="E21" s="3">
        <f t="shared" si="1"/>
        <v>10.115606936416111</v>
      </c>
      <c r="F21" s="26">
        <v>692</v>
      </c>
    </row>
    <row r="22" spans="1:6" x14ac:dyDescent="0.25">
      <c r="A22" s="29">
        <f t="shared" si="2"/>
        <v>1920</v>
      </c>
      <c r="B22" s="25"/>
      <c r="C22" s="25"/>
      <c r="D22" s="25"/>
      <c r="E22" s="3">
        <f t="shared" si="1"/>
        <v>22.889842632331849</v>
      </c>
      <c r="F22" s="26">
        <v>699</v>
      </c>
    </row>
    <row r="23" spans="1:6" x14ac:dyDescent="0.25">
      <c r="A23" s="29">
        <f t="shared" si="2"/>
        <v>1921</v>
      </c>
      <c r="B23" s="25"/>
      <c r="C23" s="25"/>
      <c r="D23" s="25"/>
      <c r="E23" s="3">
        <f t="shared" si="1"/>
        <v>23.776223776223794</v>
      </c>
      <c r="F23" s="26">
        <v>715</v>
      </c>
    </row>
    <row r="24" spans="1:6" x14ac:dyDescent="0.25">
      <c r="A24" s="29">
        <f t="shared" si="2"/>
        <v>1922</v>
      </c>
      <c r="B24" s="25"/>
      <c r="C24" s="25"/>
      <c r="D24" s="25"/>
      <c r="E24" s="3">
        <f t="shared" si="1"/>
        <v>23.224043715847074</v>
      </c>
      <c r="F24" s="26">
        <v>732</v>
      </c>
    </row>
    <row r="25" spans="1:6" x14ac:dyDescent="0.25">
      <c r="A25" s="29">
        <f t="shared" si="2"/>
        <v>1923</v>
      </c>
      <c r="B25" s="25"/>
      <c r="C25" s="25"/>
      <c r="D25" s="25"/>
      <c r="E25" s="3">
        <f t="shared" si="1"/>
        <v>24.032042723631577</v>
      </c>
      <c r="F25" s="26">
        <v>749</v>
      </c>
    </row>
    <row r="26" spans="1:6" x14ac:dyDescent="0.25">
      <c r="A26" s="29">
        <f t="shared" si="2"/>
        <v>1924</v>
      </c>
      <c r="B26" s="25"/>
      <c r="C26" s="25"/>
      <c r="D26" s="25"/>
      <c r="E26" s="3">
        <f t="shared" si="1"/>
        <v>23.468057366362373</v>
      </c>
      <c r="F26" s="26">
        <v>767</v>
      </c>
    </row>
    <row r="27" spans="1:6" x14ac:dyDescent="0.25">
      <c r="A27" s="29">
        <f t="shared" si="2"/>
        <v>1925</v>
      </c>
      <c r="B27" s="25"/>
      <c r="C27" s="25"/>
      <c r="D27" s="25"/>
      <c r="E27" s="3">
        <f t="shared" si="1"/>
        <v>22.929936305732479</v>
      </c>
      <c r="F27" s="26">
        <v>785</v>
      </c>
    </row>
    <row r="28" spans="1:6" x14ac:dyDescent="0.25">
      <c r="A28" s="29">
        <f t="shared" si="2"/>
        <v>1926</v>
      </c>
      <c r="B28" s="25"/>
      <c r="C28" s="25"/>
      <c r="D28" s="25"/>
      <c r="E28" s="3">
        <f t="shared" si="1"/>
        <v>23.661270236612797</v>
      </c>
      <c r="F28" s="26">
        <v>803</v>
      </c>
    </row>
    <row r="29" spans="1:6" x14ac:dyDescent="0.25">
      <c r="A29" s="29">
        <f t="shared" si="2"/>
        <v>1927</v>
      </c>
      <c r="B29" s="25"/>
      <c r="C29" s="25"/>
      <c r="D29" s="25"/>
      <c r="E29" s="3">
        <f t="shared" si="1"/>
        <v>23.11435523114347</v>
      </c>
      <c r="F29" s="26">
        <v>822</v>
      </c>
    </row>
    <row r="30" spans="1:6" x14ac:dyDescent="0.25">
      <c r="A30" s="29">
        <f t="shared" si="2"/>
        <v>1928</v>
      </c>
      <c r="B30" s="25"/>
      <c r="C30" s="25"/>
      <c r="D30" s="25"/>
      <c r="E30" s="3">
        <f t="shared" si="1"/>
        <v>22.592152199762296</v>
      </c>
      <c r="F30" s="26">
        <v>841</v>
      </c>
    </row>
    <row r="31" spans="1:6" x14ac:dyDescent="0.25">
      <c r="A31" s="29">
        <f t="shared" si="2"/>
        <v>1929</v>
      </c>
      <c r="B31" s="25"/>
      <c r="C31" s="25"/>
      <c r="D31" s="25"/>
      <c r="E31" s="3">
        <f t="shared" si="1"/>
        <v>23.255813953488413</v>
      </c>
      <c r="F31" s="26">
        <v>860</v>
      </c>
    </row>
    <row r="32" spans="1:6" x14ac:dyDescent="0.25">
      <c r="A32" s="29">
        <f t="shared" si="2"/>
        <v>1930</v>
      </c>
      <c r="B32" s="25"/>
      <c r="C32" s="25"/>
      <c r="D32" s="25"/>
      <c r="E32" s="3">
        <f t="shared" si="1"/>
        <v>23.86363636363642</v>
      </c>
      <c r="F32" s="26">
        <v>880</v>
      </c>
    </row>
    <row r="33" spans="1:6" x14ac:dyDescent="0.25">
      <c r="A33" s="29">
        <f t="shared" si="2"/>
        <v>1931</v>
      </c>
      <c r="B33" s="25"/>
      <c r="C33" s="25"/>
      <c r="D33" s="25"/>
      <c r="E33" s="3">
        <f t="shared" si="1"/>
        <v>23.307436182020027</v>
      </c>
      <c r="F33" s="26">
        <v>901</v>
      </c>
    </row>
    <row r="34" spans="1:6" x14ac:dyDescent="0.25">
      <c r="A34" s="29">
        <f t="shared" si="2"/>
        <v>1932</v>
      </c>
      <c r="B34" s="25"/>
      <c r="C34" s="25"/>
      <c r="D34" s="25"/>
      <c r="E34" s="3">
        <f t="shared" si="1"/>
        <v>23.86117136659438</v>
      </c>
      <c r="F34" s="26">
        <v>922</v>
      </c>
    </row>
    <row r="35" spans="1:6" x14ac:dyDescent="0.25">
      <c r="A35" s="29">
        <f t="shared" si="2"/>
        <v>1933</v>
      </c>
      <c r="B35" s="25"/>
      <c r="C35" s="25"/>
      <c r="D35" s="25"/>
      <c r="E35" s="3">
        <f t="shared" si="1"/>
        <v>23.305084745762763</v>
      </c>
      <c r="F35" s="26">
        <v>944</v>
      </c>
    </row>
    <row r="36" spans="1:6" x14ac:dyDescent="0.25">
      <c r="A36" s="29">
        <f t="shared" si="2"/>
        <v>1934</v>
      </c>
      <c r="B36" s="25"/>
      <c r="C36" s="25"/>
      <c r="D36" s="25"/>
      <c r="E36" s="3">
        <f t="shared" si="1"/>
        <v>22.774327122153217</v>
      </c>
      <c r="F36" s="26">
        <v>966</v>
      </c>
    </row>
    <row r="37" spans="1:6" x14ac:dyDescent="0.25">
      <c r="A37" s="29">
        <f t="shared" si="2"/>
        <v>1935</v>
      </c>
      <c r="B37" s="25"/>
      <c r="C37" s="25"/>
      <c r="D37" s="25"/>
      <c r="E37" s="3">
        <f t="shared" si="1"/>
        <v>24.291497975708509</v>
      </c>
      <c r="F37" s="26">
        <v>988</v>
      </c>
    </row>
    <row r="38" spans="1:6" x14ac:dyDescent="0.25">
      <c r="A38" s="29">
        <f t="shared" si="2"/>
        <v>1936</v>
      </c>
      <c r="B38" s="25"/>
      <c r="C38" s="25"/>
      <c r="D38" s="25"/>
      <c r="E38" s="3">
        <f t="shared" si="1"/>
        <v>23.715415019762929</v>
      </c>
      <c r="F38" s="26">
        <v>1012</v>
      </c>
    </row>
    <row r="39" spans="1:6" x14ac:dyDescent="0.25">
      <c r="A39" s="29">
        <f t="shared" si="2"/>
        <v>1937</v>
      </c>
      <c r="B39" s="25"/>
      <c r="C39" s="25"/>
      <c r="D39" s="25"/>
      <c r="E39" s="3">
        <f t="shared" si="1"/>
        <v>24.131274131274026</v>
      </c>
      <c r="F39" s="26">
        <v>1036</v>
      </c>
    </row>
    <row r="40" spans="1:6" x14ac:dyDescent="0.25">
      <c r="A40" s="29">
        <f t="shared" si="2"/>
        <v>1938</v>
      </c>
      <c r="B40" s="25"/>
      <c r="C40" s="25"/>
      <c r="D40" s="25"/>
      <c r="E40" s="3">
        <f t="shared" si="1"/>
        <v>23.562676720075395</v>
      </c>
      <c r="F40" s="26">
        <v>1061</v>
      </c>
    </row>
    <row r="41" spans="1:6" x14ac:dyDescent="0.25">
      <c r="A41" s="29">
        <f t="shared" si="2"/>
        <v>1939</v>
      </c>
      <c r="B41" s="25"/>
      <c r="C41" s="25"/>
      <c r="D41" s="25"/>
      <c r="E41" s="3">
        <f t="shared" si="1"/>
        <v>23.020257826887658</v>
      </c>
      <c r="F41" s="26">
        <v>1086</v>
      </c>
    </row>
    <row r="42" spans="1:6" x14ac:dyDescent="0.25">
      <c r="A42" s="29">
        <f t="shared" si="2"/>
        <v>1940</v>
      </c>
      <c r="B42" s="25"/>
      <c r="C42" s="25"/>
      <c r="D42" s="25"/>
      <c r="E42" s="3">
        <f t="shared" si="1"/>
        <v>23.40234023402332</v>
      </c>
      <c r="F42" s="26">
        <v>1111</v>
      </c>
    </row>
    <row r="43" spans="1:6" x14ac:dyDescent="0.25">
      <c r="A43" s="29">
        <f t="shared" si="2"/>
        <v>1941</v>
      </c>
      <c r="B43" s="25"/>
      <c r="C43" s="25"/>
      <c r="D43" s="25"/>
      <c r="E43" s="3">
        <f t="shared" si="1"/>
        <v>23.746701846965699</v>
      </c>
      <c r="F43" s="26">
        <v>1137</v>
      </c>
    </row>
    <row r="44" spans="1:6" x14ac:dyDescent="0.25">
      <c r="A44" s="29">
        <f t="shared" si="2"/>
        <v>1942</v>
      </c>
      <c r="B44" s="25"/>
      <c r="C44" s="25"/>
      <c r="D44" s="25"/>
      <c r="E44" s="3">
        <f t="shared" si="1"/>
        <v>23.195876288659711</v>
      </c>
      <c r="F44" s="26">
        <v>1164</v>
      </c>
    </row>
    <row r="45" spans="1:6" x14ac:dyDescent="0.25">
      <c r="A45" s="29">
        <f t="shared" si="2"/>
        <v>1943</v>
      </c>
      <c r="B45" s="25"/>
      <c r="C45" s="25"/>
      <c r="D45" s="25"/>
      <c r="E45" s="3">
        <f t="shared" si="1"/>
        <v>23.509655751469349</v>
      </c>
      <c r="F45" s="26">
        <v>1191</v>
      </c>
    </row>
    <row r="46" spans="1:6" x14ac:dyDescent="0.25">
      <c r="A46" s="29">
        <f t="shared" si="2"/>
        <v>1944</v>
      </c>
      <c r="B46" s="25"/>
      <c r="C46" s="25"/>
      <c r="D46" s="25"/>
      <c r="E46" s="3">
        <f t="shared" si="1"/>
        <v>22.969647251845693</v>
      </c>
      <c r="F46" s="26">
        <v>1219</v>
      </c>
    </row>
    <row r="47" spans="1:6" x14ac:dyDescent="0.25">
      <c r="A47" s="29">
        <f t="shared" si="2"/>
        <v>1945</v>
      </c>
      <c r="B47" s="25"/>
      <c r="C47" s="25"/>
      <c r="D47" s="25"/>
      <c r="E47" s="3">
        <f t="shared" si="1"/>
        <v>22.453889334402621</v>
      </c>
      <c r="F47" s="26">
        <v>1247</v>
      </c>
    </row>
    <row r="48" spans="1:6" x14ac:dyDescent="0.25">
      <c r="A48" s="29">
        <f t="shared" si="2"/>
        <v>1946</v>
      </c>
      <c r="B48" s="25"/>
      <c r="C48" s="25"/>
      <c r="D48" s="25"/>
      <c r="E48" s="3">
        <f t="shared" si="1"/>
        <v>23.529411764705799</v>
      </c>
      <c r="F48" s="26">
        <v>1275</v>
      </c>
    </row>
    <row r="49" spans="1:33" x14ac:dyDescent="0.25">
      <c r="A49" s="29">
        <f t="shared" si="2"/>
        <v>1947</v>
      </c>
      <c r="B49" s="25"/>
      <c r="C49" s="25"/>
      <c r="D49" s="25"/>
      <c r="E49" s="3">
        <f t="shared" si="1"/>
        <v>22.98850574712641</v>
      </c>
      <c r="F49" s="26">
        <v>1305</v>
      </c>
    </row>
    <row r="50" spans="1:33" x14ac:dyDescent="0.25">
      <c r="A50" s="29">
        <f t="shared" si="2"/>
        <v>1948</v>
      </c>
      <c r="B50" s="25"/>
      <c r="C50" s="25"/>
      <c r="D50" s="25"/>
      <c r="E50" s="3">
        <f t="shared" si="1"/>
        <v>23.220973782771548</v>
      </c>
      <c r="F50" s="26">
        <v>1335</v>
      </c>
    </row>
    <row r="51" spans="1:33" x14ac:dyDescent="0.25">
      <c r="A51" s="29">
        <f>A52-1</f>
        <v>1949</v>
      </c>
      <c r="B51" s="25"/>
      <c r="C51" s="25"/>
      <c r="D51" s="25"/>
      <c r="E51" s="3">
        <f t="shared" si="1"/>
        <v>22.693997071742356</v>
      </c>
      <c r="F51" s="26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6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6">
        <v>1429</v>
      </c>
      <c r="AF53" s="26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6">
        <v>1462</v>
      </c>
      <c r="AF54" s="26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6">
        <v>1496</v>
      </c>
      <c r="AF55" s="26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6">
        <v>1530</v>
      </c>
      <c r="AF56" s="26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6">
        <v>1565</v>
      </c>
      <c r="AF57" s="26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6">
        <v>1613</v>
      </c>
      <c r="AF58" s="26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6">
        <v>1648</v>
      </c>
      <c r="AF59" s="26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6">
        <v>1687</v>
      </c>
      <c r="AF60" s="26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6">
        <v>1728</v>
      </c>
      <c r="AF61" s="26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6">
        <v>1768</v>
      </c>
      <c r="AF62" s="26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6">
        <v>1812</v>
      </c>
      <c r="AF63" s="26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6">
        <v>1858</v>
      </c>
      <c r="AF64" s="26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6">
        <v>1906</v>
      </c>
      <c r="AF65" s="26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6">
        <v>1955</v>
      </c>
      <c r="AF66" s="26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6">
        <v>2007</v>
      </c>
      <c r="AF67" s="26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6">
        <v>2061</v>
      </c>
      <c r="AF68" s="26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6">
        <v>2116</v>
      </c>
      <c r="AF69" s="26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6">
        <v>2174</v>
      </c>
      <c r="AF70" s="26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6">
        <v>2234</v>
      </c>
      <c r="AF71" s="26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6">
        <v>2296</v>
      </c>
      <c r="AF72" s="26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6">
        <v>2361</v>
      </c>
      <c r="AF73" s="26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6">
        <v>2428</v>
      </c>
      <c r="AF74" s="26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6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6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6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6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6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6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6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6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6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6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6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6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6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6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6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6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6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6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6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6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6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6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6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6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6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6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6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6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6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6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6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6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6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6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6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6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6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6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6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6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6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6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6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6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6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6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6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6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6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6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6"/>
      <c r="AG125" s="3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40" si="0">A3-1</f>
        <v>1900</v>
      </c>
      <c r="B2" s="25"/>
      <c r="C2" s="25"/>
      <c r="D2" s="25"/>
      <c r="E2" s="28">
        <f>(F3/F2-1) * 1000</f>
        <v>33.333333333333435</v>
      </c>
      <c r="F2" s="26">
        <v>3000</v>
      </c>
    </row>
    <row r="3" spans="1:6" x14ac:dyDescent="0.25">
      <c r="A3" s="29">
        <f t="shared" si="0"/>
        <v>1901</v>
      </c>
      <c r="B3" s="25"/>
      <c r="C3" s="25"/>
      <c r="D3" s="25"/>
      <c r="E3" s="28">
        <f t="shared" ref="E3:E41" si="1">(F4/F3-1) * 1000</f>
        <v>32.258064516129004</v>
      </c>
      <c r="F3" s="26">
        <v>3100</v>
      </c>
    </row>
    <row r="4" spans="1:6" x14ac:dyDescent="0.25">
      <c r="A4" s="29">
        <f t="shared" si="0"/>
        <v>1902</v>
      </c>
      <c r="B4" s="25"/>
      <c r="C4" s="25"/>
      <c r="D4" s="25"/>
      <c r="E4" s="28">
        <f t="shared" si="1"/>
        <v>31.25</v>
      </c>
      <c r="F4" s="26">
        <v>3200</v>
      </c>
    </row>
    <row r="5" spans="1:6" x14ac:dyDescent="0.25">
      <c r="A5" s="29">
        <f t="shared" si="0"/>
        <v>1903</v>
      </c>
      <c r="B5" s="25"/>
      <c r="C5" s="25"/>
      <c r="D5" s="25"/>
      <c r="E5" s="28">
        <f t="shared" si="1"/>
        <v>30.303030303030276</v>
      </c>
      <c r="F5" s="26">
        <v>3300</v>
      </c>
    </row>
    <row r="6" spans="1:6" x14ac:dyDescent="0.25">
      <c r="A6" s="29">
        <f t="shared" si="0"/>
        <v>1904</v>
      </c>
      <c r="B6" s="25"/>
      <c r="C6" s="25"/>
      <c r="D6" s="25"/>
      <c r="E6" s="28">
        <f t="shared" si="1"/>
        <v>29.411764705882248</v>
      </c>
      <c r="F6" s="26">
        <v>3400</v>
      </c>
    </row>
    <row r="7" spans="1:6" x14ac:dyDescent="0.25">
      <c r="A7" s="29">
        <f t="shared" si="0"/>
        <v>1905</v>
      </c>
      <c r="B7" s="25"/>
      <c r="C7" s="25"/>
      <c r="D7" s="25"/>
      <c r="E7" s="28">
        <f t="shared" si="1"/>
        <v>28.57142857142847</v>
      </c>
      <c r="F7" s="26">
        <v>3500</v>
      </c>
    </row>
    <row r="8" spans="1:6" x14ac:dyDescent="0.25">
      <c r="A8" s="29">
        <f t="shared" si="0"/>
        <v>1906</v>
      </c>
      <c r="B8" s="25"/>
      <c r="C8" s="25"/>
      <c r="D8" s="25"/>
      <c r="E8" s="28">
        <f t="shared" si="1"/>
        <v>27.777777777777679</v>
      </c>
      <c r="F8" s="26">
        <v>3600</v>
      </c>
    </row>
    <row r="9" spans="1:6" x14ac:dyDescent="0.25">
      <c r="A9" s="29">
        <f t="shared" si="0"/>
        <v>1907</v>
      </c>
      <c r="B9" s="25"/>
      <c r="C9" s="25"/>
      <c r="D9" s="25"/>
      <c r="E9" s="28">
        <f t="shared" si="1"/>
        <v>27.027027027026975</v>
      </c>
      <c r="F9" s="26">
        <v>3700</v>
      </c>
    </row>
    <row r="10" spans="1:6" x14ac:dyDescent="0.25">
      <c r="A10" s="29">
        <f t="shared" si="0"/>
        <v>1908</v>
      </c>
      <c r="B10" s="25"/>
      <c r="C10" s="25"/>
      <c r="D10" s="25"/>
      <c r="E10" s="28">
        <f t="shared" si="1"/>
        <v>26.315789473684291</v>
      </c>
      <c r="F10" s="26">
        <v>3800</v>
      </c>
    </row>
    <row r="11" spans="1:6" x14ac:dyDescent="0.25">
      <c r="A11" s="29">
        <f t="shared" si="0"/>
        <v>1909</v>
      </c>
      <c r="B11" s="25"/>
      <c r="C11" s="25"/>
      <c r="D11" s="25"/>
      <c r="E11" s="28">
        <f t="shared" si="1"/>
        <v>25.64102564102555</v>
      </c>
      <c r="F11" s="26">
        <v>3900</v>
      </c>
    </row>
    <row r="12" spans="1:6" x14ac:dyDescent="0.25">
      <c r="A12" s="29">
        <f t="shared" si="0"/>
        <v>1910</v>
      </c>
      <c r="B12" s="25"/>
      <c r="C12" s="25"/>
      <c r="D12" s="25"/>
      <c r="E12" s="28">
        <f t="shared" si="1"/>
        <v>24.999999999999911</v>
      </c>
      <c r="F12" s="26">
        <v>4000</v>
      </c>
    </row>
    <row r="13" spans="1:6" x14ac:dyDescent="0.25">
      <c r="A13" s="29">
        <f t="shared" si="0"/>
        <v>1911</v>
      </c>
      <c r="B13" s="25"/>
      <c r="C13" s="25"/>
      <c r="D13" s="25"/>
      <c r="E13" s="28">
        <f t="shared" si="1"/>
        <v>21.219512195121972</v>
      </c>
      <c r="F13" s="26">
        <v>4100</v>
      </c>
    </row>
    <row r="14" spans="1:6" x14ac:dyDescent="0.25">
      <c r="A14" s="29">
        <f t="shared" si="0"/>
        <v>1912</v>
      </c>
      <c r="B14" s="25"/>
      <c r="C14" s="25"/>
      <c r="D14" s="25"/>
      <c r="E14" s="28">
        <f t="shared" si="1"/>
        <v>19.106759016001895</v>
      </c>
      <c r="F14" s="26">
        <v>4187</v>
      </c>
    </row>
    <row r="15" spans="1:6" x14ac:dyDescent="0.25">
      <c r="A15" s="29">
        <f t="shared" si="0"/>
        <v>1913</v>
      </c>
      <c r="B15" s="25"/>
      <c r="C15" s="25"/>
      <c r="D15" s="25"/>
      <c r="E15" s="28">
        <f t="shared" si="1"/>
        <v>18.748535270681987</v>
      </c>
      <c r="F15" s="26">
        <v>4267</v>
      </c>
    </row>
    <row r="16" spans="1:6" x14ac:dyDescent="0.25">
      <c r="A16" s="29">
        <f t="shared" si="0"/>
        <v>1914</v>
      </c>
      <c r="B16" s="25"/>
      <c r="C16" s="25"/>
      <c r="D16" s="25"/>
      <c r="E16" s="28">
        <f t="shared" si="1"/>
        <v>18.403496664366248</v>
      </c>
      <c r="F16" s="26">
        <v>4347</v>
      </c>
    </row>
    <row r="17" spans="1:6" x14ac:dyDescent="0.25">
      <c r="A17" s="29">
        <f t="shared" si="0"/>
        <v>1915</v>
      </c>
      <c r="B17" s="25"/>
      <c r="C17" s="25"/>
      <c r="D17" s="25"/>
      <c r="E17" s="28">
        <f t="shared" si="1"/>
        <v>18.296814998870481</v>
      </c>
      <c r="F17" s="26">
        <v>4427</v>
      </c>
    </row>
    <row r="18" spans="1:6" x14ac:dyDescent="0.25">
      <c r="A18" s="29">
        <f t="shared" si="0"/>
        <v>1916</v>
      </c>
      <c r="B18" s="25"/>
      <c r="C18" s="25"/>
      <c r="D18" s="25"/>
      <c r="E18" s="28">
        <f t="shared" si="1"/>
        <v>17.746228926353247</v>
      </c>
      <c r="F18" s="26">
        <v>4508</v>
      </c>
    </row>
    <row r="19" spans="1:6" x14ac:dyDescent="0.25">
      <c r="A19" s="29">
        <f t="shared" si="0"/>
        <v>1917</v>
      </c>
      <c r="B19" s="25"/>
      <c r="C19" s="25"/>
      <c r="D19" s="25"/>
      <c r="E19" s="28">
        <f t="shared" si="1"/>
        <v>17.436791630339954</v>
      </c>
      <c r="F19" s="26">
        <v>4588</v>
      </c>
    </row>
    <row r="20" spans="1:6" x14ac:dyDescent="0.25">
      <c r="A20" s="29">
        <f t="shared" si="0"/>
        <v>1918</v>
      </c>
      <c r="B20" s="25"/>
      <c r="C20" s="25"/>
      <c r="D20" s="25"/>
      <c r="E20" s="28">
        <f t="shared" si="1"/>
        <v>17.137960582690681</v>
      </c>
      <c r="F20" s="26">
        <v>4668</v>
      </c>
    </row>
    <row r="21" spans="1:6" x14ac:dyDescent="0.25">
      <c r="A21" s="29">
        <f t="shared" si="0"/>
        <v>1919</v>
      </c>
      <c r="B21" s="25"/>
      <c r="C21" s="25"/>
      <c r="D21" s="25"/>
      <c r="E21" s="28">
        <f t="shared" si="1"/>
        <v>16.849199663016012</v>
      </c>
      <c r="F21" s="26">
        <v>4748</v>
      </c>
    </row>
    <row r="22" spans="1:6" x14ac:dyDescent="0.25">
      <c r="A22" s="29">
        <f t="shared" si="0"/>
        <v>1920</v>
      </c>
      <c r="B22" s="25"/>
      <c r="C22" s="25"/>
      <c r="D22" s="25"/>
      <c r="E22" s="28">
        <f t="shared" si="1"/>
        <v>16.570008285004214</v>
      </c>
      <c r="F22" s="26">
        <v>4828</v>
      </c>
    </row>
    <row r="23" spans="1:6" x14ac:dyDescent="0.25">
      <c r="A23" s="29">
        <f t="shared" si="0"/>
        <v>1921</v>
      </c>
      <c r="B23" s="25"/>
      <c r="C23" s="25"/>
      <c r="D23" s="25"/>
      <c r="E23" s="28">
        <f t="shared" si="1"/>
        <v>16.503667481662543</v>
      </c>
      <c r="F23" s="26">
        <v>4908</v>
      </c>
    </row>
    <row r="24" spans="1:6" x14ac:dyDescent="0.25">
      <c r="A24" s="29">
        <f t="shared" si="0"/>
        <v>1922</v>
      </c>
      <c r="B24" s="25"/>
      <c r="C24" s="25"/>
      <c r="D24" s="25"/>
      <c r="E24" s="28">
        <f t="shared" si="1"/>
        <v>16.035277610743528</v>
      </c>
      <c r="F24" s="26">
        <v>4989</v>
      </c>
    </row>
    <row r="25" spans="1:6" x14ac:dyDescent="0.25">
      <c r="A25" s="29">
        <f t="shared" si="0"/>
        <v>1923</v>
      </c>
      <c r="B25" s="25"/>
      <c r="C25" s="25"/>
      <c r="D25" s="25"/>
      <c r="E25" s="28">
        <f t="shared" si="1"/>
        <v>15.584927993687048</v>
      </c>
      <c r="F25" s="26">
        <v>5069</v>
      </c>
    </row>
    <row r="26" spans="1:6" x14ac:dyDescent="0.25">
      <c r="A26" s="29">
        <f t="shared" si="0"/>
        <v>1924</v>
      </c>
      <c r="B26" s="25"/>
      <c r="C26" s="25"/>
      <c r="D26" s="25"/>
      <c r="E26" s="28">
        <f t="shared" si="1"/>
        <v>15.73426573426584</v>
      </c>
      <c r="F26" s="26">
        <v>5148</v>
      </c>
    </row>
    <row r="27" spans="1:6" x14ac:dyDescent="0.25">
      <c r="A27" s="29">
        <f t="shared" si="0"/>
        <v>1925</v>
      </c>
      <c r="B27" s="25"/>
      <c r="C27" s="25"/>
      <c r="D27" s="25"/>
      <c r="E27" s="28">
        <f t="shared" si="1"/>
        <v>16.064257028112429</v>
      </c>
      <c r="F27" s="26">
        <v>5229</v>
      </c>
    </row>
    <row r="28" spans="1:6" x14ac:dyDescent="0.25">
      <c r="A28" s="29">
        <f t="shared" si="0"/>
        <v>1926</v>
      </c>
      <c r="B28" s="25"/>
      <c r="C28" s="25"/>
      <c r="D28" s="25"/>
      <c r="E28" s="28">
        <f t="shared" si="1"/>
        <v>16.18671183888565</v>
      </c>
      <c r="F28" s="26">
        <v>5313</v>
      </c>
    </row>
    <row r="29" spans="1:6" x14ac:dyDescent="0.25">
      <c r="A29" s="29">
        <f t="shared" si="0"/>
        <v>1927</v>
      </c>
      <c r="B29" s="25"/>
      <c r="C29" s="25"/>
      <c r="D29" s="25"/>
      <c r="E29" s="28">
        <f t="shared" si="1"/>
        <v>15.373217262456107</v>
      </c>
      <c r="F29" s="26">
        <v>5399</v>
      </c>
    </row>
    <row r="30" spans="1:6" x14ac:dyDescent="0.25">
      <c r="A30" s="29">
        <f t="shared" si="0"/>
        <v>1928</v>
      </c>
      <c r="B30" s="25"/>
      <c r="C30" s="25"/>
      <c r="D30" s="25"/>
      <c r="E30" s="28">
        <f t="shared" si="1"/>
        <v>15.505290040131348</v>
      </c>
      <c r="F30" s="26">
        <v>5482</v>
      </c>
    </row>
    <row r="31" spans="1:6" x14ac:dyDescent="0.25">
      <c r="A31" s="29">
        <f t="shared" si="0"/>
        <v>1929</v>
      </c>
      <c r="B31" s="25"/>
      <c r="C31" s="25"/>
      <c r="D31" s="25"/>
      <c r="E31" s="28">
        <f t="shared" si="1"/>
        <v>15.088916831327515</v>
      </c>
      <c r="F31" s="26">
        <v>5567</v>
      </c>
    </row>
    <row r="32" spans="1:6" x14ac:dyDescent="0.25">
      <c r="A32" s="29">
        <f t="shared" si="0"/>
        <v>1930</v>
      </c>
      <c r="B32" s="25"/>
      <c r="C32" s="25"/>
      <c r="D32" s="25"/>
      <c r="E32" s="28">
        <f t="shared" si="1"/>
        <v>17.16510352150058</v>
      </c>
      <c r="F32" s="26">
        <v>5651</v>
      </c>
    </row>
    <row r="33" spans="1:33" x14ac:dyDescent="0.25">
      <c r="A33" s="29">
        <f t="shared" si="0"/>
        <v>1931</v>
      </c>
      <c r="B33" s="25"/>
      <c r="C33" s="25"/>
      <c r="D33" s="25"/>
      <c r="E33" s="28">
        <f t="shared" si="1"/>
        <v>16.70146137787065</v>
      </c>
      <c r="F33" s="26">
        <v>5748</v>
      </c>
    </row>
    <row r="34" spans="1:33" x14ac:dyDescent="0.25">
      <c r="A34" s="29">
        <f t="shared" si="0"/>
        <v>1932</v>
      </c>
      <c r="B34" s="25"/>
      <c r="C34" s="25"/>
      <c r="D34" s="25"/>
      <c r="E34" s="28">
        <f t="shared" si="1"/>
        <v>16.598220396988328</v>
      </c>
      <c r="F34" s="26">
        <v>5844</v>
      </c>
    </row>
    <row r="35" spans="1:33" x14ac:dyDescent="0.25">
      <c r="A35" s="29">
        <f t="shared" si="0"/>
        <v>1933</v>
      </c>
      <c r="B35" s="25"/>
      <c r="C35" s="25"/>
      <c r="D35" s="25"/>
      <c r="E35" s="28">
        <f t="shared" si="1"/>
        <v>16.158895808786376</v>
      </c>
      <c r="F35" s="26">
        <v>5941</v>
      </c>
    </row>
    <row r="36" spans="1:33" x14ac:dyDescent="0.25">
      <c r="A36" s="29">
        <f t="shared" si="0"/>
        <v>1934</v>
      </c>
      <c r="B36" s="25"/>
      <c r="C36" s="25"/>
      <c r="D36" s="25"/>
      <c r="E36" s="28">
        <f t="shared" si="1"/>
        <v>16.067583236706984</v>
      </c>
      <c r="F36" s="26">
        <v>6037</v>
      </c>
    </row>
    <row r="37" spans="1:33" x14ac:dyDescent="0.25">
      <c r="A37" s="29">
        <f t="shared" si="0"/>
        <v>1935</v>
      </c>
      <c r="B37" s="25"/>
      <c r="C37" s="25"/>
      <c r="D37" s="25"/>
      <c r="E37" s="28">
        <f t="shared" si="1"/>
        <v>17.769807629605559</v>
      </c>
      <c r="F37" s="26">
        <v>6134</v>
      </c>
    </row>
    <row r="38" spans="1:33" x14ac:dyDescent="0.25">
      <c r="A38" s="29">
        <f t="shared" si="0"/>
        <v>1936</v>
      </c>
      <c r="B38" s="25"/>
      <c r="C38" s="25"/>
      <c r="D38" s="25"/>
      <c r="E38" s="28">
        <f t="shared" si="1"/>
        <v>17.619734102194418</v>
      </c>
      <c r="F38" s="26">
        <v>6243</v>
      </c>
    </row>
    <row r="39" spans="1:33" x14ac:dyDescent="0.25">
      <c r="A39" s="29">
        <f t="shared" si="0"/>
        <v>1937</v>
      </c>
      <c r="B39" s="25"/>
      <c r="C39" s="25"/>
      <c r="D39" s="25"/>
      <c r="E39" s="28">
        <f t="shared" si="1"/>
        <v>17.157248543995031</v>
      </c>
      <c r="F39" s="26">
        <v>6353</v>
      </c>
    </row>
    <row r="40" spans="1:33" x14ac:dyDescent="0.25">
      <c r="A40" s="29">
        <f t="shared" si="0"/>
        <v>1938</v>
      </c>
      <c r="B40" s="25"/>
      <c r="C40" s="25"/>
      <c r="D40" s="25"/>
      <c r="E40" s="28">
        <f t="shared" si="1"/>
        <v>17.02259362426495</v>
      </c>
      <c r="F40" s="26">
        <v>6462</v>
      </c>
    </row>
    <row r="41" spans="1:33" x14ac:dyDescent="0.25">
      <c r="A41" s="29">
        <f>A42-1</f>
        <v>1939</v>
      </c>
      <c r="B41" s="25"/>
      <c r="C41" s="25"/>
      <c r="D41" s="25"/>
      <c r="E41" s="28">
        <f t="shared" si="1"/>
        <v>16.585514303104176</v>
      </c>
      <c r="F41" s="26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6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6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6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6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6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6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6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6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6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6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6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6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6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6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6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6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6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6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6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6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6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6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6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6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6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6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6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6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6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6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6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6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6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6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6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6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6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6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6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6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6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6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2" t="s">
        <v>115</v>
      </c>
      <c r="C1" s="32"/>
      <c r="D1" s="32" t="s">
        <v>75</v>
      </c>
      <c r="E1" s="32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2" t="s">
        <v>115</v>
      </c>
      <c r="C1" s="32"/>
      <c r="D1" s="32" t="s">
        <v>75</v>
      </c>
      <c r="E1" s="32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6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6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6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6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6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6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6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6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6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6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6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6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6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6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6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6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6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6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6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6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</vt:i4>
      </vt:variant>
    </vt:vector>
  </HeadingPairs>
  <TitlesOfParts>
    <vt:vector size="33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Мексика-Бриньоли-WPP</vt:lpstr>
      <vt:lpstr>Мексика-Колвер-WPP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2026-06-05T17:42:56Z</dcterms:modified>
</cp:coreProperties>
</file>