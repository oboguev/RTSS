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8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9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2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B0BB10F9-B4BD-42C2-8490-7AB02DA97247}" xr6:coauthVersionLast="47" xr6:coauthVersionMax="47" xr10:uidLastSave="{00000000-0000-0000-0000-000000000000}"/>
  <bookViews>
    <workbookView xWindow="59790" yWindow="1335" windowWidth="36885" windowHeight="19005" tabRatio="746" firstSheet="34" activeTab="37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-Бриньоли" sheetId="42" r:id="rId12"/>
    <sheet name="Гватемала-Колвер" sheetId="7" r:id="rId13"/>
    <sheet name="Гватемала-Колвер-без-кризиса" sheetId="41" r:id="rId14"/>
    <sheet name="Гондурас-Бриньоли" sheetId="44" r:id="rId15"/>
    <sheet name="Гондурас-Колвер" sheetId="22" r:id="rId16"/>
    <sheet name="Гондурас-Колвер-правка" sheetId="32" r:id="rId17"/>
    <sheet name="Доминиканская республика" sheetId="33" r:id="rId18"/>
    <sheet name="Колумбия" sheetId="8" r:id="rId19"/>
    <sheet name="Коста-Рика-Бриньоли-1993" sheetId="25" r:id="rId20"/>
    <sheet name="Коста-Рика-Бриньоли-2015" sheetId="46" r:id="rId21"/>
    <sheet name="Коста-Рика-Колвер" sheetId="6" r:id="rId22"/>
    <sheet name="Куба-все" sheetId="40" r:id="rId23"/>
    <sheet name="Куба-Бриньоли" sheetId="26" r:id="rId24"/>
    <sheet name="Куба-Колвер" sheetId="18" r:id="rId25"/>
    <sheet name="Мексика-Бриньоли-WPP" sheetId="29" r:id="rId26"/>
    <sheet name="Мексика-Бриньоли-WPP-реформа" sheetId="38" r:id="rId27"/>
    <sheet name="Мексика-Бриньоли-CONAPO" sheetId="34" r:id="rId28"/>
    <sheet name="Мексика-Бриньоли-CONAPO-реформа" sheetId="39" r:id="rId29"/>
    <sheet name="Мексика-Колвер-WPP" sheetId="19" r:id="rId30"/>
    <sheet name="Мексика-Колвер-WPP-реформа" sheetId="36" r:id="rId31"/>
    <sheet name="Мексика-Колвер-CONAPO" sheetId="35" r:id="rId32"/>
    <sheet name="Мексика-Колвер-CONAPO-реформа" sheetId="37" r:id="rId33"/>
    <sheet name="Никарагуа-Бриньоли" sheetId="45" r:id="rId34"/>
    <sheet name="Панама" sheetId="17" r:id="rId35"/>
    <sheet name="Парагвай" sheetId="10" r:id="rId36"/>
    <sheet name="Перу" sheetId="11" r:id="rId37"/>
    <sheet name="Сальвадор-Бриньоли" sheetId="43" r:id="rId38"/>
    <sheet name="Сальвадор-Колвер" sheetId="12" r:id="rId39"/>
    <sheet name="Уругвай-Бриньоли" sheetId="27" r:id="rId40"/>
    <sheet name="Уругвай-Ротман" sheetId="16" r:id="rId41"/>
    <sheet name="Уругвай-Митчел" sheetId="20" r:id="rId42"/>
    <sheet name="Чили-Бриньоли" sheetId="28" r:id="rId43"/>
    <sheet name="Чили-Колвер" sheetId="13" r:id="rId44"/>
    <sheet name="Эквадор" sheetId="9" r:id="rId45"/>
  </sheets>
  <definedNames>
    <definedName name="LIFT" localSheetId="16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46" l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122" i="46"/>
  <c r="A62" i="45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61" i="45"/>
  <c r="A100" i="43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9" i="43"/>
  <c r="A93" i="44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92" i="44"/>
  <c r="A91" i="44"/>
  <c r="A121" i="42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<sst xmlns="http://schemas.openxmlformats.org/spreadsheetml/2006/main" count="725" uniqueCount="371">
  <si>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</si>
  <si>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</si>
  <si>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</si>
  <si>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</si>
  <si>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</si>
  <si>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</si>
  <si>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</si>
  <si>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</si>
  <si>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</si>
  <si>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</si>
  <si>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</si>
  <si>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</si>
  <si>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</si>
  <si>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</si>
  <si>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</si>
  <si>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</si>
  <si>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</si>
  <si>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</si>
  <si>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</si>
  <si>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</si>
  <si>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</si>
  <si>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</si>
  <si>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</si>
  <si>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</si>
  <si>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</si>
  <si>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</si>
  <si>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</si>
  <si>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</si>
  <si>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</si>
  <si>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</si>
  <si>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</si>
  <si>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</si>
  <si>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</si>
  <si>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</si>
  <si>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</si>
  <si>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</si>
  <si>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</si>
  <si>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</si>
  <si>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</si>
  <si>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</si>
  <si>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</si>
  <si>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</si>
  <si>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</si>
  <si>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</si>
  <si>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</si>
  <si>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</si>
  <si>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</si>
  <si>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</si>
  <si>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</si>
  <si>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</si>
  <si>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</si>
  <si>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</si>
  <si>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</si>
  <si>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</si>
  <si>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</si>
  <si>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</si>
  <si>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</si>
  <si>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</si>
  <si>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</si>
  <si>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</si>
  <si>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</si>
  <si>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</si>
  <si>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</si>
  <si>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</si>
  <si>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</si>
  <si>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</si>
  <si>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</si>
  <si>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</si>
  <si>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</si>
  <si>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</si>
  <si>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</si>
  <si>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</si>
  <si>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</si>
  <si>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</si>
  <si>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</si>
  <si>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</si>
  <si>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</si>
  <si>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</si>
  <si>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</si>
  <si>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</si>
  <si>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</si>
  <si>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</si>
  <si>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</si>
  <si>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</si>
  <si>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</si>
  <si>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</si>
  <si>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</si>
  <si>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</si>
  <si>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</si>
  <si>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</si>
  <si>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</si>
  <si>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</si>
  <si>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</si>
  <si>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</si>
  <si>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</si>
  <si>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</si>
  <si>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</si>
  <si>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</si>
  <si>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</si>
  <si>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</si>
  <si>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</si>
  <si>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</si>
  <si>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</si>
  <si>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</si>
  <si>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</si>
  <si>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</si>
  <si>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</si>
  <si>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</si>
  <si>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</si>
  <si>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</si>
  <si>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</si>
  <si>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</si>
  <si>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</si>
  <si>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</si>
  <si>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</si>
  <si>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</si>
  <si>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</si>
  <si>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</si>
  <si>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</si>
  <si>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</si>
  <si>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</si>
  <si>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</si>
  <si>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</si>
  <si>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</si>
  <si>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</si>
  <si>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</si>
  <si>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</si>
  <si>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</si>
  <si>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</si>
  <si>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</si>
  <si>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</si>
  <si>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</si>
  <si>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</si>
  <si>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</si>
  <si>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</si>
  <si>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</si>
  <si>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</si>
  <si>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</si>
  <si>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</si>
  <si>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</si>
  <si>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</si>
  <si>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</si>
  <si>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</si>
  <si>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</si>
  <si>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</si>
  <si>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</si>
  <si>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</si>
  <si>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</si>
  <si>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</si>
  <si>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</si>
  <si>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</si>
  <si>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</si>
  <si>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</si>
  <si>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</si>
  <si>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</si>
  <si>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</si>
  <si>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</si>
  <si>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</si>
  <si>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</si>
  <si>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</si>
  <si>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</si>
  <si>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</si>
  <si>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</si>
  <si>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</si>
  <si>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</si>
  <si>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</si>
  <si>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</si>
  <si>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</si>
  <si>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</si>
  <si>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</si>
  <si>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</si>
  <si>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</si>
  <si>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</si>
  <si>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</si>
  <si>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</si>
  <si>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</si>
  <si>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</si>
  <si>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</si>
  <si>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</si>
  <si>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</si>
  <si>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</si>
  <si>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</si>
  <si>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</si>
  <si>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</si>
  <si>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</si>
  <si>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</si>
  <si>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</si>
  <si>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</si>
  <si>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</si>
  <si>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</si>
  <si>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</si>
  <si>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</si>
  <si>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</si>
  <si>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</si>
  <si>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</si>
  <si>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</si>
  <si>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</si>
  <si>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</si>
  <si>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</si>
  <si>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</si>
  <si>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</si>
  <si>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</si>
  <si>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</si>
  <si>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</si>
  <si>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</si>
  <si>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</si>
  <si>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</si>
  <si>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</si>
  <si>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</si>
  <si>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</si>
  <si>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</si>
  <si>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</si>
  <si>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</si>
  <si>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</si>
  <si>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</si>
  <si>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</si>
  <si>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</si>
  <si>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</si>
  <si>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</si>
  <si>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</si>
  <si>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</si>
  <si>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</si>
  <si>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</si>
  <si>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</si>
  <si>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</si>
  <si>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</si>
  <si>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</si>
  <si>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</si>
  <si>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</si>
  <si>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</si>
  <si>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</si>
  <si>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</si>
  <si>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</si>
  <si>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</si>
  <si>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</si>
  <si>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</si>
  <si>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</si>
  <si>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</si>
  <si>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</si>
  <si>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</si>
  <si>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</si>
  <si>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</si>
  <si>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</si>
  <si>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</si>
  <si>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</si>
  <si>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</si>
  <si>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</si>
  <si>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</si>
  <si>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</si>
  <si>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</si>
  <si>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</si>
  <si>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</si>
  <si>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</si>
  <si>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</si>
  <si>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</si>
  <si>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</si>
  <si>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</si>
  <si>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</si>
  <si>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</si>
  <si>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</si>
  <si>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</si>
  <si>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</si>
  <si>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</si>
  <si>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</si>
  <si>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</si>
  <si>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</si>
  <si>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</si>
  <si>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</si>
  <si>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</si>
  <si>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</si>
  <si>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</si>
  <si>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</si>
  <si>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</si>
  <si>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</si>
  <si>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</si>
  <si>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</si>
  <si>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</si>
  <si>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</si>
  <si>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</si>
  <si>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</si>
  <si>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</si>
  <si>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</si>
  <si>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</si>
  <si>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</si>
  <si>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</si>
  <si>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</si>
  <si>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</si>
  <si>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</si>
  <si>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</si>
  <si>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</si>
  <si>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</si>
  <si>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</si>
  <si>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</si>
  <si>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</si>
  <si>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</si>
  <si>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</si>
  <si>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</si>
  <si>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</si>
  <si>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</si>
  <si>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</si>
  <si>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</si>
  <si>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</si>
  <si>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</si>
  <si>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</si>
  <si>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</si>
  <si>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</si>
  <si>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</si>
  <si>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</si>
  <si>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</si>
  <si>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</si>
  <si>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</si>
  <si>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</si>
  <si>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</si>
  <si>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</si>
  <si>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</si>
  <si>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</si>
  <si>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</si>
  <si>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</si>
  <si>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</si>
  <si>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</si>
  <si>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</si>
  <si>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</si>
  <si>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</si>
  <si>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</si>
  <si>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</si>
  <si>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</si>
  <si>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</si>
  <si>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</si>
  <si>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</si>
  <si>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</si>
  <si>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</si>
  <si>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</si>
  <si>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</si>
  <si>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</si>
  <si>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</si>
  <si>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>Поотярсения в Сальвадоре в 1979–1983 — это начало гражданской войны и период максимального политического насилия.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</si>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</sst>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'Гватемала-Бриньоли'!$B$2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'Гватемала-Бриньоли'!$B$3:$B$146</c:f>
              <c:numCache>
                <c:formatCode>0.00</c:formatCode>
                <c:ptCount val="144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10-4607-B208-0945759553A9}"/>
            </c:ext>
          </c:extLst>
        </c:ser>
        <c:ser>
          <c:idx val="1"/>
          <c:order val="1"/>
          <c:tx>
            <c:strRef>
              <c:f>'Гватемала-Бриньоли'!$C$2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'Гватемала-Бриньоли'!$C$3:$C$146</c:f>
              <c:numCache>
                <c:formatCode>0.00</c:formatCode>
                <c:ptCount val="144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10-4607-B208-0945759553A9}"/>
            </c:ext>
          </c:extLst>
        </c:ser>
        <c:ser>
          <c:idx val="2"/>
          <c:order val="2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'Гватемала-Бриньоли'!$D$3:$D$146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10-4607-B208-0945759553A9}"/>
            </c:ext>
          </c:extLst>
        </c:ser>
        <c:ser>
          <c:idx val="3"/>
          <c:order val="3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'Гватемала-Бриньоли'!$E$3:$E$146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610-4607-B208-094575955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85424"/>
        <c:axId val="18484944"/>
      </c:scatterChart>
      <c:valAx>
        <c:axId val="1848542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4944"/>
        <c:crosses val="autoZero"/>
        <c:crossBetween val="midCat"/>
        <c:majorUnit val="10"/>
      </c:valAx>
      <c:valAx>
        <c:axId val="1848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5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'Гондурас-Бриньоли'!$B$3:$B$116</c:f>
              <c:numCache>
                <c:formatCode>0.00</c:formatCode>
                <c:ptCount val="114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2D-4FB6-A4E3-8005FFD7603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'Гондурас-Бриньоли'!$C$3:$C$116</c:f>
              <c:numCache>
                <c:formatCode>0.00</c:formatCode>
                <c:ptCount val="114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2D-4FB6-A4E3-8005FFD7603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'Гондурас-Бриньоли'!$D$3:$D$116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2D-4FB6-A4E3-8005FFD7603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'Гондурас-Бриньоли'!$E$3:$E$116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2D-4FB6-A4E3-8005FFD76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64304"/>
        <c:axId val="18455184"/>
      </c:scatterChart>
      <c:valAx>
        <c:axId val="18464304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5184"/>
        <c:crosses val="autoZero"/>
        <c:crossBetween val="midCat"/>
        <c:majorUnit val="10"/>
      </c:valAx>
      <c:valAx>
        <c:axId val="1845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4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'Коста-Рика-Бриньоли-2015'!$B$3:$B$146</c:f>
              <c:numCache>
                <c:formatCode>0.00</c:formatCode>
                <c:ptCount val="144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BB-4528-9D81-BBE7A158108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'Коста-Рика-Бриньоли-2015'!$C$3:$C$146</c:f>
              <c:numCache>
                <c:formatCode>0.00</c:formatCode>
                <c:ptCount val="144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BB-4528-9D81-BBE7A158108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'Коста-Рика-Бриньоли-2015'!$D$3:$D$146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B-4528-9D81-BBE7A15810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'Коста-Рика-Бриньоли-2015'!$E$3:$E$146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BB-4528-9D81-BBE7A1581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8914352"/>
        <c:axId val="1908927792"/>
      </c:scatterChart>
      <c:valAx>
        <c:axId val="190891435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927792"/>
        <c:crosses val="autoZero"/>
        <c:crossBetween val="midCat"/>
        <c:majorUnit val="10"/>
      </c:valAx>
      <c:valAx>
        <c:axId val="190892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914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'Никарагуа-Бриньоли'!$B$2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'Никарагуа-Бриньоли'!$B$3:$B$93</c:f>
              <c:numCache>
                <c:formatCode>0.00</c:formatCode>
                <c:ptCount val="91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8-41CB-9760-309CE65E40F3}"/>
            </c:ext>
          </c:extLst>
        </c:ser>
        <c:ser>
          <c:idx val="1"/>
          <c:order val="1"/>
          <c:tx>
            <c:strRef>
              <c:f>'Никарагуа-Бриньоли'!$C$2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'Никарагуа-Бриньоли'!$C$3:$C$93</c:f>
              <c:numCache>
                <c:formatCode>0.00</c:formatCode>
                <c:ptCount val="91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8-41CB-9760-309CE65E40F3}"/>
            </c:ext>
          </c:extLst>
        </c:ser>
        <c:ser>
          <c:idx val="2"/>
          <c:order val="2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'Никарагуа-Бриньоли'!$D$3:$D$93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8-41CB-9760-309CE65E40F3}"/>
            </c:ext>
          </c:extLst>
        </c:ser>
        <c:ser>
          <c:idx val="3"/>
          <c:order val="3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'Никарагуа-Бриньоли'!$E$3:$E$93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3D8-41CB-9760-309CE65E4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4304"/>
        <c:axId val="18511344"/>
      </c:scatterChart>
      <c:valAx>
        <c:axId val="18524304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344"/>
        <c:crosses val="autoZero"/>
        <c:crossBetween val="midCat"/>
      </c:valAx>
      <c:valAx>
        <c:axId val="1851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4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'Сальвадор-Бриньоли'!$B$2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'Сальвадор-Бриньоли'!$B$3:$B$127</c:f>
              <c:numCache>
                <c:formatCode>0.00</c:formatCode>
                <c:ptCount val="125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20-4D71-ADD3-A1D686A72EAA}"/>
            </c:ext>
          </c:extLst>
        </c:ser>
        <c:ser>
          <c:idx val="1"/>
          <c:order val="1"/>
          <c:tx>
            <c:strRef>
              <c:f>'Сальвадор-Бриньоли'!$C$2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'Сальвадор-Бриньоли'!$C$3:$C$127</c:f>
              <c:numCache>
                <c:formatCode>0.00</c:formatCode>
                <c:ptCount val="125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20-4D71-ADD3-A1D686A72EAA}"/>
            </c:ext>
          </c:extLst>
        </c:ser>
        <c:ser>
          <c:idx val="2"/>
          <c:order val="2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'Сальвадор-Бриньоли'!$D$3:$D$127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20-4D71-ADD3-A1D686A72EAA}"/>
            </c:ext>
          </c:extLst>
        </c:ser>
        <c:ser>
          <c:idx val="3"/>
          <c:order val="3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'Сальвадор-Бриньоли'!$E$3:$E$127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20-4D71-ADD3-A1D686A72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53584"/>
        <c:axId val="18543024"/>
      </c:scatterChart>
      <c:valAx>
        <c:axId val="185535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3024"/>
        <c:crosses val="autoZero"/>
        <c:crossBetween val="midCat"/>
        <c:majorUnit val="10"/>
      </c:valAx>
      <c:valAx>
        <c:axId val="1854302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610553</xdr:colOff>
      <xdr:row>0</xdr:row>
      <xdr:rowOff>160972</xdr:rowOff>
    </xdr:from>
    <xdr:to>
      <xdr:col>29</xdr:col>
      <xdr:colOff>1</xdr:colOff>
      <xdr:row>48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815F83-7E0D-6288-295B-7D781F2E8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629602</xdr:colOff>
      <xdr:row>2</xdr:row>
      <xdr:rowOff>952</xdr:rowOff>
    </xdr:from>
    <xdr:to>
      <xdr:col>28</xdr:col>
      <xdr:colOff>9525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3CB237-368F-CA5B-2E2C-48290214E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160972</xdr:rowOff>
    </xdr:from>
    <xdr:to>
      <xdr:col>26</xdr:col>
      <xdr:colOff>19050</xdr:colOff>
      <xdr:row>48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1FDAE9-FD7D-536C-236C-D00EBE3879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8571</xdr:rowOff>
    </xdr:from>
    <xdr:to>
      <xdr:col>27</xdr:col>
      <xdr:colOff>28575</xdr:colOff>
      <xdr:row>47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98F12D-4328-F182-0027-6D0B5BAFAD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626744</xdr:colOff>
      <xdr:row>0</xdr:row>
      <xdr:rowOff>172402</xdr:rowOff>
    </xdr:from>
    <xdr:to>
      <xdr:col>26</xdr:col>
      <xdr:colOff>600074</xdr:colOff>
      <xdr:row>50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FEDD95-9558-9FE1-E6EF-5B062797E4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8" t="s">
        <v>115</v>
      </c>
      <c r="C1" s="28"/>
      <c r="D1" s="28" t="s">
        <v>75</v>
      </c>
      <c r="E1" s="28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28" t="s">
        <v>75</v>
      </c>
      <c r="C1" s="28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E146"/>
  <sheetViews>
    <sheetView workbookViewId="0">
      <selection activeCell="AH12" sqref="AH12"/>
    </sheetView>
  </sheetViews>
  <sheetFormatPr defaultRowHeight="14.4" x14ac:dyDescent="0.55000000000000004"/>
  <sheetData>
    <row r="1" spans="1:5" x14ac:dyDescent="0.55000000000000004">
      <c r="A1" s="1"/>
      <c r="B1" s="28" t="s">
        <v>115</v>
      </c>
      <c r="C1" s="28"/>
      <c r="D1" s="28" t="s">
        <v>75</v>
      </c>
      <c r="E1" s="28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1880</v>
      </c>
      <c r="B3" s="21">
        <v>43.98</v>
      </c>
      <c r="C3" s="21">
        <v>30.74</v>
      </c>
      <c r="D3" s="21"/>
      <c r="E3" s="21"/>
    </row>
    <row r="4" spans="1:5" x14ac:dyDescent="0.55000000000000004">
      <c r="A4">
        <v>1881</v>
      </c>
      <c r="B4" s="21">
        <v>43.4</v>
      </c>
      <c r="C4" s="21">
        <v>27.2</v>
      </c>
      <c r="D4" s="21"/>
      <c r="E4" s="21"/>
    </row>
    <row r="5" spans="1:5" x14ac:dyDescent="0.55000000000000004">
      <c r="A5">
        <v>1882</v>
      </c>
      <c r="B5" s="21">
        <v>44.46</v>
      </c>
      <c r="C5" s="21">
        <v>32.57</v>
      </c>
      <c r="D5" s="21"/>
      <c r="E5" s="21"/>
    </row>
    <row r="6" spans="1:5" x14ac:dyDescent="0.55000000000000004">
      <c r="A6">
        <v>1883</v>
      </c>
      <c r="B6" s="21">
        <v>42.65</v>
      </c>
      <c r="C6" s="21">
        <v>54.07</v>
      </c>
      <c r="D6" s="21"/>
      <c r="E6" s="21"/>
    </row>
    <row r="7" spans="1:5" x14ac:dyDescent="0.55000000000000004">
      <c r="A7">
        <v>1884</v>
      </c>
      <c r="B7" s="21">
        <v>47.48</v>
      </c>
      <c r="C7" s="21">
        <v>55.23</v>
      </c>
      <c r="D7" s="21"/>
      <c r="E7" s="21"/>
    </row>
    <row r="8" spans="1:5" x14ac:dyDescent="0.55000000000000004">
      <c r="A8">
        <v>1885</v>
      </c>
      <c r="B8" s="21">
        <v>50.89</v>
      </c>
      <c r="C8" s="21">
        <v>26.74</v>
      </c>
      <c r="D8" s="21"/>
      <c r="E8" s="21"/>
    </row>
    <row r="9" spans="1:5" x14ac:dyDescent="0.55000000000000004">
      <c r="A9">
        <v>1886</v>
      </c>
      <c r="B9" s="21">
        <v>46.68</v>
      </c>
      <c r="C9" s="21">
        <v>24.83</v>
      </c>
      <c r="D9" s="21"/>
      <c r="E9" s="21"/>
    </row>
    <row r="10" spans="1:5" x14ac:dyDescent="0.55000000000000004">
      <c r="A10">
        <v>1887</v>
      </c>
      <c r="B10" s="21">
        <v>45.61</v>
      </c>
      <c r="C10" s="21">
        <v>23.23</v>
      </c>
      <c r="D10" s="21"/>
      <c r="E10" s="21"/>
    </row>
    <row r="11" spans="1:5" x14ac:dyDescent="0.55000000000000004">
      <c r="A11">
        <v>1888</v>
      </c>
      <c r="B11" s="21">
        <v>44.97</v>
      </c>
      <c r="C11" s="21">
        <v>26.53</v>
      </c>
      <c r="D11" s="21"/>
      <c r="E11" s="21"/>
    </row>
    <row r="12" spans="1:5" x14ac:dyDescent="0.55000000000000004">
      <c r="A12">
        <v>1889</v>
      </c>
      <c r="B12" s="21">
        <v>44.89</v>
      </c>
      <c r="C12" s="21">
        <v>27</v>
      </c>
      <c r="D12" s="21"/>
      <c r="E12" s="21"/>
    </row>
    <row r="13" spans="1:5" x14ac:dyDescent="0.55000000000000004">
      <c r="A13">
        <v>1890</v>
      </c>
      <c r="B13" s="21">
        <v>44.36</v>
      </c>
      <c r="C13" s="21">
        <v>65.17</v>
      </c>
      <c r="D13" s="21"/>
      <c r="E13" s="21"/>
    </row>
    <row r="14" spans="1:5" x14ac:dyDescent="0.55000000000000004">
      <c r="A14">
        <v>1891</v>
      </c>
      <c r="B14" s="21">
        <v>51.66</v>
      </c>
      <c r="C14" s="21">
        <v>48.96</v>
      </c>
      <c r="D14" s="21"/>
      <c r="E14" s="21"/>
    </row>
    <row r="15" spans="1:5" x14ac:dyDescent="0.55000000000000004">
      <c r="A15">
        <v>1892</v>
      </c>
      <c r="B15" s="21">
        <v>48.18</v>
      </c>
      <c r="C15" s="21">
        <v>25.15</v>
      </c>
      <c r="D15" s="21"/>
      <c r="E15" s="21"/>
    </row>
    <row r="16" spans="1:5" x14ac:dyDescent="0.55000000000000004">
      <c r="A16">
        <v>1893</v>
      </c>
      <c r="B16" s="21">
        <v>46.57</v>
      </c>
      <c r="C16" s="21">
        <v>25.28</v>
      </c>
      <c r="D16" s="21"/>
      <c r="E16" s="21"/>
    </row>
    <row r="17" spans="1:5" x14ac:dyDescent="0.55000000000000004">
      <c r="A17">
        <v>1894</v>
      </c>
      <c r="B17" s="21">
        <v>44.99</v>
      </c>
      <c r="C17" s="21">
        <v>26.21</v>
      </c>
      <c r="D17" s="21"/>
      <c r="E17" s="21"/>
    </row>
    <row r="18" spans="1:5" x14ac:dyDescent="0.55000000000000004">
      <c r="A18">
        <v>1895</v>
      </c>
      <c r="B18" s="21">
        <v>48.43</v>
      </c>
      <c r="C18" s="21">
        <v>26.8</v>
      </c>
      <c r="D18" s="21"/>
      <c r="E18" s="21"/>
    </row>
    <row r="19" spans="1:5" x14ac:dyDescent="0.55000000000000004">
      <c r="A19">
        <v>1896</v>
      </c>
      <c r="B19" s="21">
        <v>47.07</v>
      </c>
      <c r="C19" s="21">
        <v>27.27</v>
      </c>
      <c r="D19" s="21"/>
      <c r="E19" s="21"/>
    </row>
    <row r="20" spans="1:5" x14ac:dyDescent="0.55000000000000004">
      <c r="A20">
        <v>1897</v>
      </c>
      <c r="B20" s="21">
        <v>47.21</v>
      </c>
      <c r="C20" s="21">
        <v>37.75</v>
      </c>
      <c r="D20" s="21"/>
      <c r="E20" s="21"/>
    </row>
    <row r="21" spans="1:5" x14ac:dyDescent="0.55000000000000004">
      <c r="A21">
        <v>1898</v>
      </c>
      <c r="B21" s="21">
        <v>47.62</v>
      </c>
      <c r="C21" s="21">
        <v>28.9</v>
      </c>
      <c r="D21" s="21"/>
      <c r="E21" s="21"/>
    </row>
    <row r="22" spans="1:5" x14ac:dyDescent="0.55000000000000004">
      <c r="A22">
        <v>1899</v>
      </c>
      <c r="B22" s="21">
        <v>44.72</v>
      </c>
      <c r="C22" s="21">
        <v>25.66</v>
      </c>
      <c r="D22" s="21"/>
      <c r="E22" s="21"/>
    </row>
    <row r="23" spans="1:5" x14ac:dyDescent="0.55000000000000004">
      <c r="A23">
        <v>1900</v>
      </c>
      <c r="B23" s="21">
        <v>43.97</v>
      </c>
      <c r="C23" s="21">
        <v>28.35</v>
      </c>
      <c r="D23" s="21"/>
      <c r="E23" s="21"/>
    </row>
    <row r="24" spans="1:5" x14ac:dyDescent="0.55000000000000004">
      <c r="A24">
        <v>1901</v>
      </c>
      <c r="B24" s="21">
        <v>41.48</v>
      </c>
      <c r="C24" s="21">
        <v>28.78</v>
      </c>
      <c r="D24" s="21"/>
      <c r="E24" s="21"/>
    </row>
    <row r="25" spans="1:5" x14ac:dyDescent="0.55000000000000004">
      <c r="A25">
        <v>1902</v>
      </c>
      <c r="B25" s="21">
        <v>40.020000000000003</v>
      </c>
      <c r="C25" s="21">
        <v>25.19</v>
      </c>
      <c r="D25" s="21"/>
      <c r="E25" s="21"/>
    </row>
    <row r="26" spans="1:5" x14ac:dyDescent="0.55000000000000004">
      <c r="A26">
        <v>1903</v>
      </c>
      <c r="B26" s="21">
        <v>43.23</v>
      </c>
      <c r="C26" s="21">
        <v>33.11</v>
      </c>
      <c r="D26" s="21"/>
      <c r="E26" s="21"/>
    </row>
    <row r="27" spans="1:5" x14ac:dyDescent="0.55000000000000004">
      <c r="A27">
        <v>1904</v>
      </c>
      <c r="B27" s="21">
        <v>37.43</v>
      </c>
      <c r="C27" s="21">
        <v>24.03</v>
      </c>
      <c r="D27" s="21"/>
      <c r="E27" s="21"/>
    </row>
    <row r="28" spans="1:5" x14ac:dyDescent="0.55000000000000004">
      <c r="A28">
        <v>1905</v>
      </c>
      <c r="B28" s="21">
        <v>36.61</v>
      </c>
      <c r="C28" s="21">
        <v>28.74</v>
      </c>
      <c r="D28" s="21"/>
      <c r="E28" s="21"/>
    </row>
    <row r="29" spans="1:5" x14ac:dyDescent="0.55000000000000004">
      <c r="A29">
        <v>1906</v>
      </c>
      <c r="B29" s="21">
        <v>36.909999999999997</v>
      </c>
      <c r="C29" s="21">
        <v>28.51</v>
      </c>
      <c r="D29" s="21"/>
      <c r="E29" s="21"/>
    </row>
    <row r="30" spans="1:5" x14ac:dyDescent="0.55000000000000004">
      <c r="A30">
        <v>1907</v>
      </c>
      <c r="B30" s="21">
        <v>39.35</v>
      </c>
      <c r="C30" s="21">
        <v>26.82</v>
      </c>
      <c r="D30" s="21"/>
      <c r="E30" s="21"/>
    </row>
    <row r="31" spans="1:5" x14ac:dyDescent="0.55000000000000004">
      <c r="A31">
        <v>1908</v>
      </c>
      <c r="B31" s="21">
        <v>42.34</v>
      </c>
      <c r="C31" s="21">
        <v>25.49</v>
      </c>
      <c r="D31" s="21"/>
      <c r="E31" s="21"/>
    </row>
    <row r="32" spans="1:5" x14ac:dyDescent="0.55000000000000004">
      <c r="A32">
        <v>1909</v>
      </c>
      <c r="B32" s="21">
        <v>39.49</v>
      </c>
      <c r="C32" s="21">
        <v>35.340000000000003</v>
      </c>
      <c r="D32" s="21"/>
      <c r="E32" s="21"/>
    </row>
    <row r="33" spans="1:5" x14ac:dyDescent="0.55000000000000004">
      <c r="A33">
        <v>1910</v>
      </c>
      <c r="B33" s="21">
        <v>41.89</v>
      </c>
      <c r="C33" s="21">
        <v>23.67</v>
      </c>
      <c r="D33" s="21"/>
      <c r="E33" s="21"/>
    </row>
    <row r="34" spans="1:5" x14ac:dyDescent="0.55000000000000004">
      <c r="A34">
        <v>1911</v>
      </c>
      <c r="B34" s="21">
        <v>42.18</v>
      </c>
      <c r="C34" s="21">
        <v>24.44</v>
      </c>
      <c r="D34" s="21"/>
      <c r="E34" s="21"/>
    </row>
    <row r="35" spans="1:5" x14ac:dyDescent="0.55000000000000004">
      <c r="A35">
        <v>1912</v>
      </c>
      <c r="B35" s="21">
        <v>40.36</v>
      </c>
      <c r="C35" s="21">
        <v>28.08</v>
      </c>
      <c r="D35" s="21"/>
      <c r="E35" s="21"/>
    </row>
    <row r="36" spans="1:5" x14ac:dyDescent="0.55000000000000004">
      <c r="A36">
        <v>1913</v>
      </c>
      <c r="B36" s="21">
        <v>41.26</v>
      </c>
      <c r="C36" s="21">
        <v>24.43</v>
      </c>
      <c r="D36" s="21"/>
      <c r="E36" s="21"/>
    </row>
    <row r="37" spans="1:5" x14ac:dyDescent="0.55000000000000004">
      <c r="A37">
        <v>1914</v>
      </c>
      <c r="B37" s="21">
        <v>41.49</v>
      </c>
      <c r="C37" s="21">
        <v>25.08</v>
      </c>
      <c r="D37" s="21"/>
      <c r="E37" s="21"/>
    </row>
    <row r="38" spans="1:5" x14ac:dyDescent="0.55000000000000004">
      <c r="A38">
        <v>1915</v>
      </c>
      <c r="B38" s="21">
        <v>39.65</v>
      </c>
      <c r="C38" s="21">
        <v>33.22</v>
      </c>
      <c r="D38" s="21"/>
      <c r="E38" s="21"/>
    </row>
    <row r="39" spans="1:5" x14ac:dyDescent="0.55000000000000004">
      <c r="A39">
        <v>1916</v>
      </c>
      <c r="B39" s="21">
        <v>36.6</v>
      </c>
      <c r="C39" s="21">
        <v>28.99</v>
      </c>
      <c r="D39" s="21"/>
      <c r="E39" s="21"/>
    </row>
    <row r="40" spans="1:5" x14ac:dyDescent="0.55000000000000004">
      <c r="A40">
        <v>1917</v>
      </c>
      <c r="B40" s="21">
        <v>38.979999999999997</v>
      </c>
      <c r="C40" s="21">
        <v>31</v>
      </c>
      <c r="D40" s="21"/>
      <c r="E40" s="21"/>
    </row>
    <row r="41" spans="1:5" x14ac:dyDescent="0.55000000000000004">
      <c r="A41">
        <v>1918</v>
      </c>
      <c r="B41" s="21">
        <v>38.5</v>
      </c>
      <c r="C41" s="21">
        <v>39.61</v>
      </c>
      <c r="D41" s="21"/>
      <c r="E41" s="21"/>
    </row>
    <row r="42" spans="1:5" x14ac:dyDescent="0.55000000000000004">
      <c r="A42">
        <v>1919</v>
      </c>
      <c r="B42" s="21">
        <v>34.5</v>
      </c>
      <c r="C42" s="21">
        <v>38.81</v>
      </c>
      <c r="D42" s="21"/>
      <c r="E42" s="21"/>
    </row>
    <row r="43" spans="1:5" x14ac:dyDescent="0.55000000000000004">
      <c r="A43">
        <v>1920</v>
      </c>
      <c r="B43" s="21">
        <v>42.81</v>
      </c>
      <c r="C43" s="21">
        <v>22.17</v>
      </c>
      <c r="D43" s="21"/>
      <c r="E43" s="21"/>
    </row>
    <row r="44" spans="1:5" x14ac:dyDescent="0.55000000000000004">
      <c r="A44">
        <v>1921</v>
      </c>
      <c r="B44" s="21">
        <v>40.97</v>
      </c>
      <c r="C44" s="21">
        <v>20.36</v>
      </c>
      <c r="D44" s="21"/>
      <c r="E44" s="21"/>
    </row>
    <row r="45" spans="1:5" x14ac:dyDescent="0.55000000000000004">
      <c r="A45">
        <v>1922</v>
      </c>
      <c r="B45" s="21">
        <v>41.03</v>
      </c>
      <c r="C45" s="21">
        <v>23.9</v>
      </c>
      <c r="D45" s="21"/>
      <c r="E45" s="21"/>
    </row>
    <row r="46" spans="1:5" x14ac:dyDescent="0.55000000000000004">
      <c r="A46">
        <v>1923</v>
      </c>
      <c r="B46" s="21">
        <v>42.66</v>
      </c>
      <c r="C46" s="21">
        <v>22.38</v>
      </c>
      <c r="D46" s="21"/>
      <c r="E46" s="21"/>
    </row>
    <row r="47" spans="1:5" x14ac:dyDescent="0.55000000000000004">
      <c r="A47">
        <v>1924</v>
      </c>
      <c r="B47" s="21">
        <v>42.69</v>
      </c>
      <c r="C47" s="21">
        <v>23.34</v>
      </c>
      <c r="D47" s="21"/>
      <c r="E47" s="21"/>
    </row>
    <row r="48" spans="1:5" x14ac:dyDescent="0.55000000000000004">
      <c r="A48">
        <v>1925</v>
      </c>
      <c r="B48" s="21">
        <v>41.55</v>
      </c>
      <c r="C48" s="21">
        <v>31.1</v>
      </c>
      <c r="D48" s="21"/>
      <c r="E48" s="21"/>
    </row>
    <row r="49" spans="1:5" x14ac:dyDescent="0.55000000000000004">
      <c r="A49">
        <v>1926</v>
      </c>
      <c r="B49" s="21">
        <v>43.25</v>
      </c>
      <c r="C49" s="21">
        <v>31.8</v>
      </c>
      <c r="D49" s="21"/>
      <c r="E49" s="21"/>
    </row>
    <row r="50" spans="1:5" x14ac:dyDescent="0.55000000000000004">
      <c r="A50">
        <v>1927</v>
      </c>
      <c r="B50" s="21">
        <v>43.75</v>
      </c>
      <c r="C50" s="21">
        <v>25.07</v>
      </c>
      <c r="D50" s="21"/>
      <c r="E50" s="21"/>
    </row>
    <row r="51" spans="1:5" x14ac:dyDescent="0.55000000000000004">
      <c r="A51">
        <v>1928</v>
      </c>
      <c r="B51" s="21">
        <v>44.27</v>
      </c>
      <c r="C51" s="21">
        <v>25.09</v>
      </c>
      <c r="D51" s="21"/>
      <c r="E51" s="21"/>
    </row>
    <row r="52" spans="1:5" x14ac:dyDescent="0.55000000000000004">
      <c r="A52">
        <v>1929</v>
      </c>
      <c r="B52" s="21">
        <v>40.090000000000003</v>
      </c>
      <c r="C52" s="21">
        <v>29.22</v>
      </c>
      <c r="D52" s="21"/>
      <c r="E52" s="21"/>
    </row>
    <row r="53" spans="1:5" x14ac:dyDescent="0.55000000000000004">
      <c r="A53">
        <v>1930</v>
      </c>
      <c r="B53" s="21">
        <v>43.42</v>
      </c>
      <c r="C53" s="21">
        <v>24.53</v>
      </c>
      <c r="D53" s="21"/>
      <c r="E53" s="21"/>
    </row>
    <row r="54" spans="1:5" x14ac:dyDescent="0.55000000000000004">
      <c r="A54">
        <v>1931</v>
      </c>
      <c r="B54" s="21">
        <v>42.37</v>
      </c>
      <c r="C54" s="21">
        <v>24.38</v>
      </c>
      <c r="D54" s="21"/>
      <c r="E54" s="21"/>
    </row>
    <row r="55" spans="1:5" x14ac:dyDescent="0.55000000000000004">
      <c r="A55">
        <v>1932</v>
      </c>
      <c r="B55" s="21">
        <v>39.409999999999997</v>
      </c>
      <c r="C55" s="21">
        <v>24.47</v>
      </c>
      <c r="D55" s="21"/>
      <c r="E55" s="21"/>
    </row>
    <row r="56" spans="1:5" x14ac:dyDescent="0.55000000000000004">
      <c r="A56">
        <v>1933</v>
      </c>
      <c r="B56" s="21">
        <v>37.590000000000003</v>
      </c>
      <c r="C56" s="21">
        <v>28.04</v>
      </c>
      <c r="D56" s="21"/>
      <c r="E56" s="21"/>
    </row>
    <row r="57" spans="1:5" x14ac:dyDescent="0.55000000000000004">
      <c r="A57">
        <v>1934</v>
      </c>
      <c r="B57" s="21">
        <v>37.450000000000003</v>
      </c>
      <c r="C57" s="21">
        <v>31.71</v>
      </c>
      <c r="D57" s="21"/>
      <c r="E57" s="21"/>
    </row>
    <row r="58" spans="1:5" x14ac:dyDescent="0.55000000000000004">
      <c r="A58">
        <v>1935</v>
      </c>
      <c r="B58" s="21">
        <v>39.18</v>
      </c>
      <c r="C58" s="21">
        <v>28.76</v>
      </c>
      <c r="D58" s="21"/>
      <c r="E58" s="21"/>
    </row>
    <row r="59" spans="1:5" x14ac:dyDescent="0.55000000000000004">
      <c r="A59">
        <v>1936</v>
      </c>
      <c r="B59" s="21">
        <v>39.03</v>
      </c>
      <c r="C59" s="21">
        <v>26.29</v>
      </c>
      <c r="D59" s="21"/>
      <c r="E59" s="21"/>
    </row>
    <row r="60" spans="1:5" x14ac:dyDescent="0.55000000000000004">
      <c r="A60">
        <v>1937</v>
      </c>
      <c r="B60" s="21">
        <v>38.270000000000003</v>
      </c>
      <c r="C60" s="21">
        <v>26.18</v>
      </c>
      <c r="D60" s="21"/>
      <c r="E60" s="21"/>
    </row>
    <row r="61" spans="1:5" x14ac:dyDescent="0.55000000000000004">
      <c r="A61">
        <v>1938</v>
      </c>
      <c r="B61" s="21">
        <v>38.57</v>
      </c>
      <c r="C61" s="21">
        <v>28.45</v>
      </c>
      <c r="D61" s="21"/>
      <c r="E61" s="21"/>
    </row>
    <row r="62" spans="1:5" x14ac:dyDescent="0.55000000000000004">
      <c r="A62">
        <v>1939</v>
      </c>
      <c r="B62" s="21">
        <v>39.71</v>
      </c>
      <c r="C62" s="21">
        <v>32.18</v>
      </c>
      <c r="D62" s="21"/>
      <c r="E62" s="21"/>
    </row>
    <row r="63" spans="1:5" x14ac:dyDescent="0.55000000000000004">
      <c r="A63">
        <v>1940</v>
      </c>
      <c r="B63" s="21">
        <v>40.99</v>
      </c>
      <c r="C63" s="21">
        <v>27.44</v>
      </c>
      <c r="D63" s="21"/>
      <c r="E63" s="21"/>
    </row>
    <row r="64" spans="1:5" x14ac:dyDescent="0.55000000000000004">
      <c r="A64">
        <v>1941</v>
      </c>
      <c r="B64" s="21">
        <v>39.200000000000003</v>
      </c>
      <c r="C64" s="21">
        <v>27.74</v>
      </c>
      <c r="D64" s="21"/>
      <c r="E64" s="21"/>
    </row>
    <row r="65" spans="1:5" x14ac:dyDescent="0.55000000000000004">
      <c r="A65">
        <v>1942</v>
      </c>
      <c r="B65" s="21">
        <v>40.18</v>
      </c>
      <c r="C65" s="21">
        <v>35.21</v>
      </c>
      <c r="D65" s="21"/>
      <c r="E65" s="21"/>
    </row>
    <row r="66" spans="1:5" x14ac:dyDescent="0.55000000000000004">
      <c r="A66">
        <v>1943</v>
      </c>
      <c r="B66" s="21">
        <v>41.8</v>
      </c>
      <c r="C66" s="21">
        <v>35.21</v>
      </c>
      <c r="D66" s="21"/>
      <c r="E66" s="21"/>
    </row>
    <row r="67" spans="1:5" x14ac:dyDescent="0.55000000000000004">
      <c r="A67">
        <v>1944</v>
      </c>
      <c r="B67" s="21">
        <v>41.13</v>
      </c>
      <c r="C67" s="21">
        <v>30.29</v>
      </c>
      <c r="D67" s="21"/>
      <c r="E67" s="21"/>
    </row>
    <row r="68" spans="1:5" x14ac:dyDescent="0.55000000000000004">
      <c r="A68">
        <v>1945</v>
      </c>
      <c r="B68" s="21">
        <v>43.46</v>
      </c>
      <c r="C68" s="21">
        <v>28.38</v>
      </c>
      <c r="D68" s="21"/>
      <c r="E68" s="21"/>
    </row>
    <row r="69" spans="1:5" x14ac:dyDescent="0.55000000000000004">
      <c r="A69">
        <v>1946</v>
      </c>
      <c r="B69" s="21">
        <v>43.4</v>
      </c>
      <c r="C69" s="21">
        <v>28.85</v>
      </c>
      <c r="D69" s="21"/>
      <c r="E69" s="21"/>
    </row>
    <row r="70" spans="1:5" x14ac:dyDescent="0.55000000000000004">
      <c r="A70">
        <v>1947</v>
      </c>
      <c r="B70" s="21">
        <v>47.58</v>
      </c>
      <c r="C70" s="21">
        <v>29.21</v>
      </c>
      <c r="D70" s="21"/>
      <c r="E70" s="21"/>
    </row>
    <row r="71" spans="1:5" x14ac:dyDescent="0.55000000000000004">
      <c r="A71">
        <v>1948</v>
      </c>
      <c r="B71" s="21">
        <v>47.75</v>
      </c>
      <c r="C71" s="21">
        <v>28.13</v>
      </c>
      <c r="D71" s="21"/>
      <c r="E71" s="21"/>
    </row>
    <row r="72" spans="1:5" x14ac:dyDescent="0.55000000000000004">
      <c r="A72">
        <v>1949</v>
      </c>
      <c r="B72" s="21">
        <v>48.12</v>
      </c>
      <c r="C72" s="21">
        <v>26.34</v>
      </c>
      <c r="D72" s="21"/>
      <c r="E72" s="21"/>
    </row>
    <row r="73" spans="1:5" x14ac:dyDescent="0.55000000000000004">
      <c r="A73">
        <v>1950</v>
      </c>
      <c r="B73" s="21">
        <v>47.72</v>
      </c>
      <c r="C73" s="21">
        <v>26.63</v>
      </c>
      <c r="D73" s="3">
        <v>50.7</v>
      </c>
      <c r="E73" s="3">
        <v>25.9</v>
      </c>
    </row>
    <row r="74" spans="1:5" x14ac:dyDescent="0.55000000000000004">
      <c r="A74">
        <v>1951</v>
      </c>
      <c r="B74" s="21">
        <v>49.6</v>
      </c>
      <c r="C74" s="21">
        <v>19.45</v>
      </c>
      <c r="D74" s="3">
        <v>51.1</v>
      </c>
      <c r="E74" s="3">
        <v>25.4</v>
      </c>
    </row>
    <row r="75" spans="1:5" x14ac:dyDescent="0.55000000000000004">
      <c r="A75">
        <v>1952</v>
      </c>
      <c r="B75" s="21">
        <v>48.29</v>
      </c>
      <c r="C75" s="21">
        <v>24.04</v>
      </c>
      <c r="D75" s="3">
        <v>51.3</v>
      </c>
      <c r="E75" s="3">
        <v>24.8</v>
      </c>
    </row>
    <row r="76" spans="1:5" x14ac:dyDescent="0.55000000000000004">
      <c r="A76">
        <v>1953</v>
      </c>
      <c r="B76" s="21">
        <v>48.55</v>
      </c>
      <c r="C76" s="21">
        <v>23.08</v>
      </c>
      <c r="D76" s="3">
        <v>51.3</v>
      </c>
      <c r="E76" s="3">
        <v>24.3</v>
      </c>
    </row>
    <row r="77" spans="1:5" x14ac:dyDescent="0.55000000000000004">
      <c r="A77">
        <v>1954</v>
      </c>
      <c r="B77" s="21">
        <v>49.28</v>
      </c>
      <c r="C77" s="21">
        <v>18.48</v>
      </c>
      <c r="D77" s="3">
        <v>51.1</v>
      </c>
      <c r="E77" s="3">
        <v>23.8</v>
      </c>
    </row>
    <row r="78" spans="1:5" x14ac:dyDescent="0.55000000000000004">
      <c r="A78">
        <v>1955</v>
      </c>
      <c r="B78" s="21">
        <v>51.94</v>
      </c>
      <c r="C78" s="21">
        <v>21.73</v>
      </c>
      <c r="D78" s="3">
        <v>50.9</v>
      </c>
      <c r="E78" s="3">
        <v>23.2</v>
      </c>
    </row>
    <row r="79" spans="1:5" x14ac:dyDescent="0.55000000000000004">
      <c r="A79">
        <v>1956</v>
      </c>
      <c r="B79" s="21">
        <v>51.83</v>
      </c>
      <c r="C79" s="21">
        <v>20.84</v>
      </c>
      <c r="D79" s="3">
        <v>50.6</v>
      </c>
      <c r="E79" s="3">
        <v>22.6</v>
      </c>
    </row>
    <row r="80" spans="1:5" x14ac:dyDescent="0.55000000000000004">
      <c r="A80">
        <v>1957</v>
      </c>
      <c r="B80" s="21">
        <v>52.45</v>
      </c>
      <c r="C80" s="21">
        <v>21.63</v>
      </c>
      <c r="D80" s="3">
        <v>50.3</v>
      </c>
      <c r="E80" s="3">
        <v>22</v>
      </c>
    </row>
    <row r="81" spans="1:5" x14ac:dyDescent="0.55000000000000004">
      <c r="A81">
        <v>1958</v>
      </c>
      <c r="B81" s="21">
        <v>51.59</v>
      </c>
      <c r="C81" s="21">
        <v>22.37</v>
      </c>
      <c r="D81" s="3">
        <v>49.7</v>
      </c>
      <c r="E81" s="3">
        <v>20.9</v>
      </c>
    </row>
    <row r="82" spans="1:5" x14ac:dyDescent="0.55000000000000004">
      <c r="A82">
        <v>1959</v>
      </c>
      <c r="B82" s="21">
        <v>52.73</v>
      </c>
      <c r="C82" s="21">
        <v>18.11</v>
      </c>
      <c r="D82" s="3">
        <v>49.1</v>
      </c>
      <c r="E82" s="3">
        <v>19.899999999999999</v>
      </c>
    </row>
    <row r="83" spans="1:5" x14ac:dyDescent="0.55000000000000004">
      <c r="A83">
        <v>1960</v>
      </c>
      <c r="B83" s="21">
        <v>52.3</v>
      </c>
      <c r="C83" s="21">
        <v>18.28</v>
      </c>
      <c r="D83" s="3">
        <v>48.5</v>
      </c>
      <c r="E83" s="3">
        <v>18.8</v>
      </c>
    </row>
    <row r="84" spans="1:5" x14ac:dyDescent="0.55000000000000004">
      <c r="A84">
        <v>1961</v>
      </c>
      <c r="B84" s="21">
        <v>52.64</v>
      </c>
      <c r="C84" s="21">
        <v>17.02</v>
      </c>
      <c r="D84" s="3">
        <v>48</v>
      </c>
      <c r="E84" s="3">
        <v>18.5</v>
      </c>
    </row>
    <row r="85" spans="1:5" x14ac:dyDescent="0.55000000000000004">
      <c r="A85">
        <v>1962</v>
      </c>
      <c r="B85" s="21">
        <v>50.26</v>
      </c>
      <c r="C85" s="21">
        <v>18.02</v>
      </c>
      <c r="D85" s="3">
        <v>47.4</v>
      </c>
      <c r="E85" s="3">
        <v>18.100000000000001</v>
      </c>
    </row>
    <row r="86" spans="1:5" x14ac:dyDescent="0.55000000000000004">
      <c r="A86">
        <v>1963</v>
      </c>
      <c r="B86" s="21">
        <v>50.34</v>
      </c>
      <c r="C86" s="21">
        <v>18.02</v>
      </c>
      <c r="D86" s="3">
        <v>46.9</v>
      </c>
      <c r="E86" s="3">
        <v>17.8</v>
      </c>
    </row>
    <row r="87" spans="1:5" x14ac:dyDescent="0.55000000000000004">
      <c r="A87">
        <v>1964</v>
      </c>
      <c r="B87" s="21">
        <v>48.5</v>
      </c>
      <c r="C87" s="21">
        <v>16.7</v>
      </c>
      <c r="D87" s="3">
        <v>46.5</v>
      </c>
      <c r="E87" s="3">
        <v>17.5</v>
      </c>
    </row>
    <row r="88" spans="1:5" x14ac:dyDescent="0.55000000000000004">
      <c r="A88">
        <v>1965</v>
      </c>
      <c r="B88" s="21">
        <v>48.18</v>
      </c>
      <c r="C88" s="21">
        <v>17.760000000000002</v>
      </c>
      <c r="D88" s="3">
        <v>46.2</v>
      </c>
      <c r="E88" s="3">
        <v>17.3</v>
      </c>
    </row>
    <row r="89" spans="1:5" x14ac:dyDescent="0.55000000000000004">
      <c r="A89">
        <v>1966</v>
      </c>
      <c r="B89" s="21">
        <v>48.46</v>
      </c>
      <c r="C89" s="21">
        <v>17.489999999999998</v>
      </c>
      <c r="D89" s="3">
        <v>46</v>
      </c>
      <c r="E89" s="3">
        <v>17</v>
      </c>
    </row>
    <row r="90" spans="1:5" x14ac:dyDescent="0.55000000000000004">
      <c r="A90">
        <v>1967</v>
      </c>
      <c r="B90" s="21">
        <v>46.79</v>
      </c>
      <c r="C90" s="21">
        <v>15.98</v>
      </c>
      <c r="D90" s="3">
        <v>45.6</v>
      </c>
      <c r="E90" s="3">
        <v>16.7</v>
      </c>
    </row>
    <row r="91" spans="1:5" x14ac:dyDescent="0.55000000000000004">
      <c r="A91">
        <v>1968</v>
      </c>
      <c r="B91" s="21">
        <v>46.62</v>
      </c>
      <c r="C91" s="21">
        <v>17.329999999999998</v>
      </c>
      <c r="D91" s="3">
        <v>45.3</v>
      </c>
      <c r="E91" s="3">
        <v>16.600000000000001</v>
      </c>
    </row>
    <row r="92" spans="1:5" x14ac:dyDescent="0.55000000000000004">
      <c r="A92">
        <v>1969</v>
      </c>
      <c r="B92" s="21">
        <v>46.18</v>
      </c>
      <c r="C92" s="21">
        <v>18.09</v>
      </c>
      <c r="D92" s="3">
        <v>45.1</v>
      </c>
      <c r="E92" s="3">
        <v>16.7</v>
      </c>
    </row>
    <row r="93" spans="1:5" x14ac:dyDescent="0.55000000000000004">
      <c r="A93">
        <v>1970</v>
      </c>
      <c r="B93" s="21">
        <v>44.33</v>
      </c>
      <c r="C93" s="21">
        <v>16.010000000000002</v>
      </c>
      <c r="D93" s="3">
        <v>44.9</v>
      </c>
      <c r="E93" s="3">
        <v>16</v>
      </c>
    </row>
    <row r="94" spans="1:5" x14ac:dyDescent="0.55000000000000004">
      <c r="A94">
        <v>1971</v>
      </c>
      <c r="B94" s="21">
        <v>46.85</v>
      </c>
      <c r="C94" s="21">
        <v>15.2</v>
      </c>
      <c r="D94" s="3">
        <v>44.7</v>
      </c>
      <c r="E94" s="3">
        <v>14.9</v>
      </c>
    </row>
    <row r="95" spans="1:5" x14ac:dyDescent="0.55000000000000004">
      <c r="A95">
        <v>1972</v>
      </c>
      <c r="B95" s="21">
        <v>47.95</v>
      </c>
      <c r="C95" s="21">
        <v>13.37</v>
      </c>
      <c r="D95" s="3">
        <v>44.4</v>
      </c>
      <c r="E95" s="3">
        <v>14</v>
      </c>
    </row>
    <row r="96" spans="1:5" x14ac:dyDescent="0.55000000000000004">
      <c r="A96">
        <v>1973</v>
      </c>
      <c r="B96" s="21">
        <v>45.92</v>
      </c>
      <c r="C96" s="21">
        <v>13.25</v>
      </c>
      <c r="D96" s="3">
        <v>44.2</v>
      </c>
      <c r="E96" s="3">
        <v>13.4</v>
      </c>
    </row>
    <row r="97" spans="1:5" x14ac:dyDescent="0.55000000000000004">
      <c r="A97">
        <v>1974</v>
      </c>
      <c r="B97" s="21">
        <v>47.18</v>
      </c>
      <c r="C97" s="21">
        <v>12.95</v>
      </c>
      <c r="D97" s="3">
        <v>44.1</v>
      </c>
      <c r="E97" s="3">
        <v>13.2</v>
      </c>
    </row>
    <row r="98" spans="1:5" x14ac:dyDescent="0.55000000000000004">
      <c r="A98">
        <v>1975</v>
      </c>
      <c r="B98" s="21">
        <v>45.94</v>
      </c>
      <c r="C98" s="21">
        <v>14.14</v>
      </c>
      <c r="D98" s="3">
        <v>44.1</v>
      </c>
      <c r="E98" s="3">
        <v>13.3</v>
      </c>
    </row>
    <row r="99" spans="1:5" x14ac:dyDescent="0.55000000000000004">
      <c r="A99">
        <v>1976</v>
      </c>
      <c r="B99" s="21">
        <v>47.25</v>
      </c>
      <c r="C99" s="21">
        <v>14.33</v>
      </c>
      <c r="D99" s="3">
        <v>44</v>
      </c>
      <c r="E99" s="3">
        <v>16.600000000000001</v>
      </c>
    </row>
    <row r="100" spans="1:5" x14ac:dyDescent="0.55000000000000004">
      <c r="A100">
        <v>1977</v>
      </c>
      <c r="B100" s="21">
        <v>49.24</v>
      </c>
      <c r="C100" s="21">
        <v>12.29</v>
      </c>
      <c r="D100" s="3">
        <v>43.9</v>
      </c>
      <c r="E100" s="3">
        <v>12.1</v>
      </c>
    </row>
    <row r="101" spans="1:5" x14ac:dyDescent="0.55000000000000004">
      <c r="A101">
        <v>1978</v>
      </c>
      <c r="B101" s="21">
        <v>48.11</v>
      </c>
      <c r="C101" s="21">
        <v>11.12</v>
      </c>
      <c r="D101" s="3">
        <v>43.7</v>
      </c>
      <c r="E101" s="3">
        <v>11.5</v>
      </c>
    </row>
    <row r="102" spans="1:5" x14ac:dyDescent="0.55000000000000004">
      <c r="A102">
        <v>1979</v>
      </c>
      <c r="B102" s="21">
        <v>48.28</v>
      </c>
      <c r="C102" s="21">
        <v>11.68</v>
      </c>
      <c r="D102" s="3">
        <v>43.6</v>
      </c>
      <c r="E102" s="3">
        <v>11.4</v>
      </c>
    </row>
    <row r="103" spans="1:5" x14ac:dyDescent="0.55000000000000004">
      <c r="A103">
        <v>1980</v>
      </c>
      <c r="B103" s="21">
        <v>48.25</v>
      </c>
      <c r="C103" s="21">
        <v>11.2</v>
      </c>
      <c r="D103" s="3">
        <v>43.6</v>
      </c>
      <c r="E103" s="3">
        <v>12</v>
      </c>
    </row>
    <row r="104" spans="1:5" x14ac:dyDescent="0.55000000000000004">
      <c r="A104">
        <v>1981</v>
      </c>
      <c r="B104" s="21">
        <v>46.13</v>
      </c>
      <c r="C104" s="21">
        <v>11.54</v>
      </c>
      <c r="D104" s="3">
        <v>43.4</v>
      </c>
      <c r="E104" s="3">
        <v>12.2</v>
      </c>
    </row>
    <row r="105" spans="1:5" x14ac:dyDescent="0.55000000000000004">
      <c r="A105">
        <v>1982</v>
      </c>
      <c r="B105" s="21">
        <v>45.44</v>
      </c>
      <c r="C105" s="21">
        <v>11.33</v>
      </c>
      <c r="D105" s="3">
        <v>43.2</v>
      </c>
      <c r="E105" s="3">
        <v>15.6</v>
      </c>
    </row>
    <row r="106" spans="1:5" x14ac:dyDescent="0.55000000000000004">
      <c r="A106">
        <v>1983</v>
      </c>
      <c r="B106" s="21">
        <v>43.51</v>
      </c>
      <c r="C106" s="21">
        <v>10.76</v>
      </c>
      <c r="D106" s="3">
        <v>42.8</v>
      </c>
      <c r="E106" s="3">
        <v>10.7</v>
      </c>
    </row>
    <row r="107" spans="1:5" x14ac:dyDescent="0.55000000000000004">
      <c r="A107">
        <v>1984</v>
      </c>
      <c r="B107" s="21">
        <v>43.14</v>
      </c>
      <c r="C107" s="21">
        <v>9.2799999999999994</v>
      </c>
      <c r="D107" s="3">
        <v>41.9</v>
      </c>
      <c r="E107" s="3">
        <v>10.199999999999999</v>
      </c>
    </row>
    <row r="108" spans="1:5" x14ac:dyDescent="0.55000000000000004">
      <c r="A108">
        <v>1985</v>
      </c>
      <c r="B108" s="21">
        <v>43.99</v>
      </c>
      <c r="C108" s="21">
        <v>9.5299999999999994</v>
      </c>
      <c r="D108" s="3">
        <v>41.1</v>
      </c>
      <c r="E108" s="3">
        <v>9.8000000000000007</v>
      </c>
    </row>
    <row r="109" spans="1:5" x14ac:dyDescent="0.55000000000000004">
      <c r="A109">
        <v>1986</v>
      </c>
      <c r="B109" s="21">
        <v>40.65</v>
      </c>
      <c r="C109" s="21">
        <v>8.8699999999999992</v>
      </c>
      <c r="D109" s="3">
        <v>40.799999999999997</v>
      </c>
      <c r="E109" s="3">
        <v>9.5</v>
      </c>
    </row>
    <row r="110" spans="1:5" x14ac:dyDescent="0.55000000000000004">
      <c r="A110">
        <v>1987</v>
      </c>
      <c r="B110" s="21">
        <v>40.33</v>
      </c>
      <c r="C110" s="21">
        <v>8.66</v>
      </c>
      <c r="D110" s="3">
        <v>40.700000000000003</v>
      </c>
      <c r="E110" s="3">
        <v>9.1999999999999993</v>
      </c>
    </row>
    <row r="111" spans="1:5" x14ac:dyDescent="0.55000000000000004">
      <c r="A111">
        <v>1988</v>
      </c>
      <c r="B111" s="21">
        <v>41.34</v>
      </c>
      <c r="C111" s="21">
        <v>8.15</v>
      </c>
      <c r="D111" s="3">
        <v>40.700000000000003</v>
      </c>
      <c r="E111" s="3">
        <v>8.9</v>
      </c>
    </row>
    <row r="112" spans="1:5" x14ac:dyDescent="0.55000000000000004">
      <c r="A112">
        <v>1989</v>
      </c>
      <c r="B112" s="21">
        <v>40.700000000000003</v>
      </c>
      <c r="C112" s="21">
        <v>7.62</v>
      </c>
      <c r="D112" s="3">
        <v>40.299999999999997</v>
      </c>
      <c r="E112" s="3">
        <v>8.8000000000000007</v>
      </c>
    </row>
    <row r="113" spans="1:5" x14ac:dyDescent="0.55000000000000004">
      <c r="A113">
        <v>1990</v>
      </c>
      <c r="B113" s="21">
        <v>39.86</v>
      </c>
      <c r="C113" s="21">
        <v>8.84</v>
      </c>
      <c r="D113" s="3">
        <v>39.799999999999997</v>
      </c>
      <c r="E113" s="3">
        <v>8.8000000000000007</v>
      </c>
    </row>
    <row r="114" spans="1:5" x14ac:dyDescent="0.55000000000000004">
      <c r="A114">
        <v>1991</v>
      </c>
      <c r="B114" s="21">
        <v>40.25</v>
      </c>
      <c r="C114" s="21">
        <v>8.56</v>
      </c>
      <c r="D114" s="3">
        <v>39.299999999999997</v>
      </c>
      <c r="E114" s="3">
        <v>8.6</v>
      </c>
    </row>
    <row r="115" spans="1:5" x14ac:dyDescent="0.55000000000000004">
      <c r="A115">
        <v>1992</v>
      </c>
      <c r="B115" s="21">
        <v>39.6</v>
      </c>
      <c r="C115" s="21">
        <v>8.36</v>
      </c>
      <c r="D115" s="3">
        <v>38.9</v>
      </c>
      <c r="E115" s="3">
        <v>8.6</v>
      </c>
    </row>
    <row r="116" spans="1:5" x14ac:dyDescent="0.55000000000000004">
      <c r="A116">
        <v>1993</v>
      </c>
      <c r="B116" s="21">
        <v>39.25</v>
      </c>
      <c r="C116" s="21">
        <v>8.2200000000000006</v>
      </c>
      <c r="D116" s="3">
        <v>38.6</v>
      </c>
      <c r="E116" s="3">
        <v>8.4</v>
      </c>
    </row>
    <row r="117" spans="1:5" x14ac:dyDescent="0.55000000000000004">
      <c r="A117">
        <v>1994</v>
      </c>
      <c r="B117" s="21">
        <v>39.4</v>
      </c>
      <c r="C117" s="21">
        <v>8.11</v>
      </c>
      <c r="D117" s="3">
        <v>38.200000000000003</v>
      </c>
      <c r="E117" s="3">
        <v>8.1</v>
      </c>
    </row>
    <row r="118" spans="1:5" x14ac:dyDescent="0.55000000000000004">
      <c r="A118">
        <v>1995</v>
      </c>
      <c r="B118" s="21">
        <v>37.31</v>
      </c>
      <c r="C118" s="21">
        <v>7.51</v>
      </c>
      <c r="D118" s="3">
        <v>37.799999999999997</v>
      </c>
      <c r="E118" s="3">
        <v>7.8</v>
      </c>
    </row>
    <row r="119" spans="1:5" x14ac:dyDescent="0.55000000000000004">
      <c r="A119">
        <v>1996</v>
      </c>
      <c r="B119" s="21">
        <v>32.130000000000003</v>
      </c>
      <c r="C119" s="21">
        <v>6.05</v>
      </c>
      <c r="D119" s="3">
        <v>37.1</v>
      </c>
      <c r="E119" s="3">
        <v>7.4</v>
      </c>
    </row>
    <row r="120" spans="1:5" x14ac:dyDescent="0.55000000000000004">
      <c r="A120">
        <f>A119+1</f>
        <v>1997</v>
      </c>
      <c r="B120" s="21"/>
      <c r="C120" s="21"/>
      <c r="D120" s="3">
        <v>36.5</v>
      </c>
      <c r="E120" s="3">
        <v>7</v>
      </c>
    </row>
    <row r="121" spans="1:5" x14ac:dyDescent="0.55000000000000004">
      <c r="A121">
        <f t="shared" ref="A121:A146" si="0">A120+1</f>
        <v>1998</v>
      </c>
      <c r="B121" s="21"/>
      <c r="C121" s="21"/>
      <c r="D121" s="3">
        <v>35.9</v>
      </c>
      <c r="E121" s="3">
        <v>6.7</v>
      </c>
    </row>
    <row r="122" spans="1:5" x14ac:dyDescent="0.55000000000000004">
      <c r="A122">
        <f t="shared" si="0"/>
        <v>1999</v>
      </c>
      <c r="B122" s="21"/>
      <c r="C122" s="21"/>
      <c r="D122" s="3">
        <v>35.200000000000003</v>
      </c>
      <c r="E122" s="3">
        <v>6.4</v>
      </c>
    </row>
    <row r="123" spans="1:5" x14ac:dyDescent="0.55000000000000004">
      <c r="A123">
        <f t="shared" si="0"/>
        <v>2000</v>
      </c>
      <c r="B123" s="21"/>
      <c r="C123" s="21"/>
      <c r="D123" s="3">
        <v>34.700000000000003</v>
      </c>
      <c r="E123" s="3">
        <v>6.3</v>
      </c>
    </row>
    <row r="124" spans="1:5" x14ac:dyDescent="0.55000000000000004">
      <c r="A124">
        <f t="shared" si="0"/>
        <v>2001</v>
      </c>
      <c r="B124" s="21"/>
      <c r="C124" s="21"/>
      <c r="D124" s="3">
        <v>34.200000000000003</v>
      </c>
      <c r="E124" s="3">
        <v>6.1</v>
      </c>
    </row>
    <row r="125" spans="1:5" x14ac:dyDescent="0.55000000000000004">
      <c r="A125">
        <f t="shared" si="0"/>
        <v>2002</v>
      </c>
      <c r="B125" s="21"/>
      <c r="C125" s="21"/>
      <c r="D125" s="3">
        <v>33.299999999999997</v>
      </c>
      <c r="E125" s="3">
        <v>6</v>
      </c>
    </row>
    <row r="126" spans="1:5" x14ac:dyDescent="0.55000000000000004">
      <c r="A126">
        <f t="shared" si="0"/>
        <v>2003</v>
      </c>
      <c r="B126" s="21"/>
      <c r="C126" s="21"/>
      <c r="D126" s="3">
        <v>32.5</v>
      </c>
      <c r="E126" s="3">
        <v>5.8</v>
      </c>
    </row>
    <row r="127" spans="1:5" x14ac:dyDescent="0.55000000000000004">
      <c r="A127">
        <f t="shared" si="0"/>
        <v>2004</v>
      </c>
      <c r="B127" s="21"/>
      <c r="C127" s="21"/>
      <c r="D127" s="3">
        <v>31.7</v>
      </c>
      <c r="E127" s="3">
        <v>5.8</v>
      </c>
    </row>
    <row r="128" spans="1:5" x14ac:dyDescent="0.55000000000000004">
      <c r="A128">
        <f t="shared" si="0"/>
        <v>2005</v>
      </c>
      <c r="B128" s="21"/>
      <c r="C128" s="21"/>
      <c r="D128" s="3">
        <v>30.8</v>
      </c>
      <c r="E128" s="3">
        <v>5.9</v>
      </c>
    </row>
    <row r="129" spans="1:5" x14ac:dyDescent="0.55000000000000004">
      <c r="A129">
        <f t="shared" si="0"/>
        <v>2006</v>
      </c>
      <c r="B129" s="21"/>
      <c r="C129" s="21"/>
      <c r="D129" s="3">
        <v>30</v>
      </c>
      <c r="E129" s="3">
        <v>5.7</v>
      </c>
    </row>
    <row r="130" spans="1:5" x14ac:dyDescent="0.55000000000000004">
      <c r="A130">
        <f t="shared" si="0"/>
        <v>2007</v>
      </c>
      <c r="B130" s="21"/>
      <c r="C130" s="21"/>
      <c r="D130" s="3">
        <v>29.4</v>
      </c>
      <c r="E130" s="3">
        <v>5.5</v>
      </c>
    </row>
    <row r="131" spans="1:5" x14ac:dyDescent="0.55000000000000004">
      <c r="A131">
        <f t="shared" si="0"/>
        <v>2008</v>
      </c>
      <c r="B131" s="21"/>
      <c r="C131" s="21"/>
      <c r="D131" s="3">
        <v>28.7</v>
      </c>
      <c r="E131" s="3">
        <v>5.5</v>
      </c>
    </row>
    <row r="132" spans="1:5" x14ac:dyDescent="0.55000000000000004">
      <c r="A132">
        <f t="shared" si="0"/>
        <v>2009</v>
      </c>
      <c r="B132" s="21"/>
      <c r="C132" s="21"/>
      <c r="D132" s="3">
        <v>28.2</v>
      </c>
      <c r="E132" s="3">
        <v>5.5</v>
      </c>
    </row>
    <row r="133" spans="1:5" x14ac:dyDescent="0.55000000000000004">
      <c r="A133">
        <f t="shared" si="0"/>
        <v>2010</v>
      </c>
      <c r="B133" s="21"/>
      <c r="C133" s="21"/>
      <c r="D133" s="3">
        <v>27.8</v>
      </c>
      <c r="E133" s="3">
        <v>5.4</v>
      </c>
    </row>
    <row r="134" spans="1:5" x14ac:dyDescent="0.55000000000000004">
      <c r="A134">
        <f t="shared" si="0"/>
        <v>2011</v>
      </c>
      <c r="B134" s="21"/>
      <c r="C134" s="21"/>
      <c r="D134" s="3">
        <v>27.5</v>
      </c>
      <c r="E134" s="3">
        <v>5.3</v>
      </c>
    </row>
    <row r="135" spans="1:5" x14ac:dyDescent="0.55000000000000004">
      <c r="A135">
        <f t="shared" si="0"/>
        <v>2012</v>
      </c>
      <c r="B135" s="21"/>
      <c r="C135" s="21"/>
      <c r="D135" s="3">
        <v>27.2</v>
      </c>
      <c r="E135" s="3">
        <v>5.2</v>
      </c>
    </row>
    <row r="136" spans="1:5" x14ac:dyDescent="0.55000000000000004">
      <c r="A136">
        <f t="shared" si="0"/>
        <v>2013</v>
      </c>
      <c r="B136" s="21"/>
      <c r="C136" s="21"/>
      <c r="D136" s="3">
        <v>26.7</v>
      </c>
      <c r="E136" s="3">
        <v>5.2</v>
      </c>
    </row>
    <row r="137" spans="1:5" x14ac:dyDescent="0.55000000000000004">
      <c r="A137">
        <f t="shared" si="0"/>
        <v>2014</v>
      </c>
      <c r="B137" s="21"/>
      <c r="C137" s="21"/>
      <c r="D137" s="3">
        <v>26.5</v>
      </c>
      <c r="E137" s="3">
        <v>5.2</v>
      </c>
    </row>
    <row r="138" spans="1:5" x14ac:dyDescent="0.55000000000000004">
      <c r="A138">
        <f t="shared" si="0"/>
        <v>2015</v>
      </c>
      <c r="B138" s="21"/>
      <c r="C138" s="21"/>
      <c r="D138" s="3">
        <v>26.2</v>
      </c>
      <c r="E138" s="3">
        <v>5.2</v>
      </c>
    </row>
    <row r="139" spans="1:5" x14ac:dyDescent="0.55000000000000004">
      <c r="A139">
        <f t="shared" si="0"/>
        <v>2016</v>
      </c>
      <c r="B139" s="21"/>
      <c r="C139" s="21"/>
      <c r="D139" s="3">
        <v>26</v>
      </c>
      <c r="E139" s="3">
        <v>5.2</v>
      </c>
    </row>
    <row r="140" spans="1:5" x14ac:dyDescent="0.55000000000000004">
      <c r="A140">
        <f t="shared" si="0"/>
        <v>2017</v>
      </c>
      <c r="B140" s="21"/>
      <c r="C140" s="21"/>
      <c r="D140" s="3">
        <v>25.2</v>
      </c>
      <c r="E140" s="3">
        <v>5.0999999999999996</v>
      </c>
    </row>
    <row r="141" spans="1:5" x14ac:dyDescent="0.55000000000000004">
      <c r="A141">
        <f t="shared" si="0"/>
        <v>2018</v>
      </c>
      <c r="B141" s="21"/>
      <c r="C141" s="21"/>
      <c r="D141" s="3">
        <v>24.3</v>
      </c>
      <c r="E141" s="3">
        <v>5.0999999999999996</v>
      </c>
    </row>
    <row r="142" spans="1:5" x14ac:dyDescent="0.55000000000000004">
      <c r="A142">
        <f t="shared" si="0"/>
        <v>2019</v>
      </c>
      <c r="B142" s="21"/>
      <c r="C142" s="21"/>
      <c r="D142" s="3">
        <v>23.1</v>
      </c>
      <c r="E142" s="3">
        <v>5.0999999999999996</v>
      </c>
    </row>
    <row r="143" spans="1:5" x14ac:dyDescent="0.55000000000000004">
      <c r="A143">
        <f t="shared" si="0"/>
        <v>2020</v>
      </c>
      <c r="B143" s="21"/>
      <c r="C143" s="21"/>
      <c r="D143" s="3">
        <v>22</v>
      </c>
      <c r="E143" s="3">
        <v>5.8</v>
      </c>
    </row>
    <row r="144" spans="1:5" x14ac:dyDescent="0.55000000000000004">
      <c r="A144">
        <f t="shared" si="0"/>
        <v>2021</v>
      </c>
      <c r="B144" s="21"/>
      <c r="C144" s="21"/>
      <c r="D144" s="3">
        <v>21.4</v>
      </c>
      <c r="E144" s="3">
        <v>6.9</v>
      </c>
    </row>
    <row r="145" spans="1:5" x14ac:dyDescent="0.55000000000000004">
      <c r="A145">
        <f t="shared" si="0"/>
        <v>2022</v>
      </c>
      <c r="B145" s="21"/>
      <c r="C145" s="21"/>
      <c r="D145" s="3">
        <v>21.1</v>
      </c>
      <c r="E145" s="3">
        <v>5.3</v>
      </c>
    </row>
    <row r="146" spans="1:5" x14ac:dyDescent="0.55000000000000004">
      <c r="A146">
        <f t="shared" si="0"/>
        <v>2023</v>
      </c>
      <c r="B146" s="21"/>
      <c r="C146" s="21"/>
      <c r="D146" s="3">
        <v>20.8</v>
      </c>
      <c r="E146" s="3">
        <v>4.8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28"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E116"/>
  <sheetViews>
    <sheetView workbookViewId="0">
      <selection activeCell="A3" sqref="A3:E116"/>
    </sheetView>
  </sheetViews>
  <sheetFormatPr defaultRowHeight="14.4" x14ac:dyDescent="0.55000000000000004"/>
  <sheetData>
    <row r="1" spans="1:5" x14ac:dyDescent="0.55000000000000004">
      <c r="A1" s="1"/>
      <c r="B1" s="28" t="s">
        <v>115</v>
      </c>
      <c r="C1" s="28"/>
      <c r="D1" s="28" t="s">
        <v>75</v>
      </c>
      <c r="E1" s="28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1910</v>
      </c>
      <c r="B3" s="21">
        <v>40.380000000000003</v>
      </c>
      <c r="C3" s="21">
        <v>25.73</v>
      </c>
      <c r="D3" s="21"/>
      <c r="E3" s="21"/>
    </row>
    <row r="4" spans="1:5" x14ac:dyDescent="0.55000000000000004">
      <c r="A4">
        <v>1911</v>
      </c>
      <c r="B4" s="21">
        <v>42.48</v>
      </c>
      <c r="C4" s="21">
        <v>26.58</v>
      </c>
      <c r="D4" s="21"/>
      <c r="E4" s="21"/>
    </row>
    <row r="5" spans="1:5" x14ac:dyDescent="0.55000000000000004">
      <c r="A5">
        <v>1912</v>
      </c>
      <c r="B5" s="21">
        <v>42.12</v>
      </c>
      <c r="C5" s="21">
        <v>24.21</v>
      </c>
      <c r="D5" s="21"/>
      <c r="E5" s="21"/>
    </row>
    <row r="6" spans="1:5" x14ac:dyDescent="0.55000000000000004">
      <c r="A6">
        <v>1913</v>
      </c>
      <c r="B6" s="21">
        <v>42.69</v>
      </c>
      <c r="C6" s="21">
        <v>24.66</v>
      </c>
      <c r="D6" s="21"/>
      <c r="E6" s="21"/>
    </row>
    <row r="7" spans="1:5" x14ac:dyDescent="0.55000000000000004">
      <c r="A7">
        <v>1914</v>
      </c>
      <c r="B7" s="21">
        <v>43.22</v>
      </c>
      <c r="C7" s="21">
        <v>24.19</v>
      </c>
      <c r="D7" s="21"/>
      <c r="E7" s="21"/>
    </row>
    <row r="8" spans="1:5" x14ac:dyDescent="0.55000000000000004">
      <c r="A8">
        <v>1915</v>
      </c>
      <c r="B8" s="21">
        <v>38.75</v>
      </c>
      <c r="C8" s="21">
        <v>33.97</v>
      </c>
      <c r="D8" s="21"/>
      <c r="E8" s="21"/>
    </row>
    <row r="9" spans="1:5" x14ac:dyDescent="0.55000000000000004">
      <c r="A9">
        <v>1916</v>
      </c>
      <c r="B9" s="21">
        <v>35.57</v>
      </c>
      <c r="C9" s="21">
        <v>35.369999999999997</v>
      </c>
      <c r="D9" s="21"/>
      <c r="E9" s="21"/>
    </row>
    <row r="10" spans="1:5" x14ac:dyDescent="0.55000000000000004">
      <c r="A10">
        <v>1917</v>
      </c>
      <c r="B10" s="21">
        <v>39.72</v>
      </c>
      <c r="C10" s="21">
        <v>34.82</v>
      </c>
      <c r="D10" s="21"/>
      <c r="E10" s="21"/>
    </row>
    <row r="11" spans="1:5" x14ac:dyDescent="0.55000000000000004">
      <c r="A11">
        <v>1918</v>
      </c>
      <c r="B11" s="21">
        <v>43.35</v>
      </c>
      <c r="C11" s="21">
        <v>32.58</v>
      </c>
      <c r="D11" s="21"/>
      <c r="E11" s="21"/>
    </row>
    <row r="12" spans="1:5" x14ac:dyDescent="0.55000000000000004">
      <c r="A12">
        <v>1919</v>
      </c>
      <c r="B12" s="21">
        <v>30.99</v>
      </c>
      <c r="C12" s="21">
        <v>26.35</v>
      </c>
      <c r="D12" s="21"/>
      <c r="E12" s="21"/>
    </row>
    <row r="13" spans="1:5" x14ac:dyDescent="0.55000000000000004">
      <c r="A13">
        <v>1920</v>
      </c>
      <c r="B13" s="21">
        <v>42.5</v>
      </c>
      <c r="C13" s="21">
        <v>25.09</v>
      </c>
      <c r="D13" s="21"/>
      <c r="E13" s="21"/>
    </row>
    <row r="14" spans="1:5" x14ac:dyDescent="0.55000000000000004">
      <c r="A14">
        <v>1921</v>
      </c>
      <c r="B14" s="21">
        <v>42.59</v>
      </c>
      <c r="C14" s="21">
        <v>27.24</v>
      </c>
      <c r="D14" s="21"/>
      <c r="E14" s="21"/>
    </row>
    <row r="15" spans="1:5" x14ac:dyDescent="0.55000000000000004">
      <c r="A15">
        <v>1922</v>
      </c>
      <c r="B15" s="21">
        <v>42.81</v>
      </c>
      <c r="C15" s="21">
        <v>27.52</v>
      </c>
      <c r="D15" s="21"/>
      <c r="E15" s="21"/>
    </row>
    <row r="16" spans="1:5" x14ac:dyDescent="0.55000000000000004">
      <c r="A16">
        <v>1923</v>
      </c>
      <c r="B16" s="21">
        <v>45.38</v>
      </c>
      <c r="C16" s="21">
        <v>27.7</v>
      </c>
      <c r="D16" s="21"/>
      <c r="E16" s="21"/>
    </row>
    <row r="17" spans="1:5" x14ac:dyDescent="0.55000000000000004">
      <c r="A17">
        <v>1924</v>
      </c>
      <c r="B17" s="21">
        <v>45.58</v>
      </c>
      <c r="C17" s="21">
        <v>27.7</v>
      </c>
      <c r="D17" s="21"/>
      <c r="E17" s="21"/>
    </row>
    <row r="18" spans="1:5" x14ac:dyDescent="0.55000000000000004">
      <c r="A18">
        <v>1925</v>
      </c>
      <c r="B18" s="21">
        <v>45.59</v>
      </c>
      <c r="C18" s="21">
        <v>29.31</v>
      </c>
      <c r="D18" s="21"/>
      <c r="E18" s="21"/>
    </row>
    <row r="19" spans="1:5" x14ac:dyDescent="0.55000000000000004">
      <c r="A19">
        <v>1926</v>
      </c>
      <c r="B19" s="21">
        <v>47.37</v>
      </c>
      <c r="C19" s="21">
        <v>32.31</v>
      </c>
      <c r="D19" s="21"/>
      <c r="E19" s="21"/>
    </row>
    <row r="20" spans="1:5" x14ac:dyDescent="0.55000000000000004">
      <c r="A20">
        <v>1927</v>
      </c>
      <c r="B20" s="21">
        <v>47.62</v>
      </c>
      <c r="C20" s="21">
        <v>32.92</v>
      </c>
      <c r="D20" s="21"/>
      <c r="E20" s="21"/>
    </row>
    <row r="21" spans="1:5" x14ac:dyDescent="0.55000000000000004">
      <c r="A21">
        <v>1928</v>
      </c>
      <c r="B21" s="21">
        <v>46.65</v>
      </c>
      <c r="C21" s="21">
        <v>26.31</v>
      </c>
      <c r="D21" s="21"/>
      <c r="E21" s="21"/>
    </row>
    <row r="22" spans="1:5" x14ac:dyDescent="0.55000000000000004">
      <c r="A22">
        <v>1929</v>
      </c>
      <c r="B22" s="21">
        <v>46.74</v>
      </c>
      <c r="C22" s="21">
        <v>31.18</v>
      </c>
      <c r="D22" s="21"/>
      <c r="E22" s="21"/>
    </row>
    <row r="23" spans="1:5" x14ac:dyDescent="0.55000000000000004">
      <c r="A23">
        <v>1930</v>
      </c>
      <c r="B23" s="21">
        <v>50.19</v>
      </c>
      <c r="C23" s="21">
        <v>31.8</v>
      </c>
      <c r="D23" s="21"/>
      <c r="E23" s="21"/>
    </row>
    <row r="24" spans="1:5" x14ac:dyDescent="0.55000000000000004">
      <c r="A24">
        <v>1931</v>
      </c>
      <c r="B24" s="21">
        <v>50.26</v>
      </c>
      <c r="C24" s="21">
        <v>27.95</v>
      </c>
      <c r="D24" s="21"/>
      <c r="E24" s="21"/>
    </row>
    <row r="25" spans="1:5" x14ac:dyDescent="0.55000000000000004">
      <c r="A25">
        <v>1932</v>
      </c>
      <c r="B25" s="21">
        <v>47.65</v>
      </c>
      <c r="C25" s="21">
        <v>26.51</v>
      </c>
      <c r="D25" s="21"/>
      <c r="E25" s="21"/>
    </row>
    <row r="26" spans="1:5" x14ac:dyDescent="0.55000000000000004">
      <c r="A26">
        <v>1933</v>
      </c>
      <c r="B26" s="21">
        <v>45.28</v>
      </c>
      <c r="C26" s="21">
        <v>25.7</v>
      </c>
      <c r="D26" s="21"/>
      <c r="E26" s="21"/>
    </row>
    <row r="27" spans="1:5" x14ac:dyDescent="0.55000000000000004">
      <c r="A27">
        <v>1934</v>
      </c>
      <c r="B27" s="21">
        <v>45.15</v>
      </c>
      <c r="C27" s="21">
        <v>27.61</v>
      </c>
      <c r="D27" s="21"/>
      <c r="E27" s="21"/>
    </row>
    <row r="28" spans="1:5" x14ac:dyDescent="0.55000000000000004">
      <c r="A28">
        <v>1935</v>
      </c>
      <c r="B28" s="21">
        <v>45.62</v>
      </c>
      <c r="C28" s="21">
        <v>23.44</v>
      </c>
      <c r="D28" s="21"/>
      <c r="E28" s="21"/>
    </row>
    <row r="29" spans="1:5" x14ac:dyDescent="0.55000000000000004">
      <c r="A29">
        <v>1936</v>
      </c>
      <c r="B29" s="21">
        <v>46.93</v>
      </c>
      <c r="C29" s="21">
        <v>31.12</v>
      </c>
      <c r="D29" s="21"/>
      <c r="E29" s="21"/>
    </row>
    <row r="30" spans="1:5" x14ac:dyDescent="0.55000000000000004">
      <c r="A30">
        <v>1937</v>
      </c>
      <c r="B30" s="21">
        <v>52.21</v>
      </c>
      <c r="C30" s="21">
        <v>35.57</v>
      </c>
      <c r="D30" s="21"/>
      <c r="E30" s="21"/>
    </row>
    <row r="31" spans="1:5" x14ac:dyDescent="0.55000000000000004">
      <c r="A31">
        <v>1938</v>
      </c>
      <c r="B31" s="21">
        <v>53.19</v>
      </c>
      <c r="C31" s="21">
        <v>31.41</v>
      </c>
      <c r="D31" s="21"/>
      <c r="E31" s="21"/>
    </row>
    <row r="32" spans="1:5" x14ac:dyDescent="0.55000000000000004">
      <c r="A32">
        <v>1939</v>
      </c>
      <c r="B32" s="21">
        <v>53.14</v>
      </c>
      <c r="C32" s="21">
        <v>29.04</v>
      </c>
      <c r="D32" s="21"/>
      <c r="E32" s="21"/>
    </row>
    <row r="33" spans="1:5" x14ac:dyDescent="0.55000000000000004">
      <c r="A33">
        <v>1940</v>
      </c>
      <c r="B33" s="21">
        <v>48.59</v>
      </c>
      <c r="C33" s="21">
        <v>29.84</v>
      </c>
      <c r="D33" s="21"/>
      <c r="E33" s="21"/>
    </row>
    <row r="34" spans="1:5" x14ac:dyDescent="0.55000000000000004">
      <c r="A34">
        <v>1941</v>
      </c>
      <c r="B34" s="21">
        <v>49.05</v>
      </c>
      <c r="C34" s="21">
        <v>31.32</v>
      </c>
      <c r="D34" s="21"/>
      <c r="E34" s="21"/>
    </row>
    <row r="35" spans="1:5" x14ac:dyDescent="0.55000000000000004">
      <c r="A35">
        <v>1942</v>
      </c>
      <c r="B35" s="21">
        <v>48.39</v>
      </c>
      <c r="C35" s="21">
        <v>31.21</v>
      </c>
      <c r="D35" s="21"/>
      <c r="E35" s="21"/>
    </row>
    <row r="36" spans="1:5" x14ac:dyDescent="0.55000000000000004">
      <c r="A36">
        <v>1943</v>
      </c>
      <c r="B36" s="21">
        <v>47.75</v>
      </c>
      <c r="C36" s="21">
        <v>38.07</v>
      </c>
      <c r="D36" s="21"/>
      <c r="E36" s="21"/>
    </row>
    <row r="37" spans="1:5" x14ac:dyDescent="0.55000000000000004">
      <c r="A37">
        <v>1944</v>
      </c>
      <c r="B37" s="21">
        <v>48.3</v>
      </c>
      <c r="C37" s="21">
        <v>32.92</v>
      </c>
      <c r="D37" s="21"/>
      <c r="E37" s="21"/>
    </row>
    <row r="38" spans="1:5" x14ac:dyDescent="0.55000000000000004">
      <c r="A38">
        <v>1945</v>
      </c>
      <c r="B38" s="21">
        <v>48.7</v>
      </c>
      <c r="C38" s="21">
        <v>32.53</v>
      </c>
      <c r="D38" s="21"/>
      <c r="E38" s="21"/>
    </row>
    <row r="39" spans="1:5" x14ac:dyDescent="0.55000000000000004">
      <c r="A39">
        <v>1946</v>
      </c>
      <c r="B39" s="21">
        <v>50.82</v>
      </c>
      <c r="C39" s="21">
        <v>32.590000000000003</v>
      </c>
      <c r="D39" s="21"/>
      <c r="E39" s="21"/>
    </row>
    <row r="40" spans="1:5" x14ac:dyDescent="0.55000000000000004">
      <c r="A40">
        <v>1947</v>
      </c>
      <c r="B40" s="21">
        <v>52.35</v>
      </c>
      <c r="C40" s="21">
        <v>25.98</v>
      </c>
      <c r="D40" s="21"/>
      <c r="E40" s="21"/>
    </row>
    <row r="41" spans="1:5" x14ac:dyDescent="0.55000000000000004">
      <c r="A41">
        <v>1948</v>
      </c>
      <c r="B41" s="21">
        <v>53.32</v>
      </c>
      <c r="C41" s="21">
        <v>29.38</v>
      </c>
      <c r="D41" s="21"/>
      <c r="E41" s="21"/>
    </row>
    <row r="42" spans="1:5" x14ac:dyDescent="0.55000000000000004">
      <c r="A42">
        <v>1949</v>
      </c>
      <c r="B42" s="21">
        <v>54.02</v>
      </c>
      <c r="C42" s="21">
        <v>28.31</v>
      </c>
      <c r="D42" s="21"/>
      <c r="E42" s="21"/>
    </row>
    <row r="43" spans="1:5" x14ac:dyDescent="0.55000000000000004">
      <c r="A43">
        <v>1950</v>
      </c>
      <c r="B43" s="21">
        <v>53</v>
      </c>
      <c r="C43" s="21">
        <v>25.58</v>
      </c>
      <c r="D43" s="3">
        <v>52.5</v>
      </c>
      <c r="E43" s="3">
        <v>25.7</v>
      </c>
    </row>
    <row r="44" spans="1:5" x14ac:dyDescent="0.55000000000000004">
      <c r="A44">
        <v>1951</v>
      </c>
      <c r="B44" s="21">
        <v>54.46</v>
      </c>
      <c r="C44" s="21">
        <v>25.65</v>
      </c>
      <c r="D44" s="3">
        <v>52.4</v>
      </c>
      <c r="E44" s="3">
        <v>25.1</v>
      </c>
    </row>
    <row r="45" spans="1:5" x14ac:dyDescent="0.55000000000000004">
      <c r="A45">
        <v>1952</v>
      </c>
      <c r="B45" s="21">
        <v>52.69</v>
      </c>
      <c r="C45" s="21">
        <v>21.4</v>
      </c>
      <c r="D45" s="3">
        <v>52.3</v>
      </c>
      <c r="E45" s="3">
        <v>24.6</v>
      </c>
    </row>
    <row r="46" spans="1:5" x14ac:dyDescent="0.55000000000000004">
      <c r="A46">
        <v>1953</v>
      </c>
      <c r="B46" s="21">
        <v>55.22</v>
      </c>
      <c r="C46" s="21">
        <v>22.58</v>
      </c>
      <c r="D46" s="3">
        <v>52.1</v>
      </c>
      <c r="E46" s="3">
        <v>24</v>
      </c>
    </row>
    <row r="47" spans="1:5" x14ac:dyDescent="0.55000000000000004">
      <c r="A47">
        <v>1954</v>
      </c>
      <c r="B47" s="21">
        <v>54.92</v>
      </c>
      <c r="C47" s="21">
        <v>21.61</v>
      </c>
      <c r="D47" s="3">
        <v>51.9</v>
      </c>
      <c r="E47" s="3">
        <v>23.4</v>
      </c>
    </row>
    <row r="48" spans="1:5" x14ac:dyDescent="0.55000000000000004">
      <c r="A48">
        <v>1955</v>
      </c>
      <c r="B48" s="21">
        <v>54.58</v>
      </c>
      <c r="C48" s="21">
        <v>21.97</v>
      </c>
      <c r="D48" s="3">
        <v>51.6</v>
      </c>
      <c r="E48" s="3">
        <v>22.7</v>
      </c>
    </row>
    <row r="49" spans="1:5" x14ac:dyDescent="0.55000000000000004">
      <c r="A49">
        <v>1956</v>
      </c>
      <c r="B49" s="21">
        <v>51.61</v>
      </c>
      <c r="C49" s="21">
        <v>20.43</v>
      </c>
      <c r="D49" s="3">
        <v>51.2</v>
      </c>
      <c r="E49" s="3">
        <v>22</v>
      </c>
    </row>
    <row r="50" spans="1:5" x14ac:dyDescent="0.55000000000000004">
      <c r="A50">
        <v>1957</v>
      </c>
      <c r="B50" s="21">
        <v>54.62</v>
      </c>
      <c r="C50" s="21">
        <v>20.98</v>
      </c>
      <c r="D50" s="3">
        <v>50.8</v>
      </c>
      <c r="E50" s="3">
        <v>21.3</v>
      </c>
    </row>
    <row r="51" spans="1:5" x14ac:dyDescent="0.55000000000000004">
      <c r="A51">
        <v>1958</v>
      </c>
      <c r="B51" s="21">
        <v>54.37</v>
      </c>
      <c r="C51" s="21">
        <v>22.31</v>
      </c>
      <c r="D51" s="3">
        <v>50.4</v>
      </c>
      <c r="E51" s="3">
        <v>20.6</v>
      </c>
    </row>
    <row r="52" spans="1:5" x14ac:dyDescent="0.55000000000000004">
      <c r="A52">
        <v>1959</v>
      </c>
      <c r="B52" s="21">
        <v>52.86</v>
      </c>
      <c r="C52" s="21">
        <v>18.98</v>
      </c>
      <c r="D52" s="3">
        <v>49.9</v>
      </c>
      <c r="E52" s="3">
        <v>19.8</v>
      </c>
    </row>
    <row r="53" spans="1:5" x14ac:dyDescent="0.55000000000000004">
      <c r="A53">
        <v>1960</v>
      </c>
      <c r="B53" s="21">
        <v>50.61</v>
      </c>
      <c r="C53" s="21">
        <v>19.12</v>
      </c>
      <c r="D53" s="3">
        <v>49.4</v>
      </c>
      <c r="E53" s="3">
        <v>19.100000000000001</v>
      </c>
    </row>
    <row r="54" spans="1:5" x14ac:dyDescent="0.55000000000000004">
      <c r="A54">
        <v>1961</v>
      </c>
      <c r="B54" s="21">
        <v>51.21</v>
      </c>
      <c r="C54" s="21">
        <v>18.559999999999999</v>
      </c>
      <c r="D54" s="3">
        <v>49</v>
      </c>
      <c r="E54" s="3">
        <v>18.5</v>
      </c>
    </row>
    <row r="55" spans="1:5" x14ac:dyDescent="0.55000000000000004">
      <c r="A55">
        <v>1962</v>
      </c>
      <c r="B55" s="21">
        <v>53.17</v>
      </c>
      <c r="C55" s="21">
        <v>18.559999999999999</v>
      </c>
      <c r="D55" s="3">
        <v>48.6</v>
      </c>
      <c r="E55" s="3">
        <v>17.7</v>
      </c>
    </row>
    <row r="56" spans="1:5" x14ac:dyDescent="0.55000000000000004">
      <c r="A56">
        <v>1963</v>
      </c>
      <c r="B56" s="21">
        <v>52.19</v>
      </c>
      <c r="C56" s="21">
        <v>18.75</v>
      </c>
      <c r="D56" s="3">
        <v>48.2</v>
      </c>
      <c r="E56" s="3">
        <v>17.100000000000001</v>
      </c>
    </row>
    <row r="57" spans="1:5" x14ac:dyDescent="0.55000000000000004">
      <c r="A57">
        <v>1964</v>
      </c>
      <c r="B57" s="21">
        <v>54.16</v>
      </c>
      <c r="C57" s="21">
        <v>17.649999999999999</v>
      </c>
      <c r="D57" s="3">
        <v>47.9</v>
      </c>
      <c r="E57" s="3">
        <v>16.399999999999999</v>
      </c>
    </row>
    <row r="58" spans="1:5" x14ac:dyDescent="0.55000000000000004">
      <c r="A58">
        <v>1965</v>
      </c>
      <c r="B58" s="21">
        <v>51.86</v>
      </c>
      <c r="C58" s="21">
        <v>16.309999999999999</v>
      </c>
      <c r="D58" s="3">
        <v>47.7</v>
      </c>
      <c r="E58" s="3">
        <v>15.9</v>
      </c>
    </row>
    <row r="59" spans="1:5" x14ac:dyDescent="0.55000000000000004">
      <c r="A59">
        <v>1966</v>
      </c>
      <c r="B59" s="21">
        <v>50.56</v>
      </c>
      <c r="C59" s="21">
        <v>16.48</v>
      </c>
      <c r="D59" s="3">
        <v>47.3</v>
      </c>
      <c r="E59" s="3">
        <v>15.3</v>
      </c>
    </row>
    <row r="60" spans="1:5" x14ac:dyDescent="0.55000000000000004">
      <c r="A60">
        <v>1967</v>
      </c>
      <c r="B60" s="21">
        <v>50.31</v>
      </c>
      <c r="C60" s="21">
        <v>15.37</v>
      </c>
      <c r="D60" s="3">
        <v>46.9</v>
      </c>
      <c r="E60" s="3">
        <v>14.7</v>
      </c>
    </row>
    <row r="61" spans="1:5" x14ac:dyDescent="0.55000000000000004">
      <c r="A61">
        <v>1968</v>
      </c>
      <c r="B61" s="21">
        <v>51.11</v>
      </c>
      <c r="C61" s="21">
        <v>15.63</v>
      </c>
      <c r="D61" s="3">
        <v>46.6</v>
      </c>
      <c r="E61" s="3">
        <v>14.2</v>
      </c>
    </row>
    <row r="62" spans="1:5" x14ac:dyDescent="0.55000000000000004">
      <c r="A62">
        <v>1969</v>
      </c>
      <c r="B62" s="21">
        <v>50.08</v>
      </c>
      <c r="C62" s="21">
        <v>16.55</v>
      </c>
      <c r="D62" s="3">
        <v>46.4</v>
      </c>
      <c r="E62" s="3">
        <v>13.7</v>
      </c>
    </row>
    <row r="63" spans="1:5" x14ac:dyDescent="0.55000000000000004">
      <c r="A63">
        <v>1970</v>
      </c>
      <c r="B63" s="21">
        <v>47.75</v>
      </c>
      <c r="C63" s="21">
        <v>13.76</v>
      </c>
      <c r="D63" s="3">
        <v>46.3</v>
      </c>
      <c r="E63" s="3">
        <v>13.2</v>
      </c>
    </row>
    <row r="64" spans="1:5" x14ac:dyDescent="0.55000000000000004">
      <c r="A64">
        <v>1971</v>
      </c>
      <c r="B64" s="21">
        <v>50.8</v>
      </c>
      <c r="C64" s="21">
        <v>13.43</v>
      </c>
      <c r="D64" s="3">
        <v>46.2</v>
      </c>
      <c r="E64" s="3">
        <v>12.8</v>
      </c>
    </row>
    <row r="65" spans="1:5" x14ac:dyDescent="0.55000000000000004">
      <c r="A65">
        <v>1972</v>
      </c>
      <c r="B65" s="21">
        <v>51.15</v>
      </c>
      <c r="C65" s="21">
        <v>13.72</v>
      </c>
      <c r="D65" s="3">
        <v>46.1</v>
      </c>
      <c r="E65" s="3">
        <v>12.4</v>
      </c>
    </row>
    <row r="66" spans="1:5" x14ac:dyDescent="0.55000000000000004">
      <c r="A66">
        <v>1973</v>
      </c>
      <c r="B66" s="21">
        <v>49.05</v>
      </c>
      <c r="C66" s="21">
        <v>12.89</v>
      </c>
      <c r="D66" s="3">
        <v>45.9</v>
      </c>
      <c r="E66" s="3">
        <v>12.9</v>
      </c>
    </row>
    <row r="67" spans="1:5" x14ac:dyDescent="0.55000000000000004">
      <c r="A67">
        <v>1974</v>
      </c>
      <c r="B67" s="21">
        <v>49.41</v>
      </c>
      <c r="C67" s="21">
        <v>11.5</v>
      </c>
      <c r="D67" s="3">
        <v>45.8</v>
      </c>
      <c r="E67" s="3">
        <v>14.2</v>
      </c>
    </row>
    <row r="68" spans="1:5" x14ac:dyDescent="0.55000000000000004">
      <c r="A68">
        <v>1975</v>
      </c>
      <c r="B68" s="21">
        <v>43.91</v>
      </c>
      <c r="C68" s="21">
        <v>12.3</v>
      </c>
      <c r="D68" s="3">
        <v>46</v>
      </c>
      <c r="E68" s="3">
        <v>11.1</v>
      </c>
    </row>
    <row r="69" spans="1:5" x14ac:dyDescent="0.55000000000000004">
      <c r="A69">
        <v>1976</v>
      </c>
      <c r="B69" s="21">
        <v>45.45</v>
      </c>
      <c r="C69" s="21">
        <v>11.25</v>
      </c>
      <c r="D69" s="3">
        <v>46</v>
      </c>
      <c r="E69" s="3">
        <v>10.9</v>
      </c>
    </row>
    <row r="70" spans="1:5" x14ac:dyDescent="0.55000000000000004">
      <c r="A70">
        <v>1977</v>
      </c>
      <c r="B70" s="21">
        <v>46.3</v>
      </c>
      <c r="C70" s="21">
        <v>11.12</v>
      </c>
      <c r="D70" s="3">
        <v>45.7</v>
      </c>
      <c r="E70" s="3">
        <v>10.6</v>
      </c>
    </row>
    <row r="71" spans="1:5" x14ac:dyDescent="0.55000000000000004">
      <c r="A71">
        <v>1978</v>
      </c>
      <c r="B71" s="21">
        <v>44.76</v>
      </c>
      <c r="C71" s="21">
        <v>10.49</v>
      </c>
      <c r="D71" s="3">
        <v>45.3</v>
      </c>
      <c r="E71" s="3">
        <v>10.3</v>
      </c>
    </row>
    <row r="72" spans="1:5" x14ac:dyDescent="0.55000000000000004">
      <c r="A72">
        <v>1979</v>
      </c>
      <c r="B72" s="21">
        <v>46.79</v>
      </c>
      <c r="C72" s="21">
        <v>10.38</v>
      </c>
      <c r="D72" s="3">
        <v>44.9</v>
      </c>
      <c r="E72" s="3">
        <v>10</v>
      </c>
    </row>
    <row r="73" spans="1:5" x14ac:dyDescent="0.55000000000000004">
      <c r="A73">
        <v>1980</v>
      </c>
      <c r="B73" s="21">
        <v>44.7</v>
      </c>
      <c r="C73" s="21">
        <v>9.2899999999999991</v>
      </c>
      <c r="D73" s="3">
        <v>44.3</v>
      </c>
      <c r="E73" s="3">
        <v>9.6999999999999993</v>
      </c>
    </row>
    <row r="74" spans="1:5" x14ac:dyDescent="0.55000000000000004">
      <c r="A74">
        <v>1981</v>
      </c>
      <c r="B74" s="21">
        <v>44.66</v>
      </c>
      <c r="C74" s="21">
        <v>8.98</v>
      </c>
      <c r="D74" s="3">
        <v>43.7</v>
      </c>
      <c r="E74" s="3">
        <v>9.4</v>
      </c>
    </row>
    <row r="75" spans="1:5" x14ac:dyDescent="0.55000000000000004">
      <c r="A75">
        <v>1982</v>
      </c>
      <c r="B75" s="21">
        <v>43.36</v>
      </c>
      <c r="C75" s="21">
        <v>8.77</v>
      </c>
      <c r="D75" s="3">
        <v>43.1</v>
      </c>
      <c r="E75" s="3">
        <v>9.1</v>
      </c>
    </row>
    <row r="76" spans="1:5" x14ac:dyDescent="0.55000000000000004">
      <c r="A76">
        <v>1983</v>
      </c>
      <c r="B76" s="21">
        <v>41.13</v>
      </c>
      <c r="C76" s="21">
        <v>8.86</v>
      </c>
      <c r="D76" s="3">
        <v>42.4</v>
      </c>
      <c r="E76" s="3">
        <v>8.6999999999999993</v>
      </c>
    </row>
    <row r="77" spans="1:5" x14ac:dyDescent="0.55000000000000004">
      <c r="A77">
        <v>1984</v>
      </c>
      <c r="B77" s="21">
        <v>40.31</v>
      </c>
      <c r="C77" s="21">
        <v>8.4600000000000009</v>
      </c>
      <c r="D77" s="3">
        <v>41.8</v>
      </c>
      <c r="E77" s="3">
        <v>8.5</v>
      </c>
    </row>
    <row r="78" spans="1:5" x14ac:dyDescent="0.55000000000000004">
      <c r="A78">
        <v>1985</v>
      </c>
      <c r="B78" s="21"/>
      <c r="C78" s="21"/>
      <c r="D78" s="3">
        <v>41.1</v>
      </c>
      <c r="E78" s="3">
        <v>8.1999999999999993</v>
      </c>
    </row>
    <row r="79" spans="1:5" x14ac:dyDescent="0.55000000000000004">
      <c r="A79">
        <v>1986</v>
      </c>
      <c r="B79" s="21"/>
      <c r="C79" s="21"/>
      <c r="D79" s="3">
        <v>40.5</v>
      </c>
      <c r="E79" s="3">
        <v>8</v>
      </c>
    </row>
    <row r="80" spans="1:5" x14ac:dyDescent="0.55000000000000004">
      <c r="A80">
        <v>1987</v>
      </c>
      <c r="B80" s="21"/>
      <c r="C80" s="21"/>
      <c r="D80" s="3">
        <v>39.9</v>
      </c>
      <c r="E80" s="3">
        <v>7.8</v>
      </c>
    </row>
    <row r="81" spans="1:5" x14ac:dyDescent="0.55000000000000004">
      <c r="A81">
        <v>1988</v>
      </c>
      <c r="B81" s="21"/>
      <c r="C81" s="21"/>
      <c r="D81" s="3">
        <v>39.299999999999997</v>
      </c>
      <c r="E81" s="3">
        <v>7.6</v>
      </c>
    </row>
    <row r="82" spans="1:5" x14ac:dyDescent="0.55000000000000004">
      <c r="A82">
        <v>1989</v>
      </c>
      <c r="B82" s="21"/>
      <c r="C82" s="21"/>
      <c r="D82" s="3">
        <v>38.799999999999997</v>
      </c>
      <c r="E82" s="3">
        <v>7.3</v>
      </c>
    </row>
    <row r="83" spans="1:5" x14ac:dyDescent="0.55000000000000004">
      <c r="A83">
        <v>1990</v>
      </c>
      <c r="B83" s="21"/>
      <c r="C83" s="21"/>
      <c r="D83" s="3">
        <v>38.5</v>
      </c>
      <c r="E83" s="3">
        <v>7</v>
      </c>
    </row>
    <row r="84" spans="1:5" x14ac:dyDescent="0.55000000000000004">
      <c r="A84">
        <v>1991</v>
      </c>
      <c r="B84" s="21"/>
      <c r="C84" s="21"/>
      <c r="D84" s="3">
        <v>38.200000000000003</v>
      </c>
      <c r="E84" s="3">
        <v>6.8</v>
      </c>
    </row>
    <row r="85" spans="1:5" x14ac:dyDescent="0.55000000000000004">
      <c r="A85">
        <v>1992</v>
      </c>
      <c r="B85" s="21"/>
      <c r="C85" s="21"/>
      <c r="D85" s="3">
        <v>37.9</v>
      </c>
      <c r="E85" s="3">
        <v>6.6</v>
      </c>
    </row>
    <row r="86" spans="1:5" x14ac:dyDescent="0.55000000000000004">
      <c r="A86">
        <v>1993</v>
      </c>
      <c r="B86" s="21"/>
      <c r="C86" s="21"/>
      <c r="D86" s="3">
        <v>37.700000000000003</v>
      </c>
      <c r="E86" s="3">
        <v>6.4</v>
      </c>
    </row>
    <row r="87" spans="1:5" x14ac:dyDescent="0.55000000000000004">
      <c r="A87">
        <v>1994</v>
      </c>
      <c r="B87" s="21"/>
      <c r="C87" s="21"/>
      <c r="D87" s="3">
        <v>37.299999999999997</v>
      </c>
      <c r="E87" s="3">
        <v>6.2</v>
      </c>
    </row>
    <row r="88" spans="1:5" x14ac:dyDescent="0.55000000000000004">
      <c r="A88">
        <v>1995</v>
      </c>
      <c r="B88" s="21"/>
      <c r="C88" s="21"/>
      <c r="D88" s="3">
        <v>36.9</v>
      </c>
      <c r="E88" s="3">
        <v>6</v>
      </c>
    </row>
    <row r="89" spans="1:5" x14ac:dyDescent="0.55000000000000004">
      <c r="A89">
        <v>1996</v>
      </c>
      <c r="B89" s="21"/>
      <c r="C89" s="21"/>
      <c r="D89" s="3">
        <v>36.299999999999997</v>
      </c>
      <c r="E89" s="3">
        <v>5.8</v>
      </c>
    </row>
    <row r="90" spans="1:5" x14ac:dyDescent="0.55000000000000004">
      <c r="A90">
        <v>1997</v>
      </c>
      <c r="B90" s="21"/>
      <c r="C90" s="21"/>
      <c r="D90" s="3">
        <v>35.700000000000003</v>
      </c>
      <c r="E90" s="3">
        <v>5.6</v>
      </c>
    </row>
    <row r="91" spans="1:5" x14ac:dyDescent="0.55000000000000004">
      <c r="A91">
        <f>A90+1</f>
        <v>1998</v>
      </c>
      <c r="B91" s="21"/>
      <c r="C91" s="21"/>
      <c r="D91" s="3">
        <v>35.1</v>
      </c>
      <c r="E91" s="3">
        <v>7.9</v>
      </c>
    </row>
    <row r="92" spans="1:5" x14ac:dyDescent="0.55000000000000004">
      <c r="A92">
        <f t="shared" ref="A92:A116" si="0">A91+1</f>
        <v>1999</v>
      </c>
      <c r="B92" s="21"/>
      <c r="C92" s="21"/>
      <c r="D92" s="3">
        <v>34.6</v>
      </c>
      <c r="E92" s="3">
        <v>5.4</v>
      </c>
    </row>
    <row r="93" spans="1:5" x14ac:dyDescent="0.55000000000000004">
      <c r="A93">
        <f t="shared" si="0"/>
        <v>2000</v>
      </c>
      <c r="B93" s="21"/>
      <c r="C93" s="21"/>
      <c r="D93" s="3">
        <v>34.200000000000003</v>
      </c>
      <c r="E93" s="3">
        <v>5.2</v>
      </c>
    </row>
    <row r="94" spans="1:5" x14ac:dyDescent="0.55000000000000004">
      <c r="A94">
        <f t="shared" si="0"/>
        <v>2001</v>
      </c>
      <c r="B94" s="21"/>
      <c r="C94" s="21"/>
      <c r="D94" s="3">
        <v>33.4</v>
      </c>
      <c r="E94" s="3">
        <v>5.0999999999999996</v>
      </c>
    </row>
    <row r="95" spans="1:5" x14ac:dyDescent="0.55000000000000004">
      <c r="A95">
        <f t="shared" si="0"/>
        <v>2002</v>
      </c>
      <c r="B95" s="21"/>
      <c r="C95" s="21"/>
      <c r="D95" s="3">
        <v>32.4</v>
      </c>
      <c r="E95" s="3">
        <v>5</v>
      </c>
    </row>
    <row r="96" spans="1:5" x14ac:dyDescent="0.55000000000000004">
      <c r="A96">
        <f t="shared" si="0"/>
        <v>2003</v>
      </c>
      <c r="B96" s="21"/>
      <c r="C96" s="21"/>
      <c r="D96" s="3">
        <v>31.4</v>
      </c>
      <c r="E96" s="3">
        <v>5</v>
      </c>
    </row>
    <row r="97" spans="1:5" x14ac:dyDescent="0.55000000000000004">
      <c r="A97">
        <f t="shared" si="0"/>
        <v>2004</v>
      </c>
      <c r="B97" s="21"/>
      <c r="C97" s="21"/>
      <c r="D97" s="3">
        <v>30.5</v>
      </c>
      <c r="E97" s="3">
        <v>4.9000000000000004</v>
      </c>
    </row>
    <row r="98" spans="1:5" x14ac:dyDescent="0.55000000000000004">
      <c r="A98">
        <f t="shared" si="0"/>
        <v>2005</v>
      </c>
      <c r="B98" s="21"/>
      <c r="C98" s="21"/>
      <c r="D98" s="3">
        <v>29.6</v>
      </c>
      <c r="E98" s="3">
        <v>4.8</v>
      </c>
    </row>
    <row r="99" spans="1:5" x14ac:dyDescent="0.55000000000000004">
      <c r="A99">
        <f t="shared" si="0"/>
        <v>2006</v>
      </c>
      <c r="B99" s="21"/>
      <c r="C99" s="21"/>
      <c r="D99" s="3">
        <v>28.7</v>
      </c>
      <c r="E99" s="3">
        <v>4.8</v>
      </c>
    </row>
    <row r="100" spans="1:5" x14ac:dyDescent="0.55000000000000004">
      <c r="A100">
        <f t="shared" si="0"/>
        <v>2007</v>
      </c>
      <c r="B100" s="21"/>
      <c r="C100" s="21"/>
      <c r="D100" s="3">
        <v>28.1</v>
      </c>
      <c r="E100" s="3">
        <v>4.8</v>
      </c>
    </row>
    <row r="101" spans="1:5" x14ac:dyDescent="0.55000000000000004">
      <c r="A101">
        <f t="shared" si="0"/>
        <v>2008</v>
      </c>
      <c r="B101" s="21"/>
      <c r="C101" s="21"/>
      <c r="D101" s="3">
        <v>27.5</v>
      </c>
      <c r="E101" s="3">
        <v>4.7</v>
      </c>
    </row>
    <row r="102" spans="1:5" x14ac:dyDescent="0.55000000000000004">
      <c r="A102">
        <f t="shared" si="0"/>
        <v>2009</v>
      </c>
      <c r="B102" s="21"/>
      <c r="C102" s="21"/>
      <c r="D102" s="3">
        <v>27</v>
      </c>
      <c r="E102" s="3">
        <v>4.7</v>
      </c>
    </row>
    <row r="103" spans="1:5" x14ac:dyDescent="0.55000000000000004">
      <c r="A103">
        <f t="shared" si="0"/>
        <v>2010</v>
      </c>
      <c r="B103" s="21"/>
      <c r="C103" s="21"/>
      <c r="D103" s="3">
        <v>26.3</v>
      </c>
      <c r="E103" s="3">
        <v>4.8</v>
      </c>
    </row>
    <row r="104" spans="1:5" x14ac:dyDescent="0.55000000000000004">
      <c r="A104">
        <f t="shared" si="0"/>
        <v>2011</v>
      </c>
      <c r="B104" s="21"/>
      <c r="C104" s="21"/>
      <c r="D104" s="3">
        <v>25.8</v>
      </c>
      <c r="E104" s="3">
        <v>4.7</v>
      </c>
    </row>
    <row r="105" spans="1:5" x14ac:dyDescent="0.55000000000000004">
      <c r="A105">
        <f t="shared" si="0"/>
        <v>2012</v>
      </c>
      <c r="B105" s="21"/>
      <c r="C105" s="21"/>
      <c r="D105" s="3">
        <v>25.3</v>
      </c>
      <c r="E105" s="3">
        <v>4.5999999999999996</v>
      </c>
    </row>
    <row r="106" spans="1:5" x14ac:dyDescent="0.55000000000000004">
      <c r="A106">
        <f t="shared" si="0"/>
        <v>2013</v>
      </c>
      <c r="B106" s="21"/>
      <c r="C106" s="21"/>
      <c r="D106" s="3">
        <v>24.8</v>
      </c>
      <c r="E106" s="3">
        <v>4.5999999999999996</v>
      </c>
    </row>
    <row r="107" spans="1:5" x14ac:dyDescent="0.55000000000000004">
      <c r="A107">
        <f t="shared" si="0"/>
        <v>2014</v>
      </c>
      <c r="B107" s="21"/>
      <c r="C107" s="21"/>
      <c r="D107" s="3">
        <v>24.4</v>
      </c>
      <c r="E107" s="3">
        <v>4.5</v>
      </c>
    </row>
    <row r="108" spans="1:5" x14ac:dyDescent="0.55000000000000004">
      <c r="A108">
        <f t="shared" si="0"/>
        <v>2015</v>
      </c>
      <c r="B108" s="21"/>
      <c r="C108" s="21"/>
      <c r="D108" s="3">
        <v>24.1</v>
      </c>
      <c r="E108" s="3">
        <v>4.5</v>
      </c>
    </row>
    <row r="109" spans="1:5" x14ac:dyDescent="0.55000000000000004">
      <c r="A109">
        <f t="shared" si="0"/>
        <v>2016</v>
      </c>
      <c r="B109" s="21"/>
      <c r="C109" s="21"/>
      <c r="D109" s="3">
        <v>23.8</v>
      </c>
      <c r="E109" s="3">
        <v>4.4000000000000004</v>
      </c>
    </row>
    <row r="110" spans="1:5" x14ac:dyDescent="0.55000000000000004">
      <c r="A110">
        <f t="shared" si="0"/>
        <v>2017</v>
      </c>
      <c r="B110" s="21"/>
      <c r="C110" s="21"/>
      <c r="D110" s="3">
        <v>23.5</v>
      </c>
      <c r="E110" s="3">
        <v>4.4000000000000004</v>
      </c>
    </row>
    <row r="111" spans="1:5" x14ac:dyDescent="0.55000000000000004">
      <c r="A111">
        <f t="shared" si="0"/>
        <v>2018</v>
      </c>
      <c r="B111" s="21"/>
      <c r="C111" s="21"/>
      <c r="D111" s="3">
        <v>23.4</v>
      </c>
      <c r="E111" s="3">
        <v>4.5</v>
      </c>
    </row>
    <row r="112" spans="1:5" x14ac:dyDescent="0.55000000000000004">
      <c r="A112">
        <f t="shared" si="0"/>
        <v>2019</v>
      </c>
      <c r="B112" s="21"/>
      <c r="C112" s="21"/>
      <c r="D112" s="3">
        <v>23.1</v>
      </c>
      <c r="E112" s="3">
        <v>4.5</v>
      </c>
    </row>
    <row r="113" spans="1:5" x14ac:dyDescent="0.55000000000000004">
      <c r="A113">
        <f t="shared" si="0"/>
        <v>2020</v>
      </c>
      <c r="B113" s="21"/>
      <c r="C113" s="21"/>
      <c r="D113" s="3">
        <v>22.8</v>
      </c>
      <c r="E113" s="3">
        <v>5.0999999999999996</v>
      </c>
    </row>
    <row r="114" spans="1:5" x14ac:dyDescent="0.55000000000000004">
      <c r="A114">
        <f t="shared" si="0"/>
        <v>2021</v>
      </c>
      <c r="B114" s="21"/>
      <c r="C114" s="21"/>
      <c r="D114" s="3">
        <v>22.5</v>
      </c>
      <c r="E114" s="3">
        <v>5.7</v>
      </c>
    </row>
    <row r="115" spans="1:5" x14ac:dyDescent="0.55000000000000004">
      <c r="A115">
        <f t="shared" si="0"/>
        <v>2022</v>
      </c>
      <c r="B115" s="21"/>
      <c r="C115" s="21"/>
      <c r="D115" s="3">
        <v>22.2</v>
      </c>
      <c r="E115" s="3">
        <v>4.4000000000000004</v>
      </c>
    </row>
    <row r="116" spans="1:5" x14ac:dyDescent="0.55000000000000004">
      <c r="A116">
        <f t="shared" si="0"/>
        <v>2023</v>
      </c>
      <c r="B116" s="21"/>
      <c r="C116" s="21"/>
      <c r="D116" s="3">
        <v>22</v>
      </c>
      <c r="E116" s="3">
        <v>4.5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31" t="s">
        <v>90</v>
      </c>
      <c r="C1" s="31"/>
      <c r="D1" s="31"/>
      <c r="E1" s="31"/>
      <c r="I1" s="31" t="s">
        <v>89</v>
      </c>
      <c r="J1" s="31"/>
      <c r="K1" s="31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354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355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356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357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358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359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360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361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362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363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364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365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366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367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368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369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81" activePane="bottomRight" state="frozen"/>
      <selection pane="topRight" activeCell="B1" sqref="B1"/>
      <selection pane="bottomLeft" activeCell="A3" sqref="A3"/>
      <selection pane="bottomRight" activeCell="D91" sqref="D91:E16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E253"/>
  <sheetViews>
    <sheetView workbookViewId="0">
      <selection activeCell="AB14" sqref="AB14"/>
    </sheetView>
  </sheetViews>
  <sheetFormatPr defaultRowHeight="14.4" x14ac:dyDescent="0.55000000000000004"/>
  <sheetData>
    <row r="1" spans="1:5" x14ac:dyDescent="0.55000000000000004">
      <c r="A1" s="1"/>
      <c r="B1" s="28" t="s">
        <v>115</v>
      </c>
      <c r="C1" s="28"/>
      <c r="D1" s="28" t="s">
        <v>75</v>
      </c>
      <c r="E1" s="28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1880</v>
      </c>
      <c r="B3" s="21">
        <v>41.32</v>
      </c>
      <c r="C3" s="21">
        <v>25.47</v>
      </c>
      <c r="D3" s="21"/>
      <c r="E3" s="21"/>
    </row>
    <row r="4" spans="1:5" x14ac:dyDescent="0.55000000000000004">
      <c r="A4">
        <v>1881</v>
      </c>
      <c r="B4" s="21">
        <v>41.03</v>
      </c>
      <c r="C4" s="21">
        <v>19.190000000000001</v>
      </c>
      <c r="D4" s="21"/>
      <c r="E4" s="21"/>
    </row>
    <row r="5" spans="1:5" x14ac:dyDescent="0.55000000000000004">
      <c r="A5">
        <v>1882</v>
      </c>
      <c r="B5" s="21">
        <v>40.07</v>
      </c>
      <c r="C5" s="21">
        <v>18.84</v>
      </c>
      <c r="D5" s="21"/>
      <c r="E5" s="21"/>
    </row>
    <row r="6" spans="1:5" x14ac:dyDescent="0.55000000000000004">
      <c r="A6">
        <v>1883</v>
      </c>
      <c r="B6" s="21">
        <v>40.700000000000003</v>
      </c>
      <c r="C6" s="21">
        <v>17.96</v>
      </c>
      <c r="D6" s="21"/>
      <c r="E6" s="21"/>
    </row>
    <row r="7" spans="1:5" x14ac:dyDescent="0.55000000000000004">
      <c r="A7">
        <v>1884</v>
      </c>
      <c r="B7" s="21">
        <v>40.42</v>
      </c>
      <c r="C7" s="21">
        <v>18.440000000000001</v>
      </c>
      <c r="D7" s="21"/>
      <c r="E7" s="21"/>
    </row>
    <row r="8" spans="1:5" x14ac:dyDescent="0.55000000000000004">
      <c r="A8">
        <v>1885</v>
      </c>
      <c r="B8" s="21">
        <v>41.02</v>
      </c>
      <c r="C8" s="21">
        <v>18.57</v>
      </c>
      <c r="D8" s="21"/>
      <c r="E8" s="21"/>
    </row>
    <row r="9" spans="1:5" x14ac:dyDescent="0.55000000000000004">
      <c r="A9">
        <v>1886</v>
      </c>
      <c r="B9" s="21">
        <v>40.020000000000003</v>
      </c>
      <c r="C9" s="21">
        <v>19.96</v>
      </c>
      <c r="D9" s="21"/>
      <c r="E9" s="21"/>
    </row>
    <row r="10" spans="1:5" x14ac:dyDescent="0.55000000000000004">
      <c r="A10">
        <v>1887</v>
      </c>
      <c r="B10" s="21">
        <v>40.450000000000003</v>
      </c>
      <c r="C10" s="21">
        <v>20.420000000000002</v>
      </c>
      <c r="D10" s="21"/>
      <c r="E10" s="21"/>
    </row>
    <row r="11" spans="1:5" x14ac:dyDescent="0.55000000000000004">
      <c r="A11">
        <v>1888</v>
      </c>
      <c r="B11" s="21">
        <v>42.02</v>
      </c>
      <c r="C11" s="21">
        <v>22.42</v>
      </c>
      <c r="D11" s="21"/>
      <c r="E11" s="21"/>
    </row>
    <row r="12" spans="1:5" x14ac:dyDescent="0.55000000000000004">
      <c r="A12">
        <v>1889</v>
      </c>
      <c r="B12" s="21">
        <v>40.83</v>
      </c>
      <c r="C12" s="21">
        <v>22.56</v>
      </c>
      <c r="D12" s="21"/>
      <c r="E12" s="21"/>
    </row>
    <row r="13" spans="1:5" x14ac:dyDescent="0.55000000000000004">
      <c r="A13">
        <v>1890</v>
      </c>
      <c r="B13" s="21">
        <v>41.24</v>
      </c>
      <c r="C13" s="21">
        <v>23.2</v>
      </c>
      <c r="D13" s="21"/>
      <c r="E13" s="21"/>
    </row>
    <row r="14" spans="1:5" x14ac:dyDescent="0.55000000000000004">
      <c r="A14">
        <v>1891</v>
      </c>
      <c r="B14" s="21">
        <v>42.37</v>
      </c>
      <c r="C14" s="21">
        <v>35.659999999999997</v>
      </c>
      <c r="D14" s="21"/>
      <c r="E14" s="21"/>
    </row>
    <row r="15" spans="1:5" x14ac:dyDescent="0.55000000000000004">
      <c r="A15">
        <v>1892</v>
      </c>
      <c r="B15" s="21">
        <v>44.48</v>
      </c>
      <c r="C15" s="21">
        <v>23.61</v>
      </c>
      <c r="D15" s="21"/>
      <c r="E15" s="21"/>
    </row>
    <row r="16" spans="1:5" x14ac:dyDescent="0.55000000000000004">
      <c r="A16">
        <v>1893</v>
      </c>
      <c r="B16" s="21">
        <v>42.28</v>
      </c>
      <c r="C16" s="21">
        <v>26.61</v>
      </c>
      <c r="D16" s="21"/>
      <c r="E16" s="21"/>
    </row>
    <row r="17" spans="1:5" x14ac:dyDescent="0.55000000000000004">
      <c r="A17">
        <v>1894</v>
      </c>
      <c r="B17" s="21">
        <v>42.36</v>
      </c>
      <c r="C17" s="21">
        <v>23.26</v>
      </c>
      <c r="D17" s="21"/>
      <c r="E17" s="21"/>
    </row>
    <row r="18" spans="1:5" x14ac:dyDescent="0.55000000000000004">
      <c r="A18">
        <v>1895</v>
      </c>
      <c r="B18" s="21">
        <v>43.67</v>
      </c>
      <c r="C18" s="21">
        <v>23.65</v>
      </c>
      <c r="D18" s="21"/>
      <c r="E18" s="21"/>
    </row>
    <row r="19" spans="1:5" x14ac:dyDescent="0.55000000000000004">
      <c r="A19">
        <v>1896</v>
      </c>
      <c r="B19" s="21">
        <v>42.48</v>
      </c>
      <c r="C19" s="21">
        <v>34.369999999999997</v>
      </c>
      <c r="D19" s="21"/>
      <c r="E19" s="21"/>
    </row>
    <row r="20" spans="1:5" x14ac:dyDescent="0.55000000000000004">
      <c r="A20">
        <v>1897</v>
      </c>
      <c r="B20" s="21">
        <v>44.24</v>
      </c>
      <c r="C20" s="21">
        <v>24.91</v>
      </c>
      <c r="D20" s="21"/>
      <c r="E20" s="21"/>
    </row>
    <row r="21" spans="1:5" x14ac:dyDescent="0.55000000000000004">
      <c r="A21">
        <v>1898</v>
      </c>
      <c r="B21" s="21">
        <v>42.51</v>
      </c>
      <c r="C21" s="21">
        <v>24.14</v>
      </c>
      <c r="D21" s="21"/>
      <c r="E21" s="21"/>
    </row>
    <row r="22" spans="1:5" x14ac:dyDescent="0.55000000000000004">
      <c r="A22">
        <v>1899</v>
      </c>
      <c r="B22" s="21">
        <v>43.35</v>
      </c>
      <c r="C22" s="21">
        <v>31.75</v>
      </c>
      <c r="D22" s="21"/>
      <c r="E22" s="21"/>
    </row>
    <row r="23" spans="1:5" x14ac:dyDescent="0.55000000000000004">
      <c r="A23">
        <v>1900</v>
      </c>
      <c r="B23" s="21">
        <v>42.77</v>
      </c>
      <c r="C23" s="21">
        <v>25.34</v>
      </c>
      <c r="D23" s="21"/>
      <c r="E23" s="21"/>
    </row>
    <row r="24" spans="1:5" x14ac:dyDescent="0.55000000000000004">
      <c r="A24">
        <v>1901</v>
      </c>
      <c r="B24" s="21">
        <v>40.619999999999997</v>
      </c>
      <c r="C24" s="21">
        <v>29.08</v>
      </c>
      <c r="D24" s="21"/>
      <c r="E24" s="21"/>
    </row>
    <row r="25" spans="1:5" x14ac:dyDescent="0.55000000000000004">
      <c r="A25">
        <v>1902</v>
      </c>
      <c r="B25" s="21">
        <v>39.090000000000003</v>
      </c>
      <c r="C25" s="21">
        <v>28.13</v>
      </c>
      <c r="D25" s="21"/>
      <c r="E25" s="21"/>
    </row>
    <row r="26" spans="1:5" x14ac:dyDescent="0.55000000000000004">
      <c r="A26">
        <v>1903</v>
      </c>
      <c r="B26" s="21">
        <v>40.36</v>
      </c>
      <c r="C26" s="21">
        <v>25.34</v>
      </c>
      <c r="D26" s="21"/>
      <c r="E26" s="21"/>
    </row>
    <row r="27" spans="1:5" x14ac:dyDescent="0.55000000000000004">
      <c r="A27">
        <v>1904</v>
      </c>
      <c r="B27" s="21">
        <v>42.84</v>
      </c>
      <c r="C27" s="21">
        <v>25.28</v>
      </c>
      <c r="D27" s="21"/>
      <c r="E27" s="21"/>
    </row>
    <row r="28" spans="1:5" x14ac:dyDescent="0.55000000000000004">
      <c r="A28">
        <v>1905</v>
      </c>
      <c r="B28" s="21">
        <v>42.51</v>
      </c>
      <c r="C28" s="21">
        <v>31.07</v>
      </c>
      <c r="D28" s="21"/>
      <c r="E28" s="21"/>
    </row>
    <row r="29" spans="1:5" x14ac:dyDescent="0.55000000000000004">
      <c r="A29">
        <v>1906</v>
      </c>
      <c r="B29" s="21">
        <v>44.62</v>
      </c>
      <c r="C29" s="21">
        <v>27.94</v>
      </c>
      <c r="D29" s="21"/>
      <c r="E29" s="21"/>
    </row>
    <row r="30" spans="1:5" x14ac:dyDescent="0.55000000000000004">
      <c r="A30">
        <v>1907</v>
      </c>
      <c r="B30" s="21">
        <v>48.05</v>
      </c>
      <c r="C30" s="21">
        <v>28.84</v>
      </c>
      <c r="D30" s="21"/>
      <c r="E30" s="21"/>
    </row>
    <row r="31" spans="1:5" x14ac:dyDescent="0.55000000000000004">
      <c r="A31">
        <v>1908</v>
      </c>
      <c r="B31" s="21">
        <v>48.85</v>
      </c>
      <c r="C31" s="21">
        <v>29.11</v>
      </c>
      <c r="D31" s="21"/>
      <c r="E31" s="21"/>
    </row>
    <row r="32" spans="1:5" x14ac:dyDescent="0.55000000000000004">
      <c r="A32">
        <v>1909</v>
      </c>
      <c r="B32" s="21">
        <v>48.78</v>
      </c>
      <c r="C32" s="21">
        <v>28.62</v>
      </c>
      <c r="D32" s="21"/>
      <c r="E32" s="21"/>
    </row>
    <row r="33" spans="1:5" x14ac:dyDescent="0.55000000000000004">
      <c r="A33">
        <v>1910</v>
      </c>
      <c r="B33" s="21">
        <v>48.62</v>
      </c>
      <c r="C33" s="21">
        <v>29.83</v>
      </c>
      <c r="D33" s="21"/>
      <c r="E33" s="21"/>
    </row>
    <row r="34" spans="1:5" x14ac:dyDescent="0.55000000000000004">
      <c r="A34">
        <v>1911</v>
      </c>
      <c r="B34" s="21">
        <v>50.52</v>
      </c>
      <c r="C34" s="21">
        <v>28.45</v>
      </c>
      <c r="D34" s="21"/>
      <c r="E34" s="21"/>
    </row>
    <row r="35" spans="1:5" x14ac:dyDescent="0.55000000000000004">
      <c r="A35">
        <v>1912</v>
      </c>
      <c r="B35" s="21">
        <v>50.21</v>
      </c>
      <c r="C35" s="21">
        <v>27.5</v>
      </c>
      <c r="D35" s="21"/>
      <c r="E35" s="21"/>
    </row>
    <row r="36" spans="1:5" x14ac:dyDescent="0.55000000000000004">
      <c r="A36">
        <v>1913</v>
      </c>
      <c r="B36" s="21">
        <v>50.79</v>
      </c>
      <c r="C36" s="21">
        <v>26.85</v>
      </c>
      <c r="D36" s="21"/>
      <c r="E36" s="21"/>
    </row>
    <row r="37" spans="1:5" x14ac:dyDescent="0.55000000000000004">
      <c r="A37">
        <v>1914</v>
      </c>
      <c r="B37" s="21">
        <v>51.96</v>
      </c>
      <c r="C37" s="21">
        <v>26.44</v>
      </c>
      <c r="D37" s="21"/>
      <c r="E37" s="21"/>
    </row>
    <row r="38" spans="1:5" x14ac:dyDescent="0.55000000000000004">
      <c r="A38">
        <v>1915</v>
      </c>
      <c r="B38" s="21">
        <v>50.84</v>
      </c>
      <c r="C38" s="21">
        <v>25.68</v>
      </c>
      <c r="D38" s="21"/>
      <c r="E38" s="21"/>
    </row>
    <row r="39" spans="1:5" x14ac:dyDescent="0.55000000000000004">
      <c r="A39">
        <v>1916</v>
      </c>
      <c r="B39" s="21">
        <v>48.44</v>
      </c>
      <c r="C39" s="21">
        <v>27.05</v>
      </c>
      <c r="D39" s="21"/>
      <c r="E39" s="21"/>
    </row>
    <row r="40" spans="1:5" x14ac:dyDescent="0.55000000000000004">
      <c r="A40">
        <v>1917</v>
      </c>
      <c r="B40" s="21">
        <v>49.41</v>
      </c>
      <c r="C40" s="21">
        <v>26.65</v>
      </c>
      <c r="D40" s="21"/>
      <c r="E40" s="21"/>
    </row>
    <row r="41" spans="1:5" x14ac:dyDescent="0.55000000000000004">
      <c r="A41">
        <v>1918</v>
      </c>
      <c r="B41" s="21">
        <v>47.33</v>
      </c>
      <c r="C41" s="21">
        <v>36.08</v>
      </c>
      <c r="D41" s="21"/>
      <c r="E41" s="21"/>
    </row>
    <row r="42" spans="1:5" x14ac:dyDescent="0.55000000000000004">
      <c r="A42">
        <v>1919</v>
      </c>
      <c r="B42" s="21">
        <v>42.66</v>
      </c>
      <c r="C42" s="21">
        <v>30.65</v>
      </c>
      <c r="D42" s="21"/>
      <c r="E42" s="21"/>
    </row>
    <row r="43" spans="1:5" x14ac:dyDescent="0.55000000000000004">
      <c r="A43">
        <v>1920</v>
      </c>
      <c r="B43" s="21">
        <v>45.35</v>
      </c>
      <c r="C43" s="21">
        <v>33.69</v>
      </c>
      <c r="D43" s="21"/>
      <c r="E43" s="21"/>
    </row>
    <row r="44" spans="1:5" x14ac:dyDescent="0.55000000000000004">
      <c r="A44">
        <v>1921</v>
      </c>
      <c r="B44" s="21">
        <v>44.89</v>
      </c>
      <c r="C44" s="21">
        <v>24.7</v>
      </c>
      <c r="D44" s="21"/>
      <c r="E44" s="21"/>
    </row>
    <row r="45" spans="1:5" x14ac:dyDescent="0.55000000000000004">
      <c r="A45">
        <v>1922</v>
      </c>
      <c r="B45" s="21">
        <v>45.09</v>
      </c>
      <c r="C45" s="21">
        <v>24.56</v>
      </c>
      <c r="D45" s="21"/>
      <c r="E45" s="21"/>
    </row>
    <row r="46" spans="1:5" x14ac:dyDescent="0.55000000000000004">
      <c r="A46">
        <v>1923</v>
      </c>
      <c r="B46" s="21">
        <v>44.87</v>
      </c>
      <c r="C46" s="21">
        <v>23.73</v>
      </c>
      <c r="D46" s="21"/>
      <c r="E46" s="21"/>
    </row>
    <row r="47" spans="1:5" x14ac:dyDescent="0.55000000000000004">
      <c r="A47">
        <v>1924</v>
      </c>
      <c r="B47" s="21">
        <v>45.5</v>
      </c>
      <c r="C47" s="21">
        <v>26.24</v>
      </c>
      <c r="D47" s="21"/>
      <c r="E47" s="21"/>
    </row>
    <row r="48" spans="1:5" x14ac:dyDescent="0.55000000000000004">
      <c r="A48">
        <v>1925</v>
      </c>
      <c r="B48" s="21">
        <v>45.38</v>
      </c>
      <c r="C48" s="21">
        <v>28.52</v>
      </c>
      <c r="D48" s="21"/>
      <c r="E48" s="21"/>
    </row>
    <row r="49" spans="1:5" x14ac:dyDescent="0.55000000000000004">
      <c r="A49">
        <v>1926</v>
      </c>
      <c r="B49" s="21">
        <v>48.55</v>
      </c>
      <c r="C49" s="21">
        <v>23.98</v>
      </c>
      <c r="D49" s="21"/>
      <c r="E49" s="21"/>
    </row>
    <row r="50" spans="1:5" x14ac:dyDescent="0.55000000000000004">
      <c r="A50">
        <v>1927</v>
      </c>
      <c r="B50" s="21">
        <v>48.81</v>
      </c>
      <c r="C50" s="21">
        <v>23.07</v>
      </c>
      <c r="D50" s="21"/>
      <c r="E50" s="21"/>
    </row>
    <row r="51" spans="1:5" x14ac:dyDescent="0.55000000000000004">
      <c r="A51">
        <v>1928</v>
      </c>
      <c r="B51" s="21">
        <v>48.69</v>
      </c>
      <c r="C51" s="21">
        <v>23.88</v>
      </c>
      <c r="D51" s="21"/>
      <c r="E51" s="21"/>
    </row>
    <row r="52" spans="1:5" x14ac:dyDescent="0.55000000000000004">
      <c r="A52">
        <v>1929</v>
      </c>
      <c r="B52" s="21">
        <v>46.69</v>
      </c>
      <c r="C52" s="21">
        <v>24.37</v>
      </c>
      <c r="D52" s="21"/>
      <c r="E52" s="21"/>
    </row>
    <row r="53" spans="1:5" x14ac:dyDescent="0.55000000000000004">
      <c r="A53">
        <v>1930</v>
      </c>
      <c r="B53" s="21">
        <v>47.51</v>
      </c>
      <c r="C53" s="21">
        <v>22.55</v>
      </c>
      <c r="D53" s="21"/>
      <c r="E53" s="21"/>
    </row>
    <row r="54" spans="1:5" x14ac:dyDescent="0.55000000000000004">
      <c r="A54">
        <v>1931</v>
      </c>
      <c r="B54" s="21">
        <v>46.82</v>
      </c>
      <c r="C54" s="21">
        <v>24.7</v>
      </c>
      <c r="D54" s="21"/>
      <c r="E54" s="21"/>
    </row>
    <row r="55" spans="1:5" x14ac:dyDescent="0.55000000000000004">
      <c r="A55">
        <v>1932</v>
      </c>
      <c r="B55" s="21">
        <v>45.42</v>
      </c>
      <c r="C55" s="21">
        <v>22.74</v>
      </c>
      <c r="D55" s="21"/>
      <c r="E55" s="21"/>
    </row>
    <row r="56" spans="1:5" x14ac:dyDescent="0.55000000000000004">
      <c r="A56">
        <v>1933</v>
      </c>
      <c r="B56" s="21">
        <v>44.17</v>
      </c>
      <c r="C56" s="21">
        <v>21.55</v>
      </c>
      <c r="D56" s="21"/>
      <c r="E56" s="21"/>
    </row>
    <row r="57" spans="1:5" x14ac:dyDescent="0.55000000000000004">
      <c r="A57">
        <v>1934</v>
      </c>
      <c r="B57" s="21">
        <v>43.63</v>
      </c>
      <c r="C57" s="21">
        <v>18.32</v>
      </c>
      <c r="D57" s="21"/>
      <c r="E57" s="21"/>
    </row>
    <row r="58" spans="1:5" x14ac:dyDescent="0.55000000000000004">
      <c r="A58">
        <v>1935</v>
      </c>
      <c r="B58" s="21">
        <v>44.6</v>
      </c>
      <c r="C58" s="21">
        <v>22.59</v>
      </c>
      <c r="D58" s="21"/>
      <c r="E58" s="21"/>
    </row>
    <row r="59" spans="1:5" x14ac:dyDescent="0.55000000000000004">
      <c r="A59">
        <v>1936</v>
      </c>
      <c r="B59" s="21">
        <v>44.43</v>
      </c>
      <c r="C59" s="21">
        <v>20.62</v>
      </c>
      <c r="D59" s="21"/>
      <c r="E59" s="21"/>
    </row>
    <row r="60" spans="1:5" x14ac:dyDescent="0.55000000000000004">
      <c r="A60">
        <v>1937</v>
      </c>
      <c r="B60" s="21">
        <v>43.63</v>
      </c>
      <c r="C60" s="21">
        <v>18.78</v>
      </c>
      <c r="D60" s="21"/>
      <c r="E60" s="21"/>
    </row>
    <row r="61" spans="1:5" x14ac:dyDescent="0.55000000000000004">
      <c r="A61">
        <v>1938</v>
      </c>
      <c r="B61" s="21">
        <v>44.45</v>
      </c>
      <c r="C61" s="21">
        <v>17.260000000000002</v>
      </c>
      <c r="D61" s="21"/>
      <c r="E61" s="21"/>
    </row>
    <row r="62" spans="1:5" x14ac:dyDescent="0.55000000000000004">
      <c r="A62">
        <v>1939</v>
      </c>
      <c r="B62" s="21">
        <v>43.66</v>
      </c>
      <c r="C62" s="21">
        <v>18.88</v>
      </c>
      <c r="D62" s="21"/>
      <c r="E62" s="21"/>
    </row>
    <row r="63" spans="1:5" x14ac:dyDescent="0.55000000000000004">
      <c r="A63">
        <v>1940</v>
      </c>
      <c r="B63" s="21">
        <v>44.04</v>
      </c>
      <c r="C63" s="21">
        <v>17.63</v>
      </c>
      <c r="D63" s="21"/>
      <c r="E63" s="21"/>
    </row>
    <row r="64" spans="1:5" x14ac:dyDescent="0.55000000000000004">
      <c r="A64">
        <v>1941</v>
      </c>
      <c r="B64" s="21">
        <v>44.12</v>
      </c>
      <c r="C64" s="21">
        <v>17.489999999999998</v>
      </c>
      <c r="D64" s="21"/>
      <c r="E64" s="21"/>
    </row>
    <row r="65" spans="1:5" x14ac:dyDescent="0.55000000000000004">
      <c r="A65">
        <v>1942</v>
      </c>
      <c r="B65" s="21">
        <v>42.31</v>
      </c>
      <c r="C65" s="21">
        <v>20.3</v>
      </c>
      <c r="D65" s="21"/>
      <c r="E65" s="21"/>
    </row>
    <row r="66" spans="1:5" x14ac:dyDescent="0.55000000000000004">
      <c r="A66">
        <v>1943</v>
      </c>
      <c r="B66" s="21">
        <v>44.37</v>
      </c>
      <c r="C66" s="21">
        <v>17.09</v>
      </c>
      <c r="D66" s="21"/>
      <c r="E66" s="21"/>
    </row>
    <row r="67" spans="1:5" x14ac:dyDescent="0.55000000000000004">
      <c r="A67">
        <v>1944</v>
      </c>
      <c r="B67" s="21">
        <v>42.44</v>
      </c>
      <c r="C67" s="21">
        <v>16.010000000000002</v>
      </c>
      <c r="D67" s="21"/>
      <c r="E67" s="21"/>
    </row>
    <row r="68" spans="1:5" x14ac:dyDescent="0.55000000000000004">
      <c r="A68">
        <v>1945</v>
      </c>
      <c r="B68" s="21">
        <v>44.74</v>
      </c>
      <c r="C68" s="21">
        <v>14.81</v>
      </c>
      <c r="D68" s="21"/>
      <c r="E68" s="21"/>
    </row>
    <row r="69" spans="1:5" x14ac:dyDescent="0.55000000000000004">
      <c r="A69">
        <v>1946</v>
      </c>
      <c r="B69" s="21">
        <v>42.92</v>
      </c>
      <c r="C69" s="21">
        <v>13.31</v>
      </c>
      <c r="D69" s="21"/>
      <c r="E69" s="21"/>
    </row>
    <row r="70" spans="1:5" x14ac:dyDescent="0.55000000000000004">
      <c r="A70">
        <v>1947</v>
      </c>
      <c r="B70" s="21">
        <v>53.74</v>
      </c>
      <c r="C70" s="21">
        <v>14.06</v>
      </c>
      <c r="D70" s="21"/>
      <c r="E70" s="21"/>
    </row>
    <row r="71" spans="1:5" x14ac:dyDescent="0.55000000000000004">
      <c r="A71">
        <v>1948</v>
      </c>
      <c r="B71" s="21">
        <v>41.82</v>
      </c>
      <c r="C71" s="21">
        <v>12.37</v>
      </c>
      <c r="D71" s="21"/>
      <c r="E71" s="21"/>
    </row>
    <row r="72" spans="1:5" x14ac:dyDescent="0.55000000000000004">
      <c r="A72">
        <v>1949</v>
      </c>
      <c r="B72" s="21">
        <v>41.47</v>
      </c>
      <c r="C72" s="21">
        <v>11.93</v>
      </c>
      <c r="D72" s="21"/>
      <c r="E72" s="21"/>
    </row>
    <row r="73" spans="1:5" x14ac:dyDescent="0.55000000000000004">
      <c r="A73">
        <v>1950</v>
      </c>
      <c r="B73" s="21">
        <v>43.52</v>
      </c>
      <c r="C73" s="21">
        <v>11.41</v>
      </c>
      <c r="D73" s="3">
        <v>44.9</v>
      </c>
      <c r="E73" s="3">
        <v>12.1</v>
      </c>
    </row>
    <row r="74" spans="1:5" x14ac:dyDescent="0.55000000000000004">
      <c r="A74">
        <v>1951</v>
      </c>
      <c r="B74" s="21">
        <v>44.31</v>
      </c>
      <c r="C74" s="21">
        <v>10.88</v>
      </c>
      <c r="D74" s="3">
        <v>45.3</v>
      </c>
      <c r="E74" s="3">
        <v>11.8</v>
      </c>
    </row>
    <row r="75" spans="1:5" x14ac:dyDescent="0.55000000000000004">
      <c r="A75">
        <v>1952</v>
      </c>
      <c r="B75" s="21">
        <v>50.54</v>
      </c>
      <c r="C75" s="21">
        <v>10.74</v>
      </c>
      <c r="D75" s="3">
        <v>45.6</v>
      </c>
      <c r="E75" s="3">
        <v>11.6</v>
      </c>
    </row>
    <row r="76" spans="1:5" x14ac:dyDescent="0.55000000000000004">
      <c r="A76">
        <v>1953</v>
      </c>
      <c r="B76" s="21">
        <v>49.48</v>
      </c>
      <c r="C76" s="21">
        <v>10.75</v>
      </c>
      <c r="D76" s="3">
        <v>45.8</v>
      </c>
      <c r="E76" s="3">
        <v>11.1</v>
      </c>
    </row>
    <row r="77" spans="1:5" x14ac:dyDescent="0.55000000000000004">
      <c r="A77">
        <v>1954</v>
      </c>
      <c r="B77" s="21">
        <v>48.26</v>
      </c>
      <c r="C77" s="21">
        <v>9.73</v>
      </c>
      <c r="D77" s="3">
        <v>45.8</v>
      </c>
      <c r="E77" s="3">
        <v>10.7</v>
      </c>
    </row>
    <row r="78" spans="1:5" x14ac:dyDescent="0.55000000000000004">
      <c r="A78">
        <v>1955</v>
      </c>
      <c r="B78" s="21">
        <v>47.17</v>
      </c>
      <c r="C78" s="21">
        <v>9.6300000000000008</v>
      </c>
      <c r="D78" s="3">
        <v>45.8</v>
      </c>
      <c r="E78" s="3">
        <v>10.3</v>
      </c>
    </row>
    <row r="79" spans="1:5" x14ac:dyDescent="0.55000000000000004">
      <c r="A79">
        <v>1956</v>
      </c>
      <c r="B79" s="21">
        <v>47.73</v>
      </c>
      <c r="C79" s="21">
        <v>8.82</v>
      </c>
      <c r="D79" s="3">
        <v>45.8</v>
      </c>
      <c r="E79" s="3">
        <v>9.9</v>
      </c>
    </row>
    <row r="80" spans="1:5" x14ac:dyDescent="0.55000000000000004">
      <c r="A80">
        <v>1957</v>
      </c>
      <c r="B80" s="21">
        <v>46.21</v>
      </c>
      <c r="C80" s="21">
        <v>9.35</v>
      </c>
      <c r="D80" s="3">
        <v>45.9</v>
      </c>
      <c r="E80" s="3">
        <v>9.6999999999999993</v>
      </c>
    </row>
    <row r="81" spans="1:5" x14ac:dyDescent="0.55000000000000004">
      <c r="A81">
        <v>1958</v>
      </c>
      <c r="B81" s="21">
        <v>46.28</v>
      </c>
      <c r="C81" s="21">
        <v>7.95</v>
      </c>
      <c r="D81" s="3">
        <v>46</v>
      </c>
      <c r="E81" s="3">
        <v>9.3000000000000007</v>
      </c>
    </row>
    <row r="82" spans="1:5" x14ac:dyDescent="0.55000000000000004">
      <c r="A82">
        <v>1959</v>
      </c>
      <c r="B82" s="21">
        <v>46.14</v>
      </c>
      <c r="C82" s="21">
        <v>8.41</v>
      </c>
      <c r="D82" s="3">
        <v>45.9</v>
      </c>
      <c r="E82" s="3">
        <v>9</v>
      </c>
    </row>
    <row r="83" spans="1:5" x14ac:dyDescent="0.55000000000000004">
      <c r="A83">
        <v>1960</v>
      </c>
      <c r="B83" s="21">
        <v>47.23</v>
      </c>
      <c r="C83" s="21">
        <v>7.99</v>
      </c>
      <c r="D83" s="3">
        <v>45.5</v>
      </c>
      <c r="E83" s="3">
        <v>8.6999999999999993</v>
      </c>
    </row>
    <row r="84" spans="1:5" x14ac:dyDescent="0.55000000000000004">
      <c r="A84">
        <v>1961</v>
      </c>
      <c r="B84" s="21">
        <v>47.01</v>
      </c>
      <c r="C84" s="21">
        <v>7.42</v>
      </c>
      <c r="D84" s="3">
        <v>44.8</v>
      </c>
      <c r="E84" s="3">
        <v>8.4</v>
      </c>
    </row>
    <row r="85" spans="1:5" x14ac:dyDescent="0.55000000000000004">
      <c r="A85">
        <v>1962</v>
      </c>
      <c r="B85" s="21">
        <v>45.93</v>
      </c>
      <c r="C85" s="21">
        <v>7.97</v>
      </c>
      <c r="D85" s="3">
        <v>43.9</v>
      </c>
      <c r="E85" s="3">
        <v>8.1999999999999993</v>
      </c>
    </row>
    <row r="86" spans="1:5" x14ac:dyDescent="0.55000000000000004">
      <c r="A86">
        <v>1963</v>
      </c>
      <c r="B86" s="21">
        <v>45.06</v>
      </c>
      <c r="C86" s="21">
        <v>8.0299999999999994</v>
      </c>
      <c r="D86" s="3">
        <v>42.7</v>
      </c>
      <c r="E86" s="3">
        <v>8</v>
      </c>
    </row>
    <row r="87" spans="1:5" x14ac:dyDescent="0.55000000000000004">
      <c r="A87">
        <v>1964</v>
      </c>
      <c r="B87" s="21">
        <v>42.14</v>
      </c>
      <c r="C87" s="21">
        <v>8.3699999999999992</v>
      </c>
      <c r="D87" s="3">
        <v>41.4</v>
      </c>
      <c r="E87" s="3">
        <v>7.8</v>
      </c>
    </row>
    <row r="88" spans="1:5" x14ac:dyDescent="0.55000000000000004">
      <c r="A88">
        <v>1965</v>
      </c>
      <c r="B88" s="21">
        <v>41.51</v>
      </c>
      <c r="C88" s="21">
        <v>8.4600000000000009</v>
      </c>
      <c r="D88" s="3">
        <v>39.9</v>
      </c>
      <c r="E88" s="3">
        <v>7.6</v>
      </c>
    </row>
    <row r="89" spans="1:5" x14ac:dyDescent="0.55000000000000004">
      <c r="A89">
        <v>1966</v>
      </c>
      <c r="B89" s="21">
        <v>40.18</v>
      </c>
      <c r="C89" s="21">
        <v>7.26</v>
      </c>
      <c r="D89" s="3">
        <v>38.299999999999997</v>
      </c>
      <c r="E89" s="3">
        <v>7.3</v>
      </c>
    </row>
    <row r="90" spans="1:5" x14ac:dyDescent="0.55000000000000004">
      <c r="A90">
        <v>1967</v>
      </c>
      <c r="B90" s="21">
        <v>38.299999999999997</v>
      </c>
      <c r="C90" s="21">
        <v>6.93</v>
      </c>
      <c r="D90" s="3">
        <v>36.799999999999997</v>
      </c>
      <c r="E90" s="3">
        <v>7</v>
      </c>
    </row>
    <row r="91" spans="1:5" x14ac:dyDescent="0.55000000000000004">
      <c r="A91">
        <v>1968</v>
      </c>
      <c r="B91" s="21">
        <v>35.54</v>
      </c>
      <c r="C91" s="21">
        <v>6.39</v>
      </c>
      <c r="D91" s="3">
        <v>34.6</v>
      </c>
      <c r="E91" s="3">
        <v>6.8</v>
      </c>
    </row>
    <row r="92" spans="1:5" x14ac:dyDescent="0.55000000000000004">
      <c r="A92">
        <v>1969</v>
      </c>
      <c r="B92" s="21">
        <v>33.86</v>
      </c>
      <c r="C92" s="21">
        <v>6.77</v>
      </c>
      <c r="D92" s="3">
        <v>33.799999999999997</v>
      </c>
      <c r="E92" s="3">
        <v>6.5</v>
      </c>
    </row>
    <row r="93" spans="1:5" x14ac:dyDescent="0.55000000000000004">
      <c r="A93">
        <v>1970</v>
      </c>
      <c r="B93" s="21">
        <v>32.840000000000003</v>
      </c>
      <c r="C93" s="21">
        <v>6.54</v>
      </c>
      <c r="D93" s="3">
        <v>32.6</v>
      </c>
      <c r="E93" s="3">
        <v>6.3</v>
      </c>
    </row>
    <row r="94" spans="1:5" x14ac:dyDescent="0.55000000000000004">
      <c r="A94">
        <v>1971</v>
      </c>
      <c r="B94" s="21">
        <v>31.22</v>
      </c>
      <c r="C94" s="21">
        <v>5.86</v>
      </c>
      <c r="D94" s="3">
        <v>31.6</v>
      </c>
      <c r="E94" s="3">
        <v>6</v>
      </c>
    </row>
    <row r="95" spans="1:5" x14ac:dyDescent="0.55000000000000004">
      <c r="A95">
        <v>1972</v>
      </c>
      <c r="B95" s="21">
        <v>31.03</v>
      </c>
      <c r="C95" s="21">
        <v>5.86</v>
      </c>
      <c r="D95" s="3">
        <v>30.7</v>
      </c>
      <c r="E95" s="3">
        <v>5.7</v>
      </c>
    </row>
    <row r="96" spans="1:5" x14ac:dyDescent="0.55000000000000004">
      <c r="A96">
        <v>1973</v>
      </c>
      <c r="B96" s="21">
        <v>28.21</v>
      </c>
      <c r="C96" s="21">
        <v>5.12</v>
      </c>
      <c r="D96" s="3">
        <v>30.1</v>
      </c>
      <c r="E96" s="3">
        <v>5.5</v>
      </c>
    </row>
    <row r="97" spans="1:5" x14ac:dyDescent="0.55000000000000004">
      <c r="A97">
        <v>1974</v>
      </c>
      <c r="B97" s="21">
        <v>29.23</v>
      </c>
      <c r="C97" s="21">
        <v>4.9000000000000004</v>
      </c>
      <c r="D97" s="3">
        <v>29.9</v>
      </c>
      <c r="E97" s="3">
        <v>5.2</v>
      </c>
    </row>
    <row r="98" spans="1:5" x14ac:dyDescent="0.55000000000000004">
      <c r="A98">
        <v>1975</v>
      </c>
      <c r="B98" s="21">
        <v>29.2</v>
      </c>
      <c r="C98" s="21">
        <v>4.83</v>
      </c>
      <c r="D98" s="3">
        <v>29.8</v>
      </c>
      <c r="E98" s="3">
        <v>4.9000000000000004</v>
      </c>
    </row>
    <row r="99" spans="1:5" x14ac:dyDescent="0.55000000000000004">
      <c r="A99">
        <v>1976</v>
      </c>
      <c r="B99" s="21">
        <v>29.37</v>
      </c>
      <c r="C99" s="21">
        <v>4.58</v>
      </c>
      <c r="D99" s="3">
        <v>29.9</v>
      </c>
      <c r="E99" s="3">
        <v>4.7</v>
      </c>
    </row>
    <row r="100" spans="1:5" x14ac:dyDescent="0.55000000000000004">
      <c r="A100">
        <v>1977</v>
      </c>
      <c r="B100" s="21">
        <v>30.61</v>
      </c>
      <c r="C100" s="21">
        <v>4.25</v>
      </c>
      <c r="D100" s="3">
        <v>30</v>
      </c>
      <c r="E100" s="3">
        <v>4.5999999999999996</v>
      </c>
    </row>
    <row r="101" spans="1:5" x14ac:dyDescent="0.55000000000000004">
      <c r="A101">
        <v>1978</v>
      </c>
      <c r="B101" s="21">
        <v>31.38</v>
      </c>
      <c r="C101" s="21">
        <v>3.99</v>
      </c>
      <c r="D101" s="3">
        <v>30.2</v>
      </c>
      <c r="E101" s="3">
        <v>4.5</v>
      </c>
    </row>
    <row r="102" spans="1:5" x14ac:dyDescent="0.55000000000000004">
      <c r="A102">
        <v>1979</v>
      </c>
      <c r="B102" s="21">
        <v>31.25</v>
      </c>
      <c r="C102" s="21">
        <v>4.1100000000000003</v>
      </c>
      <c r="D102" s="3">
        <v>30.5</v>
      </c>
      <c r="E102" s="3">
        <v>4.3</v>
      </c>
    </row>
    <row r="103" spans="1:5" x14ac:dyDescent="0.55000000000000004">
      <c r="A103">
        <v>1980</v>
      </c>
      <c r="B103" s="21">
        <v>30.74</v>
      </c>
      <c r="C103" s="21">
        <v>4.0599999999999996</v>
      </c>
      <c r="D103" s="3">
        <v>30.4</v>
      </c>
      <c r="E103" s="3">
        <v>4.2</v>
      </c>
    </row>
    <row r="104" spans="1:5" x14ac:dyDescent="0.55000000000000004">
      <c r="A104">
        <v>1981</v>
      </c>
      <c r="B104" s="21">
        <v>30.88</v>
      </c>
      <c r="C104" s="21">
        <v>3.82</v>
      </c>
      <c r="D104" s="3">
        <v>30.4</v>
      </c>
      <c r="E104" s="3">
        <v>4.0999999999999996</v>
      </c>
    </row>
    <row r="105" spans="1:5" x14ac:dyDescent="0.55000000000000004">
      <c r="A105">
        <v>1982</v>
      </c>
      <c r="B105" s="21">
        <v>30.41</v>
      </c>
      <c r="C105" s="21">
        <v>3.8</v>
      </c>
      <c r="D105" s="3">
        <v>30.5</v>
      </c>
      <c r="E105" s="3">
        <v>4</v>
      </c>
    </row>
    <row r="106" spans="1:5" x14ac:dyDescent="0.55000000000000004">
      <c r="A106">
        <v>1983</v>
      </c>
      <c r="B106" s="21">
        <v>29.56</v>
      </c>
      <c r="C106" s="21">
        <v>3.81</v>
      </c>
      <c r="D106" s="3">
        <v>30.5</v>
      </c>
      <c r="E106" s="3">
        <v>3.9</v>
      </c>
    </row>
    <row r="107" spans="1:5" x14ac:dyDescent="0.55000000000000004">
      <c r="A107">
        <v>1984</v>
      </c>
      <c r="B107" s="21">
        <v>30.33</v>
      </c>
      <c r="C107" s="21">
        <v>3.9</v>
      </c>
      <c r="D107" s="3">
        <v>30.5</v>
      </c>
      <c r="E107" s="3">
        <v>3.9</v>
      </c>
    </row>
    <row r="108" spans="1:5" x14ac:dyDescent="0.55000000000000004">
      <c r="A108">
        <v>1985</v>
      </c>
      <c r="B108" s="21">
        <v>32.33</v>
      </c>
      <c r="C108" s="21">
        <v>4.01</v>
      </c>
      <c r="D108" s="3">
        <v>30.4</v>
      </c>
      <c r="E108" s="3">
        <v>3.9</v>
      </c>
    </row>
    <row r="109" spans="1:5" x14ac:dyDescent="0.55000000000000004">
      <c r="A109">
        <v>1986</v>
      </c>
      <c r="B109" s="21">
        <v>31.03</v>
      </c>
      <c r="C109" s="21">
        <v>3.9</v>
      </c>
      <c r="D109" s="3">
        <v>29.8</v>
      </c>
      <c r="E109" s="3">
        <v>3.9</v>
      </c>
    </row>
    <row r="110" spans="1:5" x14ac:dyDescent="0.55000000000000004">
      <c r="A110">
        <v>1987</v>
      </c>
      <c r="B110" s="21">
        <v>29.2</v>
      </c>
      <c r="C110" s="21">
        <v>3.89</v>
      </c>
      <c r="D110" s="3">
        <v>29.1</v>
      </c>
      <c r="E110" s="3">
        <v>3.8</v>
      </c>
    </row>
    <row r="111" spans="1:5" x14ac:dyDescent="0.55000000000000004">
      <c r="A111">
        <v>1988</v>
      </c>
      <c r="B111" s="21">
        <v>28.84</v>
      </c>
      <c r="C111" s="21">
        <v>3.88</v>
      </c>
      <c r="D111" s="3">
        <v>28.3</v>
      </c>
      <c r="E111" s="3">
        <v>3.8</v>
      </c>
    </row>
    <row r="112" spans="1:5" x14ac:dyDescent="0.55000000000000004">
      <c r="A112">
        <v>1989</v>
      </c>
      <c r="B112" s="21">
        <v>28.85</v>
      </c>
      <c r="C112" s="21">
        <v>3.9</v>
      </c>
      <c r="D112" s="3">
        <v>27.5</v>
      </c>
      <c r="E112" s="3">
        <v>3.7</v>
      </c>
    </row>
    <row r="113" spans="1:5" x14ac:dyDescent="0.55000000000000004">
      <c r="A113">
        <v>1990</v>
      </c>
      <c r="B113" s="21">
        <v>27.65</v>
      </c>
      <c r="C113" s="21">
        <v>3.83</v>
      </c>
      <c r="D113" s="3">
        <v>26.7</v>
      </c>
      <c r="E113" s="3">
        <v>3.7</v>
      </c>
    </row>
    <row r="114" spans="1:5" x14ac:dyDescent="0.55000000000000004">
      <c r="A114">
        <v>1991</v>
      </c>
      <c r="B114" s="21">
        <v>26.2</v>
      </c>
      <c r="C114" s="21">
        <v>3.89</v>
      </c>
      <c r="D114" s="3">
        <v>25.7</v>
      </c>
      <c r="E114" s="3">
        <v>3.7</v>
      </c>
    </row>
    <row r="115" spans="1:5" x14ac:dyDescent="0.55000000000000004">
      <c r="A115">
        <v>1992</v>
      </c>
      <c r="B115" s="21">
        <v>25.76</v>
      </c>
      <c r="C115" s="21">
        <v>3.94</v>
      </c>
      <c r="D115" s="3">
        <v>25</v>
      </c>
      <c r="E115" s="3">
        <v>3.7</v>
      </c>
    </row>
    <row r="116" spans="1:5" x14ac:dyDescent="0.55000000000000004">
      <c r="A116">
        <v>1993</v>
      </c>
      <c r="B116" s="21">
        <v>25.07</v>
      </c>
      <c r="C116" s="21">
        <v>3.97</v>
      </c>
      <c r="D116" s="3">
        <v>24.3</v>
      </c>
      <c r="E116" s="3">
        <v>3.8</v>
      </c>
    </row>
    <row r="117" spans="1:5" x14ac:dyDescent="0.55000000000000004">
      <c r="A117">
        <v>1994</v>
      </c>
      <c r="B117" s="21">
        <v>24.7</v>
      </c>
      <c r="C117" s="21">
        <v>4.13</v>
      </c>
      <c r="D117" s="3">
        <v>23.6</v>
      </c>
      <c r="E117" s="3">
        <v>3.8</v>
      </c>
    </row>
    <row r="118" spans="1:5" x14ac:dyDescent="0.55000000000000004">
      <c r="A118">
        <v>1995</v>
      </c>
      <c r="B118" s="21">
        <v>24.23</v>
      </c>
      <c r="C118" s="21">
        <v>4.25</v>
      </c>
      <c r="D118" s="3">
        <v>23</v>
      </c>
      <c r="E118" s="3">
        <v>3.9</v>
      </c>
    </row>
    <row r="119" spans="1:5" x14ac:dyDescent="0.55000000000000004">
      <c r="A119">
        <v>1996</v>
      </c>
      <c r="B119" s="21">
        <v>23.44</v>
      </c>
      <c r="C119" s="21">
        <v>4.1399999999999997</v>
      </c>
      <c r="D119" s="3">
        <v>22.2</v>
      </c>
      <c r="E119" s="3">
        <v>3.9</v>
      </c>
    </row>
    <row r="120" spans="1:5" x14ac:dyDescent="0.55000000000000004">
      <c r="A120">
        <v>1997</v>
      </c>
      <c r="B120" s="21">
        <v>22.54</v>
      </c>
      <c r="C120" s="21">
        <v>4.1500000000000004</v>
      </c>
      <c r="D120" s="3">
        <v>21.5</v>
      </c>
      <c r="E120" s="3">
        <v>3.9</v>
      </c>
    </row>
    <row r="121" spans="1:5" x14ac:dyDescent="0.55000000000000004">
      <c r="A121">
        <v>1998</v>
      </c>
      <c r="B121" s="21">
        <v>21.48</v>
      </c>
      <c r="C121" s="21">
        <v>4.09</v>
      </c>
      <c r="D121" s="3">
        <v>21</v>
      </c>
      <c r="E121" s="3">
        <v>3.9</v>
      </c>
    </row>
    <row r="122" spans="1:5" x14ac:dyDescent="0.55000000000000004">
      <c r="A122">
        <f>A121+1</f>
        <v>1999</v>
      </c>
      <c r="B122" s="21"/>
      <c r="C122" s="21"/>
      <c r="D122" s="3">
        <v>20.7</v>
      </c>
      <c r="E122" s="3">
        <v>3.9</v>
      </c>
    </row>
    <row r="123" spans="1:5" x14ac:dyDescent="0.55000000000000004">
      <c r="A123">
        <f t="shared" ref="A123:A146" si="0">A122+1</f>
        <v>2000</v>
      </c>
      <c r="B123" s="21"/>
      <c r="C123" s="21"/>
      <c r="D123" s="3">
        <v>20.2</v>
      </c>
      <c r="E123" s="3">
        <v>3.9</v>
      </c>
    </row>
    <row r="124" spans="1:5" x14ac:dyDescent="0.55000000000000004">
      <c r="A124">
        <f t="shared" si="0"/>
        <v>2001</v>
      </c>
      <c r="B124" s="21"/>
      <c r="C124" s="21"/>
      <c r="D124" s="3">
        <v>19.399999999999999</v>
      </c>
      <c r="E124" s="3">
        <v>3.9</v>
      </c>
    </row>
    <row r="125" spans="1:5" x14ac:dyDescent="0.55000000000000004">
      <c r="A125">
        <f t="shared" si="0"/>
        <v>2002</v>
      </c>
      <c r="B125" s="21"/>
      <c r="C125" s="21"/>
      <c r="D125" s="3">
        <v>18.2</v>
      </c>
      <c r="E125" s="3">
        <v>3.9</v>
      </c>
    </row>
    <row r="126" spans="1:5" x14ac:dyDescent="0.55000000000000004">
      <c r="A126">
        <f t="shared" si="0"/>
        <v>2003</v>
      </c>
      <c r="B126" s="21"/>
      <c r="C126" s="21"/>
      <c r="D126" s="3">
        <v>17.600000000000001</v>
      </c>
      <c r="E126" s="3">
        <v>3.9</v>
      </c>
    </row>
    <row r="127" spans="1:5" x14ac:dyDescent="0.55000000000000004">
      <c r="A127">
        <f t="shared" si="0"/>
        <v>2004</v>
      </c>
      <c r="B127" s="21"/>
      <c r="C127" s="21"/>
      <c r="D127" s="3">
        <v>17.100000000000001</v>
      </c>
      <c r="E127" s="3">
        <v>3.9</v>
      </c>
    </row>
    <row r="128" spans="1:5" x14ac:dyDescent="0.55000000000000004">
      <c r="A128">
        <f t="shared" si="0"/>
        <v>2005</v>
      </c>
      <c r="B128" s="21"/>
      <c r="C128" s="21"/>
      <c r="D128" s="3">
        <v>17.3</v>
      </c>
      <c r="E128" s="3">
        <v>3.8</v>
      </c>
    </row>
    <row r="129" spans="1:5" x14ac:dyDescent="0.55000000000000004">
      <c r="A129">
        <f t="shared" si="0"/>
        <v>2006</v>
      </c>
      <c r="B129" s="21"/>
      <c r="C129" s="21"/>
      <c r="D129" s="3">
        <v>16.399999999999999</v>
      </c>
      <c r="E129" s="3">
        <v>3.9</v>
      </c>
    </row>
    <row r="130" spans="1:5" x14ac:dyDescent="0.55000000000000004">
      <c r="A130">
        <f t="shared" si="0"/>
        <v>2007</v>
      </c>
      <c r="B130" s="21"/>
      <c r="C130" s="21"/>
      <c r="D130" s="3">
        <v>16.600000000000001</v>
      </c>
      <c r="E130" s="3">
        <v>4</v>
      </c>
    </row>
    <row r="131" spans="1:5" x14ac:dyDescent="0.55000000000000004">
      <c r="A131">
        <f t="shared" si="0"/>
        <v>2008</v>
      </c>
      <c r="B131" s="21"/>
      <c r="C131" s="21"/>
      <c r="D131" s="3">
        <v>16.8</v>
      </c>
      <c r="E131" s="3">
        <v>4.0999999999999996</v>
      </c>
    </row>
    <row r="132" spans="1:5" x14ac:dyDescent="0.55000000000000004">
      <c r="A132">
        <f t="shared" si="0"/>
        <v>2009</v>
      </c>
      <c r="B132" s="21"/>
      <c r="C132" s="21"/>
      <c r="D132" s="3">
        <v>16.5</v>
      </c>
      <c r="E132" s="3">
        <v>4.0999999999999996</v>
      </c>
    </row>
    <row r="133" spans="1:5" x14ac:dyDescent="0.55000000000000004">
      <c r="A133">
        <f t="shared" si="0"/>
        <v>2010</v>
      </c>
      <c r="B133" s="21"/>
      <c r="C133" s="21"/>
      <c r="D133" s="3">
        <v>15.4</v>
      </c>
      <c r="E133" s="3">
        <v>4.3</v>
      </c>
    </row>
    <row r="134" spans="1:5" x14ac:dyDescent="0.55000000000000004">
      <c r="A134">
        <f t="shared" si="0"/>
        <v>2011</v>
      </c>
      <c r="B134" s="21"/>
      <c r="C134" s="21"/>
      <c r="D134" s="3">
        <v>15.8</v>
      </c>
      <c r="E134" s="3">
        <v>4.3</v>
      </c>
    </row>
    <row r="135" spans="1:5" x14ac:dyDescent="0.55000000000000004">
      <c r="A135">
        <f t="shared" si="0"/>
        <v>2012</v>
      </c>
      <c r="B135" s="21"/>
      <c r="C135" s="21"/>
      <c r="D135" s="3">
        <v>15.5</v>
      </c>
      <c r="E135" s="3">
        <v>4.3</v>
      </c>
    </row>
    <row r="136" spans="1:5" x14ac:dyDescent="0.55000000000000004">
      <c r="A136">
        <f t="shared" si="0"/>
        <v>2013</v>
      </c>
      <c r="B136" s="21"/>
      <c r="C136" s="21"/>
      <c r="D136" s="3">
        <v>14.8</v>
      </c>
      <c r="E136" s="3">
        <v>4.3</v>
      </c>
    </row>
    <row r="137" spans="1:5" x14ac:dyDescent="0.55000000000000004">
      <c r="A137">
        <f t="shared" si="0"/>
        <v>2014</v>
      </c>
      <c r="B137" s="21"/>
      <c r="C137" s="21"/>
      <c r="D137" s="3">
        <v>14.8</v>
      </c>
      <c r="E137" s="3">
        <v>4.5</v>
      </c>
    </row>
    <row r="138" spans="1:5" x14ac:dyDescent="0.55000000000000004">
      <c r="A138">
        <f t="shared" si="0"/>
        <v>2015</v>
      </c>
      <c r="B138" s="21"/>
      <c r="C138" s="21"/>
      <c r="D138" s="3">
        <v>14.7</v>
      </c>
      <c r="E138" s="3">
        <v>4.5</v>
      </c>
    </row>
    <row r="139" spans="1:5" x14ac:dyDescent="0.55000000000000004">
      <c r="A139">
        <f t="shared" si="0"/>
        <v>2016</v>
      </c>
      <c r="B139" s="21"/>
      <c r="C139" s="21"/>
      <c r="D139" s="3">
        <v>14.2</v>
      </c>
      <c r="E139" s="3">
        <v>4.8</v>
      </c>
    </row>
    <row r="140" spans="1:5" x14ac:dyDescent="0.55000000000000004">
      <c r="A140">
        <f t="shared" si="0"/>
        <v>2017</v>
      </c>
      <c r="B140" s="21"/>
      <c r="C140" s="21"/>
      <c r="D140" s="3">
        <v>13.8</v>
      </c>
      <c r="E140" s="3">
        <v>5</v>
      </c>
    </row>
    <row r="141" spans="1:5" x14ac:dyDescent="0.55000000000000004">
      <c r="A141">
        <f t="shared" si="0"/>
        <v>2018</v>
      </c>
      <c r="B141" s="21"/>
      <c r="C141" s="21"/>
      <c r="D141" s="3">
        <v>13.6</v>
      </c>
      <c r="E141" s="3">
        <v>5.0999999999999996</v>
      </c>
    </row>
    <row r="142" spans="1:5" x14ac:dyDescent="0.55000000000000004">
      <c r="A142">
        <f t="shared" si="0"/>
        <v>2019</v>
      </c>
      <c r="B142" s="21"/>
      <c r="C142" s="21"/>
      <c r="D142" s="3">
        <v>12.7</v>
      </c>
      <c r="E142" s="3">
        <v>5.0999999999999996</v>
      </c>
    </row>
    <row r="143" spans="1:5" x14ac:dyDescent="0.55000000000000004">
      <c r="A143">
        <f t="shared" si="0"/>
        <v>2020</v>
      </c>
      <c r="B143" s="21"/>
      <c r="C143" s="21"/>
      <c r="D143" s="3">
        <v>11.4</v>
      </c>
      <c r="E143" s="3">
        <v>5.6</v>
      </c>
    </row>
    <row r="144" spans="1:5" x14ac:dyDescent="0.55000000000000004">
      <c r="A144">
        <f t="shared" si="0"/>
        <v>2021</v>
      </c>
      <c r="B144" s="21"/>
      <c r="C144" s="21"/>
      <c r="D144" s="3">
        <v>10.5</v>
      </c>
      <c r="E144" s="3">
        <v>6.6</v>
      </c>
    </row>
    <row r="145" spans="1:5" x14ac:dyDescent="0.55000000000000004">
      <c r="A145">
        <f t="shared" si="0"/>
        <v>2022</v>
      </c>
      <c r="B145" s="21"/>
      <c r="C145" s="21"/>
      <c r="D145" s="3">
        <v>10.3</v>
      </c>
      <c r="E145" s="3">
        <v>6.1</v>
      </c>
    </row>
    <row r="146" spans="1:5" x14ac:dyDescent="0.55000000000000004">
      <c r="A146">
        <f t="shared" si="0"/>
        <v>2023</v>
      </c>
      <c r="B146" s="21"/>
      <c r="C146" s="21"/>
      <c r="D146" s="3">
        <v>10.199999999999999</v>
      </c>
      <c r="E146" s="3">
        <v>5.5</v>
      </c>
    </row>
    <row r="147" spans="1:5" x14ac:dyDescent="0.55000000000000004">
      <c r="B147" s="21"/>
      <c r="C147" s="21"/>
      <c r="D147" s="21"/>
      <c r="E147" s="21"/>
    </row>
    <row r="148" spans="1:5" x14ac:dyDescent="0.55000000000000004">
      <c r="B148" s="21"/>
      <c r="C148" s="21"/>
      <c r="D148" s="21"/>
      <c r="E148" s="21"/>
    </row>
    <row r="149" spans="1:5" x14ac:dyDescent="0.55000000000000004">
      <c r="B149" s="21"/>
      <c r="C149" s="21"/>
      <c r="D149" s="21"/>
      <c r="E149" s="21"/>
    </row>
    <row r="150" spans="1:5" x14ac:dyDescent="0.55000000000000004">
      <c r="B150" s="21"/>
      <c r="C150" s="21"/>
      <c r="D150" s="21"/>
      <c r="E150" s="21"/>
    </row>
    <row r="151" spans="1:5" x14ac:dyDescent="0.55000000000000004">
      <c r="B151" s="21"/>
      <c r="C151" s="21"/>
      <c r="D151" s="21"/>
      <c r="E151" s="21"/>
    </row>
    <row r="152" spans="1:5" x14ac:dyDescent="0.55000000000000004">
      <c r="B152" s="21"/>
      <c r="C152" s="21"/>
      <c r="D152" s="21"/>
      <c r="E152" s="21"/>
    </row>
    <row r="153" spans="1:5" x14ac:dyDescent="0.55000000000000004">
      <c r="B153" s="21"/>
      <c r="C153" s="21"/>
      <c r="D153" s="21"/>
      <c r="E153" s="21"/>
    </row>
    <row r="154" spans="1:5" x14ac:dyDescent="0.55000000000000004">
      <c r="B154" s="21"/>
      <c r="C154" s="21"/>
      <c r="D154" s="21"/>
      <c r="E154" s="21"/>
    </row>
    <row r="155" spans="1:5" x14ac:dyDescent="0.55000000000000004">
      <c r="B155" s="21"/>
      <c r="C155" s="21"/>
      <c r="D155" s="21"/>
      <c r="E155" s="21"/>
    </row>
    <row r="156" spans="1:5" x14ac:dyDescent="0.55000000000000004">
      <c r="B156" s="21"/>
      <c r="C156" s="21"/>
      <c r="D156" s="21"/>
      <c r="E156" s="21"/>
    </row>
    <row r="157" spans="1:5" x14ac:dyDescent="0.55000000000000004">
      <c r="B157" s="21"/>
      <c r="C157" s="21"/>
      <c r="D157" s="21"/>
      <c r="E157" s="21"/>
    </row>
    <row r="158" spans="1:5" x14ac:dyDescent="0.55000000000000004">
      <c r="B158" s="21"/>
      <c r="C158" s="21"/>
      <c r="D158" s="21"/>
      <c r="E158" s="21"/>
    </row>
    <row r="159" spans="1:5" x14ac:dyDescent="0.55000000000000004">
      <c r="B159" s="21"/>
      <c r="C159" s="21"/>
      <c r="D159" s="21"/>
      <c r="E159" s="21"/>
    </row>
    <row r="160" spans="1:5" x14ac:dyDescent="0.55000000000000004">
      <c r="B160" s="21"/>
      <c r="C160" s="21"/>
      <c r="D160" s="21"/>
      <c r="E160" s="21"/>
    </row>
    <row r="161" spans="2:5" x14ac:dyDescent="0.55000000000000004">
      <c r="B161" s="21"/>
      <c r="C161" s="21"/>
      <c r="D161" s="21"/>
      <c r="E161" s="21"/>
    </row>
    <row r="162" spans="2:5" x14ac:dyDescent="0.55000000000000004">
      <c r="B162" s="21"/>
      <c r="C162" s="21"/>
      <c r="D162" s="21"/>
      <c r="E162" s="21"/>
    </row>
    <row r="163" spans="2:5" x14ac:dyDescent="0.55000000000000004">
      <c r="B163" s="21"/>
      <c r="C163" s="21"/>
      <c r="D163" s="21"/>
      <c r="E163" s="21"/>
    </row>
    <row r="164" spans="2:5" x14ac:dyDescent="0.55000000000000004">
      <c r="B164" s="21"/>
      <c r="C164" s="21"/>
      <c r="D164" s="21"/>
      <c r="E164" s="21"/>
    </row>
    <row r="165" spans="2:5" x14ac:dyDescent="0.55000000000000004">
      <c r="B165" s="21"/>
      <c r="C165" s="21"/>
      <c r="D165" s="21"/>
      <c r="E165" s="21"/>
    </row>
    <row r="166" spans="2:5" x14ac:dyDescent="0.55000000000000004">
      <c r="B166" s="21"/>
      <c r="C166" s="21"/>
      <c r="D166" s="21"/>
      <c r="E166" s="21"/>
    </row>
    <row r="167" spans="2:5" x14ac:dyDescent="0.55000000000000004">
      <c r="B167" s="21"/>
      <c r="C167" s="21"/>
      <c r="D167" s="21"/>
      <c r="E167" s="21"/>
    </row>
    <row r="168" spans="2:5" x14ac:dyDescent="0.55000000000000004">
      <c r="B168" s="21"/>
      <c r="C168" s="21"/>
      <c r="D168" s="21"/>
      <c r="E168" s="21"/>
    </row>
    <row r="169" spans="2:5" x14ac:dyDescent="0.55000000000000004">
      <c r="B169" s="21"/>
      <c r="C169" s="21"/>
      <c r="D169" s="21"/>
      <c r="E169" s="21"/>
    </row>
    <row r="170" spans="2:5" x14ac:dyDescent="0.55000000000000004">
      <c r="B170" s="21"/>
      <c r="C170" s="21"/>
      <c r="D170" s="21"/>
      <c r="E170" s="21"/>
    </row>
    <row r="171" spans="2:5" x14ac:dyDescent="0.55000000000000004">
      <c r="B171" s="21"/>
      <c r="C171" s="21"/>
      <c r="D171" s="21"/>
      <c r="E171" s="21"/>
    </row>
    <row r="172" spans="2:5" x14ac:dyDescent="0.55000000000000004">
      <c r="B172" s="21"/>
      <c r="C172" s="21"/>
      <c r="D172" s="21"/>
      <c r="E172" s="21"/>
    </row>
    <row r="173" spans="2:5" x14ac:dyDescent="0.55000000000000004">
      <c r="B173" s="21"/>
      <c r="C173" s="21"/>
      <c r="D173" s="21"/>
      <c r="E173" s="21"/>
    </row>
    <row r="174" spans="2:5" x14ac:dyDescent="0.55000000000000004">
      <c r="B174" s="21"/>
      <c r="C174" s="21"/>
      <c r="D174" s="21"/>
      <c r="E174" s="21"/>
    </row>
    <row r="175" spans="2:5" x14ac:dyDescent="0.55000000000000004">
      <c r="B175" s="21"/>
      <c r="C175" s="21"/>
      <c r="D175" s="21"/>
      <c r="E175" s="21"/>
    </row>
    <row r="176" spans="2:5" x14ac:dyDescent="0.55000000000000004">
      <c r="B176" s="21"/>
      <c r="C176" s="21"/>
      <c r="D176" s="21"/>
      <c r="E176" s="21"/>
    </row>
    <row r="177" spans="2:5" x14ac:dyDescent="0.55000000000000004">
      <c r="B177" s="21"/>
      <c r="C177" s="21"/>
      <c r="D177" s="21"/>
      <c r="E177" s="21"/>
    </row>
    <row r="178" spans="2:5" x14ac:dyDescent="0.55000000000000004">
      <c r="B178" s="21"/>
      <c r="C178" s="21"/>
      <c r="D178" s="21"/>
      <c r="E178" s="21"/>
    </row>
    <row r="179" spans="2:5" x14ac:dyDescent="0.55000000000000004">
      <c r="B179" s="21"/>
      <c r="C179" s="21"/>
      <c r="D179" s="21"/>
      <c r="E179" s="21"/>
    </row>
    <row r="180" spans="2:5" x14ac:dyDescent="0.55000000000000004">
      <c r="B180" s="21"/>
      <c r="C180" s="21"/>
      <c r="D180" s="21"/>
      <c r="E180" s="21"/>
    </row>
    <row r="181" spans="2:5" x14ac:dyDescent="0.55000000000000004">
      <c r="B181" s="21"/>
      <c r="C181" s="21"/>
      <c r="D181" s="21"/>
      <c r="E181" s="21"/>
    </row>
    <row r="182" spans="2:5" x14ac:dyDescent="0.55000000000000004">
      <c r="B182" s="21"/>
      <c r="C182" s="21"/>
      <c r="D182" s="21"/>
      <c r="E182" s="21"/>
    </row>
    <row r="183" spans="2:5" x14ac:dyDescent="0.55000000000000004">
      <c r="B183" s="21"/>
      <c r="C183" s="21"/>
      <c r="D183" s="21"/>
      <c r="E183" s="21"/>
    </row>
    <row r="184" spans="2:5" x14ac:dyDescent="0.55000000000000004">
      <c r="B184" s="21"/>
      <c r="C184" s="21"/>
      <c r="D184" s="21"/>
      <c r="E184" s="21"/>
    </row>
    <row r="185" spans="2:5" x14ac:dyDescent="0.55000000000000004">
      <c r="B185" s="21"/>
      <c r="C185" s="21"/>
      <c r="D185" s="21"/>
      <c r="E185" s="21"/>
    </row>
    <row r="186" spans="2:5" x14ac:dyDescent="0.55000000000000004">
      <c r="B186" s="21"/>
      <c r="C186" s="21"/>
      <c r="D186" s="21"/>
      <c r="E186" s="21"/>
    </row>
    <row r="187" spans="2:5" x14ac:dyDescent="0.55000000000000004">
      <c r="B187" s="21"/>
      <c r="C187" s="21"/>
      <c r="D187" s="21"/>
      <c r="E187" s="21"/>
    </row>
    <row r="188" spans="2:5" x14ac:dyDescent="0.55000000000000004">
      <c r="B188" s="21"/>
      <c r="C188" s="21"/>
      <c r="D188" s="21"/>
      <c r="E188" s="21"/>
    </row>
    <row r="189" spans="2:5" x14ac:dyDescent="0.55000000000000004">
      <c r="B189" s="21"/>
      <c r="C189" s="21"/>
      <c r="D189" s="21"/>
      <c r="E189" s="21"/>
    </row>
    <row r="190" spans="2:5" x14ac:dyDescent="0.55000000000000004">
      <c r="B190" s="21"/>
      <c r="C190" s="21"/>
      <c r="D190" s="21"/>
      <c r="E190" s="21"/>
    </row>
    <row r="191" spans="2:5" x14ac:dyDescent="0.55000000000000004">
      <c r="B191" s="21"/>
      <c r="C191" s="21"/>
      <c r="D191" s="21"/>
      <c r="E191" s="21"/>
    </row>
    <row r="192" spans="2:5" x14ac:dyDescent="0.55000000000000004">
      <c r="B192" s="21"/>
      <c r="C192" s="21"/>
      <c r="D192" s="21"/>
      <c r="E192" s="21"/>
    </row>
    <row r="193" spans="2:5" x14ac:dyDescent="0.55000000000000004">
      <c r="B193" s="21"/>
      <c r="C193" s="21"/>
      <c r="D193" s="21"/>
      <c r="E193" s="21"/>
    </row>
    <row r="194" spans="2:5" x14ac:dyDescent="0.55000000000000004">
      <c r="B194" s="21"/>
      <c r="C194" s="21"/>
      <c r="D194" s="21"/>
      <c r="E194" s="21"/>
    </row>
    <row r="195" spans="2:5" x14ac:dyDescent="0.55000000000000004">
      <c r="B195" s="21"/>
      <c r="C195" s="21"/>
      <c r="D195" s="21"/>
      <c r="E195" s="21"/>
    </row>
    <row r="196" spans="2:5" x14ac:dyDescent="0.55000000000000004">
      <c r="B196" s="21"/>
      <c r="C196" s="21"/>
      <c r="D196" s="21"/>
      <c r="E196" s="21"/>
    </row>
    <row r="197" spans="2:5" x14ac:dyDescent="0.55000000000000004">
      <c r="B197" s="21"/>
      <c r="C197" s="21"/>
      <c r="D197" s="21"/>
      <c r="E197" s="21"/>
    </row>
    <row r="198" spans="2:5" x14ac:dyDescent="0.55000000000000004">
      <c r="B198" s="21"/>
      <c r="C198" s="21"/>
      <c r="D198" s="21"/>
      <c r="E198" s="21"/>
    </row>
    <row r="199" spans="2:5" x14ac:dyDescent="0.55000000000000004">
      <c r="B199" s="21"/>
      <c r="C199" s="21"/>
      <c r="D199" s="21"/>
      <c r="E199" s="21"/>
    </row>
    <row r="200" spans="2:5" x14ac:dyDescent="0.55000000000000004">
      <c r="B200" s="21"/>
      <c r="C200" s="21"/>
      <c r="D200" s="21"/>
      <c r="E200" s="21"/>
    </row>
    <row r="201" spans="2:5" x14ac:dyDescent="0.55000000000000004">
      <c r="B201" s="21"/>
      <c r="C201" s="21"/>
      <c r="D201" s="21"/>
      <c r="E201" s="21"/>
    </row>
    <row r="202" spans="2:5" x14ac:dyDescent="0.55000000000000004">
      <c r="B202" s="21"/>
      <c r="C202" s="21"/>
      <c r="D202" s="21"/>
      <c r="E202" s="21"/>
    </row>
    <row r="203" spans="2:5" x14ac:dyDescent="0.55000000000000004">
      <c r="B203" s="21"/>
      <c r="C203" s="21"/>
      <c r="D203" s="21"/>
      <c r="E203" s="21"/>
    </row>
    <row r="204" spans="2:5" x14ac:dyDescent="0.55000000000000004">
      <c r="B204" s="21"/>
      <c r="C204" s="21"/>
      <c r="D204" s="21"/>
      <c r="E204" s="21"/>
    </row>
    <row r="205" spans="2:5" x14ac:dyDescent="0.55000000000000004">
      <c r="B205" s="21"/>
      <c r="C205" s="21"/>
      <c r="D205" s="21"/>
      <c r="E205" s="21"/>
    </row>
    <row r="206" spans="2:5" x14ac:dyDescent="0.55000000000000004">
      <c r="B206" s="21"/>
      <c r="C206" s="21"/>
      <c r="D206" s="21"/>
      <c r="E206" s="21"/>
    </row>
    <row r="207" spans="2:5" x14ac:dyDescent="0.55000000000000004">
      <c r="B207" s="21"/>
      <c r="C207" s="21"/>
      <c r="D207" s="21"/>
      <c r="E207" s="21"/>
    </row>
    <row r="208" spans="2:5" x14ac:dyDescent="0.55000000000000004">
      <c r="B208" s="21"/>
      <c r="C208" s="21"/>
      <c r="D208" s="21"/>
      <c r="E208" s="21"/>
    </row>
    <row r="209" spans="2:5" x14ac:dyDescent="0.55000000000000004">
      <c r="B209" s="21"/>
      <c r="C209" s="21"/>
      <c r="D209" s="21"/>
      <c r="E209" s="21"/>
    </row>
    <row r="210" spans="2:5" x14ac:dyDescent="0.55000000000000004">
      <c r="B210" s="21"/>
      <c r="C210" s="21"/>
      <c r="D210" s="21"/>
      <c r="E210" s="21"/>
    </row>
    <row r="211" spans="2:5" x14ac:dyDescent="0.55000000000000004">
      <c r="B211" s="21"/>
      <c r="C211" s="21"/>
      <c r="D211" s="21"/>
      <c r="E211" s="21"/>
    </row>
    <row r="212" spans="2:5" x14ac:dyDescent="0.55000000000000004">
      <c r="B212" s="21"/>
      <c r="C212" s="21"/>
      <c r="D212" s="21"/>
      <c r="E212" s="21"/>
    </row>
    <row r="213" spans="2:5" x14ac:dyDescent="0.55000000000000004">
      <c r="B213" s="21"/>
      <c r="C213" s="21"/>
      <c r="D213" s="21"/>
      <c r="E213" s="21"/>
    </row>
    <row r="214" spans="2:5" x14ac:dyDescent="0.55000000000000004">
      <c r="B214" s="21"/>
      <c r="C214" s="21"/>
      <c r="D214" s="21"/>
      <c r="E214" s="21"/>
    </row>
    <row r="215" spans="2:5" x14ac:dyDescent="0.55000000000000004">
      <c r="B215" s="21"/>
      <c r="C215" s="21"/>
      <c r="D215" s="21"/>
      <c r="E215" s="21"/>
    </row>
    <row r="216" spans="2:5" x14ac:dyDescent="0.55000000000000004">
      <c r="B216" s="21"/>
      <c r="C216" s="21"/>
      <c r="D216" s="21"/>
      <c r="E216" s="21"/>
    </row>
    <row r="217" spans="2:5" x14ac:dyDescent="0.55000000000000004">
      <c r="B217" s="21"/>
      <c r="C217" s="21"/>
      <c r="D217" s="21"/>
      <c r="E217" s="21"/>
    </row>
    <row r="218" spans="2:5" x14ac:dyDescent="0.55000000000000004">
      <c r="B218" s="21"/>
      <c r="C218" s="21"/>
      <c r="D218" s="21"/>
      <c r="E218" s="21"/>
    </row>
    <row r="219" spans="2:5" x14ac:dyDescent="0.55000000000000004">
      <c r="B219" s="21"/>
      <c r="C219" s="21"/>
      <c r="D219" s="21"/>
      <c r="E219" s="21"/>
    </row>
    <row r="220" spans="2:5" x14ac:dyDescent="0.55000000000000004">
      <c r="B220" s="21"/>
      <c r="C220" s="21"/>
      <c r="D220" s="21"/>
      <c r="E220" s="21"/>
    </row>
    <row r="221" spans="2:5" x14ac:dyDescent="0.55000000000000004">
      <c r="B221" s="21"/>
      <c r="C221" s="21"/>
      <c r="D221" s="21"/>
      <c r="E221" s="21"/>
    </row>
    <row r="222" spans="2:5" x14ac:dyDescent="0.55000000000000004">
      <c r="B222" s="21"/>
      <c r="C222" s="21"/>
      <c r="D222" s="21"/>
      <c r="E222" s="21"/>
    </row>
    <row r="223" spans="2:5" x14ac:dyDescent="0.55000000000000004">
      <c r="B223" s="21"/>
      <c r="C223" s="21"/>
      <c r="D223" s="21"/>
      <c r="E223" s="21"/>
    </row>
    <row r="224" spans="2:5" x14ac:dyDescent="0.55000000000000004">
      <c r="B224" s="21"/>
      <c r="C224" s="21"/>
      <c r="D224" s="21"/>
      <c r="E224" s="21"/>
    </row>
    <row r="225" spans="2:5" x14ac:dyDescent="0.55000000000000004">
      <c r="B225" s="21"/>
      <c r="C225" s="21"/>
      <c r="D225" s="21"/>
      <c r="E225" s="21"/>
    </row>
    <row r="226" spans="2:5" x14ac:dyDescent="0.55000000000000004">
      <c r="B226" s="21"/>
      <c r="C226" s="21"/>
      <c r="D226" s="21"/>
      <c r="E226" s="21"/>
    </row>
    <row r="227" spans="2:5" x14ac:dyDescent="0.55000000000000004">
      <c r="B227" s="21"/>
      <c r="C227" s="21"/>
      <c r="D227" s="21"/>
      <c r="E227" s="21"/>
    </row>
    <row r="228" spans="2:5" x14ac:dyDescent="0.55000000000000004">
      <c r="B228" s="21"/>
      <c r="C228" s="21"/>
      <c r="D228" s="21"/>
      <c r="E228" s="21"/>
    </row>
    <row r="229" spans="2:5" x14ac:dyDescent="0.55000000000000004">
      <c r="B229" s="21"/>
      <c r="C229" s="21"/>
      <c r="D229" s="21"/>
      <c r="E229" s="21"/>
    </row>
    <row r="230" spans="2:5" x14ac:dyDescent="0.55000000000000004">
      <c r="B230" s="21"/>
      <c r="C230" s="21"/>
      <c r="D230" s="21"/>
      <c r="E230" s="21"/>
    </row>
    <row r="231" spans="2:5" x14ac:dyDescent="0.55000000000000004">
      <c r="B231" s="21"/>
      <c r="C231" s="21"/>
      <c r="D231" s="21"/>
      <c r="E231" s="21"/>
    </row>
    <row r="232" spans="2:5" x14ac:dyDescent="0.55000000000000004">
      <c r="B232" s="21"/>
      <c r="C232" s="21"/>
      <c r="D232" s="21"/>
      <c r="E232" s="21"/>
    </row>
    <row r="233" spans="2:5" x14ac:dyDescent="0.55000000000000004">
      <c r="B233" s="21"/>
      <c r="C233" s="21"/>
      <c r="D233" s="21"/>
      <c r="E233" s="21"/>
    </row>
    <row r="234" spans="2:5" x14ac:dyDescent="0.55000000000000004">
      <c r="B234" s="21"/>
      <c r="C234" s="21"/>
      <c r="D234" s="21"/>
      <c r="E234" s="21"/>
    </row>
    <row r="235" spans="2:5" x14ac:dyDescent="0.55000000000000004">
      <c r="B235" s="21"/>
      <c r="C235" s="21"/>
      <c r="D235" s="21"/>
      <c r="E235" s="21"/>
    </row>
    <row r="236" spans="2:5" x14ac:dyDescent="0.55000000000000004">
      <c r="B236" s="21"/>
      <c r="C236" s="21"/>
      <c r="D236" s="21"/>
      <c r="E236" s="21"/>
    </row>
    <row r="237" spans="2:5" x14ac:dyDescent="0.55000000000000004">
      <c r="B237" s="21"/>
      <c r="C237" s="21"/>
      <c r="D237" s="21"/>
      <c r="E237" s="21"/>
    </row>
    <row r="238" spans="2:5" x14ac:dyDescent="0.55000000000000004">
      <c r="B238" s="21"/>
      <c r="C238" s="21"/>
      <c r="D238" s="21"/>
      <c r="E238" s="21"/>
    </row>
    <row r="239" spans="2:5" x14ac:dyDescent="0.55000000000000004">
      <c r="B239" s="21"/>
      <c r="C239" s="21"/>
      <c r="D239" s="21"/>
      <c r="E239" s="21"/>
    </row>
    <row r="240" spans="2:5" x14ac:dyDescent="0.55000000000000004">
      <c r="B240" s="21"/>
      <c r="C240" s="21"/>
      <c r="D240" s="21"/>
      <c r="E240" s="21"/>
    </row>
    <row r="241" spans="2:5" x14ac:dyDescent="0.55000000000000004">
      <c r="B241" s="21"/>
      <c r="C241" s="21"/>
      <c r="D241" s="21"/>
      <c r="E241" s="21"/>
    </row>
    <row r="242" spans="2:5" x14ac:dyDescent="0.55000000000000004">
      <c r="B242" s="21"/>
      <c r="C242" s="21"/>
      <c r="D242" s="21"/>
      <c r="E242" s="21"/>
    </row>
    <row r="243" spans="2:5" x14ac:dyDescent="0.55000000000000004">
      <c r="B243" s="21"/>
      <c r="C243" s="21"/>
      <c r="D243" s="21"/>
      <c r="E243" s="21"/>
    </row>
    <row r="244" spans="2:5" x14ac:dyDescent="0.55000000000000004">
      <c r="B244" s="21"/>
      <c r="C244" s="21"/>
      <c r="D244" s="21"/>
      <c r="E244" s="21"/>
    </row>
    <row r="245" spans="2:5" x14ac:dyDescent="0.55000000000000004">
      <c r="B245" s="21"/>
      <c r="C245" s="21"/>
      <c r="D245" s="21"/>
      <c r="E245" s="21"/>
    </row>
    <row r="246" spans="2:5" x14ac:dyDescent="0.55000000000000004">
      <c r="B246" s="21"/>
      <c r="C246" s="21"/>
      <c r="D246" s="21"/>
      <c r="E246" s="21"/>
    </row>
    <row r="247" spans="2:5" x14ac:dyDescent="0.55000000000000004">
      <c r="B247" s="21"/>
      <c r="C247" s="21"/>
      <c r="D247" s="21"/>
      <c r="E247" s="21"/>
    </row>
    <row r="248" spans="2:5" x14ac:dyDescent="0.55000000000000004">
      <c r="B248" s="21"/>
      <c r="C248" s="21"/>
      <c r="D248" s="21"/>
      <c r="E248" s="21"/>
    </row>
    <row r="249" spans="2:5" x14ac:dyDescent="0.55000000000000004">
      <c r="B249" s="21"/>
      <c r="C249" s="21"/>
      <c r="D249" s="21"/>
      <c r="E249" s="21"/>
    </row>
    <row r="250" spans="2:5" x14ac:dyDescent="0.55000000000000004">
      <c r="B250" s="21"/>
      <c r="C250" s="21"/>
      <c r="D250" s="21"/>
      <c r="E250" s="21"/>
    </row>
    <row r="251" spans="2:5" x14ac:dyDescent="0.55000000000000004">
      <c r="B251" s="21"/>
      <c r="C251" s="21"/>
      <c r="D251" s="21"/>
      <c r="E251" s="21"/>
    </row>
    <row r="252" spans="2:5" x14ac:dyDescent="0.55000000000000004">
      <c r="B252" s="21"/>
      <c r="C252" s="21"/>
      <c r="D252" s="21"/>
      <c r="E252" s="21"/>
    </row>
    <row r="253" spans="2:5" x14ac:dyDescent="0.55000000000000004">
      <c r="B253" s="21"/>
      <c r="C253" s="21"/>
      <c r="D253" s="21"/>
      <c r="E253" s="21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28" t="s">
        <v>115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E93"/>
  <sheetViews>
    <sheetView workbookViewId="0">
      <selection activeCell="A2" sqref="A2:E93"/>
    </sheetView>
  </sheetViews>
  <sheetFormatPr defaultRowHeight="14.4" x14ac:dyDescent="0.55000000000000004"/>
  <sheetData>
    <row r="1" spans="1:5" x14ac:dyDescent="0.55000000000000004">
      <c r="A1" s="1"/>
      <c r="B1" s="28" t="s">
        <v>115</v>
      </c>
      <c r="C1" s="28"/>
      <c r="D1" s="28" t="s">
        <v>75</v>
      </c>
      <c r="E1" s="28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1933</v>
      </c>
      <c r="B3" s="21">
        <v>39.159999999999997</v>
      </c>
      <c r="C3" s="21">
        <v>29.18</v>
      </c>
      <c r="D3" s="21"/>
      <c r="E3" s="21"/>
    </row>
    <row r="4" spans="1:5" x14ac:dyDescent="0.55000000000000004">
      <c r="A4">
        <v>1934</v>
      </c>
      <c r="B4" s="21">
        <v>40.67</v>
      </c>
      <c r="C4" s="21">
        <v>31.86</v>
      </c>
      <c r="D4" s="21"/>
      <c r="E4" s="21"/>
    </row>
    <row r="5" spans="1:5" x14ac:dyDescent="0.55000000000000004">
      <c r="A5">
        <v>1935</v>
      </c>
      <c r="B5" s="21">
        <v>46.5</v>
      </c>
      <c r="C5" s="21">
        <v>32.47</v>
      </c>
      <c r="D5" s="21"/>
      <c r="E5" s="21"/>
    </row>
    <row r="6" spans="1:5" x14ac:dyDescent="0.55000000000000004">
      <c r="A6">
        <v>1936</v>
      </c>
      <c r="B6" s="21">
        <v>46.45</v>
      </c>
      <c r="C6" s="21">
        <v>31.14</v>
      </c>
      <c r="D6" s="21"/>
      <c r="E6" s="21"/>
    </row>
    <row r="7" spans="1:5" x14ac:dyDescent="0.55000000000000004">
      <c r="A7">
        <v>1937</v>
      </c>
      <c r="B7" s="21">
        <v>46.67</v>
      </c>
      <c r="C7" s="21">
        <v>30.47</v>
      </c>
      <c r="D7" s="21"/>
      <c r="E7" s="21"/>
    </row>
    <row r="8" spans="1:5" x14ac:dyDescent="0.55000000000000004">
      <c r="A8">
        <v>1938</v>
      </c>
      <c r="B8" s="21">
        <v>47.72</v>
      </c>
      <c r="C8" s="21">
        <v>30.02</v>
      </c>
      <c r="D8" s="21"/>
      <c r="E8" s="21"/>
    </row>
    <row r="9" spans="1:5" x14ac:dyDescent="0.55000000000000004">
      <c r="A9">
        <v>1939</v>
      </c>
      <c r="B9" s="21">
        <v>45.92</v>
      </c>
      <c r="C9" s="21">
        <v>29.73</v>
      </c>
      <c r="D9" s="21"/>
      <c r="E9" s="21"/>
    </row>
    <row r="10" spans="1:5" x14ac:dyDescent="0.55000000000000004">
      <c r="A10">
        <v>1940</v>
      </c>
      <c r="B10" s="21">
        <v>47.26</v>
      </c>
      <c r="C10" s="21">
        <v>36.24</v>
      </c>
      <c r="D10" s="21"/>
      <c r="E10" s="21"/>
    </row>
    <row r="11" spans="1:5" x14ac:dyDescent="0.55000000000000004">
      <c r="A11">
        <v>1941</v>
      </c>
      <c r="B11" s="21">
        <v>46.78</v>
      </c>
      <c r="C11" s="21">
        <v>32.68</v>
      </c>
      <c r="D11" s="21"/>
      <c r="E11" s="21"/>
    </row>
    <row r="12" spans="1:5" x14ac:dyDescent="0.55000000000000004">
      <c r="A12">
        <v>1942</v>
      </c>
      <c r="B12" s="21">
        <v>47.61</v>
      </c>
      <c r="C12" s="21">
        <v>42.82</v>
      </c>
      <c r="D12" s="21"/>
      <c r="E12" s="21"/>
    </row>
    <row r="13" spans="1:5" x14ac:dyDescent="0.55000000000000004">
      <c r="A13">
        <v>1943</v>
      </c>
      <c r="B13" s="21">
        <v>44.23</v>
      </c>
      <c r="C13" s="21">
        <v>34.06</v>
      </c>
      <c r="D13" s="21"/>
      <c r="E13" s="21"/>
    </row>
    <row r="14" spans="1:5" x14ac:dyDescent="0.55000000000000004">
      <c r="A14">
        <v>1944</v>
      </c>
      <c r="B14" s="21">
        <v>49.98</v>
      </c>
      <c r="C14" s="21">
        <v>35.18</v>
      </c>
      <c r="D14" s="21"/>
      <c r="E14" s="21"/>
    </row>
    <row r="15" spans="1:5" x14ac:dyDescent="0.55000000000000004">
      <c r="A15">
        <v>1945</v>
      </c>
      <c r="B15" s="21">
        <v>50.58</v>
      </c>
      <c r="C15" s="21">
        <v>29.34</v>
      </c>
      <c r="D15" s="21"/>
      <c r="E15" s="21"/>
    </row>
    <row r="16" spans="1:5" x14ac:dyDescent="0.55000000000000004">
      <c r="A16">
        <v>1946</v>
      </c>
      <c r="B16" s="21">
        <v>51.26</v>
      </c>
      <c r="C16" s="21">
        <v>28.48</v>
      </c>
      <c r="D16" s="21"/>
      <c r="E16" s="21"/>
    </row>
    <row r="17" spans="1:5" x14ac:dyDescent="0.55000000000000004">
      <c r="A17">
        <v>1947</v>
      </c>
      <c r="B17" s="21">
        <v>52.28</v>
      </c>
      <c r="C17" s="21">
        <v>30.75</v>
      </c>
      <c r="D17" s="21"/>
      <c r="E17" s="21"/>
    </row>
    <row r="18" spans="1:5" x14ac:dyDescent="0.55000000000000004">
      <c r="A18">
        <v>1948</v>
      </c>
      <c r="B18" s="21">
        <v>46.74</v>
      </c>
      <c r="C18" s="21">
        <v>32.6</v>
      </c>
      <c r="D18" s="21"/>
      <c r="E18" s="21"/>
    </row>
    <row r="19" spans="1:5" x14ac:dyDescent="0.55000000000000004">
      <c r="A19">
        <v>1949</v>
      </c>
      <c r="B19" s="21">
        <v>52.75</v>
      </c>
      <c r="C19" s="21">
        <v>26.62</v>
      </c>
      <c r="D19" s="21"/>
      <c r="E19" s="21"/>
    </row>
    <row r="20" spans="1:5" x14ac:dyDescent="0.55000000000000004">
      <c r="A20">
        <v>1950</v>
      </c>
      <c r="B20" s="21">
        <v>53.24</v>
      </c>
      <c r="C20" s="21">
        <v>24.86</v>
      </c>
      <c r="D20" s="21">
        <v>54.1</v>
      </c>
      <c r="E20" s="21">
        <v>24</v>
      </c>
    </row>
    <row r="21" spans="1:5" x14ac:dyDescent="0.55000000000000004">
      <c r="A21">
        <v>1951</v>
      </c>
      <c r="B21" s="21">
        <v>53.49</v>
      </c>
      <c r="C21" s="21">
        <v>21.3</v>
      </c>
      <c r="D21" s="21">
        <v>53.7</v>
      </c>
      <c r="E21" s="21">
        <v>23.9</v>
      </c>
    </row>
    <row r="22" spans="1:5" x14ac:dyDescent="0.55000000000000004">
      <c r="A22">
        <v>1952</v>
      </c>
      <c r="B22" s="21">
        <v>55.77</v>
      </c>
      <c r="C22" s="21">
        <v>24.5</v>
      </c>
      <c r="D22" s="21">
        <v>53.1</v>
      </c>
      <c r="E22" s="21">
        <v>23</v>
      </c>
    </row>
    <row r="23" spans="1:5" x14ac:dyDescent="0.55000000000000004">
      <c r="A23">
        <v>1953</v>
      </c>
      <c r="B23" s="21">
        <v>55.26</v>
      </c>
      <c r="C23" s="21">
        <v>23.4</v>
      </c>
      <c r="D23" s="21">
        <v>52.7</v>
      </c>
      <c r="E23" s="21">
        <v>22.5</v>
      </c>
    </row>
    <row r="24" spans="1:5" x14ac:dyDescent="0.55000000000000004">
      <c r="A24">
        <v>1954</v>
      </c>
      <c r="B24" s="21">
        <v>56.32</v>
      </c>
      <c r="C24" s="21">
        <v>21.96</v>
      </c>
      <c r="D24" s="21">
        <v>52.3</v>
      </c>
      <c r="E24" s="21">
        <v>21.9</v>
      </c>
    </row>
    <row r="25" spans="1:5" x14ac:dyDescent="0.55000000000000004">
      <c r="A25">
        <v>1955</v>
      </c>
      <c r="B25" s="21">
        <v>52.96</v>
      </c>
      <c r="C25" s="21">
        <v>20.69</v>
      </c>
      <c r="D25" s="21">
        <v>52</v>
      </c>
      <c r="E25" s="21">
        <v>21.4</v>
      </c>
    </row>
    <row r="26" spans="1:5" x14ac:dyDescent="0.55000000000000004">
      <c r="A26">
        <v>1956</v>
      </c>
      <c r="B26" s="21">
        <v>51.78</v>
      </c>
      <c r="C26" s="21">
        <v>18.28</v>
      </c>
      <c r="D26" s="21">
        <v>51.6</v>
      </c>
      <c r="E26" s="21">
        <v>20.8</v>
      </c>
    </row>
    <row r="27" spans="1:5" x14ac:dyDescent="0.55000000000000004">
      <c r="A27">
        <v>1957</v>
      </c>
      <c r="B27" s="21">
        <v>53.34</v>
      </c>
      <c r="C27" s="21">
        <v>19.55</v>
      </c>
      <c r="D27" s="21">
        <v>51.3</v>
      </c>
      <c r="E27" s="21">
        <v>20.2</v>
      </c>
    </row>
    <row r="28" spans="1:5" x14ac:dyDescent="0.55000000000000004">
      <c r="A28">
        <v>1958</v>
      </c>
      <c r="B28" s="21">
        <v>51.25</v>
      </c>
      <c r="C28" s="21">
        <v>21.43</v>
      </c>
      <c r="D28" s="21">
        <v>50.9</v>
      </c>
      <c r="E28" s="21">
        <v>19.7</v>
      </c>
    </row>
    <row r="29" spans="1:5" x14ac:dyDescent="0.55000000000000004">
      <c r="A29">
        <v>1959</v>
      </c>
      <c r="B29" s="21">
        <v>55.52</v>
      </c>
      <c r="C29" s="21">
        <v>19.54</v>
      </c>
      <c r="D29" s="21">
        <v>50.5</v>
      </c>
      <c r="E29" s="21">
        <v>19.100000000000001</v>
      </c>
    </row>
    <row r="30" spans="1:5" x14ac:dyDescent="0.55000000000000004">
      <c r="A30">
        <v>1960</v>
      </c>
      <c r="B30" s="21">
        <v>53.71</v>
      </c>
      <c r="C30" s="21">
        <v>19.850000000000001</v>
      </c>
      <c r="D30" s="21">
        <v>50</v>
      </c>
      <c r="E30" s="21">
        <v>18.8</v>
      </c>
    </row>
    <row r="31" spans="1:5" x14ac:dyDescent="0.55000000000000004">
      <c r="A31">
        <v>1961</v>
      </c>
      <c r="B31" s="21">
        <v>50.78</v>
      </c>
      <c r="C31" s="21">
        <v>18.5</v>
      </c>
      <c r="D31" s="21">
        <v>49.3</v>
      </c>
      <c r="E31" s="21">
        <v>18</v>
      </c>
    </row>
    <row r="32" spans="1:5" x14ac:dyDescent="0.55000000000000004">
      <c r="A32">
        <v>1962</v>
      </c>
      <c r="B32" s="21">
        <v>52.02</v>
      </c>
      <c r="C32" s="21">
        <v>17.38</v>
      </c>
      <c r="D32" s="21">
        <v>48.9</v>
      </c>
      <c r="E32" s="21">
        <v>17.399999999999999</v>
      </c>
    </row>
    <row r="33" spans="1:5" x14ac:dyDescent="0.55000000000000004">
      <c r="A33">
        <v>1963</v>
      </c>
      <c r="B33" s="21">
        <v>51.69</v>
      </c>
      <c r="C33" s="21">
        <v>16.52</v>
      </c>
      <c r="D33" s="21">
        <v>48.5</v>
      </c>
      <c r="E33" s="21">
        <v>16.8</v>
      </c>
    </row>
    <row r="34" spans="1:5" x14ac:dyDescent="0.55000000000000004">
      <c r="A34">
        <v>1964</v>
      </c>
      <c r="B34" s="21">
        <v>50.56</v>
      </c>
      <c r="C34" s="21">
        <v>16.43</v>
      </c>
      <c r="D34" s="21">
        <v>48.2</v>
      </c>
      <c r="E34" s="21">
        <v>16.2</v>
      </c>
    </row>
    <row r="35" spans="1:5" x14ac:dyDescent="0.55000000000000004">
      <c r="A35">
        <v>1965</v>
      </c>
      <c r="B35" s="21">
        <v>49.03</v>
      </c>
      <c r="C35" s="21">
        <v>14.58</v>
      </c>
      <c r="D35" s="21">
        <v>47.9</v>
      </c>
      <c r="E35" s="21">
        <v>15.5</v>
      </c>
    </row>
    <row r="36" spans="1:5" x14ac:dyDescent="0.55000000000000004">
      <c r="A36">
        <v>1966</v>
      </c>
      <c r="B36" s="21">
        <v>48.17</v>
      </c>
      <c r="C36" s="21">
        <v>13.26</v>
      </c>
      <c r="D36" s="21">
        <v>47.6</v>
      </c>
      <c r="E36" s="21">
        <v>14.9</v>
      </c>
    </row>
    <row r="37" spans="1:5" x14ac:dyDescent="0.55000000000000004">
      <c r="A37">
        <v>1967</v>
      </c>
      <c r="B37" s="21">
        <v>50.44</v>
      </c>
      <c r="C37" s="21">
        <v>16.059999999999999</v>
      </c>
      <c r="D37" s="21">
        <v>47.4</v>
      </c>
      <c r="E37" s="21">
        <v>14.4</v>
      </c>
    </row>
    <row r="38" spans="1:5" x14ac:dyDescent="0.55000000000000004">
      <c r="A38">
        <v>1968</v>
      </c>
      <c r="B38" s="21">
        <v>50.52</v>
      </c>
      <c r="C38" s="21">
        <v>16.48</v>
      </c>
      <c r="D38" s="21">
        <v>47.2</v>
      </c>
      <c r="E38" s="21">
        <v>14</v>
      </c>
    </row>
    <row r="39" spans="1:5" x14ac:dyDescent="0.55000000000000004">
      <c r="A39">
        <v>1969</v>
      </c>
      <c r="B39" s="21">
        <v>49.24</v>
      </c>
      <c r="C39" s="21">
        <v>15.5</v>
      </c>
      <c r="D39" s="21">
        <v>47</v>
      </c>
      <c r="E39" s="21">
        <v>13.7</v>
      </c>
    </row>
    <row r="40" spans="1:5" x14ac:dyDescent="0.55000000000000004">
      <c r="A40">
        <v>1970</v>
      </c>
      <c r="B40" s="21">
        <v>51.87</v>
      </c>
      <c r="C40" s="21">
        <v>12.84</v>
      </c>
      <c r="D40" s="21">
        <v>46.8</v>
      </c>
      <c r="E40" s="21">
        <v>13.4</v>
      </c>
    </row>
    <row r="41" spans="1:5" x14ac:dyDescent="0.55000000000000004">
      <c r="A41">
        <v>1971</v>
      </c>
      <c r="B41" s="21">
        <v>46.61</v>
      </c>
      <c r="C41" s="21">
        <v>10.45</v>
      </c>
      <c r="D41" s="21">
        <v>46.8</v>
      </c>
      <c r="E41" s="21">
        <v>13.1</v>
      </c>
    </row>
    <row r="42" spans="1:5" x14ac:dyDescent="0.55000000000000004">
      <c r="A42">
        <v>1972</v>
      </c>
      <c r="B42" s="21">
        <v>49.84</v>
      </c>
      <c r="C42" s="21">
        <v>19.23</v>
      </c>
      <c r="D42" s="21">
        <v>46.7</v>
      </c>
      <c r="E42" s="21">
        <v>16.8</v>
      </c>
    </row>
    <row r="43" spans="1:5" x14ac:dyDescent="0.55000000000000004">
      <c r="A43">
        <v>1973</v>
      </c>
      <c r="B43" s="21">
        <v>45.57</v>
      </c>
      <c r="C43" s="21">
        <v>11.1</v>
      </c>
      <c r="D43" s="21">
        <v>46.4</v>
      </c>
      <c r="E43" s="21">
        <v>12.5</v>
      </c>
    </row>
    <row r="44" spans="1:5" x14ac:dyDescent="0.55000000000000004">
      <c r="A44">
        <v>1974</v>
      </c>
      <c r="B44" s="21">
        <v>48.84</v>
      </c>
      <c r="C44" s="21">
        <v>10.57</v>
      </c>
      <c r="D44" s="21">
        <v>46.2</v>
      </c>
      <c r="E44" s="21">
        <v>12.3</v>
      </c>
    </row>
    <row r="45" spans="1:5" x14ac:dyDescent="0.55000000000000004">
      <c r="A45">
        <v>1975</v>
      </c>
      <c r="B45" s="21">
        <v>48.42</v>
      </c>
      <c r="C45" s="21">
        <v>9.89</v>
      </c>
      <c r="D45" s="21">
        <v>45.9</v>
      </c>
      <c r="E45" s="21">
        <v>12.1</v>
      </c>
    </row>
    <row r="46" spans="1:5" x14ac:dyDescent="0.55000000000000004">
      <c r="A46">
        <v>1976</v>
      </c>
      <c r="B46" s="21">
        <v>48.32</v>
      </c>
      <c r="C46" s="21">
        <v>12.33</v>
      </c>
      <c r="D46" s="21">
        <v>45.6</v>
      </c>
      <c r="E46" s="21">
        <v>11.8</v>
      </c>
    </row>
    <row r="47" spans="1:5" x14ac:dyDescent="0.55000000000000004">
      <c r="A47">
        <v>1977</v>
      </c>
      <c r="B47" s="21">
        <v>47.67</v>
      </c>
      <c r="C47" s="21">
        <v>12.64</v>
      </c>
      <c r="D47" s="21">
        <v>45.3</v>
      </c>
      <c r="E47" s="21">
        <v>11.7</v>
      </c>
    </row>
    <row r="48" spans="1:5" x14ac:dyDescent="0.55000000000000004">
      <c r="A48">
        <v>1978</v>
      </c>
      <c r="B48" s="21">
        <v>47.1</v>
      </c>
      <c r="C48" s="21">
        <v>12.26</v>
      </c>
      <c r="D48" s="21">
        <v>44.9</v>
      </c>
      <c r="E48" s="21">
        <v>12.9</v>
      </c>
    </row>
    <row r="49" spans="1:5" x14ac:dyDescent="0.55000000000000004">
      <c r="A49">
        <v>1979</v>
      </c>
      <c r="B49" s="21">
        <v>45.95</v>
      </c>
      <c r="C49" s="21">
        <v>11.66</v>
      </c>
      <c r="D49" s="21">
        <v>44.6</v>
      </c>
      <c r="E49" s="21">
        <v>14.1</v>
      </c>
    </row>
    <row r="50" spans="1:5" x14ac:dyDescent="0.55000000000000004">
      <c r="A50">
        <v>1980</v>
      </c>
      <c r="B50" s="21">
        <v>45.68</v>
      </c>
      <c r="C50" s="21">
        <v>11.4</v>
      </c>
      <c r="D50" s="21">
        <v>44.1</v>
      </c>
      <c r="E50" s="21">
        <v>10.7</v>
      </c>
    </row>
    <row r="51" spans="1:5" x14ac:dyDescent="0.55000000000000004">
      <c r="A51">
        <v>1981</v>
      </c>
      <c r="B51" s="21">
        <v>45.4</v>
      </c>
      <c r="C51" s="21">
        <v>11.05</v>
      </c>
      <c r="D51" s="21">
        <v>43.4</v>
      </c>
      <c r="E51" s="21">
        <v>10.4</v>
      </c>
    </row>
    <row r="52" spans="1:5" x14ac:dyDescent="0.55000000000000004">
      <c r="A52">
        <v>1982</v>
      </c>
      <c r="B52" s="21">
        <v>45.37</v>
      </c>
      <c r="C52" s="21">
        <v>11.01</v>
      </c>
      <c r="D52" s="21">
        <v>42.8</v>
      </c>
      <c r="E52" s="21">
        <v>10.1</v>
      </c>
    </row>
    <row r="53" spans="1:5" x14ac:dyDescent="0.55000000000000004">
      <c r="A53">
        <v>1983</v>
      </c>
      <c r="B53" s="21">
        <v>44.92</v>
      </c>
      <c r="C53" s="21">
        <v>9.66</v>
      </c>
      <c r="D53" s="21">
        <v>42.1</v>
      </c>
      <c r="E53" s="21">
        <v>10.7</v>
      </c>
    </row>
    <row r="54" spans="1:5" x14ac:dyDescent="0.55000000000000004">
      <c r="A54">
        <v>1984</v>
      </c>
      <c r="B54" s="21">
        <v>44.81</v>
      </c>
      <c r="C54" s="21">
        <v>9.9</v>
      </c>
      <c r="D54" s="21">
        <v>41.3</v>
      </c>
      <c r="E54" s="21">
        <v>10.9</v>
      </c>
    </row>
    <row r="55" spans="1:5" x14ac:dyDescent="0.55000000000000004">
      <c r="A55">
        <v>1985</v>
      </c>
      <c r="B55" s="21">
        <v>45.91</v>
      </c>
      <c r="C55" s="21">
        <v>10</v>
      </c>
      <c r="D55" s="21">
        <v>40.6</v>
      </c>
      <c r="E55" s="21">
        <v>10.7</v>
      </c>
    </row>
    <row r="56" spans="1:5" x14ac:dyDescent="0.55000000000000004">
      <c r="A56">
        <v>1986</v>
      </c>
      <c r="B56" s="21">
        <v>43.32</v>
      </c>
      <c r="C56" s="21">
        <v>8.3000000000000007</v>
      </c>
      <c r="D56" s="21">
        <v>39.799999999999997</v>
      </c>
      <c r="E56" s="21">
        <v>10.1</v>
      </c>
    </row>
    <row r="57" spans="1:5" x14ac:dyDescent="0.55000000000000004">
      <c r="A57">
        <v>1987</v>
      </c>
      <c r="B57" s="21">
        <v>44.03</v>
      </c>
      <c r="C57" s="21">
        <v>8.3699999999999992</v>
      </c>
      <c r="D57" s="21">
        <v>39.1</v>
      </c>
      <c r="E57" s="21">
        <v>10</v>
      </c>
    </row>
    <row r="58" spans="1:5" x14ac:dyDescent="0.55000000000000004">
      <c r="A58">
        <v>1988</v>
      </c>
      <c r="B58" s="21">
        <v>44.22</v>
      </c>
      <c r="C58" s="21">
        <v>8.43</v>
      </c>
      <c r="D58" s="21">
        <v>38.4</v>
      </c>
      <c r="E58" s="21">
        <v>8.9</v>
      </c>
    </row>
    <row r="59" spans="1:5" x14ac:dyDescent="0.55000000000000004">
      <c r="A59">
        <v>1989</v>
      </c>
      <c r="B59" s="21">
        <v>42.64</v>
      </c>
      <c r="C59" s="21">
        <v>8.5299999999999994</v>
      </c>
      <c r="D59" s="21">
        <v>37.5</v>
      </c>
      <c r="E59" s="21">
        <v>8</v>
      </c>
    </row>
    <row r="60" spans="1:5" x14ac:dyDescent="0.55000000000000004">
      <c r="A60">
        <v>1990</v>
      </c>
      <c r="B60" s="21">
        <v>41.17</v>
      </c>
      <c r="C60" s="21">
        <v>9.86</v>
      </c>
      <c r="D60" s="21">
        <v>36.6</v>
      </c>
      <c r="E60" s="21">
        <v>7.7</v>
      </c>
    </row>
    <row r="61" spans="1:5" x14ac:dyDescent="0.55000000000000004">
      <c r="A61">
        <f>A60+1</f>
        <v>1991</v>
      </c>
      <c r="B61" s="21"/>
      <c r="C61" s="21"/>
      <c r="D61" s="21">
        <v>35.799999999999997</v>
      </c>
      <c r="E61" s="21">
        <v>7.3</v>
      </c>
    </row>
    <row r="62" spans="1:5" x14ac:dyDescent="0.55000000000000004">
      <c r="A62">
        <f t="shared" ref="A62:A93" si="0">A61+1</f>
        <v>1992</v>
      </c>
      <c r="B62" s="21"/>
      <c r="C62" s="21"/>
      <c r="D62" s="21">
        <v>34.9</v>
      </c>
      <c r="E62" s="21">
        <v>7</v>
      </c>
    </row>
    <row r="63" spans="1:5" x14ac:dyDescent="0.55000000000000004">
      <c r="A63">
        <f t="shared" si="0"/>
        <v>1993</v>
      </c>
      <c r="B63" s="21"/>
      <c r="C63" s="21"/>
      <c r="D63" s="21">
        <v>33.9</v>
      </c>
      <c r="E63" s="21">
        <v>6.8</v>
      </c>
    </row>
    <row r="64" spans="1:5" x14ac:dyDescent="0.55000000000000004">
      <c r="A64">
        <f t="shared" si="0"/>
        <v>1994</v>
      </c>
      <c r="B64" s="21"/>
      <c r="C64" s="21"/>
      <c r="D64" s="21">
        <v>32.9</v>
      </c>
      <c r="E64" s="21">
        <v>6.6</v>
      </c>
    </row>
    <row r="65" spans="1:5" x14ac:dyDescent="0.55000000000000004">
      <c r="A65">
        <f t="shared" si="0"/>
        <v>1995</v>
      </c>
      <c r="B65" s="21"/>
      <c r="C65" s="21"/>
      <c r="D65" s="21">
        <v>31.9</v>
      </c>
      <c r="E65" s="21">
        <v>6.4</v>
      </c>
    </row>
    <row r="66" spans="1:5" x14ac:dyDescent="0.55000000000000004">
      <c r="A66">
        <f t="shared" si="0"/>
        <v>1996</v>
      </c>
      <c r="B66" s="21"/>
      <c r="C66" s="21"/>
      <c r="D66" s="21">
        <v>31</v>
      </c>
      <c r="E66" s="21">
        <v>6.3</v>
      </c>
    </row>
    <row r="67" spans="1:5" x14ac:dyDescent="0.55000000000000004">
      <c r="A67">
        <f t="shared" si="0"/>
        <v>1997</v>
      </c>
      <c r="B67" s="21"/>
      <c r="C67" s="21"/>
      <c r="D67" s="21">
        <v>30</v>
      </c>
      <c r="E67" s="21">
        <v>6.2</v>
      </c>
    </row>
    <row r="68" spans="1:5" x14ac:dyDescent="0.55000000000000004">
      <c r="A68">
        <f t="shared" si="0"/>
        <v>1998</v>
      </c>
      <c r="B68" s="21"/>
      <c r="C68" s="21"/>
      <c r="D68" s="21">
        <v>29.2</v>
      </c>
      <c r="E68" s="21">
        <v>6.9</v>
      </c>
    </row>
    <row r="69" spans="1:5" x14ac:dyDescent="0.55000000000000004">
      <c r="A69">
        <f t="shared" si="0"/>
        <v>1999</v>
      </c>
      <c r="B69" s="21"/>
      <c r="C69" s="21"/>
      <c r="D69" s="21">
        <v>28.5</v>
      </c>
      <c r="E69" s="21">
        <v>6.2</v>
      </c>
    </row>
    <row r="70" spans="1:5" x14ac:dyDescent="0.55000000000000004">
      <c r="A70">
        <f t="shared" si="0"/>
        <v>2000</v>
      </c>
      <c r="B70" s="21"/>
      <c r="C70" s="21"/>
      <c r="D70" s="21">
        <v>27.9</v>
      </c>
      <c r="E70" s="21">
        <v>6.1</v>
      </c>
    </row>
    <row r="71" spans="1:5" x14ac:dyDescent="0.55000000000000004">
      <c r="A71">
        <f t="shared" si="0"/>
        <v>2001</v>
      </c>
      <c r="B71" s="21"/>
      <c r="C71" s="21"/>
      <c r="D71" s="21">
        <v>27</v>
      </c>
      <c r="E71" s="21">
        <v>6</v>
      </c>
    </row>
    <row r="72" spans="1:5" x14ac:dyDescent="0.55000000000000004">
      <c r="A72">
        <f t="shared" si="0"/>
        <v>2002</v>
      </c>
      <c r="B72" s="21"/>
      <c r="C72" s="21"/>
      <c r="D72" s="21">
        <v>26.3</v>
      </c>
      <c r="E72" s="21">
        <v>5.7</v>
      </c>
    </row>
    <row r="73" spans="1:5" x14ac:dyDescent="0.55000000000000004">
      <c r="A73">
        <f t="shared" si="0"/>
        <v>2003</v>
      </c>
      <c r="B73" s="21"/>
      <c r="C73" s="21"/>
      <c r="D73" s="21">
        <v>25.9</v>
      </c>
      <c r="E73" s="21">
        <v>5.6</v>
      </c>
    </row>
    <row r="74" spans="1:5" x14ac:dyDescent="0.55000000000000004">
      <c r="A74">
        <f t="shared" si="0"/>
        <v>2004</v>
      </c>
      <c r="B74" s="21"/>
      <c r="C74" s="21"/>
      <c r="D74" s="21">
        <v>25.7</v>
      </c>
      <c r="E74" s="21">
        <v>5.4</v>
      </c>
    </row>
    <row r="75" spans="1:5" x14ac:dyDescent="0.55000000000000004">
      <c r="A75">
        <f t="shared" si="0"/>
        <v>2005</v>
      </c>
      <c r="B75" s="21"/>
      <c r="C75" s="21"/>
      <c r="D75" s="21">
        <v>25.6</v>
      </c>
      <c r="E75" s="21">
        <v>5.2</v>
      </c>
    </row>
    <row r="76" spans="1:5" x14ac:dyDescent="0.55000000000000004">
      <c r="A76">
        <f t="shared" si="0"/>
        <v>2006</v>
      </c>
      <c r="B76" s="21"/>
      <c r="C76" s="21"/>
      <c r="D76" s="21">
        <v>25.4</v>
      </c>
      <c r="E76" s="21">
        <v>5.0999999999999996</v>
      </c>
    </row>
    <row r="77" spans="1:5" x14ac:dyDescent="0.55000000000000004">
      <c r="A77">
        <f t="shared" si="0"/>
        <v>2007</v>
      </c>
      <c r="B77" s="21"/>
      <c r="C77" s="21"/>
      <c r="D77" s="21">
        <v>25.2</v>
      </c>
      <c r="E77" s="21">
        <v>5.0999999999999996</v>
      </c>
    </row>
    <row r="78" spans="1:5" x14ac:dyDescent="0.55000000000000004">
      <c r="A78">
        <f t="shared" si="0"/>
        <v>2008</v>
      </c>
      <c r="B78" s="21"/>
      <c r="C78" s="21"/>
      <c r="D78" s="21">
        <v>24.9</v>
      </c>
      <c r="E78" s="21">
        <v>5.0999999999999996</v>
      </c>
    </row>
    <row r="79" spans="1:5" x14ac:dyDescent="0.55000000000000004">
      <c r="A79">
        <f t="shared" si="0"/>
        <v>2009</v>
      </c>
      <c r="B79" s="21"/>
      <c r="C79" s="21"/>
      <c r="D79" s="21">
        <v>24.6</v>
      </c>
      <c r="E79" s="21">
        <v>5.0999999999999996</v>
      </c>
    </row>
    <row r="80" spans="1:5" x14ac:dyDescent="0.55000000000000004">
      <c r="A80">
        <f t="shared" si="0"/>
        <v>2010</v>
      </c>
      <c r="B80" s="21"/>
      <c r="C80" s="21"/>
      <c r="D80" s="21">
        <v>24.3</v>
      </c>
      <c r="E80" s="21">
        <v>5.0999999999999996</v>
      </c>
    </row>
    <row r="81" spans="1:5" x14ac:dyDescent="0.55000000000000004">
      <c r="A81">
        <f t="shared" si="0"/>
        <v>2011</v>
      </c>
      <c r="B81" s="21"/>
      <c r="C81" s="21"/>
      <c r="D81" s="21">
        <v>24</v>
      </c>
      <c r="E81" s="21">
        <v>5.0999999999999996</v>
      </c>
    </row>
    <row r="82" spans="1:5" x14ac:dyDescent="0.55000000000000004">
      <c r="A82">
        <f t="shared" si="0"/>
        <v>2012</v>
      </c>
      <c r="B82" s="21"/>
      <c r="C82" s="21"/>
      <c r="D82" s="21">
        <v>23.6</v>
      </c>
      <c r="E82" s="21">
        <v>5</v>
      </c>
    </row>
    <row r="83" spans="1:5" x14ac:dyDescent="0.55000000000000004">
      <c r="A83">
        <f t="shared" si="0"/>
        <v>2013</v>
      </c>
      <c r="B83" s="21"/>
      <c r="C83" s="21"/>
      <c r="D83" s="21">
        <v>23.2</v>
      </c>
      <c r="E83" s="21">
        <v>5</v>
      </c>
    </row>
    <row r="84" spans="1:5" x14ac:dyDescent="0.55000000000000004">
      <c r="A84">
        <f t="shared" si="0"/>
        <v>2014</v>
      </c>
      <c r="B84" s="21"/>
      <c r="C84" s="21"/>
      <c r="D84" s="21">
        <v>22.8</v>
      </c>
      <c r="E84" s="21">
        <v>5</v>
      </c>
    </row>
    <row r="85" spans="1:5" x14ac:dyDescent="0.55000000000000004">
      <c r="A85">
        <f t="shared" si="0"/>
        <v>2015</v>
      </c>
      <c r="B85" s="21"/>
      <c r="C85" s="21"/>
      <c r="D85" s="21">
        <v>22.4</v>
      </c>
      <c r="E85" s="21">
        <v>5</v>
      </c>
    </row>
    <row r="86" spans="1:5" x14ac:dyDescent="0.55000000000000004">
      <c r="A86">
        <f t="shared" si="0"/>
        <v>2016</v>
      </c>
      <c r="B86" s="21"/>
      <c r="C86" s="21"/>
      <c r="D86" s="21">
        <v>22.1</v>
      </c>
      <c r="E86" s="21">
        <v>5</v>
      </c>
    </row>
    <row r="87" spans="1:5" x14ac:dyDescent="0.55000000000000004">
      <c r="A87">
        <f t="shared" si="0"/>
        <v>2017</v>
      </c>
      <c r="B87" s="21"/>
      <c r="C87" s="21"/>
      <c r="D87" s="21">
        <v>21.6</v>
      </c>
      <c r="E87" s="21">
        <v>4.9000000000000004</v>
      </c>
    </row>
    <row r="88" spans="1:5" x14ac:dyDescent="0.55000000000000004">
      <c r="A88">
        <f t="shared" si="0"/>
        <v>2018</v>
      </c>
      <c r="B88" s="21"/>
      <c r="C88" s="21"/>
      <c r="D88" s="21">
        <v>21.2</v>
      </c>
      <c r="E88" s="21">
        <v>4.8</v>
      </c>
    </row>
    <row r="89" spans="1:5" x14ac:dyDescent="0.55000000000000004">
      <c r="A89">
        <f t="shared" si="0"/>
        <v>2019</v>
      </c>
      <c r="B89" s="21"/>
      <c r="C89" s="21"/>
      <c r="D89" s="21">
        <v>20.8</v>
      </c>
      <c r="E89" s="21">
        <v>5</v>
      </c>
    </row>
    <row r="90" spans="1:5" x14ac:dyDescent="0.55000000000000004">
      <c r="A90">
        <f t="shared" si="0"/>
        <v>2020</v>
      </c>
      <c r="B90" s="21"/>
      <c r="C90" s="21"/>
      <c r="D90" s="21">
        <v>20.5</v>
      </c>
      <c r="E90" s="21">
        <v>6.7</v>
      </c>
    </row>
    <row r="91" spans="1:5" x14ac:dyDescent="0.55000000000000004">
      <c r="A91">
        <f t="shared" si="0"/>
        <v>2021</v>
      </c>
      <c r="B91" s="21"/>
      <c r="C91" s="21"/>
      <c r="D91" s="21">
        <v>20</v>
      </c>
      <c r="E91" s="21">
        <v>6.6</v>
      </c>
    </row>
    <row r="92" spans="1:5" x14ac:dyDescent="0.55000000000000004">
      <c r="A92">
        <f t="shared" si="0"/>
        <v>2022</v>
      </c>
      <c r="B92" s="21"/>
      <c r="C92" s="21"/>
      <c r="D92" s="21">
        <v>19.7</v>
      </c>
      <c r="E92" s="21">
        <v>4.7</v>
      </c>
    </row>
    <row r="93" spans="1:5" x14ac:dyDescent="0.55000000000000004">
      <c r="A93">
        <f t="shared" si="0"/>
        <v>2023</v>
      </c>
      <c r="B93" s="21"/>
      <c r="C93" s="21"/>
      <c r="D93" s="21">
        <v>19.399999999999999</v>
      </c>
      <c r="E93" s="21">
        <v>4.5999999999999996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E127"/>
  <sheetViews>
    <sheetView tabSelected="1" workbookViewId="0">
      <selection activeCell="AE23" sqref="AE23"/>
    </sheetView>
  </sheetViews>
  <sheetFormatPr defaultRowHeight="14.4" x14ac:dyDescent="0.55000000000000004"/>
  <sheetData>
    <row r="1" spans="1:5" x14ac:dyDescent="0.55000000000000004">
      <c r="A1" s="1"/>
      <c r="B1" s="28" t="s">
        <v>115</v>
      </c>
      <c r="C1" s="28"/>
      <c r="D1" s="28" t="s">
        <v>75</v>
      </c>
      <c r="E1" s="28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1899</v>
      </c>
      <c r="B3" s="21">
        <v>42.07</v>
      </c>
      <c r="C3" s="21">
        <v>24.48</v>
      </c>
      <c r="D3" s="21"/>
      <c r="E3" s="21"/>
    </row>
    <row r="4" spans="1:5" x14ac:dyDescent="0.55000000000000004">
      <c r="A4">
        <v>1900</v>
      </c>
      <c r="B4" s="21">
        <v>44.49</v>
      </c>
      <c r="C4" s="21">
        <v>22.22</v>
      </c>
      <c r="D4" s="21"/>
      <c r="E4" s="21"/>
    </row>
    <row r="5" spans="1:5" x14ac:dyDescent="0.55000000000000004">
      <c r="A5">
        <v>1901</v>
      </c>
      <c r="B5" s="21">
        <v>43.97</v>
      </c>
      <c r="C5" s="21">
        <v>25.34</v>
      </c>
      <c r="D5" s="21"/>
      <c r="E5" s="21"/>
    </row>
    <row r="6" spans="1:5" x14ac:dyDescent="0.55000000000000004">
      <c r="A6">
        <v>1902</v>
      </c>
      <c r="B6" s="21">
        <v>41.76</v>
      </c>
      <c r="C6" s="21">
        <v>27.33</v>
      </c>
      <c r="D6" s="21"/>
      <c r="E6" s="21"/>
    </row>
    <row r="7" spans="1:5" x14ac:dyDescent="0.55000000000000004">
      <c r="A7">
        <v>1903</v>
      </c>
      <c r="B7" s="21">
        <v>43.96</v>
      </c>
      <c r="C7" s="21">
        <v>31.81</v>
      </c>
      <c r="D7" s="21"/>
      <c r="E7" s="21"/>
    </row>
    <row r="8" spans="1:5" x14ac:dyDescent="0.55000000000000004">
      <c r="A8">
        <v>1904</v>
      </c>
      <c r="B8" s="21">
        <v>44.19</v>
      </c>
      <c r="C8" s="21">
        <v>27</v>
      </c>
      <c r="D8" s="21"/>
      <c r="E8" s="21"/>
    </row>
    <row r="9" spans="1:5" x14ac:dyDescent="0.55000000000000004">
      <c r="A9">
        <v>1905</v>
      </c>
      <c r="B9" s="21">
        <v>43.48</v>
      </c>
      <c r="C9" s="21">
        <v>29.08</v>
      </c>
      <c r="D9" s="21"/>
      <c r="E9" s="21"/>
    </row>
    <row r="10" spans="1:5" x14ac:dyDescent="0.55000000000000004">
      <c r="A10">
        <v>1906</v>
      </c>
      <c r="B10" s="21">
        <v>41.16</v>
      </c>
      <c r="C10" s="21">
        <v>27.78</v>
      </c>
      <c r="D10" s="21"/>
      <c r="E10" s="21"/>
    </row>
    <row r="11" spans="1:5" x14ac:dyDescent="0.55000000000000004">
      <c r="A11">
        <v>1907</v>
      </c>
      <c r="B11" s="21">
        <v>41.95</v>
      </c>
      <c r="C11" s="21">
        <v>27.82</v>
      </c>
      <c r="D11" s="21"/>
      <c r="E11" s="21"/>
    </row>
    <row r="12" spans="1:5" x14ac:dyDescent="0.55000000000000004">
      <c r="A12">
        <v>1908</v>
      </c>
      <c r="B12" s="21">
        <v>44.57</v>
      </c>
      <c r="C12" s="21">
        <v>27.71</v>
      </c>
      <c r="D12" s="21"/>
      <c r="E12" s="21"/>
    </row>
    <row r="13" spans="1:5" x14ac:dyDescent="0.55000000000000004">
      <c r="A13">
        <v>1909</v>
      </c>
      <c r="B13" s="21">
        <v>43.94</v>
      </c>
      <c r="C13" s="21">
        <v>27.96</v>
      </c>
      <c r="D13" s="21"/>
      <c r="E13" s="21"/>
    </row>
    <row r="14" spans="1:5" x14ac:dyDescent="0.55000000000000004">
      <c r="A14">
        <v>1910</v>
      </c>
      <c r="B14" s="21">
        <v>42.43</v>
      </c>
      <c r="C14" s="21">
        <v>29.72</v>
      </c>
      <c r="D14" s="21"/>
      <c r="E14" s="21"/>
    </row>
    <row r="15" spans="1:5" x14ac:dyDescent="0.55000000000000004">
      <c r="A15">
        <v>1911</v>
      </c>
      <c r="B15" s="21">
        <v>43.97</v>
      </c>
      <c r="C15" s="21">
        <v>28.9</v>
      </c>
      <c r="D15" s="21"/>
      <c r="E15" s="21"/>
    </row>
    <row r="16" spans="1:5" x14ac:dyDescent="0.55000000000000004">
      <c r="A16">
        <v>1912</v>
      </c>
      <c r="B16" s="21">
        <v>44.03</v>
      </c>
      <c r="C16" s="21">
        <v>26.34</v>
      </c>
      <c r="D16" s="21"/>
      <c r="E16" s="21"/>
    </row>
    <row r="17" spans="1:5" x14ac:dyDescent="0.55000000000000004">
      <c r="A17">
        <v>1913</v>
      </c>
      <c r="B17" s="21">
        <v>44.13</v>
      </c>
      <c r="C17" s="21">
        <v>26.11</v>
      </c>
      <c r="D17" s="21"/>
      <c r="E17" s="21"/>
    </row>
    <row r="18" spans="1:5" x14ac:dyDescent="0.55000000000000004">
      <c r="A18">
        <v>1914</v>
      </c>
      <c r="B18" s="21">
        <v>44.08</v>
      </c>
      <c r="C18" s="21">
        <v>25.92</v>
      </c>
      <c r="D18" s="21"/>
      <c r="E18" s="21"/>
    </row>
    <row r="19" spans="1:5" x14ac:dyDescent="0.55000000000000004">
      <c r="A19">
        <v>1915</v>
      </c>
      <c r="B19" s="21">
        <v>42.63</v>
      </c>
      <c r="C19" s="21">
        <v>37.520000000000003</v>
      </c>
      <c r="D19" s="21"/>
      <c r="E19" s="21"/>
    </row>
    <row r="20" spans="1:5" x14ac:dyDescent="0.55000000000000004">
      <c r="A20">
        <v>1916</v>
      </c>
      <c r="B20" s="21">
        <v>38.68</v>
      </c>
      <c r="C20" s="21">
        <v>41.62</v>
      </c>
      <c r="D20" s="21"/>
      <c r="E20" s="21"/>
    </row>
    <row r="21" spans="1:5" x14ac:dyDescent="0.55000000000000004">
      <c r="A21">
        <v>1917</v>
      </c>
      <c r="B21" s="21">
        <v>41.63</v>
      </c>
      <c r="C21" s="21">
        <v>34</v>
      </c>
      <c r="D21" s="21"/>
      <c r="E21" s="21"/>
    </row>
    <row r="22" spans="1:5" x14ac:dyDescent="0.55000000000000004">
      <c r="A22">
        <v>1918</v>
      </c>
      <c r="B22" s="21">
        <v>41.16</v>
      </c>
      <c r="C22" s="21">
        <v>33.619999999999997</v>
      </c>
      <c r="D22" s="21"/>
      <c r="E22" s="21"/>
    </row>
    <row r="23" spans="1:5" x14ac:dyDescent="0.55000000000000004">
      <c r="A23">
        <v>1919</v>
      </c>
      <c r="B23" s="21">
        <v>41.52</v>
      </c>
      <c r="C23" s="21">
        <v>31.22</v>
      </c>
      <c r="D23" s="21"/>
      <c r="E23" s="21"/>
    </row>
    <row r="24" spans="1:5" x14ac:dyDescent="0.55000000000000004">
      <c r="A24">
        <v>1920</v>
      </c>
      <c r="B24" s="21">
        <v>44.49</v>
      </c>
      <c r="C24" s="21">
        <v>30.64</v>
      </c>
      <c r="D24" s="21"/>
      <c r="E24" s="21"/>
    </row>
    <row r="25" spans="1:5" x14ac:dyDescent="0.55000000000000004">
      <c r="A25">
        <v>1921</v>
      </c>
      <c r="B25" s="21">
        <v>44.5</v>
      </c>
      <c r="C25" s="21">
        <v>29.43</v>
      </c>
      <c r="D25" s="21"/>
      <c r="E25" s="21"/>
    </row>
    <row r="26" spans="1:5" x14ac:dyDescent="0.55000000000000004">
      <c r="A26">
        <v>1922</v>
      </c>
      <c r="B26" s="21">
        <v>41.96</v>
      </c>
      <c r="C26" s="21">
        <v>26.96</v>
      </c>
      <c r="D26" s="21"/>
      <c r="E26" s="21"/>
    </row>
    <row r="27" spans="1:5" x14ac:dyDescent="0.55000000000000004">
      <c r="A27">
        <v>1923</v>
      </c>
      <c r="B27" s="21">
        <v>44.03</v>
      </c>
      <c r="C27" s="21">
        <v>23.4</v>
      </c>
      <c r="D27" s="21"/>
      <c r="E27" s="21"/>
    </row>
    <row r="28" spans="1:5" x14ac:dyDescent="0.55000000000000004">
      <c r="A28">
        <v>1924</v>
      </c>
      <c r="B28" s="21">
        <v>46.16</v>
      </c>
      <c r="C28" s="21">
        <v>30.21</v>
      </c>
      <c r="D28" s="21"/>
      <c r="E28" s="21"/>
    </row>
    <row r="29" spans="1:5" x14ac:dyDescent="0.55000000000000004">
      <c r="A29">
        <v>1925</v>
      </c>
      <c r="B29" s="21">
        <v>42.63</v>
      </c>
      <c r="C29" s="21">
        <v>29.12</v>
      </c>
      <c r="D29" s="21"/>
      <c r="E29" s="21"/>
    </row>
    <row r="30" spans="1:5" x14ac:dyDescent="0.55000000000000004">
      <c r="A30">
        <v>1926</v>
      </c>
      <c r="B30" s="21">
        <v>44.69</v>
      </c>
      <c r="C30" s="21">
        <v>33.21</v>
      </c>
      <c r="D30" s="21"/>
      <c r="E30" s="21"/>
    </row>
    <row r="31" spans="1:5" x14ac:dyDescent="0.55000000000000004">
      <c r="A31">
        <v>1927</v>
      </c>
      <c r="B31" s="21">
        <v>44.51</v>
      </c>
      <c r="C31" s="21">
        <v>26.22</v>
      </c>
      <c r="D31" s="21"/>
      <c r="E31" s="21"/>
    </row>
    <row r="32" spans="1:5" x14ac:dyDescent="0.55000000000000004">
      <c r="A32">
        <v>1928</v>
      </c>
      <c r="B32" s="21">
        <v>47.01</v>
      </c>
      <c r="C32" s="21">
        <v>28.44</v>
      </c>
      <c r="D32" s="21"/>
      <c r="E32" s="21"/>
    </row>
    <row r="33" spans="1:5" x14ac:dyDescent="0.55000000000000004">
      <c r="A33">
        <v>1929</v>
      </c>
      <c r="B33" s="21">
        <v>43.09</v>
      </c>
      <c r="C33" s="21">
        <v>29.36</v>
      </c>
      <c r="D33" s="21"/>
      <c r="E33" s="21"/>
    </row>
    <row r="34" spans="1:5" x14ac:dyDescent="0.55000000000000004">
      <c r="A34">
        <v>1930</v>
      </c>
      <c r="B34" s="21">
        <v>46.2</v>
      </c>
      <c r="C34" s="21">
        <v>27.3</v>
      </c>
      <c r="D34" s="21"/>
      <c r="E34" s="21"/>
    </row>
    <row r="35" spans="1:5" x14ac:dyDescent="0.55000000000000004">
      <c r="A35">
        <v>1931</v>
      </c>
      <c r="B35" s="21">
        <v>46.09</v>
      </c>
      <c r="C35" s="21">
        <v>27.87</v>
      </c>
      <c r="D35" s="21"/>
      <c r="E35" s="21"/>
    </row>
    <row r="36" spans="1:5" x14ac:dyDescent="0.55000000000000004">
      <c r="A36">
        <v>1932</v>
      </c>
      <c r="B36" s="21">
        <v>41.05</v>
      </c>
      <c r="C36" s="21">
        <v>27.04</v>
      </c>
      <c r="D36" s="21"/>
      <c r="E36" s="21"/>
    </row>
    <row r="37" spans="1:5" x14ac:dyDescent="0.55000000000000004">
      <c r="A37">
        <v>1933</v>
      </c>
      <c r="B37" s="21">
        <v>41.75</v>
      </c>
      <c r="C37" s="21">
        <v>29.14</v>
      </c>
      <c r="D37" s="21"/>
      <c r="E37" s="21"/>
    </row>
    <row r="38" spans="1:5" x14ac:dyDescent="0.55000000000000004">
      <c r="A38">
        <v>1934</v>
      </c>
      <c r="B38" s="21">
        <v>41.44</v>
      </c>
      <c r="C38" s="21">
        <v>31.73</v>
      </c>
      <c r="D38" s="21"/>
      <c r="E38" s="21"/>
    </row>
    <row r="39" spans="1:5" x14ac:dyDescent="0.55000000000000004">
      <c r="A39">
        <v>1935</v>
      </c>
      <c r="B39" s="21">
        <v>39.86</v>
      </c>
      <c r="C39" s="21">
        <v>31.55</v>
      </c>
      <c r="D39" s="21"/>
      <c r="E39" s="21"/>
    </row>
    <row r="40" spans="1:5" x14ac:dyDescent="0.55000000000000004">
      <c r="A40">
        <v>1936</v>
      </c>
      <c r="B40" s="21">
        <v>43.73</v>
      </c>
      <c r="C40" s="21">
        <v>26.95</v>
      </c>
      <c r="D40" s="21"/>
      <c r="E40" s="21"/>
    </row>
    <row r="41" spans="1:5" x14ac:dyDescent="0.55000000000000004">
      <c r="A41">
        <v>1937</v>
      </c>
      <c r="B41" s="21">
        <v>41.93</v>
      </c>
      <c r="C41" s="21">
        <v>25.97</v>
      </c>
      <c r="D41" s="21"/>
      <c r="E41" s="21"/>
    </row>
    <row r="42" spans="1:5" x14ac:dyDescent="0.55000000000000004">
      <c r="A42">
        <v>1938</v>
      </c>
      <c r="B42" s="21">
        <v>43.9</v>
      </c>
      <c r="C42" s="21">
        <v>24.33</v>
      </c>
      <c r="D42" s="21"/>
      <c r="E42" s="21"/>
    </row>
    <row r="43" spans="1:5" x14ac:dyDescent="0.55000000000000004">
      <c r="A43">
        <v>1939</v>
      </c>
      <c r="B43" s="21">
        <v>43.92</v>
      </c>
      <c r="C43" s="21">
        <v>24.24</v>
      </c>
      <c r="D43" s="21"/>
      <c r="E43" s="21"/>
    </row>
    <row r="44" spans="1:5" x14ac:dyDescent="0.55000000000000004">
      <c r="A44">
        <v>1940</v>
      </c>
      <c r="B44" s="21">
        <v>44.87</v>
      </c>
      <c r="C44" s="21">
        <v>23.48</v>
      </c>
      <c r="D44" s="21"/>
      <c r="E44" s="21"/>
    </row>
    <row r="45" spans="1:5" x14ac:dyDescent="0.55000000000000004">
      <c r="A45">
        <v>1941</v>
      </c>
      <c r="B45" s="21">
        <v>42.65</v>
      </c>
      <c r="C45" s="21">
        <v>22.46</v>
      </c>
      <c r="D45" s="21"/>
      <c r="E45" s="21"/>
    </row>
    <row r="46" spans="1:5" x14ac:dyDescent="0.55000000000000004">
      <c r="A46">
        <v>1942</v>
      </c>
      <c r="B46" s="21">
        <v>41.3</v>
      </c>
      <c r="C46" s="21">
        <v>27.65</v>
      </c>
      <c r="D46" s="21"/>
      <c r="E46" s="21"/>
    </row>
    <row r="47" spans="1:5" x14ac:dyDescent="0.55000000000000004">
      <c r="A47">
        <v>1943</v>
      </c>
      <c r="B47" s="21">
        <v>40.869999999999997</v>
      </c>
      <c r="C47" s="21">
        <v>27.39</v>
      </c>
      <c r="D47" s="21"/>
      <c r="E47" s="21"/>
    </row>
    <row r="48" spans="1:5" x14ac:dyDescent="0.55000000000000004">
      <c r="A48">
        <v>1944</v>
      </c>
      <c r="B48" s="21">
        <v>40.96</v>
      </c>
      <c r="C48" s="21">
        <v>23.86</v>
      </c>
      <c r="D48" s="21"/>
      <c r="E48" s="21"/>
    </row>
    <row r="49" spans="1:5" x14ac:dyDescent="0.55000000000000004">
      <c r="A49">
        <v>1945</v>
      </c>
      <c r="B49" s="21">
        <v>41.46</v>
      </c>
      <c r="C49" s="21">
        <v>22.04</v>
      </c>
      <c r="D49" s="21"/>
      <c r="E49" s="21"/>
    </row>
    <row r="50" spans="1:5" x14ac:dyDescent="0.55000000000000004">
      <c r="A50">
        <v>1946</v>
      </c>
      <c r="B50" s="21">
        <v>39.29</v>
      </c>
      <c r="C50" s="21">
        <v>21.13</v>
      </c>
      <c r="D50" s="21"/>
      <c r="E50" s="21"/>
    </row>
    <row r="51" spans="1:5" x14ac:dyDescent="0.55000000000000004">
      <c r="A51">
        <v>1947</v>
      </c>
      <c r="B51" s="21">
        <v>45.22</v>
      </c>
      <c r="C51" s="21">
        <v>20.59</v>
      </c>
      <c r="D51" s="21"/>
      <c r="E51" s="21"/>
    </row>
    <row r="52" spans="1:5" x14ac:dyDescent="0.55000000000000004">
      <c r="A52">
        <v>1948</v>
      </c>
      <c r="B52" s="21">
        <v>42.31</v>
      </c>
      <c r="C52" s="21">
        <v>19.989999999999998</v>
      </c>
      <c r="D52" s="21"/>
      <c r="E52" s="21"/>
    </row>
    <row r="53" spans="1:5" x14ac:dyDescent="0.55000000000000004">
      <c r="A53">
        <v>1949</v>
      </c>
      <c r="B53" s="21">
        <v>43.52</v>
      </c>
      <c r="C53" s="21">
        <v>18.170000000000002</v>
      </c>
      <c r="D53" s="21"/>
      <c r="E53" s="21"/>
    </row>
    <row r="54" spans="1:5" x14ac:dyDescent="0.55000000000000004">
      <c r="A54">
        <v>1950</v>
      </c>
      <c r="B54" s="21">
        <v>45.35</v>
      </c>
      <c r="C54" s="21">
        <v>17.600000000000001</v>
      </c>
      <c r="D54" s="3">
        <v>46.9</v>
      </c>
      <c r="E54" s="3">
        <v>21</v>
      </c>
    </row>
    <row r="55" spans="1:5" x14ac:dyDescent="0.55000000000000004">
      <c r="A55">
        <v>1951</v>
      </c>
      <c r="B55" s="21">
        <v>45.71</v>
      </c>
      <c r="C55" s="21">
        <v>18.14</v>
      </c>
      <c r="D55" s="3">
        <v>47</v>
      </c>
      <c r="E55" s="3">
        <v>21.4</v>
      </c>
    </row>
    <row r="56" spans="1:5" x14ac:dyDescent="0.55000000000000004">
      <c r="A56">
        <v>1952</v>
      </c>
      <c r="B56" s="21">
        <v>46.08</v>
      </c>
      <c r="C56" s="21">
        <v>19.760000000000002</v>
      </c>
      <c r="D56" s="3">
        <v>47.2</v>
      </c>
      <c r="E56" s="3">
        <v>20.7</v>
      </c>
    </row>
    <row r="57" spans="1:5" x14ac:dyDescent="0.55000000000000004">
      <c r="A57">
        <v>1953</v>
      </c>
      <c r="B57" s="21">
        <v>45.76</v>
      </c>
      <c r="C57" s="21">
        <v>18.010000000000002</v>
      </c>
      <c r="D57" s="3">
        <v>47.3</v>
      </c>
      <c r="E57" s="3">
        <v>20.5</v>
      </c>
    </row>
    <row r="58" spans="1:5" x14ac:dyDescent="0.55000000000000004">
      <c r="A58">
        <v>1954</v>
      </c>
      <c r="B58" s="21">
        <v>46.2</v>
      </c>
      <c r="C58" s="21">
        <v>18.440000000000001</v>
      </c>
      <c r="D58" s="3">
        <v>47.4</v>
      </c>
      <c r="E58" s="3">
        <v>20.100000000000001</v>
      </c>
    </row>
    <row r="59" spans="1:5" x14ac:dyDescent="0.55000000000000004">
      <c r="A59">
        <v>1955</v>
      </c>
      <c r="B59" s="21">
        <v>46.37</v>
      </c>
      <c r="C59" s="21">
        <v>17.600000000000001</v>
      </c>
      <c r="D59" s="3">
        <v>47.5</v>
      </c>
      <c r="E59" s="3">
        <v>19.7</v>
      </c>
    </row>
    <row r="60" spans="1:5" x14ac:dyDescent="0.55000000000000004">
      <c r="A60">
        <v>1956</v>
      </c>
      <c r="B60" s="21">
        <v>45.82</v>
      </c>
      <c r="C60" s="21">
        <v>15.48</v>
      </c>
      <c r="D60" s="3">
        <v>47.4</v>
      </c>
      <c r="E60" s="3">
        <v>19.3</v>
      </c>
    </row>
    <row r="61" spans="1:5" x14ac:dyDescent="0.55000000000000004">
      <c r="A61">
        <v>1957</v>
      </c>
      <c r="B61" s="21">
        <v>48.07</v>
      </c>
      <c r="C61" s="21">
        <v>17.61</v>
      </c>
      <c r="D61" s="3">
        <v>47.5</v>
      </c>
      <c r="E61" s="3">
        <v>18.899999999999999</v>
      </c>
    </row>
    <row r="62" spans="1:5" x14ac:dyDescent="0.55000000000000004">
      <c r="A62">
        <v>1958</v>
      </c>
      <c r="B62" s="21">
        <v>46.84</v>
      </c>
      <c r="C62" s="21">
        <v>17.100000000000001</v>
      </c>
      <c r="D62" s="3">
        <v>47.4</v>
      </c>
      <c r="E62" s="3">
        <v>18.399999999999999</v>
      </c>
    </row>
    <row r="63" spans="1:5" x14ac:dyDescent="0.55000000000000004">
      <c r="A63">
        <v>1959</v>
      </c>
      <c r="B63" s="21">
        <v>45.76</v>
      </c>
      <c r="C63" s="21">
        <v>15.22</v>
      </c>
      <c r="D63" s="3">
        <v>47.2</v>
      </c>
      <c r="E63" s="3">
        <v>18.100000000000001</v>
      </c>
    </row>
    <row r="64" spans="1:5" x14ac:dyDescent="0.55000000000000004">
      <c r="A64">
        <v>1960</v>
      </c>
      <c r="B64" s="21">
        <v>46.71</v>
      </c>
      <c r="C64" s="21">
        <v>14.17</v>
      </c>
      <c r="D64" s="3">
        <v>47</v>
      </c>
      <c r="E64" s="3">
        <v>17.8</v>
      </c>
    </row>
    <row r="65" spans="1:5" x14ac:dyDescent="0.55000000000000004">
      <c r="A65">
        <v>1961</v>
      </c>
      <c r="B65" s="21">
        <v>46.62</v>
      </c>
      <c r="C65" s="21">
        <v>13.61</v>
      </c>
      <c r="D65" s="3">
        <v>47</v>
      </c>
      <c r="E65" s="3">
        <v>17.5</v>
      </c>
    </row>
    <row r="66" spans="1:5" x14ac:dyDescent="0.55000000000000004">
      <c r="A66">
        <v>1962</v>
      </c>
      <c r="B66" s="21">
        <v>46.04</v>
      </c>
      <c r="C66" s="21">
        <v>14.06</v>
      </c>
      <c r="D66" s="3">
        <v>47.1</v>
      </c>
      <c r="E66" s="3">
        <v>17.2</v>
      </c>
    </row>
    <row r="67" spans="1:5" x14ac:dyDescent="0.55000000000000004">
      <c r="A67">
        <v>1963</v>
      </c>
      <c r="B67" s="21">
        <v>46.88</v>
      </c>
      <c r="C67" s="21">
        <v>13.32</v>
      </c>
      <c r="D67" s="3">
        <v>47</v>
      </c>
      <c r="E67" s="3">
        <v>17</v>
      </c>
    </row>
    <row r="68" spans="1:5" x14ac:dyDescent="0.55000000000000004">
      <c r="A68">
        <v>1964</v>
      </c>
      <c r="B68" s="21">
        <v>45.33</v>
      </c>
      <c r="C68" s="21">
        <v>12.86</v>
      </c>
      <c r="D68" s="3">
        <v>46.8</v>
      </c>
      <c r="E68" s="3">
        <v>16.8</v>
      </c>
    </row>
    <row r="69" spans="1:5" x14ac:dyDescent="0.55000000000000004">
      <c r="A69">
        <v>1965</v>
      </c>
      <c r="B69" s="21">
        <v>45.42</v>
      </c>
      <c r="C69" s="21">
        <v>12.26</v>
      </c>
      <c r="D69" s="3">
        <v>46.3</v>
      </c>
      <c r="E69" s="3">
        <v>16.5</v>
      </c>
    </row>
    <row r="70" spans="1:5" x14ac:dyDescent="0.55000000000000004">
      <c r="A70">
        <v>1966</v>
      </c>
      <c r="B70" s="21">
        <v>44.24</v>
      </c>
      <c r="C70" s="21">
        <v>11.72</v>
      </c>
      <c r="D70" s="3">
        <v>45.7</v>
      </c>
      <c r="E70" s="3">
        <v>16.2</v>
      </c>
    </row>
    <row r="71" spans="1:5" x14ac:dyDescent="0.55000000000000004">
      <c r="A71">
        <v>1967</v>
      </c>
      <c r="B71" s="21">
        <v>43.58</v>
      </c>
      <c r="C71" s="21">
        <v>10.83</v>
      </c>
      <c r="D71" s="3">
        <v>45.1</v>
      </c>
      <c r="E71" s="3">
        <v>16</v>
      </c>
    </row>
    <row r="72" spans="1:5" x14ac:dyDescent="0.55000000000000004">
      <c r="A72">
        <v>1968</v>
      </c>
      <c r="B72" s="21">
        <v>42.61</v>
      </c>
      <c r="C72" s="21">
        <v>10.84</v>
      </c>
      <c r="D72" s="3">
        <v>44.3</v>
      </c>
      <c r="E72" s="3">
        <v>15.9</v>
      </c>
    </row>
    <row r="73" spans="1:5" x14ac:dyDescent="0.55000000000000004">
      <c r="A73">
        <v>1969</v>
      </c>
      <c r="B73" s="21">
        <v>41.9</v>
      </c>
      <c r="C73" s="21">
        <v>11.86</v>
      </c>
      <c r="D73" s="3">
        <v>43.5</v>
      </c>
      <c r="E73" s="3">
        <v>15.5</v>
      </c>
    </row>
    <row r="74" spans="1:5" x14ac:dyDescent="0.55000000000000004">
      <c r="A74">
        <v>1970</v>
      </c>
      <c r="B74" s="21">
        <v>40.42</v>
      </c>
      <c r="C74" s="21">
        <v>12.53</v>
      </c>
      <c r="D74" s="3">
        <v>42.8</v>
      </c>
      <c r="E74" s="3">
        <v>15.4</v>
      </c>
    </row>
    <row r="75" spans="1:5" x14ac:dyDescent="0.55000000000000004">
      <c r="A75">
        <v>1971</v>
      </c>
      <c r="B75" s="21">
        <v>43.16</v>
      </c>
      <c r="C75" s="21">
        <v>10.050000000000001</v>
      </c>
      <c r="D75" s="3">
        <v>42.8</v>
      </c>
      <c r="E75" s="3">
        <v>15</v>
      </c>
    </row>
    <row r="76" spans="1:5" x14ac:dyDescent="0.55000000000000004">
      <c r="A76">
        <v>1972</v>
      </c>
      <c r="B76" s="21">
        <v>41.81</v>
      </c>
      <c r="C76" s="21">
        <v>11.03</v>
      </c>
      <c r="D76" s="3">
        <v>42.5</v>
      </c>
      <c r="E76" s="3">
        <v>14.6</v>
      </c>
    </row>
    <row r="77" spans="1:5" x14ac:dyDescent="0.55000000000000004">
      <c r="A77">
        <v>1973</v>
      </c>
      <c r="B77" s="21">
        <v>41.39</v>
      </c>
      <c r="C77" s="21">
        <v>10.59</v>
      </c>
      <c r="D77" s="3">
        <v>42.2</v>
      </c>
      <c r="E77" s="3">
        <v>13.9</v>
      </c>
    </row>
    <row r="78" spans="1:5" x14ac:dyDescent="0.55000000000000004">
      <c r="A78">
        <v>1974</v>
      </c>
      <c r="B78" s="21">
        <v>41.14</v>
      </c>
      <c r="C78" s="21">
        <v>9.89</v>
      </c>
      <c r="D78" s="3">
        <v>41.9</v>
      </c>
      <c r="E78" s="3">
        <v>13.7</v>
      </c>
    </row>
    <row r="79" spans="1:5" x14ac:dyDescent="0.55000000000000004">
      <c r="A79">
        <v>1975</v>
      </c>
      <c r="B79" s="21">
        <v>40.43</v>
      </c>
      <c r="C79" s="21">
        <v>10.8</v>
      </c>
      <c r="D79" s="3">
        <v>41.5</v>
      </c>
      <c r="E79" s="3">
        <v>13.2</v>
      </c>
    </row>
    <row r="80" spans="1:5" x14ac:dyDescent="0.55000000000000004">
      <c r="A80">
        <v>1976</v>
      </c>
      <c r="B80" s="21">
        <v>41.19</v>
      </c>
      <c r="C80" s="21">
        <v>10.34</v>
      </c>
      <c r="D80" s="3">
        <v>41.2</v>
      </c>
      <c r="E80" s="3">
        <v>12.5</v>
      </c>
    </row>
    <row r="81" spans="1:5" x14ac:dyDescent="0.55000000000000004">
      <c r="A81">
        <v>1977</v>
      </c>
      <c r="B81" s="21">
        <v>43.22</v>
      </c>
      <c r="C81" s="21">
        <v>10.85</v>
      </c>
      <c r="D81" s="3">
        <v>40.799999999999997</v>
      </c>
      <c r="E81" s="3">
        <v>12.5</v>
      </c>
    </row>
    <row r="82" spans="1:5" x14ac:dyDescent="0.55000000000000004">
      <c r="A82">
        <v>1978</v>
      </c>
      <c r="B82" s="21">
        <v>41.18</v>
      </c>
      <c r="C82" s="21">
        <v>9.67</v>
      </c>
      <c r="D82" s="3">
        <v>40.4</v>
      </c>
      <c r="E82" s="3">
        <v>12.1</v>
      </c>
    </row>
    <row r="83" spans="1:5" x14ac:dyDescent="0.55000000000000004">
      <c r="A83">
        <v>1979</v>
      </c>
      <c r="B83" s="21">
        <v>40.61</v>
      </c>
      <c r="C83" s="21">
        <v>10.37</v>
      </c>
      <c r="D83" s="3">
        <v>40.1</v>
      </c>
      <c r="E83" s="3">
        <v>12.5</v>
      </c>
    </row>
    <row r="84" spans="1:5" x14ac:dyDescent="0.55000000000000004">
      <c r="A84">
        <v>1980</v>
      </c>
      <c r="B84" s="21">
        <v>38.83</v>
      </c>
      <c r="C84" s="21">
        <v>12.02</v>
      </c>
      <c r="D84" s="3">
        <v>39.799999999999997</v>
      </c>
      <c r="E84" s="3">
        <v>15.2</v>
      </c>
    </row>
    <row r="85" spans="1:5" x14ac:dyDescent="0.55000000000000004">
      <c r="A85">
        <v>1981</v>
      </c>
      <c r="B85" s="21">
        <v>36.979999999999997</v>
      </c>
      <c r="C85" s="21">
        <v>11.45</v>
      </c>
      <c r="D85" s="3">
        <v>39.6</v>
      </c>
      <c r="E85" s="3">
        <v>13.9</v>
      </c>
    </row>
    <row r="86" spans="1:5" x14ac:dyDescent="0.55000000000000004">
      <c r="A86">
        <v>1982</v>
      </c>
      <c r="B86" s="21">
        <v>35.229999999999997</v>
      </c>
      <c r="C86" s="21">
        <v>10.1</v>
      </c>
      <c r="D86" s="3">
        <v>38.6</v>
      </c>
      <c r="E86" s="3">
        <v>12.4</v>
      </c>
    </row>
    <row r="87" spans="1:5" x14ac:dyDescent="0.55000000000000004">
      <c r="A87">
        <v>1983</v>
      </c>
      <c r="B87" s="21">
        <v>32.15</v>
      </c>
      <c r="C87" s="21">
        <v>9.84</v>
      </c>
      <c r="D87" s="3">
        <v>37.700000000000003</v>
      </c>
      <c r="E87" s="3">
        <v>11.8</v>
      </c>
    </row>
    <row r="88" spans="1:5" x14ac:dyDescent="0.55000000000000004">
      <c r="A88">
        <v>1984</v>
      </c>
      <c r="B88" s="21">
        <v>31.55</v>
      </c>
      <c r="C88" s="21">
        <v>8.64</v>
      </c>
      <c r="D88" s="3">
        <v>36.700000000000003</v>
      </c>
      <c r="E88" s="3">
        <v>10.6</v>
      </c>
    </row>
    <row r="89" spans="1:5" x14ac:dyDescent="0.55000000000000004">
      <c r="A89">
        <v>1985</v>
      </c>
      <c r="B89" s="21">
        <v>31.06</v>
      </c>
      <c r="C89" s="21">
        <v>8.11</v>
      </c>
      <c r="D89" s="3">
        <v>35.700000000000003</v>
      </c>
      <c r="E89" s="3">
        <v>9.6999999999999993</v>
      </c>
    </row>
    <row r="90" spans="1:5" x14ac:dyDescent="0.55000000000000004">
      <c r="A90">
        <v>1986</v>
      </c>
      <c r="B90" s="21">
        <v>31.6</v>
      </c>
      <c r="C90" s="21">
        <v>7.56</v>
      </c>
      <c r="D90" s="3">
        <v>35.1</v>
      </c>
      <c r="E90" s="3">
        <v>9</v>
      </c>
    </row>
    <row r="91" spans="1:5" x14ac:dyDescent="0.55000000000000004">
      <c r="A91">
        <v>1987</v>
      </c>
      <c r="B91" s="21">
        <v>31.83</v>
      </c>
      <c r="C91" s="21">
        <v>7.98</v>
      </c>
      <c r="D91" s="3">
        <v>35.200000000000003</v>
      </c>
      <c r="E91" s="3">
        <v>9</v>
      </c>
    </row>
    <row r="92" spans="1:5" x14ac:dyDescent="0.55000000000000004">
      <c r="A92">
        <v>1988</v>
      </c>
      <c r="B92" s="21">
        <v>31.57</v>
      </c>
      <c r="C92" s="21">
        <v>7.93</v>
      </c>
      <c r="D92" s="3">
        <v>34.9</v>
      </c>
      <c r="E92" s="3">
        <v>8.6999999999999993</v>
      </c>
    </row>
    <row r="93" spans="1:5" x14ac:dyDescent="0.55000000000000004">
      <c r="A93">
        <v>1989</v>
      </c>
      <c r="B93" s="21">
        <v>31.65</v>
      </c>
      <c r="C93" s="21">
        <v>7.81</v>
      </c>
      <c r="D93" s="3">
        <v>34.4</v>
      </c>
      <c r="E93" s="3">
        <v>8.1</v>
      </c>
    </row>
    <row r="94" spans="1:5" x14ac:dyDescent="0.55000000000000004">
      <c r="A94">
        <v>1990</v>
      </c>
      <c r="B94" s="21">
        <v>30.47</v>
      </c>
      <c r="C94" s="21">
        <v>7.82</v>
      </c>
      <c r="D94" s="3">
        <v>33.700000000000003</v>
      </c>
      <c r="E94" s="3">
        <v>7.7</v>
      </c>
    </row>
    <row r="95" spans="1:5" x14ac:dyDescent="0.55000000000000004">
      <c r="A95">
        <v>1991</v>
      </c>
      <c r="B95" s="21">
        <v>30.52</v>
      </c>
      <c r="C95" s="21">
        <v>7.38</v>
      </c>
      <c r="D95" s="3">
        <v>33.1</v>
      </c>
      <c r="E95" s="3">
        <v>7.5</v>
      </c>
    </row>
    <row r="96" spans="1:5" x14ac:dyDescent="0.55000000000000004">
      <c r="A96">
        <v>1992</v>
      </c>
      <c r="B96" s="21">
        <v>30.54</v>
      </c>
      <c r="C96" s="21">
        <v>7.46</v>
      </c>
      <c r="D96" s="3">
        <v>32.200000000000003</v>
      </c>
      <c r="E96" s="3">
        <v>7.3</v>
      </c>
    </row>
    <row r="97" spans="1:5" x14ac:dyDescent="0.55000000000000004">
      <c r="A97">
        <v>1993</v>
      </c>
      <c r="B97" s="21">
        <v>30.7</v>
      </c>
      <c r="C97" s="21">
        <v>7.68</v>
      </c>
      <c r="D97" s="3">
        <v>31.3</v>
      </c>
      <c r="E97" s="3">
        <v>6.9</v>
      </c>
    </row>
    <row r="98" spans="1:5" x14ac:dyDescent="0.55000000000000004">
      <c r="A98">
        <v>1994</v>
      </c>
      <c r="B98" s="21">
        <v>29.25</v>
      </c>
      <c r="C98" s="21">
        <v>7.41</v>
      </c>
      <c r="D98" s="3">
        <v>31</v>
      </c>
      <c r="E98" s="3">
        <v>6.8</v>
      </c>
    </row>
    <row r="99" spans="1:5" x14ac:dyDescent="0.55000000000000004">
      <c r="A99">
        <f>A98+1</f>
        <v>1995</v>
      </c>
      <c r="B99" s="21"/>
      <c r="C99" s="21"/>
      <c r="D99" s="3">
        <v>30.8</v>
      </c>
      <c r="E99" s="3">
        <v>6.8</v>
      </c>
    </row>
    <row r="100" spans="1:5" x14ac:dyDescent="0.55000000000000004">
      <c r="A100">
        <f t="shared" ref="A100:A127" si="0">A99+1</f>
        <v>1996</v>
      </c>
      <c r="B100" s="21"/>
      <c r="C100" s="21"/>
      <c r="D100" s="3">
        <v>30.3</v>
      </c>
      <c r="E100" s="3">
        <v>6.7</v>
      </c>
    </row>
    <row r="101" spans="1:5" x14ac:dyDescent="0.55000000000000004">
      <c r="A101">
        <f t="shared" si="0"/>
        <v>1997</v>
      </c>
      <c r="B101" s="21"/>
      <c r="C101" s="21"/>
      <c r="D101" s="3">
        <v>29.6</v>
      </c>
      <c r="E101" s="3">
        <v>6.6</v>
      </c>
    </row>
    <row r="102" spans="1:5" x14ac:dyDescent="0.55000000000000004">
      <c r="A102">
        <f t="shared" si="0"/>
        <v>1998</v>
      </c>
      <c r="B102" s="21"/>
      <c r="C102" s="21"/>
      <c r="D102" s="3">
        <v>29.4</v>
      </c>
      <c r="E102" s="3">
        <v>6.6</v>
      </c>
    </row>
    <row r="103" spans="1:5" x14ac:dyDescent="0.55000000000000004">
      <c r="A103">
        <f t="shared" si="0"/>
        <v>1999</v>
      </c>
      <c r="B103" s="21"/>
      <c r="C103" s="21"/>
      <c r="D103" s="3">
        <v>28.3</v>
      </c>
      <c r="E103" s="3">
        <v>6.5</v>
      </c>
    </row>
    <row r="104" spans="1:5" x14ac:dyDescent="0.55000000000000004">
      <c r="A104">
        <f t="shared" si="0"/>
        <v>2000</v>
      </c>
      <c r="B104" s="21"/>
      <c r="C104" s="21"/>
      <c r="D104" s="3">
        <v>27.1</v>
      </c>
      <c r="E104" s="3">
        <v>6.6</v>
      </c>
    </row>
    <row r="105" spans="1:5" x14ac:dyDescent="0.55000000000000004">
      <c r="A105">
        <f t="shared" si="0"/>
        <v>2001</v>
      </c>
      <c r="B105" s="21"/>
      <c r="C105" s="21"/>
      <c r="D105" s="3">
        <v>25.8</v>
      </c>
      <c r="E105" s="3">
        <v>6.7</v>
      </c>
    </row>
    <row r="106" spans="1:5" x14ac:dyDescent="0.55000000000000004">
      <c r="A106">
        <f t="shared" si="0"/>
        <v>2002</v>
      </c>
      <c r="B106" s="21"/>
      <c r="C106" s="21"/>
      <c r="D106" s="3">
        <v>24.4</v>
      </c>
      <c r="E106" s="3">
        <v>6.7</v>
      </c>
    </row>
    <row r="107" spans="1:5" x14ac:dyDescent="0.55000000000000004">
      <c r="A107">
        <f t="shared" si="0"/>
        <v>2003</v>
      </c>
      <c r="B107" s="21"/>
      <c r="C107" s="21"/>
      <c r="D107" s="3">
        <v>23.1</v>
      </c>
      <c r="E107" s="3">
        <v>6.8</v>
      </c>
    </row>
    <row r="108" spans="1:5" x14ac:dyDescent="0.55000000000000004">
      <c r="A108">
        <f t="shared" si="0"/>
        <v>2004</v>
      </c>
      <c r="B108" s="21"/>
      <c r="C108" s="21"/>
      <c r="D108" s="3">
        <v>22.1</v>
      </c>
      <c r="E108" s="3">
        <v>6.9</v>
      </c>
    </row>
    <row r="109" spans="1:5" x14ac:dyDescent="0.55000000000000004">
      <c r="A109">
        <f t="shared" si="0"/>
        <v>2005</v>
      </c>
      <c r="B109" s="21"/>
      <c r="C109" s="21"/>
      <c r="D109" s="3">
        <v>21.4</v>
      </c>
      <c r="E109" s="3">
        <v>7.2</v>
      </c>
    </row>
    <row r="110" spans="1:5" x14ac:dyDescent="0.55000000000000004">
      <c r="A110">
        <f t="shared" si="0"/>
        <v>2006</v>
      </c>
      <c r="B110" s="21"/>
      <c r="C110" s="21"/>
      <c r="D110" s="3">
        <v>21</v>
      </c>
      <c r="E110" s="3">
        <v>7.5</v>
      </c>
    </row>
    <row r="111" spans="1:5" x14ac:dyDescent="0.55000000000000004">
      <c r="A111">
        <f t="shared" si="0"/>
        <v>2007</v>
      </c>
      <c r="B111" s="21"/>
      <c r="C111" s="21"/>
      <c r="D111" s="3">
        <v>20.6</v>
      </c>
      <c r="E111" s="3">
        <v>7.8</v>
      </c>
    </row>
    <row r="112" spans="1:5" x14ac:dyDescent="0.55000000000000004">
      <c r="A112">
        <f t="shared" si="0"/>
        <v>2008</v>
      </c>
      <c r="B112" s="21"/>
      <c r="C112" s="21"/>
      <c r="D112" s="3">
        <v>20</v>
      </c>
      <c r="E112" s="3">
        <v>7.6</v>
      </c>
    </row>
    <row r="113" spans="1:5" x14ac:dyDescent="0.55000000000000004">
      <c r="A113">
        <f t="shared" si="0"/>
        <v>2009</v>
      </c>
      <c r="B113" s="21"/>
      <c r="C113" s="21"/>
      <c r="D113" s="3">
        <v>19.8</v>
      </c>
      <c r="E113" s="3">
        <v>7.5</v>
      </c>
    </row>
    <row r="114" spans="1:5" x14ac:dyDescent="0.55000000000000004">
      <c r="A114">
        <f t="shared" si="0"/>
        <v>2010</v>
      </c>
      <c r="B114" s="21"/>
      <c r="C114" s="21"/>
      <c r="D114" s="3">
        <v>19.7</v>
      </c>
      <c r="E114" s="3">
        <v>7.2</v>
      </c>
    </row>
    <row r="115" spans="1:5" x14ac:dyDescent="0.55000000000000004">
      <c r="A115">
        <f t="shared" si="0"/>
        <v>2011</v>
      </c>
      <c r="B115" s="21"/>
      <c r="C115" s="21"/>
      <c r="D115" s="3">
        <v>19.600000000000001</v>
      </c>
      <c r="E115" s="3">
        <v>7.1</v>
      </c>
    </row>
    <row r="116" spans="1:5" x14ac:dyDescent="0.55000000000000004">
      <c r="A116">
        <f t="shared" si="0"/>
        <v>2012</v>
      </c>
      <c r="B116" s="21"/>
      <c r="C116" s="21"/>
      <c r="D116" s="3">
        <v>19.399999999999999</v>
      </c>
      <c r="E116" s="3">
        <v>7</v>
      </c>
    </row>
    <row r="117" spans="1:5" x14ac:dyDescent="0.55000000000000004">
      <c r="A117">
        <f t="shared" si="0"/>
        <v>2013</v>
      </c>
      <c r="B117" s="21"/>
      <c r="C117" s="21"/>
      <c r="D117" s="3">
        <v>19.2</v>
      </c>
      <c r="E117" s="3">
        <v>7.2</v>
      </c>
    </row>
    <row r="118" spans="1:5" x14ac:dyDescent="0.55000000000000004">
      <c r="A118">
        <f t="shared" si="0"/>
        <v>2014</v>
      </c>
      <c r="B118" s="21"/>
      <c r="C118" s="21"/>
      <c r="D118" s="3">
        <v>19</v>
      </c>
      <c r="E118" s="3">
        <v>7.2</v>
      </c>
    </row>
    <row r="119" spans="1:5" x14ac:dyDescent="0.55000000000000004">
      <c r="A119">
        <f t="shared" si="0"/>
        <v>2015</v>
      </c>
      <c r="B119" s="21"/>
      <c r="C119" s="21"/>
      <c r="D119" s="3">
        <v>18.600000000000001</v>
      </c>
      <c r="E119" s="3">
        <v>7.4</v>
      </c>
    </row>
    <row r="120" spans="1:5" x14ac:dyDescent="0.55000000000000004">
      <c r="A120">
        <f t="shared" si="0"/>
        <v>2016</v>
      </c>
      <c r="B120" s="21"/>
      <c r="C120" s="21"/>
      <c r="D120" s="3">
        <v>17.7</v>
      </c>
      <c r="E120" s="3">
        <v>7.4</v>
      </c>
    </row>
    <row r="121" spans="1:5" x14ac:dyDescent="0.55000000000000004">
      <c r="A121">
        <f t="shared" si="0"/>
        <v>2017</v>
      </c>
      <c r="B121" s="21"/>
      <c r="C121" s="21"/>
      <c r="D121" s="3">
        <v>17.100000000000001</v>
      </c>
      <c r="E121" s="3">
        <v>7.5</v>
      </c>
    </row>
    <row r="122" spans="1:5" x14ac:dyDescent="0.55000000000000004">
      <c r="A122">
        <f t="shared" si="0"/>
        <v>2018</v>
      </c>
      <c r="B122" s="21"/>
      <c r="C122" s="21"/>
      <c r="D122" s="3">
        <v>16.7</v>
      </c>
      <c r="E122" s="3">
        <v>7.4</v>
      </c>
    </row>
    <row r="123" spans="1:5" x14ac:dyDescent="0.55000000000000004">
      <c r="A123">
        <f t="shared" si="0"/>
        <v>2019</v>
      </c>
      <c r="B123" s="21"/>
      <c r="C123" s="21"/>
      <c r="D123" s="3">
        <v>16.600000000000001</v>
      </c>
      <c r="E123" s="3">
        <v>7.4</v>
      </c>
    </row>
    <row r="124" spans="1:5" x14ac:dyDescent="0.55000000000000004">
      <c r="A124">
        <f t="shared" si="0"/>
        <v>2020</v>
      </c>
      <c r="B124" s="21"/>
      <c r="C124" s="21"/>
      <c r="D124" s="3">
        <v>16.3</v>
      </c>
      <c r="E124" s="3">
        <v>8.6</v>
      </c>
    </row>
    <row r="125" spans="1:5" x14ac:dyDescent="0.55000000000000004">
      <c r="A125">
        <f t="shared" si="0"/>
        <v>2021</v>
      </c>
      <c r="B125" s="21"/>
      <c r="C125" s="21"/>
      <c r="D125" s="3">
        <v>16.2</v>
      </c>
      <c r="E125" s="3">
        <v>8.6999999999999993</v>
      </c>
    </row>
    <row r="126" spans="1:5" x14ac:dyDescent="0.55000000000000004">
      <c r="A126">
        <f t="shared" si="0"/>
        <v>2022</v>
      </c>
      <c r="B126" s="21"/>
      <c r="C126" s="21"/>
      <c r="D126" s="3">
        <v>15.9</v>
      </c>
      <c r="E126" s="3">
        <v>7.5</v>
      </c>
    </row>
    <row r="127" spans="1:5" x14ac:dyDescent="0.55000000000000004">
      <c r="A127">
        <f t="shared" si="0"/>
        <v>2023</v>
      </c>
      <c r="B127" s="21"/>
      <c r="C127" s="21"/>
      <c r="D127" s="3">
        <v>15.8</v>
      </c>
      <c r="E127" s="3">
        <v>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6" sqref="AD26:AD50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335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336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337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338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339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340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341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342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343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340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344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345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346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347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348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349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350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351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352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353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1</vt:i4>
      </vt:variant>
    </vt:vector>
  </HeadingPairs>
  <TitlesOfParts>
    <vt:vector size="46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2026-06-10T20:34:04Z</dcterms:modified>
</cp:coreProperties>
</file>