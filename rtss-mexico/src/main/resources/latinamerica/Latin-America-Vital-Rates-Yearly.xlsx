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mexico\src\main\resources\"/>
    </mc:Choice>
  </mc:AlternateContent>
  <xr:revisionPtr revIDLastSave="0" documentId="13_ncr:1_{9815D7C8-A469-401D-B78F-855DA2EE85E6}" xr6:coauthVersionLast="47" xr6:coauthVersionMax="47" xr10:uidLastSave="{00000000-0000-0000-0000-000000000000}"/>
  <bookViews>
    <workbookView xWindow="57480" yWindow="-120" windowWidth="51840" windowHeight="21120" tabRatio="746" firstSheet="1" activeTab="3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" sheetId="21" r:id="rId7"/>
    <sheet name="Бразилия" sheetId="3" r:id="rId8"/>
    <sheet name="Венесуэла-Колвер" sheetId="5" r:id="rId9"/>
    <sheet name="Венесуэла-Бриньоли" sheetId="24" r:id="rId10"/>
    <sheet name="Гватемала" sheetId="7" r:id="rId11"/>
    <sheet name="Гондурас" sheetId="22" r:id="rId12"/>
    <sheet name="Колумбия" sheetId="8" r:id="rId13"/>
    <sheet name="Коста-Рика-Бриньоли" sheetId="25" r:id="rId14"/>
    <sheet name="Коста-Рика-Колвер" sheetId="6" r:id="rId15"/>
    <sheet name="Куба-Бриньоли" sheetId="26" r:id="rId16"/>
    <sheet name="Куба-Колвер" sheetId="18" r:id="rId17"/>
    <sheet name="Мексика-Бриньоли" sheetId="29" r:id="rId18"/>
    <sheet name="Мексика-Колвер" sheetId="19" r:id="rId19"/>
    <sheet name="Панама" sheetId="17" r:id="rId20"/>
    <sheet name="Парагвай" sheetId="10" r:id="rId21"/>
    <sheet name="Перу" sheetId="11" r:id="rId22"/>
    <sheet name="Сальвадор" sheetId="12" r:id="rId23"/>
    <sheet name="Уругвай-Бриньоли" sheetId="27" r:id="rId24"/>
    <sheet name="Уругвай-Ротман" sheetId="16" r:id="rId25"/>
    <sheet name="Уругвай-Митчел" sheetId="20" r:id="rId26"/>
    <sheet name="Чили-Бриньоли" sheetId="28" r:id="rId27"/>
    <sheet name="Чили-Колвер" sheetId="13" r:id="rId28"/>
    <sheet name="Эквадор" sheetId="9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4" i="23" l="1"/>
  <c r="J153" i="23"/>
  <c r="J152" i="23"/>
  <c r="J151" i="23"/>
  <c r="J150" i="23"/>
  <c r="J149" i="23"/>
  <c r="J148" i="23"/>
  <c r="J147" i="23"/>
  <c r="J146" i="23"/>
  <c r="J145" i="23"/>
  <c r="J144" i="23"/>
  <c r="J143" i="23"/>
  <c r="J142" i="23"/>
  <c r="J141" i="23"/>
  <c r="J140" i="23"/>
  <c r="J139" i="23"/>
  <c r="J138" i="23"/>
  <c r="J137" i="23"/>
  <c r="J136" i="23"/>
  <c r="J135" i="23"/>
  <c r="J134" i="23"/>
  <c r="J133" i="23"/>
  <c r="J132" i="23"/>
  <c r="J131" i="23"/>
  <c r="J130" i="23"/>
  <c r="J129" i="23"/>
  <c r="J128" i="23"/>
  <c r="J127" i="23"/>
  <c r="J126" i="23"/>
  <c r="J125" i="23"/>
  <c r="J124" i="23"/>
  <c r="J123" i="23"/>
  <c r="J122" i="23"/>
  <c r="J121" i="23"/>
  <c r="J120" i="23"/>
  <c r="J119" i="23"/>
  <c r="J118" i="23"/>
  <c r="J117" i="23"/>
  <c r="J116" i="23"/>
  <c r="J115" i="23"/>
  <c r="J114" i="23"/>
  <c r="J113" i="23"/>
  <c r="J112" i="23"/>
  <c r="J111" i="23"/>
  <c r="J110" i="23"/>
  <c r="J109" i="23"/>
  <c r="J108" i="23"/>
  <c r="J107" i="23"/>
  <c r="J106" i="23"/>
  <c r="J105" i="23"/>
  <c r="J104" i="23"/>
  <c r="J103" i="23"/>
  <c r="J102" i="23"/>
  <c r="J101" i="23"/>
  <c r="J100" i="23"/>
  <c r="J99" i="23"/>
  <c r="J98" i="23"/>
  <c r="J97" i="23"/>
  <c r="J96" i="23"/>
  <c r="J95" i="23"/>
  <c r="J94" i="23"/>
  <c r="J93" i="23"/>
  <c r="J92" i="23"/>
  <c r="J91" i="23"/>
  <c r="J90" i="23"/>
  <c r="J89" i="23"/>
  <c r="J88" i="23"/>
  <c r="J87" i="23"/>
  <c r="J86" i="23"/>
  <c r="J85" i="23"/>
  <c r="J84" i="23"/>
  <c r="J83" i="23"/>
  <c r="J82" i="23"/>
  <c r="J81" i="23"/>
  <c r="J80" i="23"/>
  <c r="J79" i="23"/>
  <c r="J78" i="23"/>
  <c r="J77" i="23"/>
  <c r="J76" i="23"/>
  <c r="J75" i="23"/>
  <c r="J74" i="23"/>
  <c r="J73" i="23"/>
  <c r="J72" i="23"/>
  <c r="J71" i="23"/>
  <c r="J70" i="23"/>
  <c r="J69" i="23"/>
  <c r="J68" i="23"/>
  <c r="J67" i="23"/>
  <c r="J66" i="23"/>
  <c r="J65" i="23"/>
  <c r="J64" i="23"/>
  <c r="J63" i="23"/>
  <c r="J62" i="23"/>
  <c r="J61" i="23"/>
  <c r="J60" i="23"/>
  <c r="J59" i="23"/>
  <c r="J58" i="23"/>
  <c r="J57" i="23"/>
  <c r="J56" i="23"/>
  <c r="J55" i="23"/>
  <c r="J54" i="23"/>
  <c r="J53" i="23"/>
  <c r="J52" i="23"/>
  <c r="J51" i="23"/>
  <c r="J50" i="23"/>
  <c r="J49" i="23"/>
  <c r="J48" i="23"/>
  <c r="J47" i="23"/>
  <c r="J46" i="23"/>
  <c r="J45" i="23"/>
  <c r="J44" i="23"/>
  <c r="J43" i="23"/>
  <c r="J42" i="23"/>
  <c r="J41" i="23"/>
  <c r="J40" i="23"/>
  <c r="J39" i="23"/>
  <c r="J38" i="23"/>
  <c r="J37" i="23"/>
  <c r="J36" i="23"/>
  <c r="J35" i="23"/>
  <c r="J34" i="23"/>
  <c r="J33" i="23"/>
  <c r="J32" i="23"/>
  <c r="J31" i="23"/>
  <c r="J30" i="23"/>
  <c r="J29" i="23"/>
  <c r="J28" i="23"/>
  <c r="J27" i="23"/>
  <c r="J26" i="23"/>
  <c r="J25" i="23"/>
  <c r="J24" i="23"/>
  <c r="J23" i="23"/>
  <c r="J22" i="23"/>
  <c r="J21" i="23"/>
  <c r="J20" i="23"/>
  <c r="J19" i="23"/>
  <c r="J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J5" i="23"/>
  <c r="J4" i="23"/>
  <c r="J3" i="23"/>
  <c r="I80" i="23"/>
  <c r="H80" i="23"/>
  <c r="H79" i="23"/>
  <c r="I79" i="23"/>
  <c r="I154" i="23"/>
  <c r="H154" i="23"/>
  <c r="I153" i="23"/>
  <c r="H153" i="23"/>
  <c r="I152" i="23"/>
  <c r="H152" i="23"/>
  <c r="I151" i="23"/>
  <c r="H151" i="23"/>
  <c r="I150" i="23"/>
  <c r="H150" i="23"/>
  <c r="I149" i="23"/>
  <c r="H149" i="23"/>
  <c r="I148" i="23"/>
  <c r="H148" i="23"/>
  <c r="I147" i="23"/>
  <c r="H147" i="23"/>
  <c r="I146" i="23"/>
  <c r="H146" i="23"/>
  <c r="I145" i="23"/>
  <c r="H145" i="23"/>
  <c r="I144" i="23"/>
  <c r="H144" i="23"/>
  <c r="I143" i="23"/>
  <c r="H143" i="23"/>
  <c r="I142" i="23"/>
  <c r="H142" i="23"/>
  <c r="I141" i="23"/>
  <c r="H141" i="23"/>
  <c r="I140" i="23"/>
  <c r="H140" i="23"/>
  <c r="I139" i="23"/>
  <c r="H139" i="23"/>
  <c r="I138" i="23"/>
  <c r="H138" i="23"/>
  <c r="I137" i="23"/>
  <c r="H137" i="23"/>
  <c r="I136" i="23"/>
  <c r="H136" i="23"/>
  <c r="I135" i="23"/>
  <c r="H135" i="23"/>
  <c r="I134" i="23"/>
  <c r="H134" i="23"/>
  <c r="I133" i="23"/>
  <c r="H133" i="23"/>
  <c r="I132" i="23"/>
  <c r="H132" i="23"/>
  <c r="I131" i="23"/>
  <c r="H131" i="23"/>
  <c r="I130" i="23"/>
  <c r="H130" i="23"/>
  <c r="I129" i="23"/>
  <c r="H129" i="23"/>
  <c r="I128" i="23"/>
  <c r="H128" i="23"/>
  <c r="I127" i="23"/>
  <c r="H127" i="23"/>
  <c r="I126" i="23"/>
  <c r="H126" i="23"/>
  <c r="I125" i="23"/>
  <c r="H125" i="23"/>
  <c r="I124" i="23"/>
  <c r="H124" i="23"/>
  <c r="I123" i="23"/>
  <c r="H123" i="23"/>
  <c r="I122" i="23"/>
  <c r="H122" i="23"/>
  <c r="I121" i="23"/>
  <c r="H121" i="23"/>
  <c r="I120" i="23"/>
  <c r="H120" i="23"/>
  <c r="I119" i="23"/>
  <c r="H119" i="23"/>
  <c r="I118" i="23"/>
  <c r="H118" i="23"/>
  <c r="I117" i="23"/>
  <c r="H117" i="23"/>
  <c r="I116" i="23"/>
  <c r="H116" i="23"/>
  <c r="I115" i="23"/>
  <c r="H115" i="23"/>
  <c r="I114" i="23"/>
  <c r="H114" i="23"/>
  <c r="I113" i="23"/>
  <c r="H113" i="23"/>
  <c r="I112" i="23"/>
  <c r="H112" i="23"/>
  <c r="I111" i="23"/>
  <c r="H111" i="23"/>
  <c r="I110" i="23"/>
  <c r="H110" i="23"/>
  <c r="I109" i="23"/>
  <c r="H109" i="23"/>
  <c r="I108" i="23"/>
  <c r="H108" i="23"/>
  <c r="I107" i="23"/>
  <c r="H107" i="23"/>
  <c r="I106" i="23"/>
  <c r="H106" i="23"/>
  <c r="I105" i="23"/>
  <c r="H105" i="23"/>
  <c r="I104" i="23"/>
  <c r="H104" i="23"/>
  <c r="I103" i="23"/>
  <c r="H103" i="23"/>
  <c r="I102" i="23"/>
  <c r="H102" i="23"/>
  <c r="I101" i="23"/>
  <c r="H101" i="23"/>
  <c r="I100" i="23"/>
  <c r="H100" i="23"/>
  <c r="I99" i="23"/>
  <c r="H99" i="23"/>
  <c r="I98" i="23"/>
  <c r="H98" i="23"/>
  <c r="I97" i="23"/>
  <c r="H97" i="23"/>
  <c r="I96" i="23"/>
  <c r="H96" i="23"/>
  <c r="I95" i="23"/>
  <c r="H95" i="23"/>
  <c r="I94" i="23"/>
  <c r="H94" i="23"/>
  <c r="I93" i="23"/>
  <c r="H93" i="23"/>
  <c r="I92" i="23"/>
  <c r="H92" i="23"/>
  <c r="I91" i="23"/>
  <c r="H91" i="23"/>
  <c r="I90" i="23"/>
  <c r="H90" i="23"/>
  <c r="I89" i="23"/>
  <c r="H89" i="23"/>
  <c r="I88" i="23"/>
  <c r="H88" i="23"/>
  <c r="I87" i="23"/>
  <c r="H87" i="23"/>
  <c r="I86" i="23"/>
  <c r="H86" i="23"/>
  <c r="I85" i="23"/>
  <c r="H85" i="23"/>
  <c r="I84" i="23"/>
  <c r="H84" i="23"/>
  <c r="I83" i="23"/>
  <c r="H83" i="23"/>
  <c r="I82" i="23"/>
  <c r="H82" i="23"/>
  <c r="I81" i="23"/>
  <c r="H81" i="23"/>
  <c r="I78" i="23"/>
  <c r="H78" i="23"/>
  <c r="I77" i="23"/>
  <c r="H77" i="23"/>
  <c r="I76" i="23"/>
  <c r="H76" i="23"/>
  <c r="I75" i="23"/>
  <c r="H75" i="23"/>
  <c r="I74" i="23"/>
  <c r="H74" i="23"/>
  <c r="I73" i="23"/>
  <c r="H73" i="23"/>
  <c r="I72" i="23"/>
  <c r="H72" i="23"/>
  <c r="I71" i="23"/>
  <c r="H71" i="23"/>
  <c r="I70" i="23"/>
  <c r="H70" i="23"/>
  <c r="I69" i="23"/>
  <c r="H69" i="23"/>
  <c r="I68" i="23"/>
  <c r="H68" i="23"/>
  <c r="I67" i="23"/>
  <c r="H67" i="23"/>
  <c r="I66" i="23"/>
  <c r="H66" i="23"/>
  <c r="I65" i="23"/>
  <c r="H65" i="23"/>
  <c r="I64" i="23"/>
  <c r="H64" i="23"/>
  <c r="I63" i="23"/>
  <c r="H63" i="23"/>
  <c r="I62" i="23"/>
  <c r="H62" i="23"/>
  <c r="I61" i="23"/>
  <c r="H61" i="23"/>
  <c r="I60" i="23"/>
  <c r="H60" i="23"/>
  <c r="I59" i="23"/>
  <c r="H59" i="23"/>
  <c r="I58" i="23"/>
  <c r="H58" i="23"/>
  <c r="I57" i="23"/>
  <c r="H57" i="23"/>
  <c r="I56" i="23"/>
  <c r="H56" i="23"/>
  <c r="I55" i="23"/>
  <c r="H55" i="23"/>
  <c r="I54" i="23"/>
  <c r="H54" i="23"/>
  <c r="I53" i="23"/>
  <c r="H53" i="23"/>
  <c r="I52" i="23"/>
  <c r="H52" i="23"/>
  <c r="I51" i="23"/>
  <c r="H51" i="23"/>
  <c r="I50" i="23"/>
  <c r="H50" i="23"/>
  <c r="I49" i="23"/>
  <c r="H49" i="23"/>
  <c r="I48" i="23"/>
  <c r="H48" i="23"/>
  <c r="I47" i="23"/>
  <c r="H47" i="23"/>
  <c r="I46" i="23"/>
  <c r="H46" i="23"/>
  <c r="I45" i="23"/>
  <c r="H45" i="23"/>
  <c r="I44" i="23"/>
  <c r="H44" i="23"/>
  <c r="I43" i="23"/>
  <c r="H43" i="23"/>
  <c r="I42" i="23"/>
  <c r="H42" i="23"/>
  <c r="I41" i="23"/>
  <c r="H41" i="23"/>
  <c r="I40" i="23"/>
  <c r="H40" i="23"/>
  <c r="I39" i="23"/>
  <c r="H39" i="23"/>
  <c r="I38" i="23"/>
  <c r="H38" i="23"/>
  <c r="I37" i="23"/>
  <c r="H37" i="23"/>
  <c r="I36" i="23"/>
  <c r="H36" i="23"/>
  <c r="I35" i="23"/>
  <c r="H35" i="23"/>
  <c r="I34" i="23"/>
  <c r="H34" i="23"/>
  <c r="I33" i="23"/>
  <c r="H33" i="23"/>
  <c r="I32" i="23"/>
  <c r="H32" i="23"/>
  <c r="I31" i="23"/>
  <c r="H31" i="23"/>
  <c r="I30" i="23"/>
  <c r="H30" i="23"/>
  <c r="I29" i="23"/>
  <c r="H29" i="23"/>
  <c r="I28" i="23"/>
  <c r="H28" i="23"/>
  <c r="I27" i="23"/>
  <c r="H27" i="23"/>
  <c r="I26" i="23"/>
  <c r="H26" i="23"/>
  <c r="I25" i="23"/>
  <c r="H25" i="23"/>
  <c r="I24" i="23"/>
  <c r="H24" i="23"/>
  <c r="I23" i="23"/>
  <c r="H23" i="23"/>
  <c r="I22" i="23"/>
  <c r="H22" i="23"/>
  <c r="I21" i="23"/>
  <c r="H21" i="23"/>
  <c r="I20" i="23"/>
  <c r="H20" i="23"/>
  <c r="I19" i="23"/>
  <c r="H19" i="23"/>
  <c r="I18" i="23"/>
  <c r="H18" i="23"/>
  <c r="I17" i="23"/>
  <c r="H17" i="23"/>
  <c r="I16" i="23"/>
  <c r="H16" i="23"/>
  <c r="I15" i="23"/>
  <c r="H15" i="23"/>
  <c r="I14" i="23"/>
  <c r="H14" i="23"/>
  <c r="I13" i="23"/>
  <c r="H13" i="23"/>
  <c r="I12" i="23"/>
  <c r="H12" i="23"/>
  <c r="I11" i="23"/>
  <c r="H11" i="23"/>
  <c r="I10" i="23"/>
  <c r="H10" i="23"/>
  <c r="I9" i="23"/>
  <c r="H9" i="23"/>
  <c r="I8" i="23"/>
  <c r="H8" i="23"/>
  <c r="I7" i="23"/>
  <c r="H7" i="23"/>
  <c r="I6" i="23"/>
  <c r="H6" i="23"/>
  <c r="I5" i="23"/>
  <c r="H5" i="23"/>
  <c r="I4" i="23"/>
  <c r="H4" i="23"/>
  <c r="I3" i="23"/>
  <c r="H3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5" i="28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31" i="28" s="1"/>
  <c r="A132" i="28" s="1"/>
  <c r="A133" i="28" s="1"/>
  <c r="A134" i="28" s="1"/>
  <c r="A135" i="28" s="1"/>
  <c r="A136" i="28" s="1"/>
  <c r="A137" i="28" s="1"/>
  <c r="A138" i="28" s="1"/>
  <c r="A139" i="28" s="1"/>
  <c r="A140" i="28" s="1"/>
  <c r="A141" i="28" s="1"/>
  <c r="A142" i="28" s="1"/>
  <c r="A143" i="28" s="1"/>
  <c r="A144" i="28" s="1"/>
  <c r="A145" i="28" s="1"/>
  <c r="A146" i="28" s="1"/>
  <c r="A147" i="28" s="1"/>
  <c r="A148" i="28" s="1"/>
  <c r="A149" i="28" s="1"/>
  <c r="A150" i="28" s="1"/>
  <c r="A151" i="28" s="1"/>
  <c r="A152" i="28" s="1"/>
  <c r="A153" i="28" s="1"/>
  <c r="A154" i="28" s="1"/>
  <c r="A155" i="28" s="1"/>
  <c r="A156" i="28" s="1"/>
  <c r="A157" i="28" s="1"/>
  <c r="A158" i="28" s="1"/>
  <c r="A159" i="28" s="1"/>
  <c r="A160" i="28" s="1"/>
  <c r="A161" i="28" s="1"/>
  <c r="A162" i="28" s="1"/>
  <c r="A163" i="28" s="1"/>
  <c r="A164" i="28" s="1"/>
  <c r="A165" i="28" s="1"/>
  <c r="A166" i="28" s="1"/>
  <c r="A167" i="28" s="1"/>
  <c r="A168" i="28" s="1"/>
  <c r="A169" i="28" s="1"/>
  <c r="A170" i="28" s="1"/>
  <c r="A171" i="28" s="1"/>
  <c r="A172" i="28" s="1"/>
  <c r="A173" i="28" s="1"/>
  <c r="A174" i="28" s="1"/>
  <c r="A114" i="28"/>
  <c r="A129" i="27"/>
  <c r="A126" i="27"/>
  <c r="A127" i="27" s="1"/>
  <c r="A128" i="27" s="1"/>
  <c r="A70" i="27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69" i="27"/>
  <c r="A85" i="29"/>
  <c r="A86" i="29" s="1"/>
  <c r="A87" i="29" s="1"/>
  <c r="A88" i="29" s="1"/>
  <c r="A89" i="29" s="1"/>
  <c r="A90" i="29" s="1"/>
  <c r="A91" i="29" s="1"/>
  <c r="A92" i="29" s="1"/>
  <c r="A93" i="29" s="1"/>
  <c r="A94" i="29" s="1"/>
  <c r="A95" i="29" s="1"/>
  <c r="A96" i="29" s="1"/>
  <c r="A97" i="29" s="1"/>
  <c r="A98" i="29" s="1"/>
  <c r="A99" i="29" s="1"/>
  <c r="A100" i="29" s="1"/>
  <c r="A101" i="29" s="1"/>
  <c r="A102" i="29" s="1"/>
  <c r="A103" i="29" s="1"/>
  <c r="A104" i="29" s="1"/>
  <c r="A105" i="29" s="1"/>
  <c r="A106" i="29" s="1"/>
  <c r="A107" i="29" s="1"/>
  <c r="A108" i="29" s="1"/>
  <c r="A109" i="29" s="1"/>
  <c r="A110" i="29" s="1"/>
  <c r="A111" i="29" s="1"/>
  <c r="A112" i="29" s="1"/>
  <c r="A113" i="29" s="1"/>
  <c r="A114" i="29" s="1"/>
  <c r="A115" i="29" s="1"/>
  <c r="A116" i="29" s="1"/>
  <c r="A117" i="29" s="1"/>
  <c r="A118" i="29" s="1"/>
  <c r="A119" i="29" s="1"/>
  <c r="A120" i="29" s="1"/>
  <c r="A121" i="29" s="1"/>
  <c r="A122" i="29" s="1"/>
  <c r="A123" i="29" s="1"/>
  <c r="A124" i="29" s="1"/>
  <c r="A125" i="29" s="1"/>
  <c r="A126" i="29" s="1"/>
  <c r="A127" i="29" s="1"/>
  <c r="A128" i="29" s="1"/>
  <c r="A129" i="29" s="1"/>
  <c r="A84" i="29"/>
  <c r="A71" i="26"/>
  <c r="A72" i="26" s="1"/>
  <c r="A73" i="26" s="1"/>
  <c r="A74" i="26" s="1"/>
  <c r="A75" i="26" s="1"/>
  <c r="A76" i="26" s="1"/>
  <c r="A77" i="26" s="1"/>
  <c r="A78" i="26" s="1"/>
  <c r="A79" i="26" s="1"/>
  <c r="A80" i="26" s="1"/>
  <c r="A81" i="26" s="1"/>
  <c r="A82" i="26" s="1"/>
  <c r="A83" i="26" s="1"/>
  <c r="A84" i="26" s="1"/>
  <c r="A85" i="26" s="1"/>
  <c r="A86" i="26" s="1"/>
  <c r="A87" i="26" s="1"/>
  <c r="A88" i="26" s="1"/>
  <c r="A89" i="26" s="1"/>
  <c r="A90" i="26" s="1"/>
  <c r="A91" i="26" s="1"/>
  <c r="A92" i="26" s="1"/>
  <c r="A93" i="26" s="1"/>
  <c r="A94" i="26" s="1"/>
  <c r="A95" i="26" s="1"/>
  <c r="A96" i="26" s="1"/>
  <c r="A97" i="26" s="1"/>
  <c r="A98" i="26" s="1"/>
  <c r="A99" i="26" s="1"/>
  <c r="A100" i="26" s="1"/>
  <c r="A101" i="26" s="1"/>
  <c r="A102" i="26" s="1"/>
  <c r="A103" i="26" s="1"/>
  <c r="A104" i="26" s="1"/>
  <c r="A105" i="26" s="1"/>
  <c r="A106" i="26" s="1"/>
  <c r="A107" i="26" s="1"/>
  <c r="A108" i="26" s="1"/>
  <c r="A109" i="26" s="1"/>
  <c r="A110" i="26" s="1"/>
  <c r="A111" i="26" s="1"/>
  <c r="A112" i="26" s="1"/>
  <c r="A113" i="26" s="1"/>
  <c r="A114" i="26" s="1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70" i="26"/>
  <c r="A69" i="26"/>
  <c r="A95" i="25"/>
  <c r="A96" i="25" s="1"/>
  <c r="A97" i="25" s="1"/>
  <c r="A98" i="25" s="1"/>
  <c r="A99" i="25" s="1"/>
  <c r="A100" i="25" s="1"/>
  <c r="A101" i="25" s="1"/>
  <c r="A102" i="25" s="1"/>
  <c r="A103" i="25" s="1"/>
  <c r="A104" i="25" s="1"/>
  <c r="A105" i="25" s="1"/>
  <c r="A106" i="25" s="1"/>
  <c r="A107" i="25" s="1"/>
  <c r="A108" i="25" s="1"/>
  <c r="A109" i="25" s="1"/>
  <c r="A110" i="25" s="1"/>
  <c r="A111" i="25" s="1"/>
  <c r="A112" i="25" s="1"/>
  <c r="A113" i="25" s="1"/>
  <c r="A114" i="25" s="1"/>
  <c r="A115" i="25" s="1"/>
  <c r="A116" i="25" s="1"/>
  <c r="A117" i="25" s="1"/>
  <c r="A118" i="25" s="1"/>
  <c r="A119" i="25" s="1"/>
  <c r="A120" i="25" s="1"/>
  <c r="A121" i="25" s="1"/>
  <c r="A122" i="25" s="1"/>
  <c r="A123" i="25" s="1"/>
  <c r="A124" i="25" s="1"/>
  <c r="A125" i="25" s="1"/>
  <c r="A126" i="25" s="1"/>
  <c r="A127" i="25" s="1"/>
  <c r="A128" i="25" s="1"/>
  <c r="A129" i="25" s="1"/>
  <c r="A130" i="25" s="1"/>
  <c r="A131" i="25" s="1"/>
  <c r="A132" i="25" s="1"/>
  <c r="A133" i="25" s="1"/>
  <c r="A134" i="25" s="1"/>
  <c r="A135" i="25" s="1"/>
  <c r="A136" i="25" s="1"/>
  <c r="A137" i="25" s="1"/>
  <c r="A138" i="25" s="1"/>
  <c r="A139" i="25" s="1"/>
  <c r="A140" i="25" s="1"/>
  <c r="A141" i="25" s="1"/>
  <c r="A142" i="25" s="1"/>
  <c r="A143" i="25" s="1"/>
  <c r="A144" i="25" s="1"/>
  <c r="A145" i="25" s="1"/>
  <c r="A146" i="25" s="1"/>
  <c r="A147" i="25" s="1"/>
  <c r="A148" i="25" s="1"/>
  <c r="A149" i="25" s="1"/>
  <c r="A150" i="25" s="1"/>
  <c r="A151" i="25" s="1"/>
  <c r="A152" i="25" s="1"/>
  <c r="A153" i="25" s="1"/>
  <c r="A154" i="25" s="1"/>
  <c r="A155" i="25" s="1"/>
  <c r="A156" i="25" s="1"/>
  <c r="A157" i="25" s="1"/>
  <c r="A158" i="25" s="1"/>
  <c r="A159" i="25" s="1"/>
  <c r="A160" i="25" s="1"/>
  <c r="A161" i="25" s="1"/>
  <c r="A162" i="25" s="1"/>
  <c r="A163" i="25" s="1"/>
  <c r="A164" i="25" s="1"/>
  <c r="A94" i="25"/>
  <c r="A130" i="24"/>
  <c r="A131" i="24" s="1"/>
  <c r="A132" i="24" s="1"/>
  <c r="A133" i="24" s="1"/>
  <c r="A134" i="24" s="1"/>
  <c r="A135" i="24" s="1"/>
  <c r="A136" i="24" s="1"/>
  <c r="A137" i="24" s="1"/>
  <c r="A138" i="24" s="1"/>
  <c r="A139" i="24" s="1"/>
  <c r="A75" i="24"/>
  <c r="A76" i="24" s="1"/>
  <c r="A77" i="24" s="1"/>
  <c r="A78" i="24" s="1"/>
  <c r="A79" i="24" s="1"/>
  <c r="A80" i="24" s="1"/>
  <c r="A81" i="24" s="1"/>
  <c r="A82" i="24" s="1"/>
  <c r="A83" i="24" s="1"/>
  <c r="A84" i="24" s="1"/>
  <c r="A85" i="24" s="1"/>
  <c r="A86" i="24" s="1"/>
  <c r="A87" i="24" s="1"/>
  <c r="A88" i="24" s="1"/>
  <c r="A89" i="24" s="1"/>
  <c r="A90" i="24" s="1"/>
  <c r="A91" i="24" s="1"/>
  <c r="A92" i="24" s="1"/>
  <c r="A93" i="24" s="1"/>
  <c r="A94" i="24" s="1"/>
  <c r="A95" i="24" s="1"/>
  <c r="A96" i="24" s="1"/>
  <c r="A97" i="24" s="1"/>
  <c r="A98" i="24" s="1"/>
  <c r="A99" i="24" s="1"/>
  <c r="A100" i="24" s="1"/>
  <c r="A101" i="24" s="1"/>
  <c r="A102" i="24" s="1"/>
  <c r="A103" i="24" s="1"/>
  <c r="A104" i="24" s="1"/>
  <c r="A105" i="24" s="1"/>
  <c r="A106" i="24" s="1"/>
  <c r="A107" i="24" s="1"/>
  <c r="A108" i="24" s="1"/>
  <c r="A109" i="24" s="1"/>
  <c r="A110" i="24" s="1"/>
  <c r="A111" i="24" s="1"/>
  <c r="A112" i="24" s="1"/>
  <c r="A113" i="24" s="1"/>
  <c r="A114" i="24" s="1"/>
  <c r="A115" i="24" s="1"/>
  <c r="A116" i="24" s="1"/>
  <c r="A117" i="24" s="1"/>
  <c r="A118" i="24" s="1"/>
  <c r="A119" i="24" s="1"/>
  <c r="A120" i="24" s="1"/>
  <c r="A121" i="24" s="1"/>
  <c r="A122" i="24" s="1"/>
  <c r="A123" i="24" s="1"/>
  <c r="A124" i="24" s="1"/>
  <c r="A125" i="24" s="1"/>
  <c r="A126" i="24" s="1"/>
  <c r="A127" i="24" s="1"/>
  <c r="A128" i="24" s="1"/>
  <c r="A129" i="24" s="1"/>
  <c r="A74" i="24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D8" i="20" l="1"/>
  <c r="J58" i="19"/>
  <c r="J57" i="19"/>
  <c r="J56" i="19"/>
  <c r="J55" i="19"/>
  <c r="J54" i="19"/>
  <c r="L53" i="19"/>
  <c r="J53" i="19"/>
  <c r="J52" i="19"/>
  <c r="J51" i="19"/>
  <c r="J50" i="19"/>
  <c r="J49" i="19"/>
  <c r="J48" i="19"/>
  <c r="J47" i="19"/>
  <c r="J46" i="19"/>
  <c r="L45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L29" i="19"/>
  <c r="J29" i="19"/>
  <c r="J28" i="19"/>
  <c r="J27" i="19"/>
  <c r="J26" i="19"/>
  <c r="J25" i="19"/>
  <c r="K24" i="19"/>
  <c r="J24" i="19"/>
  <c r="J23" i="19"/>
  <c r="J22" i="19"/>
  <c r="L21" i="19"/>
  <c r="J21" i="19"/>
  <c r="J20" i="19"/>
  <c r="J19" i="19"/>
  <c r="J18" i="19"/>
  <c r="J17" i="19"/>
  <c r="J16" i="19"/>
  <c r="J15" i="19"/>
  <c r="J14" i="19"/>
  <c r="L13" i="19"/>
  <c r="J13" i="19"/>
  <c r="J12" i="19"/>
  <c r="J11" i="19"/>
  <c r="J10" i="19"/>
  <c r="J9" i="19"/>
  <c r="K8" i="19"/>
  <c r="J8" i="19"/>
  <c r="J7" i="19"/>
  <c r="J6" i="19"/>
  <c r="L5" i="19"/>
  <c r="J5" i="19"/>
  <c r="J4" i="19"/>
  <c r="K3" i="19"/>
  <c r="J3" i="19"/>
  <c r="H60" i="19"/>
  <c r="L60" i="19" s="1"/>
  <c r="H58" i="19"/>
  <c r="L58" i="19" s="1"/>
  <c r="G58" i="19"/>
  <c r="K58" i="19" s="1"/>
  <c r="M58" i="19" s="1"/>
  <c r="H57" i="19"/>
  <c r="L57" i="19" s="1"/>
  <c r="G57" i="19"/>
  <c r="K57" i="19" s="1"/>
  <c r="M57" i="19" s="1"/>
  <c r="H56" i="19"/>
  <c r="L56" i="19" s="1"/>
  <c r="G56" i="19"/>
  <c r="K56" i="19" s="1"/>
  <c r="M56" i="19" s="1"/>
  <c r="H55" i="19"/>
  <c r="L55" i="19" s="1"/>
  <c r="G55" i="19"/>
  <c r="K55" i="19" s="1"/>
  <c r="M55" i="19" s="1"/>
  <c r="H54" i="19"/>
  <c r="L54" i="19" s="1"/>
  <c r="G54" i="19"/>
  <c r="K54" i="19" s="1"/>
  <c r="M54" i="19" s="1"/>
  <c r="H53" i="19"/>
  <c r="G53" i="19"/>
  <c r="K53" i="19" s="1"/>
  <c r="M53" i="19" s="1"/>
  <c r="H52" i="19"/>
  <c r="L52" i="19" s="1"/>
  <c r="G52" i="19"/>
  <c r="K52" i="19" s="1"/>
  <c r="M52" i="19" s="1"/>
  <c r="H51" i="19"/>
  <c r="L51" i="19" s="1"/>
  <c r="G51" i="19"/>
  <c r="K51" i="19" s="1"/>
  <c r="M51" i="19" s="1"/>
  <c r="H50" i="19"/>
  <c r="L50" i="19" s="1"/>
  <c r="G50" i="19"/>
  <c r="K50" i="19" s="1"/>
  <c r="M50" i="19" s="1"/>
  <c r="H49" i="19"/>
  <c r="L49" i="19" s="1"/>
  <c r="G49" i="19"/>
  <c r="K49" i="19" s="1"/>
  <c r="M49" i="19" s="1"/>
  <c r="H48" i="19"/>
  <c r="L48" i="19" s="1"/>
  <c r="G48" i="19"/>
  <c r="K48" i="19" s="1"/>
  <c r="M48" i="19" s="1"/>
  <c r="H47" i="19"/>
  <c r="L47" i="19" s="1"/>
  <c r="G47" i="19"/>
  <c r="K47" i="19" s="1"/>
  <c r="M47" i="19" s="1"/>
  <c r="H46" i="19"/>
  <c r="L46" i="19" s="1"/>
  <c r="G46" i="19"/>
  <c r="K46" i="19" s="1"/>
  <c r="M46" i="19" s="1"/>
  <c r="H45" i="19"/>
  <c r="G45" i="19"/>
  <c r="K45" i="19" s="1"/>
  <c r="M45" i="19" s="1"/>
  <c r="H44" i="19"/>
  <c r="L44" i="19" s="1"/>
  <c r="G44" i="19"/>
  <c r="K44" i="19" s="1"/>
  <c r="M44" i="19" s="1"/>
  <c r="H43" i="19"/>
  <c r="L43" i="19" s="1"/>
  <c r="G43" i="19"/>
  <c r="K43" i="19" s="1"/>
  <c r="M43" i="19" s="1"/>
  <c r="H42" i="19"/>
  <c r="L42" i="19" s="1"/>
  <c r="G42" i="19"/>
  <c r="K42" i="19" s="1"/>
  <c r="M42" i="19" s="1"/>
  <c r="H41" i="19"/>
  <c r="L41" i="19" s="1"/>
  <c r="G41" i="19"/>
  <c r="K41" i="19" s="1"/>
  <c r="M41" i="19" s="1"/>
  <c r="H40" i="19"/>
  <c r="L40" i="19" s="1"/>
  <c r="G40" i="19"/>
  <c r="K40" i="19" s="1"/>
  <c r="M40" i="19" s="1"/>
  <c r="H39" i="19"/>
  <c r="L39" i="19" s="1"/>
  <c r="G39" i="19"/>
  <c r="K39" i="19" s="1"/>
  <c r="M39" i="19" s="1"/>
  <c r="H38" i="19"/>
  <c r="L38" i="19" s="1"/>
  <c r="G38" i="19"/>
  <c r="K38" i="19" s="1"/>
  <c r="M38" i="19" s="1"/>
  <c r="H37" i="19"/>
  <c r="G37" i="19"/>
  <c r="K37" i="19" s="1"/>
  <c r="M37" i="19" s="1"/>
  <c r="H36" i="19"/>
  <c r="L36" i="19" s="1"/>
  <c r="G36" i="19"/>
  <c r="K36" i="19" s="1"/>
  <c r="M36" i="19" s="1"/>
  <c r="H35" i="19"/>
  <c r="L35" i="19" s="1"/>
  <c r="G35" i="19"/>
  <c r="K35" i="19" s="1"/>
  <c r="M35" i="19" s="1"/>
  <c r="H34" i="19"/>
  <c r="L34" i="19" s="1"/>
  <c r="G34" i="19"/>
  <c r="K34" i="19" s="1"/>
  <c r="M34" i="19" s="1"/>
  <c r="H33" i="19"/>
  <c r="L33" i="19" s="1"/>
  <c r="G33" i="19"/>
  <c r="K33" i="19" s="1"/>
  <c r="M33" i="19" s="1"/>
  <c r="H32" i="19"/>
  <c r="L32" i="19" s="1"/>
  <c r="G32" i="19"/>
  <c r="K32" i="19" s="1"/>
  <c r="M32" i="19" s="1"/>
  <c r="H31" i="19"/>
  <c r="L31" i="19" s="1"/>
  <c r="G31" i="19"/>
  <c r="K31" i="19" s="1"/>
  <c r="M31" i="19" s="1"/>
  <c r="H30" i="19"/>
  <c r="L30" i="19" s="1"/>
  <c r="G30" i="19"/>
  <c r="K30" i="19" s="1"/>
  <c r="M30" i="19" s="1"/>
  <c r="H29" i="19"/>
  <c r="G29" i="19"/>
  <c r="K29" i="19" s="1"/>
  <c r="M29" i="19" s="1"/>
  <c r="H28" i="19"/>
  <c r="L28" i="19" s="1"/>
  <c r="G28" i="19"/>
  <c r="K28" i="19" s="1"/>
  <c r="M28" i="19" s="1"/>
  <c r="H27" i="19"/>
  <c r="L27" i="19" s="1"/>
  <c r="G27" i="19"/>
  <c r="K27" i="19" s="1"/>
  <c r="M27" i="19" s="1"/>
  <c r="H26" i="19"/>
  <c r="L26" i="19" s="1"/>
  <c r="G26" i="19"/>
  <c r="K26" i="19" s="1"/>
  <c r="M26" i="19" s="1"/>
  <c r="H25" i="19"/>
  <c r="L25" i="19" s="1"/>
  <c r="G25" i="19"/>
  <c r="K25" i="19" s="1"/>
  <c r="M25" i="19" s="1"/>
  <c r="H24" i="19"/>
  <c r="L24" i="19" s="1"/>
  <c r="G24" i="19"/>
  <c r="H23" i="19"/>
  <c r="L23" i="19" s="1"/>
  <c r="G23" i="19"/>
  <c r="K23" i="19" s="1"/>
  <c r="M23" i="19" s="1"/>
  <c r="H22" i="19"/>
  <c r="L22" i="19" s="1"/>
  <c r="G22" i="19"/>
  <c r="K22" i="19" s="1"/>
  <c r="M22" i="19" s="1"/>
  <c r="H21" i="19"/>
  <c r="G21" i="19"/>
  <c r="K21" i="19" s="1"/>
  <c r="M21" i="19" s="1"/>
  <c r="H20" i="19"/>
  <c r="L20" i="19" s="1"/>
  <c r="G20" i="19"/>
  <c r="K20" i="19" s="1"/>
  <c r="M20" i="19" s="1"/>
  <c r="H19" i="19"/>
  <c r="L19" i="19" s="1"/>
  <c r="G19" i="19"/>
  <c r="K19" i="19" s="1"/>
  <c r="M19" i="19" s="1"/>
  <c r="H18" i="19"/>
  <c r="L18" i="19" s="1"/>
  <c r="G18" i="19"/>
  <c r="K18" i="19" s="1"/>
  <c r="M18" i="19" s="1"/>
  <c r="H17" i="19"/>
  <c r="L17" i="19" s="1"/>
  <c r="G17" i="19"/>
  <c r="K17" i="19" s="1"/>
  <c r="M17" i="19" s="1"/>
  <c r="H16" i="19"/>
  <c r="L16" i="19" s="1"/>
  <c r="G16" i="19"/>
  <c r="K16" i="19" s="1"/>
  <c r="M16" i="19" s="1"/>
  <c r="H15" i="19"/>
  <c r="L15" i="19" s="1"/>
  <c r="G15" i="19"/>
  <c r="K15" i="19" s="1"/>
  <c r="M15" i="19" s="1"/>
  <c r="H14" i="19"/>
  <c r="L14" i="19" s="1"/>
  <c r="G14" i="19"/>
  <c r="K14" i="19" s="1"/>
  <c r="M14" i="19" s="1"/>
  <c r="H13" i="19"/>
  <c r="G13" i="19"/>
  <c r="K13" i="19" s="1"/>
  <c r="M13" i="19" s="1"/>
  <c r="H12" i="19"/>
  <c r="L12" i="19" s="1"/>
  <c r="G12" i="19"/>
  <c r="K12" i="19" s="1"/>
  <c r="M12" i="19" s="1"/>
  <c r="H11" i="19"/>
  <c r="L11" i="19" s="1"/>
  <c r="G11" i="19"/>
  <c r="K11" i="19" s="1"/>
  <c r="M11" i="19" s="1"/>
  <c r="H10" i="19"/>
  <c r="L10" i="19" s="1"/>
  <c r="G10" i="19"/>
  <c r="K10" i="19" s="1"/>
  <c r="M10" i="19" s="1"/>
  <c r="H9" i="19"/>
  <c r="L9" i="19" s="1"/>
  <c r="G9" i="19"/>
  <c r="K9" i="19" s="1"/>
  <c r="M9" i="19" s="1"/>
  <c r="H8" i="19"/>
  <c r="L8" i="19" s="1"/>
  <c r="G8" i="19"/>
  <c r="H7" i="19"/>
  <c r="L7" i="19" s="1"/>
  <c r="G7" i="19"/>
  <c r="K7" i="19" s="1"/>
  <c r="M7" i="19" s="1"/>
  <c r="H6" i="19"/>
  <c r="L6" i="19" s="1"/>
  <c r="G6" i="19"/>
  <c r="K6" i="19" s="1"/>
  <c r="M6" i="19" s="1"/>
  <c r="H5" i="19"/>
  <c r="G5" i="19"/>
  <c r="K5" i="19" s="1"/>
  <c r="M5" i="19" s="1"/>
  <c r="H4" i="19"/>
  <c r="L4" i="19" s="1"/>
  <c r="G4" i="19"/>
  <c r="K4" i="19" s="1"/>
  <c r="M4" i="19" s="1"/>
  <c r="H3" i="19"/>
  <c r="L3" i="19" s="1"/>
  <c r="G3" i="19"/>
  <c r="F86" i="19"/>
  <c r="F71" i="19"/>
  <c r="F70" i="19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M3" i="19" l="1"/>
  <c r="F106" i="19"/>
  <c r="F122" i="19"/>
  <c r="F59" i="19"/>
  <c r="F75" i="19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F92" i="19"/>
  <c r="F108" i="19"/>
  <c r="F124" i="19"/>
  <c r="G63" i="19"/>
  <c r="K63" i="19" s="1"/>
  <c r="M63" i="19" s="1"/>
  <c r="G71" i="19"/>
  <c r="K71" i="19" s="1"/>
  <c r="M71" i="19" s="1"/>
  <c r="G79" i="19"/>
  <c r="K79" i="19" s="1"/>
  <c r="M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M119" i="19" s="1"/>
  <c r="G127" i="19"/>
  <c r="K127" i="19" s="1"/>
  <c r="J74" i="19"/>
  <c r="J90" i="19"/>
  <c r="J106" i="19"/>
  <c r="J122" i="19"/>
  <c r="F74" i="19"/>
  <c r="F61" i="19"/>
  <c r="F77" i="19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M112" i="19" s="1"/>
  <c r="G120" i="19"/>
  <c r="K120" i="19" s="1"/>
  <c r="G128" i="19"/>
  <c r="K128" i="19" s="1"/>
  <c r="M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73" i="19"/>
  <c r="K73" i="19" s="1"/>
  <c r="G81" i="19"/>
  <c r="K81" i="19" s="1"/>
  <c r="G89" i="19"/>
  <c r="K89" i="19" s="1"/>
  <c r="G97" i="19"/>
  <c r="K97" i="19" s="1"/>
  <c r="G105" i="19"/>
  <c r="K105" i="19" s="1"/>
  <c r="G113" i="19"/>
  <c r="K113" i="19" s="1"/>
  <c r="M113" i="19" s="1"/>
  <c r="G121" i="19"/>
  <c r="K121" i="19" s="1"/>
  <c r="M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M74" i="19" s="1"/>
  <c r="G82" i="19"/>
  <c r="K82" i="19" s="1"/>
  <c r="M82" i="19" s="1"/>
  <c r="G90" i="19"/>
  <c r="K90" i="19" s="1"/>
  <c r="M90" i="19" s="1"/>
  <c r="G98" i="19"/>
  <c r="K98" i="19" s="1"/>
  <c r="G106" i="19"/>
  <c r="K106" i="19" s="1"/>
  <c r="M106" i="19" s="1"/>
  <c r="G114" i="19"/>
  <c r="K114" i="19" s="1"/>
  <c r="G122" i="19"/>
  <c r="K122" i="19" s="1"/>
  <c r="G130" i="19"/>
  <c r="K130" i="19" s="1"/>
  <c r="M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75" i="19"/>
  <c r="K75" i="19" s="1"/>
  <c r="M75" i="19" s="1"/>
  <c r="G83" i="19"/>
  <c r="K83" i="19" s="1"/>
  <c r="M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M131" i="19" s="1"/>
  <c r="J66" i="19"/>
  <c r="J82" i="19"/>
  <c r="J98" i="19"/>
  <c r="J114" i="19"/>
  <c r="J130" i="19"/>
  <c r="H100" i="19"/>
  <c r="L100" i="19" s="1"/>
  <c r="F78" i="19"/>
  <c r="F69" i="19"/>
  <c r="F85" i="19"/>
  <c r="F101" i="19"/>
  <c r="F117" i="19"/>
  <c r="H59" i="19"/>
  <c r="L59" i="19" s="1"/>
  <c r="H67" i="19"/>
  <c r="L67" i="19" s="1"/>
  <c r="H75" i="19"/>
  <c r="L75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M60" i="19" s="1"/>
  <c r="G68" i="19"/>
  <c r="K68" i="19" s="1"/>
  <c r="M68" i="19" s="1"/>
  <c r="G76" i="19"/>
  <c r="K76" i="19" s="1"/>
  <c r="M76" i="19" s="1"/>
  <c r="G84" i="19"/>
  <c r="K84" i="19" s="1"/>
  <c r="M84" i="19" s="1"/>
  <c r="G92" i="19"/>
  <c r="K92" i="19" s="1"/>
  <c r="G100" i="19"/>
  <c r="K100" i="19" s="1"/>
  <c r="M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H76" i="19"/>
  <c r="L76" i="19" s="1"/>
  <c r="M24" i="19"/>
  <c r="J83" i="19"/>
  <c r="J115" i="19"/>
  <c r="F72" i="19"/>
  <c r="H72" i="19" s="1"/>
  <c r="L72" i="19" s="1"/>
  <c r="F88" i="19"/>
  <c r="F104" i="19"/>
  <c r="F120" i="19"/>
  <c r="G61" i="19"/>
  <c r="K61" i="19" s="1"/>
  <c r="G69" i="19"/>
  <c r="K69" i="19" s="1"/>
  <c r="G77" i="19"/>
  <c r="K77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77" i="19"/>
  <c r="L77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M62" i="19" s="1"/>
  <c r="G70" i="19"/>
  <c r="K70" i="19" s="1"/>
  <c r="M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M115" i="19" l="1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73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L128" i="3"/>
  <c r="J128" i="3"/>
  <c r="J127" i="3"/>
  <c r="J126" i="3"/>
  <c r="J125" i="3"/>
  <c r="J124" i="3"/>
  <c r="L123" i="3"/>
  <c r="K123" i="3"/>
  <c r="M123" i="3" s="1"/>
  <c r="J123" i="3"/>
  <c r="J122" i="3"/>
  <c r="J121" i="3"/>
  <c r="L120" i="3"/>
  <c r="J120" i="3"/>
  <c r="J119" i="3"/>
  <c r="K118" i="3"/>
  <c r="M118" i="3" s="1"/>
  <c r="J118" i="3"/>
  <c r="J117" i="3"/>
  <c r="J116" i="3"/>
  <c r="K115" i="3"/>
  <c r="M115" i="3" s="1"/>
  <c r="J115" i="3"/>
  <c r="J114" i="3"/>
  <c r="J113" i="3"/>
  <c r="L112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K70" i="3"/>
  <c r="M70" i="3" s="1"/>
  <c r="J70" i="3"/>
  <c r="J69" i="3"/>
  <c r="J68" i="3"/>
  <c r="K67" i="3"/>
  <c r="J67" i="3"/>
  <c r="J66" i="3"/>
  <c r="J65" i="3"/>
  <c r="L64" i="3"/>
  <c r="J64" i="3"/>
  <c r="J63" i="3"/>
  <c r="J62" i="3"/>
  <c r="J61" i="3"/>
  <c r="J60" i="3"/>
  <c r="L59" i="3"/>
  <c r="K59" i="3"/>
  <c r="M59" i="3" s="1"/>
  <c r="J59" i="3"/>
  <c r="J58" i="3"/>
  <c r="J57" i="3"/>
  <c r="L56" i="3"/>
  <c r="J56" i="3"/>
  <c r="J55" i="3"/>
  <c r="K54" i="3"/>
  <c r="J54" i="3"/>
  <c r="J53" i="3"/>
  <c r="J52" i="3"/>
  <c r="K51" i="3"/>
  <c r="J51" i="3"/>
  <c r="J50" i="3"/>
  <c r="J49" i="3"/>
  <c r="L48" i="3"/>
  <c r="J48" i="3"/>
  <c r="J47" i="3"/>
  <c r="J46" i="3"/>
  <c r="J45" i="3"/>
  <c r="J44" i="3"/>
  <c r="L43" i="3"/>
  <c r="K43" i="3"/>
  <c r="M43" i="3" s="1"/>
  <c r="J43" i="3"/>
  <c r="J42" i="3"/>
  <c r="J41" i="3"/>
  <c r="L40" i="3"/>
  <c r="J40" i="3"/>
  <c r="J39" i="3"/>
  <c r="K38" i="3"/>
  <c r="J38" i="3"/>
  <c r="J37" i="3"/>
  <c r="J36" i="3"/>
  <c r="K35" i="3"/>
  <c r="M35" i="3" s="1"/>
  <c r="J35" i="3"/>
  <c r="J34" i="3"/>
  <c r="J33" i="3"/>
  <c r="L32" i="3"/>
  <c r="J32" i="3"/>
  <c r="J31" i="3"/>
  <c r="J30" i="3"/>
  <c r="J29" i="3"/>
  <c r="J28" i="3"/>
  <c r="L27" i="3"/>
  <c r="K27" i="3"/>
  <c r="M27" i="3" s="1"/>
  <c r="J27" i="3"/>
  <c r="J26" i="3"/>
  <c r="J25" i="3"/>
  <c r="L24" i="3"/>
  <c r="J24" i="3"/>
  <c r="J23" i="3"/>
  <c r="K22" i="3"/>
  <c r="J22" i="3"/>
  <c r="J21" i="3"/>
  <c r="J20" i="3"/>
  <c r="K19" i="3"/>
  <c r="J19" i="3"/>
  <c r="J18" i="3"/>
  <c r="J17" i="3"/>
  <c r="L16" i="3"/>
  <c r="J16" i="3"/>
  <c r="J15" i="3"/>
  <c r="J14" i="3"/>
  <c r="J13" i="3"/>
  <c r="J12" i="3"/>
  <c r="L11" i="3"/>
  <c r="K11" i="3"/>
  <c r="M11" i="3" s="1"/>
  <c r="J11" i="3"/>
  <c r="J10" i="3"/>
  <c r="J9" i="3"/>
  <c r="L8" i="3"/>
  <c r="J8" i="3"/>
  <c r="J7" i="3"/>
  <c r="K6" i="3"/>
  <c r="J6" i="3"/>
  <c r="J5" i="3"/>
  <c r="J4" i="3"/>
  <c r="K3" i="3"/>
  <c r="J3" i="3"/>
  <c r="H129" i="3"/>
  <c r="L129" i="3" s="1"/>
  <c r="G129" i="3"/>
  <c r="K129" i="3" s="1"/>
  <c r="M129" i="3" s="1"/>
  <c r="H128" i="3"/>
  <c r="G128" i="3"/>
  <c r="K128" i="3" s="1"/>
  <c r="M128" i="3" s="1"/>
  <c r="H127" i="3"/>
  <c r="L127" i="3" s="1"/>
  <c r="G127" i="3"/>
  <c r="K127" i="3" s="1"/>
  <c r="M127" i="3" s="1"/>
  <c r="H126" i="3"/>
  <c r="L126" i="3" s="1"/>
  <c r="G126" i="3"/>
  <c r="K126" i="3" s="1"/>
  <c r="M126" i="3" s="1"/>
  <c r="H125" i="3"/>
  <c r="L125" i="3" s="1"/>
  <c r="G125" i="3"/>
  <c r="K125" i="3" s="1"/>
  <c r="M125" i="3" s="1"/>
  <c r="H124" i="3"/>
  <c r="L124" i="3" s="1"/>
  <c r="G124" i="3"/>
  <c r="K124" i="3" s="1"/>
  <c r="H123" i="3"/>
  <c r="G123" i="3"/>
  <c r="H122" i="3"/>
  <c r="L122" i="3" s="1"/>
  <c r="G122" i="3"/>
  <c r="K122" i="3" s="1"/>
  <c r="M122" i="3" s="1"/>
  <c r="H121" i="3"/>
  <c r="L121" i="3" s="1"/>
  <c r="G121" i="3"/>
  <c r="K121" i="3" s="1"/>
  <c r="M121" i="3" s="1"/>
  <c r="H120" i="3"/>
  <c r="G120" i="3"/>
  <c r="K120" i="3" s="1"/>
  <c r="M120" i="3" s="1"/>
  <c r="H119" i="3"/>
  <c r="L119" i="3" s="1"/>
  <c r="G119" i="3"/>
  <c r="K119" i="3" s="1"/>
  <c r="M119" i="3" s="1"/>
  <c r="H118" i="3"/>
  <c r="L118" i="3" s="1"/>
  <c r="G118" i="3"/>
  <c r="H117" i="3"/>
  <c r="L117" i="3" s="1"/>
  <c r="G117" i="3"/>
  <c r="K117" i="3" s="1"/>
  <c r="M117" i="3" s="1"/>
  <c r="H116" i="3"/>
  <c r="L116" i="3" s="1"/>
  <c r="G116" i="3"/>
  <c r="K116" i="3" s="1"/>
  <c r="H115" i="3"/>
  <c r="L115" i="3" s="1"/>
  <c r="G115" i="3"/>
  <c r="H114" i="3"/>
  <c r="L114" i="3" s="1"/>
  <c r="G114" i="3"/>
  <c r="K114" i="3" s="1"/>
  <c r="M114" i="3" s="1"/>
  <c r="H113" i="3"/>
  <c r="L113" i="3" s="1"/>
  <c r="G113" i="3"/>
  <c r="K113" i="3" s="1"/>
  <c r="M113" i="3" s="1"/>
  <c r="H112" i="3"/>
  <c r="G112" i="3"/>
  <c r="K112" i="3" s="1"/>
  <c r="M112" i="3" s="1"/>
  <c r="H111" i="3"/>
  <c r="L111" i="3" s="1"/>
  <c r="G111" i="3"/>
  <c r="K111" i="3" s="1"/>
  <c r="M111" i="3" s="1"/>
  <c r="H110" i="3"/>
  <c r="L110" i="3" s="1"/>
  <c r="G110" i="3"/>
  <c r="K110" i="3" s="1"/>
  <c r="M110" i="3" s="1"/>
  <c r="H109" i="3"/>
  <c r="L109" i="3" s="1"/>
  <c r="G109" i="3"/>
  <c r="K109" i="3" s="1"/>
  <c r="M109" i="3" s="1"/>
  <c r="H108" i="3"/>
  <c r="L108" i="3" s="1"/>
  <c r="G108" i="3"/>
  <c r="K108" i="3" s="1"/>
  <c r="G103" i="3"/>
  <c r="K103" i="3" s="1"/>
  <c r="H102" i="3"/>
  <c r="L102" i="3" s="1"/>
  <c r="H98" i="3"/>
  <c r="L98" i="3" s="1"/>
  <c r="G95" i="3"/>
  <c r="K95" i="3" s="1"/>
  <c r="H94" i="3"/>
  <c r="L94" i="3" s="1"/>
  <c r="G94" i="3"/>
  <c r="K94" i="3" s="1"/>
  <c r="M94" i="3" s="1"/>
  <c r="G87" i="3"/>
  <c r="K87" i="3" s="1"/>
  <c r="M87" i="3" s="1"/>
  <c r="H86" i="3"/>
  <c r="L86" i="3" s="1"/>
  <c r="H82" i="3"/>
  <c r="L82" i="3" s="1"/>
  <c r="G79" i="3"/>
  <c r="K79" i="3" s="1"/>
  <c r="H78" i="3"/>
  <c r="L78" i="3" s="1"/>
  <c r="G78" i="3"/>
  <c r="K78" i="3" s="1"/>
  <c r="M78" i="3" s="1"/>
  <c r="H71" i="3"/>
  <c r="L71" i="3" s="1"/>
  <c r="G71" i="3"/>
  <c r="K71" i="3" s="1"/>
  <c r="M71" i="3" s="1"/>
  <c r="H70" i="3"/>
  <c r="L70" i="3" s="1"/>
  <c r="G70" i="3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H66" i="3"/>
  <c r="L66" i="3" s="1"/>
  <c r="G66" i="3"/>
  <c r="K66" i="3" s="1"/>
  <c r="H65" i="3"/>
  <c r="L65" i="3" s="1"/>
  <c r="G65" i="3"/>
  <c r="K65" i="3" s="1"/>
  <c r="M65" i="3" s="1"/>
  <c r="H64" i="3"/>
  <c r="G64" i="3"/>
  <c r="K64" i="3" s="1"/>
  <c r="M64" i="3" s="1"/>
  <c r="H63" i="3"/>
  <c r="L63" i="3" s="1"/>
  <c r="G63" i="3"/>
  <c r="K63" i="3" s="1"/>
  <c r="M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G59" i="3"/>
  <c r="H58" i="3"/>
  <c r="L58" i="3" s="1"/>
  <c r="G58" i="3"/>
  <c r="K58" i="3" s="1"/>
  <c r="H57" i="3"/>
  <c r="L57" i="3" s="1"/>
  <c r="G57" i="3"/>
  <c r="K57" i="3" s="1"/>
  <c r="M57" i="3" s="1"/>
  <c r="H56" i="3"/>
  <c r="G56" i="3"/>
  <c r="K56" i="3" s="1"/>
  <c r="M56" i="3" s="1"/>
  <c r="H55" i="3"/>
  <c r="L55" i="3" s="1"/>
  <c r="G55" i="3"/>
  <c r="K55" i="3" s="1"/>
  <c r="M55" i="3" s="1"/>
  <c r="H54" i="3"/>
  <c r="L54" i="3" s="1"/>
  <c r="G54" i="3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H50" i="3"/>
  <c r="L50" i="3" s="1"/>
  <c r="G50" i="3"/>
  <c r="K50" i="3" s="1"/>
  <c r="H49" i="3"/>
  <c r="L49" i="3" s="1"/>
  <c r="G49" i="3"/>
  <c r="K49" i="3" s="1"/>
  <c r="M49" i="3" s="1"/>
  <c r="H48" i="3"/>
  <c r="G48" i="3"/>
  <c r="K48" i="3" s="1"/>
  <c r="M48" i="3" s="1"/>
  <c r="H47" i="3"/>
  <c r="L47" i="3" s="1"/>
  <c r="G47" i="3"/>
  <c r="K47" i="3" s="1"/>
  <c r="M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G43" i="3"/>
  <c r="H42" i="3"/>
  <c r="L42" i="3" s="1"/>
  <c r="G42" i="3"/>
  <c r="K42" i="3" s="1"/>
  <c r="H41" i="3"/>
  <c r="L41" i="3" s="1"/>
  <c r="G41" i="3"/>
  <c r="K41" i="3" s="1"/>
  <c r="M41" i="3" s="1"/>
  <c r="H40" i="3"/>
  <c r="G40" i="3"/>
  <c r="K40" i="3" s="1"/>
  <c r="M40" i="3" s="1"/>
  <c r="H39" i="3"/>
  <c r="L39" i="3" s="1"/>
  <c r="G39" i="3"/>
  <c r="K39" i="3" s="1"/>
  <c r="M39" i="3" s="1"/>
  <c r="H38" i="3"/>
  <c r="L38" i="3" s="1"/>
  <c r="G38" i="3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H34" i="3"/>
  <c r="L34" i="3" s="1"/>
  <c r="G34" i="3"/>
  <c r="K34" i="3" s="1"/>
  <c r="H33" i="3"/>
  <c r="L33" i="3" s="1"/>
  <c r="G33" i="3"/>
  <c r="K33" i="3" s="1"/>
  <c r="M33" i="3" s="1"/>
  <c r="H32" i="3"/>
  <c r="G32" i="3"/>
  <c r="K32" i="3" s="1"/>
  <c r="M32" i="3" s="1"/>
  <c r="H31" i="3"/>
  <c r="L31" i="3" s="1"/>
  <c r="G31" i="3"/>
  <c r="K31" i="3" s="1"/>
  <c r="M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G27" i="3"/>
  <c r="H26" i="3"/>
  <c r="L26" i="3" s="1"/>
  <c r="G26" i="3"/>
  <c r="K26" i="3" s="1"/>
  <c r="H25" i="3"/>
  <c r="L25" i="3" s="1"/>
  <c r="G25" i="3"/>
  <c r="K25" i="3" s="1"/>
  <c r="M25" i="3" s="1"/>
  <c r="H24" i="3"/>
  <c r="G24" i="3"/>
  <c r="K24" i="3" s="1"/>
  <c r="M24" i="3" s="1"/>
  <c r="H23" i="3"/>
  <c r="L23" i="3" s="1"/>
  <c r="G23" i="3"/>
  <c r="K23" i="3" s="1"/>
  <c r="M23" i="3" s="1"/>
  <c r="H22" i="3"/>
  <c r="L22" i="3" s="1"/>
  <c r="G22" i="3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H18" i="3"/>
  <c r="L18" i="3" s="1"/>
  <c r="G18" i="3"/>
  <c r="K18" i="3" s="1"/>
  <c r="H17" i="3"/>
  <c r="L17" i="3" s="1"/>
  <c r="G17" i="3"/>
  <c r="K17" i="3" s="1"/>
  <c r="M17" i="3" s="1"/>
  <c r="H16" i="3"/>
  <c r="G16" i="3"/>
  <c r="K16" i="3" s="1"/>
  <c r="M16" i="3" s="1"/>
  <c r="H15" i="3"/>
  <c r="L15" i="3" s="1"/>
  <c r="G15" i="3"/>
  <c r="K15" i="3" s="1"/>
  <c r="M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G11" i="3"/>
  <c r="H10" i="3"/>
  <c r="L10" i="3" s="1"/>
  <c r="G10" i="3"/>
  <c r="K10" i="3" s="1"/>
  <c r="H9" i="3"/>
  <c r="L9" i="3" s="1"/>
  <c r="G9" i="3"/>
  <c r="K9" i="3" s="1"/>
  <c r="M9" i="3" s="1"/>
  <c r="H8" i="3"/>
  <c r="G8" i="3"/>
  <c r="K8" i="3" s="1"/>
  <c r="M8" i="3" s="1"/>
  <c r="H7" i="3"/>
  <c r="L7" i="3" s="1"/>
  <c r="G7" i="3"/>
  <c r="K7" i="3" s="1"/>
  <c r="M7" i="3" s="1"/>
  <c r="H6" i="3"/>
  <c r="L6" i="3" s="1"/>
  <c r="G6" i="3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M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M98" i="3" s="1"/>
  <c r="F97" i="3"/>
  <c r="H97" i="3" s="1"/>
  <c r="L97" i="3" s="1"/>
  <c r="F96" i="3"/>
  <c r="H96" i="3" s="1"/>
  <c r="L96" i="3" s="1"/>
  <c r="F95" i="3"/>
  <c r="H95" i="3" s="1"/>
  <c r="L95" i="3" s="1"/>
  <c r="F94" i="3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M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M82" i="3" s="1"/>
  <c r="F81" i="3"/>
  <c r="H81" i="3" s="1"/>
  <c r="L81" i="3" s="1"/>
  <c r="F80" i="3"/>
  <c r="H80" i="3" s="1"/>
  <c r="L80" i="3" s="1"/>
  <c r="F79" i="3"/>
  <c r="H79" i="3" s="1"/>
  <c r="L79" i="3" s="1"/>
  <c r="F78" i="3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M79" i="3" l="1"/>
  <c r="M22" i="3"/>
  <c r="M10" i="3"/>
  <c r="M18" i="3"/>
  <c r="M26" i="3"/>
  <c r="M34" i="3"/>
  <c r="M42" i="3"/>
  <c r="M50" i="3"/>
  <c r="M58" i="3"/>
  <c r="M66" i="3"/>
  <c r="M95" i="3"/>
  <c r="M3" i="3"/>
  <c r="M38" i="3"/>
  <c r="M103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A132" i="3" l="1"/>
  <c r="H131" i="3"/>
  <c r="L131" i="3" s="1"/>
  <c r="F131" i="3"/>
  <c r="G131" i="3"/>
  <c r="K131" i="3" s="1"/>
  <c r="M131" i="3" s="1"/>
  <c r="J131" i="3"/>
  <c r="A133" i="3" l="1"/>
  <c r="H132" i="3"/>
  <c r="L132" i="3" s="1"/>
  <c r="G132" i="3"/>
  <c r="K132" i="3" s="1"/>
  <c r="M132" i="3" s="1"/>
  <c r="F132" i="3"/>
  <c r="J132" i="3"/>
  <c r="A134" i="3" l="1"/>
  <c r="F133" i="3"/>
  <c r="H133" i="3"/>
  <c r="L133" i="3" s="1"/>
  <c r="J133" i="3"/>
  <c r="G133" i="3"/>
  <c r="K133" i="3" s="1"/>
  <c r="M133" i="3" s="1"/>
  <c r="A135" i="3" l="1"/>
  <c r="J134" i="3"/>
  <c r="G134" i="3"/>
  <c r="K134" i="3" s="1"/>
  <c r="F134" i="3"/>
  <c r="H134" i="3"/>
  <c r="L134" i="3" s="1"/>
  <c r="A136" i="3" l="1"/>
  <c r="J135" i="3"/>
  <c r="H135" i="3"/>
  <c r="L135" i="3" s="1"/>
  <c r="G135" i="3"/>
  <c r="K135" i="3" s="1"/>
  <c r="M135" i="3" s="1"/>
  <c r="F135" i="3"/>
  <c r="M134" i="3"/>
  <c r="A137" i="3" l="1"/>
  <c r="J136" i="3"/>
  <c r="H136" i="3"/>
  <c r="L136" i="3" s="1"/>
  <c r="G136" i="3"/>
  <c r="K136" i="3" s="1"/>
  <c r="M136" i="3" s="1"/>
  <c r="F136" i="3"/>
  <c r="A138" i="3" l="1"/>
  <c r="J137" i="3"/>
  <c r="H137" i="3"/>
  <c r="L137" i="3" s="1"/>
  <c r="G137" i="3"/>
  <c r="K137" i="3" s="1"/>
  <c r="M137" i="3" s="1"/>
  <c r="F137" i="3"/>
  <c r="A139" i="3" l="1"/>
  <c r="J138" i="3"/>
  <c r="G138" i="3"/>
  <c r="K138" i="3" s="1"/>
  <c r="F138" i="3"/>
  <c r="H138" i="3"/>
  <c r="L138" i="3" s="1"/>
  <c r="M138" i="3" l="1"/>
  <c r="A140" i="3"/>
  <c r="H139" i="3"/>
  <c r="L139" i="3" s="1"/>
  <c r="G139" i="3"/>
  <c r="K139" i="3" s="1"/>
  <c r="M139" i="3" s="1"/>
  <c r="F139" i="3"/>
  <c r="J139" i="3"/>
  <c r="A141" i="3" l="1"/>
  <c r="H140" i="3"/>
  <c r="L140" i="3" s="1"/>
  <c r="G140" i="3"/>
  <c r="K140" i="3" s="1"/>
  <c r="M140" i="3" s="1"/>
  <c r="F140" i="3"/>
  <c r="J140" i="3"/>
  <c r="A142" i="3" l="1"/>
  <c r="J141" i="3"/>
  <c r="F141" i="3"/>
  <c r="H141" i="3"/>
  <c r="L141" i="3" s="1"/>
  <c r="G141" i="3"/>
  <c r="K141" i="3" s="1"/>
  <c r="M141" i="3" s="1"/>
  <c r="A143" i="3" l="1"/>
  <c r="H142" i="3"/>
  <c r="L142" i="3" s="1"/>
  <c r="F142" i="3"/>
  <c r="G142" i="3"/>
  <c r="K142" i="3" s="1"/>
  <c r="M142" i="3" s="1"/>
  <c r="J142" i="3"/>
  <c r="A144" i="3" l="1"/>
  <c r="J143" i="3"/>
  <c r="F143" i="3"/>
  <c r="G143" i="3"/>
  <c r="K143" i="3" s="1"/>
  <c r="H143" i="3"/>
  <c r="L143" i="3" s="1"/>
  <c r="M143" i="3" l="1"/>
  <c r="A145" i="3"/>
  <c r="F144" i="3"/>
  <c r="H144" i="3"/>
  <c r="L144" i="3" s="1"/>
  <c r="G144" i="3"/>
  <c r="K144" i="3" s="1"/>
  <c r="M144" i="3" s="1"/>
  <c r="J144" i="3"/>
  <c r="F145" i="3" l="1"/>
  <c r="H145" i="3"/>
  <c r="L145" i="3" s="1"/>
  <c r="G145" i="3"/>
  <c r="K145" i="3" s="1"/>
  <c r="M145" i="3" s="1"/>
  <c r="J145" i="3"/>
</calcChain>
</file>

<file path=xl/sharedStrings.xml><?xml version="1.0" encoding="utf-8"?>
<sst xmlns="http://schemas.openxmlformats.org/spreadsheetml/2006/main" count="311" uniqueCount="128">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</sst>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773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Гватемала!$B$1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Гватемала!$C$1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Гватемала!$D$1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'Мексика-Колвер'!$K$3:$K$131</c:f>
              <c:numCache>
                <c:formatCode>0.0</c:formatCode>
                <c:ptCount val="129"/>
                <c:pt idx="0">
                  <c:v>47.476999999999997</c:v>
                </c:pt>
                <c:pt idx="1">
                  <c:v>47.433</c:v>
                </c:pt>
                <c:pt idx="2">
                  <c:v>47.35</c:v>
                </c:pt>
                <c:pt idx="3">
                  <c:v>47.216999999999999</c:v>
                </c:pt>
                <c:pt idx="4">
                  <c:v>47.037999999999997</c:v>
                </c:pt>
                <c:pt idx="5">
                  <c:v>46.755000000000003</c:v>
                </c:pt>
                <c:pt idx="6">
                  <c:v>46.579000000000001</c:v>
                </c:pt>
                <c:pt idx="7">
                  <c:v>46.451000000000001</c:v>
                </c:pt>
                <c:pt idx="8">
                  <c:v>46.378</c:v>
                </c:pt>
                <c:pt idx="9">
                  <c:v>46.348999999999997</c:v>
                </c:pt>
                <c:pt idx="10">
                  <c:v>46.462000000000003</c:v>
                </c:pt>
                <c:pt idx="11">
                  <c:v>46.356999999999999</c:v>
                </c:pt>
                <c:pt idx="12">
                  <c:v>46.134</c:v>
                </c:pt>
                <c:pt idx="13">
                  <c:v>45.781999999999996</c:v>
                </c:pt>
                <c:pt idx="14">
                  <c:v>45.304000000000002</c:v>
                </c:pt>
                <c:pt idx="15">
                  <c:v>44.673999999999999</c:v>
                </c:pt>
                <c:pt idx="16">
                  <c:v>44.000999999999998</c:v>
                </c:pt>
                <c:pt idx="17">
                  <c:v>43.256</c:v>
                </c:pt>
                <c:pt idx="18">
                  <c:v>42.442999999999998</c:v>
                </c:pt>
                <c:pt idx="19">
                  <c:v>41.597999999999999</c:v>
                </c:pt>
                <c:pt idx="20">
                  <c:v>40.414999999999999</c:v>
                </c:pt>
                <c:pt idx="21">
                  <c:v>40.024999999999999</c:v>
                </c:pt>
                <c:pt idx="22">
                  <c:v>40.110999999999997</c:v>
                </c:pt>
                <c:pt idx="23">
                  <c:v>40.707000000000001</c:v>
                </c:pt>
                <c:pt idx="24">
                  <c:v>41.765000000000001</c:v>
                </c:pt>
                <c:pt idx="25">
                  <c:v>43.822000000000003</c:v>
                </c:pt>
                <c:pt idx="26">
                  <c:v>44.978000000000002</c:v>
                </c:pt>
                <c:pt idx="27">
                  <c:v>45.73</c:v>
                </c:pt>
                <c:pt idx="28">
                  <c:v>46.015999999999998</c:v>
                </c:pt>
                <c:pt idx="29">
                  <c:v>45.869</c:v>
                </c:pt>
                <c:pt idx="30">
                  <c:v>44.963000000000001</c:v>
                </c:pt>
                <c:pt idx="31">
                  <c:v>44.506</c:v>
                </c:pt>
                <c:pt idx="32">
                  <c:v>44.165999999999997</c:v>
                </c:pt>
                <c:pt idx="33">
                  <c:v>43.978999999999999</c:v>
                </c:pt>
                <c:pt idx="34">
                  <c:v>43.932000000000002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'Мексика-Колвер'!$L$3:$L$131</c:f>
              <c:numCache>
                <c:formatCode>0.0</c:formatCode>
                <c:ptCount val="129"/>
                <c:pt idx="0">
                  <c:v>34.473999999999997</c:v>
                </c:pt>
                <c:pt idx="1">
                  <c:v>34.456000000000003</c:v>
                </c:pt>
                <c:pt idx="2">
                  <c:v>34.421999999999997</c:v>
                </c:pt>
                <c:pt idx="3">
                  <c:v>34.369</c:v>
                </c:pt>
                <c:pt idx="4">
                  <c:v>34.284999999999997</c:v>
                </c:pt>
                <c:pt idx="5">
                  <c:v>34.247</c:v>
                </c:pt>
                <c:pt idx="6">
                  <c:v>33.978999999999999</c:v>
                </c:pt>
                <c:pt idx="7">
                  <c:v>33.558</c:v>
                </c:pt>
                <c:pt idx="8">
                  <c:v>32.978000000000002</c:v>
                </c:pt>
                <c:pt idx="9">
                  <c:v>32.302999999999997</c:v>
                </c:pt>
                <c:pt idx="10">
                  <c:v>30.978999999999999</c:v>
                </c:pt>
                <c:pt idx="11">
                  <c:v>31.055</c:v>
                </c:pt>
                <c:pt idx="12">
                  <c:v>31.966000000000001</c:v>
                </c:pt>
                <c:pt idx="13">
                  <c:v>33.802</c:v>
                </c:pt>
                <c:pt idx="14">
                  <c:v>36.517000000000003</c:v>
                </c:pt>
                <c:pt idx="15">
                  <c:v>41.073</c:v>
                </c:pt>
                <c:pt idx="16">
                  <c:v>44.375999999999998</c:v>
                </c:pt>
                <c:pt idx="17">
                  <c:v>47.207000000000001</c:v>
                </c:pt>
                <c:pt idx="18">
                  <c:v>49.438000000000002</c:v>
                </c:pt>
                <c:pt idx="19">
                  <c:v>50.99</c:v>
                </c:pt>
                <c:pt idx="20">
                  <c:v>52.290999999999997</c:v>
                </c:pt>
                <c:pt idx="21">
                  <c:v>51.691000000000003</c:v>
                </c:pt>
                <c:pt idx="22">
                  <c:v>49.643999999999998</c:v>
                </c:pt>
                <c:pt idx="23">
                  <c:v>46.161999999999999</c:v>
                </c:pt>
                <c:pt idx="24">
                  <c:v>41.500999999999998</c:v>
                </c:pt>
                <c:pt idx="25">
                  <c:v>34.396000000000001</c:v>
                </c:pt>
                <c:pt idx="26">
                  <c:v>30.242000000000001</c:v>
                </c:pt>
                <c:pt idx="27">
                  <c:v>27.283000000000001</c:v>
                </c:pt>
                <c:pt idx="28">
                  <c:v>25.558</c:v>
                </c:pt>
                <c:pt idx="29">
                  <c:v>24.919</c:v>
                </c:pt>
                <c:pt idx="30">
                  <c:v>25.994</c:v>
                </c:pt>
                <c:pt idx="31">
                  <c:v>26.395</c:v>
                </c:pt>
                <c:pt idx="32">
                  <c:v>26.773</c:v>
                </c:pt>
                <c:pt idx="33">
                  <c:v>27.053999999999998</c:v>
                </c:pt>
                <c:pt idx="34">
                  <c:v>27.23</c:v>
                </c:pt>
                <c:pt idx="35">
                  <c:v>27.356999999999999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22.966999999999999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'Мексика-Колвер'!$M$3:$M$131</c:f>
              <c:numCache>
                <c:formatCode>0.0</c:formatCode>
                <c:ptCount val="129"/>
                <c:pt idx="0">
                  <c:v>13.003</c:v>
                </c:pt>
                <c:pt idx="1">
                  <c:v>12.976999999999997</c:v>
                </c:pt>
                <c:pt idx="2">
                  <c:v>12.928000000000004</c:v>
                </c:pt>
                <c:pt idx="3">
                  <c:v>12.847999999999999</c:v>
                </c:pt>
                <c:pt idx="4">
                  <c:v>12.753</c:v>
                </c:pt>
                <c:pt idx="5">
                  <c:v>12.508000000000003</c:v>
                </c:pt>
                <c:pt idx="6">
                  <c:v>12.600000000000001</c:v>
                </c:pt>
                <c:pt idx="7">
                  <c:v>12.893000000000001</c:v>
                </c:pt>
                <c:pt idx="8">
                  <c:v>13.399999999999999</c:v>
                </c:pt>
                <c:pt idx="9">
                  <c:v>14.045999999999999</c:v>
                </c:pt>
                <c:pt idx="10">
                  <c:v>15.483000000000004</c:v>
                </c:pt>
                <c:pt idx="11">
                  <c:v>15.302</c:v>
                </c:pt>
                <c:pt idx="12">
                  <c:v>14.167999999999999</c:v>
                </c:pt>
                <c:pt idx="13">
                  <c:v>11.979999999999997</c:v>
                </c:pt>
                <c:pt idx="14">
                  <c:v>8.786999999999999</c:v>
                </c:pt>
                <c:pt idx="15">
                  <c:v>3.6009999999999991</c:v>
                </c:pt>
                <c:pt idx="16">
                  <c:v>-0.375</c:v>
                </c:pt>
                <c:pt idx="17">
                  <c:v>-3.9510000000000005</c:v>
                </c:pt>
                <c:pt idx="18">
                  <c:v>-6.9950000000000045</c:v>
                </c:pt>
                <c:pt idx="19">
                  <c:v>-9.392000000000003</c:v>
                </c:pt>
                <c:pt idx="20">
                  <c:v>-11.875999999999998</c:v>
                </c:pt>
                <c:pt idx="21">
                  <c:v>-11.666000000000004</c:v>
                </c:pt>
                <c:pt idx="22">
                  <c:v>-9.5330000000000013</c:v>
                </c:pt>
                <c:pt idx="23">
                  <c:v>-5.4549999999999983</c:v>
                </c:pt>
                <c:pt idx="24">
                  <c:v>0.2640000000000029</c:v>
                </c:pt>
                <c:pt idx="25">
                  <c:v>9.4260000000000019</c:v>
                </c:pt>
                <c:pt idx="26">
                  <c:v>14.736000000000001</c:v>
                </c:pt>
                <c:pt idx="27">
                  <c:v>18.446999999999996</c:v>
                </c:pt>
                <c:pt idx="28">
                  <c:v>20.457999999999998</c:v>
                </c:pt>
                <c:pt idx="29">
                  <c:v>20.95</c:v>
                </c:pt>
                <c:pt idx="30">
                  <c:v>18.969000000000001</c:v>
                </c:pt>
                <c:pt idx="31">
                  <c:v>18.111000000000001</c:v>
                </c:pt>
                <c:pt idx="32">
                  <c:v>17.392999999999997</c:v>
                </c:pt>
                <c:pt idx="33">
                  <c:v>16.925000000000001</c:v>
                </c:pt>
                <c:pt idx="34">
                  <c:v>16.702000000000002</c:v>
                </c:pt>
                <c:pt idx="35">
                  <c:v>16.783000000000001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20.447000000000003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(1950-2023)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Парагвай!$B$2:$B$75</c:f>
              <c:numCache>
                <c:formatCode>0.0</c:formatCode>
                <c:ptCount val="74"/>
                <c:pt idx="0">
                  <c:v>44.5</c:v>
                </c:pt>
                <c:pt idx="1">
                  <c:v>44.3</c:v>
                </c:pt>
                <c:pt idx="2">
                  <c:v>44.1</c:v>
                </c:pt>
                <c:pt idx="3">
                  <c:v>43.9</c:v>
                </c:pt>
                <c:pt idx="4">
                  <c:v>43.6</c:v>
                </c:pt>
                <c:pt idx="5">
                  <c:v>43.4</c:v>
                </c:pt>
                <c:pt idx="6">
                  <c:v>43.1</c:v>
                </c:pt>
                <c:pt idx="7">
                  <c:v>42.9</c:v>
                </c:pt>
                <c:pt idx="8">
                  <c:v>42.7</c:v>
                </c:pt>
                <c:pt idx="9">
                  <c:v>42.5</c:v>
                </c:pt>
                <c:pt idx="10">
                  <c:v>42.4</c:v>
                </c:pt>
                <c:pt idx="11">
                  <c:v>42.3</c:v>
                </c:pt>
                <c:pt idx="12">
                  <c:v>42.2</c:v>
                </c:pt>
                <c:pt idx="13">
                  <c:v>42.1</c:v>
                </c:pt>
                <c:pt idx="14">
                  <c:v>41.7</c:v>
                </c:pt>
                <c:pt idx="15">
                  <c:v>41</c:v>
                </c:pt>
                <c:pt idx="16">
                  <c:v>40.200000000000003</c:v>
                </c:pt>
                <c:pt idx="17">
                  <c:v>39.200000000000003</c:v>
                </c:pt>
                <c:pt idx="18">
                  <c:v>38.4</c:v>
                </c:pt>
                <c:pt idx="19">
                  <c:v>37.6</c:v>
                </c:pt>
                <c:pt idx="20">
                  <c:v>37</c:v>
                </c:pt>
                <c:pt idx="21">
                  <c:v>36.299999999999997</c:v>
                </c:pt>
                <c:pt idx="22">
                  <c:v>35.799999999999997</c:v>
                </c:pt>
                <c:pt idx="23">
                  <c:v>35.4</c:v>
                </c:pt>
                <c:pt idx="24">
                  <c:v>35.200000000000003</c:v>
                </c:pt>
                <c:pt idx="25">
                  <c:v>34.9</c:v>
                </c:pt>
                <c:pt idx="26">
                  <c:v>34.799999999999997</c:v>
                </c:pt>
                <c:pt idx="27">
                  <c:v>35</c:v>
                </c:pt>
                <c:pt idx="28">
                  <c:v>35.1</c:v>
                </c:pt>
                <c:pt idx="29">
                  <c:v>35.6</c:v>
                </c:pt>
                <c:pt idx="30">
                  <c:v>36.200000000000003</c:v>
                </c:pt>
                <c:pt idx="31">
                  <c:v>36.9</c:v>
                </c:pt>
                <c:pt idx="32">
                  <c:v>37</c:v>
                </c:pt>
                <c:pt idx="33">
                  <c:v>37</c:v>
                </c:pt>
                <c:pt idx="34">
                  <c:v>37</c:v>
                </c:pt>
                <c:pt idx="35">
                  <c:v>36.799999999999997</c:v>
                </c:pt>
                <c:pt idx="36">
                  <c:v>36.5</c:v>
                </c:pt>
                <c:pt idx="37">
                  <c:v>36.1</c:v>
                </c:pt>
                <c:pt idx="38">
                  <c:v>35.799999999999997</c:v>
                </c:pt>
                <c:pt idx="39">
                  <c:v>35.200000000000003</c:v>
                </c:pt>
                <c:pt idx="40">
                  <c:v>34.4</c:v>
                </c:pt>
                <c:pt idx="41">
                  <c:v>33.9</c:v>
                </c:pt>
                <c:pt idx="42">
                  <c:v>33.299999999999997</c:v>
                </c:pt>
                <c:pt idx="43">
                  <c:v>32.4</c:v>
                </c:pt>
                <c:pt idx="44">
                  <c:v>31.7</c:v>
                </c:pt>
                <c:pt idx="45">
                  <c:v>31</c:v>
                </c:pt>
                <c:pt idx="46">
                  <c:v>30.3</c:v>
                </c:pt>
                <c:pt idx="47">
                  <c:v>29.6</c:v>
                </c:pt>
                <c:pt idx="48">
                  <c:v>28.8</c:v>
                </c:pt>
                <c:pt idx="49">
                  <c:v>27.9</c:v>
                </c:pt>
                <c:pt idx="50">
                  <c:v>26.9</c:v>
                </c:pt>
                <c:pt idx="51">
                  <c:v>25.9</c:v>
                </c:pt>
                <c:pt idx="52">
                  <c:v>25.1</c:v>
                </c:pt>
                <c:pt idx="53">
                  <c:v>24.4</c:v>
                </c:pt>
                <c:pt idx="54">
                  <c:v>24.1</c:v>
                </c:pt>
                <c:pt idx="55">
                  <c:v>23.7</c:v>
                </c:pt>
                <c:pt idx="56">
                  <c:v>23.3</c:v>
                </c:pt>
                <c:pt idx="57">
                  <c:v>23</c:v>
                </c:pt>
                <c:pt idx="58">
                  <c:v>23</c:v>
                </c:pt>
                <c:pt idx="59">
                  <c:v>22.9</c:v>
                </c:pt>
                <c:pt idx="60">
                  <c:v>22.5</c:v>
                </c:pt>
                <c:pt idx="61">
                  <c:v>22.5</c:v>
                </c:pt>
                <c:pt idx="62">
                  <c:v>22.6</c:v>
                </c:pt>
                <c:pt idx="63">
                  <c:v>22.5</c:v>
                </c:pt>
                <c:pt idx="64">
                  <c:v>22.6</c:v>
                </c:pt>
                <c:pt idx="65">
                  <c:v>22.7</c:v>
                </c:pt>
                <c:pt idx="66">
                  <c:v>22.5</c:v>
                </c:pt>
                <c:pt idx="67">
                  <c:v>22.2</c:v>
                </c:pt>
                <c:pt idx="68">
                  <c:v>21.8</c:v>
                </c:pt>
                <c:pt idx="69">
                  <c:v>21.4</c:v>
                </c:pt>
                <c:pt idx="70">
                  <c:v>21</c:v>
                </c:pt>
                <c:pt idx="71">
                  <c:v>20.7</c:v>
                </c:pt>
                <c:pt idx="72">
                  <c:v>20.399999999999999</c:v>
                </c:pt>
                <c:pt idx="73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DC-4E39-88BD-F464642915E9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Парагвай!$C$2:$C$75</c:f>
              <c:numCache>
                <c:formatCode>0.0</c:formatCode>
                <c:ptCount val="74"/>
                <c:pt idx="0">
                  <c:v>11.7</c:v>
                </c:pt>
                <c:pt idx="1">
                  <c:v>11.6</c:v>
                </c:pt>
                <c:pt idx="2">
                  <c:v>11.6</c:v>
                </c:pt>
                <c:pt idx="3">
                  <c:v>11.5</c:v>
                </c:pt>
                <c:pt idx="4">
                  <c:v>11.5</c:v>
                </c:pt>
                <c:pt idx="5">
                  <c:v>11.4</c:v>
                </c:pt>
                <c:pt idx="6">
                  <c:v>11.2</c:v>
                </c:pt>
                <c:pt idx="7">
                  <c:v>11.1</c:v>
                </c:pt>
                <c:pt idx="8">
                  <c:v>10.9</c:v>
                </c:pt>
                <c:pt idx="9">
                  <c:v>10.7</c:v>
                </c:pt>
                <c:pt idx="10">
                  <c:v>10.6</c:v>
                </c:pt>
                <c:pt idx="11">
                  <c:v>10.4</c:v>
                </c:pt>
                <c:pt idx="12">
                  <c:v>10.199999999999999</c:v>
                </c:pt>
                <c:pt idx="13">
                  <c:v>10</c:v>
                </c:pt>
                <c:pt idx="14">
                  <c:v>10</c:v>
                </c:pt>
                <c:pt idx="15">
                  <c:v>9.9</c:v>
                </c:pt>
                <c:pt idx="16">
                  <c:v>9.8000000000000007</c:v>
                </c:pt>
                <c:pt idx="17">
                  <c:v>9.6999999999999993</c:v>
                </c:pt>
                <c:pt idx="18">
                  <c:v>9.6</c:v>
                </c:pt>
                <c:pt idx="19">
                  <c:v>9.5</c:v>
                </c:pt>
                <c:pt idx="20">
                  <c:v>9.4</c:v>
                </c:pt>
                <c:pt idx="21">
                  <c:v>9.3000000000000007</c:v>
                </c:pt>
                <c:pt idx="22">
                  <c:v>9.1</c:v>
                </c:pt>
                <c:pt idx="23">
                  <c:v>8.9</c:v>
                </c:pt>
                <c:pt idx="24">
                  <c:v>8.9</c:v>
                </c:pt>
                <c:pt idx="25">
                  <c:v>8.8000000000000007</c:v>
                </c:pt>
                <c:pt idx="26">
                  <c:v>8.6999999999999993</c:v>
                </c:pt>
                <c:pt idx="27">
                  <c:v>8.6999999999999993</c:v>
                </c:pt>
                <c:pt idx="28">
                  <c:v>8.6</c:v>
                </c:pt>
                <c:pt idx="29">
                  <c:v>8.6</c:v>
                </c:pt>
                <c:pt idx="30">
                  <c:v>8.5</c:v>
                </c:pt>
                <c:pt idx="31">
                  <c:v>8.4</c:v>
                </c:pt>
                <c:pt idx="32">
                  <c:v>8.1999999999999993</c:v>
                </c:pt>
                <c:pt idx="33">
                  <c:v>8</c:v>
                </c:pt>
                <c:pt idx="34">
                  <c:v>7.7</c:v>
                </c:pt>
                <c:pt idx="35">
                  <c:v>7.5</c:v>
                </c:pt>
                <c:pt idx="36">
                  <c:v>7.3</c:v>
                </c:pt>
                <c:pt idx="37">
                  <c:v>7.1</c:v>
                </c:pt>
                <c:pt idx="38">
                  <c:v>6.9</c:v>
                </c:pt>
                <c:pt idx="39">
                  <c:v>6.7</c:v>
                </c:pt>
                <c:pt idx="40">
                  <c:v>6.5</c:v>
                </c:pt>
                <c:pt idx="41">
                  <c:v>6.3</c:v>
                </c:pt>
                <c:pt idx="42">
                  <c:v>6.1</c:v>
                </c:pt>
                <c:pt idx="43">
                  <c:v>6</c:v>
                </c:pt>
                <c:pt idx="44">
                  <c:v>5.9</c:v>
                </c:pt>
                <c:pt idx="45">
                  <c:v>5.7</c:v>
                </c:pt>
                <c:pt idx="46">
                  <c:v>5.6</c:v>
                </c:pt>
                <c:pt idx="47">
                  <c:v>5.6</c:v>
                </c:pt>
                <c:pt idx="48">
                  <c:v>5.5</c:v>
                </c:pt>
                <c:pt idx="49">
                  <c:v>5.4</c:v>
                </c:pt>
                <c:pt idx="50">
                  <c:v>5.3</c:v>
                </c:pt>
                <c:pt idx="51">
                  <c:v>5.3</c:v>
                </c:pt>
                <c:pt idx="52">
                  <c:v>5.2</c:v>
                </c:pt>
                <c:pt idx="53">
                  <c:v>5.2</c:v>
                </c:pt>
                <c:pt idx="54">
                  <c:v>5.2</c:v>
                </c:pt>
                <c:pt idx="55">
                  <c:v>5.2</c:v>
                </c:pt>
                <c:pt idx="56">
                  <c:v>5.2</c:v>
                </c:pt>
                <c:pt idx="57">
                  <c:v>5.2</c:v>
                </c:pt>
                <c:pt idx="58">
                  <c:v>5.2</c:v>
                </c:pt>
                <c:pt idx="59">
                  <c:v>5.2</c:v>
                </c:pt>
                <c:pt idx="60">
                  <c:v>5.2</c:v>
                </c:pt>
                <c:pt idx="61">
                  <c:v>5.2</c:v>
                </c:pt>
                <c:pt idx="62">
                  <c:v>5.2</c:v>
                </c:pt>
                <c:pt idx="63">
                  <c:v>5.2</c:v>
                </c:pt>
                <c:pt idx="64">
                  <c:v>5.2</c:v>
                </c:pt>
                <c:pt idx="65">
                  <c:v>5.3</c:v>
                </c:pt>
                <c:pt idx="66">
                  <c:v>5.4</c:v>
                </c:pt>
                <c:pt idx="67">
                  <c:v>5.5</c:v>
                </c:pt>
                <c:pt idx="68">
                  <c:v>5.5</c:v>
                </c:pt>
                <c:pt idx="69">
                  <c:v>5.6</c:v>
                </c:pt>
                <c:pt idx="70">
                  <c:v>6.1</c:v>
                </c:pt>
                <c:pt idx="71">
                  <c:v>8.9</c:v>
                </c:pt>
                <c:pt idx="72">
                  <c:v>6.4</c:v>
                </c:pt>
                <c:pt idx="73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DC-4E39-88BD-F464642915E9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Парагвай!$D$2:$D$75</c:f>
              <c:numCache>
                <c:formatCode>0.0</c:formatCode>
                <c:ptCount val="74"/>
                <c:pt idx="0">
                  <c:v>32.799999999999997</c:v>
                </c:pt>
                <c:pt idx="1">
                  <c:v>32.699999999999996</c:v>
                </c:pt>
                <c:pt idx="2">
                  <c:v>32.5</c:v>
                </c:pt>
                <c:pt idx="3">
                  <c:v>32.4</c:v>
                </c:pt>
                <c:pt idx="4">
                  <c:v>32.1</c:v>
                </c:pt>
                <c:pt idx="5">
                  <c:v>32</c:v>
                </c:pt>
                <c:pt idx="6">
                  <c:v>31.900000000000002</c:v>
                </c:pt>
                <c:pt idx="7">
                  <c:v>31.799999999999997</c:v>
                </c:pt>
                <c:pt idx="8">
                  <c:v>31.800000000000004</c:v>
                </c:pt>
                <c:pt idx="9">
                  <c:v>31.8</c:v>
                </c:pt>
                <c:pt idx="10">
                  <c:v>31.799999999999997</c:v>
                </c:pt>
                <c:pt idx="11">
                  <c:v>31.9</c:v>
                </c:pt>
                <c:pt idx="12">
                  <c:v>32</c:v>
                </c:pt>
                <c:pt idx="13">
                  <c:v>32.1</c:v>
                </c:pt>
                <c:pt idx="14">
                  <c:v>31.700000000000003</c:v>
                </c:pt>
                <c:pt idx="15">
                  <c:v>31.1</c:v>
                </c:pt>
                <c:pt idx="16">
                  <c:v>30.400000000000002</c:v>
                </c:pt>
                <c:pt idx="17">
                  <c:v>29.500000000000004</c:v>
                </c:pt>
                <c:pt idx="18">
                  <c:v>28.799999999999997</c:v>
                </c:pt>
                <c:pt idx="19">
                  <c:v>28.1</c:v>
                </c:pt>
                <c:pt idx="20">
                  <c:v>27.6</c:v>
                </c:pt>
                <c:pt idx="21">
                  <c:v>26.999999999999996</c:v>
                </c:pt>
                <c:pt idx="22">
                  <c:v>26.699999999999996</c:v>
                </c:pt>
                <c:pt idx="23">
                  <c:v>26.5</c:v>
                </c:pt>
                <c:pt idx="24">
                  <c:v>26.300000000000004</c:v>
                </c:pt>
                <c:pt idx="25">
                  <c:v>26.099999999999998</c:v>
                </c:pt>
                <c:pt idx="26">
                  <c:v>26.099999999999998</c:v>
                </c:pt>
                <c:pt idx="27">
                  <c:v>26.3</c:v>
                </c:pt>
                <c:pt idx="28">
                  <c:v>26.5</c:v>
                </c:pt>
                <c:pt idx="29">
                  <c:v>27</c:v>
                </c:pt>
                <c:pt idx="30">
                  <c:v>27.700000000000003</c:v>
                </c:pt>
                <c:pt idx="31">
                  <c:v>28.5</c:v>
                </c:pt>
                <c:pt idx="32">
                  <c:v>28.8</c:v>
                </c:pt>
                <c:pt idx="33">
                  <c:v>29</c:v>
                </c:pt>
                <c:pt idx="34">
                  <c:v>29.3</c:v>
                </c:pt>
                <c:pt idx="35">
                  <c:v>29.299999999999997</c:v>
                </c:pt>
                <c:pt idx="36">
                  <c:v>29.2</c:v>
                </c:pt>
                <c:pt idx="37">
                  <c:v>29</c:v>
                </c:pt>
                <c:pt idx="38">
                  <c:v>28.9</c:v>
                </c:pt>
                <c:pt idx="39">
                  <c:v>28.500000000000004</c:v>
                </c:pt>
                <c:pt idx="40">
                  <c:v>27.9</c:v>
                </c:pt>
                <c:pt idx="41">
                  <c:v>27.599999999999998</c:v>
                </c:pt>
                <c:pt idx="42">
                  <c:v>27.199999999999996</c:v>
                </c:pt>
                <c:pt idx="43">
                  <c:v>26.4</c:v>
                </c:pt>
                <c:pt idx="44">
                  <c:v>25.799999999999997</c:v>
                </c:pt>
                <c:pt idx="45">
                  <c:v>25.3</c:v>
                </c:pt>
                <c:pt idx="46">
                  <c:v>24.700000000000003</c:v>
                </c:pt>
                <c:pt idx="47">
                  <c:v>24</c:v>
                </c:pt>
                <c:pt idx="48">
                  <c:v>23.3</c:v>
                </c:pt>
                <c:pt idx="49">
                  <c:v>22.5</c:v>
                </c:pt>
                <c:pt idx="50">
                  <c:v>21.599999999999998</c:v>
                </c:pt>
                <c:pt idx="51">
                  <c:v>20.599999999999998</c:v>
                </c:pt>
                <c:pt idx="52">
                  <c:v>19.900000000000002</c:v>
                </c:pt>
                <c:pt idx="53">
                  <c:v>19.2</c:v>
                </c:pt>
                <c:pt idx="54">
                  <c:v>18.900000000000002</c:v>
                </c:pt>
                <c:pt idx="55">
                  <c:v>18.5</c:v>
                </c:pt>
                <c:pt idx="56">
                  <c:v>18.100000000000001</c:v>
                </c:pt>
                <c:pt idx="57">
                  <c:v>17.8</c:v>
                </c:pt>
                <c:pt idx="58">
                  <c:v>17.8</c:v>
                </c:pt>
                <c:pt idx="59">
                  <c:v>17.7</c:v>
                </c:pt>
                <c:pt idx="60">
                  <c:v>17.3</c:v>
                </c:pt>
                <c:pt idx="61">
                  <c:v>17.3</c:v>
                </c:pt>
                <c:pt idx="62">
                  <c:v>17.400000000000002</c:v>
                </c:pt>
                <c:pt idx="63">
                  <c:v>17.3</c:v>
                </c:pt>
                <c:pt idx="64">
                  <c:v>17.400000000000002</c:v>
                </c:pt>
                <c:pt idx="65">
                  <c:v>17.399999999999999</c:v>
                </c:pt>
                <c:pt idx="66">
                  <c:v>17.100000000000001</c:v>
                </c:pt>
                <c:pt idx="67">
                  <c:v>16.7</c:v>
                </c:pt>
                <c:pt idx="68">
                  <c:v>16.3</c:v>
                </c:pt>
                <c:pt idx="69">
                  <c:v>15.799999999999999</c:v>
                </c:pt>
                <c:pt idx="70">
                  <c:v>14.9</c:v>
                </c:pt>
                <c:pt idx="71">
                  <c:v>11.799999999999999</c:v>
                </c:pt>
                <c:pt idx="72">
                  <c:v>13.999999999999998</c:v>
                </c:pt>
                <c:pt idx="73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DC-4E39-88BD-F46464291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7752"/>
        <c:axId val="949171032"/>
      </c:scatterChart>
      <c:valAx>
        <c:axId val="949167752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032"/>
        <c:crosses val="autoZero"/>
        <c:crossBetween val="midCat"/>
      </c:valAx>
      <c:valAx>
        <c:axId val="949171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7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Перу!$B$2:$B$85</c:f>
              <c:numCache>
                <c:formatCode>0.0</c:formatCode>
                <c:ptCount val="84"/>
                <c:pt idx="0">
                  <c:v>44.4</c:v>
                </c:pt>
                <c:pt idx="1">
                  <c:v>44.4</c:v>
                </c:pt>
                <c:pt idx="2">
                  <c:v>44.5</c:v>
                </c:pt>
                <c:pt idx="3">
                  <c:v>44.5</c:v>
                </c:pt>
                <c:pt idx="4">
                  <c:v>44.6</c:v>
                </c:pt>
                <c:pt idx="5">
                  <c:v>44.7</c:v>
                </c:pt>
                <c:pt idx="6">
                  <c:v>44.8</c:v>
                </c:pt>
                <c:pt idx="7">
                  <c:v>44.9</c:v>
                </c:pt>
                <c:pt idx="8">
                  <c:v>45</c:v>
                </c:pt>
                <c:pt idx="9">
                  <c:v>45.1</c:v>
                </c:pt>
                <c:pt idx="10">
                  <c:v>45.2</c:v>
                </c:pt>
                <c:pt idx="11">
                  <c:v>45.4</c:v>
                </c:pt>
                <c:pt idx="12">
                  <c:v>45.6</c:v>
                </c:pt>
                <c:pt idx="13">
                  <c:v>46</c:v>
                </c:pt>
                <c:pt idx="14">
                  <c:v>46.5</c:v>
                </c:pt>
                <c:pt idx="15">
                  <c:v>46.9</c:v>
                </c:pt>
                <c:pt idx="16">
                  <c:v>47.2</c:v>
                </c:pt>
                <c:pt idx="17">
                  <c:v>47.4</c:v>
                </c:pt>
                <c:pt idx="18">
                  <c:v>47.3</c:v>
                </c:pt>
                <c:pt idx="19">
                  <c:v>47.2</c:v>
                </c:pt>
                <c:pt idx="20">
                  <c:v>46.9</c:v>
                </c:pt>
                <c:pt idx="21">
                  <c:v>46.6</c:v>
                </c:pt>
                <c:pt idx="22">
                  <c:v>46.2</c:v>
                </c:pt>
                <c:pt idx="23">
                  <c:v>45.8</c:v>
                </c:pt>
                <c:pt idx="24">
                  <c:v>45.4</c:v>
                </c:pt>
                <c:pt idx="25">
                  <c:v>44.9</c:v>
                </c:pt>
                <c:pt idx="26">
                  <c:v>44.4</c:v>
                </c:pt>
                <c:pt idx="27">
                  <c:v>44</c:v>
                </c:pt>
                <c:pt idx="28">
                  <c:v>43.4</c:v>
                </c:pt>
                <c:pt idx="29">
                  <c:v>42.9</c:v>
                </c:pt>
                <c:pt idx="30">
                  <c:v>42.4</c:v>
                </c:pt>
                <c:pt idx="31">
                  <c:v>41.8</c:v>
                </c:pt>
                <c:pt idx="32">
                  <c:v>41.2</c:v>
                </c:pt>
                <c:pt idx="33">
                  <c:v>40.700000000000003</c:v>
                </c:pt>
                <c:pt idx="34">
                  <c:v>40.1</c:v>
                </c:pt>
                <c:pt idx="35">
                  <c:v>39.5</c:v>
                </c:pt>
                <c:pt idx="36">
                  <c:v>38.9</c:v>
                </c:pt>
                <c:pt idx="37">
                  <c:v>38.299999999999997</c:v>
                </c:pt>
                <c:pt idx="38">
                  <c:v>37.700000000000003</c:v>
                </c:pt>
                <c:pt idx="39">
                  <c:v>37.1</c:v>
                </c:pt>
                <c:pt idx="40">
                  <c:v>36.5</c:v>
                </c:pt>
                <c:pt idx="41">
                  <c:v>35.9</c:v>
                </c:pt>
                <c:pt idx="42">
                  <c:v>35.4</c:v>
                </c:pt>
                <c:pt idx="43">
                  <c:v>35</c:v>
                </c:pt>
                <c:pt idx="44">
                  <c:v>34.5</c:v>
                </c:pt>
                <c:pt idx="45">
                  <c:v>34</c:v>
                </c:pt>
                <c:pt idx="46">
                  <c:v>33.5</c:v>
                </c:pt>
                <c:pt idx="47">
                  <c:v>33</c:v>
                </c:pt>
                <c:pt idx="48">
                  <c:v>32.4</c:v>
                </c:pt>
                <c:pt idx="49">
                  <c:v>31.8</c:v>
                </c:pt>
                <c:pt idx="50">
                  <c:v>31.1</c:v>
                </c:pt>
                <c:pt idx="51">
                  <c:v>30.4</c:v>
                </c:pt>
                <c:pt idx="52">
                  <c:v>29.6</c:v>
                </c:pt>
                <c:pt idx="53">
                  <c:v>28.8</c:v>
                </c:pt>
                <c:pt idx="54">
                  <c:v>28</c:v>
                </c:pt>
                <c:pt idx="55">
                  <c:v>27.2</c:v>
                </c:pt>
                <c:pt idx="56">
                  <c:v>26.4</c:v>
                </c:pt>
                <c:pt idx="57">
                  <c:v>25.6</c:v>
                </c:pt>
                <c:pt idx="58">
                  <c:v>24.9</c:v>
                </c:pt>
                <c:pt idx="59">
                  <c:v>24.3</c:v>
                </c:pt>
                <c:pt idx="60">
                  <c:v>23.8</c:v>
                </c:pt>
                <c:pt idx="61">
                  <c:v>23</c:v>
                </c:pt>
                <c:pt idx="62">
                  <c:v>22.6</c:v>
                </c:pt>
                <c:pt idx="63">
                  <c:v>22.3</c:v>
                </c:pt>
                <c:pt idx="64">
                  <c:v>22.4</c:v>
                </c:pt>
                <c:pt idx="65">
                  <c:v>22.1</c:v>
                </c:pt>
                <c:pt idx="66">
                  <c:v>21.8</c:v>
                </c:pt>
                <c:pt idx="67">
                  <c:v>21.4</c:v>
                </c:pt>
                <c:pt idx="68">
                  <c:v>20.9</c:v>
                </c:pt>
                <c:pt idx="69">
                  <c:v>20.399999999999999</c:v>
                </c:pt>
                <c:pt idx="70">
                  <c:v>19.899999999999999</c:v>
                </c:pt>
                <c:pt idx="71">
                  <c:v>19.8</c:v>
                </c:pt>
                <c:pt idx="72">
                  <c:v>19.2</c:v>
                </c:pt>
                <c:pt idx="73">
                  <c:v>18.8</c:v>
                </c:pt>
                <c:pt idx="74">
                  <c:v>18.399999999999999</c:v>
                </c:pt>
                <c:pt idx="75">
                  <c:v>17.899999999999999</c:v>
                </c:pt>
                <c:pt idx="76">
                  <c:v>17.600000000000001</c:v>
                </c:pt>
                <c:pt idx="77">
                  <c:v>17.3</c:v>
                </c:pt>
                <c:pt idx="78">
                  <c:v>16.899999999999999</c:v>
                </c:pt>
                <c:pt idx="79">
                  <c:v>16.899999999999999</c:v>
                </c:pt>
                <c:pt idx="80">
                  <c:v>16.600000000000001</c:v>
                </c:pt>
                <c:pt idx="81">
                  <c:v>16.399999999999999</c:v>
                </c:pt>
                <c:pt idx="82">
                  <c:v>16.2</c:v>
                </c:pt>
                <c:pt idx="83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48-4CDF-90CE-51A590A2FCC5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Перу!$C$2:$C$85</c:f>
              <c:numCache>
                <c:formatCode>0.0</c:formatCode>
                <c:ptCount val="84"/>
                <c:pt idx="0">
                  <c:v>29.8</c:v>
                </c:pt>
                <c:pt idx="1">
                  <c:v>29.5</c:v>
                </c:pt>
                <c:pt idx="2">
                  <c:v>29.1</c:v>
                </c:pt>
                <c:pt idx="3">
                  <c:v>28.3</c:v>
                </c:pt>
                <c:pt idx="4">
                  <c:v>27.4</c:v>
                </c:pt>
                <c:pt idx="5">
                  <c:v>26.2</c:v>
                </c:pt>
                <c:pt idx="6">
                  <c:v>25.3</c:v>
                </c:pt>
                <c:pt idx="7">
                  <c:v>24.5</c:v>
                </c:pt>
                <c:pt idx="8">
                  <c:v>24</c:v>
                </c:pt>
                <c:pt idx="9">
                  <c:v>23.6</c:v>
                </c:pt>
                <c:pt idx="10">
                  <c:v>23.5</c:v>
                </c:pt>
                <c:pt idx="11">
                  <c:v>23.1</c:v>
                </c:pt>
                <c:pt idx="12">
                  <c:v>22.5</c:v>
                </c:pt>
                <c:pt idx="13">
                  <c:v>21.5</c:v>
                </c:pt>
                <c:pt idx="14">
                  <c:v>20.5</c:v>
                </c:pt>
                <c:pt idx="15">
                  <c:v>19.5</c:v>
                </c:pt>
                <c:pt idx="16">
                  <c:v>18.899999999999999</c:v>
                </c:pt>
                <c:pt idx="17">
                  <c:v>18.399999999999999</c:v>
                </c:pt>
                <c:pt idx="18">
                  <c:v>18</c:v>
                </c:pt>
                <c:pt idx="19">
                  <c:v>17.600000000000001</c:v>
                </c:pt>
                <c:pt idx="20">
                  <c:v>17.100000000000001</c:v>
                </c:pt>
                <c:pt idx="21">
                  <c:v>16.7</c:v>
                </c:pt>
                <c:pt idx="22">
                  <c:v>16.399999999999999</c:v>
                </c:pt>
                <c:pt idx="23">
                  <c:v>15.8</c:v>
                </c:pt>
                <c:pt idx="24">
                  <c:v>15.5</c:v>
                </c:pt>
                <c:pt idx="25">
                  <c:v>15.2</c:v>
                </c:pt>
                <c:pt idx="26">
                  <c:v>14.9</c:v>
                </c:pt>
                <c:pt idx="27">
                  <c:v>14.6</c:v>
                </c:pt>
                <c:pt idx="28">
                  <c:v>14.4</c:v>
                </c:pt>
                <c:pt idx="29">
                  <c:v>14.1</c:v>
                </c:pt>
                <c:pt idx="30">
                  <c:v>18.8</c:v>
                </c:pt>
                <c:pt idx="31">
                  <c:v>13.5</c:v>
                </c:pt>
                <c:pt idx="32">
                  <c:v>13.3</c:v>
                </c:pt>
                <c:pt idx="33">
                  <c:v>13.2</c:v>
                </c:pt>
                <c:pt idx="34">
                  <c:v>12.8</c:v>
                </c:pt>
                <c:pt idx="35">
                  <c:v>12.5</c:v>
                </c:pt>
                <c:pt idx="36">
                  <c:v>12.2</c:v>
                </c:pt>
                <c:pt idx="37">
                  <c:v>11.9</c:v>
                </c:pt>
                <c:pt idx="38">
                  <c:v>11.5</c:v>
                </c:pt>
                <c:pt idx="39">
                  <c:v>11.2</c:v>
                </c:pt>
                <c:pt idx="40">
                  <c:v>10.9</c:v>
                </c:pt>
                <c:pt idx="41">
                  <c:v>10.5</c:v>
                </c:pt>
                <c:pt idx="42">
                  <c:v>10.1</c:v>
                </c:pt>
                <c:pt idx="43">
                  <c:v>9.9</c:v>
                </c:pt>
                <c:pt idx="44">
                  <c:v>9.6</c:v>
                </c:pt>
                <c:pt idx="45">
                  <c:v>9.1999999999999993</c:v>
                </c:pt>
                <c:pt idx="46">
                  <c:v>8.9</c:v>
                </c:pt>
                <c:pt idx="47">
                  <c:v>8.6</c:v>
                </c:pt>
                <c:pt idx="48">
                  <c:v>8.3000000000000007</c:v>
                </c:pt>
                <c:pt idx="49">
                  <c:v>8</c:v>
                </c:pt>
                <c:pt idx="50">
                  <c:v>7.7</c:v>
                </c:pt>
                <c:pt idx="51">
                  <c:v>7.6</c:v>
                </c:pt>
                <c:pt idx="52">
                  <c:v>7.2</c:v>
                </c:pt>
                <c:pt idx="53">
                  <c:v>6.9</c:v>
                </c:pt>
                <c:pt idx="54">
                  <c:v>6.5</c:v>
                </c:pt>
                <c:pt idx="55">
                  <c:v>6.3</c:v>
                </c:pt>
                <c:pt idx="56">
                  <c:v>6.1</c:v>
                </c:pt>
                <c:pt idx="57">
                  <c:v>6</c:v>
                </c:pt>
                <c:pt idx="58">
                  <c:v>5.9</c:v>
                </c:pt>
                <c:pt idx="59">
                  <c:v>5.7</c:v>
                </c:pt>
                <c:pt idx="60">
                  <c:v>5.6</c:v>
                </c:pt>
                <c:pt idx="61">
                  <c:v>5.6</c:v>
                </c:pt>
                <c:pt idx="62">
                  <c:v>5.6</c:v>
                </c:pt>
                <c:pt idx="63">
                  <c:v>5.7</c:v>
                </c:pt>
                <c:pt idx="64">
                  <c:v>5.9</c:v>
                </c:pt>
                <c:pt idx="65">
                  <c:v>5.9</c:v>
                </c:pt>
                <c:pt idx="66">
                  <c:v>6.1</c:v>
                </c:pt>
                <c:pt idx="67">
                  <c:v>6.2</c:v>
                </c:pt>
                <c:pt idx="68">
                  <c:v>6.5</c:v>
                </c:pt>
                <c:pt idx="69">
                  <c:v>6.7</c:v>
                </c:pt>
                <c:pt idx="70">
                  <c:v>6.7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6.1</c:v>
                </c:pt>
                <c:pt idx="75">
                  <c:v>6</c:v>
                </c:pt>
                <c:pt idx="76">
                  <c:v>6</c:v>
                </c:pt>
                <c:pt idx="77">
                  <c:v>6.1</c:v>
                </c:pt>
                <c:pt idx="78">
                  <c:v>6.2</c:v>
                </c:pt>
                <c:pt idx="79">
                  <c:v>6.2</c:v>
                </c:pt>
                <c:pt idx="80">
                  <c:v>7.4</c:v>
                </c:pt>
                <c:pt idx="81">
                  <c:v>9.3000000000000007</c:v>
                </c:pt>
                <c:pt idx="82">
                  <c:v>6.4</c:v>
                </c:pt>
                <c:pt idx="8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48-4CDF-90CE-51A590A2FCC5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Перу!$D$2:$D$85</c:f>
              <c:numCache>
                <c:formatCode>0.0</c:formatCode>
                <c:ptCount val="84"/>
                <c:pt idx="0">
                  <c:v>14.599999999999998</c:v>
                </c:pt>
                <c:pt idx="1">
                  <c:v>14.899999999999999</c:v>
                </c:pt>
                <c:pt idx="2">
                  <c:v>15.399999999999999</c:v>
                </c:pt>
                <c:pt idx="3">
                  <c:v>16.2</c:v>
                </c:pt>
                <c:pt idx="4">
                  <c:v>17.200000000000003</c:v>
                </c:pt>
                <c:pt idx="5">
                  <c:v>18.500000000000004</c:v>
                </c:pt>
                <c:pt idx="6">
                  <c:v>19.499999999999996</c:v>
                </c:pt>
                <c:pt idx="7">
                  <c:v>20.399999999999999</c:v>
                </c:pt>
                <c:pt idx="8">
                  <c:v>21</c:v>
                </c:pt>
                <c:pt idx="9">
                  <c:v>21.5</c:v>
                </c:pt>
                <c:pt idx="10">
                  <c:v>21.700000000000003</c:v>
                </c:pt>
                <c:pt idx="11">
                  <c:v>22.299999999999997</c:v>
                </c:pt>
                <c:pt idx="12">
                  <c:v>23.1</c:v>
                </c:pt>
                <c:pt idx="13">
                  <c:v>24.5</c:v>
                </c:pt>
                <c:pt idx="14">
                  <c:v>26</c:v>
                </c:pt>
                <c:pt idx="15">
                  <c:v>27.4</c:v>
                </c:pt>
                <c:pt idx="16">
                  <c:v>28.300000000000004</c:v>
                </c:pt>
                <c:pt idx="17">
                  <c:v>29</c:v>
                </c:pt>
                <c:pt idx="18">
                  <c:v>29.299999999999997</c:v>
                </c:pt>
                <c:pt idx="19">
                  <c:v>29.6</c:v>
                </c:pt>
                <c:pt idx="20">
                  <c:v>29.799999999999997</c:v>
                </c:pt>
                <c:pt idx="21">
                  <c:v>29.900000000000002</c:v>
                </c:pt>
                <c:pt idx="22">
                  <c:v>29.800000000000004</c:v>
                </c:pt>
                <c:pt idx="23">
                  <c:v>29.999999999999996</c:v>
                </c:pt>
                <c:pt idx="24">
                  <c:v>29.9</c:v>
                </c:pt>
                <c:pt idx="25">
                  <c:v>29.7</c:v>
                </c:pt>
                <c:pt idx="26">
                  <c:v>29.5</c:v>
                </c:pt>
                <c:pt idx="27">
                  <c:v>29.4</c:v>
                </c:pt>
                <c:pt idx="28">
                  <c:v>29</c:v>
                </c:pt>
                <c:pt idx="29">
                  <c:v>28.799999999999997</c:v>
                </c:pt>
                <c:pt idx="30">
                  <c:v>23.599999999999998</c:v>
                </c:pt>
                <c:pt idx="31">
                  <c:v>28.299999999999997</c:v>
                </c:pt>
                <c:pt idx="32">
                  <c:v>27.900000000000002</c:v>
                </c:pt>
                <c:pt idx="33">
                  <c:v>27.500000000000004</c:v>
                </c:pt>
                <c:pt idx="34">
                  <c:v>27.3</c:v>
                </c:pt>
                <c:pt idx="35">
                  <c:v>27</c:v>
                </c:pt>
                <c:pt idx="36">
                  <c:v>26.7</c:v>
                </c:pt>
                <c:pt idx="37">
                  <c:v>26.4</c:v>
                </c:pt>
                <c:pt idx="38">
                  <c:v>26.200000000000003</c:v>
                </c:pt>
                <c:pt idx="39">
                  <c:v>25.900000000000002</c:v>
                </c:pt>
                <c:pt idx="40">
                  <c:v>25.6</c:v>
                </c:pt>
                <c:pt idx="41">
                  <c:v>25.4</c:v>
                </c:pt>
                <c:pt idx="42">
                  <c:v>25.299999999999997</c:v>
                </c:pt>
                <c:pt idx="43">
                  <c:v>25.1</c:v>
                </c:pt>
                <c:pt idx="44">
                  <c:v>24.9</c:v>
                </c:pt>
                <c:pt idx="45">
                  <c:v>24.8</c:v>
                </c:pt>
                <c:pt idx="46">
                  <c:v>24.6</c:v>
                </c:pt>
                <c:pt idx="47">
                  <c:v>24.4</c:v>
                </c:pt>
                <c:pt idx="48">
                  <c:v>24.099999999999998</c:v>
                </c:pt>
                <c:pt idx="49">
                  <c:v>23.8</c:v>
                </c:pt>
                <c:pt idx="50">
                  <c:v>23.400000000000002</c:v>
                </c:pt>
                <c:pt idx="51">
                  <c:v>22.799999999999997</c:v>
                </c:pt>
                <c:pt idx="52">
                  <c:v>22.400000000000002</c:v>
                </c:pt>
                <c:pt idx="53">
                  <c:v>21.9</c:v>
                </c:pt>
                <c:pt idx="54">
                  <c:v>21.5</c:v>
                </c:pt>
                <c:pt idx="55">
                  <c:v>20.9</c:v>
                </c:pt>
                <c:pt idx="56">
                  <c:v>20.299999999999997</c:v>
                </c:pt>
                <c:pt idx="57">
                  <c:v>19.600000000000001</c:v>
                </c:pt>
                <c:pt idx="58">
                  <c:v>19</c:v>
                </c:pt>
                <c:pt idx="59">
                  <c:v>18.600000000000001</c:v>
                </c:pt>
                <c:pt idx="60">
                  <c:v>18.200000000000003</c:v>
                </c:pt>
                <c:pt idx="61">
                  <c:v>17.399999999999999</c:v>
                </c:pt>
                <c:pt idx="62">
                  <c:v>17</c:v>
                </c:pt>
                <c:pt idx="63">
                  <c:v>16.600000000000001</c:v>
                </c:pt>
                <c:pt idx="64">
                  <c:v>16.5</c:v>
                </c:pt>
                <c:pt idx="65">
                  <c:v>16.200000000000003</c:v>
                </c:pt>
                <c:pt idx="66">
                  <c:v>15.700000000000001</c:v>
                </c:pt>
                <c:pt idx="67">
                  <c:v>15.2</c:v>
                </c:pt>
                <c:pt idx="68">
                  <c:v>14.399999999999999</c:v>
                </c:pt>
                <c:pt idx="69">
                  <c:v>13.7</c:v>
                </c:pt>
                <c:pt idx="70">
                  <c:v>13.2</c:v>
                </c:pt>
                <c:pt idx="71">
                  <c:v>13.100000000000001</c:v>
                </c:pt>
                <c:pt idx="72">
                  <c:v>12.7</c:v>
                </c:pt>
                <c:pt idx="73">
                  <c:v>12.5</c:v>
                </c:pt>
                <c:pt idx="74">
                  <c:v>12.299999999999999</c:v>
                </c:pt>
                <c:pt idx="75">
                  <c:v>11.899999999999999</c:v>
                </c:pt>
                <c:pt idx="76">
                  <c:v>11.600000000000001</c:v>
                </c:pt>
                <c:pt idx="77">
                  <c:v>11.200000000000001</c:v>
                </c:pt>
                <c:pt idx="78">
                  <c:v>10.7</c:v>
                </c:pt>
                <c:pt idx="79">
                  <c:v>10.7</c:v>
                </c:pt>
                <c:pt idx="80">
                  <c:v>9.2000000000000011</c:v>
                </c:pt>
                <c:pt idx="81">
                  <c:v>7.0999999999999979</c:v>
                </c:pt>
                <c:pt idx="82">
                  <c:v>9.7999999999999989</c:v>
                </c:pt>
                <c:pt idx="83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48-4CDF-90CE-51A590A2F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5456"/>
        <c:axId val="944273360"/>
      </c:scatterChart>
      <c:valAx>
        <c:axId val="949165456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273360"/>
        <c:crosses val="autoZero"/>
        <c:crossBetween val="midCat"/>
      </c:valAx>
      <c:valAx>
        <c:axId val="94427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5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Сальвадор!$B$1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Сальвадор!$C$1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Сальвадор!$D$1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14286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41BCBD-4C95-4C32-90A0-31320C39B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1</xdr:row>
      <xdr:rowOff>14287</xdr:rowOff>
    </xdr:from>
    <xdr:to>
      <xdr:col>27</xdr:col>
      <xdr:colOff>609599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5DEF09-FE85-4B70-A81B-04E0B3D30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72"/>
  <sheetViews>
    <sheetView topLeftCell="A27" workbookViewId="0">
      <selection activeCell="C61" sqref="C61"/>
    </sheetView>
  </sheetViews>
  <sheetFormatPr defaultRowHeight="14.4" x14ac:dyDescent="0.55000000000000004"/>
  <sheetData>
    <row r="1" spans="1:4" ht="20.399999999999999" x14ac:dyDescent="0.75">
      <c r="A1" s="15" t="s">
        <v>79</v>
      </c>
    </row>
    <row r="3" spans="1:4" x14ac:dyDescent="0.55000000000000004">
      <c r="A3" s="4" t="s">
        <v>78</v>
      </c>
    </row>
    <row r="5" spans="1:4" x14ac:dyDescent="0.55000000000000004">
      <c r="A5" t="s">
        <v>66</v>
      </c>
    </row>
    <row r="7" spans="1:4" x14ac:dyDescent="0.55000000000000004">
      <c r="A7" t="s">
        <v>59</v>
      </c>
    </row>
    <row r="8" spans="1:4" x14ac:dyDescent="0.55000000000000004">
      <c r="A8" t="s">
        <v>60</v>
      </c>
    </row>
    <row r="9" spans="1:4" x14ac:dyDescent="0.55000000000000004">
      <c r="A9" t="s">
        <v>70</v>
      </c>
    </row>
    <row r="11" spans="1:4" x14ac:dyDescent="0.55000000000000004">
      <c r="B11" s="11">
        <v>1881</v>
      </c>
      <c r="C11" s="12">
        <v>47</v>
      </c>
      <c r="D11" s="12">
        <v>32.5</v>
      </c>
    </row>
    <row r="12" spans="1:4" x14ac:dyDescent="0.55000000000000004">
      <c r="B12" s="11">
        <v>1890</v>
      </c>
      <c r="C12" s="12">
        <v>46.5</v>
      </c>
      <c r="D12" s="12">
        <v>30.2</v>
      </c>
    </row>
    <row r="13" spans="1:4" x14ac:dyDescent="0.55000000000000004">
      <c r="B13" s="11">
        <v>1900</v>
      </c>
      <c r="C13" s="12">
        <v>46</v>
      </c>
      <c r="D13" s="12">
        <v>27.8</v>
      </c>
    </row>
    <row r="14" spans="1:4" x14ac:dyDescent="0.55000000000000004">
      <c r="B14" s="11">
        <v>1910</v>
      </c>
      <c r="C14" s="12">
        <v>45.5</v>
      </c>
      <c r="D14" s="12">
        <v>27</v>
      </c>
    </row>
    <row r="15" spans="1:4" x14ac:dyDescent="0.55000000000000004">
      <c r="B15" s="11">
        <v>1920</v>
      </c>
      <c r="C15" s="12">
        <v>45</v>
      </c>
      <c r="D15" s="12">
        <v>26.4</v>
      </c>
    </row>
    <row r="16" spans="1:4" x14ac:dyDescent="0.55000000000000004">
      <c r="B16" s="11">
        <v>1930</v>
      </c>
      <c r="C16" s="12">
        <v>44.8</v>
      </c>
      <c r="D16" s="12">
        <v>26</v>
      </c>
    </row>
    <row r="17" spans="1:4" x14ac:dyDescent="0.55000000000000004">
      <c r="B17" s="11">
        <v>1945</v>
      </c>
      <c r="C17" s="12">
        <v>44.4</v>
      </c>
      <c r="D17" s="12">
        <v>20.9</v>
      </c>
    </row>
    <row r="18" spans="1:4" x14ac:dyDescent="0.55000000000000004">
      <c r="B18" s="11">
        <v>1955</v>
      </c>
      <c r="C18" s="12">
        <v>43.2</v>
      </c>
      <c r="D18" s="12">
        <v>14.2</v>
      </c>
    </row>
    <row r="19" spans="1:4" x14ac:dyDescent="0.55000000000000004">
      <c r="B19" s="11">
        <v>1965</v>
      </c>
      <c r="C19" s="12">
        <v>38.700000000000003</v>
      </c>
      <c r="D19" s="12">
        <v>9.8000000000000007</v>
      </c>
    </row>
    <row r="20" spans="1:4" x14ac:dyDescent="0.55000000000000004">
      <c r="B20" s="11">
        <v>1975</v>
      </c>
      <c r="C20" s="12">
        <v>34.200000000000003</v>
      </c>
      <c r="D20" s="12">
        <v>9.3000000000000007</v>
      </c>
    </row>
    <row r="21" spans="1:4" x14ac:dyDescent="0.55000000000000004">
      <c r="B21" s="11">
        <v>1985</v>
      </c>
      <c r="C21" s="12">
        <v>28.99</v>
      </c>
      <c r="D21" s="12">
        <v>7.68</v>
      </c>
    </row>
    <row r="22" spans="1:4" x14ac:dyDescent="0.55000000000000004">
      <c r="B22" s="11">
        <v>1995</v>
      </c>
      <c r="C22" s="12">
        <v>21.93</v>
      </c>
      <c r="D22" s="12">
        <v>6.55</v>
      </c>
    </row>
    <row r="23" spans="1:4" x14ac:dyDescent="0.55000000000000004">
      <c r="B23" s="11">
        <v>2000</v>
      </c>
      <c r="C23" s="12">
        <v>21.13</v>
      </c>
      <c r="D23" s="12">
        <v>6.34</v>
      </c>
    </row>
    <row r="24" spans="1:4" x14ac:dyDescent="0.55000000000000004">
      <c r="B24" s="11">
        <v>2007</v>
      </c>
      <c r="C24" s="12">
        <v>17.059999999999999</v>
      </c>
      <c r="D24" s="12">
        <v>6.27</v>
      </c>
    </row>
    <row r="25" spans="1:4" x14ac:dyDescent="0.55000000000000004">
      <c r="B25" s="11"/>
      <c r="C25" s="12"/>
      <c r="D25" s="12"/>
    </row>
    <row r="26" spans="1:4" x14ac:dyDescent="0.55000000000000004">
      <c r="B26" t="s">
        <v>80</v>
      </c>
      <c r="C26" s="12"/>
      <c r="D26" s="12"/>
    </row>
    <row r="27" spans="1:4" x14ac:dyDescent="0.55000000000000004">
      <c r="B27" t="s">
        <v>81</v>
      </c>
      <c r="C27" s="12"/>
      <c r="D27" s="12"/>
    </row>
    <row r="28" spans="1:4" x14ac:dyDescent="0.55000000000000004">
      <c r="B28" t="s">
        <v>82</v>
      </c>
      <c r="C28" s="12"/>
      <c r="D28" s="12"/>
    </row>
    <row r="30" spans="1:4" x14ac:dyDescent="0.55000000000000004">
      <c r="A30" t="s">
        <v>114</v>
      </c>
    </row>
    <row r="31" spans="1:4" x14ac:dyDescent="0.55000000000000004">
      <c r="B31" t="s">
        <v>102</v>
      </c>
    </row>
    <row r="32" spans="1:4" x14ac:dyDescent="0.55000000000000004">
      <c r="B32" t="s">
        <v>62</v>
      </c>
    </row>
    <row r="33" spans="2:2" x14ac:dyDescent="0.55000000000000004">
      <c r="B33" t="s">
        <v>63</v>
      </c>
    </row>
    <row r="34" spans="2:2" x14ac:dyDescent="0.55000000000000004">
      <c r="B34" t="s">
        <v>64</v>
      </c>
    </row>
    <row r="36" spans="2:2" x14ac:dyDescent="0.55000000000000004">
      <c r="B36" t="s">
        <v>103</v>
      </c>
    </row>
    <row r="37" spans="2:2" x14ac:dyDescent="0.55000000000000004">
      <c r="B37" t="s">
        <v>101</v>
      </c>
    </row>
    <row r="38" spans="2:2" x14ac:dyDescent="0.55000000000000004">
      <c r="B38" t="s">
        <v>107</v>
      </c>
    </row>
    <row r="39" spans="2:2" x14ac:dyDescent="0.55000000000000004">
      <c r="B39" t="s">
        <v>104</v>
      </c>
    </row>
    <row r="40" spans="2:2" x14ac:dyDescent="0.55000000000000004">
      <c r="B40" t="s">
        <v>105</v>
      </c>
    </row>
    <row r="41" spans="2:2" x14ac:dyDescent="0.55000000000000004">
      <c r="B41" t="s">
        <v>106</v>
      </c>
    </row>
    <row r="42" spans="2:2" x14ac:dyDescent="0.55000000000000004">
      <c r="B42" t="s">
        <v>113</v>
      </c>
    </row>
    <row r="43" spans="2:2" x14ac:dyDescent="0.55000000000000004">
      <c r="B43" t="s">
        <v>108</v>
      </c>
    </row>
    <row r="44" spans="2:2" x14ac:dyDescent="0.55000000000000004">
      <c r="B44" t="s">
        <v>109</v>
      </c>
    </row>
    <row r="45" spans="2:2" x14ac:dyDescent="0.55000000000000004">
      <c r="B45" t="s">
        <v>110</v>
      </c>
    </row>
    <row r="46" spans="2:2" x14ac:dyDescent="0.55000000000000004">
      <c r="B46" t="s">
        <v>111</v>
      </c>
    </row>
    <row r="47" spans="2:2" x14ac:dyDescent="0.55000000000000004">
      <c r="B47" t="s">
        <v>112</v>
      </c>
    </row>
    <row r="49" spans="1:4" x14ac:dyDescent="0.55000000000000004">
      <c r="A49" t="s">
        <v>61</v>
      </c>
    </row>
    <row r="50" spans="1:4" x14ac:dyDescent="0.55000000000000004">
      <c r="B50" t="s">
        <v>65</v>
      </c>
    </row>
    <row r="52" spans="1:4" x14ac:dyDescent="0.55000000000000004">
      <c r="A52" t="s">
        <v>120</v>
      </c>
      <c r="B52" s="3"/>
      <c r="C52" s="3"/>
      <c r="D52" s="3"/>
    </row>
    <row r="53" spans="1:4" x14ac:dyDescent="0.55000000000000004">
      <c r="A53" s="22"/>
      <c r="B53" s="3"/>
      <c r="C53" s="3"/>
      <c r="D53" s="3"/>
    </row>
    <row r="54" spans="1:4" x14ac:dyDescent="0.55000000000000004">
      <c r="A54" s="22"/>
      <c r="B54" s="3" t="s">
        <v>116</v>
      </c>
      <c r="C54" s="3"/>
      <c r="D54" s="3"/>
    </row>
    <row r="55" spans="1:4" x14ac:dyDescent="0.55000000000000004">
      <c r="A55" s="22"/>
      <c r="B55" s="3" t="s">
        <v>117</v>
      </c>
      <c r="C55" s="3"/>
      <c r="D55" s="3"/>
    </row>
    <row r="56" spans="1:4" x14ac:dyDescent="0.55000000000000004">
      <c r="A56" s="22"/>
      <c r="B56" s="3" t="s">
        <v>118</v>
      </c>
      <c r="C56" s="3"/>
      <c r="D56" s="3"/>
    </row>
    <row r="57" spans="1:4" x14ac:dyDescent="0.55000000000000004">
      <c r="A57" s="22"/>
      <c r="B57" s="3" t="s">
        <v>119</v>
      </c>
      <c r="C57" s="3"/>
      <c r="D57" s="3"/>
    </row>
    <row r="59" spans="1:4" x14ac:dyDescent="0.55000000000000004">
      <c r="B59" s="3" t="s">
        <v>127</v>
      </c>
    </row>
    <row r="60" spans="1:4" x14ac:dyDescent="0.55000000000000004">
      <c r="C60" s="3" t="s">
        <v>126</v>
      </c>
    </row>
    <row r="61" spans="1:4" x14ac:dyDescent="0.55000000000000004">
      <c r="C61" s="3" t="s">
        <v>121</v>
      </c>
    </row>
    <row r="62" spans="1:4" x14ac:dyDescent="0.55000000000000004">
      <c r="C62" s="3" t="s">
        <v>122</v>
      </c>
    </row>
    <row r="63" spans="1:4" x14ac:dyDescent="0.55000000000000004">
      <c r="C63" s="3" t="s">
        <v>123</v>
      </c>
    </row>
    <row r="64" spans="1:4" x14ac:dyDescent="0.55000000000000004">
      <c r="C64" s="3" t="s">
        <v>124</v>
      </c>
    </row>
    <row r="65" spans="1:3" x14ac:dyDescent="0.55000000000000004">
      <c r="C65" s="3" t="s">
        <v>125</v>
      </c>
    </row>
    <row r="66" spans="1:3" x14ac:dyDescent="0.55000000000000004">
      <c r="C66" s="3" t="s">
        <v>11</v>
      </c>
    </row>
    <row r="68" spans="1:3" x14ac:dyDescent="0.55000000000000004">
      <c r="A68" t="s">
        <v>58</v>
      </c>
    </row>
    <row r="69" spans="1:3" x14ac:dyDescent="0.55000000000000004">
      <c r="A69" t="s">
        <v>91</v>
      </c>
    </row>
    <row r="71" spans="1:3" x14ac:dyDescent="0.55000000000000004">
      <c r="A71" t="s">
        <v>94</v>
      </c>
    </row>
    <row r="72" spans="1:3" x14ac:dyDescent="0.55000000000000004">
      <c r="A72" t="s">
        <v>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9" activePane="bottomRight" state="frozen"/>
      <selection pane="topRight" activeCell="B1" sqref="B1"/>
      <selection pane="bottomLeft" activeCell="A3" sqref="A3"/>
      <selection pane="bottomRight" activeCell="R104" sqref="R104"/>
    </sheetView>
  </sheetViews>
  <sheetFormatPr defaultRowHeight="14.4" x14ac:dyDescent="0.55000000000000004"/>
  <cols>
    <col min="1" max="1" width="11.578125" bestFit="1" customWidth="1"/>
  </cols>
  <sheetData>
    <row r="1" spans="1:39" x14ac:dyDescent="0.55000000000000004">
      <c r="A1" s="18" t="s">
        <v>0</v>
      </c>
      <c r="B1" s="26" t="s">
        <v>20</v>
      </c>
      <c r="C1" s="26"/>
      <c r="D1" s="26" t="s">
        <v>21</v>
      </c>
      <c r="E1" s="26"/>
      <c r="F1" s="26" t="s">
        <v>22</v>
      </c>
      <c r="G1" s="26"/>
      <c r="H1" s="26" t="s">
        <v>23</v>
      </c>
      <c r="I1" s="26"/>
      <c r="J1" s="26" t="s">
        <v>24</v>
      </c>
      <c r="K1" s="26"/>
      <c r="L1" s="26" t="s">
        <v>25</v>
      </c>
      <c r="M1" s="26"/>
      <c r="N1" s="26" t="s">
        <v>26</v>
      </c>
      <c r="O1" s="26"/>
      <c r="P1" s="26" t="s">
        <v>27</v>
      </c>
      <c r="Q1" s="26"/>
      <c r="R1" s="26" t="s">
        <v>28</v>
      </c>
      <c r="S1" s="26"/>
      <c r="T1" s="26" t="s">
        <v>57</v>
      </c>
      <c r="U1" s="26"/>
      <c r="V1" s="26" t="s">
        <v>29</v>
      </c>
      <c r="W1" s="26"/>
      <c r="X1" s="26" t="s">
        <v>30</v>
      </c>
      <c r="Y1" s="26"/>
      <c r="Z1" s="26" t="s">
        <v>31</v>
      </c>
      <c r="AA1" s="26"/>
      <c r="AB1" s="26" t="s">
        <v>32</v>
      </c>
      <c r="AC1" s="26"/>
      <c r="AD1" s="26" t="s">
        <v>33</v>
      </c>
      <c r="AE1" s="26"/>
      <c r="AF1" s="19" t="s">
        <v>34</v>
      </c>
      <c r="AG1" s="19"/>
      <c r="AH1" s="26" t="s">
        <v>35</v>
      </c>
      <c r="AI1" s="26"/>
      <c r="AJ1" s="26" t="s">
        <v>36</v>
      </c>
      <c r="AK1" s="26"/>
      <c r="AL1" s="26" t="s">
        <v>93</v>
      </c>
      <c r="AM1" s="26"/>
    </row>
    <row r="2" spans="1:39" x14ac:dyDescent="0.55000000000000004">
      <c r="A2" s="20" t="s">
        <v>92</v>
      </c>
      <c r="B2" s="25" t="s">
        <v>1</v>
      </c>
      <c r="C2" s="25"/>
      <c r="D2" s="25" t="s">
        <v>2</v>
      </c>
      <c r="E2" s="25"/>
      <c r="F2" s="25" t="s">
        <v>3</v>
      </c>
      <c r="G2" s="25"/>
      <c r="H2" s="25" t="s">
        <v>4</v>
      </c>
      <c r="I2" s="25"/>
      <c r="J2" s="25" t="s">
        <v>5</v>
      </c>
      <c r="K2" s="25"/>
      <c r="L2" s="25" t="s">
        <v>6</v>
      </c>
      <c r="M2" s="25"/>
      <c r="N2" s="25" t="s">
        <v>7</v>
      </c>
      <c r="O2" s="25"/>
      <c r="P2" s="25" t="s">
        <v>8</v>
      </c>
      <c r="Q2" s="25"/>
      <c r="R2" s="25" t="s">
        <v>9</v>
      </c>
      <c r="S2" s="25"/>
      <c r="T2" s="25" t="s">
        <v>10</v>
      </c>
      <c r="U2" s="25"/>
      <c r="V2" s="25" t="s">
        <v>11</v>
      </c>
      <c r="W2" s="25"/>
      <c r="X2" s="25" t="s">
        <v>12</v>
      </c>
      <c r="Y2" s="25"/>
      <c r="Z2" s="25" t="s">
        <v>13</v>
      </c>
      <c r="AA2" s="25"/>
      <c r="AB2" s="25" t="s">
        <v>14</v>
      </c>
      <c r="AC2" s="25"/>
      <c r="AD2" s="25" t="s">
        <v>15</v>
      </c>
      <c r="AE2" s="25"/>
      <c r="AF2" s="25" t="s">
        <v>16</v>
      </c>
      <c r="AG2" s="25"/>
      <c r="AH2" s="25" t="s">
        <v>17</v>
      </c>
      <c r="AI2" s="25"/>
      <c r="AJ2" s="25" t="s">
        <v>18</v>
      </c>
      <c r="AK2" s="25"/>
      <c r="AL2" s="25" t="s">
        <v>19</v>
      </c>
      <c r="AM2" s="25"/>
    </row>
    <row r="3" spans="1:39" x14ac:dyDescent="0.55000000000000004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55000000000000004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55000000000000004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55000000000000004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55000000000000004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55000000000000004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55000000000000004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55000000000000004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55000000000000004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55000000000000004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55000000000000004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55000000000000004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55000000000000004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55000000000000004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55000000000000004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55000000000000004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55000000000000004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55000000000000004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55000000000000004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55000000000000004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55000000000000004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55000000000000004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55000000000000004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55000000000000004">
      <c r="A26" s="7"/>
      <c r="AL26" s="3"/>
      <c r="AM26" s="3"/>
    </row>
    <row r="27" spans="1:39" x14ac:dyDescent="0.55000000000000004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55000000000000004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55000000000000004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55000000000000004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55000000000000004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55000000000000004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55000000000000004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55000000000000004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55000000000000004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55000000000000004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55000000000000004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55000000000000004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55000000000000004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55000000000000004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55000000000000004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55000000000000004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55000000000000004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55000000000000004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55000000000000004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55000000000000004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55000000000000004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55000000000000004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55000000000000004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55000000000000004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55000000000000004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55000000000000004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55000000000000004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55000000000000004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55000000000000004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55000000000000004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55000000000000004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55000000000000004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55000000000000004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55000000000000004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55000000000000004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55000000000000004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55000000000000004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55000000000000004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55000000000000004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55000000000000004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55000000000000004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55000000000000004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55000000000000004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55000000000000004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55000000000000004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55000000000000004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55000000000000004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55000000000000004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55000000000000004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55000000000000004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55000000000000004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55000000000000004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55000000000000004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55000000000000004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55000000000000004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55000000000000004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55000000000000004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55000000000000004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55000000000000004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55000000000000004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55000000000000004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55000000000000004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55000000000000004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55000000000000004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55000000000000004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55000000000000004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55000000000000004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55000000000000004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55000000000000004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55000000000000004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55000000000000004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55000000000000004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55000000000000004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55000000000000004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55000000000000004">
      <c r="A101" s="2"/>
    </row>
    <row r="102" spans="1:39" x14ac:dyDescent="0.55000000000000004">
      <c r="A102" s="2"/>
    </row>
    <row r="103" spans="1:39" x14ac:dyDescent="0.55000000000000004">
      <c r="A103" s="2"/>
    </row>
    <row r="104" spans="1:39" x14ac:dyDescent="0.55000000000000004">
      <c r="A104" s="2"/>
    </row>
    <row r="105" spans="1:39" x14ac:dyDescent="0.55000000000000004">
      <c r="A105" s="2"/>
    </row>
    <row r="106" spans="1:39" x14ac:dyDescent="0.55000000000000004">
      <c r="A106" s="2"/>
    </row>
    <row r="107" spans="1:39" x14ac:dyDescent="0.55000000000000004">
      <c r="A107" s="2"/>
    </row>
    <row r="108" spans="1:39" x14ac:dyDescent="0.55000000000000004">
      <c r="A108" s="2"/>
    </row>
    <row r="109" spans="1:39" x14ac:dyDescent="0.55000000000000004">
      <c r="A109" s="2"/>
    </row>
    <row r="110" spans="1:39" x14ac:dyDescent="0.55000000000000004">
      <c r="A110" s="2"/>
    </row>
    <row r="111" spans="1:39" x14ac:dyDescent="0.55000000000000004">
      <c r="A111" s="2"/>
    </row>
    <row r="112" spans="1:39" x14ac:dyDescent="0.55000000000000004">
      <c r="A112" s="2"/>
    </row>
    <row r="113" spans="1:1" x14ac:dyDescent="0.55000000000000004">
      <c r="A113" s="2"/>
    </row>
    <row r="114" spans="1:1" x14ac:dyDescent="0.55000000000000004">
      <c r="A114" s="2"/>
    </row>
    <row r="115" spans="1:1" x14ac:dyDescent="0.55000000000000004">
      <c r="A115" s="2"/>
    </row>
    <row r="116" spans="1:1" x14ac:dyDescent="0.55000000000000004">
      <c r="A116" s="2"/>
    </row>
  </sheetData>
  <mergeCells count="37">
    <mergeCell ref="AH1:AI1"/>
    <mergeCell ref="AJ1:AK1"/>
    <mergeCell ref="AL1:AM1"/>
    <mergeCell ref="T1:U1"/>
    <mergeCell ref="V1:W1"/>
    <mergeCell ref="X1:Y1"/>
    <mergeCell ref="Z1:AA1"/>
    <mergeCell ref="AB1:AC1"/>
    <mergeCell ref="AD1:AE1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31" activePane="bottomRight" state="frozen"/>
      <selection pane="topRight" activeCell="B1" sqref="B1"/>
      <selection pane="bottomLeft" activeCell="A3" sqref="A3"/>
      <selection pane="bottomRight" activeCell="A113" sqref="A113:A176"/>
    </sheetView>
  </sheetViews>
  <sheetFormatPr defaultRowHeight="14.4" x14ac:dyDescent="0.55000000000000004"/>
  <sheetData>
    <row r="1" spans="1:39" x14ac:dyDescent="0.55000000000000004">
      <c r="A1" s="18" t="s">
        <v>0</v>
      </c>
      <c r="B1" s="26" t="s">
        <v>20</v>
      </c>
      <c r="C1" s="26"/>
      <c r="D1" s="26" t="s">
        <v>21</v>
      </c>
      <c r="E1" s="26"/>
      <c r="F1" s="26" t="s">
        <v>22</v>
      </c>
      <c r="G1" s="26"/>
      <c r="H1" s="26" t="s">
        <v>23</v>
      </c>
      <c r="I1" s="26"/>
      <c r="J1" s="26" t="s">
        <v>24</v>
      </c>
      <c r="K1" s="26"/>
      <c r="L1" s="26" t="s">
        <v>25</v>
      </c>
      <c r="M1" s="26"/>
      <c r="N1" s="26" t="s">
        <v>26</v>
      </c>
      <c r="O1" s="26"/>
      <c r="P1" s="26" t="s">
        <v>27</v>
      </c>
      <c r="Q1" s="26"/>
      <c r="R1" s="26" t="s">
        <v>28</v>
      </c>
      <c r="S1" s="26"/>
      <c r="T1" s="26" t="s">
        <v>57</v>
      </c>
      <c r="U1" s="26"/>
      <c r="V1" s="26" t="s">
        <v>29</v>
      </c>
      <c r="W1" s="26"/>
      <c r="X1" s="26" t="s">
        <v>30</v>
      </c>
      <c r="Y1" s="26"/>
      <c r="Z1" s="26" t="s">
        <v>31</v>
      </c>
      <c r="AA1" s="26"/>
      <c r="AB1" s="26" t="s">
        <v>32</v>
      </c>
      <c r="AC1" s="26"/>
      <c r="AD1" s="26" t="s">
        <v>33</v>
      </c>
      <c r="AE1" s="26"/>
      <c r="AF1" s="19" t="s">
        <v>34</v>
      </c>
      <c r="AG1" s="19"/>
      <c r="AH1" s="26" t="s">
        <v>35</v>
      </c>
      <c r="AI1" s="26"/>
      <c r="AJ1" s="26" t="s">
        <v>36</v>
      </c>
      <c r="AK1" s="26"/>
      <c r="AL1" s="26" t="s">
        <v>93</v>
      </c>
      <c r="AM1" s="26"/>
    </row>
    <row r="2" spans="1:39" x14ac:dyDescent="0.55000000000000004">
      <c r="A2" s="20" t="s">
        <v>92</v>
      </c>
      <c r="B2" s="25" t="s">
        <v>1</v>
      </c>
      <c r="C2" s="25"/>
      <c r="D2" s="25" t="s">
        <v>2</v>
      </c>
      <c r="E2" s="25"/>
      <c r="F2" s="25" t="s">
        <v>3</v>
      </c>
      <c r="G2" s="25"/>
      <c r="H2" s="25" t="s">
        <v>4</v>
      </c>
      <c r="I2" s="25"/>
      <c r="J2" s="25" t="s">
        <v>5</v>
      </c>
      <c r="K2" s="25"/>
      <c r="L2" s="25" t="s">
        <v>6</v>
      </c>
      <c r="M2" s="25"/>
      <c r="N2" s="25" t="s">
        <v>7</v>
      </c>
      <c r="O2" s="25"/>
      <c r="P2" s="25" t="s">
        <v>8</v>
      </c>
      <c r="Q2" s="25"/>
      <c r="R2" s="25" t="s">
        <v>9</v>
      </c>
      <c r="S2" s="25"/>
      <c r="T2" s="25" t="s">
        <v>10</v>
      </c>
      <c r="U2" s="25"/>
      <c r="V2" s="25" t="s">
        <v>11</v>
      </c>
      <c r="W2" s="25"/>
      <c r="X2" s="25" t="s">
        <v>12</v>
      </c>
      <c r="Y2" s="25"/>
      <c r="Z2" s="25" t="s">
        <v>13</v>
      </c>
      <c r="AA2" s="25"/>
      <c r="AB2" s="25" t="s">
        <v>14</v>
      </c>
      <c r="AC2" s="25"/>
      <c r="AD2" s="25" t="s">
        <v>15</v>
      </c>
      <c r="AE2" s="25"/>
      <c r="AF2" s="25" t="s">
        <v>16</v>
      </c>
      <c r="AG2" s="25"/>
      <c r="AH2" s="25" t="s">
        <v>17</v>
      </c>
      <c r="AI2" s="25"/>
      <c r="AJ2" s="25" t="s">
        <v>18</v>
      </c>
      <c r="AK2" s="25"/>
      <c r="AL2" s="25" t="s">
        <v>19</v>
      </c>
      <c r="AM2" s="25"/>
    </row>
    <row r="3" spans="1:39" x14ac:dyDescent="0.55000000000000004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55000000000000004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55000000000000004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55000000000000004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55000000000000004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55000000000000004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55000000000000004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55000000000000004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55000000000000004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55000000000000004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55000000000000004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55000000000000004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55000000000000004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55000000000000004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55000000000000004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55000000000000004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55000000000000004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55000000000000004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55000000000000004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55000000000000004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55000000000000004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55000000000000004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55000000000000004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55000000000000004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55000000000000004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55000000000000004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55000000000000004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55000000000000004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55000000000000004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55000000000000004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55000000000000004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55000000000000004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55000000000000004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55000000000000004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55000000000000004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55000000000000004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55000000000000004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55000000000000004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55000000000000004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55000000000000004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55000000000000004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55000000000000004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55000000000000004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55000000000000004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55000000000000004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55000000000000004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55000000000000004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55000000000000004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55000000000000004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55000000000000004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55000000000000004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55000000000000004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55000000000000004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55000000000000004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55000000000000004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55000000000000004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55000000000000004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55000000000000004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55000000000000004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55000000000000004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55000000000000004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55000000000000004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55000000000000004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55000000000000004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55000000000000004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55000000000000004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55000000000000004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55000000000000004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55000000000000004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55000000000000004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55000000000000004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55000000000000004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55000000000000004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55000000000000004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55000000000000004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55000000000000004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55000000000000004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55000000000000004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55000000000000004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55000000000000004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55000000000000004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55000000000000004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55000000000000004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55000000000000004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55000000000000004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55000000000000004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55000000000000004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55000000000000004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55000000000000004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55000000000000004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55000000000000004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55000000000000004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55000000000000004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55000000000000004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55000000000000004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55000000000000004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55000000000000004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55000000000000004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55000000000000004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55000000000000004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55000000000000004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/>
      <c r="S103" s="3"/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55000000000000004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/>
      <c r="S104" s="3"/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55000000000000004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/>
      <c r="S105" s="3"/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55000000000000004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/>
      <c r="S106" s="3"/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55000000000000004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/>
      <c r="S107" s="3"/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55000000000000004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/>
      <c r="S108" s="3"/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55000000000000004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/>
      <c r="S109" s="3"/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55000000000000004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/>
      <c r="S110" s="3"/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55000000000000004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/>
      <c r="S111" s="3"/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55000000000000004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/>
      <c r="S112" s="3"/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55000000000000004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/>
      <c r="S113" s="3"/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55000000000000004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/>
      <c r="S114" s="3"/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55000000000000004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/>
      <c r="S115" s="3"/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55000000000000004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/>
      <c r="S116" s="3"/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55000000000000004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/>
      <c r="S117" s="3"/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55000000000000004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/>
      <c r="S118" s="3"/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55000000000000004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/>
      <c r="S119" s="3"/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55000000000000004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/>
      <c r="S120" s="3"/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55000000000000004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/>
      <c r="S121" s="3"/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55000000000000004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/>
      <c r="S122" s="3"/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55000000000000004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/>
      <c r="S123" s="3"/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55000000000000004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/>
      <c r="S124" s="3"/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55000000000000004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/>
      <c r="S125" s="3"/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55000000000000004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/>
      <c r="S126" s="3"/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55000000000000004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/>
      <c r="S127" s="3"/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55000000000000004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/>
      <c r="S128" s="3"/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55000000000000004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/>
      <c r="S129" s="3"/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55000000000000004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/>
      <c r="S130" s="3"/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55000000000000004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/>
      <c r="S131" s="3"/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55000000000000004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/>
      <c r="S132" s="3"/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55000000000000004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/>
      <c r="S133" s="3"/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55000000000000004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/>
      <c r="S134" s="3"/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55000000000000004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/>
      <c r="S135" s="3"/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55000000000000004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/>
      <c r="S136" s="3"/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55000000000000004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/>
      <c r="S137" s="3"/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55000000000000004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/>
      <c r="S138" s="3"/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55000000000000004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/>
      <c r="S139" s="3"/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55000000000000004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/>
      <c r="S140" s="3"/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55000000000000004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/>
      <c r="S141" s="3"/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55000000000000004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/>
      <c r="S142" s="3"/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55000000000000004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/>
      <c r="S143" s="3"/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55000000000000004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/>
      <c r="S144" s="3"/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55000000000000004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/>
      <c r="S145" s="3"/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55000000000000004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/>
      <c r="S146" s="3"/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55000000000000004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/>
      <c r="S147" s="3"/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55000000000000004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/>
      <c r="S148" s="3"/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55000000000000004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/>
      <c r="S149" s="3"/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55000000000000004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/>
      <c r="S150" s="3"/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55000000000000004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/>
      <c r="S151" s="3"/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55000000000000004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/>
      <c r="S152" s="3"/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55000000000000004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/>
      <c r="S153" s="3"/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55000000000000004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/>
      <c r="S154" s="3"/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55000000000000004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/>
      <c r="S155" s="3"/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55000000000000004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/>
      <c r="S156" s="3"/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55000000000000004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/>
      <c r="S157" s="3"/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55000000000000004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/>
      <c r="S158" s="3"/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55000000000000004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/>
      <c r="S159" s="3"/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55000000000000004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/>
      <c r="S160" s="3"/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55000000000000004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/>
      <c r="S161" s="3"/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55000000000000004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/>
      <c r="S162" s="3"/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55000000000000004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/>
      <c r="S163" s="3"/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55000000000000004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/>
      <c r="S164" s="3"/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55000000000000004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/>
      <c r="S165" s="3"/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55000000000000004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/>
      <c r="S166" s="3"/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55000000000000004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/>
      <c r="S167" s="3"/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55000000000000004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/>
      <c r="S168" s="3"/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55000000000000004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/>
      <c r="S169" s="3"/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55000000000000004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/>
      <c r="S170" s="3"/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55000000000000004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/>
      <c r="S171" s="3"/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55000000000000004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/>
      <c r="S172" s="3"/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55000000000000004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/>
      <c r="S173" s="3"/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55000000000000004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/>
      <c r="S174" s="3"/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55000000000000004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/>
      <c r="S175" s="3"/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55000000000000004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/>
      <c r="S176" s="3"/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AL2:AM2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L1:M1"/>
    <mergeCell ref="B1:C1"/>
    <mergeCell ref="D1:E1"/>
    <mergeCell ref="F1:G1"/>
    <mergeCell ref="H1:I1"/>
    <mergeCell ref="J1:K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L32" sqref="AL32"/>
    </sheetView>
  </sheetViews>
  <sheetFormatPr defaultRowHeight="14.4" x14ac:dyDescent="0.55000000000000004"/>
  <sheetData>
    <row r="1" spans="1:10" x14ac:dyDescent="0.55000000000000004">
      <c r="B1" s="24" t="s">
        <v>115</v>
      </c>
      <c r="C1" s="24"/>
      <c r="D1" s="24" t="s">
        <v>75</v>
      </c>
      <c r="E1" s="24"/>
    </row>
    <row r="2" spans="1:10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55000000000000004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55000000000000004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55000000000000004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55000000000000004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55000000000000004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55000000000000004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55000000000000004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55000000000000004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55000000000000004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55000000000000004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55000000000000004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55000000000000004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55000000000000004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55000000000000004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55000000000000004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55000000000000004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55000000000000004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55000000000000004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55000000000000004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55000000000000004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55000000000000004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55000000000000004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55000000000000004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55000000000000004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55000000000000004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55000000000000004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55000000000000004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55000000000000004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55000000000000004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55000000000000004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55000000000000004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55000000000000004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55000000000000004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55000000000000004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55000000000000004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55000000000000004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55000000000000004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55000000000000004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55000000000000004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55000000000000004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55000000000000004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55000000000000004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55000000000000004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55000000000000004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55000000000000004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55000000000000004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55000000000000004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55000000000000004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55000000000000004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55000000000000004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55000000000000004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55000000000000004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55000000000000004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55000000000000004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55000000000000004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55000000000000004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55000000000000004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55000000000000004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55000000000000004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55000000000000004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55000000000000004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55000000000000004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55000000000000004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55000000000000004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55000000000000004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55000000000000004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55000000000000004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55000000000000004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55000000000000004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55000000000000004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55000000000000004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55000000000000004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55000000000000004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55000000000000004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55000000000000004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55000000000000004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55000000000000004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55000000000000004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55000000000000004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55000000000000004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55000000000000004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55000000000000004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55000000000000004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55000000000000004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55000000000000004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55000000000000004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55000000000000004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55000000000000004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55000000000000004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55000000000000004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55000000000000004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55000000000000004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55000000000000004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55000000000000004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55000000000000004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55000000000000004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55000000000000004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55000000000000004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55000000000000004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55000000000000004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55000000000000004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55000000000000004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55000000000000004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55000000000000004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55000000000000004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55000000000000004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55000000000000004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55000000000000004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55000000000000004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55000000000000004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55000000000000004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55000000000000004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55000000000000004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55000000000000004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55000000000000004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55000000000000004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55000000000000004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55000000000000004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55000000000000004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55000000000000004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55000000000000004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55000000000000004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55000000000000004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55000000000000004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55000000000000004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55000000000000004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55000000000000004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55000000000000004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55000000000000004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55000000000000004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55000000000000004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55000000000000004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55000000000000004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55000000000000004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55000000000000004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55000000000000004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55000000000000004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55000000000000004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55000000000000004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55000000000000004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55000000000000004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55000000000000004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55000000000000004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55000000000000004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55000000000000004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55000000000000004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55000000000000004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55000000000000004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55000000000000004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55000000000000004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55000000000000004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55000000000000004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55000000000000004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55000000000000004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55000000000000004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55000000000000004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55000000000000004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55000000000000004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55000000000000004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55000000000000004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55000000000000004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55000000000000004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55000000000000004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55000000000000004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55000000000000004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55000000000000004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55000000000000004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55000000000000004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55000000000000004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55000000000000004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55000000000000004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55000000000000004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55000000000000004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55000000000000004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55000000000000004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55000000000000004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55000000000000004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55000000000000004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55000000000000004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55000000000000004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55000000000000004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55000000000000004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55000000000000004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55000000000000004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55000000000000004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55000000000000004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55000000000000004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55000000000000004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55000000000000004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55000000000000004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55000000000000004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55000000000000004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55000000000000004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55000000000000004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55000000000000004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55000000000000004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55000000000000004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55000000000000004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55000000000000004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55000000000000004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55000000000000004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55000000000000004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55000000000000004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55000000000000004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55000000000000004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55000000000000004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55000000000000004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55000000000000004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55000000000000004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55000000000000004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55000000000000004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55000000000000004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55000000000000004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55000000000000004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55000000000000004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55000000000000004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55000000000000004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55000000000000004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55000000000000004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55000000000000004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55000000000000004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55000000000000004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55000000000000004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55000000000000004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55000000000000004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55000000000000004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55000000000000004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55000000000000004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55000000000000004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55000000000000004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55000000000000004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55000000000000004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55000000000000004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55000000000000004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55000000000000004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55000000000000004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55000000000000004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55000000000000004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55000000000000004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55000000000000004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55000000000000004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55000000000000004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55000000000000004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55000000000000004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55000000000000004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55000000000000004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55000000000000004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55000000000000004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55000000000000004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55000000000000004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55000000000000004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55000000000000004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55000000000000004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55000000000000004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55000000000000004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55000000000000004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55000000000000004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55000000000000004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55000000000000004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55000000000000004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55000000000000004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55000000000000004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55000000000000004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55000000000000004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55000000000000004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55000000000000004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55000000000000004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55000000000000004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55000000000000004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55000000000000004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55000000000000004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55000000000000004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55000000000000004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55000000000000004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55000000000000004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55000000000000004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55000000000000004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55000000000000004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55000000000000004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55000000000000004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55000000000000004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55000000000000004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55000000000000004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55000000000000004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55000000000000004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55000000000000004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55000000000000004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55000000000000004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55000000000000004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55000000000000004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55000000000000004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55000000000000004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55000000000000004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55000000000000004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55000000000000004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55000000000000004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55000000000000004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55000000000000004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55000000000000004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55000000000000004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55000000000000004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55000000000000004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55000000000000004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55000000000000004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55000000000000004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55000000000000004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55000000000000004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55000000000000004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55000000000000004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55000000000000004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55000000000000004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55000000000000004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55000000000000004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55000000000000004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55000000000000004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4.4" x14ac:dyDescent="0.55000000000000004"/>
  <cols>
    <col min="2" max="2" width="5" bestFit="1" customWidth="1"/>
    <col min="3" max="3" width="13.83984375" bestFit="1" customWidth="1"/>
    <col min="4" max="4" width="11.578125" bestFit="1" customWidth="1"/>
    <col min="5" max="5" width="4.578125" bestFit="1" customWidth="1"/>
  </cols>
  <sheetData>
    <row r="1" spans="2:5" x14ac:dyDescent="0.55000000000000004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55000000000000004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55000000000000004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55000000000000004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55000000000000004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55000000000000004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55000000000000004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55000000000000004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55000000000000004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55000000000000004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55000000000000004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55000000000000004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55000000000000004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55000000000000004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55000000000000004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55000000000000004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55000000000000004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55000000000000004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55000000000000004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55000000000000004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55000000000000004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55000000000000004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55000000000000004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55000000000000004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55000000000000004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55000000000000004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55000000000000004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55000000000000004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55000000000000004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55000000000000004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55000000000000004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55000000000000004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55000000000000004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55000000000000004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55000000000000004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55000000000000004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55000000000000004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55000000000000004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55000000000000004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55000000000000004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55000000000000004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55000000000000004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55000000000000004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55000000000000004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55000000000000004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55000000000000004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55000000000000004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55000000000000004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55000000000000004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55000000000000004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55000000000000004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55000000000000004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55000000000000004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55000000000000004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55000000000000004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55000000000000004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55000000000000004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55000000000000004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55000000000000004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55000000000000004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55000000000000004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55000000000000004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55000000000000004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55000000000000004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55000000000000004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55000000000000004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55000000000000004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55000000000000004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55000000000000004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55000000000000004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55000000000000004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55000000000000004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55000000000000004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55000000000000004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55000000000000004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55000000000000004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55000000000000004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55000000000000004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55000000000000004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55000000000000004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55000000000000004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55000000000000004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55000000000000004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55000000000000004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55000000000000004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55000000000000004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55000000000000004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55000000000000004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55000000000000004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55000000000000004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55000000000000004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55000000000000004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55000000000000004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55000000000000004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55000000000000004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55000000000000004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55000000000000004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55000000000000004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55000000000000004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55000000000000004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55000000000000004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55000000000000004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55000000000000004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55000000000000004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55000000000000004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55000000000000004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55000000000000004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55000000000000004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55000000000000004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55000000000000004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55000000000000004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55000000000000004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55000000000000004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55000000000000004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55000000000000004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55000000000000004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55000000000000004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55000000000000004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55000000000000004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55000000000000004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55000000000000004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55000000000000004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55000000000000004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55000000000000004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55000000000000004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55000000000000004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55000000000000004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55000000000000004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55000000000000004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55000000000000004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55000000000000004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55000000000000004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55000000000000004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55000000000000004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55000000000000004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55000000000000004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55000000000000004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55000000000000004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55000000000000004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55000000000000004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55000000000000004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55000000000000004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55000000000000004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55000000000000004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55000000000000004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H86"/>
  <sheetViews>
    <sheetView workbookViewId="0">
      <selection sqref="A1:H2"/>
    </sheetView>
  </sheetViews>
  <sheetFormatPr defaultRowHeight="14.4" x14ac:dyDescent="0.55000000000000004"/>
  <sheetData>
    <row r="1" spans="1:8" x14ac:dyDescent="0.55000000000000004">
      <c r="B1" s="24" t="s">
        <v>100</v>
      </c>
      <c r="C1" s="24"/>
      <c r="D1" s="24" t="s">
        <v>75</v>
      </c>
      <c r="E1" s="24"/>
    </row>
    <row r="2" spans="1:8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</row>
    <row r="3" spans="1:8" x14ac:dyDescent="0.55000000000000004">
      <c r="A3" s="1">
        <v>1940</v>
      </c>
      <c r="B3" s="21">
        <v>44.447000000000003</v>
      </c>
      <c r="C3" s="21">
        <v>20.672999999999998</v>
      </c>
    </row>
    <row r="4" spans="1:8" x14ac:dyDescent="0.55000000000000004">
      <c r="A4" s="1">
        <v>1941</v>
      </c>
      <c r="B4" s="21">
        <v>44.607999999999997</v>
      </c>
      <c r="C4" s="21">
        <v>20.631</v>
      </c>
    </row>
    <row r="5" spans="1:8" x14ac:dyDescent="0.55000000000000004">
      <c r="A5" s="1">
        <v>1942</v>
      </c>
      <c r="B5" s="21">
        <v>44.91</v>
      </c>
      <c r="C5" s="21">
        <v>20.552</v>
      </c>
    </row>
    <row r="6" spans="1:8" x14ac:dyDescent="0.55000000000000004">
      <c r="A6" s="1">
        <v>1943</v>
      </c>
      <c r="B6" s="21">
        <v>45.396999999999998</v>
      </c>
      <c r="C6" s="21">
        <v>20.425999999999998</v>
      </c>
    </row>
    <row r="7" spans="1:8" x14ac:dyDescent="0.55000000000000004">
      <c r="A7" s="1">
        <v>1944</v>
      </c>
      <c r="B7" s="21">
        <v>46.04</v>
      </c>
      <c r="C7" s="21">
        <v>20.245000000000001</v>
      </c>
    </row>
    <row r="8" spans="1:8" x14ac:dyDescent="0.55000000000000004">
      <c r="A8" s="1">
        <v>1945</v>
      </c>
      <c r="B8" s="21">
        <v>47.201999999999998</v>
      </c>
      <c r="C8" s="21">
        <v>20.048999999999999</v>
      </c>
    </row>
    <row r="9" spans="1:8" x14ac:dyDescent="0.55000000000000004">
      <c r="A9" s="1">
        <v>1946</v>
      </c>
      <c r="B9" s="21">
        <v>47.566000000000003</v>
      </c>
      <c r="C9" s="21">
        <v>19.7</v>
      </c>
    </row>
    <row r="10" spans="1:8" x14ac:dyDescent="0.55000000000000004">
      <c r="A10" s="1">
        <v>1947</v>
      </c>
      <c r="B10" s="21">
        <v>47.484999999999999</v>
      </c>
      <c r="C10" s="21">
        <v>19.239000000000001</v>
      </c>
    </row>
    <row r="11" spans="1:8" x14ac:dyDescent="0.55000000000000004">
      <c r="A11" s="1">
        <v>1948</v>
      </c>
      <c r="B11" s="21">
        <v>46.917999999999999</v>
      </c>
      <c r="C11" s="21">
        <v>18.663</v>
      </c>
    </row>
    <row r="12" spans="1:8" x14ac:dyDescent="0.55000000000000004">
      <c r="A12" s="1">
        <v>1949</v>
      </c>
      <c r="B12" s="21">
        <v>45.920999999999999</v>
      </c>
      <c r="C12" s="21">
        <v>17.992999999999999</v>
      </c>
    </row>
    <row r="13" spans="1:8" x14ac:dyDescent="0.55000000000000004">
      <c r="A13" s="1">
        <v>1950</v>
      </c>
      <c r="B13" s="21">
        <v>44.078000000000003</v>
      </c>
      <c r="C13" s="21">
        <v>17.081</v>
      </c>
      <c r="D13" s="3">
        <v>43</v>
      </c>
      <c r="E13" s="3">
        <v>25.8</v>
      </c>
    </row>
    <row r="14" spans="1:8" x14ac:dyDescent="0.55000000000000004">
      <c r="A14" s="1">
        <v>1951</v>
      </c>
      <c r="B14" s="21">
        <v>42.966000000000001</v>
      </c>
      <c r="C14" s="21">
        <v>16.492999999999999</v>
      </c>
      <c r="D14" s="3">
        <v>43</v>
      </c>
      <c r="E14" s="3">
        <v>25.5</v>
      </c>
    </row>
    <row r="15" spans="1:8" x14ac:dyDescent="0.55000000000000004">
      <c r="A15" s="1">
        <v>1952</v>
      </c>
      <c r="B15" s="21">
        <v>42.142000000000003</v>
      </c>
      <c r="C15" s="21">
        <v>16.064</v>
      </c>
      <c r="D15" s="3">
        <v>43</v>
      </c>
      <c r="E15" s="3">
        <v>25.2</v>
      </c>
    </row>
    <row r="16" spans="1:8" x14ac:dyDescent="0.55000000000000004">
      <c r="A16" s="1">
        <v>1953</v>
      </c>
      <c r="B16" s="21">
        <v>41.631</v>
      </c>
      <c r="C16" s="21">
        <v>15.798</v>
      </c>
      <c r="D16" s="3">
        <v>43.2</v>
      </c>
      <c r="E16" s="3">
        <v>24.8</v>
      </c>
    </row>
    <row r="17" spans="1:5" x14ac:dyDescent="0.55000000000000004">
      <c r="A17" s="1">
        <v>1954</v>
      </c>
      <c r="B17" s="21">
        <v>41.36</v>
      </c>
      <c r="C17" s="21">
        <v>15.657</v>
      </c>
      <c r="D17" s="3">
        <v>43.3</v>
      </c>
      <c r="E17" s="3">
        <v>24.4</v>
      </c>
    </row>
    <row r="18" spans="1:5" x14ac:dyDescent="0.55000000000000004">
      <c r="A18" s="17">
        <v>1955</v>
      </c>
      <c r="D18" s="3">
        <v>43.5</v>
      </c>
      <c r="E18" s="3">
        <v>24.2</v>
      </c>
    </row>
    <row r="19" spans="1:5" x14ac:dyDescent="0.55000000000000004">
      <c r="A19" s="17">
        <v>1956</v>
      </c>
      <c r="D19" s="3">
        <v>43.5</v>
      </c>
      <c r="E19" s="3">
        <v>23.9</v>
      </c>
    </row>
    <row r="20" spans="1:5" x14ac:dyDescent="0.55000000000000004">
      <c r="A20" s="17">
        <v>1957</v>
      </c>
      <c r="D20" s="3">
        <v>43.7</v>
      </c>
      <c r="E20" s="3">
        <v>23.6</v>
      </c>
    </row>
    <row r="21" spans="1:5" x14ac:dyDescent="0.55000000000000004">
      <c r="A21" s="17">
        <v>1958</v>
      </c>
      <c r="D21" s="3">
        <v>43.8</v>
      </c>
      <c r="E21" s="3">
        <v>23.3</v>
      </c>
    </row>
    <row r="22" spans="1:5" x14ac:dyDescent="0.55000000000000004">
      <c r="A22" s="17">
        <v>1959</v>
      </c>
      <c r="D22" s="3">
        <v>43.9</v>
      </c>
      <c r="E22" s="3">
        <v>23</v>
      </c>
    </row>
    <row r="23" spans="1:5" x14ac:dyDescent="0.55000000000000004">
      <c r="A23" s="17">
        <v>1960</v>
      </c>
      <c r="D23" s="3">
        <v>43.9</v>
      </c>
      <c r="E23" s="3">
        <v>22.7</v>
      </c>
    </row>
    <row r="24" spans="1:5" x14ac:dyDescent="0.55000000000000004">
      <c r="A24" s="17">
        <v>1961</v>
      </c>
      <c r="D24" s="3">
        <v>43.9</v>
      </c>
      <c r="E24" s="3">
        <v>22.4</v>
      </c>
    </row>
    <row r="25" spans="1:5" x14ac:dyDescent="0.55000000000000004">
      <c r="A25" s="17">
        <v>1962</v>
      </c>
      <c r="D25" s="3">
        <v>43.9</v>
      </c>
      <c r="E25" s="3">
        <v>22.1</v>
      </c>
    </row>
    <row r="26" spans="1:5" x14ac:dyDescent="0.55000000000000004">
      <c r="A26" s="17">
        <v>1963</v>
      </c>
      <c r="D26" s="3">
        <v>43.8</v>
      </c>
      <c r="E26" s="3">
        <v>21.7</v>
      </c>
    </row>
    <row r="27" spans="1:5" x14ac:dyDescent="0.55000000000000004">
      <c r="A27" s="17">
        <v>1964</v>
      </c>
      <c r="D27" s="3">
        <v>43.7</v>
      </c>
      <c r="E27" s="3">
        <v>21.4</v>
      </c>
    </row>
    <row r="28" spans="1:5" x14ac:dyDescent="0.55000000000000004">
      <c r="A28" s="17">
        <v>1965</v>
      </c>
      <c r="D28" s="3">
        <v>43.6</v>
      </c>
      <c r="E28" s="3">
        <v>21</v>
      </c>
    </row>
    <row r="29" spans="1:5" x14ac:dyDescent="0.55000000000000004">
      <c r="A29" s="17">
        <v>1966</v>
      </c>
      <c r="D29" s="3">
        <v>43.5</v>
      </c>
      <c r="E29" s="3">
        <v>20.6</v>
      </c>
    </row>
    <row r="30" spans="1:5" x14ac:dyDescent="0.55000000000000004">
      <c r="A30" s="17">
        <v>1967</v>
      </c>
      <c r="D30" s="3">
        <v>43.4</v>
      </c>
      <c r="E30" s="3">
        <v>20.3</v>
      </c>
    </row>
    <row r="31" spans="1:5" x14ac:dyDescent="0.55000000000000004">
      <c r="A31" s="17">
        <v>1968</v>
      </c>
      <c r="D31" s="3">
        <v>43.3</v>
      </c>
      <c r="E31" s="3">
        <v>19.899999999999999</v>
      </c>
    </row>
    <row r="32" spans="1:5" x14ac:dyDescent="0.55000000000000004">
      <c r="A32" s="17">
        <v>1969</v>
      </c>
      <c r="D32" s="3">
        <v>43</v>
      </c>
      <c r="E32" s="3">
        <v>19.5</v>
      </c>
    </row>
    <row r="33" spans="1:5" x14ac:dyDescent="0.55000000000000004">
      <c r="A33" s="17">
        <v>1970</v>
      </c>
      <c r="D33" s="3">
        <v>42.7</v>
      </c>
      <c r="E33" s="3">
        <v>19.2</v>
      </c>
    </row>
    <row r="34" spans="1:5" x14ac:dyDescent="0.55000000000000004">
      <c r="A34" s="17">
        <v>1971</v>
      </c>
      <c r="D34" s="3">
        <v>42.4</v>
      </c>
      <c r="E34" s="3">
        <v>18.8</v>
      </c>
    </row>
    <row r="35" spans="1:5" x14ac:dyDescent="0.55000000000000004">
      <c r="A35" s="17">
        <v>1972</v>
      </c>
      <c r="D35" s="3">
        <v>41.9</v>
      </c>
      <c r="E35" s="3">
        <v>18.5</v>
      </c>
    </row>
    <row r="36" spans="1:5" x14ac:dyDescent="0.55000000000000004">
      <c r="A36" s="17">
        <v>1973</v>
      </c>
      <c r="D36" s="3">
        <v>41.7</v>
      </c>
      <c r="E36" s="3">
        <v>18.100000000000001</v>
      </c>
    </row>
    <row r="37" spans="1:5" x14ac:dyDescent="0.55000000000000004">
      <c r="A37" s="17">
        <v>1974</v>
      </c>
      <c r="D37" s="3">
        <v>41.5</v>
      </c>
      <c r="E37" s="3">
        <v>17.7</v>
      </c>
    </row>
    <row r="38" spans="1:5" x14ac:dyDescent="0.55000000000000004">
      <c r="A38" s="17">
        <v>1975</v>
      </c>
      <c r="D38" s="3">
        <v>41.1</v>
      </c>
      <c r="E38" s="3">
        <v>17.2</v>
      </c>
    </row>
    <row r="39" spans="1:5" x14ac:dyDescent="0.55000000000000004">
      <c r="A39" s="17">
        <v>1976</v>
      </c>
      <c r="D39" s="3">
        <v>41.2</v>
      </c>
      <c r="E39" s="3">
        <v>16.7</v>
      </c>
    </row>
    <row r="40" spans="1:5" x14ac:dyDescent="0.55000000000000004">
      <c r="A40" s="17">
        <v>1977</v>
      </c>
      <c r="D40" s="3">
        <v>40.9</v>
      </c>
      <c r="E40" s="3">
        <v>16.399999999999999</v>
      </c>
    </row>
    <row r="41" spans="1:5" x14ac:dyDescent="0.55000000000000004">
      <c r="A41" s="17">
        <v>1978</v>
      </c>
      <c r="D41" s="3">
        <v>40.5</v>
      </c>
      <c r="E41" s="3">
        <v>16.100000000000001</v>
      </c>
    </row>
    <row r="42" spans="1:5" x14ac:dyDescent="0.55000000000000004">
      <c r="A42" s="17">
        <v>1979</v>
      </c>
      <c r="D42" s="3">
        <v>40.1</v>
      </c>
      <c r="E42" s="3">
        <v>15.7</v>
      </c>
    </row>
    <row r="43" spans="1:5" x14ac:dyDescent="0.55000000000000004">
      <c r="A43" s="17">
        <v>1980</v>
      </c>
      <c r="D43" s="3">
        <v>39.700000000000003</v>
      </c>
      <c r="E43" s="3">
        <v>15.3</v>
      </c>
    </row>
    <row r="44" spans="1:5" x14ac:dyDescent="0.55000000000000004">
      <c r="A44" s="17">
        <v>1981</v>
      </c>
      <c r="D44" s="3">
        <v>39.299999999999997</v>
      </c>
      <c r="E44" s="3">
        <v>15</v>
      </c>
    </row>
    <row r="45" spans="1:5" x14ac:dyDescent="0.55000000000000004">
      <c r="A45" s="17">
        <v>1982</v>
      </c>
      <c r="D45" s="3">
        <v>38.799999999999997</v>
      </c>
      <c r="E45" s="3">
        <v>14.8</v>
      </c>
    </row>
    <row r="46" spans="1:5" x14ac:dyDescent="0.55000000000000004">
      <c r="A46" s="17">
        <v>1983</v>
      </c>
      <c r="D46" s="3">
        <v>38.4</v>
      </c>
      <c r="E46" s="3">
        <v>14.5</v>
      </c>
    </row>
    <row r="47" spans="1:5" x14ac:dyDescent="0.55000000000000004">
      <c r="A47" s="17">
        <v>1984</v>
      </c>
      <c r="D47" s="3">
        <v>38.1</v>
      </c>
      <c r="E47" s="3">
        <v>14.1</v>
      </c>
    </row>
    <row r="48" spans="1:5" x14ac:dyDescent="0.55000000000000004">
      <c r="A48" s="17">
        <v>1985</v>
      </c>
      <c r="D48" s="3">
        <v>37.6</v>
      </c>
      <c r="E48" s="3">
        <v>13.8</v>
      </c>
    </row>
    <row r="49" spans="1:5" x14ac:dyDescent="0.55000000000000004">
      <c r="A49" s="17">
        <v>1986</v>
      </c>
      <c r="D49" s="3">
        <v>37.4</v>
      </c>
      <c r="E49" s="3">
        <v>13.5</v>
      </c>
    </row>
    <row r="50" spans="1:5" x14ac:dyDescent="0.55000000000000004">
      <c r="A50" s="17">
        <v>1987</v>
      </c>
      <c r="D50" s="3">
        <v>37.1</v>
      </c>
      <c r="E50" s="3">
        <v>13.1</v>
      </c>
    </row>
    <row r="51" spans="1:5" x14ac:dyDescent="0.55000000000000004">
      <c r="A51" s="17">
        <v>1988</v>
      </c>
      <c r="D51" s="3">
        <v>36.9</v>
      </c>
      <c r="E51" s="3">
        <v>12.8</v>
      </c>
    </row>
    <row r="52" spans="1:5" x14ac:dyDescent="0.55000000000000004">
      <c r="A52" s="17">
        <v>1989</v>
      </c>
      <c r="D52" s="3">
        <v>36.5</v>
      </c>
      <c r="E52" s="3">
        <v>12.4</v>
      </c>
    </row>
    <row r="53" spans="1:5" x14ac:dyDescent="0.55000000000000004">
      <c r="A53" s="17">
        <v>1990</v>
      </c>
      <c r="D53" s="3">
        <v>36.1</v>
      </c>
      <c r="E53" s="3">
        <v>12</v>
      </c>
    </row>
    <row r="54" spans="1:5" x14ac:dyDescent="0.55000000000000004">
      <c r="A54" s="17">
        <v>1991</v>
      </c>
      <c r="D54" s="3">
        <v>35.700000000000003</v>
      </c>
      <c r="E54" s="3">
        <v>11.7</v>
      </c>
    </row>
    <row r="55" spans="1:5" x14ac:dyDescent="0.55000000000000004">
      <c r="A55" s="17">
        <v>1992</v>
      </c>
      <c r="D55" s="3">
        <v>34.799999999999997</v>
      </c>
      <c r="E55" s="3">
        <v>11.4</v>
      </c>
    </row>
    <row r="56" spans="1:5" x14ac:dyDescent="0.55000000000000004">
      <c r="A56" s="17">
        <v>1993</v>
      </c>
      <c r="D56" s="3">
        <v>34.1</v>
      </c>
      <c r="E56" s="3">
        <v>10.9</v>
      </c>
    </row>
    <row r="57" spans="1:5" x14ac:dyDescent="0.55000000000000004">
      <c r="A57" s="17">
        <v>1994</v>
      </c>
      <c r="D57" s="3">
        <v>33.4</v>
      </c>
      <c r="E57" s="3">
        <v>10.7</v>
      </c>
    </row>
    <row r="58" spans="1:5" x14ac:dyDescent="0.55000000000000004">
      <c r="A58" s="17">
        <v>1995</v>
      </c>
      <c r="D58" s="3">
        <v>32.799999999999997</v>
      </c>
      <c r="E58" s="3">
        <v>10.5</v>
      </c>
    </row>
    <row r="59" spans="1:5" x14ac:dyDescent="0.55000000000000004">
      <c r="A59" s="17">
        <v>1996</v>
      </c>
      <c r="D59" s="3">
        <v>32.299999999999997</v>
      </c>
      <c r="E59" s="3">
        <v>10.3</v>
      </c>
    </row>
    <row r="60" spans="1:5" x14ac:dyDescent="0.55000000000000004">
      <c r="A60" s="17">
        <v>1997</v>
      </c>
      <c r="D60" s="3">
        <v>31.4</v>
      </c>
      <c r="E60" s="3">
        <v>10.199999999999999</v>
      </c>
    </row>
    <row r="61" spans="1:5" x14ac:dyDescent="0.55000000000000004">
      <c r="A61" s="17">
        <v>1998</v>
      </c>
      <c r="D61" s="3">
        <v>31</v>
      </c>
      <c r="E61" s="3">
        <v>10</v>
      </c>
    </row>
    <row r="62" spans="1:5" x14ac:dyDescent="0.55000000000000004">
      <c r="A62" s="17">
        <v>1999</v>
      </c>
      <c r="D62" s="3">
        <v>30.6</v>
      </c>
      <c r="E62" s="3">
        <v>9.9</v>
      </c>
    </row>
    <row r="63" spans="1:5" x14ac:dyDescent="0.55000000000000004">
      <c r="A63" s="17">
        <v>2000</v>
      </c>
      <c r="D63" s="3">
        <v>29.8</v>
      </c>
      <c r="E63" s="3">
        <v>9.6999999999999993</v>
      </c>
    </row>
    <row r="64" spans="1:5" x14ac:dyDescent="0.55000000000000004">
      <c r="A64" s="17">
        <v>2001</v>
      </c>
      <c r="D64" s="3">
        <v>29.1</v>
      </c>
      <c r="E64" s="3">
        <v>9.6</v>
      </c>
    </row>
    <row r="65" spans="1:5" x14ac:dyDescent="0.55000000000000004">
      <c r="A65" s="17">
        <v>2002</v>
      </c>
      <c r="D65" s="3">
        <v>28.5</v>
      </c>
      <c r="E65" s="3">
        <v>9.4</v>
      </c>
    </row>
    <row r="66" spans="1:5" x14ac:dyDescent="0.55000000000000004">
      <c r="A66" s="17">
        <v>2003</v>
      </c>
      <c r="D66" s="3">
        <v>28.1</v>
      </c>
      <c r="E66" s="3">
        <v>9.1</v>
      </c>
    </row>
    <row r="67" spans="1:5" x14ac:dyDescent="0.55000000000000004">
      <c r="A67" s="17">
        <v>2004</v>
      </c>
      <c r="D67" s="3">
        <v>27.7</v>
      </c>
      <c r="E67" s="3">
        <v>9</v>
      </c>
    </row>
    <row r="68" spans="1:5" x14ac:dyDescent="0.55000000000000004">
      <c r="A68" s="17">
        <v>2005</v>
      </c>
      <c r="D68" s="3">
        <v>27.3</v>
      </c>
      <c r="E68" s="3">
        <v>8.8000000000000007</v>
      </c>
    </row>
    <row r="69" spans="1:5" x14ac:dyDescent="0.55000000000000004">
      <c r="A69" s="17">
        <v>2006</v>
      </c>
      <c r="D69" s="3">
        <v>27.3</v>
      </c>
      <c r="E69" s="3">
        <v>8.6</v>
      </c>
    </row>
    <row r="70" spans="1:5" x14ac:dyDescent="0.55000000000000004">
      <c r="A70" s="17">
        <v>2007</v>
      </c>
      <c r="D70" s="3">
        <v>26.9</v>
      </c>
      <c r="E70" s="3">
        <v>8.5</v>
      </c>
    </row>
    <row r="71" spans="1:5" x14ac:dyDescent="0.55000000000000004">
      <c r="A71" s="17">
        <v>2008</v>
      </c>
      <c r="D71" s="3">
        <v>26.4</v>
      </c>
      <c r="E71" s="3">
        <v>8.3000000000000007</v>
      </c>
    </row>
    <row r="72" spans="1:5" x14ac:dyDescent="0.55000000000000004">
      <c r="A72" s="17">
        <v>2009</v>
      </c>
      <c r="D72" s="3">
        <v>26</v>
      </c>
      <c r="E72" s="3">
        <v>8.1999999999999993</v>
      </c>
    </row>
    <row r="73" spans="1:5" x14ac:dyDescent="0.55000000000000004">
      <c r="A73" s="17">
        <v>2010</v>
      </c>
      <c r="D73" s="3">
        <v>25.6</v>
      </c>
      <c r="E73" s="3">
        <v>8</v>
      </c>
    </row>
    <row r="74" spans="1:5" x14ac:dyDescent="0.55000000000000004">
      <c r="A74" s="17">
        <v>2011</v>
      </c>
      <c r="D74" s="3">
        <v>25.2</v>
      </c>
      <c r="E74" s="3">
        <v>7.9</v>
      </c>
    </row>
    <row r="75" spans="1:5" x14ac:dyDescent="0.55000000000000004">
      <c r="A75" s="17">
        <v>2012</v>
      </c>
      <c r="D75" s="3">
        <v>24.8</v>
      </c>
      <c r="E75" s="3">
        <v>7.8</v>
      </c>
    </row>
    <row r="76" spans="1:5" x14ac:dyDescent="0.55000000000000004">
      <c r="A76" s="17">
        <v>2013</v>
      </c>
      <c r="D76" s="3">
        <v>24.4</v>
      </c>
      <c r="E76" s="3">
        <v>7.8</v>
      </c>
    </row>
    <row r="77" spans="1:5" x14ac:dyDescent="0.55000000000000004">
      <c r="A77" s="17">
        <v>2014</v>
      </c>
      <c r="D77" s="3">
        <v>24</v>
      </c>
      <c r="E77" s="3">
        <v>7.7</v>
      </c>
    </row>
    <row r="78" spans="1:5" x14ac:dyDescent="0.55000000000000004">
      <c r="A78" s="17">
        <v>2015</v>
      </c>
      <c r="D78" s="3">
        <v>23.7</v>
      </c>
      <c r="E78" s="3">
        <v>7.7</v>
      </c>
    </row>
    <row r="79" spans="1:5" x14ac:dyDescent="0.55000000000000004">
      <c r="A79" s="17">
        <v>2016</v>
      </c>
      <c r="D79" s="3">
        <v>23.3</v>
      </c>
      <c r="E79" s="3">
        <v>7.6</v>
      </c>
    </row>
    <row r="80" spans="1:5" x14ac:dyDescent="0.55000000000000004">
      <c r="A80" s="17">
        <v>2017</v>
      </c>
      <c r="D80" s="3">
        <v>22.9</v>
      </c>
      <c r="E80" s="3">
        <v>7.6</v>
      </c>
    </row>
    <row r="81" spans="1:5" x14ac:dyDescent="0.55000000000000004">
      <c r="A81" s="17">
        <v>2018</v>
      </c>
      <c r="D81" s="3">
        <v>22.6</v>
      </c>
      <c r="E81" s="3">
        <v>7.6</v>
      </c>
    </row>
    <row r="82" spans="1:5" x14ac:dyDescent="0.55000000000000004">
      <c r="A82" s="17">
        <v>2019</v>
      </c>
      <c r="D82" s="3">
        <v>22.3</v>
      </c>
      <c r="E82" s="3">
        <v>7.6</v>
      </c>
    </row>
    <row r="83" spans="1:5" x14ac:dyDescent="0.55000000000000004">
      <c r="A83" s="17">
        <v>2020</v>
      </c>
      <c r="D83" s="3">
        <v>22</v>
      </c>
      <c r="E83" s="3">
        <v>10.8</v>
      </c>
    </row>
    <row r="84" spans="1:5" x14ac:dyDescent="0.55000000000000004">
      <c r="A84" s="17">
        <v>2021</v>
      </c>
      <c r="D84" s="3">
        <v>21.8</v>
      </c>
      <c r="E84" s="3">
        <v>11.8</v>
      </c>
    </row>
    <row r="85" spans="1:5" x14ac:dyDescent="0.55000000000000004">
      <c r="A85" s="17">
        <v>2022</v>
      </c>
      <c r="D85" s="3">
        <v>21.6</v>
      </c>
      <c r="E85" s="3">
        <v>7.7</v>
      </c>
    </row>
    <row r="86" spans="1:5" x14ac:dyDescent="0.55000000000000004">
      <c r="A86" s="17">
        <v>2023</v>
      </c>
      <c r="D86" s="3">
        <v>21.2</v>
      </c>
      <c r="E86" s="3">
        <v>7.2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4.4" x14ac:dyDescent="0.55000000000000004"/>
  <cols>
    <col min="1" max="1" width="9.15625" style="1"/>
  </cols>
  <sheetData>
    <row r="1" spans="1:13" x14ac:dyDescent="0.55000000000000004">
      <c r="B1" s="24" t="s">
        <v>74</v>
      </c>
      <c r="C1" s="24"/>
      <c r="D1" s="24" t="s">
        <v>75</v>
      </c>
      <c r="E1" s="24"/>
      <c r="G1" s="24" t="s">
        <v>86</v>
      </c>
      <c r="H1" s="24"/>
      <c r="J1" s="24" t="s">
        <v>87</v>
      </c>
      <c r="K1" s="24"/>
      <c r="L1" s="24"/>
      <c r="M1" s="24"/>
    </row>
    <row r="2" spans="1:13" x14ac:dyDescent="0.55000000000000004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55000000000000004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55000000000000004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55000000000000004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55000000000000004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55000000000000004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55000000000000004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55000000000000004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55000000000000004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55000000000000004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55000000000000004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55000000000000004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55000000000000004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55000000000000004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55000000000000004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55000000000000004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55000000000000004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55000000000000004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55000000000000004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55000000000000004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55000000000000004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55000000000000004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55000000000000004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55000000000000004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55000000000000004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55000000000000004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55000000000000004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55000000000000004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55000000000000004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55000000000000004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55000000000000004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55000000000000004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55000000000000004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55000000000000004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55000000000000004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55000000000000004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55000000000000004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55000000000000004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55000000000000004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55000000000000004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55000000000000004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55000000000000004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55000000000000004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55000000000000004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55000000000000004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55000000000000004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55000000000000004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55000000000000004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55000000000000004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55000000000000004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55000000000000004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55000000000000004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55000000000000004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55000000000000004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55000000000000004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55000000000000004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55000000000000004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55000000000000004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55000000000000004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55000000000000004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55000000000000004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55000000000000004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55000000000000004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55000000000000004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55000000000000004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55000000000000004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55000000000000004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55000000000000004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55000000000000004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55000000000000004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55000000000000004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55000000000000004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55000000000000004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55000000000000004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55000000000000004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55000000000000004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55000000000000004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55000000000000004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55000000000000004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55000000000000004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55000000000000004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55000000000000004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55000000000000004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55000000000000004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55000000000000004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55000000000000004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55000000000000004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55000000000000004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55000000000000004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55000000000000004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55000000000000004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55000000000000004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55000000000000004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55000000000000004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55000000000000004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55000000000000004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55000000000000004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55000000000000004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55000000000000004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55000000000000004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55000000000000004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55000000000000004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55000000000000004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55000000000000004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55000000000000004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55000000000000004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55000000000000004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55000000000000004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55000000000000004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55000000000000004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55000000000000004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55000000000000004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55000000000000004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55000000000000004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55000000000000004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55000000000000004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55000000000000004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55000000000000004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55000000000000004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55000000000000004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55000000000000004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55000000000000004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55000000000000004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55000000000000004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55000000000000004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55000000000000004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55000000000000004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55000000000000004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55000000000000004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55000000000000004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55000000000000004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55000000000000004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55000000000000004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55000000000000004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55000000000000004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55000000000000004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55000000000000004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55000000000000004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55000000000000004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55000000000000004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55000000000000004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55000000000000004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55000000000000004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4.4" x14ac:dyDescent="0.55000000000000004"/>
  <cols>
    <col min="1" max="1" width="5" bestFit="1" customWidth="1"/>
    <col min="2" max="2" width="13.41796875" bestFit="1" customWidth="1"/>
    <col min="3" max="3" width="11.4179687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55000000000000004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55000000000000004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55000000000000004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55000000000000004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55000000000000004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55000000000000004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55000000000000004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55000000000000004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55000000000000004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55000000000000004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55000000000000004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55000000000000004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55000000000000004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55000000000000004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55000000000000004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55000000000000004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55000000000000004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55000000000000004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55000000000000004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55000000000000004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55000000000000004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55000000000000004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55000000000000004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55000000000000004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55000000000000004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55000000000000004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55000000000000004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55000000000000004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55000000000000004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55000000000000004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55000000000000004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55000000000000004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55000000000000004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55000000000000004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55000000000000004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55000000000000004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55000000000000004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55000000000000004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55000000000000004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55000000000000004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55000000000000004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55000000000000004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55000000000000004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55000000000000004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55000000000000004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55000000000000004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55000000000000004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55000000000000004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55000000000000004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55000000000000004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55000000000000004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55000000000000004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55000000000000004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55000000000000004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55000000000000004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55000000000000004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55000000000000004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55000000000000004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55000000000000004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55000000000000004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55000000000000004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55000000000000004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55000000000000004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55000000000000004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55000000000000004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55000000000000004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55000000000000004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55000000000000004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55000000000000004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55000000000000004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55000000000000004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55000000000000004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55000000000000004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55000000000000004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55000000000000004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55000000000000004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55000000000000004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55000000000000004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55000000000000004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55000000000000004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55000000000000004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55000000000000004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55000000000000004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55000000000000004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55000000000000004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55000000000000004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55000000000000004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55000000000000004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55000000000000004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55000000000000004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55000000000000004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55000000000000004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55000000000000004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55000000000000004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55000000000000004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55000000000000004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55000000000000004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55000000000000004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55000000000000004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55000000000000004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55000000000000004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55000000000000004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55000000000000004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55000000000000004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55000000000000004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55000000000000004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55000000000000004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55000000000000004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55000000000000004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55000000000000004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55000000000000004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55000000000000004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55000000000000004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55000000000000004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55000000000000004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55000000000000004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55000000000000004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55000000000000004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55000000000000004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55000000000000004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55000000000000004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55000000000000004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55000000000000004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55000000000000004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55000000000000004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55000000000000004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55000000000000004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55000000000000004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55000000000000004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55000000000000004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55000000000000004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55000000000000004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55000000000000004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55000000000000004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55000000000000004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55000000000000004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55000000000000004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55000000000000004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E139"/>
  <sheetViews>
    <sheetView workbookViewId="0">
      <pane xSplit="1" ySplit="2" topLeftCell="B39" activePane="bottomRight" state="frozen"/>
      <selection pane="topRight" activeCell="B1" sqref="B1"/>
      <selection pane="bottomLeft" activeCell="A3" sqref="A3"/>
      <selection pane="bottomRight" activeCell="D1" sqref="D1:E2"/>
    </sheetView>
  </sheetViews>
  <sheetFormatPr defaultRowHeight="14.4" x14ac:dyDescent="0.55000000000000004"/>
  <sheetData>
    <row r="1" spans="1:5" x14ac:dyDescent="0.55000000000000004">
      <c r="B1" s="24" t="s">
        <v>115</v>
      </c>
      <c r="C1" s="24"/>
      <c r="D1" s="24" t="s">
        <v>75</v>
      </c>
      <c r="E1" s="24"/>
    </row>
    <row r="2" spans="1:5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</row>
    <row r="3" spans="1:5" x14ac:dyDescent="0.55000000000000004">
      <c r="A3" s="1">
        <v>1887</v>
      </c>
      <c r="B3" s="21">
        <v>44.4</v>
      </c>
      <c r="C3" s="21">
        <v>32.299999999999997</v>
      </c>
    </row>
    <row r="4" spans="1:5" x14ac:dyDescent="0.55000000000000004">
      <c r="A4" s="1">
        <v>1888</v>
      </c>
      <c r="B4" s="21">
        <v>44.7256</v>
      </c>
      <c r="C4" s="21">
        <v>31.086400000000001</v>
      </c>
    </row>
    <row r="5" spans="1:5" x14ac:dyDescent="0.55000000000000004">
      <c r="A5" s="1">
        <v>1889</v>
      </c>
      <c r="B5" s="21">
        <v>45.024799999999999</v>
      </c>
      <c r="C5" s="21">
        <v>29.9712</v>
      </c>
    </row>
    <row r="6" spans="1:5" x14ac:dyDescent="0.55000000000000004">
      <c r="A6" s="1">
        <v>1890</v>
      </c>
      <c r="B6" s="21">
        <v>45.2712</v>
      </c>
      <c r="C6" s="21">
        <v>29.052800000000001</v>
      </c>
    </row>
    <row r="7" spans="1:5" x14ac:dyDescent="0.55000000000000004">
      <c r="A7" s="1">
        <v>1891</v>
      </c>
      <c r="B7" s="21">
        <v>45.438400000000001</v>
      </c>
      <c r="C7" s="21">
        <v>28.429600000000001</v>
      </c>
    </row>
    <row r="8" spans="1:5" x14ac:dyDescent="0.55000000000000004">
      <c r="A8" s="1">
        <v>1892</v>
      </c>
      <c r="B8" s="21">
        <v>45.5</v>
      </c>
      <c r="C8" s="21">
        <v>28.2</v>
      </c>
    </row>
    <row r="9" spans="1:5" x14ac:dyDescent="0.55000000000000004">
      <c r="A9" s="1">
        <v>1893</v>
      </c>
      <c r="B9" s="21">
        <v>45.304400000000001</v>
      </c>
      <c r="C9" s="21">
        <v>28.3248</v>
      </c>
    </row>
    <row r="10" spans="1:5" x14ac:dyDescent="0.55000000000000004">
      <c r="A10" s="1">
        <v>1894</v>
      </c>
      <c r="B10" s="21">
        <v>44.817100000000003</v>
      </c>
      <c r="C10" s="21">
        <v>28.622399999999999</v>
      </c>
    </row>
    <row r="11" spans="1:5" x14ac:dyDescent="0.55000000000000004">
      <c r="A11" s="1">
        <v>1895</v>
      </c>
      <c r="B11" s="21">
        <v>44.1877</v>
      </c>
      <c r="C11" s="21">
        <v>28.977599999999999</v>
      </c>
    </row>
    <row r="12" spans="1:5" x14ac:dyDescent="0.55000000000000004">
      <c r="A12" s="1">
        <v>1896</v>
      </c>
      <c r="B12" s="21">
        <v>43.5655</v>
      </c>
      <c r="C12" s="21">
        <v>29.275200000000002</v>
      </c>
    </row>
    <row r="13" spans="1:5" x14ac:dyDescent="0.55000000000000004">
      <c r="A13" s="1">
        <v>1897</v>
      </c>
      <c r="B13" s="21">
        <v>43.1</v>
      </c>
      <c r="C13" s="21">
        <v>29.4</v>
      </c>
    </row>
    <row r="14" spans="1:5" x14ac:dyDescent="0.55000000000000004">
      <c r="A14" s="1">
        <v>1898</v>
      </c>
      <c r="B14" s="21">
        <v>42.748899999999999</v>
      </c>
      <c r="C14" s="21">
        <v>29.379200000000001</v>
      </c>
    </row>
    <row r="15" spans="1:5" x14ac:dyDescent="0.55000000000000004">
      <c r="A15" s="1">
        <v>1899</v>
      </c>
      <c r="B15" s="21">
        <v>42.399500000000003</v>
      </c>
      <c r="C15" s="21">
        <v>29.329599999999999</v>
      </c>
    </row>
    <row r="16" spans="1:5" x14ac:dyDescent="0.55000000000000004">
      <c r="A16" s="1">
        <v>1900</v>
      </c>
      <c r="B16" s="21">
        <v>42.095700000000001</v>
      </c>
      <c r="C16" s="21">
        <v>29.270399999999999</v>
      </c>
    </row>
    <row r="17" spans="1:3" x14ac:dyDescent="0.55000000000000004">
      <c r="A17" s="1">
        <v>1901</v>
      </c>
      <c r="B17" s="21">
        <v>41.8812</v>
      </c>
      <c r="C17" s="21">
        <v>29.220800000000001</v>
      </c>
    </row>
    <row r="18" spans="1:3" x14ac:dyDescent="0.55000000000000004">
      <c r="A18" s="1">
        <v>1902</v>
      </c>
      <c r="B18" s="21">
        <v>41.8</v>
      </c>
      <c r="C18" s="21">
        <v>29.2</v>
      </c>
    </row>
    <row r="19" spans="1:3" x14ac:dyDescent="0.55000000000000004">
      <c r="A19" s="1">
        <v>1903</v>
      </c>
      <c r="B19" s="21">
        <v>41.948799999999999</v>
      </c>
      <c r="C19" s="21">
        <v>29.2728</v>
      </c>
    </row>
    <row r="20" spans="1:3" x14ac:dyDescent="0.55000000000000004">
      <c r="A20" s="1">
        <v>1904</v>
      </c>
      <c r="B20" s="21">
        <v>42.318399999999997</v>
      </c>
      <c r="C20" s="21">
        <v>29.446400000000001</v>
      </c>
    </row>
    <row r="21" spans="1:3" x14ac:dyDescent="0.55000000000000004">
      <c r="A21" s="1">
        <v>1905</v>
      </c>
      <c r="B21" s="21">
        <v>42.793599999999998</v>
      </c>
      <c r="C21" s="21">
        <v>29.653600000000001</v>
      </c>
    </row>
    <row r="22" spans="1:3" x14ac:dyDescent="0.55000000000000004">
      <c r="A22" s="1">
        <v>1906</v>
      </c>
      <c r="B22" s="21">
        <v>43.2592</v>
      </c>
      <c r="C22" s="21">
        <v>29.827200000000001</v>
      </c>
    </row>
    <row r="23" spans="1:3" x14ac:dyDescent="0.55000000000000004">
      <c r="A23" s="1">
        <v>1907</v>
      </c>
      <c r="B23" s="21">
        <v>43.6</v>
      </c>
      <c r="C23" s="21">
        <v>29.9</v>
      </c>
    </row>
    <row r="24" spans="1:3" x14ac:dyDescent="0.55000000000000004">
      <c r="A24" s="1">
        <v>1908</v>
      </c>
      <c r="B24" s="21">
        <v>43.847200000000001</v>
      </c>
      <c r="C24" s="21">
        <v>29.733599999999999</v>
      </c>
    </row>
    <row r="25" spans="1:3" x14ac:dyDescent="0.55000000000000004">
      <c r="A25" s="1">
        <v>1909</v>
      </c>
      <c r="B25" s="21">
        <v>44.089599999999997</v>
      </c>
      <c r="C25" s="21">
        <v>29.3368</v>
      </c>
    </row>
    <row r="26" spans="1:3" x14ac:dyDescent="0.55000000000000004">
      <c r="A26" s="1">
        <v>1910</v>
      </c>
      <c r="B26" s="21">
        <v>44.298400000000001</v>
      </c>
      <c r="C26" s="21">
        <v>28.863199999999999</v>
      </c>
    </row>
    <row r="27" spans="1:3" x14ac:dyDescent="0.55000000000000004">
      <c r="A27" s="1">
        <v>1911</v>
      </c>
      <c r="B27" s="21">
        <v>44.444800000000001</v>
      </c>
      <c r="C27" s="21">
        <v>28.4664</v>
      </c>
    </row>
    <row r="28" spans="1:3" x14ac:dyDescent="0.55000000000000004">
      <c r="A28" s="1">
        <v>1912</v>
      </c>
      <c r="B28" s="21">
        <v>44.5</v>
      </c>
      <c r="C28" s="21">
        <v>28.3</v>
      </c>
    </row>
    <row r="29" spans="1:3" x14ac:dyDescent="0.55000000000000004">
      <c r="A29" s="1">
        <v>1913</v>
      </c>
      <c r="B29" s="21">
        <v>44.247900000000001</v>
      </c>
      <c r="C29" s="21">
        <v>28.445599999999999</v>
      </c>
    </row>
    <row r="30" spans="1:3" x14ac:dyDescent="0.55000000000000004">
      <c r="A30" s="1">
        <v>1914</v>
      </c>
      <c r="B30" s="21">
        <v>43.619599999999998</v>
      </c>
      <c r="C30" s="21">
        <v>28.7928</v>
      </c>
    </row>
    <row r="31" spans="1:3" x14ac:dyDescent="0.55000000000000004">
      <c r="A31" s="1">
        <v>1915</v>
      </c>
      <c r="B31" s="21">
        <v>42.807400000000001</v>
      </c>
      <c r="C31" s="21">
        <v>29.2072</v>
      </c>
    </row>
    <row r="32" spans="1:3" x14ac:dyDescent="0.55000000000000004">
      <c r="A32" s="1">
        <v>1916</v>
      </c>
      <c r="B32" s="21">
        <v>42.003500000000003</v>
      </c>
      <c r="C32" s="21">
        <v>29.554400000000001</v>
      </c>
    </row>
    <row r="33" spans="1:3" x14ac:dyDescent="0.55000000000000004">
      <c r="A33" s="1">
        <v>1917</v>
      </c>
      <c r="B33" s="21">
        <v>41.4</v>
      </c>
      <c r="C33" s="21">
        <v>29.7</v>
      </c>
    </row>
    <row r="34" spans="1:3" x14ac:dyDescent="0.55000000000000004">
      <c r="A34" s="1">
        <v>1918</v>
      </c>
      <c r="B34" s="21">
        <v>40.942100000000003</v>
      </c>
      <c r="C34" s="21">
        <v>29.233699999999999</v>
      </c>
    </row>
    <row r="35" spans="1:3" x14ac:dyDescent="0.55000000000000004">
      <c r="A35" s="1">
        <v>1919</v>
      </c>
      <c r="B35" s="21">
        <v>40.485399999999998</v>
      </c>
      <c r="C35" s="21">
        <v>28.0931</v>
      </c>
    </row>
    <row r="36" spans="1:3" x14ac:dyDescent="0.55000000000000004">
      <c r="A36" s="1">
        <v>1920</v>
      </c>
      <c r="B36" s="21">
        <v>40.087600000000002</v>
      </c>
      <c r="C36" s="21">
        <v>26.665700000000001</v>
      </c>
    </row>
    <row r="37" spans="1:3" x14ac:dyDescent="0.55000000000000004">
      <c r="A37" s="1">
        <v>1921</v>
      </c>
      <c r="B37" s="21">
        <v>39.8065</v>
      </c>
      <c r="C37" s="21">
        <v>25.338799999999999</v>
      </c>
    </row>
    <row r="38" spans="1:3" x14ac:dyDescent="0.55000000000000004">
      <c r="A38" s="1">
        <v>1922</v>
      </c>
      <c r="B38" s="21">
        <v>39.700000000000003</v>
      </c>
      <c r="C38" s="21">
        <v>24.5</v>
      </c>
    </row>
    <row r="39" spans="1:3" x14ac:dyDescent="0.55000000000000004">
      <c r="A39" s="1">
        <v>1923</v>
      </c>
      <c r="B39" s="21">
        <v>39.8872</v>
      </c>
      <c r="C39" s="21">
        <v>24.1008</v>
      </c>
    </row>
    <row r="40" spans="1:3" x14ac:dyDescent="0.55000000000000004">
      <c r="A40" s="1">
        <v>1924</v>
      </c>
      <c r="B40" s="21">
        <v>40.333599999999997</v>
      </c>
      <c r="C40" s="21">
        <v>23.801300000000001</v>
      </c>
    </row>
    <row r="41" spans="1:3" x14ac:dyDescent="0.55000000000000004">
      <c r="A41" s="1">
        <v>1925</v>
      </c>
      <c r="B41" s="21">
        <v>40.866399999999999</v>
      </c>
      <c r="C41" s="21">
        <v>23.551300000000001</v>
      </c>
    </row>
    <row r="42" spans="1:3" x14ac:dyDescent="0.55000000000000004">
      <c r="A42" s="1">
        <v>1926</v>
      </c>
      <c r="B42" s="21">
        <v>41.312800000000003</v>
      </c>
      <c r="C42" s="21">
        <v>23.300899999999999</v>
      </c>
    </row>
    <row r="43" spans="1:3" x14ac:dyDescent="0.55000000000000004">
      <c r="A43" s="1">
        <v>1927</v>
      </c>
      <c r="B43" s="21">
        <v>41.5</v>
      </c>
      <c r="C43" s="21">
        <v>23</v>
      </c>
    </row>
    <row r="44" spans="1:3" x14ac:dyDescent="0.55000000000000004">
      <c r="A44" s="1">
        <v>1928</v>
      </c>
      <c r="B44" s="21">
        <v>41.229599999999998</v>
      </c>
      <c r="C44" s="21">
        <v>22.6021</v>
      </c>
    </row>
    <row r="45" spans="1:3" x14ac:dyDescent="0.55000000000000004">
      <c r="A45" s="1">
        <v>1929</v>
      </c>
      <c r="B45" s="21">
        <v>40.584800000000001</v>
      </c>
      <c r="C45" s="21">
        <v>22.137799999999999</v>
      </c>
    </row>
    <row r="46" spans="1:3" x14ac:dyDescent="0.55000000000000004">
      <c r="A46" s="1">
        <v>1930</v>
      </c>
      <c r="B46" s="21">
        <v>39.815199999999997</v>
      </c>
      <c r="C46" s="21">
        <v>21.6724</v>
      </c>
    </row>
    <row r="47" spans="1:3" x14ac:dyDescent="0.55000000000000004">
      <c r="A47" s="1">
        <v>1931</v>
      </c>
      <c r="B47" s="21">
        <v>39.170400000000001</v>
      </c>
      <c r="C47" s="21">
        <v>21.2713</v>
      </c>
    </row>
    <row r="48" spans="1:3" x14ac:dyDescent="0.55000000000000004">
      <c r="A48" s="1">
        <v>1932</v>
      </c>
      <c r="B48" s="21">
        <v>38.9</v>
      </c>
      <c r="C48" s="21">
        <v>21</v>
      </c>
    </row>
    <row r="49" spans="1:3" x14ac:dyDescent="0.55000000000000004">
      <c r="A49" s="1">
        <v>1933</v>
      </c>
      <c r="B49" s="21">
        <v>38.935000000000002</v>
      </c>
      <c r="C49" s="21">
        <v>20.8443</v>
      </c>
    </row>
    <row r="50" spans="1:3" x14ac:dyDescent="0.55000000000000004">
      <c r="A50" s="1">
        <v>1934</v>
      </c>
      <c r="B50" s="21">
        <v>39.0289</v>
      </c>
      <c r="C50" s="21">
        <v>20.730399999999999</v>
      </c>
    </row>
    <row r="51" spans="1:3" x14ac:dyDescent="0.55000000000000004">
      <c r="A51" s="1">
        <v>1935</v>
      </c>
      <c r="B51" s="21">
        <v>39.165399999999998</v>
      </c>
      <c r="C51" s="21">
        <v>20.634399999999999</v>
      </c>
    </row>
    <row r="52" spans="1:3" x14ac:dyDescent="0.55000000000000004">
      <c r="A52" s="1">
        <v>1936</v>
      </c>
      <c r="B52" s="21">
        <v>39.3279</v>
      </c>
      <c r="C52" s="21">
        <v>20.5322</v>
      </c>
    </row>
    <row r="53" spans="1:3" x14ac:dyDescent="0.55000000000000004">
      <c r="A53" s="1">
        <v>1937</v>
      </c>
      <c r="B53" s="21">
        <v>39.5</v>
      </c>
      <c r="C53" s="21">
        <v>20.399999999999999</v>
      </c>
    </row>
    <row r="54" spans="1:3" x14ac:dyDescent="0.55000000000000004">
      <c r="A54" s="1">
        <v>1938</v>
      </c>
      <c r="B54" s="21">
        <v>39.703200000000002</v>
      </c>
      <c r="C54" s="21">
        <v>20.238600000000002</v>
      </c>
    </row>
    <row r="55" spans="1:3" x14ac:dyDescent="0.55000000000000004">
      <c r="A55" s="1">
        <v>1939</v>
      </c>
      <c r="B55" s="21">
        <v>39.963900000000002</v>
      </c>
      <c r="C55" s="21">
        <v>20.058199999999999</v>
      </c>
    </row>
    <row r="56" spans="1:3" x14ac:dyDescent="0.55000000000000004">
      <c r="A56" s="1">
        <v>1940</v>
      </c>
      <c r="B56" s="21">
        <v>40.273000000000003</v>
      </c>
      <c r="C56" s="21">
        <v>19.848400000000002</v>
      </c>
    </row>
    <row r="57" spans="1:3" x14ac:dyDescent="0.55000000000000004">
      <c r="A57" s="1">
        <v>1941</v>
      </c>
      <c r="B57" s="21">
        <v>40.621400000000001</v>
      </c>
      <c r="C57" s="21">
        <v>19.5991</v>
      </c>
    </row>
    <row r="58" spans="1:3" x14ac:dyDescent="0.55000000000000004">
      <c r="A58" s="1">
        <v>1942</v>
      </c>
      <c r="B58" s="21">
        <v>41</v>
      </c>
      <c r="C58" s="21">
        <v>19.3</v>
      </c>
    </row>
    <row r="59" spans="1:3" x14ac:dyDescent="0.55000000000000004">
      <c r="A59" s="1">
        <v>1943</v>
      </c>
      <c r="B59" s="21">
        <v>41.509599999999999</v>
      </c>
      <c r="C59" s="21">
        <v>18.8675</v>
      </c>
    </row>
    <row r="60" spans="1:3" x14ac:dyDescent="0.55000000000000004">
      <c r="A60" s="1">
        <v>1944</v>
      </c>
      <c r="B60" s="21">
        <v>42.171999999999997</v>
      </c>
      <c r="C60" s="21">
        <v>18.267299999999999</v>
      </c>
    </row>
    <row r="61" spans="1:3" x14ac:dyDescent="0.55000000000000004">
      <c r="A61" s="1">
        <v>1945</v>
      </c>
      <c r="B61" s="21">
        <v>42.8596</v>
      </c>
      <c r="C61" s="21">
        <v>17.563400000000001</v>
      </c>
    </row>
    <row r="62" spans="1:3" x14ac:dyDescent="0.55000000000000004">
      <c r="A62" s="1">
        <v>1946</v>
      </c>
      <c r="B62" s="21">
        <v>43.444800000000001</v>
      </c>
      <c r="C62" s="21">
        <v>16.819700000000001</v>
      </c>
    </row>
    <row r="63" spans="1:3" x14ac:dyDescent="0.55000000000000004">
      <c r="A63" s="1">
        <v>1947</v>
      </c>
      <c r="B63" s="21">
        <v>43.8</v>
      </c>
      <c r="C63" s="21">
        <v>16.100000000000001</v>
      </c>
    </row>
    <row r="64" spans="1:3" x14ac:dyDescent="0.55000000000000004">
      <c r="A64" s="1">
        <v>1948</v>
      </c>
      <c r="B64" s="21">
        <v>43.983400000000003</v>
      </c>
      <c r="C64" s="21">
        <v>15.3474</v>
      </c>
    </row>
    <row r="65" spans="1:5" x14ac:dyDescent="0.55000000000000004">
      <c r="A65" s="1">
        <v>1949</v>
      </c>
      <c r="B65" s="21">
        <v>44.137</v>
      </c>
      <c r="C65" s="21">
        <v>14.517899999999999</v>
      </c>
    </row>
    <row r="66" spans="1:5" x14ac:dyDescent="0.55000000000000004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</row>
    <row r="67" spans="1:5" x14ac:dyDescent="0.55000000000000004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</row>
    <row r="68" spans="1:5" x14ac:dyDescent="0.55000000000000004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</row>
    <row r="69" spans="1:5" x14ac:dyDescent="0.55000000000000004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</row>
    <row r="70" spans="1:5" x14ac:dyDescent="0.55000000000000004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</row>
    <row r="71" spans="1:5" x14ac:dyDescent="0.55000000000000004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</row>
    <row r="72" spans="1:5" x14ac:dyDescent="0.55000000000000004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</row>
    <row r="73" spans="1:5" x14ac:dyDescent="0.55000000000000004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</row>
    <row r="74" spans="1:5" x14ac:dyDescent="0.55000000000000004">
      <c r="A74" s="1">
        <f>A73+1</f>
        <v>1958</v>
      </c>
      <c r="D74" s="3">
        <v>46.8</v>
      </c>
      <c r="E74" s="3">
        <v>10.9</v>
      </c>
    </row>
    <row r="75" spans="1:5" x14ac:dyDescent="0.55000000000000004">
      <c r="A75" s="1">
        <f t="shared" ref="A75:A138" si="0">A74+1</f>
        <v>1959</v>
      </c>
      <c r="D75" s="3">
        <v>45.7</v>
      </c>
      <c r="E75" s="3">
        <v>10.5</v>
      </c>
    </row>
    <row r="76" spans="1:5" x14ac:dyDescent="0.55000000000000004">
      <c r="A76" s="1">
        <f t="shared" si="0"/>
        <v>1960</v>
      </c>
      <c r="D76" s="3">
        <v>45</v>
      </c>
      <c r="E76" s="3">
        <v>10</v>
      </c>
    </row>
    <row r="77" spans="1:5" x14ac:dyDescent="0.55000000000000004">
      <c r="A77" s="1">
        <f t="shared" si="0"/>
        <v>1961</v>
      </c>
      <c r="D77" s="3">
        <v>44.1</v>
      </c>
      <c r="E77" s="3">
        <v>9.6</v>
      </c>
    </row>
    <row r="78" spans="1:5" x14ac:dyDescent="0.55000000000000004">
      <c r="A78" s="1">
        <f t="shared" si="0"/>
        <v>1962</v>
      </c>
      <c r="D78" s="3">
        <v>43.4</v>
      </c>
      <c r="E78" s="3">
        <v>9.3000000000000007</v>
      </c>
    </row>
    <row r="79" spans="1:5" x14ac:dyDescent="0.55000000000000004">
      <c r="A79" s="1">
        <f t="shared" si="0"/>
        <v>1963</v>
      </c>
      <c r="D79" s="3">
        <v>42.7</v>
      </c>
      <c r="E79" s="3">
        <v>8.8000000000000007</v>
      </c>
    </row>
    <row r="80" spans="1:5" x14ac:dyDescent="0.55000000000000004">
      <c r="A80" s="1">
        <f t="shared" si="0"/>
        <v>1964</v>
      </c>
      <c r="D80" s="3">
        <v>42</v>
      </c>
      <c r="E80" s="3">
        <v>8.5</v>
      </c>
    </row>
    <row r="81" spans="1:5" x14ac:dyDescent="0.55000000000000004">
      <c r="A81" s="1">
        <f t="shared" si="0"/>
        <v>1965</v>
      </c>
      <c r="D81" s="3">
        <v>41.3</v>
      </c>
      <c r="E81" s="3">
        <v>8.1</v>
      </c>
    </row>
    <row r="82" spans="1:5" x14ac:dyDescent="0.55000000000000004">
      <c r="A82" s="1">
        <f t="shared" si="0"/>
        <v>1966</v>
      </c>
      <c r="D82" s="3">
        <v>40.5</v>
      </c>
      <c r="E82" s="3">
        <v>7.6</v>
      </c>
    </row>
    <row r="83" spans="1:5" x14ac:dyDescent="0.55000000000000004">
      <c r="A83" s="1">
        <f t="shared" si="0"/>
        <v>1967</v>
      </c>
      <c r="D83" s="3">
        <v>39.700000000000003</v>
      </c>
      <c r="E83" s="3">
        <v>7.3</v>
      </c>
    </row>
    <row r="84" spans="1:5" x14ac:dyDescent="0.55000000000000004">
      <c r="A84" s="1">
        <f t="shared" si="0"/>
        <v>1968</v>
      </c>
      <c r="D84" s="3">
        <v>39</v>
      </c>
      <c r="E84" s="3">
        <v>7.1</v>
      </c>
    </row>
    <row r="85" spans="1:5" x14ac:dyDescent="0.55000000000000004">
      <c r="A85" s="1">
        <f t="shared" si="0"/>
        <v>1969</v>
      </c>
      <c r="D85" s="3">
        <v>38.200000000000003</v>
      </c>
      <c r="E85" s="3">
        <v>7.1</v>
      </c>
    </row>
    <row r="86" spans="1:5" x14ac:dyDescent="0.55000000000000004">
      <c r="A86" s="1">
        <f t="shared" si="0"/>
        <v>1970</v>
      </c>
      <c r="D86" s="3">
        <v>37.5</v>
      </c>
      <c r="E86" s="3">
        <v>6.7</v>
      </c>
    </row>
    <row r="87" spans="1:5" x14ac:dyDescent="0.55000000000000004">
      <c r="A87" s="1">
        <f t="shared" si="0"/>
        <v>1971</v>
      </c>
      <c r="D87" s="3">
        <v>36.700000000000003</v>
      </c>
      <c r="E87" s="3">
        <v>6.5</v>
      </c>
    </row>
    <row r="88" spans="1:5" x14ac:dyDescent="0.55000000000000004">
      <c r="A88" s="1">
        <f t="shared" si="0"/>
        <v>1972</v>
      </c>
      <c r="D88" s="3">
        <v>36.1</v>
      </c>
      <c r="E88" s="3">
        <v>6.3</v>
      </c>
    </row>
    <row r="89" spans="1:5" x14ac:dyDescent="0.55000000000000004">
      <c r="A89" s="1">
        <f t="shared" si="0"/>
        <v>1973</v>
      </c>
      <c r="D89" s="3">
        <v>35.700000000000003</v>
      </c>
      <c r="E89" s="3">
        <v>6.2</v>
      </c>
    </row>
    <row r="90" spans="1:5" x14ac:dyDescent="0.55000000000000004">
      <c r="A90" s="1">
        <f t="shared" si="0"/>
        <v>1974</v>
      </c>
      <c r="D90" s="3">
        <v>35.299999999999997</v>
      </c>
      <c r="E90" s="3">
        <v>6</v>
      </c>
    </row>
    <row r="91" spans="1:5" x14ac:dyDescent="0.55000000000000004">
      <c r="A91" s="1">
        <f t="shared" si="0"/>
        <v>1975</v>
      </c>
      <c r="D91" s="3">
        <v>35</v>
      </c>
      <c r="E91" s="3">
        <v>5.9</v>
      </c>
    </row>
    <row r="92" spans="1:5" x14ac:dyDescent="0.55000000000000004">
      <c r="A92" s="1">
        <f t="shared" si="0"/>
        <v>1976</v>
      </c>
      <c r="D92" s="3">
        <v>34.700000000000003</v>
      </c>
      <c r="E92" s="3">
        <v>5.7</v>
      </c>
    </row>
    <row r="93" spans="1:5" x14ac:dyDescent="0.55000000000000004">
      <c r="A93" s="1">
        <f t="shared" si="0"/>
        <v>1977</v>
      </c>
      <c r="D93" s="3">
        <v>34.5</v>
      </c>
      <c r="E93" s="3">
        <v>5.5</v>
      </c>
    </row>
    <row r="94" spans="1:5" x14ac:dyDescent="0.55000000000000004">
      <c r="A94" s="1">
        <f t="shared" si="0"/>
        <v>1978</v>
      </c>
      <c r="D94" s="3">
        <v>34.1</v>
      </c>
      <c r="E94" s="3">
        <v>5.4</v>
      </c>
    </row>
    <row r="95" spans="1:5" x14ac:dyDescent="0.55000000000000004">
      <c r="A95" s="1">
        <f t="shared" si="0"/>
        <v>1979</v>
      </c>
      <c r="D95" s="3">
        <v>33.799999999999997</v>
      </c>
      <c r="E95" s="3">
        <v>5.4</v>
      </c>
    </row>
    <row r="96" spans="1:5" x14ac:dyDescent="0.55000000000000004">
      <c r="A96" s="1">
        <f t="shared" si="0"/>
        <v>1980</v>
      </c>
      <c r="D96" s="3">
        <v>33.299999999999997</v>
      </c>
      <c r="E96" s="3">
        <v>5.4</v>
      </c>
    </row>
    <row r="97" spans="1:5" x14ac:dyDescent="0.55000000000000004">
      <c r="A97" s="1">
        <f t="shared" si="0"/>
        <v>1981</v>
      </c>
      <c r="D97" s="3">
        <v>32.799999999999997</v>
      </c>
      <c r="E97" s="3">
        <v>5.3</v>
      </c>
    </row>
    <row r="98" spans="1:5" x14ac:dyDescent="0.55000000000000004">
      <c r="A98" s="1">
        <f t="shared" si="0"/>
        <v>1982</v>
      </c>
      <c r="D98" s="3">
        <v>32.299999999999997</v>
      </c>
      <c r="E98" s="3">
        <v>5.2</v>
      </c>
    </row>
    <row r="99" spans="1:5" x14ac:dyDescent="0.55000000000000004">
      <c r="A99" s="1">
        <f t="shared" si="0"/>
        <v>1983</v>
      </c>
      <c r="D99" s="3">
        <v>31.8</v>
      </c>
      <c r="E99" s="3">
        <v>5</v>
      </c>
    </row>
    <row r="100" spans="1:5" x14ac:dyDescent="0.55000000000000004">
      <c r="A100" s="1">
        <f t="shared" si="0"/>
        <v>1984</v>
      </c>
      <c r="D100" s="3">
        <v>31.4</v>
      </c>
      <c r="E100" s="3">
        <v>5</v>
      </c>
    </row>
    <row r="101" spans="1:5" x14ac:dyDescent="0.55000000000000004">
      <c r="A101" s="1">
        <f t="shared" si="0"/>
        <v>1985</v>
      </c>
      <c r="D101" s="3">
        <v>31</v>
      </c>
      <c r="E101" s="3">
        <v>5</v>
      </c>
    </row>
    <row r="102" spans="1:5" x14ac:dyDescent="0.55000000000000004">
      <c r="A102" s="1">
        <f t="shared" si="0"/>
        <v>1986</v>
      </c>
      <c r="D102" s="3">
        <v>30.9</v>
      </c>
      <c r="E102" s="3">
        <v>4.8</v>
      </c>
    </row>
    <row r="103" spans="1:5" x14ac:dyDescent="0.55000000000000004">
      <c r="A103" s="1">
        <f t="shared" si="0"/>
        <v>1987</v>
      </c>
      <c r="D103" s="3">
        <v>30.6</v>
      </c>
      <c r="E103" s="3">
        <v>4.8</v>
      </c>
    </row>
    <row r="104" spans="1:5" x14ac:dyDescent="0.55000000000000004">
      <c r="A104" s="1">
        <f t="shared" si="0"/>
        <v>1988</v>
      </c>
      <c r="D104" s="3">
        <v>30.1</v>
      </c>
      <c r="E104" s="3">
        <v>4.8</v>
      </c>
    </row>
    <row r="105" spans="1:5" x14ac:dyDescent="0.55000000000000004">
      <c r="A105" s="1">
        <f t="shared" si="0"/>
        <v>1989</v>
      </c>
      <c r="D105" s="3">
        <v>29.5</v>
      </c>
      <c r="E105" s="3">
        <v>4.8</v>
      </c>
    </row>
    <row r="106" spans="1:5" x14ac:dyDescent="0.55000000000000004">
      <c r="A106" s="1">
        <f t="shared" si="0"/>
        <v>1990</v>
      </c>
      <c r="D106" s="3">
        <v>28.9</v>
      </c>
      <c r="E106" s="3">
        <v>4.8</v>
      </c>
    </row>
    <row r="107" spans="1:5" x14ac:dyDescent="0.55000000000000004">
      <c r="A107" s="1">
        <f t="shared" si="0"/>
        <v>1991</v>
      </c>
      <c r="D107" s="3">
        <v>28.3</v>
      </c>
      <c r="E107" s="3">
        <v>4.8</v>
      </c>
    </row>
    <row r="108" spans="1:5" x14ac:dyDescent="0.55000000000000004">
      <c r="A108" s="1">
        <f t="shared" si="0"/>
        <v>1992</v>
      </c>
      <c r="D108" s="3">
        <v>27.7</v>
      </c>
      <c r="E108" s="3">
        <v>4.8</v>
      </c>
    </row>
    <row r="109" spans="1:5" x14ac:dyDescent="0.55000000000000004">
      <c r="A109" s="1">
        <f t="shared" si="0"/>
        <v>1993</v>
      </c>
      <c r="D109" s="3">
        <v>27.1</v>
      </c>
      <c r="E109" s="3">
        <v>4.8</v>
      </c>
    </row>
    <row r="110" spans="1:5" x14ac:dyDescent="0.55000000000000004">
      <c r="A110" s="1">
        <f t="shared" si="0"/>
        <v>1994</v>
      </c>
      <c r="D110" s="3">
        <v>26.5</v>
      </c>
      <c r="E110" s="3">
        <v>4.9000000000000004</v>
      </c>
    </row>
    <row r="111" spans="1:5" x14ac:dyDescent="0.55000000000000004">
      <c r="A111" s="1">
        <f t="shared" si="0"/>
        <v>1995</v>
      </c>
      <c r="D111" s="3">
        <v>26</v>
      </c>
      <c r="E111" s="3">
        <v>4.8</v>
      </c>
    </row>
    <row r="112" spans="1:5" x14ac:dyDescent="0.55000000000000004">
      <c r="A112" s="1">
        <f t="shared" si="0"/>
        <v>1996</v>
      </c>
      <c r="D112" s="3">
        <v>25.5</v>
      </c>
      <c r="E112" s="3">
        <v>4.8</v>
      </c>
    </row>
    <row r="113" spans="1:5" x14ac:dyDescent="0.55000000000000004">
      <c r="A113" s="1">
        <f t="shared" si="0"/>
        <v>1997</v>
      </c>
      <c r="D113" s="3">
        <v>25.1</v>
      </c>
      <c r="E113" s="3">
        <v>4.7</v>
      </c>
    </row>
    <row r="114" spans="1:5" x14ac:dyDescent="0.55000000000000004">
      <c r="A114" s="1">
        <f t="shared" si="0"/>
        <v>1998</v>
      </c>
      <c r="D114" s="3">
        <v>24.6</v>
      </c>
      <c r="E114" s="3">
        <v>4.8</v>
      </c>
    </row>
    <row r="115" spans="1:5" x14ac:dyDescent="0.55000000000000004">
      <c r="A115" s="1">
        <f t="shared" si="0"/>
        <v>1999</v>
      </c>
      <c r="D115" s="3">
        <v>24.2</v>
      </c>
      <c r="E115" s="3">
        <v>5</v>
      </c>
    </row>
    <row r="116" spans="1:5" x14ac:dyDescent="0.55000000000000004">
      <c r="A116" s="1">
        <f t="shared" si="0"/>
        <v>2000</v>
      </c>
      <c r="D116" s="3">
        <v>23.7</v>
      </c>
      <c r="E116" s="3">
        <v>4.9000000000000004</v>
      </c>
    </row>
    <row r="117" spans="1:5" x14ac:dyDescent="0.55000000000000004">
      <c r="A117" s="1">
        <f t="shared" si="0"/>
        <v>2001</v>
      </c>
      <c r="D117" s="3">
        <v>23.6</v>
      </c>
      <c r="E117" s="3">
        <v>5.5</v>
      </c>
    </row>
    <row r="118" spans="1:5" x14ac:dyDescent="0.55000000000000004">
      <c r="A118" s="1">
        <f t="shared" si="0"/>
        <v>2002</v>
      </c>
      <c r="D118" s="3">
        <v>23.3</v>
      </c>
      <c r="E118" s="3">
        <v>4.9000000000000004</v>
      </c>
    </row>
    <row r="119" spans="1:5" x14ac:dyDescent="0.55000000000000004">
      <c r="A119" s="1">
        <f t="shared" si="0"/>
        <v>2003</v>
      </c>
      <c r="D119" s="3">
        <v>22.9</v>
      </c>
      <c r="E119" s="3">
        <v>5.3</v>
      </c>
    </row>
    <row r="120" spans="1:5" x14ac:dyDescent="0.55000000000000004">
      <c r="A120" s="1">
        <f t="shared" si="0"/>
        <v>2004</v>
      </c>
      <c r="D120" s="3">
        <v>22.4</v>
      </c>
      <c r="E120" s="3">
        <v>5.0999999999999996</v>
      </c>
    </row>
    <row r="121" spans="1:5" x14ac:dyDescent="0.55000000000000004">
      <c r="A121" s="1">
        <f t="shared" si="0"/>
        <v>2005</v>
      </c>
      <c r="D121" s="3">
        <v>22.4</v>
      </c>
      <c r="E121" s="3">
        <v>5.0999999999999996</v>
      </c>
    </row>
    <row r="122" spans="1:5" x14ac:dyDescent="0.55000000000000004">
      <c r="A122" s="1">
        <f t="shared" si="0"/>
        <v>2006</v>
      </c>
      <c r="D122" s="3">
        <v>22.1</v>
      </c>
      <c r="E122" s="3">
        <v>5.2</v>
      </c>
    </row>
    <row r="123" spans="1:5" x14ac:dyDescent="0.55000000000000004">
      <c r="A123" s="1">
        <f t="shared" si="0"/>
        <v>2007</v>
      </c>
      <c r="D123" s="3">
        <v>21.5</v>
      </c>
      <c r="E123" s="3">
        <v>5.0999999999999996</v>
      </c>
    </row>
    <row r="124" spans="1:5" x14ac:dyDescent="0.55000000000000004">
      <c r="A124" s="1">
        <f t="shared" si="0"/>
        <v>2008</v>
      </c>
      <c r="D124" s="3">
        <v>21.1</v>
      </c>
      <c r="E124" s="3">
        <v>5.5</v>
      </c>
    </row>
    <row r="125" spans="1:5" x14ac:dyDescent="0.55000000000000004">
      <c r="A125" s="1">
        <f t="shared" si="0"/>
        <v>2009</v>
      </c>
      <c r="D125" s="3">
        <v>20.6</v>
      </c>
      <c r="E125" s="3">
        <v>5.5</v>
      </c>
    </row>
    <row r="126" spans="1:5" x14ac:dyDescent="0.55000000000000004">
      <c r="A126" s="1">
        <f t="shared" si="0"/>
        <v>2010</v>
      </c>
      <c r="D126" s="3">
        <v>20.3</v>
      </c>
      <c r="E126" s="3">
        <v>5.5</v>
      </c>
    </row>
    <row r="127" spans="1:5" x14ac:dyDescent="0.55000000000000004">
      <c r="A127" s="1">
        <f t="shared" si="0"/>
        <v>2011</v>
      </c>
      <c r="D127" s="3">
        <v>20.2</v>
      </c>
      <c r="E127" s="3">
        <v>5.6</v>
      </c>
    </row>
    <row r="128" spans="1:5" x14ac:dyDescent="0.55000000000000004">
      <c r="A128" s="1">
        <f t="shared" si="0"/>
        <v>2012</v>
      </c>
      <c r="D128" s="3">
        <v>19.899999999999999</v>
      </c>
      <c r="E128" s="3">
        <v>5.7</v>
      </c>
    </row>
    <row r="129" spans="1:5" x14ac:dyDescent="0.55000000000000004">
      <c r="A129" s="1">
        <f t="shared" si="0"/>
        <v>2013</v>
      </c>
      <c r="D129" s="3">
        <v>19.5</v>
      </c>
      <c r="E129" s="3">
        <v>5.8</v>
      </c>
    </row>
    <row r="130" spans="1:5" x14ac:dyDescent="0.55000000000000004">
      <c r="A130" s="1">
        <f t="shared" si="0"/>
        <v>2014</v>
      </c>
      <c r="D130" s="3">
        <v>19.100000000000001</v>
      </c>
      <c r="E130" s="3">
        <v>6</v>
      </c>
    </row>
    <row r="131" spans="1:5" x14ac:dyDescent="0.55000000000000004">
      <c r="A131" s="1">
        <f t="shared" si="0"/>
        <v>2015</v>
      </c>
      <c r="D131" s="3">
        <v>18.600000000000001</v>
      </c>
      <c r="E131" s="3">
        <v>6</v>
      </c>
    </row>
    <row r="132" spans="1:5" x14ac:dyDescent="0.55000000000000004">
      <c r="A132" s="1">
        <f t="shared" si="0"/>
        <v>2016</v>
      </c>
      <c r="D132" s="3">
        <v>18.3</v>
      </c>
      <c r="E132" s="3">
        <v>6.6</v>
      </c>
    </row>
    <row r="133" spans="1:5" x14ac:dyDescent="0.55000000000000004">
      <c r="A133" s="1">
        <f t="shared" si="0"/>
        <v>2017</v>
      </c>
      <c r="D133" s="3">
        <v>17.899999999999999</v>
      </c>
      <c r="E133" s="3">
        <v>6.8</v>
      </c>
    </row>
    <row r="134" spans="1:5" x14ac:dyDescent="0.55000000000000004">
      <c r="A134" s="1">
        <f t="shared" si="0"/>
        <v>2018</v>
      </c>
      <c r="D134" s="3">
        <v>17.3</v>
      </c>
      <c r="E134" s="3">
        <v>6.7</v>
      </c>
    </row>
    <row r="135" spans="1:5" x14ac:dyDescent="0.55000000000000004">
      <c r="A135" s="1">
        <f t="shared" si="0"/>
        <v>2019</v>
      </c>
      <c r="D135" s="3">
        <v>16.3</v>
      </c>
      <c r="E135" s="3">
        <v>6.8</v>
      </c>
    </row>
    <row r="136" spans="1:5" x14ac:dyDescent="0.55000000000000004">
      <c r="A136" s="1">
        <f t="shared" si="0"/>
        <v>2020</v>
      </c>
      <c r="D136" s="3">
        <v>15.5</v>
      </c>
      <c r="E136" s="3">
        <v>7.2</v>
      </c>
    </row>
    <row r="137" spans="1:5" x14ac:dyDescent="0.55000000000000004">
      <c r="A137" s="1">
        <f t="shared" si="0"/>
        <v>2021</v>
      </c>
      <c r="D137" s="3">
        <v>15.2</v>
      </c>
      <c r="E137" s="3">
        <v>7.9</v>
      </c>
    </row>
    <row r="138" spans="1:5" x14ac:dyDescent="0.55000000000000004">
      <c r="A138" s="1">
        <f t="shared" si="0"/>
        <v>2022</v>
      </c>
      <c r="D138" s="3">
        <v>15</v>
      </c>
      <c r="E138" s="3">
        <v>7.3</v>
      </c>
    </row>
    <row r="139" spans="1:5" x14ac:dyDescent="0.55000000000000004">
      <c r="A139" s="1">
        <f t="shared" ref="A139" si="1">A138+1</f>
        <v>2023</v>
      </c>
      <c r="D139" s="3">
        <v>15.1</v>
      </c>
      <c r="E139" s="3">
        <v>7.6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D125"/>
  <sheetViews>
    <sheetView workbookViewId="0">
      <selection activeCell="AJ17" sqref="AJ1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</row>
    <row r="3" spans="1:4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4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4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4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4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4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4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4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4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4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4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4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4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4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H116"/>
  <sheetViews>
    <sheetView workbookViewId="0">
      <selection activeCell="Q24" sqref="Q24"/>
    </sheetView>
  </sheetViews>
  <sheetFormatPr defaultRowHeight="14.4" x14ac:dyDescent="0.55000000000000004"/>
  <sheetData>
    <row r="1" spans="1:8" x14ac:dyDescent="0.55000000000000004">
      <c r="B1" s="24" t="s">
        <v>100</v>
      </c>
      <c r="C1" s="24"/>
      <c r="D1" s="24" t="s">
        <v>75</v>
      </c>
      <c r="E1" s="24"/>
    </row>
    <row r="2" spans="1:8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</row>
    <row r="3" spans="1:8" x14ac:dyDescent="0.55000000000000004">
      <c r="A3" s="1">
        <v>1910</v>
      </c>
      <c r="B3" s="21">
        <v>44.281999999999996</v>
      </c>
      <c r="C3" s="21">
        <v>23.646999999999998</v>
      </c>
    </row>
    <row r="4" spans="1:8" x14ac:dyDescent="0.55000000000000004">
      <c r="A4" s="1">
        <v>1911</v>
      </c>
      <c r="B4" s="21">
        <v>44.137</v>
      </c>
      <c r="C4" s="21">
        <v>23.856999999999999</v>
      </c>
    </row>
    <row r="5" spans="1:8" x14ac:dyDescent="0.55000000000000004">
      <c r="A5" s="1">
        <v>1912</v>
      </c>
      <c r="B5" s="21">
        <v>43.865000000000002</v>
      </c>
      <c r="C5" s="21">
        <v>24.253</v>
      </c>
    </row>
    <row r="6" spans="1:8" x14ac:dyDescent="0.55000000000000004">
      <c r="A6" s="1">
        <v>1913</v>
      </c>
      <c r="B6" s="21">
        <v>43.43</v>
      </c>
      <c r="C6" s="21">
        <v>24.893000000000001</v>
      </c>
    </row>
    <row r="7" spans="1:8" x14ac:dyDescent="0.55000000000000004">
      <c r="A7" s="1">
        <v>1914</v>
      </c>
      <c r="B7" s="21">
        <v>42.854999999999997</v>
      </c>
      <c r="C7" s="21">
        <v>25.748000000000001</v>
      </c>
    </row>
    <row r="8" spans="1:8" x14ac:dyDescent="0.55000000000000004">
      <c r="A8" s="1">
        <v>1915</v>
      </c>
      <c r="B8" s="21">
        <v>41.874000000000002</v>
      </c>
      <c r="C8" s="21">
        <v>27.263999999999999</v>
      </c>
    </row>
    <row r="9" spans="1:8" x14ac:dyDescent="0.55000000000000004">
      <c r="A9" s="1">
        <v>1916</v>
      </c>
      <c r="B9" s="21">
        <v>41.472999999999999</v>
      </c>
      <c r="C9" s="21">
        <v>27.859000000000002</v>
      </c>
    </row>
    <row r="10" spans="1:8" x14ac:dyDescent="0.55000000000000004">
      <c r="A10" s="1">
        <v>1917</v>
      </c>
      <c r="B10" s="21">
        <v>41.375999999999998</v>
      </c>
      <c r="C10" s="21">
        <v>27.943000000000001</v>
      </c>
    </row>
    <row r="11" spans="1:8" x14ac:dyDescent="0.55000000000000004">
      <c r="A11" s="1">
        <v>1918</v>
      </c>
      <c r="B11" s="21">
        <v>41.613</v>
      </c>
      <c r="C11" s="21">
        <v>27.466999999999999</v>
      </c>
    </row>
    <row r="12" spans="1:8" x14ac:dyDescent="0.55000000000000004">
      <c r="A12" s="1">
        <v>1919</v>
      </c>
      <c r="B12" s="21">
        <v>42.154000000000003</v>
      </c>
      <c r="C12" s="21">
        <v>26.495000000000001</v>
      </c>
    </row>
    <row r="13" spans="1:8" x14ac:dyDescent="0.55000000000000004">
      <c r="A13" s="1">
        <v>1920</v>
      </c>
      <c r="B13" s="21">
        <v>43.293999999999997</v>
      </c>
      <c r="C13" s="21">
        <v>24.561</v>
      </c>
    </row>
    <row r="14" spans="1:8" x14ac:dyDescent="0.55000000000000004">
      <c r="A14" s="1">
        <v>1921</v>
      </c>
      <c r="B14" s="21">
        <v>43.975999999999999</v>
      </c>
      <c r="C14" s="21">
        <v>23.49</v>
      </c>
    </row>
    <row r="15" spans="1:8" x14ac:dyDescent="0.55000000000000004">
      <c r="A15" s="1">
        <v>1922</v>
      </c>
      <c r="B15" s="21">
        <v>44.484000000000002</v>
      </c>
      <c r="C15" s="21">
        <v>22.757000000000001</v>
      </c>
    </row>
    <row r="16" spans="1:8" x14ac:dyDescent="0.55000000000000004">
      <c r="A16" s="1">
        <v>1923</v>
      </c>
      <c r="B16" s="21">
        <v>44.783000000000001</v>
      </c>
      <c r="C16" s="21">
        <v>22.405999999999999</v>
      </c>
    </row>
    <row r="17" spans="1:3" x14ac:dyDescent="0.55000000000000004">
      <c r="A17" s="1">
        <v>1924</v>
      </c>
      <c r="B17" s="21">
        <v>44.878999999999998</v>
      </c>
      <c r="C17" s="21">
        <v>22.399000000000001</v>
      </c>
    </row>
    <row r="18" spans="1:3" x14ac:dyDescent="0.55000000000000004">
      <c r="A18" s="1">
        <v>1925</v>
      </c>
      <c r="B18" s="21">
        <v>44.707999999999998</v>
      </c>
      <c r="C18" s="21">
        <v>23.030999999999999</v>
      </c>
    </row>
    <row r="19" spans="1:3" x14ac:dyDescent="0.55000000000000004">
      <c r="A19" s="1">
        <v>1926</v>
      </c>
      <c r="B19" s="21">
        <v>44.503</v>
      </c>
      <c r="C19" s="21">
        <v>23.225000000000001</v>
      </c>
    </row>
    <row r="20" spans="1:3" x14ac:dyDescent="0.55000000000000004">
      <c r="A20" s="1">
        <v>1927</v>
      </c>
      <c r="B20" s="21">
        <v>44.201999999999998</v>
      </c>
      <c r="C20" s="21">
        <v>23.271999999999998</v>
      </c>
    </row>
    <row r="21" spans="1:3" x14ac:dyDescent="0.55000000000000004">
      <c r="A21" s="1">
        <v>1928</v>
      </c>
      <c r="B21" s="21">
        <v>43.811999999999998</v>
      </c>
      <c r="C21" s="21">
        <v>23.138999999999999</v>
      </c>
    </row>
    <row r="22" spans="1:3" x14ac:dyDescent="0.55000000000000004">
      <c r="A22" s="1">
        <v>1929</v>
      </c>
      <c r="B22" s="21">
        <v>43.345999999999997</v>
      </c>
      <c r="C22" s="21">
        <v>22.843</v>
      </c>
    </row>
    <row r="23" spans="1:3" x14ac:dyDescent="0.55000000000000004">
      <c r="A23" s="1">
        <v>1930</v>
      </c>
      <c r="B23" s="21">
        <v>42.7</v>
      </c>
      <c r="C23" s="21">
        <v>22.239000000000001</v>
      </c>
    </row>
    <row r="24" spans="1:3" x14ac:dyDescent="0.55000000000000004">
      <c r="A24" s="1">
        <v>1931</v>
      </c>
      <c r="B24" s="21">
        <v>42.256</v>
      </c>
      <c r="C24" s="21">
        <v>21.876999999999999</v>
      </c>
    </row>
    <row r="25" spans="1:3" x14ac:dyDescent="0.55000000000000004">
      <c r="A25" s="1">
        <v>1932</v>
      </c>
      <c r="B25" s="21">
        <v>41.908000000000001</v>
      </c>
      <c r="C25" s="21">
        <v>21.606000000000002</v>
      </c>
    </row>
    <row r="26" spans="1:3" x14ac:dyDescent="0.55000000000000004">
      <c r="A26" s="1">
        <v>1933</v>
      </c>
      <c r="B26" s="21">
        <v>41.664999999999999</v>
      </c>
      <c r="C26" s="21">
        <v>21.44</v>
      </c>
    </row>
    <row r="27" spans="1:3" x14ac:dyDescent="0.55000000000000004">
      <c r="A27" s="1">
        <v>1934</v>
      </c>
      <c r="B27" s="21">
        <v>41.53</v>
      </c>
      <c r="C27" s="21">
        <v>21.381</v>
      </c>
    </row>
    <row r="28" spans="1:3" x14ac:dyDescent="0.55000000000000004">
      <c r="A28" s="1">
        <v>1935</v>
      </c>
      <c r="B28" s="21">
        <v>41.496000000000002</v>
      </c>
      <c r="C28" s="21">
        <v>21.407</v>
      </c>
    </row>
    <row r="29" spans="1:3" x14ac:dyDescent="0.55000000000000004">
      <c r="A29" s="1">
        <v>1936</v>
      </c>
      <c r="B29" s="21">
        <v>41.58</v>
      </c>
      <c r="C29" s="21">
        <v>21.6</v>
      </c>
    </row>
    <row r="30" spans="1:3" x14ac:dyDescent="0.55000000000000004">
      <c r="A30" s="1">
        <v>1937</v>
      </c>
      <c r="B30" s="21">
        <v>41.777999999999999</v>
      </c>
      <c r="C30" s="21">
        <v>21.94</v>
      </c>
    </row>
    <row r="31" spans="1:3" x14ac:dyDescent="0.55000000000000004">
      <c r="A31" s="1">
        <v>1938</v>
      </c>
      <c r="B31" s="21">
        <v>42.091000000000001</v>
      </c>
      <c r="C31" s="21">
        <v>22.431000000000001</v>
      </c>
    </row>
    <row r="32" spans="1:3" x14ac:dyDescent="0.55000000000000004">
      <c r="A32" s="1">
        <v>1939</v>
      </c>
      <c r="B32" s="21">
        <v>42.506</v>
      </c>
      <c r="C32" s="21">
        <v>23.041</v>
      </c>
    </row>
    <row r="33" spans="1:5" x14ac:dyDescent="0.55000000000000004">
      <c r="A33" s="1">
        <v>1940</v>
      </c>
      <c r="B33" s="21">
        <v>43.143999999999998</v>
      </c>
      <c r="C33" s="21">
        <v>24.094000000000001</v>
      </c>
    </row>
    <row r="34" spans="1:5" x14ac:dyDescent="0.55000000000000004">
      <c r="A34" s="1">
        <v>1941</v>
      </c>
      <c r="B34" s="21">
        <v>43.567999999999998</v>
      </c>
      <c r="C34" s="21">
        <v>24.427</v>
      </c>
    </row>
    <row r="35" spans="1:5" x14ac:dyDescent="0.55000000000000004">
      <c r="A35" s="1">
        <v>1942</v>
      </c>
      <c r="B35" s="21">
        <v>43.895000000000003</v>
      </c>
      <c r="C35" s="21">
        <v>24.344999999999999</v>
      </c>
    </row>
    <row r="36" spans="1:5" x14ac:dyDescent="0.55000000000000004">
      <c r="A36" s="1">
        <v>1943</v>
      </c>
      <c r="B36" s="21">
        <v>44.110999999999997</v>
      </c>
      <c r="C36" s="21">
        <v>23.815999999999999</v>
      </c>
    </row>
    <row r="37" spans="1:5" x14ac:dyDescent="0.55000000000000004">
      <c r="A37" s="1">
        <v>1944</v>
      </c>
      <c r="B37" s="21">
        <v>44.226999999999997</v>
      </c>
      <c r="C37" s="21">
        <v>22.879000000000001</v>
      </c>
    </row>
    <row r="38" spans="1:5" x14ac:dyDescent="0.55000000000000004">
      <c r="A38" s="1">
        <v>1945</v>
      </c>
      <c r="B38" s="21">
        <v>44.137</v>
      </c>
      <c r="C38" s="21">
        <v>21.271000000000001</v>
      </c>
    </row>
    <row r="39" spans="1:5" x14ac:dyDescent="0.55000000000000004">
      <c r="A39" s="1">
        <v>1946</v>
      </c>
      <c r="B39" s="21">
        <v>44.231000000000002</v>
      </c>
      <c r="C39" s="21">
        <v>20.059000000000001</v>
      </c>
    </row>
    <row r="40" spans="1:5" x14ac:dyDescent="0.55000000000000004">
      <c r="A40" s="1">
        <v>1947</v>
      </c>
      <c r="B40" s="21">
        <v>44.402999999999999</v>
      </c>
      <c r="C40" s="21">
        <v>18.940999999999999</v>
      </c>
    </row>
    <row r="41" spans="1:5" x14ac:dyDescent="0.55000000000000004">
      <c r="A41" s="1">
        <v>1948</v>
      </c>
      <c r="B41" s="21">
        <v>44.665999999999997</v>
      </c>
      <c r="C41" s="21">
        <v>17.942</v>
      </c>
    </row>
    <row r="42" spans="1:5" x14ac:dyDescent="0.55000000000000004">
      <c r="A42" s="1">
        <v>1949</v>
      </c>
      <c r="B42" s="21">
        <v>45.006999999999998</v>
      </c>
      <c r="C42" s="21">
        <v>17.053999999999998</v>
      </c>
    </row>
    <row r="43" spans="1:5" x14ac:dyDescent="0.55000000000000004">
      <c r="A43" s="1">
        <v>1950</v>
      </c>
      <c r="B43" s="21">
        <v>45.533000000000001</v>
      </c>
      <c r="C43" s="21">
        <v>16.297000000000001</v>
      </c>
      <c r="D43" s="3">
        <v>52.5</v>
      </c>
      <c r="E43" s="3">
        <v>25.7</v>
      </c>
    </row>
    <row r="44" spans="1:5" x14ac:dyDescent="0.55000000000000004">
      <c r="A44" s="1">
        <v>1951</v>
      </c>
      <c r="B44" s="21">
        <v>45.86</v>
      </c>
      <c r="C44" s="21">
        <v>15.568</v>
      </c>
      <c r="D44" s="3">
        <v>52.4</v>
      </c>
      <c r="E44" s="3">
        <v>25.1</v>
      </c>
    </row>
    <row r="45" spans="1:5" x14ac:dyDescent="0.55000000000000004">
      <c r="A45" s="1">
        <v>1952</v>
      </c>
      <c r="B45" s="21">
        <v>46.093000000000004</v>
      </c>
      <c r="C45" s="21">
        <v>14.891</v>
      </c>
      <c r="D45" s="3">
        <v>52.3</v>
      </c>
      <c r="E45" s="3">
        <v>24.6</v>
      </c>
    </row>
    <row r="46" spans="1:5" x14ac:dyDescent="0.55000000000000004">
      <c r="A46" s="1">
        <v>1953</v>
      </c>
      <c r="B46" s="21">
        <v>46.216999999999999</v>
      </c>
      <c r="C46" s="21">
        <v>14.262</v>
      </c>
      <c r="D46" s="3">
        <v>52.1</v>
      </c>
      <c r="E46" s="3">
        <v>24</v>
      </c>
    </row>
    <row r="47" spans="1:5" x14ac:dyDescent="0.55000000000000004">
      <c r="A47" s="1">
        <v>1954</v>
      </c>
      <c r="B47" s="21">
        <v>46.241999999999997</v>
      </c>
      <c r="C47" s="21">
        <v>13.683999999999999</v>
      </c>
      <c r="D47" s="3">
        <v>51.9</v>
      </c>
      <c r="E47" s="3">
        <v>23.4</v>
      </c>
    </row>
    <row r="48" spans="1:5" x14ac:dyDescent="0.55000000000000004">
      <c r="A48" s="1">
        <v>1955</v>
      </c>
      <c r="B48" s="21">
        <v>46.098999999999997</v>
      </c>
      <c r="C48" s="21">
        <v>13.111000000000001</v>
      </c>
      <c r="D48" s="3">
        <v>51.6</v>
      </c>
      <c r="E48" s="3">
        <v>22.7</v>
      </c>
    </row>
    <row r="49" spans="1:5" x14ac:dyDescent="0.55000000000000004">
      <c r="A49" s="1">
        <v>1956</v>
      </c>
      <c r="B49" s="21">
        <v>46.036000000000001</v>
      </c>
      <c r="C49" s="21">
        <v>12.702</v>
      </c>
      <c r="D49" s="3">
        <v>51.2</v>
      </c>
      <c r="E49" s="3">
        <v>22</v>
      </c>
    </row>
    <row r="50" spans="1:5" x14ac:dyDescent="0.55000000000000004">
      <c r="A50" s="1">
        <v>1957</v>
      </c>
      <c r="B50" s="21">
        <v>45.985999999999997</v>
      </c>
      <c r="C50" s="21">
        <v>12.409000000000001</v>
      </c>
      <c r="D50" s="3">
        <v>50.8</v>
      </c>
      <c r="E50" s="3">
        <v>21.3</v>
      </c>
    </row>
    <row r="51" spans="1:5" x14ac:dyDescent="0.55000000000000004">
      <c r="A51" s="1">
        <v>1958</v>
      </c>
      <c r="B51" s="21">
        <v>45.954000000000001</v>
      </c>
      <c r="C51" s="21">
        <v>12.227</v>
      </c>
      <c r="D51" s="3">
        <v>50.4</v>
      </c>
      <c r="E51" s="3">
        <v>20.6</v>
      </c>
    </row>
    <row r="52" spans="1:5" x14ac:dyDescent="0.55000000000000004">
      <c r="A52" s="1">
        <v>1959</v>
      </c>
      <c r="B52" s="21">
        <v>45.938000000000002</v>
      </c>
      <c r="C52" s="21">
        <v>12.131</v>
      </c>
      <c r="D52" s="3">
        <v>49.9</v>
      </c>
      <c r="E52" s="3">
        <v>19.8</v>
      </c>
    </row>
    <row r="53" spans="1:5" x14ac:dyDescent="0.55000000000000004">
      <c r="A53" s="17">
        <v>1960</v>
      </c>
      <c r="D53" s="3">
        <v>49.4</v>
      </c>
      <c r="E53" s="3">
        <v>19.100000000000001</v>
      </c>
    </row>
    <row r="54" spans="1:5" x14ac:dyDescent="0.55000000000000004">
      <c r="A54" s="17">
        <v>1961</v>
      </c>
      <c r="D54" s="3">
        <v>49</v>
      </c>
      <c r="E54" s="3">
        <v>18.5</v>
      </c>
    </row>
    <row r="55" spans="1:5" x14ac:dyDescent="0.55000000000000004">
      <c r="A55" s="17">
        <v>1962</v>
      </c>
      <c r="D55" s="3">
        <v>48.6</v>
      </c>
      <c r="E55" s="3">
        <v>17.7</v>
      </c>
    </row>
    <row r="56" spans="1:5" x14ac:dyDescent="0.55000000000000004">
      <c r="A56" s="17">
        <v>1963</v>
      </c>
      <c r="D56" s="3">
        <v>48.2</v>
      </c>
      <c r="E56" s="3">
        <v>17.100000000000001</v>
      </c>
    </row>
    <row r="57" spans="1:5" x14ac:dyDescent="0.55000000000000004">
      <c r="A57" s="17">
        <v>1964</v>
      </c>
      <c r="D57" s="3">
        <v>47.9</v>
      </c>
      <c r="E57" s="3">
        <v>16.399999999999999</v>
      </c>
    </row>
    <row r="58" spans="1:5" x14ac:dyDescent="0.55000000000000004">
      <c r="A58" s="17">
        <v>1965</v>
      </c>
      <c r="D58" s="3">
        <v>47.7</v>
      </c>
      <c r="E58" s="3">
        <v>15.9</v>
      </c>
    </row>
    <row r="59" spans="1:5" x14ac:dyDescent="0.55000000000000004">
      <c r="A59" s="17">
        <v>1966</v>
      </c>
      <c r="D59" s="3">
        <v>47.3</v>
      </c>
      <c r="E59" s="3">
        <v>15.3</v>
      </c>
    </row>
    <row r="60" spans="1:5" x14ac:dyDescent="0.55000000000000004">
      <c r="A60" s="17">
        <v>1967</v>
      </c>
      <c r="D60" s="3">
        <v>46.9</v>
      </c>
      <c r="E60" s="3">
        <v>14.7</v>
      </c>
    </row>
    <row r="61" spans="1:5" x14ac:dyDescent="0.55000000000000004">
      <c r="A61" s="17">
        <v>1968</v>
      </c>
      <c r="D61" s="3">
        <v>46.6</v>
      </c>
      <c r="E61" s="3">
        <v>14.2</v>
      </c>
    </row>
    <row r="62" spans="1:5" x14ac:dyDescent="0.55000000000000004">
      <c r="A62" s="17">
        <v>1969</v>
      </c>
      <c r="D62" s="3">
        <v>46.4</v>
      </c>
      <c r="E62" s="3">
        <v>13.7</v>
      </c>
    </row>
    <row r="63" spans="1:5" x14ac:dyDescent="0.55000000000000004">
      <c r="A63" s="17">
        <v>1970</v>
      </c>
      <c r="D63" s="3">
        <v>46.3</v>
      </c>
      <c r="E63" s="3">
        <v>13.2</v>
      </c>
    </row>
    <row r="64" spans="1:5" x14ac:dyDescent="0.55000000000000004">
      <c r="A64" s="17">
        <v>1971</v>
      </c>
      <c r="D64" s="3">
        <v>46.2</v>
      </c>
      <c r="E64" s="3">
        <v>12.8</v>
      </c>
    </row>
    <row r="65" spans="1:5" x14ac:dyDescent="0.55000000000000004">
      <c r="A65" s="17">
        <v>1972</v>
      </c>
      <c r="D65" s="3">
        <v>46.1</v>
      </c>
      <c r="E65" s="3">
        <v>12.4</v>
      </c>
    </row>
    <row r="66" spans="1:5" x14ac:dyDescent="0.55000000000000004">
      <c r="A66" s="17">
        <v>1973</v>
      </c>
      <c r="D66" s="3">
        <v>45.9</v>
      </c>
      <c r="E66" s="3">
        <v>12.9</v>
      </c>
    </row>
    <row r="67" spans="1:5" x14ac:dyDescent="0.55000000000000004">
      <c r="A67" s="17">
        <v>1974</v>
      </c>
      <c r="D67" s="3">
        <v>45.8</v>
      </c>
      <c r="E67" s="3">
        <v>14.2</v>
      </c>
    </row>
    <row r="68" spans="1:5" x14ac:dyDescent="0.55000000000000004">
      <c r="A68" s="17">
        <v>1975</v>
      </c>
      <c r="D68" s="3">
        <v>46</v>
      </c>
      <c r="E68" s="3">
        <v>11.1</v>
      </c>
    </row>
    <row r="69" spans="1:5" x14ac:dyDescent="0.55000000000000004">
      <c r="A69" s="17">
        <v>1976</v>
      </c>
      <c r="D69" s="3">
        <v>46</v>
      </c>
      <c r="E69" s="3">
        <v>10.9</v>
      </c>
    </row>
    <row r="70" spans="1:5" x14ac:dyDescent="0.55000000000000004">
      <c r="A70" s="17">
        <v>1977</v>
      </c>
      <c r="D70" s="3">
        <v>45.7</v>
      </c>
      <c r="E70" s="3">
        <v>10.6</v>
      </c>
    </row>
    <row r="71" spans="1:5" x14ac:dyDescent="0.55000000000000004">
      <c r="A71" s="17">
        <v>1978</v>
      </c>
      <c r="D71" s="3">
        <v>45.3</v>
      </c>
      <c r="E71" s="3">
        <v>10.3</v>
      </c>
    </row>
    <row r="72" spans="1:5" x14ac:dyDescent="0.55000000000000004">
      <c r="A72" s="17">
        <v>1979</v>
      </c>
      <c r="D72" s="3">
        <v>44.9</v>
      </c>
      <c r="E72" s="3">
        <v>10</v>
      </c>
    </row>
    <row r="73" spans="1:5" x14ac:dyDescent="0.55000000000000004">
      <c r="A73" s="17">
        <v>1980</v>
      </c>
      <c r="D73" s="3">
        <v>44.3</v>
      </c>
      <c r="E73" s="3">
        <v>9.6999999999999993</v>
      </c>
    </row>
    <row r="74" spans="1:5" x14ac:dyDescent="0.55000000000000004">
      <c r="A74" s="17">
        <v>1981</v>
      </c>
      <c r="D74" s="3">
        <v>43.7</v>
      </c>
      <c r="E74" s="3">
        <v>9.4</v>
      </c>
    </row>
    <row r="75" spans="1:5" x14ac:dyDescent="0.55000000000000004">
      <c r="A75" s="17">
        <v>1982</v>
      </c>
      <c r="D75" s="3">
        <v>43.1</v>
      </c>
      <c r="E75" s="3">
        <v>9.1</v>
      </c>
    </row>
    <row r="76" spans="1:5" x14ac:dyDescent="0.55000000000000004">
      <c r="A76" s="17">
        <v>1983</v>
      </c>
      <c r="D76" s="3">
        <v>42.4</v>
      </c>
      <c r="E76" s="3">
        <v>8.6999999999999993</v>
      </c>
    </row>
    <row r="77" spans="1:5" x14ac:dyDescent="0.55000000000000004">
      <c r="A77" s="17">
        <v>1984</v>
      </c>
      <c r="D77" s="3">
        <v>41.8</v>
      </c>
      <c r="E77" s="3">
        <v>8.5</v>
      </c>
    </row>
    <row r="78" spans="1:5" x14ac:dyDescent="0.55000000000000004">
      <c r="A78" s="17">
        <v>1985</v>
      </c>
      <c r="D78" s="3">
        <v>41.1</v>
      </c>
      <c r="E78" s="3">
        <v>8.1999999999999993</v>
      </c>
    </row>
    <row r="79" spans="1:5" x14ac:dyDescent="0.55000000000000004">
      <c r="A79" s="17">
        <v>1986</v>
      </c>
      <c r="D79" s="3">
        <v>40.5</v>
      </c>
      <c r="E79" s="3">
        <v>8</v>
      </c>
    </row>
    <row r="80" spans="1:5" x14ac:dyDescent="0.55000000000000004">
      <c r="A80" s="17">
        <v>1987</v>
      </c>
      <c r="D80" s="3">
        <v>39.9</v>
      </c>
      <c r="E80" s="3">
        <v>7.8</v>
      </c>
    </row>
    <row r="81" spans="1:5" x14ac:dyDescent="0.55000000000000004">
      <c r="A81" s="17">
        <v>1988</v>
      </c>
      <c r="D81" s="3">
        <v>39.299999999999997</v>
      </c>
      <c r="E81" s="3">
        <v>7.6</v>
      </c>
    </row>
    <row r="82" spans="1:5" x14ac:dyDescent="0.55000000000000004">
      <c r="A82" s="17">
        <v>1989</v>
      </c>
      <c r="D82" s="3">
        <v>38.799999999999997</v>
      </c>
      <c r="E82" s="3">
        <v>7.3</v>
      </c>
    </row>
    <row r="83" spans="1:5" x14ac:dyDescent="0.55000000000000004">
      <c r="A83" s="17">
        <v>1990</v>
      </c>
      <c r="D83" s="3">
        <v>38.5</v>
      </c>
      <c r="E83" s="3">
        <v>7</v>
      </c>
    </row>
    <row r="84" spans="1:5" x14ac:dyDescent="0.55000000000000004">
      <c r="A84" s="17">
        <v>1991</v>
      </c>
      <c r="D84" s="3">
        <v>38.200000000000003</v>
      </c>
      <c r="E84" s="3">
        <v>6.8</v>
      </c>
    </row>
    <row r="85" spans="1:5" x14ac:dyDescent="0.55000000000000004">
      <c r="A85" s="17">
        <v>1992</v>
      </c>
      <c r="D85" s="3">
        <v>37.9</v>
      </c>
      <c r="E85" s="3">
        <v>6.6</v>
      </c>
    </row>
    <row r="86" spans="1:5" x14ac:dyDescent="0.55000000000000004">
      <c r="A86" s="17">
        <v>1993</v>
      </c>
      <c r="D86" s="3">
        <v>37.700000000000003</v>
      </c>
      <c r="E86" s="3">
        <v>6.4</v>
      </c>
    </row>
    <row r="87" spans="1:5" x14ac:dyDescent="0.55000000000000004">
      <c r="A87" s="17">
        <v>1994</v>
      </c>
      <c r="D87" s="3">
        <v>37.299999999999997</v>
      </c>
      <c r="E87" s="3">
        <v>6.2</v>
      </c>
    </row>
    <row r="88" spans="1:5" x14ac:dyDescent="0.55000000000000004">
      <c r="A88" s="17">
        <v>1995</v>
      </c>
      <c r="D88" s="3">
        <v>36.9</v>
      </c>
      <c r="E88" s="3">
        <v>6</v>
      </c>
    </row>
    <row r="89" spans="1:5" x14ac:dyDescent="0.55000000000000004">
      <c r="A89" s="17">
        <v>1996</v>
      </c>
      <c r="D89" s="3">
        <v>36.299999999999997</v>
      </c>
      <c r="E89" s="3">
        <v>5.8</v>
      </c>
    </row>
    <row r="90" spans="1:5" x14ac:dyDescent="0.55000000000000004">
      <c r="A90" s="17">
        <v>1997</v>
      </c>
      <c r="D90" s="3">
        <v>35.700000000000003</v>
      </c>
      <c r="E90" s="3">
        <v>5.6</v>
      </c>
    </row>
    <row r="91" spans="1:5" x14ac:dyDescent="0.55000000000000004">
      <c r="A91" s="17">
        <v>1998</v>
      </c>
      <c r="D91" s="3">
        <v>35.1</v>
      </c>
      <c r="E91" s="3">
        <v>7.9</v>
      </c>
    </row>
    <row r="92" spans="1:5" x14ac:dyDescent="0.55000000000000004">
      <c r="A92" s="17">
        <v>1999</v>
      </c>
      <c r="D92" s="3">
        <v>34.6</v>
      </c>
      <c r="E92" s="3">
        <v>5.4</v>
      </c>
    </row>
    <row r="93" spans="1:5" x14ac:dyDescent="0.55000000000000004">
      <c r="A93" s="17">
        <v>2000</v>
      </c>
      <c r="D93" s="3">
        <v>34.200000000000003</v>
      </c>
      <c r="E93" s="3">
        <v>5.2</v>
      </c>
    </row>
    <row r="94" spans="1:5" x14ac:dyDescent="0.55000000000000004">
      <c r="A94" s="17">
        <v>2001</v>
      </c>
      <c r="D94" s="3">
        <v>33.4</v>
      </c>
      <c r="E94" s="3">
        <v>5.0999999999999996</v>
      </c>
    </row>
    <row r="95" spans="1:5" x14ac:dyDescent="0.55000000000000004">
      <c r="A95" s="17">
        <v>2002</v>
      </c>
      <c r="D95" s="3">
        <v>32.4</v>
      </c>
      <c r="E95" s="3">
        <v>5</v>
      </c>
    </row>
    <row r="96" spans="1:5" x14ac:dyDescent="0.55000000000000004">
      <c r="A96" s="17">
        <v>2003</v>
      </c>
      <c r="D96" s="3">
        <v>31.4</v>
      </c>
      <c r="E96" s="3">
        <v>5</v>
      </c>
    </row>
    <row r="97" spans="1:5" x14ac:dyDescent="0.55000000000000004">
      <c r="A97" s="17">
        <v>2004</v>
      </c>
      <c r="D97" s="3">
        <v>30.5</v>
      </c>
      <c r="E97" s="3">
        <v>4.9000000000000004</v>
      </c>
    </row>
    <row r="98" spans="1:5" x14ac:dyDescent="0.55000000000000004">
      <c r="A98" s="17">
        <v>2005</v>
      </c>
      <c r="D98" s="3">
        <v>29.6</v>
      </c>
      <c r="E98" s="3">
        <v>4.8</v>
      </c>
    </row>
    <row r="99" spans="1:5" x14ac:dyDescent="0.55000000000000004">
      <c r="A99" s="17">
        <v>2006</v>
      </c>
      <c r="D99" s="3">
        <v>28.7</v>
      </c>
      <c r="E99" s="3">
        <v>4.8</v>
      </c>
    </row>
    <row r="100" spans="1:5" x14ac:dyDescent="0.55000000000000004">
      <c r="A100" s="17">
        <v>2007</v>
      </c>
      <c r="D100" s="3">
        <v>28.1</v>
      </c>
      <c r="E100" s="3">
        <v>4.8</v>
      </c>
    </row>
    <row r="101" spans="1:5" x14ac:dyDescent="0.55000000000000004">
      <c r="A101" s="17">
        <v>2008</v>
      </c>
      <c r="D101" s="3">
        <v>27.5</v>
      </c>
      <c r="E101" s="3">
        <v>4.7</v>
      </c>
    </row>
    <row r="102" spans="1:5" x14ac:dyDescent="0.55000000000000004">
      <c r="A102" s="17">
        <v>2009</v>
      </c>
      <c r="D102" s="3">
        <v>27</v>
      </c>
      <c r="E102" s="3">
        <v>4.7</v>
      </c>
    </row>
    <row r="103" spans="1:5" x14ac:dyDescent="0.55000000000000004">
      <c r="A103" s="17">
        <v>2010</v>
      </c>
      <c r="D103" s="3">
        <v>26.3</v>
      </c>
      <c r="E103" s="3">
        <v>4.8</v>
      </c>
    </row>
    <row r="104" spans="1:5" x14ac:dyDescent="0.55000000000000004">
      <c r="A104" s="17">
        <v>2011</v>
      </c>
      <c r="D104" s="3">
        <v>25.8</v>
      </c>
      <c r="E104" s="3">
        <v>4.7</v>
      </c>
    </row>
    <row r="105" spans="1:5" x14ac:dyDescent="0.55000000000000004">
      <c r="A105" s="17">
        <v>2012</v>
      </c>
      <c r="D105" s="3">
        <v>25.3</v>
      </c>
      <c r="E105" s="3">
        <v>4.5999999999999996</v>
      </c>
    </row>
    <row r="106" spans="1:5" x14ac:dyDescent="0.55000000000000004">
      <c r="A106" s="17">
        <v>2013</v>
      </c>
      <c r="D106" s="3">
        <v>24.8</v>
      </c>
      <c r="E106" s="3">
        <v>4.5999999999999996</v>
      </c>
    </row>
    <row r="107" spans="1:5" x14ac:dyDescent="0.55000000000000004">
      <c r="A107" s="17">
        <v>2014</v>
      </c>
      <c r="D107" s="3">
        <v>24.4</v>
      </c>
      <c r="E107" s="3">
        <v>4.5</v>
      </c>
    </row>
    <row r="108" spans="1:5" x14ac:dyDescent="0.55000000000000004">
      <c r="A108" s="17">
        <v>2015</v>
      </c>
      <c r="D108" s="3">
        <v>24.1</v>
      </c>
      <c r="E108" s="3">
        <v>4.5</v>
      </c>
    </row>
    <row r="109" spans="1:5" x14ac:dyDescent="0.55000000000000004">
      <c r="A109" s="17">
        <v>2016</v>
      </c>
      <c r="D109" s="3">
        <v>23.8</v>
      </c>
      <c r="E109" s="3">
        <v>4.4000000000000004</v>
      </c>
    </row>
    <row r="110" spans="1:5" x14ac:dyDescent="0.55000000000000004">
      <c r="A110" s="17">
        <v>2017</v>
      </c>
      <c r="D110" s="3">
        <v>23.5</v>
      </c>
      <c r="E110" s="3">
        <v>4.4000000000000004</v>
      </c>
    </row>
    <row r="111" spans="1:5" x14ac:dyDescent="0.55000000000000004">
      <c r="A111" s="17">
        <v>2018</v>
      </c>
      <c r="D111" s="3">
        <v>23.4</v>
      </c>
      <c r="E111" s="3">
        <v>4.5</v>
      </c>
    </row>
    <row r="112" spans="1:5" x14ac:dyDescent="0.55000000000000004">
      <c r="A112" s="17">
        <v>2019</v>
      </c>
      <c r="D112" s="3">
        <v>23.1</v>
      </c>
      <c r="E112" s="3">
        <v>4.5</v>
      </c>
    </row>
    <row r="113" spans="1:5" x14ac:dyDescent="0.55000000000000004">
      <c r="A113" s="17">
        <v>2020</v>
      </c>
      <c r="D113" s="3">
        <v>22.8</v>
      </c>
      <c r="E113" s="3">
        <v>5.0999999999999996</v>
      </c>
    </row>
    <row r="114" spans="1:5" x14ac:dyDescent="0.55000000000000004">
      <c r="A114" s="17">
        <v>2021</v>
      </c>
      <c r="D114" s="3">
        <v>22.5</v>
      </c>
      <c r="E114" s="3">
        <v>5.7</v>
      </c>
    </row>
    <row r="115" spans="1:5" x14ac:dyDescent="0.55000000000000004">
      <c r="A115" s="17">
        <v>2022</v>
      </c>
      <c r="D115" s="3">
        <v>22.2</v>
      </c>
      <c r="E115" s="3">
        <v>4.4000000000000004</v>
      </c>
    </row>
    <row r="116" spans="1:5" x14ac:dyDescent="0.55000000000000004">
      <c r="A116" s="17">
        <v>2023</v>
      </c>
      <c r="D116" s="3">
        <v>22</v>
      </c>
      <c r="E116" s="3">
        <v>4.5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D125"/>
  <sheetViews>
    <sheetView workbookViewId="0">
      <selection activeCell="AD37" sqref="AD3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42.8</v>
      </c>
      <c r="C2" s="3">
        <v>26.5</v>
      </c>
      <c r="D2" s="3">
        <f>B2-C2</f>
        <v>16.299999999999997</v>
      </c>
    </row>
    <row r="3" spans="1:4" x14ac:dyDescent="0.55000000000000004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4" x14ac:dyDescent="0.55000000000000004">
      <c r="A4" s="17">
        <v>1902</v>
      </c>
      <c r="B4" s="3">
        <v>42.9</v>
      </c>
      <c r="C4" s="3">
        <v>26.6</v>
      </c>
      <c r="D4" s="3">
        <f t="shared" si="0"/>
        <v>16.299999999999997</v>
      </c>
    </row>
    <row r="5" spans="1:4" x14ac:dyDescent="0.55000000000000004">
      <c r="A5" s="17">
        <v>1903</v>
      </c>
      <c r="B5" s="3">
        <v>43.1</v>
      </c>
      <c r="C5" s="3">
        <v>26.6</v>
      </c>
      <c r="D5" s="3">
        <f t="shared" si="0"/>
        <v>16.5</v>
      </c>
    </row>
    <row r="6" spans="1:4" x14ac:dyDescent="0.55000000000000004">
      <c r="A6" s="17">
        <v>1904</v>
      </c>
      <c r="B6" s="3">
        <v>43.4</v>
      </c>
      <c r="C6" s="3">
        <v>26.7</v>
      </c>
      <c r="D6" s="3">
        <f t="shared" si="0"/>
        <v>16.7</v>
      </c>
    </row>
    <row r="7" spans="1:4" x14ac:dyDescent="0.55000000000000004">
      <c r="A7" s="17">
        <v>1905</v>
      </c>
      <c r="B7" s="3">
        <v>43.7</v>
      </c>
      <c r="C7" s="3">
        <v>26.8</v>
      </c>
      <c r="D7" s="3">
        <f t="shared" si="0"/>
        <v>16.900000000000002</v>
      </c>
    </row>
    <row r="8" spans="1:4" x14ac:dyDescent="0.55000000000000004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4" x14ac:dyDescent="0.55000000000000004">
      <c r="A9" s="17">
        <v>1907</v>
      </c>
      <c r="B9" s="3">
        <v>44.1</v>
      </c>
      <c r="C9" s="3">
        <v>26.9</v>
      </c>
      <c r="D9" s="3">
        <f t="shared" si="0"/>
        <v>17.200000000000003</v>
      </c>
    </row>
    <row r="10" spans="1:4" x14ac:dyDescent="0.55000000000000004">
      <c r="A10" s="17">
        <v>1908</v>
      </c>
      <c r="B10" s="3">
        <v>44.2</v>
      </c>
      <c r="C10" s="3">
        <v>26.8</v>
      </c>
      <c r="D10" s="3">
        <f t="shared" si="0"/>
        <v>17.400000000000002</v>
      </c>
    </row>
    <row r="11" spans="1:4" x14ac:dyDescent="0.55000000000000004">
      <c r="A11" s="17">
        <v>1909</v>
      </c>
      <c r="B11" s="3">
        <v>44.2</v>
      </c>
      <c r="C11" s="3">
        <v>26.6</v>
      </c>
      <c r="D11" s="3">
        <f t="shared" si="0"/>
        <v>17.600000000000001</v>
      </c>
    </row>
    <row r="12" spans="1:4" x14ac:dyDescent="0.55000000000000004">
      <c r="A12" s="17">
        <v>1910</v>
      </c>
      <c r="B12" s="3">
        <v>44.2</v>
      </c>
      <c r="C12" s="3">
        <v>26.4</v>
      </c>
      <c r="D12" s="3">
        <f t="shared" si="0"/>
        <v>17.800000000000004</v>
      </c>
    </row>
    <row r="13" spans="1:4" x14ac:dyDescent="0.55000000000000004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4" x14ac:dyDescent="0.55000000000000004">
      <c r="A14" s="17">
        <v>1912</v>
      </c>
      <c r="B14" s="3">
        <v>44.1</v>
      </c>
      <c r="C14" s="3">
        <v>26</v>
      </c>
      <c r="D14" s="3">
        <f t="shared" si="0"/>
        <v>18.100000000000001</v>
      </c>
    </row>
    <row r="15" spans="1:4" x14ac:dyDescent="0.55000000000000004">
      <c r="A15" s="17">
        <v>1913</v>
      </c>
      <c r="B15" s="3">
        <v>44.1</v>
      </c>
      <c r="C15" s="3">
        <v>25.8</v>
      </c>
      <c r="D15" s="3">
        <f t="shared" si="0"/>
        <v>18.3</v>
      </c>
    </row>
    <row r="16" spans="1:4" x14ac:dyDescent="0.55000000000000004">
      <c r="A16" s="17">
        <v>1914</v>
      </c>
      <c r="B16" s="3">
        <v>44.1</v>
      </c>
      <c r="C16" s="3">
        <v>25.7</v>
      </c>
      <c r="D16" s="3">
        <f t="shared" si="0"/>
        <v>18.400000000000002</v>
      </c>
    </row>
    <row r="17" spans="1:4" x14ac:dyDescent="0.55000000000000004">
      <c r="A17" s="17">
        <v>1915</v>
      </c>
      <c r="B17" s="3">
        <v>44</v>
      </c>
      <c r="C17" s="3">
        <v>25.5</v>
      </c>
      <c r="D17" s="3">
        <f t="shared" si="0"/>
        <v>18.5</v>
      </c>
    </row>
    <row r="18" spans="1:4" x14ac:dyDescent="0.55000000000000004">
      <c r="A18" s="17">
        <v>1916</v>
      </c>
      <c r="B18" s="3">
        <v>44</v>
      </c>
      <c r="C18" s="3">
        <v>25.3</v>
      </c>
      <c r="D18" s="3">
        <f t="shared" si="0"/>
        <v>18.7</v>
      </c>
    </row>
    <row r="19" spans="1:4" x14ac:dyDescent="0.55000000000000004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4" x14ac:dyDescent="0.55000000000000004">
      <c r="A20" s="17">
        <v>1918</v>
      </c>
      <c r="B20" s="3">
        <v>44.1</v>
      </c>
      <c r="C20" s="3">
        <v>24.9</v>
      </c>
      <c r="D20" s="3">
        <f t="shared" si="0"/>
        <v>19.200000000000003</v>
      </c>
    </row>
    <row r="21" spans="1:4" x14ac:dyDescent="0.55000000000000004">
      <c r="A21" s="17">
        <v>1919</v>
      </c>
      <c r="B21" s="3">
        <v>44.2</v>
      </c>
      <c r="C21" s="3">
        <v>24.6</v>
      </c>
      <c r="D21" s="3">
        <f t="shared" si="0"/>
        <v>19.600000000000001</v>
      </c>
    </row>
    <row r="22" spans="1:4" x14ac:dyDescent="0.55000000000000004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4" x14ac:dyDescent="0.55000000000000004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4" x14ac:dyDescent="0.55000000000000004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4" x14ac:dyDescent="0.55000000000000004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4" x14ac:dyDescent="0.55000000000000004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4" x14ac:dyDescent="0.55000000000000004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4" x14ac:dyDescent="0.55000000000000004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4" x14ac:dyDescent="0.55000000000000004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4" x14ac:dyDescent="0.55000000000000004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4" x14ac:dyDescent="0.55000000000000004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4" x14ac:dyDescent="0.55000000000000004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55000000000000004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55000000000000004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55000000000000004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55000000000000004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55000000000000004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55000000000000004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55000000000000004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55000000000000004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55000000000000004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55000000000000004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55000000000000004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55000000000000004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55000000000000004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55000000000000004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55000000000000004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55000000000000004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55000000000000004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55000000000000004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55000000000000004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55000000000000004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55000000000000004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55000000000000004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55000000000000004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55000000000000004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55000000000000004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55000000000000004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55000000000000004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55000000000000004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55000000000000004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55000000000000004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55000000000000004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55000000000000004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55000000000000004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55000000000000004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55000000000000004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55000000000000004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55000000000000004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55000000000000004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55000000000000004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55000000000000004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55000000000000004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55000000000000004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55000000000000004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55000000000000004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55000000000000004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55000000000000004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55000000000000004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55000000000000004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55000000000000004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55000000000000004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55000000000000004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55000000000000004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55000000000000004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55000000000000004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55000000000000004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55000000000000004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55000000000000004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55000000000000004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55000000000000004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55000000000000004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55000000000000004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55000000000000004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55000000000000004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55000000000000004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55000000000000004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55000000000000004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55000000000000004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55000000000000004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55000000000000004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55000000000000004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55000000000000004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55000000000000004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55000000000000004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55000000000000004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55000000000000004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55000000000000004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55000000000000004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55000000000000004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55000000000000004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55000000000000004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55000000000000004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55000000000000004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55000000000000004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55000000000000004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55000000000000004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55000000000000004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55000000000000004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55000000000000004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55000000000000004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55000000000000004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55000000000000004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55000000000000004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55000000000000004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E16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1" sqref="D1:E2"/>
    </sheetView>
  </sheetViews>
  <sheetFormatPr defaultRowHeight="14.4" x14ac:dyDescent="0.55000000000000004"/>
  <sheetData>
    <row r="1" spans="1:5" x14ac:dyDescent="0.55000000000000004">
      <c r="B1" s="24" t="s">
        <v>115</v>
      </c>
      <c r="C1" s="24"/>
      <c r="D1" s="24" t="s">
        <v>75</v>
      </c>
      <c r="E1" s="24"/>
    </row>
    <row r="2" spans="1:5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</row>
    <row r="3" spans="1:5" x14ac:dyDescent="0.55000000000000004">
      <c r="A3" s="1">
        <v>1862</v>
      </c>
      <c r="B3" s="21">
        <v>44.4</v>
      </c>
      <c r="C3" s="21">
        <v>26.9</v>
      </c>
    </row>
    <row r="4" spans="1:5" x14ac:dyDescent="0.55000000000000004">
      <c r="A4" s="1">
        <v>1863</v>
      </c>
      <c r="B4" s="21">
        <v>44.825099999999999</v>
      </c>
      <c r="C4" s="21">
        <v>27.255199999999999</v>
      </c>
    </row>
    <row r="5" spans="1:5" x14ac:dyDescent="0.55000000000000004">
      <c r="A5" s="1">
        <v>1864</v>
      </c>
      <c r="B5" s="21">
        <v>45.2239</v>
      </c>
      <c r="C5" s="21">
        <v>27.581600000000002</v>
      </c>
    </row>
    <row r="6" spans="1:5" x14ac:dyDescent="0.55000000000000004">
      <c r="A6" s="1">
        <v>1865</v>
      </c>
      <c r="B6" s="21">
        <v>45.5702</v>
      </c>
      <c r="C6" s="21">
        <v>27.8504</v>
      </c>
    </row>
    <row r="7" spans="1:5" x14ac:dyDescent="0.55000000000000004">
      <c r="A7" s="1">
        <v>1866</v>
      </c>
      <c r="B7" s="21">
        <v>45.837600000000002</v>
      </c>
      <c r="C7" s="21">
        <v>28.032800000000002</v>
      </c>
    </row>
    <row r="8" spans="1:5" x14ac:dyDescent="0.55000000000000004">
      <c r="A8" s="1">
        <v>1867</v>
      </c>
      <c r="B8" s="21">
        <v>46</v>
      </c>
      <c r="C8" s="21">
        <v>28.1</v>
      </c>
    </row>
    <row r="9" spans="1:5" x14ac:dyDescent="0.55000000000000004">
      <c r="A9" s="1">
        <v>1868</v>
      </c>
      <c r="B9" s="21">
        <v>46.0959</v>
      </c>
      <c r="C9" s="21">
        <v>28.023199999999999</v>
      </c>
    </row>
    <row r="10" spans="1:5" x14ac:dyDescent="0.55000000000000004">
      <c r="A10" s="1">
        <v>1869</v>
      </c>
      <c r="B10" s="21">
        <v>46.178400000000003</v>
      </c>
      <c r="C10" s="21">
        <v>27.8216</v>
      </c>
    </row>
    <row r="11" spans="1:5" x14ac:dyDescent="0.55000000000000004">
      <c r="A11" s="1">
        <v>1870</v>
      </c>
      <c r="B11" s="21">
        <v>46.242899999999999</v>
      </c>
      <c r="C11" s="21">
        <v>27.538399999999999</v>
      </c>
    </row>
    <row r="12" spans="1:5" x14ac:dyDescent="0.55000000000000004">
      <c r="A12" s="1">
        <v>1871</v>
      </c>
      <c r="B12" s="21">
        <v>46.284999999999997</v>
      </c>
      <c r="C12" s="21">
        <v>27.216799999999999</v>
      </c>
    </row>
    <row r="13" spans="1:5" x14ac:dyDescent="0.55000000000000004">
      <c r="A13" s="1">
        <v>1872</v>
      </c>
      <c r="B13" s="21">
        <v>46.3</v>
      </c>
      <c r="C13" s="21">
        <v>26.9</v>
      </c>
    </row>
    <row r="14" spans="1:5" x14ac:dyDescent="0.55000000000000004">
      <c r="A14" s="1">
        <v>1873</v>
      </c>
      <c r="B14" s="21">
        <v>46.232399999999998</v>
      </c>
      <c r="C14" s="21">
        <v>26.5685</v>
      </c>
    </row>
    <row r="15" spans="1:5" x14ac:dyDescent="0.55000000000000004">
      <c r="A15" s="1">
        <v>1874</v>
      </c>
      <c r="B15" s="21">
        <v>46.049199999999999</v>
      </c>
      <c r="C15" s="21">
        <v>26.185400000000001</v>
      </c>
    </row>
    <row r="16" spans="1:5" x14ac:dyDescent="0.55000000000000004">
      <c r="A16" s="1">
        <v>1875</v>
      </c>
      <c r="B16" s="21">
        <v>45.779800000000002</v>
      </c>
      <c r="C16" s="21">
        <v>25.7681</v>
      </c>
    </row>
    <row r="17" spans="1:3" x14ac:dyDescent="0.55000000000000004">
      <c r="A17" s="1">
        <v>1876</v>
      </c>
      <c r="B17" s="21">
        <v>45.453600000000002</v>
      </c>
      <c r="C17" s="21">
        <v>25.3339</v>
      </c>
    </row>
    <row r="18" spans="1:3" x14ac:dyDescent="0.55000000000000004">
      <c r="A18" s="1">
        <v>1877</v>
      </c>
      <c r="B18" s="21">
        <v>45.1</v>
      </c>
      <c r="C18" s="21">
        <v>24.9</v>
      </c>
    </row>
    <row r="19" spans="1:3" x14ac:dyDescent="0.55000000000000004">
      <c r="A19" s="1">
        <v>1878</v>
      </c>
      <c r="B19" s="21">
        <v>44.507199999999997</v>
      </c>
      <c r="C19" s="21">
        <v>24.386900000000001</v>
      </c>
    </row>
    <row r="20" spans="1:3" x14ac:dyDescent="0.55000000000000004">
      <c r="A20" s="1">
        <v>1879</v>
      </c>
      <c r="B20" s="21">
        <v>43.610599999999998</v>
      </c>
      <c r="C20" s="21">
        <v>23.782299999999999</v>
      </c>
    </row>
    <row r="21" spans="1:3" x14ac:dyDescent="0.55000000000000004">
      <c r="A21" s="1">
        <v>1880</v>
      </c>
      <c r="B21" s="21">
        <v>42.660400000000003</v>
      </c>
      <c r="C21" s="21">
        <v>23.2042</v>
      </c>
    </row>
    <row r="22" spans="1:3" x14ac:dyDescent="0.55000000000000004">
      <c r="A22" s="1">
        <v>1881</v>
      </c>
      <c r="B22" s="21">
        <v>41.906799999999997</v>
      </c>
      <c r="C22" s="21">
        <v>22.770700000000001</v>
      </c>
    </row>
    <row r="23" spans="1:3" x14ac:dyDescent="0.55000000000000004">
      <c r="A23" s="1">
        <v>1882</v>
      </c>
      <c r="B23" s="21">
        <v>41.6</v>
      </c>
      <c r="C23" s="21">
        <v>22.6</v>
      </c>
    </row>
    <row r="24" spans="1:3" x14ac:dyDescent="0.55000000000000004">
      <c r="A24" s="1">
        <v>1883</v>
      </c>
      <c r="B24" s="21">
        <v>41.776499999999999</v>
      </c>
      <c r="C24" s="21">
        <v>22.691099999999999</v>
      </c>
    </row>
    <row r="25" spans="1:3" x14ac:dyDescent="0.55000000000000004">
      <c r="A25" s="1">
        <v>1884</v>
      </c>
      <c r="B25" s="21">
        <v>42.217500000000001</v>
      </c>
      <c r="C25" s="21">
        <v>22.941400000000002</v>
      </c>
    </row>
    <row r="26" spans="1:3" x14ac:dyDescent="0.55000000000000004">
      <c r="A26" s="1">
        <v>1885</v>
      </c>
      <c r="B26" s="21">
        <v>42.790300000000002</v>
      </c>
      <c r="C26" s="21">
        <v>23.315999999999999</v>
      </c>
    </row>
    <row r="27" spans="1:3" x14ac:dyDescent="0.55000000000000004">
      <c r="A27" s="1">
        <v>1886</v>
      </c>
      <c r="B27" s="21">
        <v>43.362000000000002</v>
      </c>
      <c r="C27" s="21">
        <v>23.7805</v>
      </c>
    </row>
    <row r="28" spans="1:3" x14ac:dyDescent="0.55000000000000004">
      <c r="A28" s="1">
        <v>1887</v>
      </c>
      <c r="B28" s="21">
        <v>43.8</v>
      </c>
      <c r="C28" s="21">
        <v>24.3</v>
      </c>
    </row>
    <row r="29" spans="1:3" x14ac:dyDescent="0.55000000000000004">
      <c r="A29" s="1">
        <v>1888</v>
      </c>
      <c r="B29" s="21">
        <v>44.1248</v>
      </c>
      <c r="C29" s="21">
        <v>25.228999999999999</v>
      </c>
    </row>
    <row r="30" spans="1:3" x14ac:dyDescent="0.55000000000000004">
      <c r="A30" s="1">
        <v>1889</v>
      </c>
      <c r="B30" s="21">
        <v>44.434199999999997</v>
      </c>
      <c r="C30" s="21">
        <v>26.696300000000001</v>
      </c>
    </row>
    <row r="31" spans="1:3" x14ac:dyDescent="0.55000000000000004">
      <c r="A31" s="1">
        <v>1890</v>
      </c>
      <c r="B31" s="21">
        <v>44.711199999999998</v>
      </c>
      <c r="C31" s="21">
        <v>28.3291</v>
      </c>
    </row>
    <row r="32" spans="1:3" x14ac:dyDescent="0.55000000000000004">
      <c r="A32" s="1">
        <v>1891</v>
      </c>
      <c r="B32" s="21">
        <v>44.938800000000001</v>
      </c>
      <c r="C32" s="21">
        <v>29.7546</v>
      </c>
    </row>
    <row r="33" spans="1:3" x14ac:dyDescent="0.55000000000000004">
      <c r="A33" s="1">
        <v>1892</v>
      </c>
      <c r="B33" s="21">
        <v>45.1</v>
      </c>
      <c r="C33" s="21">
        <v>30.6</v>
      </c>
    </row>
    <row r="34" spans="1:3" x14ac:dyDescent="0.55000000000000004">
      <c r="A34" s="1">
        <v>1893</v>
      </c>
      <c r="B34" s="21">
        <v>45.219900000000003</v>
      </c>
      <c r="C34" s="21">
        <v>31.011099999999999</v>
      </c>
    </row>
    <row r="35" spans="1:3" x14ac:dyDescent="0.55000000000000004">
      <c r="A35" s="1">
        <v>1894</v>
      </c>
      <c r="B35" s="21">
        <v>45.328899999999997</v>
      </c>
      <c r="C35" s="21">
        <v>31.367999999999999</v>
      </c>
    </row>
    <row r="36" spans="1:3" x14ac:dyDescent="0.55000000000000004">
      <c r="A36" s="1">
        <v>1895</v>
      </c>
      <c r="B36" s="21">
        <v>45.417900000000003</v>
      </c>
      <c r="C36" s="21">
        <v>31.6493</v>
      </c>
    </row>
    <row r="37" spans="1:3" x14ac:dyDescent="0.55000000000000004">
      <c r="A37" s="1">
        <v>1896</v>
      </c>
      <c r="B37" s="21">
        <v>45.478000000000002</v>
      </c>
      <c r="C37" s="21">
        <v>31.8338</v>
      </c>
    </row>
    <row r="38" spans="1:3" x14ac:dyDescent="0.55000000000000004">
      <c r="A38" s="1">
        <v>1897</v>
      </c>
      <c r="B38" s="21">
        <v>45.5</v>
      </c>
      <c r="C38" s="21">
        <v>31.9</v>
      </c>
    </row>
    <row r="39" spans="1:3" x14ac:dyDescent="0.55000000000000004">
      <c r="A39" s="1">
        <v>1898</v>
      </c>
      <c r="B39" s="21">
        <v>45.250399999999999</v>
      </c>
      <c r="C39" s="21">
        <v>31.702400000000001</v>
      </c>
    </row>
    <row r="40" spans="1:3" x14ac:dyDescent="0.55000000000000004">
      <c r="A40" s="1">
        <v>1899</v>
      </c>
      <c r="B40" s="21">
        <v>44.655200000000001</v>
      </c>
      <c r="C40" s="21">
        <v>31.231200000000001</v>
      </c>
    </row>
    <row r="41" spans="1:3" x14ac:dyDescent="0.55000000000000004">
      <c r="A41" s="1">
        <v>1900</v>
      </c>
      <c r="B41" s="21">
        <v>43.944800000000001</v>
      </c>
      <c r="C41" s="21">
        <v>30.668800000000001</v>
      </c>
    </row>
    <row r="42" spans="1:3" x14ac:dyDescent="0.55000000000000004">
      <c r="A42" s="1">
        <v>1901</v>
      </c>
      <c r="B42" s="21">
        <v>43.349600000000002</v>
      </c>
      <c r="C42" s="21">
        <v>30.197600000000001</v>
      </c>
    </row>
    <row r="43" spans="1:3" x14ac:dyDescent="0.55000000000000004">
      <c r="A43" s="1">
        <v>1902</v>
      </c>
      <c r="B43" s="21">
        <v>43.1</v>
      </c>
      <c r="C43" s="21">
        <v>30</v>
      </c>
    </row>
    <row r="44" spans="1:3" x14ac:dyDescent="0.55000000000000004">
      <c r="A44" s="1">
        <v>1903</v>
      </c>
      <c r="B44" s="21">
        <v>43.4146</v>
      </c>
      <c r="C44" s="21">
        <v>30.2288</v>
      </c>
    </row>
    <row r="45" spans="1:3" x14ac:dyDescent="0.55000000000000004">
      <c r="A45" s="1">
        <v>1904</v>
      </c>
      <c r="B45" s="21">
        <v>44.2119</v>
      </c>
      <c r="C45" s="21">
        <v>30.7744</v>
      </c>
    </row>
    <row r="46" spans="1:3" x14ac:dyDescent="0.55000000000000004">
      <c r="A46" s="1">
        <v>1905</v>
      </c>
      <c r="B46" s="21">
        <v>45.271799999999999</v>
      </c>
      <c r="C46" s="21">
        <v>31.425599999999999</v>
      </c>
    </row>
    <row r="47" spans="1:3" x14ac:dyDescent="0.55000000000000004">
      <c r="A47" s="1">
        <v>1906</v>
      </c>
      <c r="B47" s="21">
        <v>46.374499999999998</v>
      </c>
      <c r="C47" s="21">
        <v>31.9712</v>
      </c>
    </row>
    <row r="48" spans="1:3" x14ac:dyDescent="0.55000000000000004">
      <c r="A48" s="1">
        <v>1907</v>
      </c>
      <c r="B48" s="21">
        <v>47.3</v>
      </c>
      <c r="C48" s="21">
        <v>32.200000000000003</v>
      </c>
    </row>
    <row r="49" spans="1:3" x14ac:dyDescent="0.55000000000000004">
      <c r="A49" s="1">
        <v>1908</v>
      </c>
      <c r="B49" s="21">
        <v>48.152700000000003</v>
      </c>
      <c r="C49" s="21">
        <v>32.023200000000003</v>
      </c>
    </row>
    <row r="50" spans="1:3" x14ac:dyDescent="0.55000000000000004">
      <c r="A50" s="1">
        <v>1909</v>
      </c>
      <c r="B50" s="21">
        <v>49.081800000000001</v>
      </c>
      <c r="C50" s="21">
        <v>31.601600000000001</v>
      </c>
    </row>
    <row r="51" spans="1:3" x14ac:dyDescent="0.55000000000000004">
      <c r="A51" s="1">
        <v>1910</v>
      </c>
      <c r="B51" s="21">
        <v>49.9345</v>
      </c>
      <c r="C51" s="21">
        <v>31.098400000000002</v>
      </c>
    </row>
    <row r="52" spans="1:3" x14ac:dyDescent="0.55000000000000004">
      <c r="A52" s="1">
        <v>1911</v>
      </c>
      <c r="B52" s="21">
        <v>50.558199999999999</v>
      </c>
      <c r="C52" s="21">
        <v>30.6768</v>
      </c>
    </row>
    <row r="53" spans="1:3" x14ac:dyDescent="0.55000000000000004">
      <c r="A53" s="1">
        <v>1912</v>
      </c>
      <c r="B53" s="21">
        <v>50.8</v>
      </c>
      <c r="C53" s="21">
        <v>30.5</v>
      </c>
    </row>
    <row r="54" spans="1:3" x14ac:dyDescent="0.55000000000000004">
      <c r="A54" s="1">
        <v>1913</v>
      </c>
      <c r="B54" s="21">
        <v>50.647500000000001</v>
      </c>
      <c r="C54" s="21">
        <v>30.707999999999998</v>
      </c>
    </row>
    <row r="55" spans="1:3" x14ac:dyDescent="0.55000000000000004">
      <c r="A55" s="1">
        <v>1914</v>
      </c>
      <c r="B55" s="21">
        <v>50.254399999999997</v>
      </c>
      <c r="C55" s="21">
        <v>31.204000000000001</v>
      </c>
    </row>
    <row r="56" spans="1:3" x14ac:dyDescent="0.55000000000000004">
      <c r="A56" s="1">
        <v>1915</v>
      </c>
      <c r="B56" s="21">
        <v>49.717599999999997</v>
      </c>
      <c r="C56" s="21">
        <v>31.795999999999999</v>
      </c>
    </row>
    <row r="57" spans="1:3" x14ac:dyDescent="0.55000000000000004">
      <c r="A57" s="1">
        <v>1916</v>
      </c>
      <c r="B57" s="21">
        <v>49.133899999999997</v>
      </c>
      <c r="C57" s="21">
        <v>32.292000000000002</v>
      </c>
    </row>
    <row r="58" spans="1:3" x14ac:dyDescent="0.55000000000000004">
      <c r="A58" s="1">
        <v>1917</v>
      </c>
      <c r="B58" s="21">
        <v>48.6</v>
      </c>
      <c r="C58" s="21">
        <v>32.5</v>
      </c>
    </row>
    <row r="59" spans="1:3" x14ac:dyDescent="0.55000000000000004">
      <c r="A59" s="1">
        <v>1918</v>
      </c>
      <c r="B59" s="21">
        <v>48.024500000000003</v>
      </c>
      <c r="C59" s="21">
        <v>32.26</v>
      </c>
    </row>
    <row r="60" spans="1:3" x14ac:dyDescent="0.55000000000000004">
      <c r="A60" s="1">
        <v>1919</v>
      </c>
      <c r="B60" s="21">
        <v>47.3416</v>
      </c>
      <c r="C60" s="21">
        <v>31.66</v>
      </c>
    </row>
    <row r="61" spans="1:3" x14ac:dyDescent="0.55000000000000004">
      <c r="A61" s="1">
        <v>1920</v>
      </c>
      <c r="B61" s="21">
        <v>46.686399999999999</v>
      </c>
      <c r="C61" s="21">
        <v>30.88</v>
      </c>
    </row>
    <row r="62" spans="1:3" x14ac:dyDescent="0.55000000000000004">
      <c r="A62" s="1">
        <v>1921</v>
      </c>
      <c r="B62" s="21">
        <v>46.194099999999999</v>
      </c>
      <c r="C62" s="21">
        <v>30.1</v>
      </c>
    </row>
    <row r="63" spans="1:3" x14ac:dyDescent="0.55000000000000004">
      <c r="A63" s="1">
        <v>1922</v>
      </c>
      <c r="B63" s="21">
        <v>46</v>
      </c>
      <c r="C63" s="21">
        <v>29.5</v>
      </c>
    </row>
    <row r="64" spans="1:3" x14ac:dyDescent="0.55000000000000004">
      <c r="A64" s="1">
        <v>1923</v>
      </c>
      <c r="B64" s="21">
        <v>46.291200000000003</v>
      </c>
      <c r="C64" s="21">
        <v>29.096800000000002</v>
      </c>
    </row>
    <row r="65" spans="1:3" x14ac:dyDescent="0.55000000000000004">
      <c r="A65" s="1">
        <v>1924</v>
      </c>
      <c r="B65" s="21">
        <v>46.985599999999998</v>
      </c>
      <c r="C65" s="21">
        <v>28.758400000000002</v>
      </c>
    </row>
    <row r="66" spans="1:3" x14ac:dyDescent="0.55000000000000004">
      <c r="A66" s="1">
        <v>1925</v>
      </c>
      <c r="B66" s="21">
        <v>47.814399999999999</v>
      </c>
      <c r="C66" s="21">
        <v>28.441600000000001</v>
      </c>
    </row>
    <row r="67" spans="1:3" x14ac:dyDescent="0.55000000000000004">
      <c r="A67" s="1">
        <v>1926</v>
      </c>
      <c r="B67" s="21">
        <v>48.508800000000001</v>
      </c>
      <c r="C67" s="21">
        <v>28.103200000000001</v>
      </c>
    </row>
    <row r="68" spans="1:3" x14ac:dyDescent="0.55000000000000004">
      <c r="A68" s="1">
        <v>1927</v>
      </c>
      <c r="B68" s="21">
        <v>48.8</v>
      </c>
      <c r="C68" s="21">
        <v>27.7</v>
      </c>
    </row>
    <row r="69" spans="1:3" x14ac:dyDescent="0.55000000000000004">
      <c r="A69" s="1">
        <v>1928</v>
      </c>
      <c r="B69" s="21">
        <v>48.649500000000003</v>
      </c>
      <c r="C69" s="21">
        <v>27.1812</v>
      </c>
    </row>
    <row r="70" spans="1:3" x14ac:dyDescent="0.55000000000000004">
      <c r="A70" s="1">
        <v>1929</v>
      </c>
      <c r="B70" s="21">
        <v>48.272399999999998</v>
      </c>
      <c r="C70" s="21">
        <v>26.563700000000001</v>
      </c>
    </row>
    <row r="71" spans="1:3" x14ac:dyDescent="0.55000000000000004">
      <c r="A71" s="1">
        <v>1930</v>
      </c>
      <c r="B71" s="21">
        <v>47.7806</v>
      </c>
      <c r="C71" s="21">
        <v>25.9055</v>
      </c>
    </row>
    <row r="72" spans="1:3" x14ac:dyDescent="0.55000000000000004">
      <c r="A72" s="1">
        <v>1931</v>
      </c>
      <c r="B72" s="21">
        <v>47.285899999999998</v>
      </c>
      <c r="C72" s="21">
        <v>25.264900000000001</v>
      </c>
    </row>
    <row r="73" spans="1:3" x14ac:dyDescent="0.55000000000000004">
      <c r="A73" s="1">
        <v>1932</v>
      </c>
      <c r="B73" s="21">
        <v>46.9</v>
      </c>
      <c r="C73" s="21">
        <v>24.7</v>
      </c>
    </row>
    <row r="74" spans="1:3" x14ac:dyDescent="0.55000000000000004">
      <c r="A74" s="1">
        <v>1933</v>
      </c>
      <c r="B74" s="21">
        <v>46.623600000000003</v>
      </c>
      <c r="C74" s="21">
        <v>24.2182</v>
      </c>
    </row>
    <row r="75" spans="1:3" x14ac:dyDescent="0.55000000000000004">
      <c r="A75" s="1">
        <v>1934</v>
      </c>
      <c r="B75" s="21">
        <v>46.375999999999998</v>
      </c>
      <c r="C75" s="21">
        <v>23.776</v>
      </c>
    </row>
    <row r="76" spans="1:3" x14ac:dyDescent="0.55000000000000004">
      <c r="A76" s="1">
        <v>1935</v>
      </c>
      <c r="B76" s="21">
        <v>46.146500000000003</v>
      </c>
      <c r="C76" s="21">
        <v>23.354500000000002</v>
      </c>
    </row>
    <row r="77" spans="1:3" x14ac:dyDescent="0.55000000000000004">
      <c r="A77" s="1">
        <v>1936</v>
      </c>
      <c r="B77" s="21">
        <v>45.924700000000001</v>
      </c>
      <c r="C77" s="21">
        <v>22.935400000000001</v>
      </c>
    </row>
    <row r="78" spans="1:3" x14ac:dyDescent="0.55000000000000004">
      <c r="A78" s="1">
        <v>1937</v>
      </c>
      <c r="B78" s="21">
        <v>45.7</v>
      </c>
      <c r="C78" s="21">
        <v>22.5</v>
      </c>
    </row>
    <row r="79" spans="1:3" x14ac:dyDescent="0.55000000000000004">
      <c r="A79" s="1">
        <v>1938</v>
      </c>
      <c r="B79" s="21">
        <v>45.438699999999997</v>
      </c>
      <c r="C79" s="21">
        <v>22.072500000000002</v>
      </c>
    </row>
    <row r="80" spans="1:3" x14ac:dyDescent="0.55000000000000004">
      <c r="A80" s="1">
        <v>1939</v>
      </c>
      <c r="B80" s="21">
        <v>45.147500000000001</v>
      </c>
      <c r="C80" s="21">
        <v>21.665099999999999</v>
      </c>
    </row>
    <row r="81" spans="1:5" x14ac:dyDescent="0.55000000000000004">
      <c r="A81" s="1">
        <v>1940</v>
      </c>
      <c r="B81" s="21">
        <v>44.877000000000002</v>
      </c>
      <c r="C81" s="21">
        <v>21.241499999999998</v>
      </c>
    </row>
    <row r="82" spans="1:5" x14ac:dyDescent="0.55000000000000004">
      <c r="A82" s="1">
        <v>1941</v>
      </c>
      <c r="B82" s="21">
        <v>44.677700000000002</v>
      </c>
      <c r="C82" s="21">
        <v>20.7653</v>
      </c>
    </row>
    <row r="83" spans="1:5" x14ac:dyDescent="0.55000000000000004">
      <c r="A83" s="1">
        <v>1942</v>
      </c>
      <c r="B83" s="21">
        <v>44.6</v>
      </c>
      <c r="C83" s="21">
        <v>20.2</v>
      </c>
    </row>
    <row r="84" spans="1:5" x14ac:dyDescent="0.55000000000000004">
      <c r="A84" s="1">
        <v>1943</v>
      </c>
      <c r="B84" s="21">
        <v>44.604300000000002</v>
      </c>
      <c r="C84" s="21">
        <v>19.415900000000001</v>
      </c>
    </row>
    <row r="85" spans="1:5" x14ac:dyDescent="0.55000000000000004">
      <c r="A85" s="1">
        <v>1944</v>
      </c>
      <c r="B85" s="21">
        <v>44.616799999999998</v>
      </c>
      <c r="C85" s="21">
        <v>18.402100000000001</v>
      </c>
    </row>
    <row r="86" spans="1:5" x14ac:dyDescent="0.55000000000000004">
      <c r="A86" s="1">
        <v>1945</v>
      </c>
      <c r="B86" s="21">
        <v>44.6372</v>
      </c>
      <c r="C86" s="21">
        <v>17.3004</v>
      </c>
    </row>
    <row r="87" spans="1:5" x14ac:dyDescent="0.55000000000000004">
      <c r="A87" s="1">
        <v>1946</v>
      </c>
      <c r="B87" s="21">
        <v>44.664999999999999</v>
      </c>
      <c r="C87" s="21">
        <v>16.252400000000002</v>
      </c>
    </row>
    <row r="88" spans="1:5" x14ac:dyDescent="0.55000000000000004">
      <c r="A88" s="1">
        <v>1947</v>
      </c>
      <c r="B88" s="21">
        <v>44.7</v>
      </c>
      <c r="C88" s="21">
        <v>15.4</v>
      </c>
    </row>
    <row r="89" spans="1:5" x14ac:dyDescent="0.55000000000000004">
      <c r="A89" s="1">
        <v>1948</v>
      </c>
      <c r="B89" s="21">
        <v>44.862000000000002</v>
      </c>
      <c r="C89" s="21">
        <v>14.7339</v>
      </c>
    </row>
    <row r="90" spans="1:5" x14ac:dyDescent="0.55000000000000004">
      <c r="A90" s="1">
        <v>1949</v>
      </c>
      <c r="B90" s="21">
        <v>45.2361</v>
      </c>
      <c r="C90" s="21">
        <v>14.138500000000001</v>
      </c>
    </row>
    <row r="91" spans="1:5" x14ac:dyDescent="0.55000000000000004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</row>
    <row r="92" spans="1:5" x14ac:dyDescent="0.55000000000000004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</row>
    <row r="93" spans="1:5" x14ac:dyDescent="0.55000000000000004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</row>
    <row r="94" spans="1:5" x14ac:dyDescent="0.55000000000000004">
      <c r="A94" s="1">
        <f>A93+1</f>
        <v>1953</v>
      </c>
      <c r="D94" s="3">
        <v>45.8</v>
      </c>
      <c r="E94" s="3">
        <v>11.1</v>
      </c>
    </row>
    <row r="95" spans="1:5" x14ac:dyDescent="0.55000000000000004">
      <c r="A95" s="1">
        <f t="shared" ref="A95:A158" si="0">A94+1</f>
        <v>1954</v>
      </c>
      <c r="D95" s="3">
        <v>45.8</v>
      </c>
      <c r="E95" s="3">
        <v>10.7</v>
      </c>
    </row>
    <row r="96" spans="1:5" x14ac:dyDescent="0.55000000000000004">
      <c r="A96" s="1">
        <f t="shared" si="0"/>
        <v>1955</v>
      </c>
      <c r="D96" s="3">
        <v>45.8</v>
      </c>
      <c r="E96" s="3">
        <v>10.3</v>
      </c>
    </row>
    <row r="97" spans="1:5" x14ac:dyDescent="0.55000000000000004">
      <c r="A97" s="1">
        <f t="shared" si="0"/>
        <v>1956</v>
      </c>
      <c r="D97" s="3">
        <v>45.8</v>
      </c>
      <c r="E97" s="3">
        <v>9.9</v>
      </c>
    </row>
    <row r="98" spans="1:5" x14ac:dyDescent="0.55000000000000004">
      <c r="A98" s="1">
        <f t="shared" si="0"/>
        <v>1957</v>
      </c>
      <c r="D98" s="3">
        <v>45.9</v>
      </c>
      <c r="E98" s="3">
        <v>9.6999999999999993</v>
      </c>
    </row>
    <row r="99" spans="1:5" x14ac:dyDescent="0.55000000000000004">
      <c r="A99" s="1">
        <f t="shared" si="0"/>
        <v>1958</v>
      </c>
      <c r="D99" s="3">
        <v>46</v>
      </c>
      <c r="E99" s="3">
        <v>9.3000000000000007</v>
      </c>
    </row>
    <row r="100" spans="1:5" x14ac:dyDescent="0.55000000000000004">
      <c r="A100" s="1">
        <f t="shared" si="0"/>
        <v>1959</v>
      </c>
      <c r="D100" s="3">
        <v>45.9</v>
      </c>
      <c r="E100" s="3">
        <v>9</v>
      </c>
    </row>
    <row r="101" spans="1:5" x14ac:dyDescent="0.55000000000000004">
      <c r="A101" s="1">
        <f t="shared" si="0"/>
        <v>1960</v>
      </c>
      <c r="D101" s="3">
        <v>45.5</v>
      </c>
      <c r="E101" s="3">
        <v>8.6999999999999993</v>
      </c>
    </row>
    <row r="102" spans="1:5" x14ac:dyDescent="0.55000000000000004">
      <c r="A102" s="1">
        <f t="shared" si="0"/>
        <v>1961</v>
      </c>
      <c r="D102" s="3">
        <v>44.8</v>
      </c>
      <c r="E102" s="3">
        <v>8.4</v>
      </c>
    </row>
    <row r="103" spans="1:5" x14ac:dyDescent="0.55000000000000004">
      <c r="A103" s="1">
        <f t="shared" si="0"/>
        <v>1962</v>
      </c>
      <c r="D103" s="3">
        <v>43.9</v>
      </c>
      <c r="E103" s="3">
        <v>8.1999999999999993</v>
      </c>
    </row>
    <row r="104" spans="1:5" x14ac:dyDescent="0.55000000000000004">
      <c r="A104" s="1">
        <f t="shared" si="0"/>
        <v>1963</v>
      </c>
      <c r="D104" s="3">
        <v>42.7</v>
      </c>
      <c r="E104" s="3">
        <v>8</v>
      </c>
    </row>
    <row r="105" spans="1:5" x14ac:dyDescent="0.55000000000000004">
      <c r="A105" s="1">
        <f t="shared" si="0"/>
        <v>1964</v>
      </c>
      <c r="D105" s="3">
        <v>41.4</v>
      </c>
      <c r="E105" s="3">
        <v>7.8</v>
      </c>
    </row>
    <row r="106" spans="1:5" x14ac:dyDescent="0.55000000000000004">
      <c r="A106" s="1">
        <f t="shared" si="0"/>
        <v>1965</v>
      </c>
      <c r="D106" s="3">
        <v>39.9</v>
      </c>
      <c r="E106" s="3">
        <v>7.6</v>
      </c>
    </row>
    <row r="107" spans="1:5" x14ac:dyDescent="0.55000000000000004">
      <c r="A107" s="1">
        <f t="shared" si="0"/>
        <v>1966</v>
      </c>
      <c r="D107" s="3">
        <v>38.299999999999997</v>
      </c>
      <c r="E107" s="3">
        <v>7.3</v>
      </c>
    </row>
    <row r="108" spans="1:5" x14ac:dyDescent="0.55000000000000004">
      <c r="A108" s="1">
        <f t="shared" si="0"/>
        <v>1967</v>
      </c>
      <c r="D108" s="3">
        <v>36.799999999999997</v>
      </c>
      <c r="E108" s="3">
        <v>7</v>
      </c>
    </row>
    <row r="109" spans="1:5" x14ac:dyDescent="0.55000000000000004">
      <c r="A109" s="1">
        <f t="shared" si="0"/>
        <v>1968</v>
      </c>
      <c r="D109" s="3">
        <v>34.6</v>
      </c>
      <c r="E109" s="3">
        <v>6.8</v>
      </c>
    </row>
    <row r="110" spans="1:5" x14ac:dyDescent="0.55000000000000004">
      <c r="A110" s="1">
        <f t="shared" si="0"/>
        <v>1969</v>
      </c>
      <c r="D110" s="3">
        <v>33.799999999999997</v>
      </c>
      <c r="E110" s="3">
        <v>6.5</v>
      </c>
    </row>
    <row r="111" spans="1:5" x14ac:dyDescent="0.55000000000000004">
      <c r="A111" s="1">
        <f t="shared" si="0"/>
        <v>1970</v>
      </c>
      <c r="D111" s="3">
        <v>32.6</v>
      </c>
      <c r="E111" s="3">
        <v>6.3</v>
      </c>
    </row>
    <row r="112" spans="1:5" x14ac:dyDescent="0.55000000000000004">
      <c r="A112" s="1">
        <f t="shared" si="0"/>
        <v>1971</v>
      </c>
      <c r="D112" s="3">
        <v>31.6</v>
      </c>
      <c r="E112" s="3">
        <v>6</v>
      </c>
    </row>
    <row r="113" spans="1:5" x14ac:dyDescent="0.55000000000000004">
      <c r="A113" s="1">
        <f t="shared" si="0"/>
        <v>1972</v>
      </c>
      <c r="D113" s="3">
        <v>30.7</v>
      </c>
      <c r="E113" s="3">
        <v>5.7</v>
      </c>
    </row>
    <row r="114" spans="1:5" x14ac:dyDescent="0.55000000000000004">
      <c r="A114" s="1">
        <f t="shared" si="0"/>
        <v>1973</v>
      </c>
      <c r="D114" s="3">
        <v>30.1</v>
      </c>
      <c r="E114" s="3">
        <v>5.5</v>
      </c>
    </row>
    <row r="115" spans="1:5" x14ac:dyDescent="0.55000000000000004">
      <c r="A115" s="1">
        <f t="shared" si="0"/>
        <v>1974</v>
      </c>
      <c r="D115" s="3">
        <v>29.9</v>
      </c>
      <c r="E115" s="3">
        <v>5.2</v>
      </c>
    </row>
    <row r="116" spans="1:5" x14ac:dyDescent="0.55000000000000004">
      <c r="A116" s="1">
        <f t="shared" si="0"/>
        <v>1975</v>
      </c>
      <c r="D116" s="3">
        <v>29.8</v>
      </c>
      <c r="E116" s="3">
        <v>4.9000000000000004</v>
      </c>
    </row>
    <row r="117" spans="1:5" x14ac:dyDescent="0.55000000000000004">
      <c r="A117" s="1">
        <f t="shared" si="0"/>
        <v>1976</v>
      </c>
      <c r="D117" s="3">
        <v>29.9</v>
      </c>
      <c r="E117" s="3">
        <v>4.7</v>
      </c>
    </row>
    <row r="118" spans="1:5" x14ac:dyDescent="0.55000000000000004">
      <c r="A118" s="1">
        <f t="shared" si="0"/>
        <v>1977</v>
      </c>
      <c r="D118" s="3">
        <v>30</v>
      </c>
      <c r="E118" s="3">
        <v>4.5999999999999996</v>
      </c>
    </row>
    <row r="119" spans="1:5" x14ac:dyDescent="0.55000000000000004">
      <c r="A119" s="1">
        <f t="shared" si="0"/>
        <v>1978</v>
      </c>
      <c r="D119" s="3">
        <v>30.2</v>
      </c>
      <c r="E119" s="3">
        <v>4.5</v>
      </c>
    </row>
    <row r="120" spans="1:5" x14ac:dyDescent="0.55000000000000004">
      <c r="A120" s="1">
        <f t="shared" si="0"/>
        <v>1979</v>
      </c>
      <c r="D120" s="3">
        <v>30.5</v>
      </c>
      <c r="E120" s="3">
        <v>4.3</v>
      </c>
    </row>
    <row r="121" spans="1:5" x14ac:dyDescent="0.55000000000000004">
      <c r="A121" s="1">
        <f t="shared" si="0"/>
        <v>1980</v>
      </c>
      <c r="D121" s="3">
        <v>30.4</v>
      </c>
      <c r="E121" s="3">
        <v>4.2</v>
      </c>
    </row>
    <row r="122" spans="1:5" x14ac:dyDescent="0.55000000000000004">
      <c r="A122" s="1">
        <f t="shared" si="0"/>
        <v>1981</v>
      </c>
      <c r="D122" s="3">
        <v>30.4</v>
      </c>
      <c r="E122" s="3">
        <v>4.0999999999999996</v>
      </c>
    </row>
    <row r="123" spans="1:5" x14ac:dyDescent="0.55000000000000004">
      <c r="A123" s="1">
        <f t="shared" si="0"/>
        <v>1982</v>
      </c>
      <c r="D123" s="3">
        <v>30.5</v>
      </c>
      <c r="E123" s="3">
        <v>4</v>
      </c>
    </row>
    <row r="124" spans="1:5" x14ac:dyDescent="0.55000000000000004">
      <c r="A124" s="1">
        <f t="shared" si="0"/>
        <v>1983</v>
      </c>
      <c r="D124" s="3">
        <v>30.5</v>
      </c>
      <c r="E124" s="3">
        <v>3.9</v>
      </c>
    </row>
    <row r="125" spans="1:5" x14ac:dyDescent="0.55000000000000004">
      <c r="A125" s="1">
        <f t="shared" si="0"/>
        <v>1984</v>
      </c>
      <c r="D125" s="3">
        <v>30.5</v>
      </c>
      <c r="E125" s="3">
        <v>3.9</v>
      </c>
    </row>
    <row r="126" spans="1:5" x14ac:dyDescent="0.55000000000000004">
      <c r="A126" s="1">
        <f t="shared" si="0"/>
        <v>1985</v>
      </c>
      <c r="D126" s="3">
        <v>30.4</v>
      </c>
      <c r="E126" s="3">
        <v>3.9</v>
      </c>
    </row>
    <row r="127" spans="1:5" x14ac:dyDescent="0.55000000000000004">
      <c r="A127" s="1">
        <f t="shared" si="0"/>
        <v>1986</v>
      </c>
      <c r="D127" s="3">
        <v>29.8</v>
      </c>
      <c r="E127" s="3">
        <v>3.9</v>
      </c>
    </row>
    <row r="128" spans="1:5" x14ac:dyDescent="0.55000000000000004">
      <c r="A128" s="1">
        <f t="shared" si="0"/>
        <v>1987</v>
      </c>
      <c r="D128" s="3">
        <v>29.1</v>
      </c>
      <c r="E128" s="3">
        <v>3.8</v>
      </c>
    </row>
    <row r="129" spans="1:5" x14ac:dyDescent="0.55000000000000004">
      <c r="A129" s="1">
        <f t="shared" si="0"/>
        <v>1988</v>
      </c>
      <c r="D129" s="3">
        <v>28.3</v>
      </c>
      <c r="E129" s="3">
        <v>3.8</v>
      </c>
    </row>
    <row r="130" spans="1:5" x14ac:dyDescent="0.55000000000000004">
      <c r="A130" s="1">
        <f t="shared" si="0"/>
        <v>1989</v>
      </c>
      <c r="D130" s="3">
        <v>27.5</v>
      </c>
      <c r="E130" s="3">
        <v>3.7</v>
      </c>
    </row>
    <row r="131" spans="1:5" x14ac:dyDescent="0.55000000000000004">
      <c r="A131" s="1">
        <f t="shared" si="0"/>
        <v>1990</v>
      </c>
      <c r="D131" s="3">
        <v>26.7</v>
      </c>
      <c r="E131" s="3">
        <v>3.7</v>
      </c>
    </row>
    <row r="132" spans="1:5" x14ac:dyDescent="0.55000000000000004">
      <c r="A132" s="1">
        <f t="shared" si="0"/>
        <v>1991</v>
      </c>
      <c r="D132" s="3">
        <v>25.7</v>
      </c>
      <c r="E132" s="3">
        <v>3.7</v>
      </c>
    </row>
    <row r="133" spans="1:5" x14ac:dyDescent="0.55000000000000004">
      <c r="A133" s="1">
        <f t="shared" si="0"/>
        <v>1992</v>
      </c>
      <c r="D133" s="3">
        <v>25</v>
      </c>
      <c r="E133" s="3">
        <v>3.7</v>
      </c>
    </row>
    <row r="134" spans="1:5" x14ac:dyDescent="0.55000000000000004">
      <c r="A134" s="1">
        <f t="shared" si="0"/>
        <v>1993</v>
      </c>
      <c r="D134" s="3">
        <v>24.3</v>
      </c>
      <c r="E134" s="3">
        <v>3.8</v>
      </c>
    </row>
    <row r="135" spans="1:5" x14ac:dyDescent="0.55000000000000004">
      <c r="A135" s="1">
        <f t="shared" si="0"/>
        <v>1994</v>
      </c>
      <c r="D135" s="3">
        <v>23.6</v>
      </c>
      <c r="E135" s="3">
        <v>3.8</v>
      </c>
    </row>
    <row r="136" spans="1:5" x14ac:dyDescent="0.55000000000000004">
      <c r="A136" s="1">
        <f t="shared" si="0"/>
        <v>1995</v>
      </c>
      <c r="D136" s="3">
        <v>23</v>
      </c>
      <c r="E136" s="3">
        <v>3.9</v>
      </c>
    </row>
    <row r="137" spans="1:5" x14ac:dyDescent="0.55000000000000004">
      <c r="A137" s="1">
        <f t="shared" si="0"/>
        <v>1996</v>
      </c>
      <c r="D137" s="3">
        <v>22.2</v>
      </c>
      <c r="E137" s="3">
        <v>3.9</v>
      </c>
    </row>
    <row r="138" spans="1:5" x14ac:dyDescent="0.55000000000000004">
      <c r="A138" s="1">
        <f t="shared" si="0"/>
        <v>1997</v>
      </c>
      <c r="D138" s="3">
        <v>21.5</v>
      </c>
      <c r="E138" s="3">
        <v>3.9</v>
      </c>
    </row>
    <row r="139" spans="1:5" x14ac:dyDescent="0.55000000000000004">
      <c r="A139" s="1">
        <f t="shared" si="0"/>
        <v>1998</v>
      </c>
      <c r="D139" s="3">
        <v>21</v>
      </c>
      <c r="E139" s="3">
        <v>3.9</v>
      </c>
    </row>
    <row r="140" spans="1:5" x14ac:dyDescent="0.55000000000000004">
      <c r="A140" s="1">
        <f t="shared" si="0"/>
        <v>1999</v>
      </c>
      <c r="D140" s="3">
        <v>20.7</v>
      </c>
      <c r="E140" s="3">
        <v>3.9</v>
      </c>
    </row>
    <row r="141" spans="1:5" x14ac:dyDescent="0.55000000000000004">
      <c r="A141" s="1">
        <f t="shared" si="0"/>
        <v>2000</v>
      </c>
      <c r="D141" s="3">
        <v>20.2</v>
      </c>
      <c r="E141" s="3">
        <v>3.9</v>
      </c>
    </row>
    <row r="142" spans="1:5" x14ac:dyDescent="0.55000000000000004">
      <c r="A142" s="1">
        <f t="shared" si="0"/>
        <v>2001</v>
      </c>
      <c r="D142" s="3">
        <v>19.399999999999999</v>
      </c>
      <c r="E142" s="3">
        <v>3.9</v>
      </c>
    </row>
    <row r="143" spans="1:5" x14ac:dyDescent="0.55000000000000004">
      <c r="A143" s="1">
        <f t="shared" si="0"/>
        <v>2002</v>
      </c>
      <c r="D143" s="3">
        <v>18.2</v>
      </c>
      <c r="E143" s="3">
        <v>3.9</v>
      </c>
    </row>
    <row r="144" spans="1:5" x14ac:dyDescent="0.55000000000000004">
      <c r="A144" s="1">
        <f t="shared" si="0"/>
        <v>2003</v>
      </c>
      <c r="D144" s="3">
        <v>17.600000000000001</v>
      </c>
      <c r="E144" s="3">
        <v>3.9</v>
      </c>
    </row>
    <row r="145" spans="1:5" x14ac:dyDescent="0.55000000000000004">
      <c r="A145" s="1">
        <f t="shared" si="0"/>
        <v>2004</v>
      </c>
      <c r="D145" s="3">
        <v>17.100000000000001</v>
      </c>
      <c r="E145" s="3">
        <v>3.9</v>
      </c>
    </row>
    <row r="146" spans="1:5" x14ac:dyDescent="0.55000000000000004">
      <c r="A146" s="1">
        <f t="shared" si="0"/>
        <v>2005</v>
      </c>
      <c r="D146" s="3">
        <v>17.3</v>
      </c>
      <c r="E146" s="3">
        <v>3.8</v>
      </c>
    </row>
    <row r="147" spans="1:5" x14ac:dyDescent="0.55000000000000004">
      <c r="A147" s="1">
        <f t="shared" si="0"/>
        <v>2006</v>
      </c>
      <c r="D147" s="3">
        <v>16.399999999999999</v>
      </c>
      <c r="E147" s="3">
        <v>3.9</v>
      </c>
    </row>
    <row r="148" spans="1:5" x14ac:dyDescent="0.55000000000000004">
      <c r="A148" s="1">
        <f t="shared" si="0"/>
        <v>2007</v>
      </c>
      <c r="D148" s="3">
        <v>16.600000000000001</v>
      </c>
      <c r="E148" s="3">
        <v>4</v>
      </c>
    </row>
    <row r="149" spans="1:5" x14ac:dyDescent="0.55000000000000004">
      <c r="A149" s="1">
        <f t="shared" si="0"/>
        <v>2008</v>
      </c>
      <c r="D149" s="3">
        <v>16.8</v>
      </c>
      <c r="E149" s="3">
        <v>4.0999999999999996</v>
      </c>
    </row>
    <row r="150" spans="1:5" x14ac:dyDescent="0.55000000000000004">
      <c r="A150" s="1">
        <f t="shared" si="0"/>
        <v>2009</v>
      </c>
      <c r="D150" s="3">
        <v>16.5</v>
      </c>
      <c r="E150" s="3">
        <v>4.0999999999999996</v>
      </c>
    </row>
    <row r="151" spans="1:5" x14ac:dyDescent="0.55000000000000004">
      <c r="A151" s="1">
        <f t="shared" si="0"/>
        <v>2010</v>
      </c>
      <c r="D151" s="3">
        <v>15.4</v>
      </c>
      <c r="E151" s="3">
        <v>4.3</v>
      </c>
    </row>
    <row r="152" spans="1:5" x14ac:dyDescent="0.55000000000000004">
      <c r="A152" s="1">
        <f t="shared" si="0"/>
        <v>2011</v>
      </c>
      <c r="D152" s="3">
        <v>15.8</v>
      </c>
      <c r="E152" s="3">
        <v>4.3</v>
      </c>
    </row>
    <row r="153" spans="1:5" x14ac:dyDescent="0.55000000000000004">
      <c r="A153" s="1">
        <f t="shared" si="0"/>
        <v>2012</v>
      </c>
      <c r="D153" s="3">
        <v>15.5</v>
      </c>
      <c r="E153" s="3">
        <v>4.3</v>
      </c>
    </row>
    <row r="154" spans="1:5" x14ac:dyDescent="0.55000000000000004">
      <c r="A154" s="1">
        <f t="shared" si="0"/>
        <v>2013</v>
      </c>
      <c r="D154" s="3">
        <v>14.8</v>
      </c>
      <c r="E154" s="3">
        <v>4.3</v>
      </c>
    </row>
    <row r="155" spans="1:5" x14ac:dyDescent="0.55000000000000004">
      <c r="A155" s="1">
        <f t="shared" si="0"/>
        <v>2014</v>
      </c>
      <c r="D155" s="3">
        <v>14.8</v>
      </c>
      <c r="E155" s="3">
        <v>4.5</v>
      </c>
    </row>
    <row r="156" spans="1:5" x14ac:dyDescent="0.55000000000000004">
      <c r="A156" s="1">
        <f t="shared" si="0"/>
        <v>2015</v>
      </c>
      <c r="D156" s="3">
        <v>14.7</v>
      </c>
      <c r="E156" s="3">
        <v>4.5</v>
      </c>
    </row>
    <row r="157" spans="1:5" x14ac:dyDescent="0.55000000000000004">
      <c r="A157" s="1">
        <f t="shared" si="0"/>
        <v>2016</v>
      </c>
      <c r="D157" s="3">
        <v>14.2</v>
      </c>
      <c r="E157" s="3">
        <v>4.8</v>
      </c>
    </row>
    <row r="158" spans="1:5" x14ac:dyDescent="0.55000000000000004">
      <c r="A158" s="1">
        <f t="shared" si="0"/>
        <v>2017</v>
      </c>
      <c r="D158" s="3">
        <v>13.8</v>
      </c>
      <c r="E158" s="3">
        <v>5</v>
      </c>
    </row>
    <row r="159" spans="1:5" x14ac:dyDescent="0.55000000000000004">
      <c r="A159" s="1">
        <f t="shared" ref="A159:A164" si="1">A158+1</f>
        <v>2018</v>
      </c>
      <c r="D159" s="3">
        <v>13.6</v>
      </c>
      <c r="E159" s="3">
        <v>5.0999999999999996</v>
      </c>
    </row>
    <row r="160" spans="1:5" x14ac:dyDescent="0.55000000000000004">
      <c r="A160" s="1">
        <f t="shared" si="1"/>
        <v>2019</v>
      </c>
      <c r="D160" s="3">
        <v>12.7</v>
      </c>
      <c r="E160" s="3">
        <v>5.0999999999999996</v>
      </c>
    </row>
    <row r="161" spans="1:5" x14ac:dyDescent="0.55000000000000004">
      <c r="A161" s="1">
        <f t="shared" si="1"/>
        <v>2020</v>
      </c>
      <c r="D161" s="3">
        <v>11.4</v>
      </c>
      <c r="E161" s="3">
        <v>5.6</v>
      </c>
    </row>
    <row r="162" spans="1:5" x14ac:dyDescent="0.55000000000000004">
      <c r="A162" s="1">
        <f t="shared" si="1"/>
        <v>2021</v>
      </c>
      <c r="D162" s="3">
        <v>10.5</v>
      </c>
      <c r="E162" s="3">
        <v>6.6</v>
      </c>
    </row>
    <row r="163" spans="1:5" x14ac:dyDescent="0.55000000000000004">
      <c r="A163" s="1">
        <f t="shared" si="1"/>
        <v>2022</v>
      </c>
      <c r="D163" s="3">
        <v>10.3</v>
      </c>
      <c r="E163" s="3">
        <v>6.1</v>
      </c>
    </row>
    <row r="164" spans="1:5" x14ac:dyDescent="0.55000000000000004">
      <c r="A164" s="1">
        <f t="shared" si="1"/>
        <v>2023</v>
      </c>
      <c r="D164" s="3">
        <v>10.199999999999999</v>
      </c>
      <c r="E164" s="3">
        <v>5.5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sqref="A1:D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55000000000000004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55000000000000004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55000000000000004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55000000000000004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55000000000000004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55000000000000004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55000000000000004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55000000000000004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55000000000000004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55000000000000004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55000000000000004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55000000000000004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55000000000000004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55000000000000004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55000000000000004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55000000000000004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55000000000000004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55000000000000004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55000000000000004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55000000000000004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55000000000000004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55000000000000004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55000000000000004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55000000000000004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55000000000000004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55000000000000004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55000000000000004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55000000000000004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55000000000000004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55000000000000004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55000000000000004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55000000000000004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55000000000000004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55000000000000004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55000000000000004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55000000000000004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55000000000000004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55000000000000004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55000000000000004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55000000000000004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55000000000000004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55000000000000004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55000000000000004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55000000000000004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55000000000000004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55000000000000004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55000000000000004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55000000000000004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55000000000000004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55000000000000004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55000000000000004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55000000000000004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55000000000000004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55000000000000004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55000000000000004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55000000000000004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55000000000000004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55000000000000004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55000000000000004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55000000000000004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55000000000000004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55000000000000004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55000000000000004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55000000000000004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55000000000000004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55000000000000004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55000000000000004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55000000000000004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55000000000000004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55000000000000004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55000000000000004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55000000000000004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55000000000000004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55000000000000004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55000000000000004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55000000000000004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55000000000000004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55000000000000004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55000000000000004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55000000000000004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55000000000000004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55000000000000004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55000000000000004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55000000000000004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55000000000000004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55000000000000004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55000000000000004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55000000000000004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55000000000000004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55000000000000004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55000000000000004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55000000000000004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55000000000000004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55000000000000004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55000000000000004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55000000000000004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55000000000000004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55000000000000004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55000000000000004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55000000000000004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55000000000000004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55000000000000004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55000000000000004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55000000000000004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55000000000000004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55000000000000004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55000000000000004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55000000000000004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55000000000000004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55000000000000004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55000000000000004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55000000000000004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55000000000000004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55000000000000004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55000000000000004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55000000000000004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55000000000000004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55000000000000004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55000000000000004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55000000000000004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55000000000000004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55000000000000004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55000000000000004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55000000000000004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55000000000000004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55000000000000004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55000000000000004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55000000000000004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55000000000000004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55000000000000004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55000000000000004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55000000000000004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55000000000000004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E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1" sqref="D1:E2"/>
    </sheetView>
  </sheetViews>
  <sheetFormatPr defaultRowHeight="14.4" x14ac:dyDescent="0.55000000000000004"/>
  <sheetData>
    <row r="1" spans="1:5" x14ac:dyDescent="0.55000000000000004">
      <c r="B1" s="24" t="s">
        <v>115</v>
      </c>
      <c r="C1" s="24"/>
      <c r="D1" s="24" t="s">
        <v>75</v>
      </c>
      <c r="E1" s="24"/>
    </row>
    <row r="2" spans="1:5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</row>
    <row r="3" spans="1:5" x14ac:dyDescent="0.55000000000000004">
      <c r="A3" s="1">
        <v>1902</v>
      </c>
      <c r="B3" s="21">
        <v>44.7</v>
      </c>
      <c r="C3" s="21">
        <v>23.7</v>
      </c>
    </row>
    <row r="4" spans="1:5" x14ac:dyDescent="0.55000000000000004">
      <c r="A4" s="1">
        <v>1903</v>
      </c>
      <c r="B4" s="21">
        <v>45.528799999999997</v>
      </c>
      <c r="C4" s="21">
        <v>23.661300000000001</v>
      </c>
    </row>
    <row r="5" spans="1:5" x14ac:dyDescent="0.55000000000000004">
      <c r="A5" s="1">
        <v>1904</v>
      </c>
      <c r="B5" s="21">
        <v>46.290399999999998</v>
      </c>
      <c r="C5" s="21">
        <v>23.6173</v>
      </c>
    </row>
    <row r="6" spans="1:5" x14ac:dyDescent="0.55000000000000004">
      <c r="A6" s="1">
        <v>1905</v>
      </c>
      <c r="B6" s="21">
        <v>46.9176</v>
      </c>
      <c r="C6" s="21">
        <v>23.5626</v>
      </c>
    </row>
    <row r="7" spans="1:5" x14ac:dyDescent="0.55000000000000004">
      <c r="A7" s="1">
        <v>1906</v>
      </c>
      <c r="B7" s="21">
        <v>47.343200000000003</v>
      </c>
      <c r="C7" s="21">
        <v>23.491900000000001</v>
      </c>
    </row>
    <row r="8" spans="1:5" x14ac:dyDescent="0.55000000000000004">
      <c r="A8" s="1">
        <v>1907</v>
      </c>
      <c r="B8" s="21">
        <v>47.5</v>
      </c>
      <c r="C8" s="21">
        <v>23.4</v>
      </c>
    </row>
    <row r="9" spans="1:5" x14ac:dyDescent="0.55000000000000004">
      <c r="A9" s="1">
        <v>1908</v>
      </c>
      <c r="B9" s="21">
        <v>47.331400000000002</v>
      </c>
      <c r="C9" s="21">
        <v>23.1252</v>
      </c>
    </row>
    <row r="10" spans="1:5" x14ac:dyDescent="0.55000000000000004">
      <c r="A10" s="1">
        <v>1909</v>
      </c>
      <c r="B10" s="21">
        <v>46.890300000000003</v>
      </c>
      <c r="C10" s="21">
        <v>22.620899999999999</v>
      </c>
    </row>
    <row r="11" spans="1:5" x14ac:dyDescent="0.55000000000000004">
      <c r="A11" s="1">
        <v>1910</v>
      </c>
      <c r="B11" s="21">
        <v>46.273400000000002</v>
      </c>
      <c r="C11" s="21">
        <v>22.053899999999999</v>
      </c>
    </row>
    <row r="12" spans="1:5" x14ac:dyDescent="0.55000000000000004">
      <c r="A12" s="1">
        <v>1911</v>
      </c>
      <c r="B12" s="21">
        <v>45.5777</v>
      </c>
      <c r="C12" s="21">
        <v>21.5913</v>
      </c>
    </row>
    <row r="13" spans="1:5" x14ac:dyDescent="0.55000000000000004">
      <c r="A13" s="1">
        <v>1912</v>
      </c>
      <c r="B13" s="21">
        <v>44.9</v>
      </c>
      <c r="C13" s="21">
        <v>21.4</v>
      </c>
    </row>
    <row r="14" spans="1:5" x14ac:dyDescent="0.55000000000000004">
      <c r="A14" s="1">
        <v>1913</v>
      </c>
      <c r="B14" s="21">
        <v>44.195900000000002</v>
      </c>
      <c r="C14" s="21">
        <v>21.493600000000001</v>
      </c>
    </row>
    <row r="15" spans="1:5" x14ac:dyDescent="0.55000000000000004">
      <c r="A15" s="1">
        <v>1914</v>
      </c>
      <c r="B15" s="21">
        <v>43.387300000000003</v>
      </c>
      <c r="C15" s="21">
        <v>21.716799999999999</v>
      </c>
    </row>
    <row r="16" spans="1:5" x14ac:dyDescent="0.55000000000000004">
      <c r="A16" s="1">
        <v>1915</v>
      </c>
      <c r="B16" s="21">
        <v>42.520800000000001</v>
      </c>
      <c r="C16" s="21">
        <v>21.9832</v>
      </c>
    </row>
    <row r="17" spans="1:3" x14ac:dyDescent="0.55000000000000004">
      <c r="A17" s="1">
        <v>1916</v>
      </c>
      <c r="B17" s="21">
        <v>41.642899999999997</v>
      </c>
      <c r="C17" s="21">
        <v>22.206399999999999</v>
      </c>
    </row>
    <row r="18" spans="1:3" x14ac:dyDescent="0.55000000000000004">
      <c r="A18" s="1">
        <v>1917</v>
      </c>
      <c r="B18" s="21">
        <v>40.799999999999997</v>
      </c>
      <c r="C18" s="21">
        <v>22.3</v>
      </c>
    </row>
    <row r="19" spans="1:3" x14ac:dyDescent="0.55000000000000004">
      <c r="A19" s="1">
        <v>1918</v>
      </c>
      <c r="B19" s="21">
        <v>39.992100000000001</v>
      </c>
      <c r="C19" s="21">
        <v>22.0989</v>
      </c>
    </row>
    <row r="20" spans="1:3" x14ac:dyDescent="0.55000000000000004">
      <c r="A20" s="1">
        <v>1919</v>
      </c>
      <c r="B20" s="21">
        <v>39.188000000000002</v>
      </c>
      <c r="C20" s="21">
        <v>21.576599999999999</v>
      </c>
    </row>
    <row r="21" spans="1:3" x14ac:dyDescent="0.55000000000000004">
      <c r="A21" s="1">
        <v>1920</v>
      </c>
      <c r="B21" s="21">
        <v>38.387999999999998</v>
      </c>
      <c r="C21" s="21">
        <v>20.854900000000001</v>
      </c>
    </row>
    <row r="22" spans="1:3" x14ac:dyDescent="0.55000000000000004">
      <c r="A22" s="1">
        <v>1921</v>
      </c>
      <c r="B22" s="21">
        <v>37.591900000000003</v>
      </c>
      <c r="C22" s="21">
        <v>20.055499999999999</v>
      </c>
    </row>
    <row r="23" spans="1:3" x14ac:dyDescent="0.55000000000000004">
      <c r="A23" s="1">
        <v>1922</v>
      </c>
      <c r="B23" s="21">
        <v>36.799999999999997</v>
      </c>
      <c r="C23" s="21">
        <v>19.3</v>
      </c>
    </row>
    <row r="24" spans="1:3" x14ac:dyDescent="0.55000000000000004">
      <c r="A24" s="1">
        <v>1923</v>
      </c>
      <c r="B24" s="21">
        <v>35.961500000000001</v>
      </c>
      <c r="C24" s="21">
        <v>18.513200000000001</v>
      </c>
    </row>
    <row r="25" spans="1:3" x14ac:dyDescent="0.55000000000000004">
      <c r="A25" s="1">
        <v>1924</v>
      </c>
      <c r="B25" s="21">
        <v>35.076300000000003</v>
      </c>
      <c r="C25" s="21">
        <v>17.607199999999999</v>
      </c>
    </row>
    <row r="26" spans="1:3" x14ac:dyDescent="0.55000000000000004">
      <c r="A26" s="1">
        <v>1925</v>
      </c>
      <c r="B26" s="21">
        <v>34.220399999999998</v>
      </c>
      <c r="C26" s="21">
        <v>16.6845</v>
      </c>
    </row>
    <row r="27" spans="1:3" x14ac:dyDescent="0.55000000000000004">
      <c r="A27" s="1">
        <v>1926</v>
      </c>
      <c r="B27" s="21">
        <v>33.469700000000003</v>
      </c>
      <c r="C27" s="21">
        <v>15.847899999999999</v>
      </c>
    </row>
    <row r="28" spans="1:3" x14ac:dyDescent="0.55000000000000004">
      <c r="A28" s="1">
        <v>1927</v>
      </c>
      <c r="B28" s="21">
        <v>32.9</v>
      </c>
      <c r="C28" s="21">
        <v>15.2</v>
      </c>
    </row>
    <row r="29" spans="1:3" x14ac:dyDescent="0.55000000000000004">
      <c r="A29" s="1">
        <v>1928</v>
      </c>
      <c r="B29" s="21">
        <v>32.459299999999999</v>
      </c>
      <c r="C29" s="21">
        <v>14.695399999999999</v>
      </c>
    </row>
    <row r="30" spans="1:3" x14ac:dyDescent="0.55000000000000004">
      <c r="A30" s="1">
        <v>1929</v>
      </c>
      <c r="B30" s="21">
        <v>32.058599999999998</v>
      </c>
      <c r="C30" s="21">
        <v>14.2333</v>
      </c>
    </row>
    <row r="31" spans="1:3" x14ac:dyDescent="0.55000000000000004">
      <c r="A31" s="1">
        <v>1930</v>
      </c>
      <c r="B31" s="21">
        <v>31.7181</v>
      </c>
      <c r="C31" s="21">
        <v>13.833500000000001</v>
      </c>
    </row>
    <row r="32" spans="1:3" x14ac:dyDescent="0.55000000000000004">
      <c r="A32" s="1">
        <v>1931</v>
      </c>
      <c r="B32" s="21">
        <v>31.458500000000001</v>
      </c>
      <c r="C32" s="21">
        <v>13.5158</v>
      </c>
    </row>
    <row r="33" spans="1:3" x14ac:dyDescent="0.55000000000000004">
      <c r="A33" s="1">
        <v>1932</v>
      </c>
      <c r="B33" s="21">
        <v>31.3</v>
      </c>
      <c r="C33" s="21">
        <v>13.3</v>
      </c>
    </row>
    <row r="34" spans="1:3" x14ac:dyDescent="0.55000000000000004">
      <c r="A34" s="1">
        <v>1933</v>
      </c>
      <c r="B34" s="21">
        <v>31.2041</v>
      </c>
      <c r="C34" s="21">
        <v>13.172000000000001</v>
      </c>
    </row>
    <row r="35" spans="1:3" x14ac:dyDescent="0.55000000000000004">
      <c r="A35" s="1">
        <v>1934</v>
      </c>
      <c r="B35" s="21">
        <v>31.121600000000001</v>
      </c>
      <c r="C35" s="21">
        <v>13.086</v>
      </c>
    </row>
    <row r="36" spans="1:3" x14ac:dyDescent="0.55000000000000004">
      <c r="A36" s="1">
        <v>1935</v>
      </c>
      <c r="B36" s="21">
        <v>31.057099999999998</v>
      </c>
      <c r="C36" s="21">
        <v>13.013999999999999</v>
      </c>
    </row>
    <row r="37" spans="1:3" x14ac:dyDescent="0.55000000000000004">
      <c r="A37" s="1">
        <v>1936</v>
      </c>
      <c r="B37" s="21">
        <v>31.015000000000001</v>
      </c>
      <c r="C37" s="21">
        <v>12.928000000000001</v>
      </c>
    </row>
    <row r="38" spans="1:3" x14ac:dyDescent="0.55000000000000004">
      <c r="A38" s="1">
        <v>1937</v>
      </c>
      <c r="B38" s="21">
        <v>31</v>
      </c>
      <c r="C38" s="21">
        <v>12.8</v>
      </c>
    </row>
    <row r="39" spans="1:3" x14ac:dyDescent="0.55000000000000004">
      <c r="A39" s="1">
        <v>1938</v>
      </c>
      <c r="B39" s="21">
        <v>31.103999999999999</v>
      </c>
      <c r="C39" s="21">
        <v>12.5663</v>
      </c>
    </row>
    <row r="40" spans="1:3" x14ac:dyDescent="0.55000000000000004">
      <c r="A40" s="1">
        <v>1939</v>
      </c>
      <c r="B40" s="21">
        <v>31.352</v>
      </c>
      <c r="C40" s="21">
        <v>12.212899999999999</v>
      </c>
    </row>
    <row r="41" spans="1:3" x14ac:dyDescent="0.55000000000000004">
      <c r="A41" s="1">
        <v>1940</v>
      </c>
      <c r="B41" s="21">
        <v>31.648</v>
      </c>
      <c r="C41" s="21">
        <v>11.7864</v>
      </c>
    </row>
    <row r="42" spans="1:3" x14ac:dyDescent="0.55000000000000004">
      <c r="A42" s="1">
        <v>1941</v>
      </c>
      <c r="B42" s="21">
        <v>31.896000000000001</v>
      </c>
      <c r="C42" s="21">
        <v>11.333299999999999</v>
      </c>
    </row>
    <row r="43" spans="1:3" x14ac:dyDescent="0.55000000000000004">
      <c r="A43" s="1">
        <v>1942</v>
      </c>
      <c r="B43" s="21">
        <v>32</v>
      </c>
      <c r="C43" s="21">
        <v>10.9</v>
      </c>
    </row>
    <row r="44" spans="1:3" x14ac:dyDescent="0.55000000000000004">
      <c r="A44" s="1">
        <v>1943</v>
      </c>
      <c r="B44" s="21">
        <v>31.798400000000001</v>
      </c>
      <c r="C44" s="21">
        <v>10.4625</v>
      </c>
    </row>
    <row r="45" spans="1:3" x14ac:dyDescent="0.55000000000000004">
      <c r="A45" s="1">
        <v>1944</v>
      </c>
      <c r="B45" s="21">
        <v>31.311199999999999</v>
      </c>
      <c r="C45" s="21">
        <v>9.9888999999999992</v>
      </c>
    </row>
    <row r="46" spans="1:3" x14ac:dyDescent="0.55000000000000004">
      <c r="A46" s="1">
        <v>1945</v>
      </c>
      <c r="B46" s="21">
        <v>30.7148</v>
      </c>
      <c r="C46" s="21">
        <v>9.5139999999999993</v>
      </c>
    </row>
    <row r="47" spans="1:3" x14ac:dyDescent="0.55000000000000004">
      <c r="A47" s="1">
        <v>1946</v>
      </c>
      <c r="B47" s="21">
        <v>30.185600000000001</v>
      </c>
      <c r="C47" s="21">
        <v>9.0726999999999993</v>
      </c>
    </row>
    <row r="48" spans="1:3" x14ac:dyDescent="0.55000000000000004">
      <c r="A48" s="1">
        <v>1947</v>
      </c>
      <c r="B48" s="21">
        <v>29.9</v>
      </c>
      <c r="C48" s="21">
        <v>8.6999999999999993</v>
      </c>
    </row>
    <row r="49" spans="1:5" x14ac:dyDescent="0.55000000000000004">
      <c r="A49" s="1">
        <v>1948</v>
      </c>
      <c r="B49" s="21">
        <v>29.8186</v>
      </c>
      <c r="C49" s="21">
        <v>8.3666999999999998</v>
      </c>
    </row>
    <row r="50" spans="1:5" x14ac:dyDescent="0.55000000000000004">
      <c r="A50" s="1">
        <v>1949</v>
      </c>
      <c r="B50" s="21">
        <v>29.7698</v>
      </c>
      <c r="C50" s="21">
        <v>8.0403000000000002</v>
      </c>
    </row>
    <row r="51" spans="1:5" x14ac:dyDescent="0.55000000000000004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</row>
    <row r="52" spans="1:5" x14ac:dyDescent="0.55000000000000004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</row>
    <row r="53" spans="1:5" x14ac:dyDescent="0.55000000000000004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</row>
    <row r="54" spans="1:5" x14ac:dyDescent="0.55000000000000004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</row>
    <row r="55" spans="1:5" x14ac:dyDescent="0.55000000000000004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</row>
    <row r="56" spans="1:5" x14ac:dyDescent="0.55000000000000004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</row>
    <row r="57" spans="1:5" x14ac:dyDescent="0.55000000000000004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</row>
    <row r="58" spans="1:5" x14ac:dyDescent="0.55000000000000004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</row>
    <row r="59" spans="1:5" x14ac:dyDescent="0.55000000000000004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</row>
    <row r="60" spans="1:5" x14ac:dyDescent="0.55000000000000004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</row>
    <row r="61" spans="1:5" x14ac:dyDescent="0.55000000000000004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</row>
    <row r="62" spans="1:5" x14ac:dyDescent="0.55000000000000004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</row>
    <row r="63" spans="1:5" x14ac:dyDescent="0.55000000000000004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</row>
    <row r="64" spans="1:5" x14ac:dyDescent="0.55000000000000004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</row>
    <row r="65" spans="1:5" x14ac:dyDescent="0.55000000000000004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</row>
    <row r="66" spans="1:5" x14ac:dyDescent="0.55000000000000004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</row>
    <row r="67" spans="1:5" x14ac:dyDescent="0.55000000000000004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</row>
    <row r="68" spans="1:5" x14ac:dyDescent="0.55000000000000004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</row>
    <row r="69" spans="1:5" x14ac:dyDescent="0.55000000000000004">
      <c r="A69" s="1">
        <f>A68+1</f>
        <v>1968</v>
      </c>
      <c r="D69" s="3">
        <v>31.6</v>
      </c>
      <c r="E69" s="3">
        <v>7.5</v>
      </c>
    </row>
    <row r="70" spans="1:5" x14ac:dyDescent="0.55000000000000004">
      <c r="A70" s="1">
        <f t="shared" ref="A70:A124" si="0">A69+1</f>
        <v>1969</v>
      </c>
      <c r="D70" s="3">
        <v>31</v>
      </c>
      <c r="E70" s="3">
        <v>7.3</v>
      </c>
    </row>
    <row r="71" spans="1:5" x14ac:dyDescent="0.55000000000000004">
      <c r="A71" s="1">
        <f t="shared" si="0"/>
        <v>1970</v>
      </c>
      <c r="D71" s="3">
        <v>29.9</v>
      </c>
      <c r="E71" s="3">
        <v>7</v>
      </c>
    </row>
    <row r="72" spans="1:5" x14ac:dyDescent="0.55000000000000004">
      <c r="A72" s="1">
        <f t="shared" si="0"/>
        <v>1971</v>
      </c>
      <c r="D72" s="3">
        <v>28.5</v>
      </c>
      <c r="E72" s="3">
        <v>6.8</v>
      </c>
    </row>
    <row r="73" spans="1:5" x14ac:dyDescent="0.55000000000000004">
      <c r="A73" s="1">
        <f t="shared" si="0"/>
        <v>1972</v>
      </c>
      <c r="D73" s="3">
        <v>27.2</v>
      </c>
      <c r="E73" s="3">
        <v>6.7</v>
      </c>
    </row>
    <row r="74" spans="1:5" x14ac:dyDescent="0.55000000000000004">
      <c r="A74" s="1">
        <f t="shared" si="0"/>
        <v>1973</v>
      </c>
      <c r="D74" s="3">
        <v>25.8</v>
      </c>
      <c r="E74" s="3">
        <v>6.6</v>
      </c>
    </row>
    <row r="75" spans="1:5" x14ac:dyDescent="0.55000000000000004">
      <c r="A75" s="1">
        <f t="shared" si="0"/>
        <v>1974</v>
      </c>
      <c r="D75" s="3">
        <v>24.1</v>
      </c>
      <c r="E75" s="3">
        <v>6.5</v>
      </c>
    </row>
    <row r="76" spans="1:5" x14ac:dyDescent="0.55000000000000004">
      <c r="A76" s="1">
        <f t="shared" si="0"/>
        <v>1975</v>
      </c>
      <c r="D76" s="3">
        <v>21.6</v>
      </c>
      <c r="E76" s="3">
        <v>6.4</v>
      </c>
    </row>
    <row r="77" spans="1:5" x14ac:dyDescent="0.55000000000000004">
      <c r="A77" s="1">
        <f t="shared" si="0"/>
        <v>1976</v>
      </c>
      <c r="D77" s="3">
        <v>19.399999999999999</v>
      </c>
      <c r="E77" s="3">
        <v>6.3</v>
      </c>
    </row>
    <row r="78" spans="1:5" x14ac:dyDescent="0.55000000000000004">
      <c r="A78" s="1">
        <f t="shared" si="0"/>
        <v>1977</v>
      </c>
      <c r="D78" s="3">
        <v>17.3</v>
      </c>
      <c r="E78" s="3">
        <v>6.2</v>
      </c>
    </row>
    <row r="79" spans="1:5" x14ac:dyDescent="0.55000000000000004">
      <c r="A79" s="1">
        <f t="shared" si="0"/>
        <v>1978</v>
      </c>
      <c r="D79" s="3">
        <v>15.1</v>
      </c>
      <c r="E79" s="3">
        <v>6.2</v>
      </c>
    </row>
    <row r="80" spans="1:5" x14ac:dyDescent="0.55000000000000004">
      <c r="A80" s="1">
        <f t="shared" si="0"/>
        <v>1979</v>
      </c>
      <c r="D80" s="3">
        <v>14.6</v>
      </c>
      <c r="E80" s="3">
        <v>6.3</v>
      </c>
    </row>
    <row r="81" spans="1:5" x14ac:dyDescent="0.55000000000000004">
      <c r="A81" s="1">
        <f t="shared" si="0"/>
        <v>1980</v>
      </c>
      <c r="D81" s="3">
        <v>13.9</v>
      </c>
      <c r="E81" s="3">
        <v>6.3</v>
      </c>
    </row>
    <row r="82" spans="1:5" x14ac:dyDescent="0.55000000000000004">
      <c r="A82" s="1">
        <f t="shared" si="0"/>
        <v>1981</v>
      </c>
      <c r="D82" s="3">
        <v>13.9</v>
      </c>
      <c r="E82" s="3">
        <v>6.4</v>
      </c>
    </row>
    <row r="83" spans="1:5" x14ac:dyDescent="0.55000000000000004">
      <c r="A83" s="1">
        <f t="shared" si="0"/>
        <v>1982</v>
      </c>
      <c r="D83" s="3">
        <v>15.9</v>
      </c>
      <c r="E83" s="3">
        <v>6.3</v>
      </c>
    </row>
    <row r="84" spans="1:5" x14ac:dyDescent="0.55000000000000004">
      <c r="A84" s="1">
        <f t="shared" si="0"/>
        <v>1983</v>
      </c>
      <c r="D84" s="3">
        <v>16.5</v>
      </c>
      <c r="E84" s="3">
        <v>6.3</v>
      </c>
    </row>
    <row r="85" spans="1:5" x14ac:dyDescent="0.55000000000000004">
      <c r="A85" s="1">
        <f t="shared" si="0"/>
        <v>1984</v>
      </c>
      <c r="D85" s="3">
        <v>16.5</v>
      </c>
      <c r="E85" s="3">
        <v>6.4</v>
      </c>
    </row>
    <row r="86" spans="1:5" x14ac:dyDescent="0.55000000000000004">
      <c r="A86" s="1">
        <f t="shared" si="0"/>
        <v>1985</v>
      </c>
      <c r="D86" s="3">
        <v>16.7</v>
      </c>
      <c r="E86" s="3">
        <v>6.6</v>
      </c>
    </row>
    <row r="87" spans="1:5" x14ac:dyDescent="0.55000000000000004">
      <c r="A87" s="1">
        <f t="shared" si="0"/>
        <v>1986</v>
      </c>
      <c r="D87" s="3">
        <v>17</v>
      </c>
      <c r="E87" s="3">
        <v>6.6</v>
      </c>
    </row>
    <row r="88" spans="1:5" x14ac:dyDescent="0.55000000000000004">
      <c r="A88" s="1">
        <f t="shared" si="0"/>
        <v>1987</v>
      </c>
      <c r="D88" s="3">
        <v>17.3</v>
      </c>
      <c r="E88" s="3">
        <v>6.7</v>
      </c>
    </row>
    <row r="89" spans="1:5" x14ac:dyDescent="0.55000000000000004">
      <c r="A89" s="1">
        <f t="shared" si="0"/>
        <v>1988</v>
      </c>
      <c r="D89" s="3">
        <v>18</v>
      </c>
      <c r="E89" s="3">
        <v>6.8</v>
      </c>
    </row>
    <row r="90" spans="1:5" x14ac:dyDescent="0.55000000000000004">
      <c r="A90" s="1">
        <f t="shared" si="0"/>
        <v>1989</v>
      </c>
      <c r="D90" s="3">
        <v>17.8</v>
      </c>
      <c r="E90" s="3">
        <v>6.9</v>
      </c>
    </row>
    <row r="91" spans="1:5" x14ac:dyDescent="0.55000000000000004">
      <c r="A91" s="1">
        <f t="shared" si="0"/>
        <v>1990</v>
      </c>
      <c r="D91" s="3">
        <v>17.600000000000001</v>
      </c>
      <c r="E91" s="3">
        <v>7</v>
      </c>
    </row>
    <row r="92" spans="1:5" x14ac:dyDescent="0.55000000000000004">
      <c r="A92" s="1">
        <f t="shared" si="0"/>
        <v>1991</v>
      </c>
      <c r="D92" s="3">
        <v>16.100000000000001</v>
      </c>
      <c r="E92" s="3">
        <v>7.2</v>
      </c>
    </row>
    <row r="93" spans="1:5" x14ac:dyDescent="0.55000000000000004">
      <c r="A93" s="1">
        <f t="shared" si="0"/>
        <v>1992</v>
      </c>
      <c r="D93" s="3">
        <v>15</v>
      </c>
      <c r="E93" s="3">
        <v>7.3</v>
      </c>
    </row>
    <row r="94" spans="1:5" x14ac:dyDescent="0.55000000000000004">
      <c r="A94" s="1">
        <f t="shared" si="0"/>
        <v>1993</v>
      </c>
      <c r="D94" s="3">
        <v>14.1</v>
      </c>
      <c r="E94" s="3">
        <v>7.4</v>
      </c>
    </row>
    <row r="95" spans="1:5" x14ac:dyDescent="0.55000000000000004">
      <c r="A95" s="1">
        <f t="shared" si="0"/>
        <v>1994</v>
      </c>
      <c r="D95" s="3">
        <v>13.7</v>
      </c>
      <c r="E95" s="3">
        <v>7.4</v>
      </c>
    </row>
    <row r="96" spans="1:5" x14ac:dyDescent="0.55000000000000004">
      <c r="A96" s="1">
        <f t="shared" si="0"/>
        <v>1995</v>
      </c>
      <c r="D96" s="3">
        <v>13.5</v>
      </c>
      <c r="E96" s="3">
        <v>7.4</v>
      </c>
    </row>
    <row r="97" spans="1:5" x14ac:dyDescent="0.55000000000000004">
      <c r="A97" s="1">
        <f t="shared" si="0"/>
        <v>1996</v>
      </c>
      <c r="D97" s="3">
        <v>13</v>
      </c>
      <c r="E97" s="3">
        <v>7.3</v>
      </c>
    </row>
    <row r="98" spans="1:5" x14ac:dyDescent="0.55000000000000004">
      <c r="A98" s="1">
        <f t="shared" si="0"/>
        <v>1997</v>
      </c>
      <c r="D98" s="3">
        <v>13.8</v>
      </c>
      <c r="E98" s="3">
        <v>7.3</v>
      </c>
    </row>
    <row r="99" spans="1:5" x14ac:dyDescent="0.55000000000000004">
      <c r="A99" s="1">
        <f t="shared" si="0"/>
        <v>1998</v>
      </c>
      <c r="D99" s="3">
        <v>13.7</v>
      </c>
      <c r="E99" s="3">
        <v>7.2</v>
      </c>
    </row>
    <row r="100" spans="1:5" x14ac:dyDescent="0.55000000000000004">
      <c r="A100" s="1">
        <f t="shared" si="0"/>
        <v>1999</v>
      </c>
      <c r="D100" s="3">
        <v>13.5</v>
      </c>
      <c r="E100" s="3">
        <v>7.2</v>
      </c>
    </row>
    <row r="101" spans="1:5" x14ac:dyDescent="0.55000000000000004">
      <c r="A101" s="1">
        <f t="shared" si="0"/>
        <v>2000</v>
      </c>
      <c r="D101" s="3">
        <v>12.9</v>
      </c>
      <c r="E101" s="3">
        <v>7.4</v>
      </c>
    </row>
    <row r="102" spans="1:5" x14ac:dyDescent="0.55000000000000004">
      <c r="A102" s="1">
        <f t="shared" si="0"/>
        <v>2001</v>
      </c>
      <c r="D102" s="3">
        <v>12.4</v>
      </c>
      <c r="E102" s="3">
        <v>7.3</v>
      </c>
    </row>
    <row r="103" spans="1:5" x14ac:dyDescent="0.55000000000000004">
      <c r="A103" s="1">
        <f t="shared" si="0"/>
        <v>2002</v>
      </c>
      <c r="D103" s="3">
        <v>12.5</v>
      </c>
      <c r="E103" s="3">
        <v>7.3</v>
      </c>
    </row>
    <row r="104" spans="1:5" x14ac:dyDescent="0.55000000000000004">
      <c r="A104" s="1">
        <f t="shared" si="0"/>
        <v>2003</v>
      </c>
      <c r="D104" s="3">
        <v>12.1</v>
      </c>
      <c r="E104" s="3">
        <v>7.1</v>
      </c>
    </row>
    <row r="105" spans="1:5" x14ac:dyDescent="0.55000000000000004">
      <c r="A105" s="1">
        <f t="shared" si="0"/>
        <v>2004</v>
      </c>
      <c r="D105" s="3">
        <v>11.3</v>
      </c>
      <c r="E105" s="3">
        <v>7.3</v>
      </c>
    </row>
    <row r="106" spans="1:5" x14ac:dyDescent="0.55000000000000004">
      <c r="A106" s="1">
        <f t="shared" si="0"/>
        <v>2005</v>
      </c>
      <c r="D106" s="3">
        <v>10.6</v>
      </c>
      <c r="E106" s="3">
        <v>7.4</v>
      </c>
    </row>
    <row r="107" spans="1:5" x14ac:dyDescent="0.55000000000000004">
      <c r="A107" s="1">
        <f t="shared" si="0"/>
        <v>2006</v>
      </c>
      <c r="D107" s="3">
        <v>9.9</v>
      </c>
      <c r="E107" s="3">
        <v>7.7</v>
      </c>
    </row>
    <row r="108" spans="1:5" x14ac:dyDescent="0.55000000000000004">
      <c r="A108" s="1">
        <f t="shared" si="0"/>
        <v>2007</v>
      </c>
      <c r="D108" s="3">
        <v>10</v>
      </c>
      <c r="E108" s="3">
        <v>7.8</v>
      </c>
    </row>
    <row r="109" spans="1:5" x14ac:dyDescent="0.55000000000000004">
      <c r="A109" s="1">
        <f t="shared" si="0"/>
        <v>2008</v>
      </c>
      <c r="D109" s="3">
        <v>10.9</v>
      </c>
      <c r="E109" s="3">
        <v>8</v>
      </c>
    </row>
    <row r="110" spans="1:5" x14ac:dyDescent="0.55000000000000004">
      <c r="A110" s="1">
        <f t="shared" si="0"/>
        <v>2009</v>
      </c>
      <c r="D110" s="3">
        <v>11.5</v>
      </c>
      <c r="E110" s="3">
        <v>8.1999999999999993</v>
      </c>
    </row>
    <row r="111" spans="1:5" x14ac:dyDescent="0.55000000000000004">
      <c r="A111" s="1">
        <f t="shared" si="0"/>
        <v>2010</v>
      </c>
      <c r="D111" s="3">
        <v>11.4</v>
      </c>
      <c r="E111" s="3">
        <v>8.1999999999999993</v>
      </c>
    </row>
    <row r="112" spans="1:5" x14ac:dyDescent="0.55000000000000004">
      <c r="A112" s="1">
        <f t="shared" si="0"/>
        <v>2011</v>
      </c>
      <c r="D112" s="3">
        <v>11.8</v>
      </c>
      <c r="E112" s="3">
        <v>8.1999999999999993</v>
      </c>
    </row>
    <row r="113" spans="1:5" x14ac:dyDescent="0.55000000000000004">
      <c r="A113" s="1">
        <f t="shared" si="0"/>
        <v>2012</v>
      </c>
      <c r="D113" s="3">
        <v>11.2</v>
      </c>
      <c r="E113" s="3">
        <v>8.1999999999999993</v>
      </c>
    </row>
    <row r="114" spans="1:5" x14ac:dyDescent="0.55000000000000004">
      <c r="A114" s="1">
        <f t="shared" si="0"/>
        <v>2013</v>
      </c>
      <c r="D114" s="3">
        <v>11.2</v>
      </c>
      <c r="E114" s="3">
        <v>8.5</v>
      </c>
    </row>
    <row r="115" spans="1:5" x14ac:dyDescent="0.55000000000000004">
      <c r="A115" s="1">
        <f t="shared" si="0"/>
        <v>2014</v>
      </c>
      <c r="D115" s="3">
        <v>10.9</v>
      </c>
      <c r="E115" s="3">
        <v>8.9</v>
      </c>
    </row>
    <row r="116" spans="1:5" x14ac:dyDescent="0.55000000000000004">
      <c r="A116" s="1">
        <f t="shared" si="0"/>
        <v>2015</v>
      </c>
      <c r="D116" s="3">
        <v>10.9</v>
      </c>
      <c r="E116" s="3">
        <v>9.1</v>
      </c>
    </row>
    <row r="117" spans="1:5" x14ac:dyDescent="0.55000000000000004">
      <c r="A117" s="1">
        <f t="shared" si="0"/>
        <v>2016</v>
      </c>
      <c r="D117" s="3">
        <v>10.3</v>
      </c>
      <c r="E117" s="3">
        <v>9.4</v>
      </c>
    </row>
    <row r="118" spans="1:5" x14ac:dyDescent="0.55000000000000004">
      <c r="A118" s="1">
        <f t="shared" si="0"/>
        <v>2017</v>
      </c>
      <c r="D118" s="3">
        <v>10.1</v>
      </c>
      <c r="E118" s="3">
        <v>9.9</v>
      </c>
    </row>
    <row r="119" spans="1:5" x14ac:dyDescent="0.55000000000000004">
      <c r="A119" s="1">
        <f t="shared" si="0"/>
        <v>2018</v>
      </c>
      <c r="D119" s="3">
        <v>10.199999999999999</v>
      </c>
      <c r="E119" s="3">
        <v>9.9</v>
      </c>
    </row>
    <row r="120" spans="1:5" x14ac:dyDescent="0.55000000000000004">
      <c r="A120" s="1">
        <f t="shared" si="0"/>
        <v>2019</v>
      </c>
      <c r="D120" s="3">
        <v>9.6999999999999993</v>
      </c>
      <c r="E120" s="3">
        <v>10</v>
      </c>
    </row>
    <row r="121" spans="1:5" x14ac:dyDescent="0.55000000000000004">
      <c r="A121" s="1">
        <f t="shared" si="0"/>
        <v>2020</v>
      </c>
      <c r="D121" s="3">
        <v>9.3000000000000007</v>
      </c>
      <c r="E121" s="3">
        <v>10.4</v>
      </c>
    </row>
    <row r="122" spans="1:5" x14ac:dyDescent="0.55000000000000004">
      <c r="A122" s="1">
        <f t="shared" si="0"/>
        <v>2021</v>
      </c>
      <c r="D122" s="3">
        <v>8.8000000000000007</v>
      </c>
      <c r="E122" s="3">
        <v>15.3</v>
      </c>
    </row>
    <row r="123" spans="1:5" x14ac:dyDescent="0.55000000000000004">
      <c r="A123" s="1">
        <f t="shared" si="0"/>
        <v>2022</v>
      </c>
      <c r="D123" s="3">
        <v>8.6999999999999993</v>
      </c>
      <c r="E123" s="3">
        <v>10.3</v>
      </c>
    </row>
    <row r="124" spans="1:5" x14ac:dyDescent="0.55000000000000004">
      <c r="A124" s="1">
        <f t="shared" si="0"/>
        <v>2023</v>
      </c>
      <c r="D124" s="3">
        <v>8.6999999999999993</v>
      </c>
      <c r="E124" s="3">
        <v>10.1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F43" sqref="AF4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55000000000000004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55000000000000004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55000000000000004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55000000000000004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55000000000000004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55000000000000004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55000000000000004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55000000000000004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55000000000000004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55000000000000004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55000000000000004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55000000000000004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55000000000000004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55000000000000004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55000000000000004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55000000000000004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55000000000000004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55000000000000004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55000000000000004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55000000000000004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55000000000000004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55000000000000004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55000000000000004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55000000000000004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55000000000000004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55000000000000004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55000000000000004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55000000000000004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55000000000000004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55000000000000004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55000000000000004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55000000000000004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55000000000000004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55000000000000004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55000000000000004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55000000000000004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55000000000000004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55000000000000004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55000000000000004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55000000000000004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55000000000000004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55000000000000004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55000000000000004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55000000000000004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55000000000000004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55000000000000004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55000000000000004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55000000000000004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55000000000000004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55000000000000004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55000000000000004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55000000000000004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55000000000000004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55000000000000004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55000000000000004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55000000000000004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55000000000000004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55000000000000004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55000000000000004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55000000000000004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55000000000000004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55000000000000004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55000000000000004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55000000000000004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55000000000000004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55000000000000004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55000000000000004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55000000000000004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55000000000000004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55000000000000004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55000000000000004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55000000000000004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55000000000000004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55000000000000004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55000000000000004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55000000000000004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55000000000000004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55000000000000004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55000000000000004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55000000000000004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55000000000000004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55000000000000004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55000000000000004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55000000000000004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55000000000000004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55000000000000004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55000000000000004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55000000000000004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55000000000000004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55000000000000004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55000000000000004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55000000000000004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55000000000000004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55000000000000004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55000000000000004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55000000000000004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55000000000000004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55000000000000004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55000000000000004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55000000000000004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55000000000000004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55000000000000004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55000000000000004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55000000000000004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55000000000000004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55000000000000004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55000000000000004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55000000000000004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55000000000000004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55000000000000004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55000000000000004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55000000000000004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55000000000000004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55000000000000004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55000000000000004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55000000000000004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55000000000000004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55000000000000004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55000000000000004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55000000000000004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55000000000000004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55000000000000004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55000000000000004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E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1" sqref="D1:E2"/>
    </sheetView>
  </sheetViews>
  <sheetFormatPr defaultRowHeight="14.4" x14ac:dyDescent="0.55000000000000004"/>
  <sheetData>
    <row r="1" spans="1:5" x14ac:dyDescent="0.55000000000000004">
      <c r="B1" s="24" t="s">
        <v>115</v>
      </c>
      <c r="C1" s="24"/>
      <c r="D1" s="24" t="s">
        <v>75</v>
      </c>
      <c r="E1" s="24"/>
    </row>
    <row r="2" spans="1:5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</row>
    <row r="3" spans="1:5" x14ac:dyDescent="0.55000000000000004">
      <c r="A3" s="1">
        <v>1897</v>
      </c>
      <c r="B3" s="21">
        <v>46.9</v>
      </c>
      <c r="C3" s="21">
        <v>34.1</v>
      </c>
    </row>
    <row r="4" spans="1:5" x14ac:dyDescent="0.55000000000000004">
      <c r="A4" s="1">
        <v>1898</v>
      </c>
      <c r="B4" s="21">
        <v>46.722299999999997</v>
      </c>
      <c r="C4" s="21">
        <v>33.868000000000002</v>
      </c>
    </row>
    <row r="5" spans="1:5" x14ac:dyDescent="0.55000000000000004">
      <c r="A5" s="1">
        <v>1899</v>
      </c>
      <c r="B5" s="21">
        <v>46.548999999999999</v>
      </c>
      <c r="C5" s="21">
        <v>33.643999999999998</v>
      </c>
    </row>
    <row r="6" spans="1:5" x14ac:dyDescent="0.55000000000000004">
      <c r="A6" s="1">
        <v>1900</v>
      </c>
      <c r="B6" s="21">
        <v>46.384599999999999</v>
      </c>
      <c r="C6" s="21">
        <v>33.436</v>
      </c>
    </row>
    <row r="7" spans="1:5" x14ac:dyDescent="0.55000000000000004">
      <c r="A7" s="1">
        <v>1901</v>
      </c>
      <c r="B7" s="21">
        <v>46.233400000000003</v>
      </c>
      <c r="C7" s="21">
        <v>33.252000000000002</v>
      </c>
    </row>
    <row r="8" spans="1:5" x14ac:dyDescent="0.55000000000000004">
      <c r="A8" s="1">
        <v>1902</v>
      </c>
      <c r="B8" s="21">
        <v>46.1</v>
      </c>
      <c r="C8" s="21">
        <v>33.1</v>
      </c>
    </row>
    <row r="9" spans="1:5" x14ac:dyDescent="0.55000000000000004">
      <c r="A9" s="1">
        <v>1903</v>
      </c>
      <c r="B9" s="21">
        <v>45.969200000000001</v>
      </c>
      <c r="C9" s="21">
        <v>32.962699999999998</v>
      </c>
    </row>
    <row r="10" spans="1:5" x14ac:dyDescent="0.55000000000000004">
      <c r="A10" s="1">
        <v>1904</v>
      </c>
      <c r="B10" s="21">
        <v>45.8354</v>
      </c>
      <c r="C10" s="21">
        <v>32.828000000000003</v>
      </c>
    </row>
    <row r="11" spans="1:5" x14ac:dyDescent="0.55000000000000004">
      <c r="A11" s="1">
        <v>1905</v>
      </c>
      <c r="B11" s="21">
        <v>45.716900000000003</v>
      </c>
      <c r="C11" s="21">
        <v>32.712000000000003</v>
      </c>
    </row>
    <row r="12" spans="1:5" x14ac:dyDescent="0.55000000000000004">
      <c r="A12" s="1">
        <v>1906</v>
      </c>
      <c r="B12" s="21">
        <v>45.632300000000001</v>
      </c>
      <c r="C12" s="21">
        <v>32.630699999999997</v>
      </c>
    </row>
    <row r="13" spans="1:5" x14ac:dyDescent="0.55000000000000004">
      <c r="A13" s="1">
        <v>1907</v>
      </c>
      <c r="B13" s="21">
        <v>45.6</v>
      </c>
      <c r="C13" s="21">
        <v>32.6</v>
      </c>
    </row>
    <row r="14" spans="1:5" x14ac:dyDescent="0.55000000000000004">
      <c r="A14" s="1">
        <v>1908</v>
      </c>
      <c r="B14" s="21">
        <v>45.6</v>
      </c>
      <c r="C14" s="21">
        <v>32.6</v>
      </c>
    </row>
    <row r="15" spans="1:5" x14ac:dyDescent="0.55000000000000004">
      <c r="A15" s="1">
        <v>1909</v>
      </c>
      <c r="B15" s="21">
        <v>45.6</v>
      </c>
      <c r="C15" s="21">
        <v>32.6</v>
      </c>
    </row>
    <row r="16" spans="1:5" x14ac:dyDescent="0.55000000000000004">
      <c r="A16" s="1">
        <v>1910</v>
      </c>
      <c r="B16" s="21">
        <v>45.022500000000001</v>
      </c>
      <c r="C16" s="21">
        <v>35.993099999999998</v>
      </c>
    </row>
    <row r="17" spans="1:3" x14ac:dyDescent="0.55000000000000004">
      <c r="A17" s="1">
        <v>1911</v>
      </c>
      <c r="B17" s="21">
        <v>43.822800000000001</v>
      </c>
      <c r="C17" s="21">
        <v>42.4084</v>
      </c>
    </row>
    <row r="18" spans="1:3" x14ac:dyDescent="0.55000000000000004">
      <c r="A18" s="1">
        <v>1912</v>
      </c>
      <c r="B18" s="21">
        <v>42.8</v>
      </c>
      <c r="C18" s="21">
        <v>46.2</v>
      </c>
    </row>
    <row r="19" spans="1:3" x14ac:dyDescent="0.55000000000000004">
      <c r="A19" s="1">
        <v>1913</v>
      </c>
      <c r="B19" s="21">
        <v>42.102200000000003</v>
      </c>
      <c r="C19" s="21">
        <v>46.749000000000002</v>
      </c>
    </row>
    <row r="20" spans="1:3" x14ac:dyDescent="0.55000000000000004">
      <c r="A20" s="1">
        <v>1914</v>
      </c>
      <c r="B20" s="21">
        <v>41.4039</v>
      </c>
      <c r="C20" s="21">
        <v>47.193600000000004</v>
      </c>
    </row>
    <row r="21" spans="1:3" x14ac:dyDescent="0.55000000000000004">
      <c r="A21" s="1">
        <v>1915</v>
      </c>
      <c r="B21" s="21">
        <v>40.794600000000003</v>
      </c>
      <c r="C21" s="21">
        <v>47.523699999999998</v>
      </c>
    </row>
    <row r="22" spans="1:3" x14ac:dyDescent="0.55000000000000004">
      <c r="A22" s="1">
        <v>1916</v>
      </c>
      <c r="B22" s="21">
        <v>40.363500000000002</v>
      </c>
      <c r="C22" s="21">
        <v>47.729199999999999</v>
      </c>
    </row>
    <row r="23" spans="1:3" x14ac:dyDescent="0.55000000000000004">
      <c r="A23" s="1">
        <v>1917</v>
      </c>
      <c r="B23" s="21">
        <v>40.200000000000003</v>
      </c>
      <c r="C23" s="21">
        <v>47.8</v>
      </c>
    </row>
    <row r="24" spans="1:3" x14ac:dyDescent="0.55000000000000004">
      <c r="A24" s="1">
        <v>1918</v>
      </c>
      <c r="B24" s="21">
        <v>40.688800000000001</v>
      </c>
      <c r="C24" s="21">
        <v>45.8459</v>
      </c>
    </row>
    <row r="25" spans="1:3" x14ac:dyDescent="0.55000000000000004">
      <c r="A25" s="1">
        <v>1919</v>
      </c>
      <c r="B25" s="21">
        <v>41.854399999999998</v>
      </c>
      <c r="C25" s="21">
        <v>41.149700000000003</v>
      </c>
    </row>
    <row r="26" spans="1:3" x14ac:dyDescent="0.55000000000000004">
      <c r="A26" s="1">
        <v>1920</v>
      </c>
      <c r="B26" s="21">
        <v>43.245600000000003</v>
      </c>
      <c r="C26" s="21">
        <v>35.460599999999999</v>
      </c>
    </row>
    <row r="27" spans="1:3" x14ac:dyDescent="0.55000000000000004">
      <c r="A27" s="1">
        <v>1921</v>
      </c>
      <c r="B27" s="21">
        <v>44.411200000000001</v>
      </c>
      <c r="C27" s="21">
        <v>30.5276</v>
      </c>
    </row>
    <row r="28" spans="1:3" x14ac:dyDescent="0.55000000000000004">
      <c r="A28" s="1">
        <v>1922</v>
      </c>
      <c r="B28" s="21">
        <v>44.9</v>
      </c>
      <c r="C28" s="21">
        <v>28.1</v>
      </c>
    </row>
    <row r="29" spans="1:3" x14ac:dyDescent="0.55000000000000004">
      <c r="A29" s="1">
        <v>1923</v>
      </c>
      <c r="B29" s="21">
        <v>44.8018</v>
      </c>
      <c r="C29" s="21">
        <v>27.5548</v>
      </c>
    </row>
    <row r="30" spans="1:3" x14ac:dyDescent="0.55000000000000004">
      <c r="A30" s="1">
        <v>1924</v>
      </c>
      <c r="B30" s="21">
        <v>44.5655</v>
      </c>
      <c r="C30" s="21">
        <v>27.110600000000002</v>
      </c>
    </row>
    <row r="31" spans="1:3" x14ac:dyDescent="0.55000000000000004">
      <c r="A31" s="1">
        <v>1925</v>
      </c>
      <c r="B31" s="21">
        <v>44.278199999999998</v>
      </c>
      <c r="C31" s="21">
        <v>26.7791</v>
      </c>
    </row>
    <row r="32" spans="1:3" x14ac:dyDescent="0.55000000000000004">
      <c r="A32" s="1">
        <v>1926</v>
      </c>
      <c r="B32" s="21">
        <v>44.027299999999997</v>
      </c>
      <c r="C32" s="21">
        <v>26.5717</v>
      </c>
    </row>
    <row r="33" spans="1:3" x14ac:dyDescent="0.55000000000000004">
      <c r="A33" s="1">
        <v>1927</v>
      </c>
      <c r="B33" s="21">
        <v>43.9</v>
      </c>
      <c r="C33" s="21">
        <v>26.5</v>
      </c>
    </row>
    <row r="34" spans="1:3" x14ac:dyDescent="0.55000000000000004">
      <c r="A34" s="1">
        <v>1928</v>
      </c>
      <c r="B34" s="21">
        <v>43.8718</v>
      </c>
      <c r="C34" s="21">
        <v>26.5</v>
      </c>
    </row>
    <row r="35" spans="1:3" x14ac:dyDescent="0.55000000000000004">
      <c r="A35" s="1">
        <v>1929</v>
      </c>
      <c r="B35" s="21">
        <v>43.8551</v>
      </c>
      <c r="C35" s="21">
        <v>26.5</v>
      </c>
    </row>
    <row r="36" spans="1:3" x14ac:dyDescent="0.55000000000000004">
      <c r="A36" s="1">
        <v>1930</v>
      </c>
      <c r="B36" s="21">
        <v>43.842399999999998</v>
      </c>
      <c r="C36" s="21">
        <v>26.5</v>
      </c>
    </row>
    <row r="37" spans="1:3" x14ac:dyDescent="0.55000000000000004">
      <c r="A37" s="1">
        <v>1931</v>
      </c>
      <c r="B37" s="21">
        <v>43.826500000000003</v>
      </c>
      <c r="C37" s="21">
        <v>26.5</v>
      </c>
    </row>
    <row r="38" spans="1:3" x14ac:dyDescent="0.55000000000000004">
      <c r="A38" s="1">
        <v>1932</v>
      </c>
      <c r="B38" s="21">
        <v>43.8</v>
      </c>
      <c r="C38" s="21">
        <v>26.5</v>
      </c>
    </row>
    <row r="39" spans="1:3" x14ac:dyDescent="0.55000000000000004">
      <c r="A39" s="1">
        <v>1933</v>
      </c>
      <c r="B39" s="21">
        <v>43.715699999999998</v>
      </c>
      <c r="C39" s="21">
        <v>26.235499999999998</v>
      </c>
    </row>
    <row r="40" spans="1:3" x14ac:dyDescent="0.55000000000000004">
      <c r="A40" s="1">
        <v>1934</v>
      </c>
      <c r="B40" s="21">
        <v>43.564100000000003</v>
      </c>
      <c r="C40" s="21">
        <v>25.578399999999998</v>
      </c>
    </row>
    <row r="41" spans="1:3" x14ac:dyDescent="0.55000000000000004">
      <c r="A41" s="1">
        <v>1935</v>
      </c>
      <c r="B41" s="21">
        <v>43.3947</v>
      </c>
      <c r="C41" s="21">
        <v>24.733599999999999</v>
      </c>
    </row>
    <row r="42" spans="1:3" x14ac:dyDescent="0.55000000000000004">
      <c r="A42" s="1">
        <v>1936</v>
      </c>
      <c r="B42" s="21">
        <v>43.256900000000002</v>
      </c>
      <c r="C42" s="21">
        <v>23.905899999999999</v>
      </c>
    </row>
    <row r="43" spans="1:3" x14ac:dyDescent="0.55000000000000004">
      <c r="A43" s="1">
        <v>1937</v>
      </c>
      <c r="B43" s="21">
        <v>43.2</v>
      </c>
      <c r="C43" s="21">
        <v>23.3</v>
      </c>
    </row>
    <row r="44" spans="1:3" x14ac:dyDescent="0.55000000000000004">
      <c r="A44" s="1">
        <v>1938</v>
      </c>
      <c r="B44" s="21">
        <v>43.217199999999998</v>
      </c>
      <c r="C44" s="21">
        <v>22.933700000000002</v>
      </c>
    </row>
    <row r="45" spans="1:3" x14ac:dyDescent="0.55000000000000004">
      <c r="A45" s="1">
        <v>1939</v>
      </c>
      <c r="B45" s="21">
        <v>43.2637</v>
      </c>
      <c r="C45" s="21">
        <v>22.649000000000001</v>
      </c>
    </row>
    <row r="46" spans="1:3" x14ac:dyDescent="0.55000000000000004">
      <c r="A46" s="1">
        <v>1940</v>
      </c>
      <c r="B46" s="21">
        <v>43.331600000000002</v>
      </c>
      <c r="C46" s="21">
        <v>22.387499999999999</v>
      </c>
    </row>
    <row r="47" spans="1:3" x14ac:dyDescent="0.55000000000000004">
      <c r="A47" s="1">
        <v>1941</v>
      </c>
      <c r="B47" s="21">
        <v>43.4129</v>
      </c>
      <c r="C47" s="21">
        <v>22.090699999999998</v>
      </c>
    </row>
    <row r="48" spans="1:3" x14ac:dyDescent="0.55000000000000004">
      <c r="A48" s="1">
        <v>1942</v>
      </c>
      <c r="B48" s="21">
        <v>43.5</v>
      </c>
      <c r="C48" s="21">
        <v>21.7</v>
      </c>
    </row>
    <row r="49" spans="1:5" x14ac:dyDescent="0.55000000000000004">
      <c r="A49" s="1">
        <v>1943</v>
      </c>
      <c r="B49" s="21">
        <v>43.594200000000001</v>
      </c>
      <c r="C49" s="21">
        <v>21.0093</v>
      </c>
    </row>
    <row r="50" spans="1:5" x14ac:dyDescent="0.55000000000000004">
      <c r="A50" s="1">
        <v>1944</v>
      </c>
      <c r="B50" s="21">
        <v>43.709699999999998</v>
      </c>
      <c r="C50" s="21">
        <v>20.016400000000001</v>
      </c>
    </row>
    <row r="51" spans="1:5" x14ac:dyDescent="0.55000000000000004">
      <c r="A51" s="1">
        <v>1945</v>
      </c>
      <c r="B51" s="21">
        <v>43.858199999999997</v>
      </c>
      <c r="C51" s="21">
        <v>18.968900000000001</v>
      </c>
    </row>
    <row r="52" spans="1:5" x14ac:dyDescent="0.55000000000000004">
      <c r="A52" s="1">
        <v>1946</v>
      </c>
      <c r="B52" s="21">
        <v>44.051200000000001</v>
      </c>
      <c r="C52" s="21">
        <v>18.1143</v>
      </c>
    </row>
    <row r="53" spans="1:5" x14ac:dyDescent="0.55000000000000004">
      <c r="A53" s="1">
        <v>1947</v>
      </c>
      <c r="B53" s="21">
        <v>44.3</v>
      </c>
      <c r="C53" s="21">
        <v>17.7</v>
      </c>
    </row>
    <row r="54" spans="1:5" x14ac:dyDescent="0.55000000000000004">
      <c r="A54" s="1">
        <v>1948</v>
      </c>
      <c r="B54" s="21">
        <v>45.072400000000002</v>
      </c>
      <c r="C54" s="21">
        <v>17.614999999999998</v>
      </c>
    </row>
    <row r="55" spans="1:5" x14ac:dyDescent="0.55000000000000004">
      <c r="A55" s="1">
        <v>1949</v>
      </c>
      <c r="B55" s="21">
        <v>46.508400000000002</v>
      </c>
      <c r="C55" s="21">
        <v>17.567</v>
      </c>
    </row>
    <row r="56" spans="1:5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</row>
    <row r="57" spans="1:5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</row>
    <row r="58" spans="1:5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</row>
    <row r="59" spans="1:5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</row>
    <row r="60" spans="1:5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</row>
    <row r="61" spans="1:5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</row>
    <row r="62" spans="1:5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</row>
    <row r="63" spans="1:5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</row>
    <row r="64" spans="1:5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</row>
    <row r="65" spans="1:5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</row>
    <row r="66" spans="1:5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</row>
    <row r="67" spans="1:5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</row>
    <row r="68" spans="1:5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</row>
    <row r="69" spans="1:5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</row>
    <row r="70" spans="1:5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</row>
    <row r="71" spans="1:5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</row>
    <row r="72" spans="1:5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</row>
    <row r="73" spans="1:5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</row>
    <row r="74" spans="1:5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</row>
    <row r="75" spans="1:5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</row>
    <row r="76" spans="1:5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</row>
    <row r="77" spans="1:5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</row>
    <row r="78" spans="1:5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</row>
    <row r="79" spans="1:5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</row>
    <row r="80" spans="1:5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</row>
    <row r="81" spans="1:5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</row>
    <row r="82" spans="1:5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</row>
    <row r="83" spans="1:5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</row>
    <row r="84" spans="1:5" x14ac:dyDescent="0.55000000000000004">
      <c r="A84" s="1">
        <f>A83+1</f>
        <v>1978</v>
      </c>
      <c r="D84" s="3">
        <v>37.4</v>
      </c>
      <c r="E84" s="3">
        <v>7.4</v>
      </c>
    </row>
    <row r="85" spans="1:5" x14ac:dyDescent="0.55000000000000004">
      <c r="A85" s="1">
        <f t="shared" ref="A85:A129" si="0">A84+1</f>
        <v>1979</v>
      </c>
      <c r="D85" s="3">
        <v>36.200000000000003</v>
      </c>
      <c r="E85" s="3">
        <v>7.1</v>
      </c>
    </row>
    <row r="86" spans="1:5" x14ac:dyDescent="0.55000000000000004">
      <c r="A86" s="1">
        <f t="shared" si="0"/>
        <v>1980</v>
      </c>
      <c r="D86" s="3">
        <v>35</v>
      </c>
      <c r="E86" s="3">
        <v>6.9</v>
      </c>
    </row>
    <row r="87" spans="1:5" x14ac:dyDescent="0.55000000000000004">
      <c r="A87" s="1">
        <f t="shared" si="0"/>
        <v>1981</v>
      </c>
      <c r="D87" s="3">
        <v>34.299999999999997</v>
      </c>
      <c r="E87" s="3">
        <v>6.7</v>
      </c>
    </row>
    <row r="88" spans="1:5" x14ac:dyDescent="0.55000000000000004">
      <c r="A88" s="1">
        <f t="shared" si="0"/>
        <v>1982</v>
      </c>
      <c r="D88" s="3">
        <v>33.9</v>
      </c>
      <c r="E88" s="3">
        <v>6.6</v>
      </c>
    </row>
    <row r="89" spans="1:5" x14ac:dyDescent="0.55000000000000004">
      <c r="A89" s="1">
        <f t="shared" si="0"/>
        <v>1983</v>
      </c>
      <c r="D89" s="3">
        <v>33.4</v>
      </c>
      <c r="E89" s="3">
        <v>6.5</v>
      </c>
    </row>
    <row r="90" spans="1:5" x14ac:dyDescent="0.55000000000000004">
      <c r="A90" s="1">
        <f t="shared" si="0"/>
        <v>1984</v>
      </c>
      <c r="D90" s="3">
        <v>33.1</v>
      </c>
      <c r="E90" s="3">
        <v>6.4</v>
      </c>
    </row>
    <row r="91" spans="1:5" x14ac:dyDescent="0.55000000000000004">
      <c r="A91" s="1">
        <f t="shared" si="0"/>
        <v>1985</v>
      </c>
      <c r="D91" s="3">
        <v>32.700000000000003</v>
      </c>
      <c r="E91" s="3">
        <v>6.3</v>
      </c>
    </row>
    <row r="92" spans="1:5" x14ac:dyDescent="0.55000000000000004">
      <c r="A92" s="1">
        <f t="shared" si="0"/>
        <v>1986</v>
      </c>
      <c r="D92" s="3">
        <v>32.299999999999997</v>
      </c>
      <c r="E92" s="3">
        <v>6.2</v>
      </c>
    </row>
    <row r="93" spans="1:5" x14ac:dyDescent="0.55000000000000004">
      <c r="A93" s="1">
        <f t="shared" si="0"/>
        <v>1987</v>
      </c>
      <c r="D93" s="3">
        <v>31.4</v>
      </c>
      <c r="E93" s="3">
        <v>6.1</v>
      </c>
    </row>
    <row r="94" spans="1:5" x14ac:dyDescent="0.55000000000000004">
      <c r="A94" s="1">
        <f t="shared" si="0"/>
        <v>1988</v>
      </c>
      <c r="D94" s="3">
        <v>30.4</v>
      </c>
      <c r="E94" s="3">
        <v>6.1</v>
      </c>
    </row>
    <row r="95" spans="1:5" x14ac:dyDescent="0.55000000000000004">
      <c r="A95" s="1">
        <f t="shared" si="0"/>
        <v>1989</v>
      </c>
      <c r="D95" s="3">
        <v>29.9</v>
      </c>
      <c r="E95" s="3">
        <v>6.2</v>
      </c>
    </row>
    <row r="96" spans="1:5" x14ac:dyDescent="0.55000000000000004">
      <c r="A96" s="1">
        <f t="shared" si="0"/>
        <v>1990</v>
      </c>
      <c r="D96" s="3">
        <v>29.4</v>
      </c>
      <c r="E96" s="3">
        <v>6.2</v>
      </c>
    </row>
    <row r="97" spans="1:5" x14ac:dyDescent="0.55000000000000004">
      <c r="A97" s="1">
        <f t="shared" si="0"/>
        <v>1991</v>
      </c>
      <c r="D97" s="3">
        <v>29.1</v>
      </c>
      <c r="E97" s="3">
        <v>6.1</v>
      </c>
    </row>
    <row r="98" spans="1:5" x14ac:dyDescent="0.55000000000000004">
      <c r="A98" s="1">
        <f t="shared" si="0"/>
        <v>1992</v>
      </c>
      <c r="D98" s="3">
        <v>28.7</v>
      </c>
      <c r="E98" s="3">
        <v>6</v>
      </c>
    </row>
    <row r="99" spans="1:5" x14ac:dyDescent="0.55000000000000004">
      <c r="A99" s="1">
        <f t="shared" si="0"/>
        <v>1993</v>
      </c>
      <c r="D99" s="3">
        <v>28.3</v>
      </c>
      <c r="E99" s="3">
        <v>5.9</v>
      </c>
    </row>
    <row r="100" spans="1:5" x14ac:dyDescent="0.55000000000000004">
      <c r="A100" s="1">
        <f t="shared" si="0"/>
        <v>1994</v>
      </c>
      <c r="D100" s="3">
        <v>27.7</v>
      </c>
      <c r="E100" s="3">
        <v>5.8</v>
      </c>
    </row>
    <row r="101" spans="1:5" x14ac:dyDescent="0.55000000000000004">
      <c r="A101" s="1">
        <f t="shared" si="0"/>
        <v>1995</v>
      </c>
      <c r="D101" s="3">
        <v>27.1</v>
      </c>
      <c r="E101" s="3">
        <v>5.7</v>
      </c>
    </row>
    <row r="102" spans="1:5" x14ac:dyDescent="0.55000000000000004">
      <c r="A102" s="1">
        <f t="shared" si="0"/>
        <v>1996</v>
      </c>
      <c r="D102" s="3">
        <v>26.4</v>
      </c>
      <c r="E102" s="3">
        <v>5.6</v>
      </c>
    </row>
    <row r="103" spans="1:5" x14ac:dyDescent="0.55000000000000004">
      <c r="A103" s="1">
        <f t="shared" si="0"/>
        <v>1997</v>
      </c>
      <c r="D103" s="3">
        <v>25.8</v>
      </c>
      <c r="E103" s="3">
        <v>5.6</v>
      </c>
    </row>
    <row r="104" spans="1:5" x14ac:dyDescent="0.55000000000000004">
      <c r="A104" s="1">
        <f t="shared" si="0"/>
        <v>1998</v>
      </c>
      <c r="D104" s="3">
        <v>25.1</v>
      </c>
      <c r="E104" s="3">
        <v>5.5</v>
      </c>
    </row>
    <row r="105" spans="1:5" x14ac:dyDescent="0.55000000000000004">
      <c r="A105" s="1">
        <f t="shared" si="0"/>
        <v>1999</v>
      </c>
      <c r="D105" s="3">
        <v>24.6</v>
      </c>
      <c r="E105" s="3">
        <v>5.5</v>
      </c>
    </row>
    <row r="106" spans="1:5" x14ac:dyDescent="0.55000000000000004">
      <c r="A106" s="1">
        <f t="shared" si="0"/>
        <v>2000</v>
      </c>
      <c r="D106" s="3">
        <v>24.2</v>
      </c>
      <c r="E106" s="3">
        <v>5.5</v>
      </c>
    </row>
    <row r="107" spans="1:5" x14ac:dyDescent="0.55000000000000004">
      <c r="A107" s="1">
        <f t="shared" si="0"/>
        <v>2001</v>
      </c>
      <c r="D107" s="3">
        <v>23.8</v>
      </c>
      <c r="E107" s="3">
        <v>5.4</v>
      </c>
    </row>
    <row r="108" spans="1:5" x14ac:dyDescent="0.55000000000000004">
      <c r="A108" s="1">
        <f t="shared" si="0"/>
        <v>2002</v>
      </c>
      <c r="D108" s="3">
        <v>23.4</v>
      </c>
      <c r="E108" s="3">
        <v>5.5</v>
      </c>
    </row>
    <row r="109" spans="1:5" x14ac:dyDescent="0.55000000000000004">
      <c r="A109" s="1">
        <f t="shared" si="0"/>
        <v>2003</v>
      </c>
      <c r="D109" s="3">
        <v>22.8</v>
      </c>
      <c r="E109" s="3">
        <v>5.5</v>
      </c>
    </row>
    <row r="110" spans="1:5" x14ac:dyDescent="0.55000000000000004">
      <c r="A110" s="1">
        <f t="shared" si="0"/>
        <v>2004</v>
      </c>
      <c r="D110" s="3">
        <v>22.4</v>
      </c>
      <c r="E110" s="3">
        <v>5.5</v>
      </c>
    </row>
    <row r="111" spans="1:5" x14ac:dyDescent="0.55000000000000004">
      <c r="A111" s="1">
        <f t="shared" si="0"/>
        <v>2005</v>
      </c>
      <c r="D111" s="3">
        <v>21.9</v>
      </c>
      <c r="E111" s="3">
        <v>5.5</v>
      </c>
    </row>
    <row r="112" spans="1:5" x14ac:dyDescent="0.55000000000000004">
      <c r="A112" s="1">
        <f t="shared" si="0"/>
        <v>2006</v>
      </c>
      <c r="D112" s="3">
        <v>21.5</v>
      </c>
      <c r="E112" s="3">
        <v>5.6</v>
      </c>
    </row>
    <row r="113" spans="1:5" x14ac:dyDescent="0.55000000000000004">
      <c r="A113" s="1">
        <f t="shared" si="0"/>
        <v>2007</v>
      </c>
      <c r="D113" s="3">
        <v>21.1</v>
      </c>
      <c r="E113" s="3">
        <v>5.6</v>
      </c>
    </row>
    <row r="114" spans="1:5" x14ac:dyDescent="0.55000000000000004">
      <c r="A114" s="1">
        <f t="shared" si="0"/>
        <v>2008</v>
      </c>
      <c r="D114" s="3">
        <v>20.8</v>
      </c>
      <c r="E114" s="3">
        <v>5.7</v>
      </c>
    </row>
    <row r="115" spans="1:5" x14ac:dyDescent="0.55000000000000004">
      <c r="A115" s="1">
        <f t="shared" si="0"/>
        <v>2009</v>
      </c>
      <c r="D115" s="3">
        <v>20.6</v>
      </c>
      <c r="E115" s="3">
        <v>5.7</v>
      </c>
    </row>
    <row r="116" spans="1:5" x14ac:dyDescent="0.55000000000000004">
      <c r="A116" s="1">
        <f t="shared" si="0"/>
        <v>2010</v>
      </c>
      <c r="D116" s="3">
        <v>20.3</v>
      </c>
      <c r="E116" s="3">
        <v>5.7</v>
      </c>
    </row>
    <row r="117" spans="1:5" x14ac:dyDescent="0.55000000000000004">
      <c r="A117" s="1">
        <f t="shared" si="0"/>
        <v>2011</v>
      </c>
      <c r="D117" s="3">
        <v>20.100000000000001</v>
      </c>
      <c r="E117" s="3">
        <v>5.7</v>
      </c>
    </row>
    <row r="118" spans="1:5" x14ac:dyDescent="0.55000000000000004">
      <c r="A118" s="1">
        <f t="shared" si="0"/>
        <v>2012</v>
      </c>
      <c r="D118" s="3">
        <v>19.899999999999999</v>
      </c>
      <c r="E118" s="3">
        <v>5.7</v>
      </c>
    </row>
    <row r="119" spans="1:5" x14ac:dyDescent="0.55000000000000004">
      <c r="A119" s="1">
        <f t="shared" si="0"/>
        <v>2013</v>
      </c>
      <c r="D119" s="3">
        <v>19.600000000000001</v>
      </c>
      <c r="E119" s="3">
        <v>5.7</v>
      </c>
    </row>
    <row r="120" spans="1:5" x14ac:dyDescent="0.55000000000000004">
      <c r="A120" s="1">
        <f t="shared" si="0"/>
        <v>2014</v>
      </c>
      <c r="D120" s="3">
        <v>19</v>
      </c>
      <c r="E120" s="3">
        <v>5.7</v>
      </c>
    </row>
    <row r="121" spans="1:5" x14ac:dyDescent="0.55000000000000004">
      <c r="A121" s="1">
        <f t="shared" si="0"/>
        <v>2015</v>
      </c>
      <c r="D121" s="3">
        <v>18.2</v>
      </c>
      <c r="E121" s="3">
        <v>5.8</v>
      </c>
    </row>
    <row r="122" spans="1:5" x14ac:dyDescent="0.55000000000000004">
      <c r="A122" s="1">
        <f t="shared" si="0"/>
        <v>2016</v>
      </c>
      <c r="D122" s="3">
        <v>17.7</v>
      </c>
      <c r="E122" s="3">
        <v>5.9</v>
      </c>
    </row>
    <row r="123" spans="1:5" x14ac:dyDescent="0.55000000000000004">
      <c r="A123" s="1">
        <f t="shared" si="0"/>
        <v>2017</v>
      </c>
      <c r="D123" s="3">
        <v>17.2</v>
      </c>
      <c r="E123" s="3">
        <v>6</v>
      </c>
    </row>
    <row r="124" spans="1:5" x14ac:dyDescent="0.55000000000000004">
      <c r="A124" s="1">
        <f t="shared" si="0"/>
        <v>2018</v>
      </c>
      <c r="D124" s="3">
        <v>17</v>
      </c>
      <c r="E124" s="3">
        <v>6.1</v>
      </c>
    </row>
    <row r="125" spans="1:5" x14ac:dyDescent="0.55000000000000004">
      <c r="A125" s="1">
        <f t="shared" si="0"/>
        <v>2019</v>
      </c>
      <c r="D125" s="3">
        <v>16.899999999999999</v>
      </c>
      <c r="E125" s="3">
        <v>6.1</v>
      </c>
    </row>
    <row r="126" spans="1:5" x14ac:dyDescent="0.55000000000000004">
      <c r="A126" s="1">
        <f t="shared" si="0"/>
        <v>2020</v>
      </c>
      <c r="D126" s="3">
        <v>16.600000000000001</v>
      </c>
      <c r="E126" s="3">
        <v>8.4</v>
      </c>
    </row>
    <row r="127" spans="1:5" x14ac:dyDescent="0.55000000000000004">
      <c r="A127" s="1">
        <f t="shared" si="0"/>
        <v>2021</v>
      </c>
      <c r="D127" s="3">
        <v>16.399999999999999</v>
      </c>
      <c r="E127" s="3">
        <v>9</v>
      </c>
    </row>
    <row r="128" spans="1:5" x14ac:dyDescent="0.55000000000000004">
      <c r="A128" s="1">
        <f t="shared" si="0"/>
        <v>2022</v>
      </c>
      <c r="D128" s="3">
        <v>16</v>
      </c>
      <c r="E128" s="3">
        <v>6.5</v>
      </c>
    </row>
    <row r="129" spans="1:5" x14ac:dyDescent="0.55000000000000004">
      <c r="A129" s="1">
        <f t="shared" si="0"/>
        <v>2023</v>
      </c>
      <c r="D129" s="3">
        <v>15.7</v>
      </c>
      <c r="E129" s="3">
        <v>6.2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topLeftCell="A16" workbookViewId="0">
      <selection activeCell="AO61" sqref="AO61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24" t="s">
        <v>100</v>
      </c>
      <c r="C1" s="24"/>
      <c r="D1" s="24" t="s">
        <v>75</v>
      </c>
      <c r="E1" s="24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>
        <v>47.476999999999997</v>
      </c>
      <c r="C3">
        <v>34.473999999999997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47.476999999999997</v>
      </c>
      <c r="H3" s="3">
        <f>IF($A3&lt;1960,$C3,IF($A3&gt;=1970,$E3,$E3-(INDEX($E:$E,MATCH(1960,$A:$A,0))-(2*INDEX($C:$C,MATCH(1959,$A:$A,0))-INDEX($C:$C,MATCH(1958,$A:$A,0))))*(1-$F3)))</f>
        <v>34.473999999999997</v>
      </c>
      <c r="J3" s="17">
        <f>A3</f>
        <v>1895</v>
      </c>
      <c r="K3" s="3">
        <f>G3</f>
        <v>47.476999999999997</v>
      </c>
      <c r="L3" s="3">
        <f>H3</f>
        <v>34.473999999999997</v>
      </c>
      <c r="M3" s="3">
        <f>K3-L3</f>
        <v>13.003</v>
      </c>
    </row>
    <row r="4" spans="1:13" x14ac:dyDescent="0.55000000000000004">
      <c r="A4" s="13">
        <v>1896</v>
      </c>
      <c r="B4">
        <v>47.433</v>
      </c>
      <c r="C4">
        <v>34.456000000000003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47.433</v>
      </c>
      <c r="H4" s="3">
        <f t="shared" ref="H4:H67" si="2">IF($A4&lt;1960,$C4,IF($A4&gt;=1970,$E4,$E4-(INDEX($E:$E,MATCH(1960,$A:$A,0))-(2*INDEX($C:$C,MATCH(1959,$A:$A,0))-INDEX($C:$C,MATCH(1958,$A:$A,0))))*(1-$F4)))</f>
        <v>34.456000000000003</v>
      </c>
      <c r="J4" s="17">
        <f t="shared" ref="J4:J67" si="3">A4</f>
        <v>1896</v>
      </c>
      <c r="K4" s="3">
        <f t="shared" ref="K4:K67" si="4">G4</f>
        <v>47.433</v>
      </c>
      <c r="L4" s="3">
        <f t="shared" ref="L4:L67" si="5">H4</f>
        <v>34.456000000000003</v>
      </c>
      <c r="M4" s="3">
        <f t="shared" ref="M4:M67" si="6">K4-L4</f>
        <v>12.976999999999997</v>
      </c>
    </row>
    <row r="5" spans="1:13" x14ac:dyDescent="0.55000000000000004">
      <c r="A5" s="13">
        <v>1897</v>
      </c>
      <c r="B5">
        <v>47.35</v>
      </c>
      <c r="C5">
        <v>34.421999999999997</v>
      </c>
      <c r="F5">
        <f t="shared" si="0"/>
        <v>0</v>
      </c>
      <c r="G5" s="3">
        <f t="shared" si="1"/>
        <v>47.35</v>
      </c>
      <c r="H5" s="3">
        <f t="shared" si="2"/>
        <v>34.421999999999997</v>
      </c>
      <c r="J5" s="17">
        <f t="shared" si="3"/>
        <v>1897</v>
      </c>
      <c r="K5" s="3">
        <f t="shared" si="4"/>
        <v>47.35</v>
      </c>
      <c r="L5" s="3">
        <f t="shared" si="5"/>
        <v>34.421999999999997</v>
      </c>
      <c r="M5" s="3">
        <f t="shared" si="6"/>
        <v>12.928000000000004</v>
      </c>
    </row>
    <row r="6" spans="1:13" x14ac:dyDescent="0.55000000000000004">
      <c r="A6" s="13">
        <v>1898</v>
      </c>
      <c r="B6">
        <v>47.216999999999999</v>
      </c>
      <c r="C6">
        <v>34.369</v>
      </c>
      <c r="F6">
        <f t="shared" si="0"/>
        <v>0</v>
      </c>
      <c r="G6" s="3">
        <f t="shared" si="1"/>
        <v>47.216999999999999</v>
      </c>
      <c r="H6" s="3">
        <f t="shared" si="2"/>
        <v>34.369</v>
      </c>
      <c r="J6" s="17">
        <f t="shared" si="3"/>
        <v>1898</v>
      </c>
      <c r="K6" s="3">
        <f t="shared" si="4"/>
        <v>47.216999999999999</v>
      </c>
      <c r="L6" s="3">
        <f t="shared" si="5"/>
        <v>34.369</v>
      </c>
      <c r="M6" s="3">
        <f t="shared" si="6"/>
        <v>12.847999999999999</v>
      </c>
    </row>
    <row r="7" spans="1:13" x14ac:dyDescent="0.55000000000000004">
      <c r="A7" s="13">
        <v>1899</v>
      </c>
      <c r="B7">
        <v>47.037999999999997</v>
      </c>
      <c r="C7">
        <v>34.284999999999997</v>
      </c>
      <c r="F7">
        <f t="shared" si="0"/>
        <v>0</v>
      </c>
      <c r="G7" s="3">
        <f t="shared" si="1"/>
        <v>47.037999999999997</v>
      </c>
      <c r="H7" s="3">
        <f t="shared" si="2"/>
        <v>34.284999999999997</v>
      </c>
      <c r="J7" s="17">
        <f t="shared" si="3"/>
        <v>1899</v>
      </c>
      <c r="K7" s="3">
        <f t="shared" si="4"/>
        <v>47.037999999999997</v>
      </c>
      <c r="L7" s="3">
        <f t="shared" si="5"/>
        <v>34.284999999999997</v>
      </c>
      <c r="M7" s="3">
        <f t="shared" si="6"/>
        <v>12.753</v>
      </c>
    </row>
    <row r="8" spans="1:13" x14ac:dyDescent="0.55000000000000004">
      <c r="A8" s="13">
        <v>1900</v>
      </c>
      <c r="B8">
        <v>46.755000000000003</v>
      </c>
      <c r="C8">
        <v>34.247</v>
      </c>
      <c r="F8">
        <f t="shared" si="0"/>
        <v>0</v>
      </c>
      <c r="G8" s="3">
        <f t="shared" si="1"/>
        <v>46.755000000000003</v>
      </c>
      <c r="H8" s="3">
        <f t="shared" si="2"/>
        <v>34.247</v>
      </c>
      <c r="J8" s="17">
        <f t="shared" si="3"/>
        <v>1900</v>
      </c>
      <c r="K8" s="3">
        <f t="shared" si="4"/>
        <v>46.755000000000003</v>
      </c>
      <c r="L8" s="3">
        <f t="shared" si="5"/>
        <v>34.247</v>
      </c>
      <c r="M8" s="3">
        <f t="shared" si="6"/>
        <v>12.508000000000003</v>
      </c>
    </row>
    <row r="9" spans="1:13" x14ac:dyDescent="0.55000000000000004">
      <c r="A9" s="13">
        <v>1901</v>
      </c>
      <c r="B9">
        <v>46.579000000000001</v>
      </c>
      <c r="C9">
        <v>33.978999999999999</v>
      </c>
      <c r="F9">
        <f t="shared" si="0"/>
        <v>0</v>
      </c>
      <c r="G9" s="3">
        <f t="shared" si="1"/>
        <v>46.579000000000001</v>
      </c>
      <c r="H9" s="3">
        <f t="shared" si="2"/>
        <v>33.978999999999999</v>
      </c>
      <c r="J9" s="17">
        <f t="shared" si="3"/>
        <v>1901</v>
      </c>
      <c r="K9" s="3">
        <f t="shared" si="4"/>
        <v>46.579000000000001</v>
      </c>
      <c r="L9" s="3">
        <f t="shared" si="5"/>
        <v>33.978999999999999</v>
      </c>
      <c r="M9" s="3">
        <f t="shared" si="6"/>
        <v>12.600000000000001</v>
      </c>
    </row>
    <row r="10" spans="1:13" x14ac:dyDescent="0.55000000000000004">
      <c r="A10" s="13">
        <v>1902</v>
      </c>
      <c r="B10">
        <v>46.451000000000001</v>
      </c>
      <c r="C10">
        <v>33.558</v>
      </c>
      <c r="F10">
        <f t="shared" si="0"/>
        <v>0</v>
      </c>
      <c r="G10" s="3">
        <f t="shared" si="1"/>
        <v>46.451000000000001</v>
      </c>
      <c r="H10" s="3">
        <f t="shared" si="2"/>
        <v>33.558</v>
      </c>
      <c r="J10" s="17">
        <f t="shared" si="3"/>
        <v>1902</v>
      </c>
      <c r="K10" s="3">
        <f t="shared" si="4"/>
        <v>46.451000000000001</v>
      </c>
      <c r="L10" s="3">
        <f t="shared" si="5"/>
        <v>33.558</v>
      </c>
      <c r="M10" s="3">
        <f t="shared" si="6"/>
        <v>12.893000000000001</v>
      </c>
    </row>
    <row r="11" spans="1:13" x14ac:dyDescent="0.55000000000000004">
      <c r="A11" s="13">
        <v>1903</v>
      </c>
      <c r="B11">
        <v>46.378</v>
      </c>
      <c r="C11">
        <v>32.978000000000002</v>
      </c>
      <c r="F11">
        <f t="shared" si="0"/>
        <v>0</v>
      </c>
      <c r="G11" s="3">
        <f t="shared" si="1"/>
        <v>46.378</v>
      </c>
      <c r="H11" s="3">
        <f t="shared" si="2"/>
        <v>32.978000000000002</v>
      </c>
      <c r="J11" s="17">
        <f t="shared" si="3"/>
        <v>1903</v>
      </c>
      <c r="K11" s="3">
        <f t="shared" si="4"/>
        <v>46.378</v>
      </c>
      <c r="L11" s="3">
        <f t="shared" si="5"/>
        <v>32.978000000000002</v>
      </c>
      <c r="M11" s="3">
        <f t="shared" si="6"/>
        <v>13.399999999999999</v>
      </c>
    </row>
    <row r="12" spans="1:13" x14ac:dyDescent="0.55000000000000004">
      <c r="A12" s="13">
        <v>1904</v>
      </c>
      <c r="B12">
        <v>46.348999999999997</v>
      </c>
      <c r="C12">
        <v>32.302999999999997</v>
      </c>
      <c r="F12">
        <f t="shared" si="0"/>
        <v>0</v>
      </c>
      <c r="G12" s="3">
        <f t="shared" si="1"/>
        <v>46.348999999999997</v>
      </c>
      <c r="H12" s="3">
        <f t="shared" si="2"/>
        <v>32.302999999999997</v>
      </c>
      <c r="J12" s="17">
        <f t="shared" si="3"/>
        <v>1904</v>
      </c>
      <c r="K12" s="3">
        <f t="shared" si="4"/>
        <v>46.348999999999997</v>
      </c>
      <c r="L12" s="3">
        <f t="shared" si="5"/>
        <v>32.302999999999997</v>
      </c>
      <c r="M12" s="3">
        <f t="shared" si="6"/>
        <v>14.045999999999999</v>
      </c>
    </row>
    <row r="13" spans="1:13" x14ac:dyDescent="0.55000000000000004">
      <c r="A13" s="13">
        <v>1905</v>
      </c>
      <c r="B13">
        <v>46.462000000000003</v>
      </c>
      <c r="C13">
        <v>30.978999999999999</v>
      </c>
      <c r="F13">
        <f t="shared" si="0"/>
        <v>0</v>
      </c>
      <c r="G13" s="3">
        <f t="shared" si="1"/>
        <v>46.462000000000003</v>
      </c>
      <c r="H13" s="3">
        <f t="shared" si="2"/>
        <v>30.978999999999999</v>
      </c>
      <c r="J13" s="17">
        <f t="shared" si="3"/>
        <v>1905</v>
      </c>
      <c r="K13" s="3">
        <f t="shared" si="4"/>
        <v>46.462000000000003</v>
      </c>
      <c r="L13" s="3">
        <f t="shared" si="5"/>
        <v>30.978999999999999</v>
      </c>
      <c r="M13" s="3">
        <f t="shared" si="6"/>
        <v>15.483000000000004</v>
      </c>
    </row>
    <row r="14" spans="1:13" x14ac:dyDescent="0.55000000000000004">
      <c r="A14" s="13">
        <v>1906</v>
      </c>
      <c r="B14">
        <v>46.356999999999999</v>
      </c>
      <c r="C14">
        <v>31.055</v>
      </c>
      <c r="F14">
        <f t="shared" si="0"/>
        <v>0</v>
      </c>
      <c r="G14" s="3">
        <f t="shared" si="1"/>
        <v>46.356999999999999</v>
      </c>
      <c r="H14" s="3">
        <f t="shared" si="2"/>
        <v>31.055</v>
      </c>
      <c r="J14" s="17">
        <f t="shared" si="3"/>
        <v>1906</v>
      </c>
      <c r="K14" s="3">
        <f t="shared" si="4"/>
        <v>46.356999999999999</v>
      </c>
      <c r="L14" s="3">
        <f t="shared" si="5"/>
        <v>31.055</v>
      </c>
      <c r="M14" s="3">
        <f t="shared" si="6"/>
        <v>15.302</v>
      </c>
    </row>
    <row r="15" spans="1:13" x14ac:dyDescent="0.55000000000000004">
      <c r="A15" s="13">
        <v>1907</v>
      </c>
      <c r="B15">
        <v>46.134</v>
      </c>
      <c r="C15">
        <v>31.966000000000001</v>
      </c>
      <c r="F15">
        <f t="shared" si="0"/>
        <v>0</v>
      </c>
      <c r="G15" s="3">
        <f t="shared" si="1"/>
        <v>46.134</v>
      </c>
      <c r="H15" s="3">
        <f t="shared" si="2"/>
        <v>31.966000000000001</v>
      </c>
      <c r="J15" s="17">
        <f t="shared" si="3"/>
        <v>1907</v>
      </c>
      <c r="K15" s="3">
        <f t="shared" si="4"/>
        <v>46.134</v>
      </c>
      <c r="L15" s="3">
        <f t="shared" si="5"/>
        <v>31.966000000000001</v>
      </c>
      <c r="M15" s="3">
        <f t="shared" si="6"/>
        <v>14.167999999999999</v>
      </c>
    </row>
    <row r="16" spans="1:13" x14ac:dyDescent="0.55000000000000004">
      <c r="A16" s="13">
        <v>1908</v>
      </c>
      <c r="B16">
        <v>45.781999999999996</v>
      </c>
      <c r="C16">
        <v>33.802</v>
      </c>
      <c r="F16">
        <f t="shared" si="0"/>
        <v>0</v>
      </c>
      <c r="G16" s="3">
        <f t="shared" si="1"/>
        <v>45.781999999999996</v>
      </c>
      <c r="H16" s="3">
        <f t="shared" si="2"/>
        <v>33.802</v>
      </c>
      <c r="J16" s="17">
        <f t="shared" si="3"/>
        <v>1908</v>
      </c>
      <c r="K16" s="3">
        <f t="shared" si="4"/>
        <v>45.781999999999996</v>
      </c>
      <c r="L16" s="3">
        <f t="shared" si="5"/>
        <v>33.802</v>
      </c>
      <c r="M16" s="3">
        <f t="shared" si="6"/>
        <v>11.979999999999997</v>
      </c>
    </row>
    <row r="17" spans="1:13" x14ac:dyDescent="0.55000000000000004">
      <c r="A17" s="13">
        <v>1909</v>
      </c>
      <c r="B17">
        <v>45.304000000000002</v>
      </c>
      <c r="C17">
        <v>36.517000000000003</v>
      </c>
      <c r="F17">
        <f t="shared" si="0"/>
        <v>0</v>
      </c>
      <c r="G17" s="3">
        <f t="shared" si="1"/>
        <v>45.304000000000002</v>
      </c>
      <c r="H17" s="3">
        <f t="shared" si="2"/>
        <v>36.517000000000003</v>
      </c>
      <c r="J17" s="17">
        <f t="shared" si="3"/>
        <v>1909</v>
      </c>
      <c r="K17" s="3">
        <f t="shared" si="4"/>
        <v>45.304000000000002</v>
      </c>
      <c r="L17" s="3">
        <f t="shared" si="5"/>
        <v>36.517000000000003</v>
      </c>
      <c r="M17" s="3">
        <f t="shared" si="6"/>
        <v>8.786999999999999</v>
      </c>
    </row>
    <row r="18" spans="1:13" x14ac:dyDescent="0.55000000000000004">
      <c r="A18" s="13">
        <v>1910</v>
      </c>
      <c r="B18">
        <v>44.673999999999999</v>
      </c>
      <c r="C18">
        <v>41.073</v>
      </c>
      <c r="F18">
        <f t="shared" si="0"/>
        <v>0</v>
      </c>
      <c r="G18" s="3">
        <f t="shared" si="1"/>
        <v>44.673999999999999</v>
      </c>
      <c r="H18" s="3">
        <f t="shared" si="2"/>
        <v>41.073</v>
      </c>
      <c r="J18" s="17">
        <f t="shared" si="3"/>
        <v>1910</v>
      </c>
      <c r="K18" s="3">
        <f t="shared" si="4"/>
        <v>44.673999999999999</v>
      </c>
      <c r="L18" s="3">
        <f t="shared" si="5"/>
        <v>41.073</v>
      </c>
      <c r="M18" s="3">
        <f t="shared" si="6"/>
        <v>3.6009999999999991</v>
      </c>
    </row>
    <row r="19" spans="1:13" x14ac:dyDescent="0.55000000000000004">
      <c r="A19" s="13">
        <v>1911</v>
      </c>
      <c r="B19">
        <v>44.000999999999998</v>
      </c>
      <c r="C19">
        <v>44.375999999999998</v>
      </c>
      <c r="F19">
        <f t="shared" si="0"/>
        <v>0</v>
      </c>
      <c r="G19" s="3">
        <f t="shared" si="1"/>
        <v>44.000999999999998</v>
      </c>
      <c r="H19" s="3">
        <f t="shared" si="2"/>
        <v>44.375999999999998</v>
      </c>
      <c r="J19" s="17">
        <f t="shared" si="3"/>
        <v>1911</v>
      </c>
      <c r="K19" s="3">
        <f t="shared" si="4"/>
        <v>44.000999999999998</v>
      </c>
      <c r="L19" s="3">
        <f t="shared" si="5"/>
        <v>44.375999999999998</v>
      </c>
      <c r="M19" s="3">
        <f t="shared" si="6"/>
        <v>-0.375</v>
      </c>
    </row>
    <row r="20" spans="1:13" x14ac:dyDescent="0.55000000000000004">
      <c r="A20" s="13">
        <v>1912</v>
      </c>
      <c r="B20">
        <v>43.256</v>
      </c>
      <c r="C20">
        <v>47.207000000000001</v>
      </c>
      <c r="F20">
        <f t="shared" si="0"/>
        <v>0</v>
      </c>
      <c r="G20" s="3">
        <f t="shared" si="1"/>
        <v>43.256</v>
      </c>
      <c r="H20" s="3">
        <f t="shared" si="2"/>
        <v>47.207000000000001</v>
      </c>
      <c r="J20" s="17">
        <f t="shared" si="3"/>
        <v>1912</v>
      </c>
      <c r="K20" s="3">
        <f t="shared" si="4"/>
        <v>43.256</v>
      </c>
      <c r="L20" s="3">
        <f t="shared" si="5"/>
        <v>47.207000000000001</v>
      </c>
      <c r="M20" s="3">
        <f t="shared" si="6"/>
        <v>-3.9510000000000005</v>
      </c>
    </row>
    <row r="21" spans="1:13" x14ac:dyDescent="0.55000000000000004">
      <c r="A21" s="13">
        <v>1913</v>
      </c>
      <c r="B21">
        <v>42.442999999999998</v>
      </c>
      <c r="C21">
        <v>49.438000000000002</v>
      </c>
      <c r="F21">
        <f t="shared" si="0"/>
        <v>0</v>
      </c>
      <c r="G21" s="3">
        <f t="shared" si="1"/>
        <v>42.442999999999998</v>
      </c>
      <c r="H21" s="3">
        <f t="shared" si="2"/>
        <v>49.438000000000002</v>
      </c>
      <c r="J21" s="17">
        <f t="shared" si="3"/>
        <v>1913</v>
      </c>
      <c r="K21" s="3">
        <f t="shared" si="4"/>
        <v>42.442999999999998</v>
      </c>
      <c r="L21" s="3">
        <f t="shared" si="5"/>
        <v>49.438000000000002</v>
      </c>
      <c r="M21" s="3">
        <f t="shared" si="6"/>
        <v>-6.9950000000000045</v>
      </c>
    </row>
    <row r="22" spans="1:13" x14ac:dyDescent="0.55000000000000004">
      <c r="A22" s="13">
        <v>1914</v>
      </c>
      <c r="B22">
        <v>41.597999999999999</v>
      </c>
      <c r="C22">
        <v>50.99</v>
      </c>
      <c r="F22">
        <f t="shared" si="0"/>
        <v>0</v>
      </c>
      <c r="G22" s="3">
        <f t="shared" si="1"/>
        <v>41.597999999999999</v>
      </c>
      <c r="H22" s="3">
        <f t="shared" si="2"/>
        <v>50.99</v>
      </c>
      <c r="J22" s="17">
        <f t="shared" si="3"/>
        <v>1914</v>
      </c>
      <c r="K22" s="3">
        <f t="shared" si="4"/>
        <v>41.597999999999999</v>
      </c>
      <c r="L22" s="3">
        <f t="shared" si="5"/>
        <v>50.99</v>
      </c>
      <c r="M22" s="3">
        <f t="shared" si="6"/>
        <v>-9.392000000000003</v>
      </c>
    </row>
    <row r="23" spans="1:13" x14ac:dyDescent="0.55000000000000004">
      <c r="A23" s="13">
        <v>1915</v>
      </c>
      <c r="B23">
        <v>40.414999999999999</v>
      </c>
      <c r="C23">
        <v>52.290999999999997</v>
      </c>
      <c r="F23">
        <f t="shared" si="0"/>
        <v>0</v>
      </c>
      <c r="G23" s="3">
        <f t="shared" si="1"/>
        <v>40.414999999999999</v>
      </c>
      <c r="H23" s="3">
        <f t="shared" si="2"/>
        <v>52.290999999999997</v>
      </c>
      <c r="J23" s="17">
        <f t="shared" si="3"/>
        <v>1915</v>
      </c>
      <c r="K23" s="3">
        <f t="shared" si="4"/>
        <v>40.414999999999999</v>
      </c>
      <c r="L23" s="3">
        <f t="shared" si="5"/>
        <v>52.290999999999997</v>
      </c>
      <c r="M23" s="3">
        <f t="shared" si="6"/>
        <v>-11.875999999999998</v>
      </c>
    </row>
    <row r="24" spans="1:13" x14ac:dyDescent="0.55000000000000004">
      <c r="A24" s="13">
        <v>1916</v>
      </c>
      <c r="B24">
        <v>40.024999999999999</v>
      </c>
      <c r="C24">
        <v>51.691000000000003</v>
      </c>
      <c r="F24">
        <f t="shared" si="0"/>
        <v>0</v>
      </c>
      <c r="G24" s="3">
        <f t="shared" si="1"/>
        <v>40.024999999999999</v>
      </c>
      <c r="H24" s="3">
        <f t="shared" si="2"/>
        <v>51.691000000000003</v>
      </c>
      <c r="J24" s="17">
        <f t="shared" si="3"/>
        <v>1916</v>
      </c>
      <c r="K24" s="3">
        <f t="shared" si="4"/>
        <v>40.024999999999999</v>
      </c>
      <c r="L24" s="3">
        <f t="shared" si="5"/>
        <v>51.691000000000003</v>
      </c>
      <c r="M24" s="3">
        <f t="shared" si="6"/>
        <v>-11.666000000000004</v>
      </c>
    </row>
    <row r="25" spans="1:13" x14ac:dyDescent="0.55000000000000004">
      <c r="A25" s="13">
        <v>1917</v>
      </c>
      <c r="B25">
        <v>40.110999999999997</v>
      </c>
      <c r="C25">
        <v>49.643999999999998</v>
      </c>
      <c r="F25">
        <f t="shared" si="0"/>
        <v>0</v>
      </c>
      <c r="G25" s="3">
        <f t="shared" si="1"/>
        <v>40.110999999999997</v>
      </c>
      <c r="H25" s="3">
        <f t="shared" si="2"/>
        <v>49.643999999999998</v>
      </c>
      <c r="J25" s="17">
        <f t="shared" si="3"/>
        <v>1917</v>
      </c>
      <c r="K25" s="3">
        <f t="shared" si="4"/>
        <v>40.110999999999997</v>
      </c>
      <c r="L25" s="3">
        <f t="shared" si="5"/>
        <v>49.643999999999998</v>
      </c>
      <c r="M25" s="3">
        <f t="shared" si="6"/>
        <v>-9.5330000000000013</v>
      </c>
    </row>
    <row r="26" spans="1:13" x14ac:dyDescent="0.55000000000000004">
      <c r="A26" s="13">
        <v>1918</v>
      </c>
      <c r="B26">
        <v>40.707000000000001</v>
      </c>
      <c r="C26">
        <v>46.161999999999999</v>
      </c>
      <c r="F26">
        <f t="shared" si="0"/>
        <v>0</v>
      </c>
      <c r="G26" s="3">
        <f t="shared" si="1"/>
        <v>40.707000000000001</v>
      </c>
      <c r="H26" s="3">
        <f t="shared" si="2"/>
        <v>46.161999999999999</v>
      </c>
      <c r="J26" s="17">
        <f t="shared" si="3"/>
        <v>1918</v>
      </c>
      <c r="K26" s="3">
        <f t="shared" si="4"/>
        <v>40.707000000000001</v>
      </c>
      <c r="L26" s="3">
        <f t="shared" si="5"/>
        <v>46.161999999999999</v>
      </c>
      <c r="M26" s="3">
        <f t="shared" si="6"/>
        <v>-5.4549999999999983</v>
      </c>
    </row>
    <row r="27" spans="1:13" x14ac:dyDescent="0.55000000000000004">
      <c r="A27" s="13">
        <v>1919</v>
      </c>
      <c r="B27">
        <v>41.765000000000001</v>
      </c>
      <c r="C27">
        <v>41.500999999999998</v>
      </c>
      <c r="F27">
        <f t="shared" si="0"/>
        <v>0</v>
      </c>
      <c r="G27" s="3">
        <f t="shared" si="1"/>
        <v>41.765000000000001</v>
      </c>
      <c r="H27" s="3">
        <f t="shared" si="2"/>
        <v>41.500999999999998</v>
      </c>
      <c r="J27" s="17">
        <f t="shared" si="3"/>
        <v>1919</v>
      </c>
      <c r="K27" s="3">
        <f t="shared" si="4"/>
        <v>41.765000000000001</v>
      </c>
      <c r="L27" s="3">
        <f t="shared" si="5"/>
        <v>41.500999999999998</v>
      </c>
      <c r="M27" s="3">
        <f t="shared" si="6"/>
        <v>0.2640000000000029</v>
      </c>
    </row>
    <row r="28" spans="1:13" x14ac:dyDescent="0.55000000000000004">
      <c r="A28" s="13">
        <v>1920</v>
      </c>
      <c r="B28">
        <v>43.822000000000003</v>
      </c>
      <c r="C28">
        <v>34.396000000000001</v>
      </c>
      <c r="F28">
        <f t="shared" si="0"/>
        <v>0</v>
      </c>
      <c r="G28" s="3">
        <f t="shared" si="1"/>
        <v>43.822000000000003</v>
      </c>
      <c r="H28" s="3">
        <f t="shared" si="2"/>
        <v>34.396000000000001</v>
      </c>
      <c r="J28" s="17">
        <f t="shared" si="3"/>
        <v>1920</v>
      </c>
      <c r="K28" s="3">
        <f t="shared" si="4"/>
        <v>43.822000000000003</v>
      </c>
      <c r="L28" s="3">
        <f t="shared" si="5"/>
        <v>34.396000000000001</v>
      </c>
      <c r="M28" s="3">
        <f t="shared" si="6"/>
        <v>9.4260000000000019</v>
      </c>
    </row>
    <row r="29" spans="1:13" x14ac:dyDescent="0.55000000000000004">
      <c r="A29" s="13">
        <v>1921</v>
      </c>
      <c r="B29">
        <v>44.978000000000002</v>
      </c>
      <c r="C29">
        <v>30.242000000000001</v>
      </c>
      <c r="F29">
        <f t="shared" si="0"/>
        <v>0</v>
      </c>
      <c r="G29" s="3">
        <f t="shared" si="1"/>
        <v>44.978000000000002</v>
      </c>
      <c r="H29" s="3">
        <f t="shared" si="2"/>
        <v>30.242000000000001</v>
      </c>
      <c r="J29" s="17">
        <f t="shared" si="3"/>
        <v>1921</v>
      </c>
      <c r="K29" s="3">
        <f t="shared" si="4"/>
        <v>44.978000000000002</v>
      </c>
      <c r="L29" s="3">
        <f t="shared" si="5"/>
        <v>30.242000000000001</v>
      </c>
      <c r="M29" s="3">
        <f t="shared" si="6"/>
        <v>14.736000000000001</v>
      </c>
    </row>
    <row r="30" spans="1:13" x14ac:dyDescent="0.55000000000000004">
      <c r="A30" s="13">
        <v>1922</v>
      </c>
      <c r="B30">
        <v>45.73</v>
      </c>
      <c r="C30">
        <v>27.283000000000001</v>
      </c>
      <c r="F30">
        <f t="shared" si="0"/>
        <v>0</v>
      </c>
      <c r="G30" s="3">
        <f t="shared" si="1"/>
        <v>45.73</v>
      </c>
      <c r="H30" s="3">
        <f t="shared" si="2"/>
        <v>27.283000000000001</v>
      </c>
      <c r="J30" s="17">
        <f t="shared" si="3"/>
        <v>1922</v>
      </c>
      <c r="K30" s="3">
        <f t="shared" si="4"/>
        <v>45.73</v>
      </c>
      <c r="L30" s="3">
        <f t="shared" si="5"/>
        <v>27.283000000000001</v>
      </c>
      <c r="M30" s="3">
        <f t="shared" si="6"/>
        <v>18.446999999999996</v>
      </c>
    </row>
    <row r="31" spans="1:13" x14ac:dyDescent="0.55000000000000004">
      <c r="A31" s="13">
        <v>1923</v>
      </c>
      <c r="B31">
        <v>46.015999999999998</v>
      </c>
      <c r="C31">
        <v>25.558</v>
      </c>
      <c r="F31">
        <f t="shared" si="0"/>
        <v>0</v>
      </c>
      <c r="G31" s="3">
        <f t="shared" si="1"/>
        <v>46.015999999999998</v>
      </c>
      <c r="H31" s="3">
        <f t="shared" si="2"/>
        <v>25.558</v>
      </c>
      <c r="J31" s="17">
        <f t="shared" si="3"/>
        <v>1923</v>
      </c>
      <c r="K31" s="3">
        <f t="shared" si="4"/>
        <v>46.015999999999998</v>
      </c>
      <c r="L31" s="3">
        <f t="shared" si="5"/>
        <v>25.558</v>
      </c>
      <c r="M31" s="3">
        <f t="shared" si="6"/>
        <v>20.457999999999998</v>
      </c>
    </row>
    <row r="32" spans="1:13" x14ac:dyDescent="0.55000000000000004">
      <c r="A32" s="13">
        <v>1924</v>
      </c>
      <c r="B32">
        <v>45.869</v>
      </c>
      <c r="C32">
        <v>24.919</v>
      </c>
      <c r="F32">
        <f t="shared" si="0"/>
        <v>0</v>
      </c>
      <c r="G32" s="3">
        <f t="shared" si="1"/>
        <v>45.869</v>
      </c>
      <c r="H32" s="3">
        <f t="shared" si="2"/>
        <v>24.919</v>
      </c>
      <c r="J32" s="17">
        <f t="shared" si="3"/>
        <v>1924</v>
      </c>
      <c r="K32" s="3">
        <f t="shared" si="4"/>
        <v>45.869</v>
      </c>
      <c r="L32" s="3">
        <f t="shared" si="5"/>
        <v>24.919</v>
      </c>
      <c r="M32" s="3">
        <f t="shared" si="6"/>
        <v>20.95</v>
      </c>
    </row>
    <row r="33" spans="1:13" x14ac:dyDescent="0.55000000000000004">
      <c r="A33" s="13">
        <v>1925</v>
      </c>
      <c r="B33">
        <v>44.963000000000001</v>
      </c>
      <c r="C33">
        <v>25.994</v>
      </c>
      <c r="F33">
        <f t="shared" si="0"/>
        <v>0</v>
      </c>
      <c r="G33" s="3">
        <f t="shared" si="1"/>
        <v>44.963000000000001</v>
      </c>
      <c r="H33" s="3">
        <f t="shared" si="2"/>
        <v>25.994</v>
      </c>
      <c r="J33" s="17">
        <f t="shared" si="3"/>
        <v>1925</v>
      </c>
      <c r="K33" s="3">
        <f t="shared" si="4"/>
        <v>44.963000000000001</v>
      </c>
      <c r="L33" s="3">
        <f t="shared" si="5"/>
        <v>25.994</v>
      </c>
      <c r="M33" s="3">
        <f t="shared" si="6"/>
        <v>18.969000000000001</v>
      </c>
    </row>
    <row r="34" spans="1:13" x14ac:dyDescent="0.55000000000000004">
      <c r="A34" s="13">
        <v>1926</v>
      </c>
      <c r="B34">
        <v>44.506</v>
      </c>
      <c r="C34">
        <v>26.395</v>
      </c>
      <c r="F34">
        <f t="shared" si="0"/>
        <v>0</v>
      </c>
      <c r="G34" s="3">
        <f t="shared" si="1"/>
        <v>44.506</v>
      </c>
      <c r="H34" s="3">
        <f t="shared" si="2"/>
        <v>26.395</v>
      </c>
      <c r="J34" s="17">
        <f t="shared" si="3"/>
        <v>1926</v>
      </c>
      <c r="K34" s="3">
        <f t="shared" si="4"/>
        <v>44.506</v>
      </c>
      <c r="L34" s="3">
        <f t="shared" si="5"/>
        <v>26.395</v>
      </c>
      <c r="M34" s="3">
        <f t="shared" si="6"/>
        <v>18.111000000000001</v>
      </c>
    </row>
    <row r="35" spans="1:13" x14ac:dyDescent="0.55000000000000004">
      <c r="A35" s="13">
        <v>1927</v>
      </c>
      <c r="B35">
        <v>44.165999999999997</v>
      </c>
      <c r="C35">
        <v>26.773</v>
      </c>
      <c r="F35">
        <f t="shared" si="0"/>
        <v>0</v>
      </c>
      <c r="G35" s="3">
        <f t="shared" si="1"/>
        <v>44.165999999999997</v>
      </c>
      <c r="H35" s="3">
        <f t="shared" si="2"/>
        <v>26.773</v>
      </c>
      <c r="J35" s="17">
        <f t="shared" si="3"/>
        <v>1927</v>
      </c>
      <c r="K35" s="3">
        <f t="shared" si="4"/>
        <v>44.165999999999997</v>
      </c>
      <c r="L35" s="3">
        <f t="shared" si="5"/>
        <v>26.773</v>
      </c>
      <c r="M35" s="3">
        <f t="shared" si="6"/>
        <v>17.392999999999997</v>
      </c>
    </row>
    <row r="36" spans="1:13" x14ac:dyDescent="0.55000000000000004">
      <c r="A36" s="13">
        <v>1928</v>
      </c>
      <c r="B36">
        <v>43.978999999999999</v>
      </c>
      <c r="C36">
        <v>27.053999999999998</v>
      </c>
      <c r="F36">
        <f t="shared" si="0"/>
        <v>0</v>
      </c>
      <c r="G36" s="3">
        <f t="shared" si="1"/>
        <v>43.978999999999999</v>
      </c>
      <c r="H36" s="3">
        <f t="shared" si="2"/>
        <v>27.053999999999998</v>
      </c>
      <c r="J36" s="17">
        <f t="shared" si="3"/>
        <v>1928</v>
      </c>
      <c r="K36" s="3">
        <f t="shared" si="4"/>
        <v>43.978999999999999</v>
      </c>
      <c r="L36" s="3">
        <f t="shared" si="5"/>
        <v>27.053999999999998</v>
      </c>
      <c r="M36" s="3">
        <f t="shared" si="6"/>
        <v>16.925000000000001</v>
      </c>
    </row>
    <row r="37" spans="1:13" x14ac:dyDescent="0.55000000000000004">
      <c r="A37" s="13">
        <v>1929</v>
      </c>
      <c r="B37">
        <v>43.932000000000002</v>
      </c>
      <c r="C37">
        <v>27.23</v>
      </c>
      <c r="F37">
        <f t="shared" si="0"/>
        <v>0</v>
      </c>
      <c r="G37" s="3">
        <f t="shared" si="1"/>
        <v>43.932000000000002</v>
      </c>
      <c r="H37" s="3">
        <f t="shared" si="2"/>
        <v>27.23</v>
      </c>
      <c r="J37" s="17">
        <f t="shared" si="3"/>
        <v>1929</v>
      </c>
      <c r="K37" s="3">
        <f t="shared" si="4"/>
        <v>43.932000000000002</v>
      </c>
      <c r="L37" s="3">
        <f t="shared" si="5"/>
        <v>27.23</v>
      </c>
      <c r="M37" s="3">
        <f t="shared" si="6"/>
        <v>16.702000000000002</v>
      </c>
    </row>
    <row r="38" spans="1:13" x14ac:dyDescent="0.55000000000000004">
      <c r="A38" s="13">
        <v>1930</v>
      </c>
      <c r="B38">
        <v>44.14</v>
      </c>
      <c r="C38">
        <v>27.356999999999999</v>
      </c>
      <c r="F38">
        <f t="shared" si="0"/>
        <v>0</v>
      </c>
      <c r="G38" s="3">
        <f t="shared" si="1"/>
        <v>44.14</v>
      </c>
      <c r="H38" s="3">
        <f t="shared" si="2"/>
        <v>27.356999999999999</v>
      </c>
      <c r="J38" s="17">
        <f t="shared" si="3"/>
        <v>1930</v>
      </c>
      <c r="K38" s="3">
        <f t="shared" si="4"/>
        <v>44.14</v>
      </c>
      <c r="L38" s="3">
        <f t="shared" si="5"/>
        <v>27.356999999999999</v>
      </c>
      <c r="M38" s="3">
        <f t="shared" si="6"/>
        <v>16.783000000000001</v>
      </c>
    </row>
    <row r="39" spans="1:13" x14ac:dyDescent="0.55000000000000004">
      <c r="A39" s="13">
        <v>1931</v>
      </c>
      <c r="B39">
        <v>44.179000000000002</v>
      </c>
      <c r="C39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55000000000000004">
      <c r="A40" s="13">
        <v>1932</v>
      </c>
      <c r="B40">
        <v>44.164000000000001</v>
      </c>
      <c r="C40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55000000000000004">
      <c r="A41" s="13">
        <v>1933</v>
      </c>
      <c r="B41">
        <v>44.082999999999998</v>
      </c>
      <c r="C41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55000000000000004">
      <c r="A42" s="13">
        <v>1934</v>
      </c>
      <c r="B42">
        <v>43.942999999999998</v>
      </c>
      <c r="C42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55000000000000004">
      <c r="A43" s="13">
        <v>1935</v>
      </c>
      <c r="B43">
        <v>43.677999999999997</v>
      </c>
      <c r="C43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55000000000000004">
      <c r="A44" s="13">
        <v>1936</v>
      </c>
      <c r="B44">
        <v>43.533999999999999</v>
      </c>
      <c r="C44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55000000000000004">
      <c r="A45" s="13">
        <v>1937</v>
      </c>
      <c r="B45">
        <v>43.442999999999998</v>
      </c>
      <c r="C45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55000000000000004">
      <c r="A46" s="13">
        <v>1938</v>
      </c>
      <c r="B46">
        <v>43.414000000000001</v>
      </c>
      <c r="C46">
        <v>22.966999999999999</v>
      </c>
      <c r="F46">
        <f t="shared" si="0"/>
        <v>0</v>
      </c>
      <c r="G46" s="3">
        <f t="shared" si="1"/>
        <v>43.414000000000001</v>
      </c>
      <c r="H46" s="3">
        <f t="shared" si="2"/>
        <v>22.966999999999999</v>
      </c>
      <c r="J46" s="17">
        <f t="shared" si="3"/>
        <v>1938</v>
      </c>
      <c r="K46" s="3">
        <f t="shared" si="4"/>
        <v>43.414000000000001</v>
      </c>
      <c r="L46" s="3">
        <f t="shared" si="5"/>
        <v>22.966999999999999</v>
      </c>
      <c r="M46" s="3">
        <f t="shared" si="6"/>
        <v>20.447000000000003</v>
      </c>
    </row>
    <row r="47" spans="1:13" x14ac:dyDescent="0.55000000000000004">
      <c r="A47" s="13">
        <v>1939</v>
      </c>
      <c r="B47">
        <v>43.442</v>
      </c>
      <c r="C47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55000000000000004">
      <c r="A48" s="13">
        <v>1940</v>
      </c>
      <c r="B48">
        <v>43.554000000000002</v>
      </c>
      <c r="C48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55000000000000004">
      <c r="A49" s="13">
        <v>1941</v>
      </c>
      <c r="B49">
        <v>43.658000000000001</v>
      </c>
      <c r="C49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55000000000000004">
      <c r="A50" s="13">
        <v>1942</v>
      </c>
      <c r="B50">
        <v>43.779000000000003</v>
      </c>
      <c r="C50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55000000000000004">
      <c r="A51" s="13">
        <v>1943</v>
      </c>
      <c r="B51">
        <v>43.915999999999997</v>
      </c>
      <c r="C51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55000000000000004">
      <c r="A52" s="13">
        <v>1944</v>
      </c>
      <c r="B52">
        <v>44.064999999999998</v>
      </c>
      <c r="C52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55000000000000004">
      <c r="A53" s="13">
        <v>1945</v>
      </c>
      <c r="B53">
        <v>44.246000000000002</v>
      </c>
      <c r="C53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55000000000000004">
      <c r="A54" s="13">
        <v>1946</v>
      </c>
      <c r="B54">
        <v>44.389000000000003</v>
      </c>
      <c r="C54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55000000000000004">
      <c r="A55" s="13">
        <v>1947</v>
      </c>
      <c r="B55">
        <v>44.514000000000003</v>
      </c>
      <c r="C55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55000000000000004">
      <c r="A56" s="13">
        <v>1948</v>
      </c>
      <c r="B56">
        <v>44.616999999999997</v>
      </c>
      <c r="C5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55000000000000004">
      <c r="A57" s="13">
        <v>1949</v>
      </c>
      <c r="B57">
        <v>44.703000000000003</v>
      </c>
      <c r="C57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55000000000000004">
      <c r="A58" s="13">
        <v>1950</v>
      </c>
      <c r="B58">
        <v>44.743000000000002</v>
      </c>
      <c r="C58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55000000000000004">
      <c r="A59" s="14">
        <f>A58+1</f>
        <v>1951</v>
      </c>
      <c r="B59">
        <v>44.838000000000001</v>
      </c>
      <c r="C59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55000000000000004">
      <c r="A60" s="14">
        <f>A59+1</f>
        <v>1952</v>
      </c>
      <c r="B60">
        <v>44.962000000000003</v>
      </c>
      <c r="C60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55000000000000004">
      <c r="A61" s="14">
        <f t="shared" ref="A61:A124" si="7">A60+1</f>
        <v>1953</v>
      </c>
      <c r="B61">
        <v>45.116999999999997</v>
      </c>
      <c r="C61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55000000000000004">
      <c r="A62" s="14">
        <f t="shared" si="7"/>
        <v>1954</v>
      </c>
      <c r="B62">
        <v>45.298999999999999</v>
      </c>
      <c r="C62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55000000000000004">
      <c r="A63" s="14">
        <f t="shared" si="7"/>
        <v>1955</v>
      </c>
      <c r="B63">
        <v>45.548999999999999</v>
      </c>
      <c r="C63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55000000000000004">
      <c r="A64" s="14">
        <f t="shared" si="7"/>
        <v>1956</v>
      </c>
      <c r="B64">
        <v>45.715000000000003</v>
      </c>
      <c r="C64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55000000000000004">
      <c r="A65" s="14">
        <f t="shared" si="7"/>
        <v>1957</v>
      </c>
      <c r="B65">
        <v>45.837000000000003</v>
      </c>
      <c r="C65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55000000000000004">
      <c r="A66" s="14">
        <f t="shared" si="7"/>
        <v>1958</v>
      </c>
      <c r="B66">
        <v>45.912999999999997</v>
      </c>
      <c r="C6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55000000000000004">
      <c r="A67" s="14">
        <f t="shared" si="7"/>
        <v>1959</v>
      </c>
      <c r="B67">
        <v>45.953000000000003</v>
      </c>
      <c r="C67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55000000000000004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55000000000000004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55000000000000004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55000000000000004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55000000000000004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55000000000000004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55000000000000004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55000000000000004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55000000000000004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55000000000000004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55000000000000004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55000000000000004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55000000000000004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55000000000000004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55000000000000004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55000000000000004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55000000000000004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55000000000000004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55000000000000004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55000000000000004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55000000000000004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55000000000000004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55000000000000004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55000000000000004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55000000000000004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55000000000000004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55000000000000004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55000000000000004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55000000000000004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55000000000000004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55000000000000004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55000000000000004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55000000000000004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55000000000000004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55000000000000004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55000000000000004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55000000000000004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55000000000000004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55000000000000004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55000000000000004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55000000000000004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55000000000000004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55000000000000004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55000000000000004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55000000000000004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55000000000000004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55000000000000004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55000000000000004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55000000000000004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55000000000000004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55000000000000004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55000000000000004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55000000000000004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55000000000000004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55000000000000004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55000000000000004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55000000000000004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55000000000000004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55000000000000004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55000000000000004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55000000000000004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55000000000000004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55000000000000004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55000000000000004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39" sqref="AD39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55000000000000004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55000000000000004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55000000000000004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55000000000000004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55000000000000004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55000000000000004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55000000000000004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55000000000000004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55000000000000004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55000000000000004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55000000000000004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55000000000000004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55000000000000004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55000000000000004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55000000000000004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55000000000000004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55000000000000004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55000000000000004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55000000000000004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55000000000000004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55000000000000004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55000000000000004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55000000000000004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55000000000000004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55000000000000004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55000000000000004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55000000000000004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55000000000000004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55000000000000004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55000000000000004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55000000000000004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55000000000000004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55000000000000004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55000000000000004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55000000000000004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55000000000000004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55000000000000004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55000000000000004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55000000000000004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55000000000000004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55000000000000004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55000000000000004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55000000000000004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55000000000000004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55000000000000004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55000000000000004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55000000000000004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55000000000000004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55000000000000004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55000000000000004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55000000000000004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55000000000000004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55000000000000004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55000000000000004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55000000000000004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55000000000000004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55000000000000004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55000000000000004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55000000000000004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55000000000000004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55000000000000004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55000000000000004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55000000000000004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55000000000000004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55000000000000004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55000000000000004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55000000000000004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55000000000000004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55000000000000004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55000000000000004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55000000000000004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55000000000000004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55000000000000004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55000000000000004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55000000000000004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55000000000000004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55000000000000004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55000000000000004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55000000000000004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55000000000000004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55000000000000004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55000000000000004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55000000000000004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55000000000000004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55000000000000004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55000000000000004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55000000000000004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55000000000000004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55000000000000004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55000000000000004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55000000000000004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55000000000000004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55000000000000004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55000000000000004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55000000000000004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55000000000000004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55000000000000004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55000000000000004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55000000000000004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55000000000000004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55000000000000004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55000000000000004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55000000000000004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55000000000000004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55000000000000004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55000000000000004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55000000000000004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55000000000000004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55000000000000004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55000000000000004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55000000000000004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55000000000000004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55000000000000004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55000000000000004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55000000000000004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55000000000000004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55000000000000004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55000000000000004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55000000000000004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55000000000000004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55000000000000004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55000000000000004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55000000000000004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D75"/>
  <sheetViews>
    <sheetView workbookViewId="0">
      <selection activeCell="AD37" sqref="AD3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1950</v>
      </c>
      <c r="B2" s="3">
        <v>44.5</v>
      </c>
      <c r="C2" s="3">
        <v>11.7</v>
      </c>
      <c r="D2" s="3">
        <f>B2-C2</f>
        <v>32.799999999999997</v>
      </c>
    </row>
    <row r="3" spans="1:4" x14ac:dyDescent="0.55000000000000004">
      <c r="A3" s="17">
        <v>1951</v>
      </c>
      <c r="B3" s="3">
        <v>44.3</v>
      </c>
      <c r="C3" s="3">
        <v>11.6</v>
      </c>
      <c r="D3" s="3">
        <f t="shared" ref="D3:D66" si="0">B3-C3</f>
        <v>32.699999999999996</v>
      </c>
    </row>
    <row r="4" spans="1:4" x14ac:dyDescent="0.55000000000000004">
      <c r="A4" s="17">
        <v>1952</v>
      </c>
      <c r="B4" s="3">
        <v>44.1</v>
      </c>
      <c r="C4" s="3">
        <v>11.6</v>
      </c>
      <c r="D4" s="3">
        <f t="shared" si="0"/>
        <v>32.5</v>
      </c>
    </row>
    <row r="5" spans="1:4" x14ac:dyDescent="0.55000000000000004">
      <c r="A5" s="17">
        <v>1953</v>
      </c>
      <c r="B5" s="3">
        <v>43.9</v>
      </c>
      <c r="C5" s="3">
        <v>11.5</v>
      </c>
      <c r="D5" s="3">
        <f t="shared" si="0"/>
        <v>32.4</v>
      </c>
    </row>
    <row r="6" spans="1:4" x14ac:dyDescent="0.55000000000000004">
      <c r="A6" s="17">
        <v>1954</v>
      </c>
      <c r="B6" s="3">
        <v>43.6</v>
      </c>
      <c r="C6" s="3">
        <v>11.5</v>
      </c>
      <c r="D6" s="3">
        <f t="shared" si="0"/>
        <v>32.1</v>
      </c>
    </row>
    <row r="7" spans="1:4" x14ac:dyDescent="0.55000000000000004">
      <c r="A7" s="17">
        <v>1955</v>
      </c>
      <c r="B7" s="3">
        <v>43.4</v>
      </c>
      <c r="C7" s="3">
        <v>11.4</v>
      </c>
      <c r="D7" s="3">
        <f t="shared" si="0"/>
        <v>32</v>
      </c>
    </row>
    <row r="8" spans="1:4" x14ac:dyDescent="0.55000000000000004">
      <c r="A8" s="17">
        <v>1956</v>
      </c>
      <c r="B8" s="3">
        <v>43.1</v>
      </c>
      <c r="C8" s="3">
        <v>11.2</v>
      </c>
      <c r="D8" s="3">
        <f t="shared" si="0"/>
        <v>31.900000000000002</v>
      </c>
    </row>
    <row r="9" spans="1:4" x14ac:dyDescent="0.55000000000000004">
      <c r="A9" s="17">
        <v>1957</v>
      </c>
      <c r="B9" s="3">
        <v>42.9</v>
      </c>
      <c r="C9" s="3">
        <v>11.1</v>
      </c>
      <c r="D9" s="3">
        <f t="shared" si="0"/>
        <v>31.799999999999997</v>
      </c>
    </row>
    <row r="10" spans="1:4" x14ac:dyDescent="0.55000000000000004">
      <c r="A10" s="17">
        <v>1958</v>
      </c>
      <c r="B10" s="3">
        <v>42.7</v>
      </c>
      <c r="C10" s="3">
        <v>10.9</v>
      </c>
      <c r="D10" s="3">
        <f t="shared" si="0"/>
        <v>31.800000000000004</v>
      </c>
    </row>
    <row r="11" spans="1:4" x14ac:dyDescent="0.55000000000000004">
      <c r="A11" s="17">
        <v>1959</v>
      </c>
      <c r="B11" s="3">
        <v>42.5</v>
      </c>
      <c r="C11" s="3">
        <v>10.7</v>
      </c>
      <c r="D11" s="3">
        <f t="shared" si="0"/>
        <v>31.8</v>
      </c>
    </row>
    <row r="12" spans="1:4" x14ac:dyDescent="0.55000000000000004">
      <c r="A12" s="17">
        <v>1960</v>
      </c>
      <c r="B12" s="3">
        <v>42.4</v>
      </c>
      <c r="C12" s="3">
        <v>10.6</v>
      </c>
      <c r="D12" s="3">
        <f t="shared" si="0"/>
        <v>31.799999999999997</v>
      </c>
    </row>
    <row r="13" spans="1:4" x14ac:dyDescent="0.55000000000000004">
      <c r="A13" s="17">
        <v>1961</v>
      </c>
      <c r="B13" s="3">
        <v>42.3</v>
      </c>
      <c r="C13" s="3">
        <v>10.4</v>
      </c>
      <c r="D13" s="3">
        <f t="shared" si="0"/>
        <v>31.9</v>
      </c>
    </row>
    <row r="14" spans="1:4" x14ac:dyDescent="0.55000000000000004">
      <c r="A14" s="17">
        <v>1962</v>
      </c>
      <c r="B14" s="3">
        <v>42.2</v>
      </c>
      <c r="C14" s="3">
        <v>10.199999999999999</v>
      </c>
      <c r="D14" s="3">
        <f t="shared" si="0"/>
        <v>32</v>
      </c>
    </row>
    <row r="15" spans="1:4" x14ac:dyDescent="0.55000000000000004">
      <c r="A15" s="17">
        <v>1963</v>
      </c>
      <c r="B15" s="3">
        <v>42.1</v>
      </c>
      <c r="C15" s="3">
        <v>10</v>
      </c>
      <c r="D15" s="3">
        <f t="shared" si="0"/>
        <v>32.1</v>
      </c>
    </row>
    <row r="16" spans="1:4" x14ac:dyDescent="0.55000000000000004">
      <c r="A16" s="17">
        <v>1964</v>
      </c>
      <c r="B16" s="3">
        <v>41.7</v>
      </c>
      <c r="C16" s="3">
        <v>10</v>
      </c>
      <c r="D16" s="3">
        <f t="shared" si="0"/>
        <v>31.700000000000003</v>
      </c>
    </row>
    <row r="17" spans="1:4" x14ac:dyDescent="0.55000000000000004">
      <c r="A17" s="17">
        <v>1965</v>
      </c>
      <c r="B17" s="3">
        <v>41</v>
      </c>
      <c r="C17" s="3">
        <v>9.9</v>
      </c>
      <c r="D17" s="3">
        <f t="shared" si="0"/>
        <v>31.1</v>
      </c>
    </row>
    <row r="18" spans="1:4" x14ac:dyDescent="0.55000000000000004">
      <c r="A18" s="17">
        <v>1966</v>
      </c>
      <c r="B18" s="3">
        <v>40.200000000000003</v>
      </c>
      <c r="C18" s="3">
        <v>9.8000000000000007</v>
      </c>
      <c r="D18" s="3">
        <f t="shared" si="0"/>
        <v>30.400000000000002</v>
      </c>
    </row>
    <row r="19" spans="1:4" x14ac:dyDescent="0.55000000000000004">
      <c r="A19" s="17">
        <v>1967</v>
      </c>
      <c r="B19" s="3">
        <v>39.200000000000003</v>
      </c>
      <c r="C19" s="3">
        <v>9.6999999999999993</v>
      </c>
      <c r="D19" s="3">
        <f t="shared" si="0"/>
        <v>29.500000000000004</v>
      </c>
    </row>
    <row r="20" spans="1:4" x14ac:dyDescent="0.55000000000000004">
      <c r="A20" s="17">
        <v>1968</v>
      </c>
      <c r="B20" s="3">
        <v>38.4</v>
      </c>
      <c r="C20" s="3">
        <v>9.6</v>
      </c>
      <c r="D20" s="3">
        <f t="shared" si="0"/>
        <v>28.799999999999997</v>
      </c>
    </row>
    <row r="21" spans="1:4" x14ac:dyDescent="0.55000000000000004">
      <c r="A21" s="17">
        <v>1969</v>
      </c>
      <c r="B21" s="3">
        <v>37.6</v>
      </c>
      <c r="C21" s="3">
        <v>9.5</v>
      </c>
      <c r="D21" s="3">
        <f t="shared" si="0"/>
        <v>28.1</v>
      </c>
    </row>
    <row r="22" spans="1:4" x14ac:dyDescent="0.55000000000000004">
      <c r="A22" s="17">
        <v>1970</v>
      </c>
      <c r="B22" s="3">
        <v>37</v>
      </c>
      <c r="C22" s="3">
        <v>9.4</v>
      </c>
      <c r="D22" s="3">
        <f t="shared" si="0"/>
        <v>27.6</v>
      </c>
    </row>
    <row r="23" spans="1:4" x14ac:dyDescent="0.55000000000000004">
      <c r="A23" s="17">
        <v>1971</v>
      </c>
      <c r="B23" s="3">
        <v>36.299999999999997</v>
      </c>
      <c r="C23" s="3">
        <v>9.3000000000000007</v>
      </c>
      <c r="D23" s="3">
        <f t="shared" si="0"/>
        <v>26.999999999999996</v>
      </c>
    </row>
    <row r="24" spans="1:4" x14ac:dyDescent="0.55000000000000004">
      <c r="A24" s="17">
        <v>1972</v>
      </c>
      <c r="B24" s="3">
        <v>35.799999999999997</v>
      </c>
      <c r="C24" s="3">
        <v>9.1</v>
      </c>
      <c r="D24" s="3">
        <f t="shared" si="0"/>
        <v>26.699999999999996</v>
      </c>
    </row>
    <row r="25" spans="1:4" x14ac:dyDescent="0.55000000000000004">
      <c r="A25" s="17">
        <v>1973</v>
      </c>
      <c r="B25" s="3">
        <v>35.4</v>
      </c>
      <c r="C25" s="3">
        <v>8.9</v>
      </c>
      <c r="D25" s="3">
        <f t="shared" si="0"/>
        <v>26.5</v>
      </c>
    </row>
    <row r="26" spans="1:4" x14ac:dyDescent="0.55000000000000004">
      <c r="A26" s="17">
        <v>1974</v>
      </c>
      <c r="B26" s="3">
        <v>35.200000000000003</v>
      </c>
      <c r="C26" s="3">
        <v>8.9</v>
      </c>
      <c r="D26" s="3">
        <f t="shared" si="0"/>
        <v>26.300000000000004</v>
      </c>
    </row>
    <row r="27" spans="1:4" x14ac:dyDescent="0.55000000000000004">
      <c r="A27" s="17">
        <v>1975</v>
      </c>
      <c r="B27" s="3">
        <v>34.9</v>
      </c>
      <c r="C27" s="3">
        <v>8.8000000000000007</v>
      </c>
      <c r="D27" s="3">
        <f t="shared" si="0"/>
        <v>26.099999999999998</v>
      </c>
    </row>
    <row r="28" spans="1:4" x14ac:dyDescent="0.55000000000000004">
      <c r="A28" s="17">
        <v>1976</v>
      </c>
      <c r="B28" s="3">
        <v>34.799999999999997</v>
      </c>
      <c r="C28" s="3">
        <v>8.6999999999999993</v>
      </c>
      <c r="D28" s="3">
        <f t="shared" si="0"/>
        <v>26.099999999999998</v>
      </c>
    </row>
    <row r="29" spans="1:4" x14ac:dyDescent="0.55000000000000004">
      <c r="A29" s="17">
        <v>1977</v>
      </c>
      <c r="B29" s="3">
        <v>35</v>
      </c>
      <c r="C29" s="3">
        <v>8.6999999999999993</v>
      </c>
      <c r="D29" s="3">
        <f t="shared" si="0"/>
        <v>26.3</v>
      </c>
    </row>
    <row r="30" spans="1:4" x14ac:dyDescent="0.55000000000000004">
      <c r="A30" s="17">
        <v>1978</v>
      </c>
      <c r="B30" s="3">
        <v>35.1</v>
      </c>
      <c r="C30" s="3">
        <v>8.6</v>
      </c>
      <c r="D30" s="3">
        <f t="shared" si="0"/>
        <v>26.5</v>
      </c>
    </row>
    <row r="31" spans="1:4" x14ac:dyDescent="0.55000000000000004">
      <c r="A31" s="17">
        <v>1979</v>
      </c>
      <c r="B31" s="3">
        <v>35.6</v>
      </c>
      <c r="C31" s="3">
        <v>8.6</v>
      </c>
      <c r="D31" s="3">
        <f t="shared" si="0"/>
        <v>27</v>
      </c>
    </row>
    <row r="32" spans="1:4" x14ac:dyDescent="0.55000000000000004">
      <c r="A32" s="17">
        <v>1980</v>
      </c>
      <c r="B32" s="3">
        <v>36.200000000000003</v>
      </c>
      <c r="C32" s="3">
        <v>8.5</v>
      </c>
      <c r="D32" s="3">
        <f t="shared" si="0"/>
        <v>27.700000000000003</v>
      </c>
    </row>
    <row r="33" spans="1:4" x14ac:dyDescent="0.55000000000000004">
      <c r="A33" s="17">
        <v>1981</v>
      </c>
      <c r="B33" s="3">
        <v>36.9</v>
      </c>
      <c r="C33" s="3">
        <v>8.4</v>
      </c>
      <c r="D33" s="3">
        <f t="shared" si="0"/>
        <v>28.5</v>
      </c>
    </row>
    <row r="34" spans="1:4" x14ac:dyDescent="0.55000000000000004">
      <c r="A34" s="17">
        <v>1982</v>
      </c>
      <c r="B34" s="3">
        <v>37</v>
      </c>
      <c r="C34" s="3">
        <v>8.1999999999999993</v>
      </c>
      <c r="D34" s="3">
        <f t="shared" si="0"/>
        <v>28.8</v>
      </c>
    </row>
    <row r="35" spans="1:4" x14ac:dyDescent="0.55000000000000004">
      <c r="A35" s="17">
        <v>1983</v>
      </c>
      <c r="B35" s="3">
        <v>37</v>
      </c>
      <c r="C35" s="3">
        <v>8</v>
      </c>
      <c r="D35" s="3">
        <f t="shared" si="0"/>
        <v>29</v>
      </c>
    </row>
    <row r="36" spans="1:4" x14ac:dyDescent="0.55000000000000004">
      <c r="A36" s="17">
        <v>1984</v>
      </c>
      <c r="B36" s="3">
        <v>37</v>
      </c>
      <c r="C36" s="3">
        <v>7.7</v>
      </c>
      <c r="D36" s="3">
        <f t="shared" si="0"/>
        <v>29.3</v>
      </c>
    </row>
    <row r="37" spans="1:4" x14ac:dyDescent="0.55000000000000004">
      <c r="A37" s="17">
        <v>1985</v>
      </c>
      <c r="B37" s="3">
        <v>36.799999999999997</v>
      </c>
      <c r="C37" s="3">
        <v>7.5</v>
      </c>
      <c r="D37" s="3">
        <f t="shared" si="0"/>
        <v>29.299999999999997</v>
      </c>
    </row>
    <row r="38" spans="1:4" x14ac:dyDescent="0.55000000000000004">
      <c r="A38" s="17">
        <v>1986</v>
      </c>
      <c r="B38" s="3">
        <v>36.5</v>
      </c>
      <c r="C38" s="3">
        <v>7.3</v>
      </c>
      <c r="D38" s="3">
        <f t="shared" si="0"/>
        <v>29.2</v>
      </c>
    </row>
    <row r="39" spans="1:4" x14ac:dyDescent="0.55000000000000004">
      <c r="A39" s="17">
        <v>1987</v>
      </c>
      <c r="B39" s="3">
        <v>36.1</v>
      </c>
      <c r="C39" s="3">
        <v>7.1</v>
      </c>
      <c r="D39" s="3">
        <f t="shared" si="0"/>
        <v>29</v>
      </c>
    </row>
    <row r="40" spans="1:4" x14ac:dyDescent="0.55000000000000004">
      <c r="A40" s="17">
        <v>1988</v>
      </c>
      <c r="B40" s="3">
        <v>35.799999999999997</v>
      </c>
      <c r="C40" s="3">
        <v>6.9</v>
      </c>
      <c r="D40" s="3">
        <f t="shared" si="0"/>
        <v>28.9</v>
      </c>
    </row>
    <row r="41" spans="1:4" x14ac:dyDescent="0.55000000000000004">
      <c r="A41" s="17">
        <v>1989</v>
      </c>
      <c r="B41" s="3">
        <v>35.200000000000003</v>
      </c>
      <c r="C41" s="3">
        <v>6.7</v>
      </c>
      <c r="D41" s="3">
        <f t="shared" si="0"/>
        <v>28.500000000000004</v>
      </c>
    </row>
    <row r="42" spans="1:4" x14ac:dyDescent="0.55000000000000004">
      <c r="A42" s="17">
        <v>1990</v>
      </c>
      <c r="B42" s="3">
        <v>34.4</v>
      </c>
      <c r="C42" s="3">
        <v>6.5</v>
      </c>
      <c r="D42" s="3">
        <f t="shared" si="0"/>
        <v>27.9</v>
      </c>
    </row>
    <row r="43" spans="1:4" x14ac:dyDescent="0.55000000000000004">
      <c r="A43" s="17">
        <v>1991</v>
      </c>
      <c r="B43" s="3">
        <v>33.9</v>
      </c>
      <c r="C43" s="3">
        <v>6.3</v>
      </c>
      <c r="D43" s="3">
        <f t="shared" si="0"/>
        <v>27.599999999999998</v>
      </c>
    </row>
    <row r="44" spans="1:4" x14ac:dyDescent="0.55000000000000004">
      <c r="A44" s="17">
        <v>1992</v>
      </c>
      <c r="B44" s="3">
        <v>33.299999999999997</v>
      </c>
      <c r="C44" s="3">
        <v>6.1</v>
      </c>
      <c r="D44" s="3">
        <f t="shared" si="0"/>
        <v>27.199999999999996</v>
      </c>
    </row>
    <row r="45" spans="1:4" x14ac:dyDescent="0.55000000000000004">
      <c r="A45" s="17">
        <v>1993</v>
      </c>
      <c r="B45" s="3">
        <v>32.4</v>
      </c>
      <c r="C45" s="3">
        <v>6</v>
      </c>
      <c r="D45" s="3">
        <f t="shared" si="0"/>
        <v>26.4</v>
      </c>
    </row>
    <row r="46" spans="1:4" x14ac:dyDescent="0.55000000000000004">
      <c r="A46" s="17">
        <v>1994</v>
      </c>
      <c r="B46" s="3">
        <v>31.7</v>
      </c>
      <c r="C46" s="3">
        <v>5.9</v>
      </c>
      <c r="D46" s="3">
        <f t="shared" si="0"/>
        <v>25.799999999999997</v>
      </c>
    </row>
    <row r="47" spans="1:4" x14ac:dyDescent="0.55000000000000004">
      <c r="A47" s="17">
        <v>1995</v>
      </c>
      <c r="B47" s="3">
        <v>31</v>
      </c>
      <c r="C47" s="3">
        <v>5.7</v>
      </c>
      <c r="D47" s="3">
        <f t="shared" si="0"/>
        <v>25.3</v>
      </c>
    </row>
    <row r="48" spans="1:4" x14ac:dyDescent="0.55000000000000004">
      <c r="A48" s="17">
        <v>1996</v>
      </c>
      <c r="B48" s="3">
        <v>30.3</v>
      </c>
      <c r="C48" s="3">
        <v>5.6</v>
      </c>
      <c r="D48" s="3">
        <f t="shared" si="0"/>
        <v>24.700000000000003</v>
      </c>
    </row>
    <row r="49" spans="1:4" x14ac:dyDescent="0.55000000000000004">
      <c r="A49" s="17">
        <v>1997</v>
      </c>
      <c r="B49" s="3">
        <v>29.6</v>
      </c>
      <c r="C49" s="3">
        <v>5.6</v>
      </c>
      <c r="D49" s="3">
        <f t="shared" si="0"/>
        <v>24</v>
      </c>
    </row>
    <row r="50" spans="1:4" x14ac:dyDescent="0.55000000000000004">
      <c r="A50" s="17">
        <v>1998</v>
      </c>
      <c r="B50" s="3">
        <v>28.8</v>
      </c>
      <c r="C50" s="3">
        <v>5.5</v>
      </c>
      <c r="D50" s="3">
        <f t="shared" si="0"/>
        <v>23.3</v>
      </c>
    </row>
    <row r="51" spans="1:4" x14ac:dyDescent="0.55000000000000004">
      <c r="A51" s="17">
        <v>1999</v>
      </c>
      <c r="B51" s="3">
        <v>27.9</v>
      </c>
      <c r="C51" s="3">
        <v>5.4</v>
      </c>
      <c r="D51" s="3">
        <f t="shared" si="0"/>
        <v>22.5</v>
      </c>
    </row>
    <row r="52" spans="1:4" x14ac:dyDescent="0.55000000000000004">
      <c r="A52" s="17">
        <v>2000</v>
      </c>
      <c r="B52" s="3">
        <v>26.9</v>
      </c>
      <c r="C52" s="3">
        <v>5.3</v>
      </c>
      <c r="D52" s="3">
        <f t="shared" si="0"/>
        <v>21.599999999999998</v>
      </c>
    </row>
    <row r="53" spans="1:4" x14ac:dyDescent="0.55000000000000004">
      <c r="A53" s="17">
        <v>2001</v>
      </c>
      <c r="B53" s="3">
        <v>25.9</v>
      </c>
      <c r="C53" s="3">
        <v>5.3</v>
      </c>
      <c r="D53" s="3">
        <f t="shared" si="0"/>
        <v>20.599999999999998</v>
      </c>
    </row>
    <row r="54" spans="1:4" x14ac:dyDescent="0.55000000000000004">
      <c r="A54" s="17">
        <v>2002</v>
      </c>
      <c r="B54" s="3">
        <v>25.1</v>
      </c>
      <c r="C54" s="3">
        <v>5.2</v>
      </c>
      <c r="D54" s="3">
        <f t="shared" si="0"/>
        <v>19.900000000000002</v>
      </c>
    </row>
    <row r="55" spans="1:4" x14ac:dyDescent="0.55000000000000004">
      <c r="A55" s="17">
        <v>2003</v>
      </c>
      <c r="B55" s="3">
        <v>24.4</v>
      </c>
      <c r="C55" s="3">
        <v>5.2</v>
      </c>
      <c r="D55" s="3">
        <f t="shared" si="0"/>
        <v>19.2</v>
      </c>
    </row>
    <row r="56" spans="1:4" x14ac:dyDescent="0.55000000000000004">
      <c r="A56" s="17">
        <v>2004</v>
      </c>
      <c r="B56" s="3">
        <v>24.1</v>
      </c>
      <c r="C56" s="3">
        <v>5.2</v>
      </c>
      <c r="D56" s="3">
        <f t="shared" si="0"/>
        <v>18.900000000000002</v>
      </c>
    </row>
    <row r="57" spans="1:4" x14ac:dyDescent="0.55000000000000004">
      <c r="A57" s="17">
        <v>2005</v>
      </c>
      <c r="B57" s="3">
        <v>23.7</v>
      </c>
      <c r="C57" s="3">
        <v>5.2</v>
      </c>
      <c r="D57" s="3">
        <f t="shared" si="0"/>
        <v>18.5</v>
      </c>
    </row>
    <row r="58" spans="1:4" x14ac:dyDescent="0.55000000000000004">
      <c r="A58" s="17">
        <v>2006</v>
      </c>
      <c r="B58" s="3">
        <v>23.3</v>
      </c>
      <c r="C58" s="3">
        <v>5.2</v>
      </c>
      <c r="D58" s="3">
        <f t="shared" si="0"/>
        <v>18.100000000000001</v>
      </c>
    </row>
    <row r="59" spans="1:4" x14ac:dyDescent="0.55000000000000004">
      <c r="A59" s="17">
        <v>2007</v>
      </c>
      <c r="B59" s="3">
        <v>23</v>
      </c>
      <c r="C59" s="3">
        <v>5.2</v>
      </c>
      <c r="D59" s="3">
        <f t="shared" si="0"/>
        <v>17.8</v>
      </c>
    </row>
    <row r="60" spans="1:4" x14ac:dyDescent="0.55000000000000004">
      <c r="A60" s="17">
        <v>2008</v>
      </c>
      <c r="B60" s="3">
        <v>23</v>
      </c>
      <c r="C60" s="3">
        <v>5.2</v>
      </c>
      <c r="D60" s="3">
        <f t="shared" si="0"/>
        <v>17.8</v>
      </c>
    </row>
    <row r="61" spans="1:4" x14ac:dyDescent="0.55000000000000004">
      <c r="A61" s="17">
        <v>2009</v>
      </c>
      <c r="B61" s="3">
        <v>22.9</v>
      </c>
      <c r="C61" s="3">
        <v>5.2</v>
      </c>
      <c r="D61" s="3">
        <f t="shared" si="0"/>
        <v>17.7</v>
      </c>
    </row>
    <row r="62" spans="1:4" x14ac:dyDescent="0.55000000000000004">
      <c r="A62" s="17">
        <v>2010</v>
      </c>
      <c r="B62" s="3">
        <v>22.5</v>
      </c>
      <c r="C62" s="3">
        <v>5.2</v>
      </c>
      <c r="D62" s="3">
        <f t="shared" si="0"/>
        <v>17.3</v>
      </c>
    </row>
    <row r="63" spans="1:4" x14ac:dyDescent="0.55000000000000004">
      <c r="A63" s="17">
        <v>2011</v>
      </c>
      <c r="B63" s="3">
        <v>22.5</v>
      </c>
      <c r="C63" s="3">
        <v>5.2</v>
      </c>
      <c r="D63" s="3">
        <f t="shared" si="0"/>
        <v>17.3</v>
      </c>
    </row>
    <row r="64" spans="1:4" x14ac:dyDescent="0.55000000000000004">
      <c r="A64" s="17">
        <v>2012</v>
      </c>
      <c r="B64" s="3">
        <v>22.6</v>
      </c>
      <c r="C64" s="3">
        <v>5.2</v>
      </c>
      <c r="D64" s="3">
        <f t="shared" si="0"/>
        <v>17.400000000000002</v>
      </c>
    </row>
    <row r="65" spans="1:4" x14ac:dyDescent="0.55000000000000004">
      <c r="A65" s="17">
        <v>2013</v>
      </c>
      <c r="B65" s="3">
        <v>22.5</v>
      </c>
      <c r="C65" s="3">
        <v>5.2</v>
      </c>
      <c r="D65" s="3">
        <f t="shared" si="0"/>
        <v>17.3</v>
      </c>
    </row>
    <row r="66" spans="1:4" x14ac:dyDescent="0.55000000000000004">
      <c r="A66" s="17">
        <v>2014</v>
      </c>
      <c r="B66" s="3">
        <v>22.6</v>
      </c>
      <c r="C66" s="3">
        <v>5.2</v>
      </c>
      <c r="D66" s="3">
        <f t="shared" si="0"/>
        <v>17.400000000000002</v>
      </c>
    </row>
    <row r="67" spans="1:4" x14ac:dyDescent="0.55000000000000004">
      <c r="A67" s="17">
        <v>2015</v>
      </c>
      <c r="B67" s="3">
        <v>22.7</v>
      </c>
      <c r="C67" s="3">
        <v>5.3</v>
      </c>
      <c r="D67" s="3">
        <f t="shared" ref="D67:D75" si="1">B67-C67</f>
        <v>17.399999999999999</v>
      </c>
    </row>
    <row r="68" spans="1:4" x14ac:dyDescent="0.55000000000000004">
      <c r="A68" s="17">
        <v>2016</v>
      </c>
      <c r="B68" s="3">
        <v>22.5</v>
      </c>
      <c r="C68" s="3">
        <v>5.4</v>
      </c>
      <c r="D68" s="3">
        <f t="shared" si="1"/>
        <v>17.100000000000001</v>
      </c>
    </row>
    <row r="69" spans="1:4" x14ac:dyDescent="0.55000000000000004">
      <c r="A69" s="17">
        <v>2017</v>
      </c>
      <c r="B69" s="3">
        <v>22.2</v>
      </c>
      <c r="C69" s="3">
        <v>5.5</v>
      </c>
      <c r="D69" s="3">
        <f t="shared" si="1"/>
        <v>16.7</v>
      </c>
    </row>
    <row r="70" spans="1:4" x14ac:dyDescent="0.55000000000000004">
      <c r="A70" s="17">
        <v>2018</v>
      </c>
      <c r="B70" s="3">
        <v>21.8</v>
      </c>
      <c r="C70" s="3">
        <v>5.5</v>
      </c>
      <c r="D70" s="3">
        <f t="shared" si="1"/>
        <v>16.3</v>
      </c>
    </row>
    <row r="71" spans="1:4" x14ac:dyDescent="0.55000000000000004">
      <c r="A71" s="17">
        <v>2019</v>
      </c>
      <c r="B71" s="3">
        <v>21.4</v>
      </c>
      <c r="C71" s="3">
        <v>5.6</v>
      </c>
      <c r="D71" s="3">
        <f t="shared" si="1"/>
        <v>15.799999999999999</v>
      </c>
    </row>
    <row r="72" spans="1:4" x14ac:dyDescent="0.55000000000000004">
      <c r="A72" s="17">
        <v>2020</v>
      </c>
      <c r="B72" s="3">
        <v>21</v>
      </c>
      <c r="C72" s="3">
        <v>6.1</v>
      </c>
      <c r="D72" s="3">
        <f t="shared" si="1"/>
        <v>14.9</v>
      </c>
    </row>
    <row r="73" spans="1:4" x14ac:dyDescent="0.55000000000000004">
      <c r="A73" s="17">
        <v>2021</v>
      </c>
      <c r="B73" s="3">
        <v>20.7</v>
      </c>
      <c r="C73" s="3">
        <v>8.9</v>
      </c>
      <c r="D73" s="3">
        <f t="shared" si="1"/>
        <v>11.799999999999999</v>
      </c>
    </row>
    <row r="74" spans="1:4" x14ac:dyDescent="0.55000000000000004">
      <c r="A74" s="17">
        <v>2022</v>
      </c>
      <c r="B74" s="3">
        <v>20.399999999999999</v>
      </c>
      <c r="C74" s="3">
        <v>6.4</v>
      </c>
      <c r="D74" s="3">
        <f t="shared" si="1"/>
        <v>13.999999999999998</v>
      </c>
    </row>
    <row r="75" spans="1:4" x14ac:dyDescent="0.55000000000000004">
      <c r="A75" s="17">
        <v>2023</v>
      </c>
      <c r="B75" s="3">
        <v>20</v>
      </c>
      <c r="C75" s="3">
        <v>5.7</v>
      </c>
      <c r="D75" s="3">
        <f t="shared" si="1"/>
        <v>14.3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D85"/>
  <sheetViews>
    <sheetView workbookViewId="0">
      <selection activeCell="AE36" sqref="AE3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1940</v>
      </c>
      <c r="B2" s="3">
        <v>44.4</v>
      </c>
      <c r="C2" s="3">
        <v>29.8</v>
      </c>
      <c r="D2" s="3">
        <f>B2-C2</f>
        <v>14.599999999999998</v>
      </c>
    </row>
    <row r="3" spans="1:4" x14ac:dyDescent="0.55000000000000004">
      <c r="A3" s="17">
        <v>1941</v>
      </c>
      <c r="B3" s="3">
        <v>44.4</v>
      </c>
      <c r="C3" s="3">
        <v>29.5</v>
      </c>
      <c r="D3" s="3">
        <f t="shared" ref="D3:D66" si="0">B3-C3</f>
        <v>14.899999999999999</v>
      </c>
    </row>
    <row r="4" spans="1:4" x14ac:dyDescent="0.55000000000000004">
      <c r="A4" s="17">
        <v>1942</v>
      </c>
      <c r="B4" s="3">
        <v>44.5</v>
      </c>
      <c r="C4" s="3">
        <v>29.1</v>
      </c>
      <c r="D4" s="3">
        <f t="shared" si="0"/>
        <v>15.399999999999999</v>
      </c>
    </row>
    <row r="5" spans="1:4" x14ac:dyDescent="0.55000000000000004">
      <c r="A5" s="17">
        <v>1943</v>
      </c>
      <c r="B5" s="3">
        <v>44.5</v>
      </c>
      <c r="C5" s="3">
        <v>28.3</v>
      </c>
      <c r="D5" s="3">
        <f t="shared" si="0"/>
        <v>16.2</v>
      </c>
    </row>
    <row r="6" spans="1:4" x14ac:dyDescent="0.55000000000000004">
      <c r="A6" s="17">
        <v>1944</v>
      </c>
      <c r="B6" s="3">
        <v>44.6</v>
      </c>
      <c r="C6" s="3">
        <v>27.4</v>
      </c>
      <c r="D6" s="3">
        <f t="shared" si="0"/>
        <v>17.200000000000003</v>
      </c>
    </row>
    <row r="7" spans="1:4" x14ac:dyDescent="0.55000000000000004">
      <c r="A7" s="17">
        <v>1945</v>
      </c>
      <c r="B7" s="3">
        <v>44.7</v>
      </c>
      <c r="C7" s="3">
        <v>26.2</v>
      </c>
      <c r="D7" s="3">
        <f t="shared" si="0"/>
        <v>18.500000000000004</v>
      </c>
    </row>
    <row r="8" spans="1:4" x14ac:dyDescent="0.55000000000000004">
      <c r="A8" s="17">
        <v>1946</v>
      </c>
      <c r="B8" s="3">
        <v>44.8</v>
      </c>
      <c r="C8" s="3">
        <v>25.3</v>
      </c>
      <c r="D8" s="3">
        <f t="shared" si="0"/>
        <v>19.499999999999996</v>
      </c>
    </row>
    <row r="9" spans="1:4" x14ac:dyDescent="0.55000000000000004">
      <c r="A9" s="17">
        <v>1947</v>
      </c>
      <c r="B9" s="3">
        <v>44.9</v>
      </c>
      <c r="C9" s="3">
        <v>24.5</v>
      </c>
      <c r="D9" s="3">
        <f t="shared" si="0"/>
        <v>20.399999999999999</v>
      </c>
    </row>
    <row r="10" spans="1:4" x14ac:dyDescent="0.55000000000000004">
      <c r="A10" s="17">
        <v>1948</v>
      </c>
      <c r="B10" s="3">
        <v>45</v>
      </c>
      <c r="C10" s="3">
        <v>24</v>
      </c>
      <c r="D10" s="3">
        <f t="shared" si="0"/>
        <v>21</v>
      </c>
    </row>
    <row r="11" spans="1:4" x14ac:dyDescent="0.55000000000000004">
      <c r="A11" s="17">
        <v>1949</v>
      </c>
      <c r="B11" s="3">
        <v>45.1</v>
      </c>
      <c r="C11" s="3">
        <v>23.6</v>
      </c>
      <c r="D11" s="3">
        <f t="shared" si="0"/>
        <v>21.5</v>
      </c>
    </row>
    <row r="12" spans="1:4" x14ac:dyDescent="0.55000000000000004">
      <c r="A12" s="17">
        <v>1950</v>
      </c>
      <c r="B12" s="3">
        <v>45.2</v>
      </c>
      <c r="C12" s="3">
        <v>23.5</v>
      </c>
      <c r="D12" s="3">
        <f t="shared" si="0"/>
        <v>21.700000000000003</v>
      </c>
    </row>
    <row r="13" spans="1:4" x14ac:dyDescent="0.55000000000000004">
      <c r="A13" s="17">
        <v>1951</v>
      </c>
      <c r="B13" s="3">
        <v>45.4</v>
      </c>
      <c r="C13" s="3">
        <v>23.1</v>
      </c>
      <c r="D13" s="3">
        <f t="shared" si="0"/>
        <v>22.299999999999997</v>
      </c>
    </row>
    <row r="14" spans="1:4" x14ac:dyDescent="0.55000000000000004">
      <c r="A14" s="17">
        <v>1952</v>
      </c>
      <c r="B14" s="3">
        <v>45.6</v>
      </c>
      <c r="C14" s="3">
        <v>22.5</v>
      </c>
      <c r="D14" s="3">
        <f t="shared" si="0"/>
        <v>23.1</v>
      </c>
    </row>
    <row r="15" spans="1:4" x14ac:dyDescent="0.55000000000000004">
      <c r="A15" s="17">
        <v>1953</v>
      </c>
      <c r="B15" s="3">
        <v>46</v>
      </c>
      <c r="C15" s="3">
        <v>21.5</v>
      </c>
      <c r="D15" s="3">
        <f t="shared" si="0"/>
        <v>24.5</v>
      </c>
    </row>
    <row r="16" spans="1:4" x14ac:dyDescent="0.55000000000000004">
      <c r="A16" s="17">
        <v>1954</v>
      </c>
      <c r="B16" s="3">
        <v>46.5</v>
      </c>
      <c r="C16" s="3">
        <v>20.5</v>
      </c>
      <c r="D16" s="3">
        <f t="shared" si="0"/>
        <v>26</v>
      </c>
    </row>
    <row r="17" spans="1:4" x14ac:dyDescent="0.55000000000000004">
      <c r="A17" s="17">
        <v>1955</v>
      </c>
      <c r="B17" s="3">
        <v>46.9</v>
      </c>
      <c r="C17" s="3">
        <v>19.5</v>
      </c>
      <c r="D17" s="3">
        <f t="shared" si="0"/>
        <v>27.4</v>
      </c>
    </row>
    <row r="18" spans="1:4" x14ac:dyDescent="0.55000000000000004">
      <c r="A18" s="17">
        <v>1956</v>
      </c>
      <c r="B18" s="3">
        <v>47.2</v>
      </c>
      <c r="C18" s="3">
        <v>18.899999999999999</v>
      </c>
      <c r="D18" s="3">
        <f t="shared" si="0"/>
        <v>28.300000000000004</v>
      </c>
    </row>
    <row r="19" spans="1:4" x14ac:dyDescent="0.55000000000000004">
      <c r="A19" s="17">
        <v>1957</v>
      </c>
      <c r="B19" s="3">
        <v>47.4</v>
      </c>
      <c r="C19" s="3">
        <v>18.399999999999999</v>
      </c>
      <c r="D19" s="3">
        <f t="shared" si="0"/>
        <v>29</v>
      </c>
    </row>
    <row r="20" spans="1:4" x14ac:dyDescent="0.55000000000000004">
      <c r="A20" s="17">
        <v>1958</v>
      </c>
      <c r="B20" s="3">
        <v>47.3</v>
      </c>
      <c r="C20" s="3">
        <v>18</v>
      </c>
      <c r="D20" s="3">
        <f t="shared" si="0"/>
        <v>29.299999999999997</v>
      </c>
    </row>
    <row r="21" spans="1:4" x14ac:dyDescent="0.55000000000000004">
      <c r="A21" s="17">
        <v>1959</v>
      </c>
      <c r="B21" s="3">
        <v>47.2</v>
      </c>
      <c r="C21" s="3">
        <v>17.600000000000001</v>
      </c>
      <c r="D21" s="3">
        <f t="shared" si="0"/>
        <v>29.6</v>
      </c>
    </row>
    <row r="22" spans="1:4" x14ac:dyDescent="0.55000000000000004">
      <c r="A22" s="17">
        <v>1960</v>
      </c>
      <c r="B22" s="3">
        <v>46.9</v>
      </c>
      <c r="C22" s="3">
        <v>17.100000000000001</v>
      </c>
      <c r="D22" s="3">
        <f t="shared" si="0"/>
        <v>29.799999999999997</v>
      </c>
    </row>
    <row r="23" spans="1:4" x14ac:dyDescent="0.55000000000000004">
      <c r="A23" s="17">
        <v>1961</v>
      </c>
      <c r="B23" s="3">
        <v>46.6</v>
      </c>
      <c r="C23" s="3">
        <v>16.7</v>
      </c>
      <c r="D23" s="3">
        <f t="shared" si="0"/>
        <v>29.900000000000002</v>
      </c>
    </row>
    <row r="24" spans="1:4" x14ac:dyDescent="0.55000000000000004">
      <c r="A24" s="17">
        <v>1962</v>
      </c>
      <c r="B24" s="3">
        <v>46.2</v>
      </c>
      <c r="C24" s="3">
        <v>16.399999999999999</v>
      </c>
      <c r="D24" s="3">
        <f t="shared" si="0"/>
        <v>29.800000000000004</v>
      </c>
    </row>
    <row r="25" spans="1:4" x14ac:dyDescent="0.55000000000000004">
      <c r="A25" s="17">
        <v>1963</v>
      </c>
      <c r="B25" s="3">
        <v>45.8</v>
      </c>
      <c r="C25" s="3">
        <v>15.8</v>
      </c>
      <c r="D25" s="3">
        <f t="shared" si="0"/>
        <v>29.999999999999996</v>
      </c>
    </row>
    <row r="26" spans="1:4" x14ac:dyDescent="0.55000000000000004">
      <c r="A26" s="17">
        <v>1964</v>
      </c>
      <c r="B26" s="3">
        <v>45.4</v>
      </c>
      <c r="C26" s="3">
        <v>15.5</v>
      </c>
      <c r="D26" s="3">
        <f t="shared" si="0"/>
        <v>29.9</v>
      </c>
    </row>
    <row r="27" spans="1:4" x14ac:dyDescent="0.55000000000000004">
      <c r="A27" s="17">
        <v>1965</v>
      </c>
      <c r="B27" s="3">
        <v>44.9</v>
      </c>
      <c r="C27" s="3">
        <v>15.2</v>
      </c>
      <c r="D27" s="3">
        <f t="shared" si="0"/>
        <v>29.7</v>
      </c>
    </row>
    <row r="28" spans="1:4" x14ac:dyDescent="0.55000000000000004">
      <c r="A28" s="17">
        <v>1966</v>
      </c>
      <c r="B28" s="3">
        <v>44.4</v>
      </c>
      <c r="C28" s="3">
        <v>14.9</v>
      </c>
      <c r="D28" s="3">
        <f t="shared" si="0"/>
        <v>29.5</v>
      </c>
    </row>
    <row r="29" spans="1:4" x14ac:dyDescent="0.55000000000000004">
      <c r="A29" s="17">
        <v>1967</v>
      </c>
      <c r="B29" s="3">
        <v>44</v>
      </c>
      <c r="C29" s="3">
        <v>14.6</v>
      </c>
      <c r="D29" s="3">
        <f t="shared" si="0"/>
        <v>29.4</v>
      </c>
    </row>
    <row r="30" spans="1:4" x14ac:dyDescent="0.55000000000000004">
      <c r="A30" s="17">
        <v>1968</v>
      </c>
      <c r="B30" s="3">
        <v>43.4</v>
      </c>
      <c r="C30" s="3">
        <v>14.4</v>
      </c>
      <c r="D30" s="3">
        <f t="shared" si="0"/>
        <v>29</v>
      </c>
    </row>
    <row r="31" spans="1:4" x14ac:dyDescent="0.55000000000000004">
      <c r="A31" s="17">
        <v>1969</v>
      </c>
      <c r="B31" s="3">
        <v>42.9</v>
      </c>
      <c r="C31" s="3">
        <v>14.1</v>
      </c>
      <c r="D31" s="3">
        <f t="shared" si="0"/>
        <v>28.799999999999997</v>
      </c>
    </row>
    <row r="32" spans="1:4" x14ac:dyDescent="0.55000000000000004">
      <c r="A32" s="17">
        <v>1970</v>
      </c>
      <c r="B32" s="3">
        <v>42.4</v>
      </c>
      <c r="C32" s="3">
        <v>18.8</v>
      </c>
      <c r="D32" s="3">
        <f t="shared" si="0"/>
        <v>23.599999999999998</v>
      </c>
    </row>
    <row r="33" spans="1:4" x14ac:dyDescent="0.55000000000000004">
      <c r="A33" s="17">
        <v>1971</v>
      </c>
      <c r="B33" s="3">
        <v>41.8</v>
      </c>
      <c r="C33" s="3">
        <v>13.5</v>
      </c>
      <c r="D33" s="3">
        <f t="shared" si="0"/>
        <v>28.299999999999997</v>
      </c>
    </row>
    <row r="34" spans="1:4" x14ac:dyDescent="0.55000000000000004">
      <c r="A34" s="17">
        <v>1972</v>
      </c>
      <c r="B34" s="3">
        <v>41.2</v>
      </c>
      <c r="C34" s="3">
        <v>13.3</v>
      </c>
      <c r="D34" s="3">
        <f t="shared" si="0"/>
        <v>27.900000000000002</v>
      </c>
    </row>
    <row r="35" spans="1:4" x14ac:dyDescent="0.55000000000000004">
      <c r="A35" s="17">
        <v>1973</v>
      </c>
      <c r="B35" s="3">
        <v>40.700000000000003</v>
      </c>
      <c r="C35" s="3">
        <v>13.2</v>
      </c>
      <c r="D35" s="3">
        <f t="shared" si="0"/>
        <v>27.500000000000004</v>
      </c>
    </row>
    <row r="36" spans="1:4" x14ac:dyDescent="0.55000000000000004">
      <c r="A36" s="17">
        <v>1974</v>
      </c>
      <c r="B36" s="3">
        <v>40.1</v>
      </c>
      <c r="C36" s="3">
        <v>12.8</v>
      </c>
      <c r="D36" s="3">
        <f t="shared" si="0"/>
        <v>27.3</v>
      </c>
    </row>
    <row r="37" spans="1:4" x14ac:dyDescent="0.55000000000000004">
      <c r="A37" s="17">
        <v>1975</v>
      </c>
      <c r="B37" s="3">
        <v>39.5</v>
      </c>
      <c r="C37" s="3">
        <v>12.5</v>
      </c>
      <c r="D37" s="3">
        <f t="shared" si="0"/>
        <v>27</v>
      </c>
    </row>
    <row r="38" spans="1:4" x14ac:dyDescent="0.55000000000000004">
      <c r="A38" s="17">
        <v>1976</v>
      </c>
      <c r="B38" s="3">
        <v>38.9</v>
      </c>
      <c r="C38" s="3">
        <v>12.2</v>
      </c>
      <c r="D38" s="3">
        <f t="shared" si="0"/>
        <v>26.7</v>
      </c>
    </row>
    <row r="39" spans="1:4" x14ac:dyDescent="0.55000000000000004">
      <c r="A39" s="17">
        <v>1977</v>
      </c>
      <c r="B39" s="3">
        <v>38.299999999999997</v>
      </c>
      <c r="C39" s="3">
        <v>11.9</v>
      </c>
      <c r="D39" s="3">
        <f t="shared" si="0"/>
        <v>26.4</v>
      </c>
    </row>
    <row r="40" spans="1:4" x14ac:dyDescent="0.55000000000000004">
      <c r="A40" s="17">
        <v>1978</v>
      </c>
      <c r="B40" s="3">
        <v>37.700000000000003</v>
      </c>
      <c r="C40" s="3">
        <v>11.5</v>
      </c>
      <c r="D40" s="3">
        <f t="shared" si="0"/>
        <v>26.200000000000003</v>
      </c>
    </row>
    <row r="41" spans="1:4" x14ac:dyDescent="0.55000000000000004">
      <c r="A41" s="17">
        <v>1979</v>
      </c>
      <c r="B41" s="3">
        <v>37.1</v>
      </c>
      <c r="C41" s="3">
        <v>11.2</v>
      </c>
      <c r="D41" s="3">
        <f t="shared" si="0"/>
        <v>25.900000000000002</v>
      </c>
    </row>
    <row r="42" spans="1:4" x14ac:dyDescent="0.55000000000000004">
      <c r="A42" s="17">
        <v>1980</v>
      </c>
      <c r="B42" s="3">
        <v>36.5</v>
      </c>
      <c r="C42" s="3">
        <v>10.9</v>
      </c>
      <c r="D42" s="3">
        <f t="shared" si="0"/>
        <v>25.6</v>
      </c>
    </row>
    <row r="43" spans="1:4" x14ac:dyDescent="0.55000000000000004">
      <c r="A43" s="17">
        <v>1981</v>
      </c>
      <c r="B43" s="3">
        <v>35.9</v>
      </c>
      <c r="C43" s="3">
        <v>10.5</v>
      </c>
      <c r="D43" s="3">
        <f t="shared" si="0"/>
        <v>25.4</v>
      </c>
    </row>
    <row r="44" spans="1:4" x14ac:dyDescent="0.55000000000000004">
      <c r="A44" s="17">
        <v>1982</v>
      </c>
      <c r="B44" s="3">
        <v>35.4</v>
      </c>
      <c r="C44" s="3">
        <v>10.1</v>
      </c>
      <c r="D44" s="3">
        <f t="shared" si="0"/>
        <v>25.299999999999997</v>
      </c>
    </row>
    <row r="45" spans="1:4" x14ac:dyDescent="0.55000000000000004">
      <c r="A45" s="17">
        <v>1983</v>
      </c>
      <c r="B45" s="3">
        <v>35</v>
      </c>
      <c r="C45" s="3">
        <v>9.9</v>
      </c>
      <c r="D45" s="3">
        <f t="shared" si="0"/>
        <v>25.1</v>
      </c>
    </row>
    <row r="46" spans="1:4" x14ac:dyDescent="0.55000000000000004">
      <c r="A46" s="17">
        <v>1984</v>
      </c>
      <c r="B46" s="3">
        <v>34.5</v>
      </c>
      <c r="C46" s="3">
        <v>9.6</v>
      </c>
      <c r="D46" s="3">
        <f t="shared" si="0"/>
        <v>24.9</v>
      </c>
    </row>
    <row r="47" spans="1:4" x14ac:dyDescent="0.55000000000000004">
      <c r="A47" s="17">
        <v>1985</v>
      </c>
      <c r="B47" s="3">
        <v>34</v>
      </c>
      <c r="C47" s="3">
        <v>9.1999999999999993</v>
      </c>
      <c r="D47" s="3">
        <f t="shared" si="0"/>
        <v>24.8</v>
      </c>
    </row>
    <row r="48" spans="1:4" x14ac:dyDescent="0.55000000000000004">
      <c r="A48" s="17">
        <v>1986</v>
      </c>
      <c r="B48" s="3">
        <v>33.5</v>
      </c>
      <c r="C48" s="3">
        <v>8.9</v>
      </c>
      <c r="D48" s="3">
        <f t="shared" si="0"/>
        <v>24.6</v>
      </c>
    </row>
    <row r="49" spans="1:4" x14ac:dyDescent="0.55000000000000004">
      <c r="A49" s="17">
        <v>1987</v>
      </c>
      <c r="B49" s="3">
        <v>33</v>
      </c>
      <c r="C49" s="3">
        <v>8.6</v>
      </c>
      <c r="D49" s="3">
        <f t="shared" si="0"/>
        <v>24.4</v>
      </c>
    </row>
    <row r="50" spans="1:4" x14ac:dyDescent="0.55000000000000004">
      <c r="A50" s="17">
        <v>1988</v>
      </c>
      <c r="B50" s="3">
        <v>32.4</v>
      </c>
      <c r="C50" s="3">
        <v>8.3000000000000007</v>
      </c>
      <c r="D50" s="3">
        <f t="shared" si="0"/>
        <v>24.099999999999998</v>
      </c>
    </row>
    <row r="51" spans="1:4" x14ac:dyDescent="0.55000000000000004">
      <c r="A51" s="17">
        <v>1989</v>
      </c>
      <c r="B51" s="3">
        <v>31.8</v>
      </c>
      <c r="C51" s="3">
        <v>8</v>
      </c>
      <c r="D51" s="3">
        <f t="shared" si="0"/>
        <v>23.8</v>
      </c>
    </row>
    <row r="52" spans="1:4" x14ac:dyDescent="0.55000000000000004">
      <c r="A52" s="17">
        <v>1990</v>
      </c>
      <c r="B52" s="3">
        <v>31.1</v>
      </c>
      <c r="C52" s="3">
        <v>7.7</v>
      </c>
      <c r="D52" s="3">
        <f t="shared" si="0"/>
        <v>23.400000000000002</v>
      </c>
    </row>
    <row r="53" spans="1:4" x14ac:dyDescent="0.55000000000000004">
      <c r="A53" s="17">
        <v>1991</v>
      </c>
      <c r="B53" s="3">
        <v>30.4</v>
      </c>
      <c r="C53" s="3">
        <v>7.6</v>
      </c>
      <c r="D53" s="3">
        <f t="shared" si="0"/>
        <v>22.799999999999997</v>
      </c>
    </row>
    <row r="54" spans="1:4" x14ac:dyDescent="0.55000000000000004">
      <c r="A54" s="17">
        <v>1992</v>
      </c>
      <c r="B54" s="3">
        <v>29.6</v>
      </c>
      <c r="C54" s="3">
        <v>7.2</v>
      </c>
      <c r="D54" s="3">
        <f t="shared" si="0"/>
        <v>22.400000000000002</v>
      </c>
    </row>
    <row r="55" spans="1:4" x14ac:dyDescent="0.55000000000000004">
      <c r="A55" s="17">
        <v>1993</v>
      </c>
      <c r="B55" s="3">
        <v>28.8</v>
      </c>
      <c r="C55" s="3">
        <v>6.9</v>
      </c>
      <c r="D55" s="3">
        <f t="shared" si="0"/>
        <v>21.9</v>
      </c>
    </row>
    <row r="56" spans="1:4" x14ac:dyDescent="0.55000000000000004">
      <c r="A56" s="17">
        <v>1994</v>
      </c>
      <c r="B56" s="3">
        <v>28</v>
      </c>
      <c r="C56" s="3">
        <v>6.5</v>
      </c>
      <c r="D56" s="3">
        <f t="shared" si="0"/>
        <v>21.5</v>
      </c>
    </row>
    <row r="57" spans="1:4" x14ac:dyDescent="0.55000000000000004">
      <c r="A57" s="17">
        <v>1995</v>
      </c>
      <c r="B57" s="3">
        <v>27.2</v>
      </c>
      <c r="C57" s="3">
        <v>6.3</v>
      </c>
      <c r="D57" s="3">
        <f t="shared" si="0"/>
        <v>20.9</v>
      </c>
    </row>
    <row r="58" spans="1:4" x14ac:dyDescent="0.55000000000000004">
      <c r="A58" s="17">
        <v>1996</v>
      </c>
      <c r="B58" s="3">
        <v>26.4</v>
      </c>
      <c r="C58" s="3">
        <v>6.1</v>
      </c>
      <c r="D58" s="3">
        <f t="shared" si="0"/>
        <v>20.299999999999997</v>
      </c>
    </row>
    <row r="59" spans="1:4" x14ac:dyDescent="0.55000000000000004">
      <c r="A59" s="17">
        <v>1997</v>
      </c>
      <c r="B59" s="3">
        <v>25.6</v>
      </c>
      <c r="C59" s="3">
        <v>6</v>
      </c>
      <c r="D59" s="3">
        <f t="shared" si="0"/>
        <v>19.600000000000001</v>
      </c>
    </row>
    <row r="60" spans="1:4" x14ac:dyDescent="0.55000000000000004">
      <c r="A60" s="17">
        <v>1998</v>
      </c>
      <c r="B60" s="3">
        <v>24.9</v>
      </c>
      <c r="C60" s="3">
        <v>5.9</v>
      </c>
      <c r="D60" s="3">
        <f t="shared" si="0"/>
        <v>19</v>
      </c>
    </row>
    <row r="61" spans="1:4" x14ac:dyDescent="0.55000000000000004">
      <c r="A61" s="17">
        <v>1999</v>
      </c>
      <c r="B61" s="3">
        <v>24.3</v>
      </c>
      <c r="C61" s="3">
        <v>5.7</v>
      </c>
      <c r="D61" s="3">
        <f t="shared" si="0"/>
        <v>18.600000000000001</v>
      </c>
    </row>
    <row r="62" spans="1:4" x14ac:dyDescent="0.55000000000000004">
      <c r="A62" s="17">
        <v>2000</v>
      </c>
      <c r="B62" s="3">
        <v>23.8</v>
      </c>
      <c r="C62" s="3">
        <v>5.6</v>
      </c>
      <c r="D62" s="3">
        <f t="shared" si="0"/>
        <v>18.200000000000003</v>
      </c>
    </row>
    <row r="63" spans="1:4" x14ac:dyDescent="0.55000000000000004">
      <c r="A63" s="17">
        <v>2001</v>
      </c>
      <c r="B63" s="3">
        <v>23</v>
      </c>
      <c r="C63" s="3">
        <v>5.6</v>
      </c>
      <c r="D63" s="3">
        <f t="shared" si="0"/>
        <v>17.399999999999999</v>
      </c>
    </row>
    <row r="64" spans="1:4" x14ac:dyDescent="0.55000000000000004">
      <c r="A64" s="17">
        <v>2002</v>
      </c>
      <c r="B64" s="3">
        <v>22.6</v>
      </c>
      <c r="C64" s="3">
        <v>5.6</v>
      </c>
      <c r="D64" s="3">
        <f t="shared" si="0"/>
        <v>17</v>
      </c>
    </row>
    <row r="65" spans="1:4" x14ac:dyDescent="0.55000000000000004">
      <c r="A65" s="17">
        <v>2003</v>
      </c>
      <c r="B65" s="3">
        <v>22.3</v>
      </c>
      <c r="C65" s="3">
        <v>5.7</v>
      </c>
      <c r="D65" s="3">
        <f t="shared" si="0"/>
        <v>16.600000000000001</v>
      </c>
    </row>
    <row r="66" spans="1:4" x14ac:dyDescent="0.55000000000000004">
      <c r="A66" s="17">
        <v>2004</v>
      </c>
      <c r="B66" s="3">
        <v>22.4</v>
      </c>
      <c r="C66" s="3">
        <v>5.9</v>
      </c>
      <c r="D66" s="3">
        <f t="shared" si="0"/>
        <v>16.5</v>
      </c>
    </row>
    <row r="67" spans="1:4" x14ac:dyDescent="0.55000000000000004">
      <c r="A67" s="17">
        <v>2005</v>
      </c>
      <c r="B67" s="3">
        <v>22.1</v>
      </c>
      <c r="C67" s="3">
        <v>5.9</v>
      </c>
      <c r="D67" s="3">
        <f t="shared" ref="D67:D85" si="1">B67-C67</f>
        <v>16.200000000000003</v>
      </c>
    </row>
    <row r="68" spans="1:4" x14ac:dyDescent="0.55000000000000004">
      <c r="A68" s="17">
        <v>2006</v>
      </c>
      <c r="B68" s="3">
        <v>21.8</v>
      </c>
      <c r="C68" s="3">
        <v>6.1</v>
      </c>
      <c r="D68" s="3">
        <f t="shared" si="1"/>
        <v>15.700000000000001</v>
      </c>
    </row>
    <row r="69" spans="1:4" x14ac:dyDescent="0.55000000000000004">
      <c r="A69" s="17">
        <v>2007</v>
      </c>
      <c r="B69" s="3">
        <v>21.4</v>
      </c>
      <c r="C69" s="3">
        <v>6.2</v>
      </c>
      <c r="D69" s="3">
        <f t="shared" si="1"/>
        <v>15.2</v>
      </c>
    </row>
    <row r="70" spans="1:4" x14ac:dyDescent="0.55000000000000004">
      <c r="A70" s="17">
        <v>2008</v>
      </c>
      <c r="B70" s="3">
        <v>20.9</v>
      </c>
      <c r="C70" s="3">
        <v>6.5</v>
      </c>
      <c r="D70" s="3">
        <f t="shared" si="1"/>
        <v>14.399999999999999</v>
      </c>
    </row>
    <row r="71" spans="1:4" x14ac:dyDescent="0.55000000000000004">
      <c r="A71" s="17">
        <v>2009</v>
      </c>
      <c r="B71" s="3">
        <v>20.399999999999999</v>
      </c>
      <c r="C71" s="3">
        <v>6.7</v>
      </c>
      <c r="D71" s="3">
        <f t="shared" si="1"/>
        <v>13.7</v>
      </c>
    </row>
    <row r="72" spans="1:4" x14ac:dyDescent="0.55000000000000004">
      <c r="A72" s="17">
        <v>2010</v>
      </c>
      <c r="B72" s="3">
        <v>19.899999999999999</v>
      </c>
      <c r="C72" s="3">
        <v>6.7</v>
      </c>
      <c r="D72" s="3">
        <f t="shared" si="1"/>
        <v>13.2</v>
      </c>
    </row>
    <row r="73" spans="1:4" x14ac:dyDescent="0.55000000000000004">
      <c r="A73" s="17">
        <v>2011</v>
      </c>
      <c r="B73" s="3">
        <v>19.8</v>
      </c>
      <c r="C73" s="3">
        <v>6.7</v>
      </c>
      <c r="D73" s="3">
        <f t="shared" si="1"/>
        <v>13.100000000000001</v>
      </c>
    </row>
    <row r="74" spans="1:4" x14ac:dyDescent="0.55000000000000004">
      <c r="A74" s="17">
        <v>2012</v>
      </c>
      <c r="B74" s="3">
        <v>19.2</v>
      </c>
      <c r="C74" s="3">
        <v>6.5</v>
      </c>
      <c r="D74" s="3">
        <f t="shared" si="1"/>
        <v>12.7</v>
      </c>
    </row>
    <row r="75" spans="1:4" x14ac:dyDescent="0.55000000000000004">
      <c r="A75" s="17">
        <v>2013</v>
      </c>
      <c r="B75" s="3">
        <v>18.8</v>
      </c>
      <c r="C75" s="3">
        <v>6.3</v>
      </c>
      <c r="D75" s="3">
        <f t="shared" si="1"/>
        <v>12.5</v>
      </c>
    </row>
    <row r="76" spans="1:4" x14ac:dyDescent="0.55000000000000004">
      <c r="A76" s="17">
        <v>2014</v>
      </c>
      <c r="B76" s="3">
        <v>18.399999999999999</v>
      </c>
      <c r="C76" s="3">
        <v>6.1</v>
      </c>
      <c r="D76" s="3">
        <f t="shared" si="1"/>
        <v>12.299999999999999</v>
      </c>
    </row>
    <row r="77" spans="1:4" x14ac:dyDescent="0.55000000000000004">
      <c r="A77" s="17">
        <v>2015</v>
      </c>
      <c r="B77" s="3">
        <v>17.899999999999999</v>
      </c>
      <c r="C77" s="3">
        <v>6</v>
      </c>
      <c r="D77" s="3">
        <f t="shared" si="1"/>
        <v>11.899999999999999</v>
      </c>
    </row>
    <row r="78" spans="1:4" x14ac:dyDescent="0.55000000000000004">
      <c r="A78" s="17">
        <v>2016</v>
      </c>
      <c r="B78" s="3">
        <v>17.600000000000001</v>
      </c>
      <c r="C78" s="3">
        <v>6</v>
      </c>
      <c r="D78" s="3">
        <f t="shared" si="1"/>
        <v>11.600000000000001</v>
      </c>
    </row>
    <row r="79" spans="1:4" x14ac:dyDescent="0.55000000000000004">
      <c r="A79" s="17">
        <v>2017</v>
      </c>
      <c r="B79" s="3">
        <v>17.3</v>
      </c>
      <c r="C79" s="3">
        <v>6.1</v>
      </c>
      <c r="D79" s="3">
        <f t="shared" si="1"/>
        <v>11.200000000000001</v>
      </c>
    </row>
    <row r="80" spans="1:4" x14ac:dyDescent="0.55000000000000004">
      <c r="A80" s="17">
        <v>2018</v>
      </c>
      <c r="B80" s="3">
        <v>16.899999999999999</v>
      </c>
      <c r="C80" s="3">
        <v>6.2</v>
      </c>
      <c r="D80" s="3">
        <f t="shared" si="1"/>
        <v>10.7</v>
      </c>
    </row>
    <row r="81" spans="1:4" x14ac:dyDescent="0.55000000000000004">
      <c r="A81" s="17">
        <v>2019</v>
      </c>
      <c r="B81" s="3">
        <v>16.899999999999999</v>
      </c>
      <c r="C81" s="3">
        <v>6.2</v>
      </c>
      <c r="D81" s="3">
        <f t="shared" si="1"/>
        <v>10.7</v>
      </c>
    </row>
    <row r="82" spans="1:4" x14ac:dyDescent="0.55000000000000004">
      <c r="A82" s="17">
        <v>2020</v>
      </c>
      <c r="B82" s="3">
        <v>16.600000000000001</v>
      </c>
      <c r="C82" s="3">
        <v>7.4</v>
      </c>
      <c r="D82" s="3">
        <f t="shared" si="1"/>
        <v>9.2000000000000011</v>
      </c>
    </row>
    <row r="83" spans="1:4" x14ac:dyDescent="0.55000000000000004">
      <c r="A83" s="17">
        <v>2021</v>
      </c>
      <c r="B83" s="3">
        <v>16.399999999999999</v>
      </c>
      <c r="C83" s="3">
        <v>9.3000000000000007</v>
      </c>
      <c r="D83" s="3">
        <f t="shared" si="1"/>
        <v>7.0999999999999979</v>
      </c>
    </row>
    <row r="84" spans="1:4" x14ac:dyDescent="0.55000000000000004">
      <c r="A84" s="17">
        <v>2022</v>
      </c>
      <c r="B84" s="3">
        <v>16.2</v>
      </c>
      <c r="C84" s="3">
        <v>6.4</v>
      </c>
      <c r="D84" s="3">
        <f t="shared" si="1"/>
        <v>9.7999999999999989</v>
      </c>
    </row>
    <row r="85" spans="1:4" x14ac:dyDescent="0.55000000000000004">
      <c r="A85" s="17">
        <v>2023</v>
      </c>
      <c r="B85" s="3">
        <v>15.9</v>
      </c>
      <c r="C85" s="3">
        <v>5.5</v>
      </c>
      <c r="D85" s="3">
        <f t="shared" si="1"/>
        <v>10.4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D125"/>
  <sheetViews>
    <sheetView workbookViewId="0">
      <selection sqref="A1:D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4" x14ac:dyDescent="0.55000000000000004">
      <c r="A3" s="17">
        <v>1901</v>
      </c>
      <c r="B3" s="3">
        <v>43.9</v>
      </c>
      <c r="C3" s="3">
        <v>29.2</v>
      </c>
      <c r="D3" s="3">
        <f t="shared" ref="D3:D66" si="0">B3-C3</f>
        <v>14.7</v>
      </c>
    </row>
    <row r="4" spans="1:4" x14ac:dyDescent="0.55000000000000004">
      <c r="A4" s="17">
        <v>1902</v>
      </c>
      <c r="B4" s="3">
        <v>43.9</v>
      </c>
      <c r="C4" s="3">
        <v>29.5</v>
      </c>
      <c r="D4" s="3">
        <f t="shared" si="0"/>
        <v>14.399999999999999</v>
      </c>
    </row>
    <row r="5" spans="1:4" x14ac:dyDescent="0.55000000000000004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4" x14ac:dyDescent="0.55000000000000004">
      <c r="A6" s="17">
        <v>1904</v>
      </c>
      <c r="B6" s="3">
        <v>43.5</v>
      </c>
      <c r="C6" s="3">
        <v>30.6</v>
      </c>
      <c r="D6" s="3">
        <f t="shared" si="0"/>
        <v>12.899999999999999</v>
      </c>
    </row>
    <row r="7" spans="1:4" x14ac:dyDescent="0.55000000000000004">
      <c r="A7" s="17">
        <v>1905</v>
      </c>
      <c r="B7" s="3">
        <v>43.3</v>
      </c>
      <c r="C7" s="3">
        <v>31.4</v>
      </c>
      <c r="D7" s="3">
        <f t="shared" si="0"/>
        <v>11.899999999999999</v>
      </c>
    </row>
    <row r="8" spans="1:4" x14ac:dyDescent="0.55000000000000004">
      <c r="A8" s="17">
        <v>1906</v>
      </c>
      <c r="B8" s="3">
        <v>43.2</v>
      </c>
      <c r="C8" s="3">
        <v>31.8</v>
      </c>
      <c r="D8" s="3">
        <f t="shared" si="0"/>
        <v>11.400000000000002</v>
      </c>
    </row>
    <row r="9" spans="1:4" x14ac:dyDescent="0.55000000000000004">
      <c r="A9" s="17">
        <v>1907</v>
      </c>
      <c r="B9" s="3">
        <v>43.3</v>
      </c>
      <c r="C9" s="3">
        <v>31.8</v>
      </c>
      <c r="D9" s="3">
        <f t="shared" si="0"/>
        <v>11.499999999999996</v>
      </c>
    </row>
    <row r="10" spans="1:4" x14ac:dyDescent="0.55000000000000004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4" x14ac:dyDescent="0.55000000000000004">
      <c r="A11" s="17">
        <v>1909</v>
      </c>
      <c r="B11" s="3">
        <v>44.1</v>
      </c>
      <c r="C11" s="3">
        <v>30.6</v>
      </c>
      <c r="D11" s="3">
        <f t="shared" si="0"/>
        <v>13.5</v>
      </c>
    </row>
    <row r="12" spans="1:4" x14ac:dyDescent="0.55000000000000004">
      <c r="A12" s="17">
        <v>1910</v>
      </c>
      <c r="B12" s="3">
        <v>44.7</v>
      </c>
      <c r="C12" s="3">
        <v>29.4</v>
      </c>
      <c r="D12" s="3">
        <f t="shared" si="0"/>
        <v>15.300000000000004</v>
      </c>
    </row>
    <row r="13" spans="1:4" x14ac:dyDescent="0.55000000000000004">
      <c r="A13" s="17">
        <v>1911</v>
      </c>
      <c r="B13" s="3">
        <v>45</v>
      </c>
      <c r="C13" s="3">
        <v>29.2</v>
      </c>
      <c r="D13" s="3">
        <f t="shared" si="0"/>
        <v>15.8</v>
      </c>
    </row>
    <row r="14" spans="1:4" x14ac:dyDescent="0.55000000000000004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4" x14ac:dyDescent="0.55000000000000004">
      <c r="A15" s="17">
        <v>1913</v>
      </c>
      <c r="B15" s="3">
        <v>44.7</v>
      </c>
      <c r="C15" s="3">
        <v>31.9</v>
      </c>
      <c r="D15" s="3">
        <f t="shared" si="0"/>
        <v>12.800000000000004</v>
      </c>
    </row>
    <row r="16" spans="1:4" x14ac:dyDescent="0.55000000000000004">
      <c r="A16" s="17">
        <v>1914</v>
      </c>
      <c r="B16" s="3">
        <v>44</v>
      </c>
      <c r="C16" s="3">
        <v>34.9</v>
      </c>
      <c r="D16" s="3">
        <f t="shared" si="0"/>
        <v>9.1000000000000014</v>
      </c>
    </row>
    <row r="17" spans="1:4" x14ac:dyDescent="0.55000000000000004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4" x14ac:dyDescent="0.55000000000000004">
      <c r="A18" s="17">
        <v>1916</v>
      </c>
      <c r="B18" s="3">
        <v>42.5</v>
      </c>
      <c r="C18" s="3">
        <v>41.8</v>
      </c>
      <c r="D18" s="3">
        <f t="shared" si="0"/>
        <v>0.70000000000000284</v>
      </c>
    </row>
    <row r="19" spans="1:4" x14ac:dyDescent="0.55000000000000004">
      <c r="A19" s="17">
        <v>1917</v>
      </c>
      <c r="B19" s="3">
        <v>42.4</v>
      </c>
      <c r="C19" s="3">
        <v>42.9</v>
      </c>
      <c r="D19" s="3">
        <f t="shared" si="0"/>
        <v>-0.5</v>
      </c>
    </row>
    <row r="20" spans="1:4" x14ac:dyDescent="0.55000000000000004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4" x14ac:dyDescent="0.55000000000000004">
      <c r="A21" s="17">
        <v>1919</v>
      </c>
      <c r="B21" s="3">
        <v>43.7</v>
      </c>
      <c r="C21" s="3">
        <v>40</v>
      </c>
      <c r="D21" s="3">
        <f t="shared" si="0"/>
        <v>3.7000000000000028</v>
      </c>
    </row>
    <row r="22" spans="1:4" x14ac:dyDescent="0.55000000000000004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</row>
    <row r="23" spans="1:4" x14ac:dyDescent="0.55000000000000004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4" x14ac:dyDescent="0.55000000000000004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4" x14ac:dyDescent="0.55000000000000004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4" x14ac:dyDescent="0.55000000000000004">
      <c r="A26" s="17">
        <v>1924</v>
      </c>
      <c r="B26" s="3">
        <v>47.5</v>
      </c>
      <c r="C26" s="3">
        <v>31.5</v>
      </c>
      <c r="D26" s="3">
        <f t="shared" si="0"/>
        <v>16</v>
      </c>
    </row>
    <row r="27" spans="1:4" x14ac:dyDescent="0.55000000000000004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4" x14ac:dyDescent="0.55000000000000004">
      <c r="A28" s="17">
        <v>1926</v>
      </c>
      <c r="B28" s="3">
        <v>47.2</v>
      </c>
      <c r="C28" s="3">
        <v>33.9</v>
      </c>
      <c r="D28" s="3">
        <f t="shared" si="0"/>
        <v>13.300000000000004</v>
      </c>
    </row>
    <row r="29" spans="1:4" x14ac:dyDescent="0.55000000000000004">
      <c r="A29" s="17">
        <v>1927</v>
      </c>
      <c r="B29" s="3">
        <v>47.1</v>
      </c>
      <c r="C29" s="3">
        <v>34.5</v>
      </c>
      <c r="D29" s="3">
        <f t="shared" si="0"/>
        <v>12.600000000000001</v>
      </c>
    </row>
    <row r="30" spans="1:4" x14ac:dyDescent="0.55000000000000004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</row>
    <row r="31" spans="1:4" x14ac:dyDescent="0.55000000000000004">
      <c r="A31" s="17">
        <v>1929</v>
      </c>
      <c r="B31" s="3">
        <v>46.9</v>
      </c>
      <c r="C31" s="3">
        <v>34.6</v>
      </c>
      <c r="D31" s="3">
        <f t="shared" si="0"/>
        <v>12.299999999999997</v>
      </c>
    </row>
    <row r="32" spans="1:4" x14ac:dyDescent="0.55000000000000004">
      <c r="A32" s="17">
        <v>1930</v>
      </c>
      <c r="B32" s="3">
        <v>46.8</v>
      </c>
      <c r="C32" s="3">
        <v>34</v>
      </c>
      <c r="D32" s="3">
        <f t="shared" si="0"/>
        <v>12.799999999999997</v>
      </c>
    </row>
    <row r="33" spans="1:4" x14ac:dyDescent="0.55000000000000004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4" x14ac:dyDescent="0.55000000000000004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</row>
    <row r="35" spans="1:4" x14ac:dyDescent="0.55000000000000004">
      <c r="A35" s="17">
        <v>1933</v>
      </c>
      <c r="B35" s="3">
        <v>46.3</v>
      </c>
      <c r="C35" s="3">
        <v>32.1</v>
      </c>
      <c r="D35" s="3">
        <f t="shared" si="0"/>
        <v>14.199999999999996</v>
      </c>
    </row>
    <row r="36" spans="1:4" x14ac:dyDescent="0.55000000000000004">
      <c r="A36" s="17">
        <v>1934</v>
      </c>
      <c r="B36" s="3">
        <v>46.1</v>
      </c>
      <c r="C36" s="3">
        <v>31.3</v>
      </c>
      <c r="D36" s="3">
        <f t="shared" si="0"/>
        <v>14.8</v>
      </c>
    </row>
    <row r="37" spans="1:4" x14ac:dyDescent="0.55000000000000004">
      <c r="A37" s="17">
        <v>1935</v>
      </c>
      <c r="B37" s="3">
        <v>45.7</v>
      </c>
      <c r="C37" s="3">
        <v>30.4</v>
      </c>
      <c r="D37" s="3">
        <f t="shared" si="0"/>
        <v>15.300000000000004</v>
      </c>
    </row>
    <row r="38" spans="1:4" x14ac:dyDescent="0.55000000000000004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4" x14ac:dyDescent="0.55000000000000004">
      <c r="A39" s="17">
        <v>1937</v>
      </c>
      <c r="B39" s="3">
        <v>45.3</v>
      </c>
      <c r="C39" s="3">
        <v>29.4</v>
      </c>
      <c r="D39" s="3">
        <f t="shared" si="0"/>
        <v>15.899999999999999</v>
      </c>
    </row>
    <row r="40" spans="1:4" x14ac:dyDescent="0.55000000000000004">
      <c r="A40" s="17">
        <v>1938</v>
      </c>
      <c r="B40" s="3">
        <v>45.2</v>
      </c>
      <c r="C40" s="3">
        <v>29.2</v>
      </c>
      <c r="D40" s="3">
        <f t="shared" si="0"/>
        <v>16.000000000000004</v>
      </c>
    </row>
    <row r="41" spans="1:4" x14ac:dyDescent="0.55000000000000004">
      <c r="A41" s="17">
        <v>1939</v>
      </c>
      <c r="B41" s="3">
        <v>45.3</v>
      </c>
      <c r="C41" s="3">
        <v>29.3</v>
      </c>
      <c r="D41" s="3">
        <f t="shared" si="0"/>
        <v>15.999999999999996</v>
      </c>
    </row>
    <row r="42" spans="1:4" x14ac:dyDescent="0.55000000000000004">
      <c r="A42" s="17">
        <v>1940</v>
      </c>
      <c r="B42" s="3">
        <v>45.4</v>
      </c>
      <c r="C42" s="3">
        <v>29.6</v>
      </c>
      <c r="D42" s="3">
        <f t="shared" si="0"/>
        <v>15.799999999999997</v>
      </c>
    </row>
    <row r="43" spans="1:4" x14ac:dyDescent="0.55000000000000004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4" x14ac:dyDescent="0.55000000000000004">
      <c r="A44" s="17">
        <v>1942</v>
      </c>
      <c r="B44" s="3">
        <v>45.3</v>
      </c>
      <c r="C44" s="3">
        <v>28.9</v>
      </c>
      <c r="D44" s="3">
        <f t="shared" si="0"/>
        <v>16.399999999999999</v>
      </c>
    </row>
    <row r="45" spans="1:4" x14ac:dyDescent="0.55000000000000004">
      <c r="A45" s="17">
        <v>1943</v>
      </c>
      <c r="B45" s="3">
        <v>45.1</v>
      </c>
      <c r="C45" s="3">
        <v>28</v>
      </c>
      <c r="D45" s="3">
        <f t="shared" si="0"/>
        <v>17.100000000000001</v>
      </c>
    </row>
    <row r="46" spans="1:4" x14ac:dyDescent="0.55000000000000004">
      <c r="A46" s="17">
        <v>1944</v>
      </c>
      <c r="B46" s="3">
        <v>44.8</v>
      </c>
      <c r="C46" s="3">
        <v>26.7</v>
      </c>
      <c r="D46" s="3">
        <f t="shared" si="0"/>
        <v>18.099999999999998</v>
      </c>
    </row>
    <row r="47" spans="1:4" x14ac:dyDescent="0.55000000000000004">
      <c r="A47" s="17">
        <v>1945</v>
      </c>
      <c r="B47" s="3">
        <v>44.4</v>
      </c>
      <c r="C47" s="3">
        <v>25</v>
      </c>
      <c r="D47" s="3">
        <f t="shared" si="0"/>
        <v>19.399999999999999</v>
      </c>
    </row>
    <row r="48" spans="1:4" x14ac:dyDescent="0.55000000000000004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4" x14ac:dyDescent="0.55000000000000004">
      <c r="A49" s="17">
        <v>1947</v>
      </c>
      <c r="B49" s="3">
        <v>44.5</v>
      </c>
      <c r="C49" s="3">
        <v>22.6</v>
      </c>
      <c r="D49" s="3">
        <f t="shared" si="0"/>
        <v>21.9</v>
      </c>
    </row>
    <row r="50" spans="1:4" x14ac:dyDescent="0.55000000000000004">
      <c r="A50" s="17">
        <v>1948</v>
      </c>
      <c r="B50" s="3">
        <v>45</v>
      </c>
      <c r="C50" s="3">
        <v>21.8</v>
      </c>
      <c r="D50" s="3">
        <f t="shared" si="0"/>
        <v>23.2</v>
      </c>
    </row>
    <row r="51" spans="1:4" x14ac:dyDescent="0.55000000000000004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4" x14ac:dyDescent="0.55000000000000004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4" x14ac:dyDescent="0.55000000000000004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4" x14ac:dyDescent="0.55000000000000004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4" x14ac:dyDescent="0.55000000000000004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4" x14ac:dyDescent="0.55000000000000004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4" x14ac:dyDescent="0.55000000000000004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4" x14ac:dyDescent="0.55000000000000004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4" x14ac:dyDescent="0.55000000000000004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4" x14ac:dyDescent="0.55000000000000004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4" x14ac:dyDescent="0.55000000000000004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4" x14ac:dyDescent="0.55000000000000004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4" x14ac:dyDescent="0.55000000000000004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4" x14ac:dyDescent="0.55000000000000004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55000000000000004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55000000000000004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55000000000000004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55000000000000004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55000000000000004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55000000000000004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55000000000000004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55000000000000004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55000000000000004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55000000000000004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55000000000000004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55000000000000004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55000000000000004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55000000000000004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55000000000000004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55000000000000004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55000000000000004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55000000000000004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55000000000000004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55000000000000004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55000000000000004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55000000000000004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55000000000000004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55000000000000004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55000000000000004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55000000000000004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55000000000000004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55000000000000004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55000000000000004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55000000000000004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55000000000000004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55000000000000004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55000000000000004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55000000000000004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55000000000000004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55000000000000004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55000000000000004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55000000000000004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55000000000000004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55000000000000004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55000000000000004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55000000000000004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55000000000000004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55000000000000004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55000000000000004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55000000000000004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55000000000000004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55000000000000004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55000000000000004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55000000000000004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55000000000000004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55000000000000004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55000000000000004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55000000000000004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55000000000000004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55000000000000004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55000000000000004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55000000000000004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55000000000000004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55000000000000004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55000000000000004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E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1" sqref="D1:E2"/>
    </sheetView>
  </sheetViews>
  <sheetFormatPr defaultRowHeight="14.4" x14ac:dyDescent="0.55000000000000004"/>
  <sheetData>
    <row r="1" spans="1:5" x14ac:dyDescent="0.55000000000000004">
      <c r="B1" s="24" t="s">
        <v>115</v>
      </c>
      <c r="C1" s="24"/>
      <c r="D1" s="24" t="s">
        <v>75</v>
      </c>
      <c r="E1" s="24"/>
    </row>
    <row r="2" spans="1:5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</row>
    <row r="3" spans="1:5" x14ac:dyDescent="0.55000000000000004">
      <c r="A3" s="1">
        <v>1897</v>
      </c>
      <c r="B3" s="21">
        <v>38.799999999999997</v>
      </c>
      <c r="C3" s="21">
        <v>14.8</v>
      </c>
    </row>
    <row r="4" spans="1:5" x14ac:dyDescent="0.55000000000000004">
      <c r="A4" s="1">
        <v>1898</v>
      </c>
      <c r="B4" s="21">
        <v>38.799999999999997</v>
      </c>
      <c r="C4" s="21">
        <v>14.474399999999999</v>
      </c>
    </row>
    <row r="5" spans="1:5" x14ac:dyDescent="0.55000000000000004">
      <c r="A5" s="1">
        <v>1899</v>
      </c>
      <c r="B5" s="21">
        <v>38.799999999999997</v>
      </c>
      <c r="C5" s="21">
        <v>14.1752</v>
      </c>
    </row>
    <row r="6" spans="1:5" x14ac:dyDescent="0.55000000000000004">
      <c r="A6" s="1">
        <v>1900</v>
      </c>
      <c r="B6" s="21">
        <v>38.799999999999997</v>
      </c>
      <c r="C6" s="21">
        <v>13.928800000000001</v>
      </c>
    </row>
    <row r="7" spans="1:5" x14ac:dyDescent="0.55000000000000004">
      <c r="A7" s="1">
        <v>1901</v>
      </c>
      <c r="B7" s="21">
        <v>38.799999999999997</v>
      </c>
      <c r="C7" s="21">
        <v>13.7616</v>
      </c>
    </row>
    <row r="8" spans="1:5" x14ac:dyDescent="0.55000000000000004">
      <c r="A8" s="1">
        <v>1902</v>
      </c>
      <c r="B8" s="21">
        <v>38.799999999999997</v>
      </c>
      <c r="C8" s="21">
        <v>13.7</v>
      </c>
    </row>
    <row r="9" spans="1:5" x14ac:dyDescent="0.55000000000000004">
      <c r="A9" s="1">
        <v>1903</v>
      </c>
      <c r="B9" s="21">
        <v>38.7119</v>
      </c>
      <c r="C9" s="21">
        <v>13.731199999999999</v>
      </c>
    </row>
    <row r="10" spans="1:5" x14ac:dyDescent="0.55000000000000004">
      <c r="A10" s="1">
        <v>1904</v>
      </c>
      <c r="B10" s="21">
        <v>38.4878</v>
      </c>
      <c r="C10" s="21">
        <v>13.8056</v>
      </c>
    </row>
    <row r="11" spans="1:5" x14ac:dyDescent="0.55000000000000004">
      <c r="A11" s="1">
        <v>1905</v>
      </c>
      <c r="B11" s="21">
        <v>38.1877</v>
      </c>
      <c r="C11" s="21">
        <v>13.894399999999999</v>
      </c>
    </row>
    <row r="12" spans="1:5" x14ac:dyDescent="0.55000000000000004">
      <c r="A12" s="1">
        <v>1906</v>
      </c>
      <c r="B12" s="21">
        <v>37.871699999999997</v>
      </c>
      <c r="C12" s="21">
        <v>13.9688</v>
      </c>
    </row>
    <row r="13" spans="1:5" x14ac:dyDescent="0.55000000000000004">
      <c r="A13" s="1">
        <v>1907</v>
      </c>
      <c r="B13" s="21">
        <v>37.6</v>
      </c>
      <c r="C13" s="21">
        <v>14</v>
      </c>
    </row>
    <row r="14" spans="1:5" x14ac:dyDescent="0.55000000000000004">
      <c r="A14" s="1">
        <v>1908</v>
      </c>
      <c r="B14" s="21">
        <v>37.395499999999998</v>
      </c>
      <c r="C14" s="21">
        <v>13.948</v>
      </c>
    </row>
    <row r="15" spans="1:5" x14ac:dyDescent="0.55000000000000004">
      <c r="A15" s="1">
        <v>1909</v>
      </c>
      <c r="B15" s="21">
        <v>37.218000000000004</v>
      </c>
      <c r="C15" s="21">
        <v>13.824</v>
      </c>
    </row>
    <row r="16" spans="1:5" x14ac:dyDescent="0.55000000000000004">
      <c r="A16" s="1">
        <v>1910</v>
      </c>
      <c r="B16" s="21">
        <v>37.032699999999998</v>
      </c>
      <c r="C16" s="21">
        <v>13.676</v>
      </c>
    </row>
    <row r="17" spans="1:3" x14ac:dyDescent="0.55000000000000004">
      <c r="A17" s="1">
        <v>1911</v>
      </c>
      <c r="B17" s="21">
        <v>36.804900000000004</v>
      </c>
      <c r="C17" s="21">
        <v>13.552</v>
      </c>
    </row>
    <row r="18" spans="1:3" x14ac:dyDescent="0.55000000000000004">
      <c r="A18" s="1">
        <v>1912</v>
      </c>
      <c r="B18" s="21">
        <v>36.5</v>
      </c>
      <c r="C18" s="21">
        <v>13.5</v>
      </c>
    </row>
    <row r="19" spans="1:3" x14ac:dyDescent="0.55000000000000004">
      <c r="A19" s="1">
        <v>1913</v>
      </c>
      <c r="B19" s="21">
        <v>35.877099999999999</v>
      </c>
      <c r="C19" s="21">
        <v>13.5624</v>
      </c>
    </row>
    <row r="20" spans="1:3" x14ac:dyDescent="0.55000000000000004">
      <c r="A20" s="1">
        <v>1914</v>
      </c>
      <c r="B20" s="21">
        <v>34.8735</v>
      </c>
      <c r="C20" s="21">
        <v>13.7112</v>
      </c>
    </row>
    <row r="21" spans="1:3" x14ac:dyDescent="0.55000000000000004">
      <c r="A21" s="1">
        <v>1915</v>
      </c>
      <c r="B21" s="21">
        <v>33.721400000000003</v>
      </c>
      <c r="C21" s="21">
        <v>13.8888</v>
      </c>
    </row>
    <row r="22" spans="1:3" x14ac:dyDescent="0.55000000000000004">
      <c r="A22" s="1">
        <v>1916</v>
      </c>
      <c r="B22" s="21">
        <v>32.652799999999999</v>
      </c>
      <c r="C22" s="21">
        <v>14.037599999999999</v>
      </c>
    </row>
    <row r="23" spans="1:3" x14ac:dyDescent="0.55000000000000004">
      <c r="A23" s="1">
        <v>1917</v>
      </c>
      <c r="B23" s="21">
        <v>31.9</v>
      </c>
      <c r="C23" s="21">
        <v>14.1</v>
      </c>
    </row>
    <row r="24" spans="1:3" x14ac:dyDescent="0.55000000000000004">
      <c r="A24" s="1">
        <v>1918</v>
      </c>
      <c r="B24" s="21">
        <v>31.434000000000001</v>
      </c>
      <c r="C24" s="21">
        <v>13.974500000000001</v>
      </c>
    </row>
    <row r="25" spans="1:3" x14ac:dyDescent="0.55000000000000004">
      <c r="A25" s="1">
        <v>1919</v>
      </c>
      <c r="B25" s="21">
        <v>31.050899999999999</v>
      </c>
      <c r="C25" s="21">
        <v>13.663600000000001</v>
      </c>
    </row>
    <row r="26" spans="1:3" x14ac:dyDescent="0.55000000000000004">
      <c r="A26" s="1">
        <v>1920</v>
      </c>
      <c r="B26" s="21">
        <v>30.720800000000001</v>
      </c>
      <c r="C26" s="21">
        <v>13.265499999999999</v>
      </c>
    </row>
    <row r="27" spans="1:3" x14ac:dyDescent="0.55000000000000004">
      <c r="A27" s="1">
        <v>1921</v>
      </c>
      <c r="B27" s="21">
        <v>30.413900000000002</v>
      </c>
      <c r="C27" s="21">
        <v>12.8782</v>
      </c>
    </row>
    <row r="28" spans="1:3" x14ac:dyDescent="0.55000000000000004">
      <c r="A28" s="1">
        <v>1922</v>
      </c>
      <c r="B28" s="21">
        <v>30.1</v>
      </c>
      <c r="C28" s="21">
        <v>12.6</v>
      </c>
    </row>
    <row r="29" spans="1:3" x14ac:dyDescent="0.55000000000000004">
      <c r="A29" s="1">
        <v>1923</v>
      </c>
      <c r="B29" s="21">
        <v>29.7971</v>
      </c>
      <c r="C29" s="21">
        <v>12.4213</v>
      </c>
    </row>
    <row r="30" spans="1:3" x14ac:dyDescent="0.55000000000000004">
      <c r="A30" s="1">
        <v>1924</v>
      </c>
      <c r="B30" s="21">
        <v>29.523900000000001</v>
      </c>
      <c r="C30" s="21">
        <v>12.265000000000001</v>
      </c>
    </row>
    <row r="31" spans="1:3" x14ac:dyDescent="0.55000000000000004">
      <c r="A31" s="1">
        <v>1925</v>
      </c>
      <c r="B31" s="21">
        <v>29.252199999999998</v>
      </c>
      <c r="C31" s="21">
        <v>12.1281</v>
      </c>
    </row>
    <row r="32" spans="1:3" x14ac:dyDescent="0.55000000000000004">
      <c r="A32" s="1">
        <v>1926</v>
      </c>
      <c r="B32" s="21">
        <v>28.953700000000001</v>
      </c>
      <c r="C32" s="21">
        <v>12.007400000000001</v>
      </c>
    </row>
    <row r="33" spans="1:3" x14ac:dyDescent="0.55000000000000004">
      <c r="A33" s="1">
        <v>1927</v>
      </c>
      <c r="B33" s="21">
        <v>28.6</v>
      </c>
      <c r="C33" s="21">
        <v>11.9</v>
      </c>
    </row>
    <row r="34" spans="1:3" x14ac:dyDescent="0.55000000000000004">
      <c r="A34" s="1">
        <v>1928</v>
      </c>
      <c r="B34" s="21">
        <v>28.158300000000001</v>
      </c>
      <c r="C34" s="21">
        <v>11.805999999999999</v>
      </c>
    </row>
    <row r="35" spans="1:3" x14ac:dyDescent="0.55000000000000004">
      <c r="A35" s="1">
        <v>1929</v>
      </c>
      <c r="B35" s="21">
        <v>27.631799999999998</v>
      </c>
      <c r="C35" s="21">
        <v>11.724299999999999</v>
      </c>
    </row>
    <row r="36" spans="1:3" x14ac:dyDescent="0.55000000000000004">
      <c r="A36" s="1">
        <v>1930</v>
      </c>
      <c r="B36" s="21">
        <v>27.046099999999999</v>
      </c>
      <c r="C36" s="21">
        <v>11.6495</v>
      </c>
    </row>
    <row r="37" spans="1:3" x14ac:dyDescent="0.55000000000000004">
      <c r="A37" s="1">
        <v>1931</v>
      </c>
      <c r="B37" s="21">
        <v>26.4269</v>
      </c>
      <c r="C37" s="21">
        <v>11.576499999999999</v>
      </c>
    </row>
    <row r="38" spans="1:3" x14ac:dyDescent="0.55000000000000004">
      <c r="A38" s="1">
        <v>1932</v>
      </c>
      <c r="B38" s="21">
        <v>25.8</v>
      </c>
      <c r="C38" s="21">
        <v>11.5</v>
      </c>
    </row>
    <row r="39" spans="1:3" x14ac:dyDescent="0.55000000000000004">
      <c r="A39" s="1">
        <v>1933</v>
      </c>
      <c r="B39" s="21">
        <v>25.075099999999999</v>
      </c>
      <c r="C39" s="21">
        <v>11.424300000000001</v>
      </c>
    </row>
    <row r="40" spans="1:3" x14ac:dyDescent="0.55000000000000004">
      <c r="A40" s="1">
        <v>1934</v>
      </c>
      <c r="B40" s="21">
        <v>24.231999999999999</v>
      </c>
      <c r="C40" s="21">
        <v>11.3528</v>
      </c>
    </row>
    <row r="41" spans="1:3" x14ac:dyDescent="0.55000000000000004">
      <c r="A41" s="1">
        <v>1935</v>
      </c>
      <c r="B41" s="21">
        <v>23.401299999999999</v>
      </c>
      <c r="C41" s="21">
        <v>11.279199999999999</v>
      </c>
    </row>
    <row r="42" spans="1:3" x14ac:dyDescent="0.55000000000000004">
      <c r="A42" s="1">
        <v>1936</v>
      </c>
      <c r="B42" s="21">
        <v>22.713799999999999</v>
      </c>
      <c r="C42" s="21">
        <v>11.197100000000001</v>
      </c>
    </row>
    <row r="43" spans="1:3" x14ac:dyDescent="0.55000000000000004">
      <c r="A43" s="1">
        <v>1937</v>
      </c>
      <c r="B43" s="21">
        <v>22.3</v>
      </c>
      <c r="C43" s="21">
        <v>11.1</v>
      </c>
    </row>
    <row r="44" spans="1:3" x14ac:dyDescent="0.55000000000000004">
      <c r="A44" s="1">
        <v>1938</v>
      </c>
      <c r="B44" s="21">
        <v>22.096499999999999</v>
      </c>
      <c r="C44" s="21">
        <v>10.9793</v>
      </c>
    </row>
    <row r="45" spans="1:3" x14ac:dyDescent="0.55000000000000004">
      <c r="A45" s="1">
        <v>1939</v>
      </c>
      <c r="B45" s="21">
        <v>21.941600000000001</v>
      </c>
      <c r="C45" s="21">
        <v>10.8338</v>
      </c>
    </row>
    <row r="46" spans="1:3" x14ac:dyDescent="0.55000000000000004">
      <c r="A46" s="1">
        <v>1940</v>
      </c>
      <c r="B46" s="21">
        <v>21.8184</v>
      </c>
      <c r="C46" s="21">
        <v>10.6686</v>
      </c>
    </row>
    <row r="47" spans="1:3" x14ac:dyDescent="0.55000000000000004">
      <c r="A47" s="1">
        <v>1941</v>
      </c>
      <c r="B47" s="21">
        <v>21.710100000000001</v>
      </c>
      <c r="C47" s="21">
        <v>10.489000000000001</v>
      </c>
    </row>
    <row r="48" spans="1:3" x14ac:dyDescent="0.55000000000000004">
      <c r="A48" s="1">
        <v>1942</v>
      </c>
      <c r="B48" s="21">
        <v>21.6</v>
      </c>
      <c r="C48" s="21">
        <v>10.3</v>
      </c>
    </row>
    <row r="49" spans="1:5" x14ac:dyDescent="0.55000000000000004">
      <c r="A49" s="1">
        <v>1943</v>
      </c>
      <c r="B49" s="21">
        <v>21.473299999999998</v>
      </c>
      <c r="C49" s="21">
        <v>10.0779</v>
      </c>
    </row>
    <row r="50" spans="1:5" x14ac:dyDescent="0.55000000000000004">
      <c r="A50" s="1">
        <v>1944</v>
      </c>
      <c r="B50" s="21">
        <v>21.34</v>
      </c>
      <c r="C50" s="21">
        <v>9.8162000000000003</v>
      </c>
    </row>
    <row r="51" spans="1:5" x14ac:dyDescent="0.55000000000000004">
      <c r="A51" s="1">
        <v>1945</v>
      </c>
      <c r="B51" s="21">
        <v>21.22</v>
      </c>
      <c r="C51" s="21">
        <v>9.5454000000000008</v>
      </c>
    </row>
    <row r="52" spans="1:5" x14ac:dyDescent="0.55000000000000004">
      <c r="A52" s="1">
        <v>1946</v>
      </c>
      <c r="B52" s="21">
        <v>21.133299999999998</v>
      </c>
      <c r="C52" s="21">
        <v>9.2965</v>
      </c>
    </row>
    <row r="53" spans="1:5" x14ac:dyDescent="0.55000000000000004">
      <c r="A53" s="1">
        <v>1947</v>
      </c>
      <c r="B53" s="21">
        <v>21.1</v>
      </c>
      <c r="C53" s="21">
        <v>9.1</v>
      </c>
    </row>
    <row r="54" spans="1:5" x14ac:dyDescent="0.55000000000000004">
      <c r="A54" s="1">
        <v>1948</v>
      </c>
      <c r="B54" s="21">
        <v>21.104900000000001</v>
      </c>
      <c r="C54" s="21">
        <v>8.9352</v>
      </c>
    </row>
    <row r="55" spans="1:5" x14ac:dyDescent="0.55000000000000004">
      <c r="A55" s="1">
        <v>1949</v>
      </c>
      <c r="B55" s="21">
        <v>21.1187</v>
      </c>
      <c r="C55" s="21">
        <v>8.7736000000000001</v>
      </c>
    </row>
    <row r="56" spans="1:5" x14ac:dyDescent="0.55000000000000004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</row>
    <row r="57" spans="1:5" x14ac:dyDescent="0.55000000000000004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</row>
    <row r="58" spans="1:5" x14ac:dyDescent="0.55000000000000004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</row>
    <row r="59" spans="1:5" x14ac:dyDescent="0.55000000000000004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</row>
    <row r="60" spans="1:5" x14ac:dyDescent="0.55000000000000004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</row>
    <row r="61" spans="1:5" x14ac:dyDescent="0.55000000000000004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</row>
    <row r="62" spans="1:5" x14ac:dyDescent="0.55000000000000004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</row>
    <row r="63" spans="1:5" x14ac:dyDescent="0.55000000000000004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</row>
    <row r="64" spans="1:5" x14ac:dyDescent="0.55000000000000004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</row>
    <row r="65" spans="1:5" x14ac:dyDescent="0.55000000000000004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</row>
    <row r="66" spans="1:5" x14ac:dyDescent="0.55000000000000004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</row>
    <row r="67" spans="1:5" x14ac:dyDescent="0.55000000000000004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</row>
    <row r="68" spans="1:5" x14ac:dyDescent="0.55000000000000004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</row>
    <row r="69" spans="1:5" x14ac:dyDescent="0.55000000000000004">
      <c r="A69" s="1">
        <f>A68+1</f>
        <v>1963</v>
      </c>
      <c r="D69" s="3">
        <v>21.8</v>
      </c>
      <c r="E69" s="3">
        <v>9.6999999999999993</v>
      </c>
    </row>
    <row r="70" spans="1:5" x14ac:dyDescent="0.55000000000000004">
      <c r="A70" s="1">
        <f t="shared" ref="A70:A129" si="0">A69+1</f>
        <v>1964</v>
      </c>
      <c r="D70" s="3">
        <v>21.5</v>
      </c>
      <c r="E70" s="3">
        <v>9.6999999999999993</v>
      </c>
    </row>
    <row r="71" spans="1:5" x14ac:dyDescent="0.55000000000000004">
      <c r="A71" s="1">
        <f t="shared" si="0"/>
        <v>1965</v>
      </c>
      <c r="D71" s="3">
        <v>21.2</v>
      </c>
      <c r="E71" s="3">
        <v>9.6999999999999993</v>
      </c>
    </row>
    <row r="72" spans="1:5" x14ac:dyDescent="0.55000000000000004">
      <c r="A72" s="1">
        <f t="shared" si="0"/>
        <v>1966</v>
      </c>
      <c r="D72" s="3">
        <v>20.9</v>
      </c>
      <c r="E72" s="3">
        <v>9.6999999999999993</v>
      </c>
    </row>
    <row r="73" spans="1:5" x14ac:dyDescent="0.55000000000000004">
      <c r="A73" s="1">
        <f t="shared" si="0"/>
        <v>1967</v>
      </c>
      <c r="D73" s="3">
        <v>20.5</v>
      </c>
      <c r="E73" s="3">
        <v>9.6999999999999993</v>
      </c>
    </row>
    <row r="74" spans="1:5" x14ac:dyDescent="0.55000000000000004">
      <c r="A74" s="1">
        <f t="shared" si="0"/>
        <v>1968</v>
      </c>
      <c r="D74" s="3">
        <v>20.2</v>
      </c>
      <c r="E74" s="3">
        <v>9.6999999999999993</v>
      </c>
    </row>
    <row r="75" spans="1:5" x14ac:dyDescent="0.55000000000000004">
      <c r="A75" s="1">
        <f t="shared" si="0"/>
        <v>1969</v>
      </c>
      <c r="D75" s="3">
        <v>20.100000000000001</v>
      </c>
      <c r="E75" s="3">
        <v>9.6999999999999993</v>
      </c>
    </row>
    <row r="76" spans="1:5" x14ac:dyDescent="0.55000000000000004">
      <c r="A76" s="1">
        <f t="shared" si="0"/>
        <v>1970</v>
      </c>
      <c r="D76" s="3">
        <v>20.100000000000001</v>
      </c>
      <c r="E76" s="3">
        <v>9.8000000000000007</v>
      </c>
    </row>
    <row r="77" spans="1:5" x14ac:dyDescent="0.55000000000000004">
      <c r="A77" s="1">
        <f t="shared" si="0"/>
        <v>1971</v>
      </c>
      <c r="D77" s="3">
        <v>20</v>
      </c>
      <c r="E77" s="3">
        <v>9.8000000000000007</v>
      </c>
    </row>
    <row r="78" spans="1:5" x14ac:dyDescent="0.55000000000000004">
      <c r="A78" s="1">
        <f t="shared" si="0"/>
        <v>1972</v>
      </c>
      <c r="D78" s="3">
        <v>20</v>
      </c>
      <c r="E78" s="3">
        <v>9.8000000000000007</v>
      </c>
    </row>
    <row r="79" spans="1:5" x14ac:dyDescent="0.55000000000000004">
      <c r="A79" s="1">
        <f t="shared" si="0"/>
        <v>1973</v>
      </c>
      <c r="D79" s="3">
        <v>20.399999999999999</v>
      </c>
      <c r="E79" s="3">
        <v>9.8000000000000007</v>
      </c>
    </row>
    <row r="80" spans="1:5" x14ac:dyDescent="0.55000000000000004">
      <c r="A80" s="1">
        <f t="shared" si="0"/>
        <v>1974</v>
      </c>
      <c r="D80" s="3">
        <v>21.1</v>
      </c>
      <c r="E80" s="3">
        <v>9.9</v>
      </c>
    </row>
    <row r="81" spans="1:5" x14ac:dyDescent="0.55000000000000004">
      <c r="A81" s="1">
        <f t="shared" si="0"/>
        <v>1975</v>
      </c>
      <c r="D81" s="3">
        <v>21.5</v>
      </c>
      <c r="E81" s="3">
        <v>9.9</v>
      </c>
    </row>
    <row r="82" spans="1:5" x14ac:dyDescent="0.55000000000000004">
      <c r="A82" s="1">
        <f t="shared" si="0"/>
        <v>1976</v>
      </c>
      <c r="D82" s="3">
        <v>21.4</v>
      </c>
      <c r="E82" s="3">
        <v>9.9</v>
      </c>
    </row>
    <row r="83" spans="1:5" x14ac:dyDescent="0.55000000000000004">
      <c r="A83" s="1">
        <f t="shared" si="0"/>
        <v>1977</v>
      </c>
      <c r="D83" s="3">
        <v>20.6</v>
      </c>
      <c r="E83" s="3">
        <v>9.9</v>
      </c>
    </row>
    <row r="84" spans="1:5" x14ac:dyDescent="0.55000000000000004">
      <c r="A84" s="1">
        <f t="shared" si="0"/>
        <v>1978</v>
      </c>
      <c r="D84" s="3">
        <v>20.100000000000001</v>
      </c>
      <c r="E84" s="3">
        <v>9.9</v>
      </c>
    </row>
    <row r="85" spans="1:5" x14ac:dyDescent="0.55000000000000004">
      <c r="A85" s="1">
        <f t="shared" si="0"/>
        <v>1979</v>
      </c>
      <c r="D85" s="3">
        <v>19.3</v>
      </c>
      <c r="E85" s="3">
        <v>10</v>
      </c>
    </row>
    <row r="86" spans="1:5" x14ac:dyDescent="0.55000000000000004">
      <c r="A86" s="1">
        <f t="shared" si="0"/>
        <v>1980</v>
      </c>
      <c r="D86" s="3">
        <v>18.5</v>
      </c>
      <c r="E86" s="3">
        <v>9.9</v>
      </c>
    </row>
    <row r="87" spans="1:5" x14ac:dyDescent="0.55000000000000004">
      <c r="A87" s="1">
        <f t="shared" si="0"/>
        <v>1981</v>
      </c>
      <c r="D87" s="3">
        <v>18.2</v>
      </c>
      <c r="E87" s="3">
        <v>9.6999999999999993</v>
      </c>
    </row>
    <row r="88" spans="1:5" x14ac:dyDescent="0.55000000000000004">
      <c r="A88" s="1">
        <f t="shared" si="0"/>
        <v>1982</v>
      </c>
      <c r="D88" s="3">
        <v>18</v>
      </c>
      <c r="E88" s="3">
        <v>9.6</v>
      </c>
    </row>
    <row r="89" spans="1:5" x14ac:dyDescent="0.55000000000000004">
      <c r="A89" s="1">
        <f t="shared" si="0"/>
        <v>1983</v>
      </c>
      <c r="D89" s="3">
        <v>17.899999999999999</v>
      </c>
      <c r="E89" s="3">
        <v>9.8000000000000007</v>
      </c>
    </row>
    <row r="90" spans="1:5" x14ac:dyDescent="0.55000000000000004">
      <c r="A90" s="1">
        <f t="shared" si="0"/>
        <v>1984</v>
      </c>
      <c r="D90" s="3">
        <v>17.8</v>
      </c>
      <c r="E90" s="3">
        <v>9.9</v>
      </c>
    </row>
    <row r="91" spans="1:5" x14ac:dyDescent="0.55000000000000004">
      <c r="A91" s="1">
        <f t="shared" si="0"/>
        <v>1985</v>
      </c>
      <c r="D91" s="3">
        <v>17.8</v>
      </c>
      <c r="E91" s="3">
        <v>9.8000000000000007</v>
      </c>
    </row>
    <row r="92" spans="1:5" x14ac:dyDescent="0.55000000000000004">
      <c r="A92" s="1">
        <f t="shared" si="0"/>
        <v>1986</v>
      </c>
      <c r="D92" s="3">
        <v>17.8</v>
      </c>
      <c r="E92" s="3">
        <v>9.6999999999999993</v>
      </c>
    </row>
    <row r="93" spans="1:5" x14ac:dyDescent="0.55000000000000004">
      <c r="A93" s="1">
        <f t="shared" si="0"/>
        <v>1987</v>
      </c>
      <c r="D93" s="3">
        <v>17.899999999999999</v>
      </c>
      <c r="E93" s="3">
        <v>9.9</v>
      </c>
    </row>
    <row r="94" spans="1:5" x14ac:dyDescent="0.55000000000000004">
      <c r="A94" s="1">
        <f t="shared" si="0"/>
        <v>1988</v>
      </c>
      <c r="D94" s="3">
        <v>18.100000000000001</v>
      </c>
      <c r="E94" s="3">
        <v>9.9</v>
      </c>
    </row>
    <row r="95" spans="1:5" x14ac:dyDescent="0.55000000000000004">
      <c r="A95" s="1">
        <f t="shared" si="0"/>
        <v>1989</v>
      </c>
      <c r="D95" s="3">
        <v>18.100000000000001</v>
      </c>
      <c r="E95" s="3">
        <v>9.9</v>
      </c>
    </row>
    <row r="96" spans="1:5" x14ac:dyDescent="0.55000000000000004">
      <c r="A96" s="1">
        <f t="shared" si="0"/>
        <v>1990</v>
      </c>
      <c r="D96" s="3">
        <v>17.899999999999999</v>
      </c>
      <c r="E96" s="3">
        <v>9.6999999999999993</v>
      </c>
    </row>
    <row r="97" spans="1:5" x14ac:dyDescent="0.55000000000000004">
      <c r="A97" s="1">
        <f t="shared" si="0"/>
        <v>1991</v>
      </c>
      <c r="D97" s="3">
        <v>17.8</v>
      </c>
      <c r="E97" s="3">
        <v>9.6999999999999993</v>
      </c>
    </row>
    <row r="98" spans="1:5" x14ac:dyDescent="0.55000000000000004">
      <c r="A98" s="1">
        <f t="shared" si="0"/>
        <v>1992</v>
      </c>
      <c r="D98" s="3">
        <v>17.7</v>
      </c>
      <c r="E98" s="3">
        <v>9.8000000000000007</v>
      </c>
    </row>
    <row r="99" spans="1:5" x14ac:dyDescent="0.55000000000000004">
      <c r="A99" s="1">
        <f t="shared" si="0"/>
        <v>1993</v>
      </c>
      <c r="D99" s="3">
        <v>17.600000000000001</v>
      </c>
      <c r="E99" s="3">
        <v>9.9</v>
      </c>
    </row>
    <row r="100" spans="1:5" x14ac:dyDescent="0.55000000000000004">
      <c r="A100" s="1">
        <f t="shared" si="0"/>
        <v>1994</v>
      </c>
      <c r="D100" s="3">
        <v>17.7</v>
      </c>
      <c r="E100" s="3">
        <v>10</v>
      </c>
    </row>
    <row r="101" spans="1:5" x14ac:dyDescent="0.55000000000000004">
      <c r="A101" s="1">
        <f t="shared" si="0"/>
        <v>1995</v>
      </c>
      <c r="D101" s="3">
        <v>17.600000000000001</v>
      </c>
      <c r="E101" s="3">
        <v>9.8000000000000007</v>
      </c>
    </row>
    <row r="102" spans="1:5" x14ac:dyDescent="0.55000000000000004">
      <c r="A102" s="1">
        <f t="shared" si="0"/>
        <v>1996</v>
      </c>
      <c r="D102" s="3">
        <v>17.3</v>
      </c>
      <c r="E102" s="3">
        <v>9.6</v>
      </c>
    </row>
    <row r="103" spans="1:5" x14ac:dyDescent="0.55000000000000004">
      <c r="A103" s="1">
        <f t="shared" si="0"/>
        <v>1997</v>
      </c>
      <c r="D103" s="3">
        <v>17</v>
      </c>
      <c r="E103" s="3">
        <v>9.6999999999999993</v>
      </c>
    </row>
    <row r="104" spans="1:5" x14ac:dyDescent="0.55000000000000004">
      <c r="A104" s="1">
        <f t="shared" si="0"/>
        <v>1998</v>
      </c>
      <c r="D104" s="3">
        <v>16.600000000000001</v>
      </c>
      <c r="E104" s="3">
        <v>9.6999999999999993</v>
      </c>
    </row>
    <row r="105" spans="1:5" x14ac:dyDescent="0.55000000000000004">
      <c r="A105" s="1">
        <f t="shared" si="0"/>
        <v>1999</v>
      </c>
      <c r="D105" s="3">
        <v>16.399999999999999</v>
      </c>
      <c r="E105" s="3">
        <v>9.6999999999999993</v>
      </c>
    </row>
    <row r="106" spans="1:5" x14ac:dyDescent="0.55000000000000004">
      <c r="A106" s="1">
        <f t="shared" si="0"/>
        <v>2000</v>
      </c>
      <c r="D106" s="3">
        <v>16</v>
      </c>
      <c r="E106" s="3">
        <v>9.5</v>
      </c>
    </row>
    <row r="107" spans="1:5" x14ac:dyDescent="0.55000000000000004">
      <c r="A107" s="1">
        <f t="shared" si="0"/>
        <v>2001</v>
      </c>
      <c r="D107" s="3">
        <v>15.7</v>
      </c>
      <c r="E107" s="3">
        <v>9.4</v>
      </c>
    </row>
    <row r="108" spans="1:5" x14ac:dyDescent="0.55000000000000004">
      <c r="A108" s="1">
        <f t="shared" si="0"/>
        <v>2002</v>
      </c>
      <c r="D108" s="3">
        <v>15.6</v>
      </c>
      <c r="E108" s="3">
        <v>9.5</v>
      </c>
    </row>
    <row r="109" spans="1:5" x14ac:dyDescent="0.55000000000000004">
      <c r="A109" s="1">
        <f t="shared" si="0"/>
        <v>2003</v>
      </c>
      <c r="D109" s="3">
        <v>15.3</v>
      </c>
      <c r="E109" s="3">
        <v>9.6</v>
      </c>
    </row>
    <row r="110" spans="1:5" x14ac:dyDescent="0.55000000000000004">
      <c r="A110" s="1">
        <f t="shared" si="0"/>
        <v>2004</v>
      </c>
      <c r="D110" s="3">
        <v>15.1</v>
      </c>
      <c r="E110" s="3">
        <v>9.6</v>
      </c>
    </row>
    <row r="111" spans="1:5" x14ac:dyDescent="0.55000000000000004">
      <c r="A111" s="1">
        <f t="shared" si="0"/>
        <v>2005</v>
      </c>
      <c r="D111" s="3">
        <v>15.1</v>
      </c>
      <c r="E111" s="3">
        <v>9.3000000000000007</v>
      </c>
    </row>
    <row r="112" spans="1:5" x14ac:dyDescent="0.55000000000000004">
      <c r="A112" s="1">
        <f t="shared" si="0"/>
        <v>2006</v>
      </c>
      <c r="D112" s="3">
        <v>14.8</v>
      </c>
      <c r="E112" s="3">
        <v>9.4</v>
      </c>
    </row>
    <row r="113" spans="1:5" x14ac:dyDescent="0.55000000000000004">
      <c r="A113" s="1">
        <f t="shared" si="0"/>
        <v>2007</v>
      </c>
      <c r="D113" s="3">
        <v>14.6</v>
      </c>
      <c r="E113" s="3">
        <v>9.3000000000000007</v>
      </c>
    </row>
    <row r="114" spans="1:5" x14ac:dyDescent="0.55000000000000004">
      <c r="A114" s="1">
        <f t="shared" si="0"/>
        <v>2008</v>
      </c>
      <c r="D114" s="3">
        <v>14.4</v>
      </c>
      <c r="E114" s="3">
        <v>9.4</v>
      </c>
    </row>
    <row r="115" spans="1:5" x14ac:dyDescent="0.55000000000000004">
      <c r="A115" s="1">
        <f t="shared" si="0"/>
        <v>2009</v>
      </c>
      <c r="D115" s="3">
        <v>14.3</v>
      </c>
      <c r="E115" s="3">
        <v>9.1999999999999993</v>
      </c>
    </row>
    <row r="116" spans="1:5" x14ac:dyDescent="0.55000000000000004">
      <c r="A116" s="1">
        <f t="shared" si="0"/>
        <v>2010</v>
      </c>
      <c r="D116" s="3">
        <v>14.2</v>
      </c>
      <c r="E116" s="3">
        <v>9.4</v>
      </c>
    </row>
    <row r="117" spans="1:5" x14ac:dyDescent="0.55000000000000004">
      <c r="A117" s="1">
        <f t="shared" si="0"/>
        <v>2011</v>
      </c>
      <c r="D117" s="3">
        <v>14.1</v>
      </c>
      <c r="E117" s="3">
        <v>9.6</v>
      </c>
    </row>
    <row r="118" spans="1:5" x14ac:dyDescent="0.55000000000000004">
      <c r="A118" s="1">
        <f t="shared" si="0"/>
        <v>2012</v>
      </c>
      <c r="D118" s="3">
        <v>14.2</v>
      </c>
      <c r="E118" s="3">
        <v>9.6</v>
      </c>
    </row>
    <row r="119" spans="1:5" x14ac:dyDescent="0.55000000000000004">
      <c r="A119" s="1">
        <f t="shared" si="0"/>
        <v>2013</v>
      </c>
      <c r="D119" s="3">
        <v>14.3</v>
      </c>
      <c r="E119" s="3">
        <v>9.5</v>
      </c>
    </row>
    <row r="120" spans="1:5" x14ac:dyDescent="0.55000000000000004">
      <c r="A120" s="1">
        <f t="shared" si="0"/>
        <v>2014</v>
      </c>
      <c r="D120" s="3">
        <v>14.2</v>
      </c>
      <c r="E120" s="3">
        <v>9.4</v>
      </c>
    </row>
    <row r="121" spans="1:5" x14ac:dyDescent="0.55000000000000004">
      <c r="A121" s="1">
        <f t="shared" si="0"/>
        <v>2015</v>
      </c>
      <c r="D121" s="3">
        <v>14.3</v>
      </c>
      <c r="E121" s="3">
        <v>9.5</v>
      </c>
    </row>
    <row r="122" spans="1:5" x14ac:dyDescent="0.55000000000000004">
      <c r="A122" s="1">
        <f t="shared" si="0"/>
        <v>2016</v>
      </c>
      <c r="D122" s="3">
        <v>13.7</v>
      </c>
      <c r="E122" s="3">
        <v>9.6</v>
      </c>
    </row>
    <row r="123" spans="1:5" x14ac:dyDescent="0.55000000000000004">
      <c r="A123" s="1">
        <f t="shared" si="0"/>
        <v>2017</v>
      </c>
      <c r="D123" s="3">
        <v>12.7</v>
      </c>
      <c r="E123" s="3">
        <v>9.5</v>
      </c>
    </row>
    <row r="124" spans="1:5" x14ac:dyDescent="0.55000000000000004">
      <c r="A124" s="1">
        <f t="shared" si="0"/>
        <v>2018</v>
      </c>
      <c r="D124" s="3">
        <v>11.7</v>
      </c>
      <c r="E124" s="3">
        <v>9.5</v>
      </c>
    </row>
    <row r="125" spans="1:5" x14ac:dyDescent="0.55000000000000004">
      <c r="A125" s="1">
        <f t="shared" si="0"/>
        <v>2019</v>
      </c>
      <c r="D125" s="3">
        <v>10.9</v>
      </c>
      <c r="E125" s="3">
        <v>9.8000000000000007</v>
      </c>
    </row>
    <row r="126" spans="1:5" x14ac:dyDescent="0.55000000000000004">
      <c r="A126" s="1">
        <f t="shared" si="0"/>
        <v>2020</v>
      </c>
      <c r="D126" s="3">
        <v>10.4</v>
      </c>
      <c r="E126" s="3">
        <v>9.1999999999999993</v>
      </c>
    </row>
    <row r="127" spans="1:5" x14ac:dyDescent="0.55000000000000004">
      <c r="A127" s="1">
        <f t="shared" si="0"/>
        <v>2021</v>
      </c>
      <c r="D127" s="3">
        <v>10.1</v>
      </c>
      <c r="E127" s="3">
        <v>11.7</v>
      </c>
    </row>
    <row r="128" spans="1:5" x14ac:dyDescent="0.55000000000000004">
      <c r="A128" s="1">
        <f t="shared" si="0"/>
        <v>2022</v>
      </c>
      <c r="D128" s="3">
        <v>10</v>
      </c>
      <c r="E128" s="3">
        <v>10.8</v>
      </c>
    </row>
    <row r="129" spans="1:5" x14ac:dyDescent="0.55000000000000004">
      <c r="A129" s="1">
        <f t="shared" si="0"/>
        <v>2023</v>
      </c>
      <c r="D129" s="3">
        <v>9.9</v>
      </c>
      <c r="E129" s="3">
        <v>9.8000000000000007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sqref="A1:D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55000000000000004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55000000000000004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55000000000000004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55000000000000004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55000000000000004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55000000000000004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55000000000000004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55000000000000004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55000000000000004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55000000000000004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55000000000000004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55000000000000004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55000000000000004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55000000000000004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55000000000000004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55000000000000004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55000000000000004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55000000000000004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55000000000000004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55000000000000004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55000000000000004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55000000000000004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55000000000000004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55000000000000004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55000000000000004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55000000000000004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55000000000000004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55000000000000004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55000000000000004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55000000000000004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55000000000000004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55000000000000004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55000000000000004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55000000000000004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55000000000000004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55000000000000004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55000000000000004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55000000000000004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55000000000000004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55000000000000004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55000000000000004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55000000000000004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55000000000000004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55000000000000004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55000000000000004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55000000000000004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55000000000000004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55000000000000004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55000000000000004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55000000000000004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55000000000000004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55000000000000004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55000000000000004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55000000000000004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55000000000000004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55000000000000004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55000000000000004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55000000000000004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55000000000000004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55000000000000004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55000000000000004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55000000000000004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55000000000000004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55000000000000004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55000000000000004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55000000000000004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55000000000000004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55000000000000004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55000000000000004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55000000000000004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55000000000000004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55000000000000004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55000000000000004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55000000000000004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55000000000000004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55000000000000004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55000000000000004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55000000000000004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55000000000000004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55000000000000004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55000000000000004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55000000000000004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55000000000000004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55000000000000004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55000000000000004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55000000000000004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55000000000000004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55000000000000004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55000000000000004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55000000000000004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55000000000000004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55000000000000004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55000000000000004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55000000000000004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55000000000000004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55000000000000004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55000000000000004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55000000000000004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55000000000000004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55000000000000004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55000000000000004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55000000000000004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55000000000000004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55000000000000004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55000000000000004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55000000000000004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55000000000000004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55000000000000004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55000000000000004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55000000000000004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55000000000000004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55000000000000004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55000000000000004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55000000000000004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55000000000000004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55000000000000004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55000000000000004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55000000000000004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55000000000000004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55000000000000004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55000000000000004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55000000000000004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55000000000000004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55000000000000004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55000000000000004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55000000000000004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55000000000000004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55000000000000004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4.4" x14ac:dyDescent="0.55000000000000004"/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55000000000000004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55000000000000004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55000000000000004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55000000000000004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55000000000000004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55000000000000004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55000000000000004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55000000000000004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55000000000000004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55000000000000004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55000000000000004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55000000000000004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55000000000000004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55000000000000004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55000000000000004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55000000000000004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55000000000000004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55000000000000004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55000000000000004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55000000000000004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55000000000000004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55000000000000004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55000000000000004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55000000000000004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55000000000000004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55000000000000004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55000000000000004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55000000000000004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55000000000000004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55000000000000004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55000000000000004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55000000000000004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55000000000000004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55000000000000004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55000000000000004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55000000000000004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55000000000000004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55000000000000004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55000000000000004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55000000000000004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55000000000000004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55000000000000004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55000000000000004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55000000000000004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55000000000000004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55000000000000004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55000000000000004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55000000000000004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55000000000000004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55000000000000004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55000000000000004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55000000000000004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55000000000000004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55000000000000004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55000000000000004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55000000000000004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55000000000000004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55000000000000004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55000000000000004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55000000000000004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55000000000000004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55000000000000004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55000000000000004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55000000000000004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55000000000000004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55000000000000004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55000000000000004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55000000000000004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55000000000000004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55000000000000004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55000000000000004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55000000000000004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55000000000000004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55000000000000004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55000000000000004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55000000000000004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55000000000000004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55000000000000004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55000000000000004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55000000000000004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55000000000000004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55000000000000004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55000000000000004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55000000000000004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55000000000000004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55000000000000004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55000000000000004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55000000000000004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55000000000000004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55000000000000004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55000000000000004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55000000000000004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55000000000000004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55000000000000004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55000000000000004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55000000000000004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55000000000000004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55000000000000004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55000000000000004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55000000000000004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55000000000000004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55000000000000004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55000000000000004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55000000000000004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55000000000000004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55000000000000004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55000000000000004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55000000000000004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55000000000000004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E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I46" sqref="AI46"/>
    </sheetView>
  </sheetViews>
  <sheetFormatPr defaultRowHeight="14.4" x14ac:dyDescent="0.55000000000000004"/>
  <sheetData>
    <row r="1" spans="1:5" x14ac:dyDescent="0.55000000000000004">
      <c r="B1" s="24" t="s">
        <v>115</v>
      </c>
      <c r="C1" s="24"/>
      <c r="D1" s="24" t="s">
        <v>75</v>
      </c>
      <c r="E1" s="24"/>
    </row>
    <row r="2" spans="1:5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</row>
    <row r="3" spans="1:5" x14ac:dyDescent="0.55000000000000004">
      <c r="A3" s="1">
        <v>1852</v>
      </c>
      <c r="B3" s="21">
        <v>44.6</v>
      </c>
      <c r="C3" s="21">
        <v>35</v>
      </c>
    </row>
    <row r="4" spans="1:5" x14ac:dyDescent="0.55000000000000004">
      <c r="A4" s="1">
        <v>1853</v>
      </c>
      <c r="B4" s="21">
        <v>45.458399999999997</v>
      </c>
      <c r="C4" s="21">
        <v>34.944099999999999</v>
      </c>
    </row>
    <row r="5" spans="1:5" x14ac:dyDescent="0.55000000000000004">
      <c r="A5" s="1">
        <v>1854</v>
      </c>
      <c r="B5" s="21">
        <v>46.247199999999999</v>
      </c>
      <c r="C5" s="21">
        <v>34.8872</v>
      </c>
    </row>
    <row r="6" spans="1:5" x14ac:dyDescent="0.55000000000000004">
      <c r="A6" s="1">
        <v>1855</v>
      </c>
      <c r="B6" s="21">
        <v>46.896799999999999</v>
      </c>
      <c r="C6" s="21">
        <v>34.828200000000002</v>
      </c>
    </row>
    <row r="7" spans="1:5" x14ac:dyDescent="0.55000000000000004">
      <c r="A7" s="1">
        <v>1856</v>
      </c>
      <c r="B7" s="21">
        <v>47.337600000000002</v>
      </c>
      <c r="C7" s="21">
        <v>34.766199999999998</v>
      </c>
    </row>
    <row r="8" spans="1:5" x14ac:dyDescent="0.55000000000000004">
      <c r="A8" s="1">
        <v>1857</v>
      </c>
      <c r="B8" s="21">
        <v>47.5</v>
      </c>
      <c r="C8" s="21">
        <v>34.700000000000003</v>
      </c>
    </row>
    <row r="9" spans="1:5" x14ac:dyDescent="0.55000000000000004">
      <c r="A9" s="1">
        <v>1858</v>
      </c>
      <c r="B9" s="21">
        <v>47.458300000000001</v>
      </c>
      <c r="C9" s="21">
        <v>34.6145</v>
      </c>
    </row>
    <row r="10" spans="1:5" x14ac:dyDescent="0.55000000000000004">
      <c r="A10" s="1">
        <v>1859</v>
      </c>
      <c r="B10" s="21">
        <v>47.3508</v>
      </c>
      <c r="C10" s="21">
        <v>34.509799999999998</v>
      </c>
    </row>
    <row r="11" spans="1:5" x14ac:dyDescent="0.55000000000000004">
      <c r="A11" s="1">
        <v>1860</v>
      </c>
      <c r="B11" s="21">
        <v>47.2042</v>
      </c>
      <c r="C11" s="21">
        <v>34.407899999999998</v>
      </c>
    </row>
    <row r="12" spans="1:5" x14ac:dyDescent="0.55000000000000004">
      <c r="A12" s="1">
        <v>1861</v>
      </c>
      <c r="B12" s="21">
        <v>47.045099999999998</v>
      </c>
      <c r="C12" s="21">
        <v>34.330599999999997</v>
      </c>
    </row>
    <row r="13" spans="1:5" x14ac:dyDescent="0.55000000000000004">
      <c r="A13" s="1">
        <v>1862</v>
      </c>
      <c r="B13" s="21">
        <v>46.9</v>
      </c>
      <c r="C13" s="21">
        <v>34.299999999999997</v>
      </c>
    </row>
    <row r="14" spans="1:5" x14ac:dyDescent="0.55000000000000004">
      <c r="A14" s="1">
        <v>1863</v>
      </c>
      <c r="B14" s="21">
        <v>46.744500000000002</v>
      </c>
      <c r="C14" s="21">
        <v>34.320799999999998</v>
      </c>
    </row>
    <row r="15" spans="1:5" x14ac:dyDescent="0.55000000000000004">
      <c r="A15" s="1">
        <v>1864</v>
      </c>
      <c r="B15" s="21">
        <v>46.560600000000001</v>
      </c>
      <c r="C15" s="21">
        <v>34.370399999999997</v>
      </c>
    </row>
    <row r="16" spans="1:5" x14ac:dyDescent="0.55000000000000004">
      <c r="A16" s="1">
        <v>1865</v>
      </c>
      <c r="B16" s="21">
        <v>46.384399999999999</v>
      </c>
      <c r="C16" s="21">
        <v>34.429600000000001</v>
      </c>
    </row>
    <row r="17" spans="1:3" x14ac:dyDescent="0.55000000000000004">
      <c r="A17" s="1">
        <v>1866</v>
      </c>
      <c r="B17" s="21">
        <v>46.252099999999999</v>
      </c>
      <c r="C17" s="21">
        <v>34.479199999999999</v>
      </c>
    </row>
    <row r="18" spans="1:3" x14ac:dyDescent="0.55000000000000004">
      <c r="A18" s="1">
        <v>1867</v>
      </c>
      <c r="B18" s="21">
        <v>46.2</v>
      </c>
      <c r="C18" s="21">
        <v>34.5</v>
      </c>
    </row>
    <row r="19" spans="1:3" x14ac:dyDescent="0.55000000000000004">
      <c r="A19" s="1">
        <v>1868</v>
      </c>
      <c r="B19" s="21">
        <v>46.3352</v>
      </c>
      <c r="C19" s="21">
        <v>34.46</v>
      </c>
    </row>
    <row r="20" spans="1:3" x14ac:dyDescent="0.55000000000000004">
      <c r="A20" s="1">
        <v>1869</v>
      </c>
      <c r="B20" s="21">
        <v>46.657600000000002</v>
      </c>
      <c r="C20" s="21">
        <v>34.36</v>
      </c>
    </row>
    <row r="21" spans="1:3" x14ac:dyDescent="0.55000000000000004">
      <c r="A21" s="1">
        <v>1870</v>
      </c>
      <c r="B21" s="21">
        <v>47.042400000000001</v>
      </c>
      <c r="C21" s="21">
        <v>34.229999999999997</v>
      </c>
    </row>
    <row r="22" spans="1:3" x14ac:dyDescent="0.55000000000000004">
      <c r="A22" s="1">
        <v>1871</v>
      </c>
      <c r="B22" s="21">
        <v>47.364800000000002</v>
      </c>
      <c r="C22" s="21">
        <v>34.1</v>
      </c>
    </row>
    <row r="23" spans="1:3" x14ac:dyDescent="0.55000000000000004">
      <c r="A23" s="1">
        <v>1872</v>
      </c>
      <c r="B23" s="21">
        <v>47.5</v>
      </c>
      <c r="C23" s="21">
        <v>34</v>
      </c>
    </row>
    <row r="24" spans="1:3" x14ac:dyDescent="0.55000000000000004">
      <c r="A24" s="1">
        <v>1873</v>
      </c>
      <c r="B24" s="21">
        <v>47.229599999999998</v>
      </c>
      <c r="C24" s="21">
        <v>33.9208</v>
      </c>
    </row>
    <row r="25" spans="1:3" x14ac:dyDescent="0.55000000000000004">
      <c r="A25" s="1">
        <v>1874</v>
      </c>
      <c r="B25" s="21">
        <v>46.584800000000001</v>
      </c>
      <c r="C25" s="21">
        <v>33.840400000000002</v>
      </c>
    </row>
    <row r="26" spans="1:3" x14ac:dyDescent="0.55000000000000004">
      <c r="A26" s="1">
        <v>1875</v>
      </c>
      <c r="B26" s="21">
        <v>45.815199999999997</v>
      </c>
      <c r="C26" s="21">
        <v>33.769599999999997</v>
      </c>
    </row>
    <row r="27" spans="1:3" x14ac:dyDescent="0.55000000000000004">
      <c r="A27" s="1">
        <v>1876</v>
      </c>
      <c r="B27" s="21">
        <v>45.170400000000001</v>
      </c>
      <c r="C27" s="21">
        <v>33.719200000000001</v>
      </c>
    </row>
    <row r="28" spans="1:3" x14ac:dyDescent="0.55000000000000004">
      <c r="A28" s="1">
        <v>1877</v>
      </c>
      <c r="B28" s="21">
        <v>44.9</v>
      </c>
      <c r="C28" s="21">
        <v>33.700000000000003</v>
      </c>
    </row>
    <row r="29" spans="1:3" x14ac:dyDescent="0.55000000000000004">
      <c r="A29" s="1">
        <v>1878</v>
      </c>
      <c r="B29" s="21">
        <v>45.2224</v>
      </c>
      <c r="C29" s="21">
        <v>33.720799999999997</v>
      </c>
    </row>
    <row r="30" spans="1:3" x14ac:dyDescent="0.55000000000000004">
      <c r="A30" s="1">
        <v>1879</v>
      </c>
      <c r="B30" s="21">
        <v>45.991199999999999</v>
      </c>
      <c r="C30" s="21">
        <v>33.770400000000002</v>
      </c>
    </row>
    <row r="31" spans="1:3" x14ac:dyDescent="0.55000000000000004">
      <c r="A31" s="1">
        <v>1880</v>
      </c>
      <c r="B31" s="21">
        <v>46.908799999999999</v>
      </c>
      <c r="C31" s="21">
        <v>33.829599999999999</v>
      </c>
    </row>
    <row r="32" spans="1:3" x14ac:dyDescent="0.55000000000000004">
      <c r="A32" s="1">
        <v>1881</v>
      </c>
      <c r="B32" s="21">
        <v>47.677599999999998</v>
      </c>
      <c r="C32" s="21">
        <v>33.879199999999997</v>
      </c>
    </row>
    <row r="33" spans="1:3" x14ac:dyDescent="0.55000000000000004">
      <c r="A33" s="1">
        <v>1882</v>
      </c>
      <c r="B33" s="21">
        <v>48</v>
      </c>
      <c r="C33" s="21">
        <v>33.9</v>
      </c>
    </row>
    <row r="34" spans="1:3" x14ac:dyDescent="0.55000000000000004">
      <c r="A34" s="1">
        <v>1883</v>
      </c>
      <c r="B34" s="21">
        <v>47.884300000000003</v>
      </c>
      <c r="C34" s="21">
        <v>33.8568</v>
      </c>
    </row>
    <row r="35" spans="1:3" x14ac:dyDescent="0.55000000000000004">
      <c r="A35" s="1">
        <v>1884</v>
      </c>
      <c r="B35" s="21">
        <v>47.596800000000002</v>
      </c>
      <c r="C35" s="21">
        <v>33.746400000000001</v>
      </c>
    </row>
    <row r="36" spans="1:3" x14ac:dyDescent="0.55000000000000004">
      <c r="A36" s="1">
        <v>1885</v>
      </c>
      <c r="B36" s="21">
        <v>47.227200000000003</v>
      </c>
      <c r="C36" s="21">
        <v>33.5976</v>
      </c>
    </row>
    <row r="37" spans="1:3" x14ac:dyDescent="0.55000000000000004">
      <c r="A37" s="1">
        <v>1886</v>
      </c>
      <c r="B37" s="21">
        <v>46.865099999999998</v>
      </c>
      <c r="C37" s="21">
        <v>33.4392</v>
      </c>
    </row>
    <row r="38" spans="1:3" x14ac:dyDescent="0.55000000000000004">
      <c r="A38" s="1">
        <v>1887</v>
      </c>
      <c r="B38" s="21">
        <v>46.6</v>
      </c>
      <c r="C38" s="21">
        <v>33.299999999999997</v>
      </c>
    </row>
    <row r="39" spans="1:3" x14ac:dyDescent="0.55000000000000004">
      <c r="A39" s="1">
        <v>1888</v>
      </c>
      <c r="B39" s="21">
        <v>46.432899999999997</v>
      </c>
      <c r="C39" s="21">
        <v>33.191499999999998</v>
      </c>
    </row>
    <row r="40" spans="1:3" x14ac:dyDescent="0.55000000000000004">
      <c r="A40" s="1">
        <v>1889</v>
      </c>
      <c r="B40" s="21">
        <v>46.294800000000002</v>
      </c>
      <c r="C40" s="21">
        <v>33.0946</v>
      </c>
    </row>
    <row r="41" spans="1:3" x14ac:dyDescent="0.55000000000000004">
      <c r="A41" s="1">
        <v>1890</v>
      </c>
      <c r="B41" s="21">
        <v>46.170200000000001</v>
      </c>
      <c r="C41" s="21">
        <v>32.991799999999998</v>
      </c>
    </row>
    <row r="42" spans="1:3" x14ac:dyDescent="0.55000000000000004">
      <c r="A42" s="1">
        <v>1891</v>
      </c>
      <c r="B42" s="21">
        <v>46.043700000000001</v>
      </c>
      <c r="C42" s="21">
        <v>32.866100000000003</v>
      </c>
    </row>
    <row r="43" spans="1:3" x14ac:dyDescent="0.55000000000000004">
      <c r="A43" s="1">
        <v>1892</v>
      </c>
      <c r="B43" s="21">
        <v>45.9</v>
      </c>
      <c r="C43" s="21">
        <v>32.700000000000003</v>
      </c>
    </row>
    <row r="44" spans="1:3" x14ac:dyDescent="0.55000000000000004">
      <c r="A44" s="1">
        <v>1893</v>
      </c>
      <c r="B44" s="21">
        <v>45.72</v>
      </c>
      <c r="C44" s="21">
        <v>32.327500000000001</v>
      </c>
    </row>
    <row r="45" spans="1:3" x14ac:dyDescent="0.55000000000000004">
      <c r="A45" s="1">
        <v>1894</v>
      </c>
      <c r="B45" s="21">
        <v>45.512999999999998</v>
      </c>
      <c r="C45" s="21">
        <v>31.716999999999999</v>
      </c>
    </row>
    <row r="46" spans="1:3" x14ac:dyDescent="0.55000000000000004">
      <c r="A46" s="1">
        <v>1895</v>
      </c>
      <c r="B46" s="21">
        <v>45.305999999999997</v>
      </c>
      <c r="C46" s="21">
        <v>31.052600000000002</v>
      </c>
    </row>
    <row r="47" spans="1:3" x14ac:dyDescent="0.55000000000000004">
      <c r="A47" s="1">
        <v>1896</v>
      </c>
      <c r="B47" s="21">
        <v>45.125999999999998</v>
      </c>
      <c r="C47" s="21">
        <v>30.518899999999999</v>
      </c>
    </row>
    <row r="48" spans="1:3" x14ac:dyDescent="0.55000000000000004">
      <c r="A48" s="1">
        <v>1897</v>
      </c>
      <c r="B48" s="21">
        <v>45</v>
      </c>
      <c r="C48" s="21">
        <v>30.3</v>
      </c>
    </row>
    <row r="49" spans="1:3" x14ac:dyDescent="0.55000000000000004">
      <c r="A49" s="1">
        <v>1898</v>
      </c>
      <c r="B49" s="21">
        <v>44.915999999999997</v>
      </c>
      <c r="C49" s="21">
        <v>30.389299999999999</v>
      </c>
    </row>
    <row r="50" spans="1:3" x14ac:dyDescent="0.55000000000000004">
      <c r="A50" s="1">
        <v>1899</v>
      </c>
      <c r="B50" s="21">
        <v>44.844000000000001</v>
      </c>
      <c r="C50" s="21">
        <v>30.619900000000001</v>
      </c>
    </row>
    <row r="51" spans="1:3" x14ac:dyDescent="0.55000000000000004">
      <c r="A51" s="1">
        <v>1900</v>
      </c>
      <c r="B51" s="21">
        <v>44.783999999999999</v>
      </c>
      <c r="C51" s="21">
        <v>30.9358</v>
      </c>
    </row>
    <row r="52" spans="1:3" x14ac:dyDescent="0.55000000000000004">
      <c r="A52" s="1">
        <v>1901</v>
      </c>
      <c r="B52" s="21">
        <v>44.735999999999997</v>
      </c>
      <c r="C52" s="21">
        <v>31.281199999999998</v>
      </c>
    </row>
    <row r="53" spans="1:3" x14ac:dyDescent="0.55000000000000004">
      <c r="A53" s="1">
        <v>1902</v>
      </c>
      <c r="B53" s="21">
        <v>44.7</v>
      </c>
      <c r="C53" s="21">
        <v>31.6</v>
      </c>
    </row>
    <row r="54" spans="1:3" x14ac:dyDescent="0.55000000000000004">
      <c r="A54" s="1">
        <v>1903</v>
      </c>
      <c r="B54" s="21">
        <v>44.674700000000001</v>
      </c>
      <c r="C54" s="21">
        <v>31.95</v>
      </c>
    </row>
    <row r="55" spans="1:3" x14ac:dyDescent="0.55000000000000004">
      <c r="A55" s="1">
        <v>1904</v>
      </c>
      <c r="B55" s="21">
        <v>44.655999999999999</v>
      </c>
      <c r="C55" s="21">
        <v>32.369799999999998</v>
      </c>
    </row>
    <row r="56" spans="1:3" x14ac:dyDescent="0.55000000000000004">
      <c r="A56" s="1">
        <v>1905</v>
      </c>
      <c r="B56" s="21">
        <v>44.64</v>
      </c>
      <c r="C56" s="21">
        <v>32.774500000000003</v>
      </c>
    </row>
    <row r="57" spans="1:3" x14ac:dyDescent="0.55000000000000004">
      <c r="A57" s="1">
        <v>1906</v>
      </c>
      <c r="B57" s="21">
        <v>44.622700000000002</v>
      </c>
      <c r="C57" s="21">
        <v>33.079500000000003</v>
      </c>
    </row>
    <row r="58" spans="1:3" x14ac:dyDescent="0.55000000000000004">
      <c r="A58" s="1">
        <v>1907</v>
      </c>
      <c r="B58" s="21">
        <v>44.6</v>
      </c>
      <c r="C58" s="21">
        <v>33.200000000000003</v>
      </c>
    </row>
    <row r="59" spans="1:3" x14ac:dyDescent="0.55000000000000004">
      <c r="A59" s="1">
        <v>1908</v>
      </c>
      <c r="B59" s="21">
        <v>44.573</v>
      </c>
      <c r="C59" s="21">
        <v>33.047899999999998</v>
      </c>
    </row>
    <row r="60" spans="1:3" x14ac:dyDescent="0.55000000000000004">
      <c r="A60" s="1">
        <v>1909</v>
      </c>
      <c r="B60" s="21">
        <v>44.542900000000003</v>
      </c>
      <c r="C60" s="21">
        <v>32.675800000000002</v>
      </c>
    </row>
    <row r="61" spans="1:3" x14ac:dyDescent="0.55000000000000004">
      <c r="A61" s="1">
        <v>1910</v>
      </c>
      <c r="B61" s="21">
        <v>44.506300000000003</v>
      </c>
      <c r="C61" s="21">
        <v>32.209699999999998</v>
      </c>
    </row>
    <row r="62" spans="1:3" x14ac:dyDescent="0.55000000000000004">
      <c r="A62" s="1">
        <v>1911</v>
      </c>
      <c r="B62" s="21">
        <v>44.459899999999998</v>
      </c>
      <c r="C62" s="21">
        <v>31.775700000000001</v>
      </c>
    </row>
    <row r="63" spans="1:3" x14ac:dyDescent="0.55000000000000004">
      <c r="A63" s="1">
        <v>1912</v>
      </c>
      <c r="B63" s="21">
        <v>44.4</v>
      </c>
      <c r="C63" s="21">
        <v>31.5</v>
      </c>
    </row>
    <row r="64" spans="1:3" x14ac:dyDescent="0.55000000000000004">
      <c r="A64" s="1">
        <v>1913</v>
      </c>
      <c r="B64" s="21">
        <v>44.277500000000003</v>
      </c>
      <c r="C64" s="21">
        <v>31.3491</v>
      </c>
    </row>
    <row r="65" spans="1:3" x14ac:dyDescent="0.55000000000000004">
      <c r="A65" s="1">
        <v>1914</v>
      </c>
      <c r="B65" s="21">
        <v>44.069699999999997</v>
      </c>
      <c r="C65" s="21">
        <v>31.212700000000002</v>
      </c>
    </row>
    <row r="66" spans="1:3" x14ac:dyDescent="0.55000000000000004">
      <c r="A66" s="1">
        <v>1915</v>
      </c>
      <c r="B66" s="21">
        <v>43.813099999999999</v>
      </c>
      <c r="C66" s="21">
        <v>31.101800000000001</v>
      </c>
    </row>
    <row r="67" spans="1:3" x14ac:dyDescent="0.55000000000000004">
      <c r="A67" s="1">
        <v>1916</v>
      </c>
      <c r="B67" s="21">
        <v>43.544400000000003</v>
      </c>
      <c r="C67" s="21">
        <v>31.0273</v>
      </c>
    </row>
    <row r="68" spans="1:3" x14ac:dyDescent="0.55000000000000004">
      <c r="A68" s="1">
        <v>1917</v>
      </c>
      <c r="B68" s="21">
        <v>43.3</v>
      </c>
      <c r="C68" s="21">
        <v>31</v>
      </c>
    </row>
    <row r="69" spans="1:3" x14ac:dyDescent="0.55000000000000004">
      <c r="A69" s="1">
        <v>1918</v>
      </c>
      <c r="B69" s="21">
        <v>43.044800000000002</v>
      </c>
      <c r="C69" s="21">
        <v>31.031199999999998</v>
      </c>
    </row>
    <row r="70" spans="1:3" x14ac:dyDescent="0.55000000000000004">
      <c r="A70" s="1">
        <v>1919</v>
      </c>
      <c r="B70" s="21">
        <v>42.754399999999997</v>
      </c>
      <c r="C70" s="21">
        <v>31.105599999999999</v>
      </c>
    </row>
    <row r="71" spans="1:3" x14ac:dyDescent="0.55000000000000004">
      <c r="A71" s="1">
        <v>1920</v>
      </c>
      <c r="B71" s="21">
        <v>42.4816</v>
      </c>
      <c r="C71" s="21">
        <v>31.194400000000002</v>
      </c>
    </row>
    <row r="72" spans="1:3" x14ac:dyDescent="0.55000000000000004">
      <c r="A72" s="1">
        <v>1921</v>
      </c>
      <c r="B72" s="21">
        <v>42.279200000000003</v>
      </c>
      <c r="C72" s="21">
        <v>31.268799999999999</v>
      </c>
    </row>
    <row r="73" spans="1:3" x14ac:dyDescent="0.55000000000000004">
      <c r="A73" s="1">
        <v>1922</v>
      </c>
      <c r="B73" s="21">
        <v>42.2</v>
      </c>
      <c r="C73" s="21">
        <v>31.3</v>
      </c>
    </row>
    <row r="74" spans="1:3" x14ac:dyDescent="0.55000000000000004">
      <c r="A74" s="1">
        <v>1923</v>
      </c>
      <c r="B74" s="21">
        <v>42.366399999999999</v>
      </c>
      <c r="C74" s="21">
        <v>30.878</v>
      </c>
    </row>
    <row r="75" spans="1:3" x14ac:dyDescent="0.55000000000000004">
      <c r="A75" s="1">
        <v>1924</v>
      </c>
      <c r="B75" s="21">
        <v>42.763199999999998</v>
      </c>
      <c r="C75" s="21">
        <v>29.838100000000001</v>
      </c>
    </row>
    <row r="76" spans="1:3" x14ac:dyDescent="0.55000000000000004">
      <c r="A76" s="1">
        <v>1925</v>
      </c>
      <c r="B76" s="21">
        <v>43.236800000000002</v>
      </c>
      <c r="C76" s="21">
        <v>28.519100000000002</v>
      </c>
    </row>
    <row r="77" spans="1:3" x14ac:dyDescent="0.55000000000000004">
      <c r="A77" s="1">
        <v>1926</v>
      </c>
      <c r="B77" s="21">
        <v>43.633600000000001</v>
      </c>
      <c r="C77" s="21">
        <v>27.260100000000001</v>
      </c>
    </row>
    <row r="78" spans="1:3" x14ac:dyDescent="0.55000000000000004">
      <c r="A78" s="1">
        <v>1927</v>
      </c>
      <c r="B78" s="21">
        <v>43.8</v>
      </c>
      <c r="C78" s="21">
        <v>26.4</v>
      </c>
    </row>
    <row r="79" spans="1:3" x14ac:dyDescent="0.55000000000000004">
      <c r="A79" s="1">
        <v>1928</v>
      </c>
      <c r="B79" s="21">
        <v>43.502400000000002</v>
      </c>
      <c r="C79" s="21">
        <v>25.884599999999999</v>
      </c>
    </row>
    <row r="80" spans="1:3" x14ac:dyDescent="0.55000000000000004">
      <c r="A80" s="1">
        <v>1929</v>
      </c>
      <c r="B80" s="21">
        <v>42.763199999999998</v>
      </c>
      <c r="C80" s="21">
        <v>25.435099999999998</v>
      </c>
    </row>
    <row r="81" spans="1:3" x14ac:dyDescent="0.55000000000000004">
      <c r="A81" s="1">
        <v>1930</v>
      </c>
      <c r="B81" s="21">
        <v>41.812800000000003</v>
      </c>
      <c r="C81" s="21">
        <v>25.0533</v>
      </c>
    </row>
    <row r="82" spans="1:3" x14ac:dyDescent="0.55000000000000004">
      <c r="A82" s="1">
        <v>1931</v>
      </c>
      <c r="B82" s="21">
        <v>40.881599999999999</v>
      </c>
      <c r="C82" s="21">
        <v>24.7409</v>
      </c>
    </row>
    <row r="83" spans="1:3" x14ac:dyDescent="0.55000000000000004">
      <c r="A83" s="1">
        <v>1932</v>
      </c>
      <c r="B83" s="21">
        <v>40.200000000000003</v>
      </c>
      <c r="C83" s="21">
        <v>24.5</v>
      </c>
    </row>
    <row r="84" spans="1:3" x14ac:dyDescent="0.55000000000000004">
      <c r="A84" s="1">
        <v>1933</v>
      </c>
      <c r="B84" s="21">
        <v>39.7117</v>
      </c>
      <c r="C84" s="21">
        <v>24.3339</v>
      </c>
    </row>
    <row r="85" spans="1:3" x14ac:dyDescent="0.55000000000000004">
      <c r="A85" s="1">
        <v>1934</v>
      </c>
      <c r="B85" s="21">
        <v>39.238999999999997</v>
      </c>
      <c r="C85" s="21">
        <v>24.2193</v>
      </c>
    </row>
    <row r="86" spans="1:3" x14ac:dyDescent="0.55000000000000004">
      <c r="A86" s="1">
        <v>1935</v>
      </c>
      <c r="B86" s="21">
        <v>38.830500000000001</v>
      </c>
      <c r="C86" s="21">
        <v>24.117699999999999</v>
      </c>
    </row>
    <row r="87" spans="1:3" x14ac:dyDescent="0.55000000000000004">
      <c r="A87" s="1">
        <v>1936</v>
      </c>
      <c r="B87" s="21">
        <v>38.534700000000001</v>
      </c>
      <c r="C87" s="21">
        <v>23.9908</v>
      </c>
    </row>
    <row r="88" spans="1:3" x14ac:dyDescent="0.55000000000000004">
      <c r="A88" s="1">
        <v>1937</v>
      </c>
      <c r="B88" s="21">
        <v>38.4</v>
      </c>
      <c r="C88" s="21">
        <v>23.8</v>
      </c>
    </row>
    <row r="89" spans="1:3" x14ac:dyDescent="0.55000000000000004">
      <c r="A89" s="1">
        <v>1938</v>
      </c>
      <c r="B89" s="21">
        <v>38.371299999999998</v>
      </c>
      <c r="C89" s="21">
        <v>23.362200000000001</v>
      </c>
    </row>
    <row r="90" spans="1:3" x14ac:dyDescent="0.55000000000000004">
      <c r="A90" s="1">
        <v>1939</v>
      </c>
      <c r="B90" s="21">
        <v>38.3553</v>
      </c>
      <c r="C90" s="21">
        <v>22.621300000000002</v>
      </c>
    </row>
    <row r="91" spans="1:3" x14ac:dyDescent="0.55000000000000004">
      <c r="A91" s="1">
        <v>1940</v>
      </c>
      <c r="B91" s="21">
        <v>38.343800000000002</v>
      </c>
      <c r="C91" s="21">
        <v>21.729199999999999</v>
      </c>
    </row>
    <row r="92" spans="1:3" x14ac:dyDescent="0.55000000000000004">
      <c r="A92" s="1">
        <v>1941</v>
      </c>
      <c r="B92" s="21">
        <v>38.328099999999999</v>
      </c>
      <c r="C92" s="21">
        <v>20.838000000000001</v>
      </c>
    </row>
    <row r="93" spans="1:3" x14ac:dyDescent="0.55000000000000004">
      <c r="A93" s="1">
        <v>1942</v>
      </c>
      <c r="B93" s="21">
        <v>38.299999999999997</v>
      </c>
      <c r="C93" s="21">
        <v>20.100000000000001</v>
      </c>
    </row>
    <row r="94" spans="1:3" x14ac:dyDescent="0.55000000000000004">
      <c r="A94" s="1">
        <v>1943</v>
      </c>
      <c r="B94" s="21">
        <v>38.146999999999998</v>
      </c>
      <c r="C94" s="21">
        <v>19.537500000000001</v>
      </c>
    </row>
    <row r="95" spans="1:3" x14ac:dyDescent="0.55000000000000004">
      <c r="A95" s="1">
        <v>1944</v>
      </c>
      <c r="B95" s="21">
        <v>37.833500000000001</v>
      </c>
      <c r="C95" s="21">
        <v>19.041399999999999</v>
      </c>
    </row>
    <row r="96" spans="1:3" x14ac:dyDescent="0.55000000000000004">
      <c r="A96" s="1">
        <v>1945</v>
      </c>
      <c r="B96" s="21">
        <v>37.466500000000003</v>
      </c>
      <c r="C96" s="21">
        <v>18.566600000000001</v>
      </c>
    </row>
    <row r="97" spans="1:5" x14ac:dyDescent="0.55000000000000004">
      <c r="A97" s="1">
        <v>1946</v>
      </c>
      <c r="B97" s="21">
        <v>37.152999999999999</v>
      </c>
      <c r="C97" s="21">
        <v>18.067900000000002</v>
      </c>
    </row>
    <row r="98" spans="1:5" x14ac:dyDescent="0.55000000000000004">
      <c r="A98" s="1">
        <v>1947</v>
      </c>
      <c r="B98" s="21">
        <v>37</v>
      </c>
      <c r="C98" s="21">
        <v>17.5</v>
      </c>
    </row>
    <row r="99" spans="1:5" x14ac:dyDescent="0.55000000000000004">
      <c r="A99" s="1">
        <v>1948</v>
      </c>
      <c r="B99" s="21">
        <v>36.965800000000002</v>
      </c>
      <c r="C99" s="21">
        <v>16.768000000000001</v>
      </c>
    </row>
    <row r="100" spans="1:5" x14ac:dyDescent="0.55000000000000004">
      <c r="A100" s="1">
        <v>1949</v>
      </c>
      <c r="B100" s="21">
        <v>36.938099999999999</v>
      </c>
      <c r="C100" s="21">
        <v>15.892899999999999</v>
      </c>
    </row>
    <row r="101" spans="1:5" x14ac:dyDescent="0.55000000000000004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</row>
    <row r="102" spans="1:5" x14ac:dyDescent="0.55000000000000004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</row>
    <row r="103" spans="1:5" x14ac:dyDescent="0.55000000000000004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</row>
    <row r="104" spans="1:5" x14ac:dyDescent="0.55000000000000004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</row>
    <row r="105" spans="1:5" x14ac:dyDescent="0.55000000000000004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</row>
    <row r="106" spans="1:5" x14ac:dyDescent="0.55000000000000004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</row>
    <row r="107" spans="1:5" x14ac:dyDescent="0.55000000000000004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</row>
    <row r="108" spans="1:5" x14ac:dyDescent="0.55000000000000004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</row>
    <row r="109" spans="1:5" x14ac:dyDescent="0.55000000000000004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</row>
    <row r="110" spans="1:5" x14ac:dyDescent="0.55000000000000004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</row>
    <row r="111" spans="1:5" x14ac:dyDescent="0.55000000000000004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</row>
    <row r="112" spans="1:5" x14ac:dyDescent="0.55000000000000004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</row>
    <row r="113" spans="1:5" x14ac:dyDescent="0.55000000000000004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</row>
    <row r="114" spans="1:5" x14ac:dyDescent="0.55000000000000004">
      <c r="A114" s="1">
        <f>A113+1</f>
        <v>1963</v>
      </c>
      <c r="D114" s="3">
        <v>33.700000000000003</v>
      </c>
      <c r="E114" s="3">
        <v>10.4</v>
      </c>
    </row>
    <row r="115" spans="1:5" x14ac:dyDescent="0.55000000000000004">
      <c r="A115" s="1">
        <f t="shared" ref="A115:A174" si="0">A114+1</f>
        <v>1964</v>
      </c>
      <c r="D115" s="3">
        <v>33.1</v>
      </c>
      <c r="E115" s="3">
        <v>10.1</v>
      </c>
    </row>
    <row r="116" spans="1:5" x14ac:dyDescent="0.55000000000000004">
      <c r="A116" s="1">
        <f t="shared" si="0"/>
        <v>1965</v>
      </c>
      <c r="D116" s="3">
        <v>32.4</v>
      </c>
      <c r="E116" s="3">
        <v>9.8000000000000007</v>
      </c>
    </row>
    <row r="117" spans="1:5" x14ac:dyDescent="0.55000000000000004">
      <c r="A117" s="1">
        <f t="shared" si="0"/>
        <v>1966</v>
      </c>
      <c r="D117" s="3">
        <v>31.7</v>
      </c>
      <c r="E117" s="3">
        <v>9.4</v>
      </c>
    </row>
    <row r="118" spans="1:5" x14ac:dyDescent="0.55000000000000004">
      <c r="A118" s="1">
        <f t="shared" si="0"/>
        <v>1967</v>
      </c>
      <c r="D118" s="3">
        <v>30.9</v>
      </c>
      <c r="E118" s="3">
        <v>9.1</v>
      </c>
    </row>
    <row r="119" spans="1:5" x14ac:dyDescent="0.55000000000000004">
      <c r="A119" s="1">
        <f t="shared" si="0"/>
        <v>1968</v>
      </c>
      <c r="D119" s="3">
        <v>30.2</v>
      </c>
      <c r="E119" s="3">
        <v>8.8000000000000007</v>
      </c>
    </row>
    <row r="120" spans="1:5" x14ac:dyDescent="0.55000000000000004">
      <c r="A120" s="1">
        <f t="shared" si="0"/>
        <v>1969</v>
      </c>
      <c r="D120" s="3">
        <v>29.5</v>
      </c>
      <c r="E120" s="3">
        <v>8.5</v>
      </c>
    </row>
    <row r="121" spans="1:5" x14ac:dyDescent="0.55000000000000004">
      <c r="A121" s="1">
        <f t="shared" si="0"/>
        <v>1970</v>
      </c>
      <c r="D121" s="3">
        <v>28.8</v>
      </c>
      <c r="E121" s="3">
        <v>8.4</v>
      </c>
    </row>
    <row r="122" spans="1:5" x14ac:dyDescent="0.55000000000000004">
      <c r="A122" s="1">
        <f t="shared" si="0"/>
        <v>1971</v>
      </c>
      <c r="D122" s="3">
        <v>28.1</v>
      </c>
      <c r="E122" s="3">
        <v>8.1999999999999993</v>
      </c>
    </row>
    <row r="123" spans="1:5" x14ac:dyDescent="0.55000000000000004">
      <c r="A123" s="1">
        <f t="shared" si="0"/>
        <v>1972</v>
      </c>
      <c r="D123" s="3">
        <v>27.4</v>
      </c>
      <c r="E123" s="3">
        <v>8</v>
      </c>
    </row>
    <row r="124" spans="1:5" x14ac:dyDescent="0.55000000000000004">
      <c r="A124" s="1">
        <f t="shared" si="0"/>
        <v>1973</v>
      </c>
      <c r="D124" s="3">
        <v>26.8</v>
      </c>
      <c r="E124" s="3">
        <v>7.7</v>
      </c>
    </row>
    <row r="125" spans="1:5" x14ac:dyDescent="0.55000000000000004">
      <c r="A125" s="1">
        <f t="shared" si="0"/>
        <v>1974</v>
      </c>
      <c r="D125" s="3">
        <v>26.1</v>
      </c>
      <c r="E125" s="3">
        <v>7.4</v>
      </c>
    </row>
    <row r="126" spans="1:5" x14ac:dyDescent="0.55000000000000004">
      <c r="A126" s="1">
        <f t="shared" si="0"/>
        <v>1975</v>
      </c>
      <c r="D126" s="3">
        <v>25.5</v>
      </c>
      <c r="E126" s="3">
        <v>7</v>
      </c>
    </row>
    <row r="127" spans="1:5" x14ac:dyDescent="0.55000000000000004">
      <c r="A127" s="1">
        <f t="shared" si="0"/>
        <v>1976</v>
      </c>
      <c r="D127" s="3">
        <v>24.9</v>
      </c>
      <c r="E127" s="3">
        <v>6.8</v>
      </c>
    </row>
    <row r="128" spans="1:5" x14ac:dyDescent="0.55000000000000004">
      <c r="A128" s="1">
        <f t="shared" si="0"/>
        <v>1977</v>
      </c>
      <c r="D128" s="3">
        <v>24.5</v>
      </c>
      <c r="E128" s="3">
        <v>6.5</v>
      </c>
    </row>
    <row r="129" spans="1:5" x14ac:dyDescent="0.55000000000000004">
      <c r="A129" s="1">
        <f t="shared" si="0"/>
        <v>1978</v>
      </c>
      <c r="D129" s="3">
        <v>24</v>
      </c>
      <c r="E129" s="3">
        <v>6.4</v>
      </c>
    </row>
    <row r="130" spans="1:5" x14ac:dyDescent="0.55000000000000004">
      <c r="A130" s="1">
        <f t="shared" si="0"/>
        <v>1979</v>
      </c>
      <c r="D130" s="3">
        <v>23.6</v>
      </c>
      <c r="E130" s="3">
        <v>6.2</v>
      </c>
    </row>
    <row r="131" spans="1:5" x14ac:dyDescent="0.55000000000000004">
      <c r="A131" s="1">
        <f t="shared" si="0"/>
        <v>1980</v>
      </c>
      <c r="D131" s="3">
        <v>23.2</v>
      </c>
      <c r="E131" s="3">
        <v>6</v>
      </c>
    </row>
    <row r="132" spans="1:5" x14ac:dyDescent="0.55000000000000004">
      <c r="A132" s="1">
        <f t="shared" si="0"/>
        <v>1981</v>
      </c>
      <c r="D132" s="3">
        <v>23</v>
      </c>
      <c r="E132" s="3">
        <v>6</v>
      </c>
    </row>
    <row r="133" spans="1:5" x14ac:dyDescent="0.55000000000000004">
      <c r="A133" s="1">
        <f t="shared" si="0"/>
        <v>1982</v>
      </c>
      <c r="D133" s="3">
        <v>22.7</v>
      </c>
      <c r="E133" s="3">
        <v>5.9</v>
      </c>
    </row>
    <row r="134" spans="1:5" x14ac:dyDescent="0.55000000000000004">
      <c r="A134" s="1">
        <f t="shared" si="0"/>
        <v>1983</v>
      </c>
      <c r="D134" s="3">
        <v>22.6</v>
      </c>
      <c r="E134" s="3">
        <v>5.8</v>
      </c>
    </row>
    <row r="135" spans="1:5" x14ac:dyDescent="0.55000000000000004">
      <c r="A135" s="1">
        <f t="shared" si="0"/>
        <v>1984</v>
      </c>
      <c r="D135" s="3">
        <v>22.5</v>
      </c>
      <c r="E135" s="3">
        <v>5.7</v>
      </c>
    </row>
    <row r="136" spans="1:5" x14ac:dyDescent="0.55000000000000004">
      <c r="A136" s="1">
        <f t="shared" si="0"/>
        <v>1985</v>
      </c>
      <c r="D136" s="3">
        <v>22.5</v>
      </c>
      <c r="E136" s="3">
        <v>5.6</v>
      </c>
    </row>
    <row r="137" spans="1:5" x14ac:dyDescent="0.55000000000000004">
      <c r="A137" s="1">
        <f t="shared" si="0"/>
        <v>1986</v>
      </c>
      <c r="D137" s="3">
        <v>22.5</v>
      </c>
      <c r="E137" s="3">
        <v>5.5</v>
      </c>
    </row>
    <row r="138" spans="1:5" x14ac:dyDescent="0.55000000000000004">
      <c r="A138" s="1">
        <f t="shared" si="0"/>
        <v>1987</v>
      </c>
      <c r="D138" s="3">
        <v>22.5</v>
      </c>
      <c r="E138" s="3">
        <v>5.5</v>
      </c>
    </row>
    <row r="139" spans="1:5" x14ac:dyDescent="0.55000000000000004">
      <c r="A139" s="1">
        <f t="shared" si="0"/>
        <v>1988</v>
      </c>
      <c r="D139" s="3">
        <v>22.5</v>
      </c>
      <c r="E139" s="3">
        <v>5.4</v>
      </c>
    </row>
    <row r="140" spans="1:5" x14ac:dyDescent="0.55000000000000004">
      <c r="A140" s="1">
        <f t="shared" si="0"/>
        <v>1989</v>
      </c>
      <c r="D140" s="3">
        <v>22.3</v>
      </c>
      <c r="E140" s="3">
        <v>5.3</v>
      </c>
    </row>
    <row r="141" spans="1:5" x14ac:dyDescent="0.55000000000000004">
      <c r="A141" s="1">
        <f t="shared" si="0"/>
        <v>1990</v>
      </c>
      <c r="D141" s="3">
        <v>22.1</v>
      </c>
      <c r="E141" s="3">
        <v>5.2</v>
      </c>
    </row>
    <row r="142" spans="1:5" x14ac:dyDescent="0.55000000000000004">
      <c r="A142" s="1">
        <f t="shared" si="0"/>
        <v>1991</v>
      </c>
      <c r="D142" s="3">
        <v>21.8</v>
      </c>
      <c r="E142" s="3">
        <v>5.2</v>
      </c>
    </row>
    <row r="143" spans="1:5" x14ac:dyDescent="0.55000000000000004">
      <c r="A143" s="1">
        <f t="shared" si="0"/>
        <v>1992</v>
      </c>
      <c r="D143" s="3">
        <v>21</v>
      </c>
      <c r="E143" s="3">
        <v>5.2</v>
      </c>
    </row>
    <row r="144" spans="1:5" x14ac:dyDescent="0.55000000000000004">
      <c r="A144" s="1">
        <f t="shared" si="0"/>
        <v>1993</v>
      </c>
      <c r="D144" s="3">
        <v>20.399999999999999</v>
      </c>
      <c r="E144" s="3">
        <v>5.2</v>
      </c>
    </row>
    <row r="145" spans="1:5" x14ac:dyDescent="0.55000000000000004">
      <c r="A145" s="1">
        <f t="shared" si="0"/>
        <v>1994</v>
      </c>
      <c r="D145" s="3">
        <v>19.8</v>
      </c>
      <c r="E145" s="3">
        <v>5.2</v>
      </c>
    </row>
    <row r="146" spans="1:5" x14ac:dyDescent="0.55000000000000004">
      <c r="A146" s="1">
        <f t="shared" si="0"/>
        <v>1995</v>
      </c>
      <c r="D146" s="3">
        <v>19.5</v>
      </c>
      <c r="E146" s="3">
        <v>5.2</v>
      </c>
    </row>
    <row r="147" spans="1:5" x14ac:dyDescent="0.55000000000000004">
      <c r="A147" s="1">
        <f t="shared" si="0"/>
        <v>1996</v>
      </c>
      <c r="D147" s="3">
        <v>18.8</v>
      </c>
      <c r="E147" s="3">
        <v>5.2</v>
      </c>
    </row>
    <row r="148" spans="1:5" x14ac:dyDescent="0.55000000000000004">
      <c r="A148" s="1">
        <f t="shared" si="0"/>
        <v>1997</v>
      </c>
      <c r="D148" s="3">
        <v>17.899999999999999</v>
      </c>
      <c r="E148" s="3">
        <v>5.2</v>
      </c>
    </row>
    <row r="149" spans="1:5" x14ac:dyDescent="0.55000000000000004">
      <c r="A149" s="1">
        <f t="shared" si="0"/>
        <v>1998</v>
      </c>
      <c r="D149" s="3">
        <v>17.399999999999999</v>
      </c>
      <c r="E149" s="3">
        <v>5.0999999999999996</v>
      </c>
    </row>
    <row r="150" spans="1:5" x14ac:dyDescent="0.55000000000000004">
      <c r="A150" s="1">
        <f t="shared" si="0"/>
        <v>1999</v>
      </c>
      <c r="D150" s="3">
        <v>16.7</v>
      </c>
      <c r="E150" s="3">
        <v>5</v>
      </c>
    </row>
    <row r="151" spans="1:5" x14ac:dyDescent="0.55000000000000004">
      <c r="A151" s="1">
        <f t="shared" si="0"/>
        <v>2000</v>
      </c>
      <c r="D151" s="3">
        <v>16.3</v>
      </c>
      <c r="E151" s="3">
        <v>5</v>
      </c>
    </row>
    <row r="152" spans="1:5" x14ac:dyDescent="0.55000000000000004">
      <c r="A152" s="1">
        <f t="shared" si="0"/>
        <v>2001</v>
      </c>
      <c r="D152" s="3">
        <v>15.9</v>
      </c>
      <c r="E152" s="3">
        <v>5</v>
      </c>
    </row>
    <row r="153" spans="1:5" x14ac:dyDescent="0.55000000000000004">
      <c r="A153" s="1">
        <f t="shared" si="0"/>
        <v>2002</v>
      </c>
      <c r="D153" s="3">
        <v>15.2</v>
      </c>
      <c r="E153" s="3">
        <v>5</v>
      </c>
    </row>
    <row r="154" spans="1:5" x14ac:dyDescent="0.55000000000000004">
      <c r="A154" s="1">
        <f t="shared" si="0"/>
        <v>2003</v>
      </c>
      <c r="D154" s="3">
        <v>14.8</v>
      </c>
      <c r="E154" s="3">
        <v>5.2</v>
      </c>
    </row>
    <row r="155" spans="1:5" x14ac:dyDescent="0.55000000000000004">
      <c r="A155" s="1">
        <f t="shared" si="0"/>
        <v>2004</v>
      </c>
      <c r="D155" s="3">
        <v>14.4</v>
      </c>
      <c r="E155" s="3">
        <v>5.0999999999999996</v>
      </c>
    </row>
    <row r="156" spans="1:5" x14ac:dyDescent="0.55000000000000004">
      <c r="A156" s="1">
        <f t="shared" si="0"/>
        <v>2005</v>
      </c>
      <c r="D156" s="3">
        <v>14.2</v>
      </c>
      <c r="E156" s="3">
        <v>5.2</v>
      </c>
    </row>
    <row r="157" spans="1:5" x14ac:dyDescent="0.55000000000000004">
      <c r="A157" s="1">
        <f t="shared" si="0"/>
        <v>2006</v>
      </c>
      <c r="D157" s="3">
        <v>14</v>
      </c>
      <c r="E157" s="3">
        <v>5.4</v>
      </c>
    </row>
    <row r="158" spans="1:5" x14ac:dyDescent="0.55000000000000004">
      <c r="A158" s="1">
        <f t="shared" si="0"/>
        <v>2007</v>
      </c>
      <c r="D158" s="3">
        <v>14.2</v>
      </c>
      <c r="E158" s="3">
        <v>5.5</v>
      </c>
    </row>
    <row r="159" spans="1:5" x14ac:dyDescent="0.55000000000000004">
      <c r="A159" s="1">
        <f t="shared" si="0"/>
        <v>2008</v>
      </c>
      <c r="D159" s="3">
        <v>14.4</v>
      </c>
      <c r="E159" s="3">
        <v>5.6</v>
      </c>
    </row>
    <row r="160" spans="1:5" x14ac:dyDescent="0.55000000000000004">
      <c r="A160" s="1">
        <f t="shared" si="0"/>
        <v>2009</v>
      </c>
      <c r="D160" s="3">
        <v>14.4</v>
      </c>
      <c r="E160" s="3">
        <v>5.7</v>
      </c>
    </row>
    <row r="161" spans="1:5" x14ac:dyDescent="0.55000000000000004">
      <c r="A161" s="1">
        <f t="shared" si="0"/>
        <v>2010</v>
      </c>
      <c r="D161" s="3">
        <v>14.2</v>
      </c>
      <c r="E161" s="3">
        <v>5.8</v>
      </c>
    </row>
    <row r="162" spans="1:5" x14ac:dyDescent="0.55000000000000004">
      <c r="A162" s="1">
        <f t="shared" si="0"/>
        <v>2011</v>
      </c>
      <c r="D162" s="3">
        <v>14</v>
      </c>
      <c r="E162" s="3">
        <v>5.9</v>
      </c>
    </row>
    <row r="163" spans="1:5" x14ac:dyDescent="0.55000000000000004">
      <c r="A163" s="1">
        <f t="shared" si="0"/>
        <v>2012</v>
      </c>
      <c r="D163" s="3">
        <v>13.8</v>
      </c>
      <c r="E163" s="3">
        <v>6.1</v>
      </c>
    </row>
    <row r="164" spans="1:5" x14ac:dyDescent="0.55000000000000004">
      <c r="A164" s="1">
        <f t="shared" si="0"/>
        <v>2013</v>
      </c>
      <c r="D164" s="3">
        <v>13.6</v>
      </c>
      <c r="E164" s="3">
        <v>6.1</v>
      </c>
    </row>
    <row r="165" spans="1:5" x14ac:dyDescent="0.55000000000000004">
      <c r="A165" s="1">
        <f t="shared" si="0"/>
        <v>2014</v>
      </c>
      <c r="D165" s="3">
        <v>13.5</v>
      </c>
      <c r="E165" s="3">
        <v>6.1</v>
      </c>
    </row>
    <row r="166" spans="1:5" x14ac:dyDescent="0.55000000000000004">
      <c r="A166" s="1">
        <f t="shared" si="0"/>
        <v>2015</v>
      </c>
      <c r="D166" s="3">
        <v>13.1</v>
      </c>
      <c r="E166" s="3">
        <v>6.1</v>
      </c>
    </row>
    <row r="167" spans="1:5" x14ac:dyDescent="0.55000000000000004">
      <c r="A167" s="1">
        <f t="shared" si="0"/>
        <v>2016</v>
      </c>
      <c r="D167" s="3">
        <v>12.7</v>
      </c>
      <c r="E167" s="3">
        <v>6.1</v>
      </c>
    </row>
    <row r="168" spans="1:5" x14ac:dyDescent="0.55000000000000004">
      <c r="A168" s="1">
        <f t="shared" si="0"/>
        <v>2017</v>
      </c>
      <c r="D168" s="3">
        <v>11.8</v>
      </c>
      <c r="E168" s="3">
        <v>6</v>
      </c>
    </row>
    <row r="169" spans="1:5" x14ac:dyDescent="0.55000000000000004">
      <c r="A169" s="1">
        <f t="shared" si="0"/>
        <v>2018</v>
      </c>
      <c r="D169" s="3">
        <v>11.7</v>
      </c>
      <c r="E169" s="3">
        <v>6.2</v>
      </c>
    </row>
    <row r="170" spans="1:5" x14ac:dyDescent="0.55000000000000004">
      <c r="A170" s="1">
        <f t="shared" si="0"/>
        <v>2019</v>
      </c>
      <c r="D170" s="3">
        <v>10.9</v>
      </c>
      <c r="E170" s="3">
        <v>6.5</v>
      </c>
    </row>
    <row r="171" spans="1:5" x14ac:dyDescent="0.55000000000000004">
      <c r="A171" s="1">
        <f t="shared" si="0"/>
        <v>2020</v>
      </c>
      <c r="D171" s="3">
        <v>10.1</v>
      </c>
      <c r="E171" s="3">
        <v>7.4</v>
      </c>
    </row>
    <row r="172" spans="1:5" x14ac:dyDescent="0.55000000000000004">
      <c r="A172" s="1">
        <f t="shared" si="0"/>
        <v>2021</v>
      </c>
      <c r="D172" s="3">
        <v>9.1</v>
      </c>
      <c r="E172" s="3">
        <v>7.7</v>
      </c>
    </row>
    <row r="173" spans="1:5" x14ac:dyDescent="0.55000000000000004">
      <c r="A173" s="1">
        <f t="shared" si="0"/>
        <v>2022</v>
      </c>
      <c r="D173" s="3">
        <v>9.6999999999999993</v>
      </c>
      <c r="E173" s="3">
        <v>7.6</v>
      </c>
    </row>
    <row r="174" spans="1:5" x14ac:dyDescent="0.55000000000000004">
      <c r="A174" s="1">
        <f t="shared" si="0"/>
        <v>2023</v>
      </c>
      <c r="D174" s="3">
        <v>9</v>
      </c>
      <c r="E174" s="3">
        <v>6.5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D17" sqref="AD1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55000000000000004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55000000000000004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55000000000000004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55000000000000004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55000000000000004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55000000000000004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55000000000000004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55000000000000004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55000000000000004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55000000000000004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55000000000000004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55000000000000004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55000000000000004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55000000000000004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55000000000000004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55000000000000004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55000000000000004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55000000000000004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55000000000000004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55000000000000004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55000000000000004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55000000000000004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55000000000000004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55000000000000004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55000000000000004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55000000000000004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55000000000000004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55000000000000004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55000000000000004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55000000000000004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55000000000000004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55000000000000004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55000000000000004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55000000000000004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55000000000000004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55000000000000004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55000000000000004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55000000000000004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55000000000000004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55000000000000004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55000000000000004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55000000000000004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55000000000000004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55000000000000004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55000000000000004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55000000000000004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55000000000000004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55000000000000004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55000000000000004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55000000000000004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55000000000000004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55000000000000004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55000000000000004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55000000000000004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55000000000000004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55000000000000004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55000000000000004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55000000000000004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55000000000000004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55000000000000004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55000000000000004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55000000000000004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55000000000000004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55000000000000004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55000000000000004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55000000000000004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55000000000000004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55000000000000004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55000000000000004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55000000000000004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55000000000000004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55000000000000004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55000000000000004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55000000000000004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55000000000000004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55000000000000004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55000000000000004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55000000000000004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55000000000000004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55000000000000004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55000000000000004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55000000000000004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55000000000000004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55000000000000004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55000000000000004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55000000000000004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55000000000000004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55000000000000004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55000000000000004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55000000000000004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55000000000000004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55000000000000004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55000000000000004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55000000000000004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55000000000000004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55000000000000004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55000000000000004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55000000000000004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55000000000000004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55000000000000004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55000000000000004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55000000000000004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55000000000000004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55000000000000004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55000000000000004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55000000000000004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55000000000000004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55000000000000004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55000000000000004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55000000000000004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55000000000000004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55000000000000004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55000000000000004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55000000000000004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55000000000000004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55000000000000004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55000000000000004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55000000000000004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55000000000000004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55000000000000004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55000000000000004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55000000000000004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55000000000000004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55000000000000004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55000000000000004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55000000000000004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55000000000000004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55000000000000004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55000000000000004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55000000000000004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55000000000000004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55000000000000004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55000000000000004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55000000000000004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55000000000000004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55000000000000004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55000000000000004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55000000000000004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55000000000000004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55000000000000004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55000000000000004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55000000000000004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55000000000000004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55000000000000004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55000000000000004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55000000000000004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55000000000000004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55000000000000004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55000000000000004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55000000000000004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55000000000000004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55000000000000004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55000000000000004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55000000000000004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55000000000000004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55000000000000004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55000000000000004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55000000000000004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55000000000000004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55000000000000004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55000000000000004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55000000000000004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55000000000000004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55000000000000004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55000000000000004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55000000000000004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55000000000000004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55000000000000004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55000000000000004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55000000000000004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55000000000000004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55000000000000004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55000000000000004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D110"/>
  <sheetViews>
    <sheetView topLeftCell="A4" workbookViewId="0">
      <selection activeCell="AF6" sqref="AF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4" x14ac:dyDescent="0.55000000000000004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</row>
    <row r="4" spans="1:4" x14ac:dyDescent="0.55000000000000004">
      <c r="A4" s="17">
        <v>1917</v>
      </c>
      <c r="B4" s="3">
        <v>46.4</v>
      </c>
      <c r="C4" s="3">
        <v>30.3</v>
      </c>
      <c r="D4" s="3">
        <f t="shared" si="0"/>
        <v>16.099999999999998</v>
      </c>
    </row>
    <row r="5" spans="1:4" x14ac:dyDescent="0.55000000000000004">
      <c r="A5" s="17">
        <v>1918</v>
      </c>
      <c r="B5" s="3">
        <v>46.6</v>
      </c>
      <c r="C5" s="3">
        <v>30</v>
      </c>
      <c r="D5" s="3">
        <f t="shared" si="0"/>
        <v>16.600000000000001</v>
      </c>
    </row>
    <row r="6" spans="1:4" x14ac:dyDescent="0.55000000000000004">
      <c r="A6" s="17">
        <v>1919</v>
      </c>
      <c r="B6" s="3">
        <v>46.8</v>
      </c>
      <c r="C6" s="3">
        <v>29.7</v>
      </c>
      <c r="D6" s="3">
        <f t="shared" si="0"/>
        <v>17.099999999999998</v>
      </c>
    </row>
    <row r="7" spans="1:4" x14ac:dyDescent="0.55000000000000004">
      <c r="A7" s="17">
        <v>1920</v>
      </c>
      <c r="B7" s="3">
        <v>47.1</v>
      </c>
      <c r="C7" s="3">
        <v>29.3</v>
      </c>
      <c r="D7" s="3">
        <f t="shared" si="0"/>
        <v>17.8</v>
      </c>
    </row>
    <row r="8" spans="1:4" x14ac:dyDescent="0.55000000000000004">
      <c r="A8" s="17">
        <v>1921</v>
      </c>
      <c r="B8" s="3">
        <v>47.3</v>
      </c>
      <c r="C8" s="3">
        <v>29</v>
      </c>
      <c r="D8" s="3">
        <f t="shared" si="0"/>
        <v>18.299999999999997</v>
      </c>
    </row>
    <row r="9" spans="1:4" x14ac:dyDescent="0.55000000000000004">
      <c r="A9" s="17">
        <v>1922</v>
      </c>
      <c r="B9" s="3">
        <v>47.7</v>
      </c>
      <c r="C9" s="3">
        <v>28.8</v>
      </c>
      <c r="D9" s="3">
        <f t="shared" si="0"/>
        <v>18.900000000000002</v>
      </c>
    </row>
    <row r="10" spans="1:4" x14ac:dyDescent="0.55000000000000004">
      <c r="A10" s="17">
        <v>1923</v>
      </c>
      <c r="B10" s="3">
        <v>48</v>
      </c>
      <c r="C10" s="3">
        <v>28.7</v>
      </c>
      <c r="D10" s="3">
        <f t="shared" si="0"/>
        <v>19.3</v>
      </c>
    </row>
    <row r="11" spans="1:4" x14ac:dyDescent="0.55000000000000004">
      <c r="A11" s="17">
        <v>1924</v>
      </c>
      <c r="B11" s="3">
        <v>48.4</v>
      </c>
      <c r="C11" s="3">
        <v>28.7</v>
      </c>
      <c r="D11" s="3">
        <f t="shared" si="0"/>
        <v>19.7</v>
      </c>
    </row>
    <row r="12" spans="1:4" x14ac:dyDescent="0.55000000000000004">
      <c r="A12" s="17">
        <v>1925</v>
      </c>
      <c r="B12" s="3">
        <v>48.8</v>
      </c>
      <c r="C12" s="3">
        <v>28.8</v>
      </c>
      <c r="D12" s="3">
        <f t="shared" si="0"/>
        <v>19.999999999999996</v>
      </c>
    </row>
    <row r="13" spans="1:4" x14ac:dyDescent="0.55000000000000004">
      <c r="A13" s="17">
        <v>1926</v>
      </c>
      <c r="B13" s="3">
        <v>49.1</v>
      </c>
      <c r="C13" s="3">
        <v>28.7</v>
      </c>
      <c r="D13" s="3">
        <f t="shared" si="0"/>
        <v>20.400000000000002</v>
      </c>
    </row>
    <row r="14" spans="1:4" x14ac:dyDescent="0.55000000000000004">
      <c r="A14" s="17">
        <v>1927</v>
      </c>
      <c r="B14" s="3">
        <v>49.2</v>
      </c>
      <c r="C14" s="3">
        <v>28.4</v>
      </c>
      <c r="D14" s="3">
        <f t="shared" si="0"/>
        <v>20.800000000000004</v>
      </c>
    </row>
    <row r="15" spans="1:4" x14ac:dyDescent="0.55000000000000004">
      <c r="A15" s="17">
        <v>1928</v>
      </c>
      <c r="B15" s="3">
        <v>49.2</v>
      </c>
      <c r="C15" s="3">
        <v>27.9</v>
      </c>
      <c r="D15" s="3">
        <f t="shared" si="0"/>
        <v>21.300000000000004</v>
      </c>
    </row>
    <row r="16" spans="1:4" x14ac:dyDescent="0.55000000000000004">
      <c r="A16" s="17">
        <v>1929</v>
      </c>
      <c r="B16" s="3">
        <v>49.1</v>
      </c>
      <c r="C16" s="3">
        <v>27.3</v>
      </c>
      <c r="D16" s="3">
        <f t="shared" si="0"/>
        <v>21.8</v>
      </c>
    </row>
    <row r="17" spans="1:4" x14ac:dyDescent="0.55000000000000004">
      <c r="A17" s="17">
        <v>1930</v>
      </c>
      <c r="B17" s="3">
        <v>48.9</v>
      </c>
      <c r="C17" s="3">
        <v>26.5</v>
      </c>
      <c r="D17" s="3">
        <f t="shared" si="0"/>
        <v>22.4</v>
      </c>
    </row>
    <row r="18" spans="1:4" x14ac:dyDescent="0.55000000000000004">
      <c r="A18" s="17">
        <v>1931</v>
      </c>
      <c r="B18" s="3">
        <v>48.6</v>
      </c>
      <c r="C18" s="3">
        <v>25.9</v>
      </c>
      <c r="D18" s="3">
        <f t="shared" si="0"/>
        <v>22.700000000000003</v>
      </c>
    </row>
    <row r="19" spans="1:4" x14ac:dyDescent="0.55000000000000004">
      <c r="A19" s="17">
        <v>1932</v>
      </c>
      <c r="B19" s="3">
        <v>48.5</v>
      </c>
      <c r="C19" s="3">
        <v>25.5</v>
      </c>
      <c r="D19" s="3">
        <f t="shared" si="0"/>
        <v>23</v>
      </c>
    </row>
    <row r="20" spans="1:4" x14ac:dyDescent="0.55000000000000004">
      <c r="A20" s="17">
        <v>1933</v>
      </c>
      <c r="B20" s="3">
        <v>48.3</v>
      </c>
      <c r="C20" s="3">
        <v>25.3</v>
      </c>
      <c r="D20" s="3">
        <f t="shared" si="0"/>
        <v>22.999999999999996</v>
      </c>
    </row>
    <row r="21" spans="1:4" x14ac:dyDescent="0.55000000000000004">
      <c r="A21" s="17">
        <v>1934</v>
      </c>
      <c r="B21" s="3">
        <v>48.2</v>
      </c>
      <c r="C21" s="3">
        <v>25.3</v>
      </c>
      <c r="D21" s="3">
        <f t="shared" si="0"/>
        <v>22.900000000000002</v>
      </c>
    </row>
    <row r="22" spans="1:4" x14ac:dyDescent="0.55000000000000004">
      <c r="A22" s="17">
        <v>1935</v>
      </c>
      <c r="B22" s="3">
        <v>48.2</v>
      </c>
      <c r="C22" s="3">
        <v>25.6</v>
      </c>
      <c r="D22" s="3">
        <f t="shared" si="0"/>
        <v>22.6</v>
      </c>
    </row>
    <row r="23" spans="1:4" x14ac:dyDescent="0.55000000000000004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4" x14ac:dyDescent="0.55000000000000004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4" x14ac:dyDescent="0.55000000000000004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4" x14ac:dyDescent="0.55000000000000004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4" x14ac:dyDescent="0.55000000000000004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4" x14ac:dyDescent="0.55000000000000004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4" x14ac:dyDescent="0.55000000000000004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4" x14ac:dyDescent="0.55000000000000004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4" x14ac:dyDescent="0.55000000000000004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4" x14ac:dyDescent="0.55000000000000004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55000000000000004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55000000000000004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55000000000000004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55000000000000004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55000000000000004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55000000000000004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55000000000000004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55000000000000004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55000000000000004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55000000000000004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55000000000000004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55000000000000004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55000000000000004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55000000000000004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55000000000000004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55000000000000004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55000000000000004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55000000000000004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55000000000000004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55000000000000004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55000000000000004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55000000000000004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55000000000000004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55000000000000004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55000000000000004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55000000000000004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55000000000000004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55000000000000004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55000000000000004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55000000000000004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55000000000000004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55000000000000004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55000000000000004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55000000000000004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55000000000000004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55000000000000004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55000000000000004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55000000000000004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55000000000000004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55000000000000004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55000000000000004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55000000000000004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55000000000000004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55000000000000004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55000000000000004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55000000000000004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55000000000000004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55000000000000004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55000000000000004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55000000000000004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55000000000000004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55000000000000004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55000000000000004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55000000000000004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55000000000000004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55000000000000004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55000000000000004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55000000000000004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55000000000000004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55000000000000004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55000000000000004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55000000000000004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55000000000000004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55000000000000004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55000000000000004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55000000000000004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55000000000000004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55000000000000004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55000000000000004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55000000000000004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55000000000000004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55000000000000004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55000000000000004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55000000000000004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55000000000000004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55000000000000004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55000000000000004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55000000000000004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</vt:lpstr>
      <vt:lpstr>Бразилия</vt:lpstr>
      <vt:lpstr>Венесуэла-Колвер</vt:lpstr>
      <vt:lpstr>Венесуэла-Бриньоли</vt:lpstr>
      <vt:lpstr>Гватемала</vt:lpstr>
      <vt:lpstr>Гондурас</vt:lpstr>
      <vt:lpstr>Колумбия</vt:lpstr>
      <vt:lpstr>Коста-Рика-Бриньоли</vt:lpstr>
      <vt:lpstr>Коста-Рика-Колвер</vt:lpstr>
      <vt:lpstr>Куба-Бриньоли</vt:lpstr>
      <vt:lpstr>Куба-Колвер</vt:lpstr>
      <vt:lpstr>Мексика-Бриньоли</vt:lpstr>
      <vt:lpstr>Мексика-Колвер</vt:lpstr>
      <vt:lpstr>Панама</vt:lpstr>
      <vt:lpstr>Парагвай</vt:lpstr>
      <vt:lpstr>Перу</vt:lpstr>
      <vt:lpstr>Сальвадор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2026-06-03T03:52:52Z</dcterms:created>
  <dcterms:modified xsi:type="dcterms:W3CDTF">2026-06-04T02:57:19Z</dcterms:modified>
</cp:coreProperties>
</file>